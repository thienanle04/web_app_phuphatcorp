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Code\phuphat_ref\repo\"/>
    </mc:Choice>
  </mc:AlternateContent>
  <xr:revisionPtr revIDLastSave="0" documentId="13_ncr:1_{019849CA-E677-4A95-A537-97F49BA45BAF}" xr6:coauthVersionLast="47" xr6:coauthVersionMax="47" xr10:uidLastSave="{00000000-0000-0000-0000-000000000000}"/>
  <bookViews>
    <workbookView xWindow="-120" yWindow="-120" windowWidth="38640" windowHeight="21120" firstSheet="5" activeTab="6" xr2:uid="{00000000-000D-0000-FFFF-FFFF00000000}"/>
  </bookViews>
  <sheets>
    <sheet name="siêu thị" sheetId="220" state="hidden" r:id="rId1"/>
    <sheet name="npp" sheetId="221" state="hidden" r:id="rId2"/>
    <sheet name="tỉnh" sheetId="222" state="hidden" r:id="rId3"/>
    <sheet name="npp (clv)" sheetId="223" state="hidden" r:id="rId4"/>
    <sheet name="siêu thị (clv)" sheetId="224" state="hidden" r:id="rId5"/>
    <sheet name="MÃ HÀNG OK" sheetId="226" r:id="rId6"/>
    <sheet name="TONG HOP cap nhat T5-26" sheetId="225" r:id="rId7"/>
    <sheet name="mã hàng cập nhật 16-6-26" sheetId="227" state="hidden" r:id="rId8"/>
  </sheets>
  <externalReferences>
    <externalReference r:id="rId9"/>
  </externalReferences>
  <definedNames>
    <definedName name="_xlnm._FilterDatabase" localSheetId="7" hidden="1">'mã hàng cập nhật 16-6-26'!$A$2:$J$5503</definedName>
    <definedName name="_xlnm._FilterDatabase" localSheetId="5" hidden="1">'MÃ HÀNG OK'!$A$2:$M$371</definedName>
    <definedName name="_xlnm._FilterDatabase" localSheetId="0" hidden="1">'siêu thị'!$A$3:$F$128</definedName>
    <definedName name="_xlnm._FilterDatabase" localSheetId="4" hidden="1">'siêu thị (clv)'!$A$3:$G$181</definedName>
    <definedName name="_xlnm._FilterDatabase" localSheetId="2" hidden="1">tỉnh!$A$3:$H$48</definedName>
    <definedName name="_xlnm._FilterDatabase" localSheetId="6" hidden="1">'TONG HOP cap nhat T5-26'!$A$15:$H$283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27" i="226" l="1"/>
  <c r="D137" i="225"/>
  <c r="M363" i="226"/>
  <c r="M364" i="226"/>
  <c r="M365" i="226"/>
  <c r="M366" i="226"/>
  <c r="M367" i="226"/>
  <c r="M368" i="226"/>
  <c r="M369" i="226"/>
  <c r="M370" i="226"/>
  <c r="M371" i="226"/>
  <c r="M372" i="226"/>
  <c r="M373" i="226"/>
  <c r="M374" i="226"/>
  <c r="M375" i="226"/>
  <c r="M376" i="226"/>
  <c r="M377" i="226"/>
  <c r="M378" i="226"/>
  <c r="M379" i="226"/>
  <c r="M380" i="226"/>
  <c r="M290" i="226"/>
  <c r="M291" i="226"/>
  <c r="M292" i="226"/>
  <c r="M293" i="226"/>
  <c r="M294" i="226"/>
  <c r="M295" i="226"/>
  <c r="M296" i="226"/>
  <c r="M297" i="226"/>
  <c r="M298" i="226"/>
  <c r="M299" i="226"/>
  <c r="M300" i="226"/>
  <c r="M301" i="226"/>
  <c r="M302" i="226"/>
  <c r="M303" i="226"/>
  <c r="M304" i="226"/>
  <c r="M305" i="226"/>
  <c r="M306" i="226"/>
  <c r="M307" i="226"/>
  <c r="M308" i="226"/>
  <c r="M309" i="226"/>
  <c r="M310" i="226"/>
  <c r="M311" i="226"/>
  <c r="M312" i="226"/>
  <c r="M313" i="226"/>
  <c r="M314" i="226"/>
  <c r="M315" i="226"/>
  <c r="M316" i="226"/>
  <c r="M317" i="226"/>
  <c r="M318" i="226"/>
  <c r="M319" i="226"/>
  <c r="M320" i="226"/>
  <c r="M321" i="226"/>
  <c r="M322" i="226"/>
  <c r="M323" i="226"/>
  <c r="M324" i="226"/>
  <c r="M325" i="226"/>
  <c r="M326" i="226"/>
  <c r="M327" i="226"/>
  <c r="M328" i="226"/>
  <c r="M329" i="226"/>
  <c r="M330" i="226"/>
  <c r="M331" i="226"/>
  <c r="M332" i="226"/>
  <c r="M333" i="226"/>
  <c r="M334" i="226"/>
  <c r="M335" i="226"/>
  <c r="M336" i="226"/>
  <c r="M337" i="226"/>
  <c r="M338" i="226"/>
  <c r="M339" i="226"/>
  <c r="M340" i="226"/>
  <c r="M341" i="226"/>
  <c r="M342" i="226"/>
  <c r="M343" i="226"/>
  <c r="M344" i="226"/>
  <c r="M345" i="226"/>
  <c r="M346" i="226"/>
  <c r="M347" i="226"/>
  <c r="M348" i="226"/>
  <c r="M349" i="226"/>
  <c r="M350" i="226"/>
  <c r="M351" i="226"/>
  <c r="M352" i="226"/>
  <c r="M353" i="226"/>
  <c r="M354" i="226"/>
  <c r="M355" i="226"/>
  <c r="M356" i="226"/>
  <c r="M357" i="226"/>
  <c r="M358" i="226"/>
  <c r="M359" i="226"/>
  <c r="M360" i="226"/>
  <c r="M361" i="226"/>
  <c r="M362" i="226"/>
  <c r="J363" i="226"/>
  <c r="E363" i="226"/>
  <c r="J364" i="226"/>
  <c r="J365" i="226"/>
  <c r="J366" i="226"/>
  <c r="J367" i="226"/>
  <c r="J368" i="226"/>
  <c r="J369" i="226"/>
  <c r="J370" i="226"/>
  <c r="J371" i="226"/>
  <c r="E364" i="226"/>
  <c r="E365" i="226"/>
  <c r="E366" i="226"/>
  <c r="E367" i="226"/>
  <c r="E368" i="226"/>
  <c r="E369" i="226"/>
  <c r="E370" i="226"/>
  <c r="E371" i="226"/>
  <c r="D75" i="225"/>
  <c r="D265" i="225"/>
  <c r="D242" i="225" l="1"/>
  <c r="E206" i="226" l="1"/>
  <c r="J4" i="226"/>
  <c r="K4" i="226" s="1"/>
  <c r="J5" i="226"/>
  <c r="K5" i="226" s="1"/>
  <c r="J6" i="226"/>
  <c r="K6" i="226" s="1"/>
  <c r="J7" i="226"/>
  <c r="K7" i="226" s="1"/>
  <c r="J8" i="226"/>
  <c r="K8" i="226" s="1"/>
  <c r="J9" i="226"/>
  <c r="K9" i="226" s="1"/>
  <c r="J10" i="226"/>
  <c r="K10" i="226" s="1"/>
  <c r="J11" i="226"/>
  <c r="K11" i="226" s="1"/>
  <c r="J12" i="226"/>
  <c r="K12" i="226" s="1"/>
  <c r="J13" i="226"/>
  <c r="K13" i="226" s="1"/>
  <c r="J14" i="226"/>
  <c r="K14" i="226" s="1"/>
  <c r="J15" i="226"/>
  <c r="K15" i="226" s="1"/>
  <c r="J16" i="226"/>
  <c r="K16" i="226" s="1"/>
  <c r="J17" i="226"/>
  <c r="K17" i="226" s="1"/>
  <c r="J18" i="226"/>
  <c r="K18" i="226" s="1"/>
  <c r="J19" i="226"/>
  <c r="K19" i="226" s="1"/>
  <c r="J20" i="226"/>
  <c r="K20" i="226" s="1"/>
  <c r="J21" i="226"/>
  <c r="K21" i="226" s="1"/>
  <c r="J22" i="226"/>
  <c r="K22" i="226" s="1"/>
  <c r="J23" i="226"/>
  <c r="K23" i="226" s="1"/>
  <c r="J24" i="226"/>
  <c r="K24" i="226" s="1"/>
  <c r="J25" i="226"/>
  <c r="K25" i="226" s="1"/>
  <c r="J26" i="226"/>
  <c r="K26" i="226" s="1"/>
  <c r="J27" i="226"/>
  <c r="K27" i="226" s="1"/>
  <c r="J28" i="226"/>
  <c r="K28" i="226" s="1"/>
  <c r="J29" i="226"/>
  <c r="K29" i="226" s="1"/>
  <c r="J30" i="226"/>
  <c r="K30" i="226" s="1"/>
  <c r="J31" i="226"/>
  <c r="K31" i="226" s="1"/>
  <c r="J32" i="226"/>
  <c r="K32" i="226" s="1"/>
  <c r="J33" i="226"/>
  <c r="K33" i="226" s="1"/>
  <c r="J34" i="226"/>
  <c r="K34" i="226" s="1"/>
  <c r="J35" i="226"/>
  <c r="K35" i="226" s="1"/>
  <c r="J36" i="226"/>
  <c r="K36" i="226" s="1"/>
  <c r="J37" i="226"/>
  <c r="K37" i="226" s="1"/>
  <c r="J38" i="226"/>
  <c r="K38" i="226" s="1"/>
  <c r="J39" i="226"/>
  <c r="K39" i="226" s="1"/>
  <c r="J40" i="226"/>
  <c r="K40" i="226" s="1"/>
  <c r="J41" i="226"/>
  <c r="K41" i="226" s="1"/>
  <c r="J42" i="226"/>
  <c r="K42" i="226" s="1"/>
  <c r="J43" i="226"/>
  <c r="K43" i="226" s="1"/>
  <c r="J44" i="226"/>
  <c r="K44" i="226" s="1"/>
  <c r="J45" i="226"/>
  <c r="K45" i="226" s="1"/>
  <c r="J46" i="226"/>
  <c r="K46" i="226" s="1"/>
  <c r="J47" i="226"/>
  <c r="K47" i="226" s="1"/>
  <c r="J48" i="226"/>
  <c r="K48" i="226" s="1"/>
  <c r="J49" i="226"/>
  <c r="K49" i="226" s="1"/>
  <c r="J50" i="226"/>
  <c r="K50" i="226" s="1"/>
  <c r="J51" i="226"/>
  <c r="K51" i="226" s="1"/>
  <c r="J52" i="226"/>
  <c r="K52" i="226" s="1"/>
  <c r="J53" i="226"/>
  <c r="K53" i="226" s="1"/>
  <c r="J54" i="226"/>
  <c r="K54" i="226" s="1"/>
  <c r="J55" i="226"/>
  <c r="K55" i="226" s="1"/>
  <c r="J56" i="226"/>
  <c r="K56" i="226" s="1"/>
  <c r="J57" i="226"/>
  <c r="K57" i="226" s="1"/>
  <c r="J58" i="226"/>
  <c r="K58" i="226" s="1"/>
  <c r="J59" i="226"/>
  <c r="K59" i="226" s="1"/>
  <c r="J60" i="226"/>
  <c r="K60" i="226" s="1"/>
  <c r="J61" i="226"/>
  <c r="K61" i="226" s="1"/>
  <c r="J62" i="226"/>
  <c r="K62" i="226" s="1"/>
  <c r="J63" i="226"/>
  <c r="K63" i="226" s="1"/>
  <c r="J64" i="226"/>
  <c r="K64" i="226" s="1"/>
  <c r="J65" i="226"/>
  <c r="K65" i="226" s="1"/>
  <c r="J66" i="226"/>
  <c r="K66" i="226" s="1"/>
  <c r="J67" i="226"/>
  <c r="K67" i="226" s="1"/>
  <c r="J68" i="226"/>
  <c r="K68" i="226" s="1"/>
  <c r="J69" i="226"/>
  <c r="K69" i="226" s="1"/>
  <c r="J70" i="226"/>
  <c r="K70" i="226" s="1"/>
  <c r="J71" i="226"/>
  <c r="K71" i="226" s="1"/>
  <c r="J72" i="226"/>
  <c r="K72" i="226" s="1"/>
  <c r="J73" i="226"/>
  <c r="K73" i="226" s="1"/>
  <c r="J74" i="226"/>
  <c r="K74" i="226" s="1"/>
  <c r="J75" i="226"/>
  <c r="K75" i="226" s="1"/>
  <c r="J76" i="226"/>
  <c r="K76" i="226" s="1"/>
  <c r="J77" i="226"/>
  <c r="K77" i="226" s="1"/>
  <c r="J78" i="226"/>
  <c r="K78" i="226" s="1"/>
  <c r="J79" i="226"/>
  <c r="K79" i="226" s="1"/>
  <c r="J80" i="226"/>
  <c r="K80" i="226" s="1"/>
  <c r="J81" i="226"/>
  <c r="K81" i="226" s="1"/>
  <c r="J82" i="226"/>
  <c r="K82" i="226" s="1"/>
  <c r="J83" i="226"/>
  <c r="K83" i="226" s="1"/>
  <c r="J84" i="226"/>
  <c r="K84" i="226" s="1"/>
  <c r="J85" i="226"/>
  <c r="K85" i="226" s="1"/>
  <c r="J86" i="226"/>
  <c r="K86" i="226" s="1"/>
  <c r="J87" i="226"/>
  <c r="K87" i="226" s="1"/>
  <c r="J88" i="226"/>
  <c r="K88" i="226" s="1"/>
  <c r="J89" i="226"/>
  <c r="K89" i="226" s="1"/>
  <c r="J90" i="226"/>
  <c r="K90" i="226" s="1"/>
  <c r="J91" i="226"/>
  <c r="K91" i="226" s="1"/>
  <c r="J92" i="226"/>
  <c r="K92" i="226" s="1"/>
  <c r="J93" i="226"/>
  <c r="K93" i="226" s="1"/>
  <c r="J94" i="226"/>
  <c r="K94" i="226" s="1"/>
  <c r="J95" i="226"/>
  <c r="K95" i="226" s="1"/>
  <c r="J96" i="226"/>
  <c r="K96" i="226" s="1"/>
  <c r="J97" i="226"/>
  <c r="K97" i="226" s="1"/>
  <c r="J98" i="226"/>
  <c r="K98" i="226" s="1"/>
  <c r="J99" i="226"/>
  <c r="K99" i="226" s="1"/>
  <c r="J100" i="226"/>
  <c r="K100" i="226" s="1"/>
  <c r="J101" i="226"/>
  <c r="K101" i="226" s="1"/>
  <c r="J102" i="226"/>
  <c r="K102" i="226" s="1"/>
  <c r="J103" i="226"/>
  <c r="K103" i="226" s="1"/>
  <c r="J104" i="226"/>
  <c r="K104" i="226" s="1"/>
  <c r="J105" i="226"/>
  <c r="K105" i="226" s="1"/>
  <c r="J106" i="226"/>
  <c r="K106" i="226" s="1"/>
  <c r="J107" i="226"/>
  <c r="K107" i="226" s="1"/>
  <c r="J108" i="226"/>
  <c r="K108" i="226" s="1"/>
  <c r="J109" i="226"/>
  <c r="K109" i="226" s="1"/>
  <c r="J110" i="226"/>
  <c r="K110" i="226" s="1"/>
  <c r="J111" i="226"/>
  <c r="K111" i="226" s="1"/>
  <c r="J112" i="226"/>
  <c r="K112" i="226" s="1"/>
  <c r="J113" i="226"/>
  <c r="K113" i="226" s="1"/>
  <c r="J114" i="226"/>
  <c r="K114" i="226" s="1"/>
  <c r="J115" i="226"/>
  <c r="K115" i="226" s="1"/>
  <c r="J116" i="226"/>
  <c r="K116" i="226" s="1"/>
  <c r="J117" i="226"/>
  <c r="K117" i="226" s="1"/>
  <c r="J118" i="226"/>
  <c r="K118" i="226" s="1"/>
  <c r="J119" i="226"/>
  <c r="K119" i="226" s="1"/>
  <c r="J120" i="226"/>
  <c r="K120" i="226" s="1"/>
  <c r="J121" i="226"/>
  <c r="K121" i="226" s="1"/>
  <c r="J122" i="226"/>
  <c r="K122" i="226" s="1"/>
  <c r="J123" i="226"/>
  <c r="K123" i="226" s="1"/>
  <c r="J124" i="226"/>
  <c r="K124" i="226" s="1"/>
  <c r="J125" i="226"/>
  <c r="K125" i="226" s="1"/>
  <c r="J126" i="226"/>
  <c r="K126" i="226" s="1"/>
  <c r="J127" i="226"/>
  <c r="K127" i="226" s="1"/>
  <c r="J128" i="226"/>
  <c r="K128" i="226" s="1"/>
  <c r="J129" i="226"/>
  <c r="K129" i="226" s="1"/>
  <c r="J130" i="226"/>
  <c r="K130" i="226" s="1"/>
  <c r="J131" i="226"/>
  <c r="K131" i="226" s="1"/>
  <c r="J132" i="226"/>
  <c r="K132" i="226" s="1"/>
  <c r="J133" i="226"/>
  <c r="K133" i="226" s="1"/>
  <c r="J134" i="226"/>
  <c r="K134" i="226" s="1"/>
  <c r="J135" i="226"/>
  <c r="K135" i="226" s="1"/>
  <c r="J136" i="226"/>
  <c r="K136" i="226" s="1"/>
  <c r="J137" i="226"/>
  <c r="K137" i="226" s="1"/>
  <c r="J138" i="226"/>
  <c r="K138" i="226" s="1"/>
  <c r="J139" i="226"/>
  <c r="K139" i="226" s="1"/>
  <c r="J140" i="226"/>
  <c r="K140" i="226" s="1"/>
  <c r="J141" i="226"/>
  <c r="K141" i="226" s="1"/>
  <c r="J142" i="226"/>
  <c r="K142" i="226" s="1"/>
  <c r="J143" i="226"/>
  <c r="K143" i="226" s="1"/>
  <c r="J144" i="226"/>
  <c r="K144" i="226" s="1"/>
  <c r="J145" i="226"/>
  <c r="K145" i="226" s="1"/>
  <c r="J146" i="226"/>
  <c r="K146" i="226" s="1"/>
  <c r="J147" i="226"/>
  <c r="K147" i="226" s="1"/>
  <c r="J148" i="226"/>
  <c r="K148" i="226" s="1"/>
  <c r="J149" i="226"/>
  <c r="K149" i="226" s="1"/>
  <c r="J150" i="226"/>
  <c r="K150" i="226" s="1"/>
  <c r="J151" i="226"/>
  <c r="K151" i="226" s="1"/>
  <c r="J152" i="226"/>
  <c r="K152" i="226" s="1"/>
  <c r="J153" i="226"/>
  <c r="K153" i="226" s="1"/>
  <c r="J154" i="226"/>
  <c r="K154" i="226" s="1"/>
  <c r="J155" i="226"/>
  <c r="K155" i="226" s="1"/>
  <c r="J156" i="226"/>
  <c r="K156" i="226" s="1"/>
  <c r="J157" i="226"/>
  <c r="K157" i="226" s="1"/>
  <c r="J158" i="226"/>
  <c r="K158" i="226" s="1"/>
  <c r="J159" i="226"/>
  <c r="K159" i="226" s="1"/>
  <c r="J160" i="226"/>
  <c r="K160" i="226" s="1"/>
  <c r="J161" i="226"/>
  <c r="K161" i="226" s="1"/>
  <c r="J162" i="226"/>
  <c r="K162" i="226" s="1"/>
  <c r="J163" i="226"/>
  <c r="K163" i="226" s="1"/>
  <c r="J164" i="226"/>
  <c r="K164" i="226" s="1"/>
  <c r="J165" i="226"/>
  <c r="K165" i="226" s="1"/>
  <c r="J166" i="226"/>
  <c r="K166" i="226" s="1"/>
  <c r="J167" i="226"/>
  <c r="K167" i="226" s="1"/>
  <c r="J168" i="226"/>
  <c r="K168" i="226" s="1"/>
  <c r="J169" i="226"/>
  <c r="K169" i="226" s="1"/>
  <c r="J170" i="226"/>
  <c r="K170" i="226" s="1"/>
  <c r="J171" i="226"/>
  <c r="K171" i="226" s="1"/>
  <c r="J172" i="226"/>
  <c r="K172" i="226" s="1"/>
  <c r="J173" i="226"/>
  <c r="K173" i="226" s="1"/>
  <c r="J174" i="226"/>
  <c r="K174" i="226" s="1"/>
  <c r="J175" i="226"/>
  <c r="K175" i="226" s="1"/>
  <c r="J176" i="226"/>
  <c r="K176" i="226" s="1"/>
  <c r="J177" i="226"/>
  <c r="K177" i="226" s="1"/>
  <c r="J178" i="226"/>
  <c r="K178" i="226" s="1"/>
  <c r="J179" i="226"/>
  <c r="K179" i="226" s="1"/>
  <c r="J180" i="226"/>
  <c r="K180" i="226" s="1"/>
  <c r="J181" i="226"/>
  <c r="K181" i="226" s="1"/>
  <c r="J182" i="226"/>
  <c r="K182" i="226" s="1"/>
  <c r="J183" i="226"/>
  <c r="K183" i="226" s="1"/>
  <c r="J184" i="226"/>
  <c r="K184" i="226" s="1"/>
  <c r="J185" i="226"/>
  <c r="K185" i="226" s="1"/>
  <c r="J186" i="226"/>
  <c r="K186" i="226" s="1"/>
  <c r="J187" i="226"/>
  <c r="K187" i="226" s="1"/>
  <c r="J188" i="226"/>
  <c r="K188" i="226" s="1"/>
  <c r="J189" i="226"/>
  <c r="K189" i="226" s="1"/>
  <c r="J190" i="226"/>
  <c r="K190" i="226" s="1"/>
  <c r="J191" i="226"/>
  <c r="K191" i="226" s="1"/>
  <c r="J192" i="226"/>
  <c r="K192" i="226" s="1"/>
  <c r="J193" i="226"/>
  <c r="K193" i="226" s="1"/>
  <c r="J194" i="226"/>
  <c r="K194" i="226" s="1"/>
  <c r="J195" i="226"/>
  <c r="K195" i="226" s="1"/>
  <c r="J196" i="226"/>
  <c r="K196" i="226" s="1"/>
  <c r="J197" i="226"/>
  <c r="K197" i="226" s="1"/>
  <c r="J198" i="226"/>
  <c r="K198" i="226" s="1"/>
  <c r="J199" i="226"/>
  <c r="K199" i="226" s="1"/>
  <c r="J200" i="226"/>
  <c r="K200" i="226" s="1"/>
  <c r="J201" i="226"/>
  <c r="K201" i="226" s="1"/>
  <c r="J202" i="226"/>
  <c r="K202" i="226" s="1"/>
  <c r="J203" i="226"/>
  <c r="K203" i="226" s="1"/>
  <c r="J204" i="226"/>
  <c r="K204" i="226" s="1"/>
  <c r="J205" i="226"/>
  <c r="K205" i="226" s="1"/>
  <c r="J206" i="226"/>
  <c r="K206" i="226" s="1"/>
  <c r="J207" i="226"/>
  <c r="K207" i="226" s="1"/>
  <c r="J208" i="226"/>
  <c r="K208" i="226" s="1"/>
  <c r="J209" i="226"/>
  <c r="K209" i="226" s="1"/>
  <c r="J210" i="226"/>
  <c r="K210" i="226" s="1"/>
  <c r="J211" i="226"/>
  <c r="K211" i="226" s="1"/>
  <c r="J212" i="226"/>
  <c r="K212" i="226" s="1"/>
  <c r="J213" i="226"/>
  <c r="K213" i="226" s="1"/>
  <c r="J214" i="226"/>
  <c r="K214" i="226" s="1"/>
  <c r="J215" i="226"/>
  <c r="K215" i="226" s="1"/>
  <c r="J216" i="226"/>
  <c r="K216" i="226" s="1"/>
  <c r="J217" i="226"/>
  <c r="K217" i="226" s="1"/>
  <c r="J218" i="226"/>
  <c r="K218" i="226" s="1"/>
  <c r="J219" i="226"/>
  <c r="K219" i="226" s="1"/>
  <c r="J220" i="226"/>
  <c r="K220" i="226" s="1"/>
  <c r="J221" i="226"/>
  <c r="K221" i="226" s="1"/>
  <c r="J222" i="226"/>
  <c r="K222" i="226" s="1"/>
  <c r="J223" i="226"/>
  <c r="K223" i="226" s="1"/>
  <c r="J224" i="226"/>
  <c r="K224" i="226" s="1"/>
  <c r="J225" i="226"/>
  <c r="K225" i="226" s="1"/>
  <c r="J226" i="226"/>
  <c r="K226" i="226" s="1"/>
  <c r="J227" i="226"/>
  <c r="K227" i="226" s="1"/>
  <c r="J228" i="226"/>
  <c r="K228" i="226" s="1"/>
  <c r="J229" i="226"/>
  <c r="K229" i="226" s="1"/>
  <c r="J230" i="226"/>
  <c r="K230" i="226" s="1"/>
  <c r="J231" i="226"/>
  <c r="K231" i="226" s="1"/>
  <c r="J232" i="226"/>
  <c r="K232" i="226" s="1"/>
  <c r="J233" i="226"/>
  <c r="K233" i="226" s="1"/>
  <c r="J234" i="226"/>
  <c r="K234" i="226" s="1"/>
  <c r="J235" i="226"/>
  <c r="K235" i="226" s="1"/>
  <c r="J236" i="226"/>
  <c r="K236" i="226" s="1"/>
  <c r="J237" i="226"/>
  <c r="K237" i="226" s="1"/>
  <c r="J238" i="226"/>
  <c r="K238" i="226" s="1"/>
  <c r="J239" i="226"/>
  <c r="K239" i="226" s="1"/>
  <c r="J240" i="226"/>
  <c r="K240" i="226" s="1"/>
  <c r="J241" i="226"/>
  <c r="K241" i="226" s="1"/>
  <c r="J242" i="226"/>
  <c r="K242" i="226" s="1"/>
  <c r="J243" i="226"/>
  <c r="K243" i="226" s="1"/>
  <c r="J244" i="226"/>
  <c r="K244" i="226" s="1"/>
  <c r="J245" i="226"/>
  <c r="K245" i="226" s="1"/>
  <c r="J246" i="226"/>
  <c r="K246" i="226" s="1"/>
  <c r="J247" i="226"/>
  <c r="K247" i="226" s="1"/>
  <c r="J248" i="226"/>
  <c r="K248" i="226" s="1"/>
  <c r="J249" i="226"/>
  <c r="K249" i="226" s="1"/>
  <c r="J250" i="226"/>
  <c r="K250" i="226" s="1"/>
  <c r="J251" i="226"/>
  <c r="K251" i="226" s="1"/>
  <c r="J252" i="226"/>
  <c r="K252" i="226" s="1"/>
  <c r="J253" i="226"/>
  <c r="K253" i="226" s="1"/>
  <c r="J254" i="226"/>
  <c r="K254" i="226" s="1"/>
  <c r="J255" i="226"/>
  <c r="K255" i="226" s="1"/>
  <c r="J256" i="226"/>
  <c r="K256" i="226" s="1"/>
  <c r="J257" i="226"/>
  <c r="K257" i="226" s="1"/>
  <c r="J258" i="226"/>
  <c r="K258" i="226" s="1"/>
  <c r="J259" i="226"/>
  <c r="K259" i="226" s="1"/>
  <c r="J260" i="226"/>
  <c r="K260" i="226" s="1"/>
  <c r="J261" i="226"/>
  <c r="K261" i="226" s="1"/>
  <c r="J262" i="226"/>
  <c r="K262" i="226" s="1"/>
  <c r="J263" i="226"/>
  <c r="K263" i="226" s="1"/>
  <c r="J264" i="226"/>
  <c r="K264" i="226" s="1"/>
  <c r="J265" i="226"/>
  <c r="K265" i="226" s="1"/>
  <c r="J266" i="226"/>
  <c r="K266" i="226" s="1"/>
  <c r="J267" i="226"/>
  <c r="K267" i="226" s="1"/>
  <c r="J268" i="226"/>
  <c r="K268" i="226" s="1"/>
  <c r="J269" i="226"/>
  <c r="K269" i="226" s="1"/>
  <c r="J270" i="226"/>
  <c r="K270" i="226" s="1"/>
  <c r="J271" i="226"/>
  <c r="K271" i="226" s="1"/>
  <c r="J272" i="226"/>
  <c r="K272" i="226" s="1"/>
  <c r="J273" i="226"/>
  <c r="K273" i="226" s="1"/>
  <c r="J274" i="226"/>
  <c r="K274" i="226" s="1"/>
  <c r="J275" i="226"/>
  <c r="K275" i="226" s="1"/>
  <c r="J276" i="226"/>
  <c r="K276" i="226" s="1"/>
  <c r="J277" i="226"/>
  <c r="K277" i="226" s="1"/>
  <c r="J278" i="226"/>
  <c r="K278" i="226" s="1"/>
  <c r="J279" i="226"/>
  <c r="K279" i="226" s="1"/>
  <c r="J280" i="226"/>
  <c r="K280" i="226" s="1"/>
  <c r="J281" i="226"/>
  <c r="K281" i="226" s="1"/>
  <c r="J282" i="226"/>
  <c r="K282" i="226" s="1"/>
  <c r="J283" i="226"/>
  <c r="K283" i="226" s="1"/>
  <c r="J284" i="226"/>
  <c r="K284" i="226" s="1"/>
  <c r="J285" i="226"/>
  <c r="K285" i="226" s="1"/>
  <c r="J286" i="226"/>
  <c r="K286" i="226" s="1"/>
  <c r="J287" i="226"/>
  <c r="K287" i="226" s="1"/>
  <c r="J288" i="226"/>
  <c r="K288" i="226" s="1"/>
  <c r="J289" i="226"/>
  <c r="K289" i="226" s="1"/>
  <c r="J290" i="226"/>
  <c r="K290" i="226" s="1"/>
  <c r="J291" i="226"/>
  <c r="K291" i="226" s="1"/>
  <c r="J292" i="226"/>
  <c r="K292" i="226" s="1"/>
  <c r="J293" i="226"/>
  <c r="K293" i="226" s="1"/>
  <c r="J294" i="226"/>
  <c r="K294" i="226" s="1"/>
  <c r="J295" i="226"/>
  <c r="K295" i="226" s="1"/>
  <c r="J296" i="226"/>
  <c r="K296" i="226" s="1"/>
  <c r="J297" i="226"/>
  <c r="K297" i="226" s="1"/>
  <c r="J298" i="226"/>
  <c r="K298" i="226" s="1"/>
  <c r="J299" i="226"/>
  <c r="K299" i="226" s="1"/>
  <c r="J300" i="226"/>
  <c r="K300" i="226" s="1"/>
  <c r="J301" i="226"/>
  <c r="K301" i="226" s="1"/>
  <c r="J302" i="226"/>
  <c r="K302" i="226" s="1"/>
  <c r="J303" i="226"/>
  <c r="K303" i="226" s="1"/>
  <c r="J304" i="226"/>
  <c r="K304" i="226" s="1"/>
  <c r="J305" i="226"/>
  <c r="K305" i="226" s="1"/>
  <c r="J306" i="226"/>
  <c r="K306" i="226" s="1"/>
  <c r="J307" i="226"/>
  <c r="K307" i="226" s="1"/>
  <c r="J308" i="226"/>
  <c r="K308" i="226" s="1"/>
  <c r="J309" i="226"/>
  <c r="K309" i="226" s="1"/>
  <c r="J310" i="226"/>
  <c r="K310" i="226" s="1"/>
  <c r="J311" i="226"/>
  <c r="K311" i="226" s="1"/>
  <c r="J312" i="226"/>
  <c r="K312" i="226" s="1"/>
  <c r="J313" i="226"/>
  <c r="K313" i="226" s="1"/>
  <c r="J314" i="226"/>
  <c r="K314" i="226" s="1"/>
  <c r="J315" i="226"/>
  <c r="K315" i="226" s="1"/>
  <c r="J316" i="226"/>
  <c r="K316" i="226" s="1"/>
  <c r="J317" i="226"/>
  <c r="K317" i="226" s="1"/>
  <c r="J318" i="226"/>
  <c r="K318" i="226" s="1"/>
  <c r="J319" i="226"/>
  <c r="K319" i="226" s="1"/>
  <c r="J320" i="226"/>
  <c r="K320" i="226" s="1"/>
  <c r="J321" i="226"/>
  <c r="K321" i="226" s="1"/>
  <c r="J322" i="226"/>
  <c r="K322" i="226" s="1"/>
  <c r="J323" i="226"/>
  <c r="K323" i="226" s="1"/>
  <c r="J324" i="226"/>
  <c r="K324" i="226" s="1"/>
  <c r="J325" i="226"/>
  <c r="K325" i="226" s="1"/>
  <c r="J326" i="226"/>
  <c r="K326" i="226" s="1"/>
  <c r="J327" i="226"/>
  <c r="K327" i="226" s="1"/>
  <c r="J328" i="226"/>
  <c r="K328" i="226" s="1"/>
  <c r="J329" i="226"/>
  <c r="K329" i="226" s="1"/>
  <c r="J330" i="226"/>
  <c r="K330" i="226" s="1"/>
  <c r="J331" i="226"/>
  <c r="K331" i="226" s="1"/>
  <c r="J332" i="226"/>
  <c r="K332" i="226" s="1"/>
  <c r="J333" i="226"/>
  <c r="K333" i="226" s="1"/>
  <c r="J334" i="226"/>
  <c r="K334" i="226" s="1"/>
  <c r="J335" i="226"/>
  <c r="K335" i="226" s="1"/>
  <c r="J336" i="226"/>
  <c r="K336" i="226" s="1"/>
  <c r="J337" i="226"/>
  <c r="K337" i="226" s="1"/>
  <c r="J338" i="226"/>
  <c r="K338" i="226" s="1"/>
  <c r="J339" i="226"/>
  <c r="K339" i="226" s="1"/>
  <c r="J340" i="226"/>
  <c r="K340" i="226" s="1"/>
  <c r="J341" i="226"/>
  <c r="K341" i="226" s="1"/>
  <c r="J342" i="226"/>
  <c r="K342" i="226" s="1"/>
  <c r="J343" i="226"/>
  <c r="K343" i="226" s="1"/>
  <c r="J344" i="226"/>
  <c r="K344" i="226" s="1"/>
  <c r="J345" i="226"/>
  <c r="K345" i="226" s="1"/>
  <c r="J346" i="226"/>
  <c r="K346" i="226" s="1"/>
  <c r="J347" i="226"/>
  <c r="K347" i="226" s="1"/>
  <c r="J348" i="226"/>
  <c r="K348" i="226" s="1"/>
  <c r="J349" i="226"/>
  <c r="K349" i="226" s="1"/>
  <c r="J350" i="226"/>
  <c r="K350" i="226" s="1"/>
  <c r="J351" i="226"/>
  <c r="K351" i="226" s="1"/>
  <c r="J352" i="226"/>
  <c r="K352" i="226" s="1"/>
  <c r="J353" i="226"/>
  <c r="K353" i="226" s="1"/>
  <c r="J354" i="226"/>
  <c r="K354" i="226" s="1"/>
  <c r="J355" i="226"/>
  <c r="K355" i="226" s="1"/>
  <c r="J356" i="226"/>
  <c r="K356" i="226" s="1"/>
  <c r="J357" i="226"/>
  <c r="K357" i="226" s="1"/>
  <c r="J358" i="226"/>
  <c r="K358" i="226" s="1"/>
  <c r="J359" i="226"/>
  <c r="K359" i="226" s="1"/>
  <c r="J360" i="226"/>
  <c r="K360" i="226" s="1"/>
  <c r="J361" i="226"/>
  <c r="K361" i="226" s="1"/>
  <c r="J3" i="226"/>
  <c r="K3" i="226" s="1"/>
  <c r="E4" i="226"/>
  <c r="E5" i="226"/>
  <c r="E6" i="226"/>
  <c r="E7" i="226"/>
  <c r="E8" i="226"/>
  <c r="E9" i="226"/>
  <c r="E10" i="226"/>
  <c r="E11" i="226"/>
  <c r="E12" i="226"/>
  <c r="E13" i="226"/>
  <c r="E14" i="226"/>
  <c r="E15" i="226"/>
  <c r="E16" i="226"/>
  <c r="E17" i="226"/>
  <c r="E18" i="226"/>
  <c r="E19" i="226"/>
  <c r="E20" i="226"/>
  <c r="E21" i="226"/>
  <c r="E22" i="226"/>
  <c r="E23" i="226"/>
  <c r="E24" i="226"/>
  <c r="E25" i="226"/>
  <c r="E26" i="226"/>
  <c r="E27" i="226"/>
  <c r="E28" i="226"/>
  <c r="E29" i="226"/>
  <c r="E30" i="226"/>
  <c r="E31" i="226"/>
  <c r="E32" i="226"/>
  <c r="E33" i="226"/>
  <c r="E34" i="226"/>
  <c r="E35" i="226"/>
  <c r="E36" i="226"/>
  <c r="E37" i="226"/>
  <c r="E38" i="226"/>
  <c r="E39" i="226"/>
  <c r="E40" i="226"/>
  <c r="E41" i="226"/>
  <c r="E42" i="226"/>
  <c r="E43" i="226"/>
  <c r="E44" i="226"/>
  <c r="E45" i="226"/>
  <c r="E46" i="226"/>
  <c r="E47" i="226"/>
  <c r="E48" i="226"/>
  <c r="E49" i="226"/>
  <c r="E50" i="226"/>
  <c r="E51" i="226"/>
  <c r="E52" i="226"/>
  <c r="E53" i="226"/>
  <c r="E54" i="226"/>
  <c r="E55" i="226"/>
  <c r="E56" i="226"/>
  <c r="E57" i="226"/>
  <c r="E58" i="226"/>
  <c r="E59" i="226"/>
  <c r="E60" i="226"/>
  <c r="E61" i="226"/>
  <c r="E62" i="226"/>
  <c r="E63" i="226"/>
  <c r="E64" i="226"/>
  <c r="E65" i="226"/>
  <c r="E66" i="226"/>
  <c r="E67" i="226"/>
  <c r="E68" i="226"/>
  <c r="E69" i="226"/>
  <c r="E70" i="226"/>
  <c r="E71" i="226"/>
  <c r="E72" i="226"/>
  <c r="E73" i="226"/>
  <c r="E74" i="226"/>
  <c r="E75" i="226"/>
  <c r="E76" i="226"/>
  <c r="E77" i="226"/>
  <c r="E78" i="226"/>
  <c r="E79" i="226"/>
  <c r="E80" i="226"/>
  <c r="E81" i="226"/>
  <c r="E82" i="226"/>
  <c r="E83" i="226"/>
  <c r="E84" i="226"/>
  <c r="E85" i="226"/>
  <c r="E86" i="226"/>
  <c r="E87" i="226"/>
  <c r="E88" i="226"/>
  <c r="E89" i="226"/>
  <c r="E90" i="226"/>
  <c r="E91" i="226"/>
  <c r="E92" i="226"/>
  <c r="E93" i="226"/>
  <c r="E94" i="226"/>
  <c r="E95" i="226"/>
  <c r="E96" i="226"/>
  <c r="E97" i="226"/>
  <c r="E98" i="226"/>
  <c r="E99" i="226"/>
  <c r="E100" i="226"/>
  <c r="E101" i="226"/>
  <c r="E102" i="226"/>
  <c r="E103" i="226"/>
  <c r="E104" i="226"/>
  <c r="E105" i="226"/>
  <c r="E106" i="226"/>
  <c r="E107" i="226"/>
  <c r="E108" i="226"/>
  <c r="E109" i="226"/>
  <c r="E110" i="226"/>
  <c r="E111" i="226"/>
  <c r="E112" i="226"/>
  <c r="E113" i="226"/>
  <c r="E114" i="226"/>
  <c r="E115" i="226"/>
  <c r="E116" i="226"/>
  <c r="E117" i="226"/>
  <c r="E118" i="226"/>
  <c r="E119" i="226"/>
  <c r="E120" i="226"/>
  <c r="E121" i="226"/>
  <c r="E122" i="226"/>
  <c r="E123" i="226"/>
  <c r="E124" i="226"/>
  <c r="E125" i="226"/>
  <c r="E126" i="226"/>
  <c r="E127" i="226"/>
  <c r="E128" i="226"/>
  <c r="E129" i="226"/>
  <c r="E130" i="226"/>
  <c r="E131" i="226"/>
  <c r="E132" i="226"/>
  <c r="E133" i="226"/>
  <c r="E134" i="226"/>
  <c r="E135" i="226"/>
  <c r="E136" i="226"/>
  <c r="E137" i="226"/>
  <c r="E138" i="226"/>
  <c r="E139" i="226"/>
  <c r="E140" i="226"/>
  <c r="E141" i="226"/>
  <c r="E142" i="226"/>
  <c r="E143" i="226"/>
  <c r="E144" i="226"/>
  <c r="E145" i="226"/>
  <c r="E146" i="226"/>
  <c r="E147" i="226"/>
  <c r="E148" i="226"/>
  <c r="E149" i="226"/>
  <c r="E150" i="226"/>
  <c r="E151" i="226"/>
  <c r="E152" i="226"/>
  <c r="E153" i="226"/>
  <c r="E154" i="226"/>
  <c r="E155" i="226"/>
  <c r="E156" i="226"/>
  <c r="E157" i="226"/>
  <c r="E158" i="226"/>
  <c r="E159" i="226"/>
  <c r="E160" i="226"/>
  <c r="E161" i="226"/>
  <c r="E162" i="226"/>
  <c r="E163" i="226"/>
  <c r="E164" i="226"/>
  <c r="E165" i="226"/>
  <c r="E166" i="226"/>
  <c r="E167" i="226"/>
  <c r="E168" i="226"/>
  <c r="E169" i="226"/>
  <c r="E170" i="226"/>
  <c r="E171" i="226"/>
  <c r="E172" i="226"/>
  <c r="E173" i="226"/>
  <c r="E174" i="226"/>
  <c r="E175" i="226"/>
  <c r="E176" i="226"/>
  <c r="E177" i="226"/>
  <c r="E178" i="226"/>
  <c r="E179" i="226"/>
  <c r="E180" i="226"/>
  <c r="E181" i="226"/>
  <c r="E182" i="226"/>
  <c r="E183" i="226"/>
  <c r="E184" i="226"/>
  <c r="E185" i="226"/>
  <c r="E186" i="226"/>
  <c r="E187" i="226"/>
  <c r="E188" i="226"/>
  <c r="E189" i="226"/>
  <c r="E190" i="226"/>
  <c r="E191" i="226"/>
  <c r="E192" i="226"/>
  <c r="E193" i="226"/>
  <c r="E194" i="226"/>
  <c r="E195" i="226"/>
  <c r="E196" i="226"/>
  <c r="E197" i="226"/>
  <c r="E198" i="226"/>
  <c r="E199" i="226"/>
  <c r="E200" i="226"/>
  <c r="E201" i="226"/>
  <c r="E202" i="226"/>
  <c r="E203" i="226"/>
  <c r="E204" i="226"/>
  <c r="E205" i="226"/>
  <c r="E207" i="226"/>
  <c r="E208" i="226"/>
  <c r="E209" i="226"/>
  <c r="E210" i="226"/>
  <c r="E211" i="226"/>
  <c r="E212" i="226"/>
  <c r="E213" i="226"/>
  <c r="E214" i="226"/>
  <c r="E215" i="226"/>
  <c r="E216" i="226"/>
  <c r="E217" i="226"/>
  <c r="E218" i="226"/>
  <c r="E219" i="226"/>
  <c r="E220" i="226"/>
  <c r="E221" i="226"/>
  <c r="E222" i="226"/>
  <c r="E223" i="226"/>
  <c r="E224" i="226"/>
  <c r="E225" i="226"/>
  <c r="E226" i="226"/>
  <c r="E227" i="226"/>
  <c r="E228" i="226"/>
  <c r="E229" i="226"/>
  <c r="E230" i="226"/>
  <c r="E231" i="226"/>
  <c r="E232" i="226"/>
  <c r="E233" i="226"/>
  <c r="E234" i="226"/>
  <c r="E235" i="226"/>
  <c r="E236" i="226"/>
  <c r="E237" i="226"/>
  <c r="E238" i="226"/>
  <c r="E239" i="226"/>
  <c r="E240" i="226"/>
  <c r="E241" i="226"/>
  <c r="E242" i="226"/>
  <c r="E243" i="226"/>
  <c r="E244" i="226"/>
  <c r="E245" i="226"/>
  <c r="E246" i="226"/>
  <c r="E247" i="226"/>
  <c r="E248" i="226"/>
  <c r="E249" i="226"/>
  <c r="E250" i="226"/>
  <c r="E251" i="226"/>
  <c r="E252" i="226"/>
  <c r="E253" i="226"/>
  <c r="E254" i="226"/>
  <c r="E255" i="226"/>
  <c r="E256" i="226"/>
  <c r="E257" i="226"/>
  <c r="E258" i="226"/>
  <c r="E259" i="226"/>
  <c r="E260" i="226"/>
  <c r="E261" i="226"/>
  <c r="E262" i="226"/>
  <c r="E263" i="226"/>
  <c r="E264" i="226"/>
  <c r="E265" i="226"/>
  <c r="E266" i="226"/>
  <c r="E267" i="226"/>
  <c r="E268" i="226"/>
  <c r="E269" i="226"/>
  <c r="E270" i="226"/>
  <c r="E271" i="226"/>
  <c r="E272" i="226"/>
  <c r="E273" i="226"/>
  <c r="E274" i="226"/>
  <c r="E275" i="226"/>
  <c r="E276" i="226"/>
  <c r="E277" i="226"/>
  <c r="E278" i="226"/>
  <c r="E279" i="226"/>
  <c r="E280" i="226"/>
  <c r="E281" i="226"/>
  <c r="E282" i="226"/>
  <c r="E283" i="226"/>
  <c r="E284" i="226"/>
  <c r="E285" i="226"/>
  <c r="E286" i="226"/>
  <c r="E287" i="226"/>
  <c r="E288" i="226"/>
  <c r="E289" i="226"/>
  <c r="E290" i="226"/>
  <c r="E291" i="226"/>
  <c r="E292" i="226"/>
  <c r="E293" i="226"/>
  <c r="E294" i="226"/>
  <c r="E295" i="226"/>
  <c r="E296" i="226"/>
  <c r="E297" i="226"/>
  <c r="E298" i="226"/>
  <c r="E299" i="226"/>
  <c r="E300" i="226"/>
  <c r="E301" i="226"/>
  <c r="E302" i="226"/>
  <c r="E303" i="226"/>
  <c r="E304" i="226"/>
  <c r="E305" i="226"/>
  <c r="E306" i="226"/>
  <c r="E307" i="226"/>
  <c r="E308" i="226"/>
  <c r="E309" i="226"/>
  <c r="E310" i="226"/>
  <c r="E311" i="226"/>
  <c r="E312" i="226"/>
  <c r="E313" i="226"/>
  <c r="E314" i="226"/>
  <c r="E315" i="226"/>
  <c r="E316" i="226"/>
  <c r="E317" i="226"/>
  <c r="E318" i="226"/>
  <c r="E319" i="226"/>
  <c r="E320" i="226"/>
  <c r="E321" i="226"/>
  <c r="E322" i="226"/>
  <c r="E323" i="226"/>
  <c r="E324" i="226"/>
  <c r="E325" i="226"/>
  <c r="E326" i="226"/>
  <c r="E327" i="226"/>
  <c r="E328" i="226"/>
  <c r="E329" i="226"/>
  <c r="E330" i="226"/>
  <c r="E331" i="226"/>
  <c r="E332" i="226"/>
  <c r="E333" i="226"/>
  <c r="E334" i="226"/>
  <c r="E335" i="226"/>
  <c r="E336" i="226"/>
  <c r="E337" i="226"/>
  <c r="E338" i="226"/>
  <c r="E339" i="226"/>
  <c r="E340" i="226"/>
  <c r="E341" i="226"/>
  <c r="E342" i="226"/>
  <c r="E343" i="226"/>
  <c r="E344" i="226"/>
  <c r="E345" i="226"/>
  <c r="E346" i="226"/>
  <c r="E347" i="226"/>
  <c r="E348" i="226"/>
  <c r="E349" i="226"/>
  <c r="E350" i="226"/>
  <c r="E351" i="226"/>
  <c r="E352" i="226"/>
  <c r="E353" i="226"/>
  <c r="E354" i="226"/>
  <c r="E355" i="226"/>
  <c r="E356" i="226"/>
  <c r="E357" i="226"/>
  <c r="E358" i="226"/>
  <c r="E359" i="226"/>
  <c r="E360" i="226"/>
  <c r="E361" i="226"/>
  <c r="E3" i="226"/>
  <c r="D101" i="225"/>
  <c r="D202" i="225" l="1"/>
  <c r="D23" i="225"/>
  <c r="D233" i="225"/>
  <c r="D52" i="225"/>
  <c r="D279" i="225"/>
  <c r="D264" i="225"/>
  <c r="D253" i="225"/>
  <c r="D245" i="225"/>
  <c r="D216" i="225"/>
  <c r="D241" i="225"/>
  <c r="D194" i="225"/>
  <c r="D41" i="225"/>
  <c r="D169" i="225"/>
  <c r="D96" i="225"/>
  <c r="D18" i="225"/>
  <c r="D19" i="225"/>
  <c r="D20" i="225"/>
  <c r="D21" i="225"/>
  <c r="D22" i="225"/>
  <c r="D24" i="225"/>
  <c r="D25" i="225"/>
  <c r="D26" i="225"/>
  <c r="D27" i="225"/>
  <c r="D28" i="225"/>
  <c r="D29" i="225"/>
  <c r="D30" i="225"/>
  <c r="D31" i="225"/>
  <c r="D32" i="225"/>
  <c r="D33" i="225"/>
  <c r="D34" i="225"/>
  <c r="D35" i="225"/>
  <c r="D36" i="225"/>
  <c r="D37" i="225"/>
  <c r="D38" i="225"/>
  <c r="D39" i="225"/>
  <c r="D40" i="225"/>
  <c r="D42" i="225"/>
  <c r="D43" i="225"/>
  <c r="D44" i="225"/>
  <c r="D45" i="225"/>
  <c r="D46" i="225"/>
  <c r="D48" i="225"/>
  <c r="D49" i="225"/>
  <c r="D50" i="225"/>
  <c r="D51" i="225"/>
  <c r="D53" i="225"/>
  <c r="D54" i="225"/>
  <c r="D55" i="225"/>
  <c r="D56" i="225"/>
  <c r="D57" i="225"/>
  <c r="D58" i="225"/>
  <c r="D59" i="225"/>
  <c r="D60" i="225"/>
  <c r="D62" i="225"/>
  <c r="D63" i="225"/>
  <c r="D64" i="225"/>
  <c r="D65" i="225"/>
  <c r="D66" i="225"/>
  <c r="D67" i="225"/>
  <c r="D68" i="225"/>
  <c r="D69" i="225"/>
  <c r="D70" i="225"/>
  <c r="D71" i="225"/>
  <c r="D72" i="225"/>
  <c r="D73" i="225"/>
  <c r="D74" i="225"/>
  <c r="D76" i="225"/>
  <c r="D77" i="225"/>
  <c r="D78" i="225"/>
  <c r="D79" i="225"/>
  <c r="D80" i="225"/>
  <c r="D81" i="225"/>
  <c r="D82" i="225"/>
  <c r="D83" i="225"/>
  <c r="D84" i="225"/>
  <c r="D85" i="225"/>
  <c r="D86" i="225"/>
  <c r="D87" i="225"/>
  <c r="D88" i="225"/>
  <c r="D89" i="225"/>
  <c r="D90" i="225"/>
  <c r="D91" i="225"/>
  <c r="D92" i="225"/>
  <c r="D93" i="225"/>
  <c r="D94" i="225"/>
  <c r="D95" i="225"/>
  <c r="D97" i="225"/>
  <c r="D98" i="225"/>
  <c r="D99" i="225"/>
  <c r="D100" i="225"/>
  <c r="D102" i="225"/>
  <c r="D103" i="225"/>
  <c r="D104" i="225"/>
  <c r="D105" i="225"/>
  <c r="D106" i="225"/>
  <c r="D107" i="225"/>
  <c r="D108" i="225"/>
  <c r="D109" i="225"/>
  <c r="D110" i="225"/>
  <c r="D111" i="225"/>
  <c r="D112" i="225"/>
  <c r="D113" i="225"/>
  <c r="D114" i="225"/>
  <c r="D115" i="225"/>
  <c r="D116" i="225"/>
  <c r="D117" i="225"/>
  <c r="D118" i="225"/>
  <c r="D119" i="225"/>
  <c r="D120" i="225"/>
  <c r="D121" i="225"/>
  <c r="D122" i="225"/>
  <c r="D123" i="225"/>
  <c r="D124" i="225"/>
  <c r="D125" i="225"/>
  <c r="D126" i="225"/>
  <c r="D127" i="225"/>
  <c r="D128" i="225"/>
  <c r="D129" i="225"/>
  <c r="D130" i="225"/>
  <c r="D131" i="225"/>
  <c r="D132" i="225"/>
  <c r="D133" i="225"/>
  <c r="D134" i="225"/>
  <c r="D135" i="225"/>
  <c r="D136" i="225"/>
  <c r="D138" i="225"/>
  <c r="D139" i="225"/>
  <c r="D140" i="225"/>
  <c r="D141" i="225"/>
  <c r="D142" i="225"/>
  <c r="D143" i="225"/>
  <c r="D144" i="225"/>
  <c r="D145" i="225"/>
  <c r="D146" i="225"/>
  <c r="D147" i="225"/>
  <c r="D148" i="225"/>
  <c r="D149" i="225"/>
  <c r="D150" i="225"/>
  <c r="D151" i="225"/>
  <c r="D152" i="225"/>
  <c r="D153" i="225"/>
  <c r="D154" i="225"/>
  <c r="D155" i="225"/>
  <c r="D156" i="225"/>
  <c r="D157" i="225"/>
  <c r="D158" i="225"/>
  <c r="D159" i="225"/>
  <c r="D160" i="225"/>
  <c r="D161" i="225"/>
  <c r="D162" i="225"/>
  <c r="D163" i="225"/>
  <c r="D164" i="225"/>
  <c r="D165" i="225"/>
  <c r="D166" i="225"/>
  <c r="D167" i="225"/>
  <c r="D168" i="225"/>
  <c r="D170" i="225"/>
  <c r="D171" i="225"/>
  <c r="D172" i="225"/>
  <c r="D173" i="225"/>
  <c r="D174" i="225"/>
  <c r="D175" i="225"/>
  <c r="D176" i="225"/>
  <c r="D177" i="225"/>
  <c r="D178" i="225"/>
  <c r="D179" i="225"/>
  <c r="D180" i="225"/>
  <c r="D181" i="225"/>
  <c r="D182" i="225"/>
  <c r="D184" i="225"/>
  <c r="D185" i="225"/>
  <c r="D186" i="225"/>
  <c r="D187" i="225"/>
  <c r="D188" i="225"/>
  <c r="D189" i="225"/>
  <c r="D191" i="225"/>
  <c r="D192" i="225"/>
  <c r="D193" i="225"/>
  <c r="D195" i="225"/>
  <c r="D196" i="225"/>
  <c r="D197" i="225"/>
  <c r="D198" i="225"/>
  <c r="D199" i="225"/>
  <c r="D200" i="225"/>
  <c r="D201" i="225"/>
  <c r="D203" i="225"/>
  <c r="D204" i="225"/>
  <c r="D205" i="225"/>
  <c r="D206" i="225"/>
  <c r="D207" i="225"/>
  <c r="D208" i="225"/>
  <c r="D209" i="225"/>
  <c r="D210" i="225"/>
  <c r="D211" i="225"/>
  <c r="D212" i="225"/>
  <c r="D213" i="225"/>
  <c r="D214" i="225"/>
  <c r="D215" i="225"/>
  <c r="D217" i="225"/>
  <c r="D218" i="225"/>
  <c r="D219" i="225"/>
  <c r="D220" i="225"/>
  <c r="D221" i="225"/>
  <c r="D222" i="225"/>
  <c r="D223" i="225"/>
  <c r="D224" i="225"/>
  <c r="D225" i="225"/>
  <c r="D226" i="225"/>
  <c r="D227" i="225"/>
  <c r="D228" i="225"/>
  <c r="D229" i="225"/>
  <c r="D230" i="225"/>
  <c r="D232" i="225"/>
  <c r="D234" i="225"/>
  <c r="D235" i="225"/>
  <c r="D236" i="225"/>
  <c r="D237" i="225"/>
  <c r="D238" i="225"/>
  <c r="D239" i="225"/>
  <c r="D240" i="225"/>
  <c r="D243" i="225"/>
  <c r="D244" i="225"/>
  <c r="D246" i="225"/>
  <c r="D247" i="225"/>
  <c r="D248" i="225"/>
  <c r="D249" i="225"/>
  <c r="D250" i="225"/>
  <c r="D251" i="225"/>
  <c r="D252" i="225"/>
  <c r="D254" i="225"/>
  <c r="D255" i="225"/>
  <c r="D256" i="225"/>
  <c r="D257" i="225"/>
  <c r="D258" i="225"/>
  <c r="D259" i="225"/>
  <c r="D261" i="225"/>
  <c r="D260" i="225"/>
  <c r="D262" i="225"/>
  <c r="D263" i="225"/>
  <c r="D266" i="225"/>
  <c r="D267" i="225"/>
  <c r="D268" i="225"/>
  <c r="D269" i="225"/>
  <c r="D270" i="225"/>
  <c r="D271" i="225"/>
  <c r="D272" i="225"/>
  <c r="D273" i="225"/>
  <c r="D274" i="225"/>
  <c r="D275" i="225"/>
  <c r="D276" i="225"/>
  <c r="D277" i="225"/>
  <c r="D278" i="225"/>
  <c r="D280" i="225"/>
  <c r="D281" i="225"/>
  <c r="D282" i="225"/>
  <c r="D283" i="225"/>
  <c r="D17" i="225" l="1"/>
  <c r="D16" i="225"/>
  <c r="M4" i="226" l="1"/>
  <c r="M5" i="226"/>
  <c r="M6" i="226"/>
  <c r="M7" i="226"/>
  <c r="M8" i="226"/>
  <c r="M9" i="226"/>
  <c r="M10" i="226"/>
  <c r="M11" i="226"/>
  <c r="M12" i="226"/>
  <c r="M13" i="226"/>
  <c r="M14" i="226"/>
  <c r="M15" i="226"/>
  <c r="M16" i="226"/>
  <c r="M17" i="226"/>
  <c r="M18" i="226"/>
  <c r="M19" i="226"/>
  <c r="M20" i="226"/>
  <c r="M21" i="226"/>
  <c r="M22" i="226"/>
  <c r="M23" i="226"/>
  <c r="M24" i="226"/>
  <c r="M25" i="226"/>
  <c r="M26" i="226"/>
  <c r="M27" i="226"/>
  <c r="M28" i="226"/>
  <c r="M29" i="226"/>
  <c r="M30" i="226"/>
  <c r="M31" i="226"/>
  <c r="M32" i="226"/>
  <c r="M33" i="226"/>
  <c r="M34" i="226"/>
  <c r="M35" i="226"/>
  <c r="M36" i="226"/>
  <c r="M37" i="226"/>
  <c r="M38" i="226"/>
  <c r="M39" i="226"/>
  <c r="M40" i="226"/>
  <c r="M41" i="226"/>
  <c r="M42" i="226"/>
  <c r="M43" i="226"/>
  <c r="M44" i="226"/>
  <c r="M45" i="226"/>
  <c r="M46" i="226"/>
  <c r="M47" i="226"/>
  <c r="M48" i="226"/>
  <c r="M49" i="226"/>
  <c r="M50" i="226"/>
  <c r="M51" i="226"/>
  <c r="M52" i="226"/>
  <c r="M53" i="226"/>
  <c r="M54" i="226"/>
  <c r="M55" i="226"/>
  <c r="M56" i="226"/>
  <c r="M57" i="226"/>
  <c r="M58" i="226"/>
  <c r="M59" i="226"/>
  <c r="M60" i="226"/>
  <c r="M61" i="226"/>
  <c r="M62" i="226"/>
  <c r="M63" i="226"/>
  <c r="M64" i="226"/>
  <c r="M65" i="226"/>
  <c r="M66" i="226"/>
  <c r="M67" i="226"/>
  <c r="M68" i="226"/>
  <c r="M69" i="226"/>
  <c r="M70" i="226"/>
  <c r="M71" i="226"/>
  <c r="M72" i="226"/>
  <c r="M73" i="226"/>
  <c r="M74" i="226"/>
  <c r="M75" i="226"/>
  <c r="M76" i="226"/>
  <c r="M77" i="226"/>
  <c r="M78" i="226"/>
  <c r="M79" i="226"/>
  <c r="M80" i="226"/>
  <c r="M81" i="226"/>
  <c r="M82" i="226"/>
  <c r="M83" i="226"/>
  <c r="M84" i="226"/>
  <c r="M85" i="226"/>
  <c r="M86" i="226"/>
  <c r="M87" i="226"/>
  <c r="M88" i="226"/>
  <c r="M89" i="226"/>
  <c r="M90" i="226"/>
  <c r="M91" i="226"/>
  <c r="M92" i="226"/>
  <c r="M93" i="226"/>
  <c r="M94" i="226"/>
  <c r="M95" i="226"/>
  <c r="M96" i="226"/>
  <c r="M97" i="226"/>
  <c r="M98" i="226"/>
  <c r="M99" i="226"/>
  <c r="M100" i="226"/>
  <c r="M101" i="226"/>
  <c r="M102" i="226"/>
  <c r="M103" i="226"/>
  <c r="M104" i="226"/>
  <c r="M105" i="226"/>
  <c r="M106" i="226"/>
  <c r="M107" i="226"/>
  <c r="M108" i="226"/>
  <c r="M109" i="226"/>
  <c r="M110" i="226"/>
  <c r="M111" i="226"/>
  <c r="M112" i="226"/>
  <c r="M113" i="226"/>
  <c r="M114" i="226"/>
  <c r="M115" i="226"/>
  <c r="M116" i="226"/>
  <c r="M117" i="226"/>
  <c r="M118" i="226"/>
  <c r="M119" i="226"/>
  <c r="M120" i="226"/>
  <c r="M121" i="226"/>
  <c r="M122" i="226"/>
  <c r="M123" i="226"/>
  <c r="M124" i="226"/>
  <c r="M125" i="226"/>
  <c r="M126" i="226"/>
  <c r="M127" i="226"/>
  <c r="M128" i="226"/>
  <c r="M129" i="226"/>
  <c r="M130" i="226"/>
  <c r="M131" i="226"/>
  <c r="M132" i="226"/>
  <c r="M133" i="226"/>
  <c r="M134" i="226"/>
  <c r="M135" i="226"/>
  <c r="M136" i="226"/>
  <c r="M137" i="226"/>
  <c r="M138" i="226"/>
  <c r="M139" i="226"/>
  <c r="M140" i="226"/>
  <c r="M141" i="226"/>
  <c r="M142" i="226"/>
  <c r="M143" i="226"/>
  <c r="M144" i="226"/>
  <c r="M145" i="226"/>
  <c r="M146" i="226"/>
  <c r="M147" i="226"/>
  <c r="M148" i="226"/>
  <c r="M149" i="226"/>
  <c r="M150" i="226"/>
  <c r="M151" i="226"/>
  <c r="M152" i="226"/>
  <c r="M153" i="226"/>
  <c r="M154" i="226"/>
  <c r="M155" i="226"/>
  <c r="M156" i="226"/>
  <c r="M157" i="226"/>
  <c r="M158" i="226"/>
  <c r="M159" i="226"/>
  <c r="M160" i="226"/>
  <c r="M161" i="226"/>
  <c r="M162" i="226"/>
  <c r="M163" i="226"/>
  <c r="M164" i="226"/>
  <c r="M165" i="226"/>
  <c r="M166" i="226"/>
  <c r="M167" i="226"/>
  <c r="M168" i="226"/>
  <c r="M169" i="226"/>
  <c r="M170" i="226"/>
  <c r="M171" i="226"/>
  <c r="M172" i="226"/>
  <c r="M173" i="226"/>
  <c r="M174" i="226"/>
  <c r="M175" i="226"/>
  <c r="M176" i="226"/>
  <c r="M177" i="226"/>
  <c r="M178" i="226"/>
  <c r="M179" i="226"/>
  <c r="M180" i="226"/>
  <c r="M181" i="226"/>
  <c r="M182" i="226"/>
  <c r="M183" i="226"/>
  <c r="M184" i="226"/>
  <c r="M185" i="226"/>
  <c r="M186" i="226"/>
  <c r="M187" i="226"/>
  <c r="M188" i="226"/>
  <c r="M189" i="226"/>
  <c r="M190" i="226"/>
  <c r="M191" i="226"/>
  <c r="M192" i="226"/>
  <c r="M193" i="226"/>
  <c r="M194" i="226"/>
  <c r="M195" i="226"/>
  <c r="M196" i="226"/>
  <c r="M197" i="226"/>
  <c r="M198" i="226"/>
  <c r="M199" i="226"/>
  <c r="M200" i="226"/>
  <c r="M201" i="226"/>
  <c r="M202" i="226"/>
  <c r="M203" i="226"/>
  <c r="M204" i="226"/>
  <c r="M205" i="226"/>
  <c r="M206" i="226"/>
  <c r="M207" i="226"/>
  <c r="M208" i="226"/>
  <c r="M209" i="226"/>
  <c r="M210" i="226"/>
  <c r="M211" i="226"/>
  <c r="M212" i="226"/>
  <c r="M213" i="226"/>
  <c r="M214" i="226"/>
  <c r="M215" i="226"/>
  <c r="M216" i="226"/>
  <c r="M217" i="226"/>
  <c r="M218" i="226"/>
  <c r="M219" i="226"/>
  <c r="M220" i="226"/>
  <c r="M221" i="226"/>
  <c r="M222" i="226"/>
  <c r="M223" i="226"/>
  <c r="M224" i="226"/>
  <c r="M225" i="226"/>
  <c r="M226" i="226"/>
  <c r="M227" i="226"/>
  <c r="M228" i="226"/>
  <c r="M229" i="226"/>
  <c r="M230" i="226"/>
  <c r="M231" i="226"/>
  <c r="M232" i="226"/>
  <c r="M233" i="226"/>
  <c r="M234" i="226"/>
  <c r="M235" i="226"/>
  <c r="M236" i="226"/>
  <c r="M237" i="226"/>
  <c r="M238" i="226"/>
  <c r="M239" i="226"/>
  <c r="M240" i="226"/>
  <c r="M241" i="226"/>
  <c r="M242" i="226"/>
  <c r="M243" i="226"/>
  <c r="M244" i="226"/>
  <c r="M245" i="226"/>
  <c r="M246" i="226"/>
  <c r="M247" i="226"/>
  <c r="M248" i="226"/>
  <c r="M249" i="226"/>
  <c r="M250" i="226"/>
  <c r="M251" i="226"/>
  <c r="M252" i="226"/>
  <c r="M253" i="226"/>
  <c r="M254" i="226"/>
  <c r="M255" i="226"/>
  <c r="M256" i="226"/>
  <c r="M257" i="226"/>
  <c r="M258" i="226"/>
  <c r="M259" i="226"/>
  <c r="M260" i="226"/>
  <c r="M261" i="226"/>
  <c r="M262" i="226"/>
  <c r="M263" i="226"/>
  <c r="M264" i="226"/>
  <c r="M265" i="226"/>
  <c r="M266" i="226"/>
  <c r="M267" i="226"/>
  <c r="M268" i="226"/>
  <c r="M269" i="226"/>
  <c r="M270" i="226"/>
  <c r="M271" i="226"/>
  <c r="M272" i="226"/>
  <c r="M273" i="226"/>
  <c r="M274" i="226"/>
  <c r="M275" i="226"/>
  <c r="M276" i="226"/>
  <c r="M277" i="226"/>
  <c r="M278" i="226"/>
  <c r="M279" i="226"/>
  <c r="M280" i="226"/>
  <c r="M281" i="226"/>
  <c r="M282" i="226"/>
  <c r="M283" i="226"/>
  <c r="M284" i="226"/>
  <c r="M285" i="226"/>
  <c r="M286" i="226"/>
  <c r="M287" i="226"/>
  <c r="M288" i="226"/>
  <c r="M289" i="226"/>
  <c r="M3" i="226"/>
</calcChain>
</file>

<file path=xl/sharedStrings.xml><?xml version="1.0" encoding="utf-8"?>
<sst xmlns="http://schemas.openxmlformats.org/spreadsheetml/2006/main" count="40745" uniqueCount="16226">
  <si>
    <t>CLV</t>
  </si>
  <si>
    <t>Nguyễn Trương</t>
  </si>
  <si>
    <t>Phong Vân</t>
  </si>
  <si>
    <t>Anfood</t>
  </si>
  <si>
    <t>Aeon Tân Phú</t>
  </si>
  <si>
    <t>Lam Tân</t>
  </si>
  <si>
    <t>Phạm Nguyên</t>
  </si>
  <si>
    <t>Long An</t>
  </si>
  <si>
    <t>Lê Gia</t>
  </si>
  <si>
    <t>Satra Củ Chi</t>
  </si>
  <si>
    <t>EB Nguyễn Thị Thập</t>
  </si>
  <si>
    <t>Mega Bình Phú</t>
  </si>
  <si>
    <t>Xuân Vân</t>
  </si>
  <si>
    <t>Mega Hiệp Phú</t>
  </si>
  <si>
    <t>EB Trường Chinh</t>
  </si>
  <si>
    <t>EB An Phú</t>
  </si>
  <si>
    <t>Siêu Thị Sài Gòn</t>
  </si>
  <si>
    <t>Aeon Citimart</t>
  </si>
  <si>
    <t>Thọ Phát</t>
  </si>
  <si>
    <t>Nam Việt Đỗ</t>
  </si>
  <si>
    <t>Khang Phát Foods</t>
  </si>
  <si>
    <t>TM SB</t>
  </si>
  <si>
    <t>Mega An Phú</t>
  </si>
  <si>
    <t>Hồng Á</t>
  </si>
  <si>
    <t>M&amp;N Vĩnh Thạnh</t>
  </si>
  <si>
    <t>Vị Ngọt Happy</t>
  </si>
  <si>
    <t>Vương Tường Văn Gia Lai</t>
  </si>
  <si>
    <t>Papparoti Việt Nam</t>
  </si>
  <si>
    <t>Dương Dương Châu</t>
  </si>
  <si>
    <t>Hưng Quế</t>
  </si>
  <si>
    <t>Văn Phòng Nguyễn Văn Cừ</t>
  </si>
  <si>
    <t>Thực Phẩm Và Giải Khát Việt Nam</t>
  </si>
  <si>
    <t>Bách Hóa Xanh Nhà Bè</t>
  </si>
  <si>
    <t>Cát Hải</t>
  </si>
  <si>
    <t>Thanh Minh</t>
  </si>
  <si>
    <t>Nguyễn Ngọc Thùy</t>
  </si>
  <si>
    <t>Bách Hóa Xanh Cần Đước</t>
  </si>
  <si>
    <t>Bách Hóa Xanh Xuyên Á</t>
  </si>
  <si>
    <t xml:space="preserve">MEADOW FRESH UHT FULL CREAM PURE MILK 1LX12 TUB IN CARTON </t>
  </si>
  <si>
    <t>MEADOW FRESH UHT LOW FAT PURE MILK 1LX12 TUB IN CARTON</t>
  </si>
  <si>
    <t>SỮA TƯƠI TIỆT TRÙNG GIÀU CANXI ÍT BÉO NHÃN HIỆU MEADOW FRESH 1LX12</t>
  </si>
  <si>
    <t>MEADOW FRESH UHT LOW FAT PURE MILK 200MLX3X8 TUB IN CARTON</t>
  </si>
  <si>
    <t>MEADOW FRESH UHT FULL CREAM MILK NO CAP 1LX12</t>
  </si>
  <si>
    <t>MEADOW FRESH UHT SKIMMED MILK 1LX12, NEW ZEALAND ORIGIN</t>
  </si>
  <si>
    <t>MEADOW FRESH UHT FULL CREAM MILK 1LX12, NEW ZEALAND ORIGIN</t>
  </si>
  <si>
    <t>Mega Biên Hòa</t>
  </si>
  <si>
    <t>Đồng Nai - Biên Hòa</t>
  </si>
  <si>
    <t>Sen Việt</t>
  </si>
  <si>
    <t>TP, Hồ Chí Minh</t>
  </si>
  <si>
    <t>Bình Dương - Dĩ An</t>
  </si>
  <si>
    <t>TP HCM (Củ Chi)</t>
  </si>
  <si>
    <t>KCN Hiệp Phước, Nhà Bè</t>
  </si>
  <si>
    <t>Long An - Cần Giuộc (KCN Long Hậu)</t>
  </si>
  <si>
    <t>Đạt Ngọc Gia Lai</t>
  </si>
  <si>
    <t>Bánh Vàng</t>
  </si>
  <si>
    <t>MEADOW FRESH UHT SKIMMED PURE MILK 1LX12 TUB IN CARTON</t>
  </si>
  <si>
    <t>Mega Việt Phát</t>
  </si>
  <si>
    <t>Địa chỉ giao hàng</t>
  </si>
  <si>
    <t>MEADOW FRESH UHT LOW FAT CALCI MILK 1LX12, NEW ZEALAND ORIGIN</t>
  </si>
  <si>
    <t>MEADOW FRESH UHT FULL CREAM PURE MILK 200ML</t>
  </si>
  <si>
    <t>MEADOW FRESH UHT LOW FAT CALCI MILK 200MLX24</t>
  </si>
  <si>
    <t>Tuyến-cũ</t>
  </si>
  <si>
    <t>460 ĐƯỜNG 3 THÁNG 2, PHƯỜNG HÒA HƯNG, THÀNH PHỐ HỒ CHÍ MINH, VIỆT NAM</t>
  </si>
  <si>
    <t>THỬA ĐẤT SỐ 2905, TỜ BẢN ĐỒ SỐ 03, XÃ LONG CANG, HUYỆN CẦN ĐƯỚC, TỈNH LONG AN, VIỆT NAM</t>
  </si>
  <si>
    <t>Số 30, Đường Tân Thắng, Phường Tân Sơn Nhì, Thành Phố Hồ Chí Minh, Việt Nam</t>
  </si>
  <si>
    <t>KHO 11, BÌNH PHÚ, QUẬN 6, TP. HCM</t>
  </si>
  <si>
    <t>KHU PHỐ 4, PHƯỜNG QUANG VINH, THÀNH PHỐ BIÊN HÒA, TỈNH ĐỒNG NAI, VIỆT NAM</t>
  </si>
  <si>
    <t>C6/27 PHẠM HÙNG, XÃ BÌNH HƯNG, THÀNH PHỐ HỒ CHÍ MINH, VIỆT NAM</t>
  </si>
  <si>
    <t>Lô F5-1 và F5-2, Khu F, KCN Hiệp phước, Xã Hiệp Phước, Huyện Nhà Bè, Thành Phố Hồ Chí Minh</t>
  </si>
  <si>
    <t>Lô HT-F2-4&amp;5, Đường số 1, Khu công nghiệp Hiệp Phước, Xã Hiệp Phước, Thành phố Hồ Chí Minh, Việt Nam</t>
  </si>
  <si>
    <t>15 ĐƯỜNG SỐ 106, PHƯỜNG CÁT LÁI, THÀNH PHỐ HỒ CHÍ MINH, VIỆT NAM</t>
  </si>
  <si>
    <t>21 Lê Đình Thụ, Phường Phú Thọ Hòa, Thành phố Hồ Chí Minh, Việt Nam</t>
  </si>
  <si>
    <t>114 KHA VẠN CÂN, PHƯỜNG HIỆP BÌNH CHÁNH, QUẬN THỦ ĐỨC, THÀNH PHỐ HỒ CHÍ MINH</t>
  </si>
  <si>
    <t>174-174A-174B HUỲNH THỊ HAI, PHƯỜNG TÂN CHÁNH HIỆP, QUẬN 12, THÀNH PHỐ HỒ CHÍ MINH, VIỆT NAM</t>
  </si>
  <si>
    <t>198 LÃNH BÌNH THĂNG,PHƯỜNG 13, QUẬN 11, THÀNH PHỐ HỒ CHÍ MINH, VIỆT NAM</t>
  </si>
  <si>
    <t>SỐ 24 KINH DƯƠNG VƯƠNG, PHƯỜNG 13, QUẬN 6, HCM.</t>
  </si>
  <si>
    <t>Lô B3c,Khu Công Nghiệp Hiệp Phước, Xã Hiệp Phước, Thành phố Hồ Chí Minh, Việt Nam.</t>
  </si>
  <si>
    <t>SỐ 51 ĐƯỜNG TRẦN VĂN ƠN, PHƯỜNG TÂN SƠN NHÌ, THÀNH PHỐ HỒ CHÍ MINH, VIỆT NAM</t>
  </si>
  <si>
    <t>số 17 Huỳnh Đình Hai, Phường Bình Thạnh, Thành Phố Hồ Chí Minh</t>
  </si>
  <si>
    <t>60/3L QL1A, ẤP TIỀN LÂN, XÃ BÀ ĐIỂM, HÓC MÔN – BÃI XE NGUYỄN NGỌC KHO B4</t>
  </si>
  <si>
    <t>NHÀ KHO SỐ WH1.1 KHU CÔNG NGHIỆP XUYÊN Á,  XÃ MỸ HẠNH BẮC, HUYỆN ĐỨC HOÀ, TỈNH LONG AN, VIỆT NAM</t>
  </si>
  <si>
    <t>SỐ 24 KINH DƯƠNG VƯƠNG, PHƯỜNG 13, QUẬN 6, TP. HCM</t>
  </si>
  <si>
    <t>SỐ 2 ĐƯỜNG TRƯƠNG THỊ HOA, KHU PHỐ 4A, PHƯỜNG TÂN THỚI HIỆP, QUẬN 12, THÀNH PHỐ HỒ CHÍ MINH, VIỆT NAM</t>
  </si>
  <si>
    <t>LÔ 3, ĐƯỜNG SỐ 7, KCN LONG HẬU MỞ RỘNG, XÃ CẦN GIUỘC, TỈNH TÂY NINH, VIỆT NAM</t>
  </si>
  <si>
    <t>LÔ C40-43/I, C51-55/II, ĐƯỜNG SỐ 7, KCN VĨNH LỘC, XÃ VĨNH LỘC, THÀNH PHỐ HỒ CHÍ MINH</t>
  </si>
  <si>
    <t>Số 4, đường Lương Thế Vinh, Phường Tân Thới Hòa, Quận Tân Phú, TP. HCM</t>
  </si>
  <si>
    <t>Tầng trệt, tầng 1 và tầng 2, Lô A, Khu Dân cư Cityland,  số 99, Đường Nguyễn Thị Thập, Phường Tân Mỹ, Thành phố Hồ Chí Minh, Việt Nam</t>
  </si>
  <si>
    <t>Số 10 ĐƯỜNG BẾN NGHÉ, PHƯỜNG TÂN THUẬN, THÀNH PHỐ HỒ CHÍ MINH, VIỆT NAM</t>
  </si>
  <si>
    <t>1239 TỈNH LỘ 8, ẤP THẠNH AN 2, XÃ BÌNH MỸ, THÀNH PHỐ HỒ CHÍ MINH, VIỆT NAM</t>
  </si>
  <si>
    <t>449/23/5 Hương Lộ 2, Phường Bình Trị Đông, Thành phố Hồ Chí Minh, Việt Nam.</t>
  </si>
  <si>
    <t>Quốc lộ 1A, Xã Bà Điểm, H. Hóc Môn, Tp. Hồ Chí Minh</t>
  </si>
  <si>
    <t>Đức Tỏ</t>
  </si>
  <si>
    <t>Tên khách hàng</t>
  </si>
  <si>
    <t>CÔNG TY TNHH MM MEGA MARKET (VIỆT NAM)</t>
  </si>
  <si>
    <t>CÔNG TY TNHH DỊCH VỤ EB</t>
  </si>
  <si>
    <t>Tây Ninh - Cần Giuộc</t>
  </si>
  <si>
    <t>CÔNG TY CỔ PHẦN THƯƠNG MẠI BÁCH HÓA XANH</t>
  </si>
  <si>
    <t>CÔNG TY TNHH THƯƠNG MẠI DỊCH VỤ ĐẦU TƯ SEN VIỆT</t>
  </si>
  <si>
    <t>CÔNG TY TNHH AEON VIỆT NAM</t>
  </si>
  <si>
    <t>CN TCT TM SÀI GÒN - TNHH MTV - SIÊU THỊ SÀI GÒN</t>
  </si>
  <si>
    <t>TTTM SATRA ĐƯỜNG PHẠM HÙNG</t>
  </si>
  <si>
    <t>CÔNG TY TNHH MỘT THÀNH VIÊN XUẤT NHẬP KHẨU PHONG VÂN</t>
  </si>
  <si>
    <t>CÔNG TY CỔ PHẦN THỰC PHẨM CHOLIMEX</t>
  </si>
  <si>
    <t>CHI NHÁNH CÔNG TY LIÊN DOANH TNHH KFC VIỆT NAM TẠI THÀNH PHỐ HỒ CHÍ MINH</t>
  </si>
  <si>
    <t>CÔNG TY TNHH THƯƠNG MẠI DỊCH VỤ XUẤT NHẬP KHẨU HÂN LÊ</t>
  </si>
  <si>
    <t>CÔNG TY TNHH HƯƠNG LIỆU PHỤ GIA THỰC PHẨM HỒNG Á</t>
  </si>
  <si>
    <t>CÔNG TY TNHH THƯƠNG MẠI DỊCH VỤ SẢN XUẤT VỊ NGỌT HAPPY</t>
  </si>
  <si>
    <t>CÔNG TY CỔ PHẦN ACECOOK VIỆT NAM</t>
  </si>
  <si>
    <t>CÔNG TY TNHH ĐẦU TƯ THƯƠNG MẠI ANFOOD</t>
  </si>
  <si>
    <t>726 ĐƯỜNG LÊ VĂN KHƯƠNG, PHƯỜNG THỚI AN, THÀNH PHỐ HỒ CHÍ MINH, VIỆT NAM</t>
  </si>
  <si>
    <t>CÔNG TY TNHH TM DV VINH PHONG</t>
  </si>
  <si>
    <t>CÔNG TY TNHH THƯƠNG MẠI - DỊCH VỤ LAM TÂN</t>
  </si>
  <si>
    <t>Minh Phong</t>
  </si>
  <si>
    <t>CÔNG TY TNHH THƯƠNG MẠI-DỊCH VỤ MINH PHONG</t>
  </si>
  <si>
    <t>CÔNG TY TNHH CHẾ BIẾN THỰC PHẨM &amp; BÁNH KẸO PHẠM NGUYÊN</t>
  </si>
  <si>
    <t>CÔNG TY CỔ PHẦN THỰC PHẨM AGREX SAIGON</t>
  </si>
  <si>
    <t>CÔNG TY TNHH ĐẦU TƯ VÀ THƯƠNG MẠI NGUYỄN TRƯƠNG</t>
  </si>
  <si>
    <t>CÔNG TY TNHH NAM VIỆT ĐỖ</t>
  </si>
  <si>
    <t>CÔNG TY TNHH THƯƠNG MẠI DỊCH VỤ XUÂN VÂN</t>
  </si>
  <si>
    <t>CÔNG TY TNHH MTV THƯƠNG MẠI DỊCH VỤ THANH MINH</t>
  </si>
  <si>
    <t>HỘ KINH DOANH NGÀ NĂM</t>
  </si>
  <si>
    <t>53 BẾN PHÚ ĐỊNH – PHƯỜNG 16 – QUẬN 8</t>
  </si>
  <si>
    <t>CÔNG TY TNHH PAPPAROTI VIỆT NAM</t>
  </si>
  <si>
    <t>CÔNG TY CỔ PHẦN THỰC PHẨM CÁT HẢI</t>
  </si>
  <si>
    <t>CÔNG TY TNHH THƯƠNG MẠI CÔNG NGHỆ THỰC PHẨM LÊ GIA</t>
  </si>
  <si>
    <t>CÔNG TY TNHH THƯƠNG MẠI ÂN THÁI</t>
  </si>
  <si>
    <t>CÔNG TY TNHH TM SB</t>
  </si>
  <si>
    <t>CÔNG TY TNHH BÁNH VÀNG</t>
  </si>
  <si>
    <t>CÔNG TY TNHH MỘT THÀNH VIÊN NGUYỄN NGỌC THÙY</t>
  </si>
  <si>
    <t>CÔNG TY TNHH THƯƠNG MẠI DỊCH VỤ DƯƠNG DƯƠNG CHÂU</t>
  </si>
  <si>
    <t>Thực Phẩm GN</t>
  </si>
  <si>
    <t>CÔNG TY TNHH MTV CHẾ BIẾN THỰC PHẨM THỌ PHÁT</t>
  </si>
  <si>
    <t>CÔNG TY TNHH SẢN XUẤT THƯƠNG MẠI DỊCH VỤ XUẤT NHẬP KHẨU M&amp;N VĨNH THẠNH</t>
  </si>
  <si>
    <t>193/6 NGUYỄN TIỂU LA, PHƯỜNG 8, QUẬN 10, TP. HỒ CHÍ MINH</t>
  </si>
  <si>
    <t>CÔNG TY TNHH DỊCH VỤ THỰC PHẨM VÀ GIẢI KHÁT VIỆT NAM</t>
  </si>
  <si>
    <t>LÔ E.01, ĐƯỜNG K1, KCN CÁT LÁI, PHƯỜNG THẠNH MỸ LỢI, THÀNH PHỐ THỦ ĐỨC, TP. HCM</t>
  </si>
  <si>
    <t>CÔNG TY TRÁCH NHIỆM HỮU HẠN SẢN XUẤT THƯƠNG MẠI DỊCH VỤ VŨ PHÚC</t>
  </si>
  <si>
    <t>Số 1130, Quốc lộ 1A, Phường Tân Tạo, Quận Bình Tân, TP.HCM</t>
  </si>
  <si>
    <t>CÔNG TY TNHH THƯƠNG MẠI KHANG PHÁT FOODS</t>
  </si>
  <si>
    <t>207/63A HỒ HỌC LÃM, PHƯỜNG AN LẠC, THÀNH PHỐ HỒ CHÍ MINH</t>
  </si>
  <si>
    <t>SỮA TƯƠI TIỆT TRÙNG TÁCH BÉO NHÃN HIỆU MEADOW FRESH 1LX12</t>
  </si>
  <si>
    <t>Khu B, Khu đô thị mới An Phú-An Khánh, Phường Bình Trưng, Thành phố Hồ Chí Minh</t>
  </si>
  <si>
    <t>1, KHU PHỨC HỢP CANTAVIL AN PHÚ,Đ. SONG HÀNH XA LỘ HÀ NỘI,KP5,P.AN PHÚ,Q2,TP HCM</t>
  </si>
  <si>
    <t>CÔNG TY TNHH MỘT THÀNH VIÊN ĐẠT NGỌC GIA LAI</t>
  </si>
  <si>
    <t>CÔNG TY TNHH MTV VƯƠNG TƯỜNG VĂN GIA LAI</t>
  </si>
  <si>
    <t>55C4/13 ĐƯỜNG CÂY KEO, PHƯỜNG TAM BÌNH, THÀNH PHỐ HỒ CHÍ MINH</t>
  </si>
  <si>
    <t>KHO VIETTEL POST - KHO AEON RDC: SỐ 2 BIS, KHU Z11, QUỐC LỘ 1A, KHU PHỐ 2, PHƯỜNG TRUNG MỸ TÂY, THÀNH PHỐ HỒ CHÍ MINH, VIỆT NAM</t>
  </si>
  <si>
    <t>HƯNG QUẾ</t>
  </si>
  <si>
    <t>HCM - Dĩ An</t>
  </si>
  <si>
    <t>Đồng Nai - Long Bình</t>
  </si>
  <si>
    <t>HCM - KCN Hiệp Phước</t>
  </si>
  <si>
    <t>Tây Ninh - Đức Lập</t>
  </si>
  <si>
    <t>Tây Ninh - Long Cang</t>
  </si>
  <si>
    <t>Tuyến</t>
  </si>
  <si>
    <t>SỐ 613, ĐƯỜNG TRẦN ĐẠI NGHĨA, ẤP 20, XÃ TÂN NHỰT, THÀNH PHỐ HỒ CHÍ MINH, VIỆT NAM</t>
  </si>
  <si>
    <t>Bibica Miền Tây</t>
  </si>
  <si>
    <t>CÔNG TY TNHH MTV BIBICA MIỀN TÂY</t>
  </si>
  <si>
    <t>LÔ A1/1-3, ĐƯỜNG VL4, KCN VĨNH LỘC 2, XÃ MỸ YÊN, TỈNH TÂY NINH, VIỆT NAM</t>
  </si>
  <si>
    <t>Bột Mì Liên Nguyễn</t>
  </si>
  <si>
    <t>CÔNG TY TNHH SẢN XUẤT VÀ XUẤT NHẬP KHẨU BỘT MÌ LIÊN NGUYỄN</t>
  </si>
  <si>
    <t>B5/19K TRẦN ĐẠI NGHĨA, ẤP 2 TÂN KIÊN, XÃ TÂN NHỰT, TP HỒ CHÍ MINH, VIỆT NAM</t>
  </si>
  <si>
    <t>DV Nhựt Tân</t>
  </si>
  <si>
    <t>CÔNG TY TNHH TM DV NHỰT TÂN</t>
  </si>
  <si>
    <t>SỐ 345 ĐƯỜNG TỈNH LỘ 8, ẤP TÂY, XÃ TÂN AN HỘI, THÀNH PHỐ HỒ CHÍ MINH, VIỆT NAM</t>
  </si>
  <si>
    <t>CÔNG TY TNHH TA BAKER FOOD</t>
  </si>
  <si>
    <t>30 Huỳnh Tấn Chùa, Phường Đông Hưng Thuận, Thành phố Hồ Chí Minh, Việt Nam</t>
  </si>
  <si>
    <t>CÔNG TY TNHH NÔNG SẢN THỰC PHẨM HỒNG NGỌC</t>
  </si>
  <si>
    <t>439/43/1 - 439/43/3 HỒ HỌC LÃM, KHU PHỐ 2, PHƯỜNG AN LẠC, THÀNH PHỐ HỒ CHÍ MINH, VIỆT NAM</t>
  </si>
  <si>
    <t>DV Vinh Phong</t>
  </si>
  <si>
    <t>TRUNG TÂM THƯƠNG MẠI SATRA CỦ CHI</t>
  </si>
  <si>
    <t>117/28/2 HỒ VĂN LONG, PHƯỜNG BÌNH TÂN, THÀNH PHỐ HỒ CHÍ MINH, VIỆT NAM</t>
  </si>
  <si>
    <t>CÔNG TY TNHH MEGA VIỆT PHÁT</t>
  </si>
  <si>
    <t>MEGADELI, L06A, ĐƯỜNG SỐ 1, KCN LONG HẬU, XÃ CẦN GIUỘC, TÂY NINH</t>
  </si>
  <si>
    <t>Số 1/1, Đường Trường Chinh, Phường Tây Thạnh, Thành phố Hồ Chí Minh, Việt Nam</t>
  </si>
  <si>
    <t>HCM - Tân An Hội</t>
  </si>
  <si>
    <t>Số 131/31C đường Kinh Dương Vương, Phường Phú Lâm, TP Hồ Chí Minh</t>
  </si>
  <si>
    <t>Satra Phạm Hùng</t>
  </si>
  <si>
    <t>CÔNG TY TNHH MỘT THÀNH VIÊN THƯƠNG MẠI DỊCH VỤ LONA MART</t>
  </si>
  <si>
    <t>TA Baker Food</t>
  </si>
  <si>
    <t>CÔNG TY CỔ PHẦN THỰC PHẨM GN</t>
  </si>
  <si>
    <t>P.02B ĐƯỜNG TRUNG TÂM, KCN LONG HẬU MỞ RỘNG, XÃ CẦN GIUỘC, TỈNH TÂY NINH, VIỆT NAM</t>
  </si>
  <si>
    <t>Đồng Nai - Trấn Biên</t>
  </si>
  <si>
    <t>Tây Ninh - Đức Hòa</t>
  </si>
  <si>
    <t>31 Nguyễn Văn Dung, phường An Nhơn, TP.HCM</t>
  </si>
  <si>
    <t>CÔNG TY TNHH THƯƠNG MAI DỊCH VỤ QUANG MINH KHANG</t>
  </si>
  <si>
    <t>CÔNG TY TNHH THƯƠNG MẠI SẢN XUẤT HƯƠNG LIỆU THANH XUÂN</t>
  </si>
  <si>
    <t>50/47A, ẤP 4, XÃ XUÂN THỚI SƠN, HÓC MÔN, TP. HCM</t>
  </si>
  <si>
    <t>CÔNG TY TRÁCH NHIỆM HỮU HẠN SẢN XUẤT THƯƠNG MẠI DỊCH VỤ TILICO</t>
  </si>
  <si>
    <t>26 ĐƯỜNG 18, KHU PHỐ 22, PHƯỜNG AN LẠC, TP HỒ CHÍ MINH, VIỆT NAM</t>
  </si>
  <si>
    <t>Cô Ba Vĩnh Phong</t>
  </si>
  <si>
    <t>HỘ KINH DOANH CÔ BA VĨNH PHONG</t>
  </si>
  <si>
    <t>CÔNG TY LIÊN DOANH PHẠM-ASSET</t>
  </si>
  <si>
    <t>LÔ D4/1, ĐƯỜNG 1B, KHU CÔNG NGHIỆP VĨNH LỘC, PHƯỜNG BÌNH TÂN, THÀNH PHỐ HỒ CHÍ MINH, VIỆT NAM</t>
  </si>
  <si>
    <t>N.D.A</t>
  </si>
  <si>
    <t>CÔNG TY TNHH SẢN XUẤT THƯƠNG MẠI N.D.A</t>
  </si>
  <si>
    <t>28 ĐƯỜNG D7, KDC NAM LONG, PHƯỜNG PHƯỚC LONG, TP HỒ CHÍ MINH</t>
  </si>
  <si>
    <t>Út Giao</t>
  </si>
  <si>
    <t>Tây Ninh - Tân An</t>
  </si>
  <si>
    <t>CÔNG TY TNHH ÚT GIAO</t>
  </si>
  <si>
    <t>SỐ 26 ĐINH THIẾU SƠN, KHU PHỐ BÌNH AN 1, PHƯỜNG 7, TP TÂN AN, TỈNH LONG AN</t>
  </si>
  <si>
    <t>MEADOW FRESH UHT FULL CREAM MILK 200ML</t>
  </si>
  <si>
    <t>TRÀ TWINKLE HƯƠNG DÂU 1,8 G X 20 X 12 HỘP ĐÓNG TRONG THÙNG CARTON</t>
  </si>
  <si>
    <t>TRÀ TWINKLE HƯƠNG GỪNG 1,8 G X 20 X 12 HỘP ĐÓNG TRONG THÙNG CARTON</t>
  </si>
  <si>
    <t>TRÀ TWINKLE EARL GREY 1,8 G X 100 X 10 TÚI ĐÓNG TRONG THÙNG CARTON</t>
  </si>
  <si>
    <t>CHI NHÁNH CÔNG TY TNHH JOLLIBEE VIỆT NAM TẠI CẦN GIUỘC</t>
  </si>
  <si>
    <t>Lô K3-1 và K3-3, Khu công nghiệp Tân Kim mở rộng, xã Cần Giuộc, tỉnh Tây Ninh, Việt Nam</t>
  </si>
  <si>
    <t>CHÀNH CƠ – 24 KINH DƯƠNG VƯƠNG - P13 - Q6 - TP.HCM</t>
  </si>
  <si>
    <t>Đại Hiền Tâm</t>
  </si>
  <si>
    <t>CÔNG TY TNHH ĐẠI HIỀN TÂM</t>
  </si>
  <si>
    <t>34/23 CÂY BÀI, XÃ PHƯỚC VĨNH AN, CỦ CHI</t>
  </si>
  <si>
    <t>Điểm trả hàng</t>
  </si>
  <si>
    <t>CÔNG TY TNHH TRUYỀN THÔNG VÀ GIẢI TRÍ ĐÔNG QUÂN</t>
  </si>
  <si>
    <t>Saf - Việt</t>
  </si>
  <si>
    <t>CÔNG TY TNHH LIÊN DOANH SAF - VIỆT</t>
  </si>
  <si>
    <t>CỤM CÔNG NGHIỆP LONG ĐỊNH, XÃ LONG CANG, TỈNH TÂY NINH, VIỆT NAM.</t>
  </si>
  <si>
    <t>123 TÂN HIỆP 4, XÃ HÓC MÔN, THÀNH PHỐ HỒ CHÍ MINH, VIỆT NAM</t>
  </si>
  <si>
    <t>CÔNG TY TNHH ĐỨC TỎ</t>
  </si>
  <si>
    <t>ĐƯỜNG SỐ 14/15-17 ẤP TIỀN LÂN, XÃ BÀ ĐIỂM, TP HỒ CHÍ MINH</t>
  </si>
  <si>
    <t>Tây Ninh - Mỹ Yên</t>
  </si>
  <si>
    <t>Jollibee Việt Nam</t>
  </si>
  <si>
    <t>KFC Việt Nam</t>
  </si>
  <si>
    <t>Hân - Phú</t>
  </si>
  <si>
    <t>HÂN - PHÚ</t>
  </si>
  <si>
    <t>75 TRẦN CHÁNH CHIẾU, PHƯỜNG 14, QUẬN 5, TP. HCM</t>
  </si>
  <si>
    <t>CÔNG TY TNHH DỊCH VỤ THƯƠNG MẠI PHƯỚC CƯỜNG</t>
  </si>
  <si>
    <t>SỐ 272/32 TRẦN THỊ NĂM, PHƯỜNG TRUNG MỸ TÂY, THÀNH PHỐ HỒ CHÍ MINH, VIỆT NAM.</t>
  </si>
  <si>
    <t>CÔNG TY CỔ PHẦN THỰC PHẨM HỢP NHẤT</t>
  </si>
  <si>
    <t>5B, ĐƯỜNG SỐ 2, KCN LONG HẬU, ẤP 3, XÃ LONG HẬU, HUYỆN CẦN GIUỘC, LONG AN</t>
  </si>
  <si>
    <t>428/60 QL1A, PHƯỜNG BÌNH TÂN, TP HỒ CHÍ MINH</t>
  </si>
  <si>
    <t>CÔNG TY TNHH VINA FOODS KYOEI</t>
  </si>
  <si>
    <t>CÔNG TY TNHH DƯỢC PHẨM USA - NIC</t>
  </si>
  <si>
    <t>Phước Cường</t>
  </si>
  <si>
    <t>Hồng Ngọc</t>
  </si>
  <si>
    <t>HCM - Bình Mỹ</t>
  </si>
  <si>
    <t>SỐ 753, ĐƯỜNG XA LỘ HÀ NỘI, KHU PHỐ 29, PHƯỜNG LONG BÌNH, TỈNH ĐỒNG NAI, VIỆT NAM</t>
  </si>
  <si>
    <t>CÔNG TY TNHH SÔNG HỒNG TÂN</t>
  </si>
  <si>
    <t>Sông Hồng Tân</t>
  </si>
  <si>
    <t>LÔ 11 D, ĐƯỜNG C, KCN TÂN TẠO, PHƯỜNG TÂN TẠO,  TP. HỒ CHÍ MINH, VIỆT NAM</t>
  </si>
  <si>
    <t>Dược Phẩm Usa - Nic</t>
  </si>
  <si>
    <t>Thực Phẩm Cholimex</t>
  </si>
  <si>
    <t>20 HUỲNH THỊ BẢY, ẤP 18, XÃ TÂN NHỰT, TP. HỒ CHÍ MINH, VIỆT NAM</t>
  </si>
  <si>
    <t>485 HỒNG BÀNG, PHƯỜNG CHỢ LỚN, THÀNH PHỐ HỒ CHÍ MINH, VIỆT NAM</t>
  </si>
  <si>
    <t>DOANH NGHIỆP TƯ NHÂN VẠN VẠN LỢI</t>
  </si>
  <si>
    <t>LÔ SỐ II-3, ĐƯỜNG SỐ 11, NHÓM CN II, KHU CÔNG NGHIỆP TÂN BÌNH, PHƯỜNG TÂY THẠNH, THÀNH PHỐ HỒ CHÍ MINH, VIỆT NAM</t>
  </si>
  <si>
    <t>Acecook Việt Nam</t>
  </si>
  <si>
    <t>LÔ 1-18 KHU G1,  KCN TÂN THỚI HIỆP, HƯƠNG LỘ 80, P. TÂN THỚI HIỆP, TP.HCM</t>
  </si>
  <si>
    <t>CÔNG TY CỔ PHẦN APIS</t>
  </si>
  <si>
    <t>Apis</t>
  </si>
  <si>
    <t>168 QUANG TRUNG, PHƯỜNG GÒ VẤP, TP. HỒ CHÍ MINH, VIỆT NAM</t>
  </si>
  <si>
    <t>NHÀ MÁY BÁNH KẸO KIDO'S BAKERY, LÔ 6-12 (KHU A5) KHU CÔNG NGHIỆP TÂN THỚI HIỆP, PHƯỜNG TÂN THỚI HIỆP, THÀNH PHỐ HỒ CHÍ MINH, VIỆT NAM</t>
  </si>
  <si>
    <t>CÔNG TY CỔ PHẦN TẬP ĐOÀN KIDO</t>
  </si>
  <si>
    <t>Tập Đoàn Kido</t>
  </si>
  <si>
    <t>Bình Dương - Bến Cát</t>
  </si>
  <si>
    <t>HCM - Bến Cát</t>
  </si>
  <si>
    <t>235 ĐƯỜNG XUYÊN Á, KHU PHỐ BÌNH ĐƯỜNG 3, PHƯỜNG DĨ AN, TP HỒ CHÍ MINH</t>
  </si>
  <si>
    <t>7A/1 THÀNH THÁI, PHƯỜNG DIÊN HỒNG, TP. HỒ CHÍ MINH, VIỆT NAM</t>
  </si>
  <si>
    <t>TRUNG TÂM ĐIỀU HÀNH SATRAFOODS</t>
  </si>
  <si>
    <t>C22-C24, ĐƯỜNG SỐ 6, KCN LÊ MINH XUÂN,X. TÂN NHỰT, TP. HỒ CHÍ MINH, VIỆT NAM</t>
  </si>
  <si>
    <t>CÔNG TY TNHH TRỤC CHÀ LÚA TÂN LÚA VÀNG</t>
  </si>
  <si>
    <t>Trục Chà Lúa Tân Lúa Vàng</t>
  </si>
  <si>
    <t>SỐ 5 LIÊN KHU 8-9, BÌNH HƯNG HÒA B, TP HỒ CHÍ MINH</t>
  </si>
  <si>
    <t>126A, ẤP 2, XÃ  ĐỨC HÒA, TỈNH TÂY NINH, VIỆT NAM</t>
  </si>
  <si>
    <t>TT PHÂN PHỐI MM MEGA MARKET – HIỆP PHÚ, QUỐC LỘ 1A, P. TÂN THỚI HIỆP, QUẬN 12, TP.HCM</t>
  </si>
  <si>
    <t>Mega Kho 50</t>
  </si>
  <si>
    <t>Quang Minh Khang</t>
  </si>
  <si>
    <t>Vạn Vạn Lợi</t>
  </si>
  <si>
    <t>Satrafoods</t>
  </si>
  <si>
    <t>Mega Hưng Phú</t>
  </si>
  <si>
    <t>Số 9B, đường Kha Vạn Cân, phường Linh Đông, TP. Thủ Đức, Tp.HCM</t>
  </si>
  <si>
    <t>Kiến Vương</t>
  </si>
  <si>
    <t>CÔNG TY TNHH KIẾN VƯƠNG</t>
  </si>
  <si>
    <t>LÔ 22, ĐƯỜNG SỐ 7, KHU CÔNG NGHIỆP TÂN TẠO, P. TÂN TẠO, TP.HỒ CHÍ MINH, VIỆT NAM</t>
  </si>
  <si>
    <t>Vina Foods Kyoei</t>
  </si>
  <si>
    <t>LÔ A55/II, ĐƯỜNG 2D, KHU CÔNG NGHIỆP VĨNH LỘC, PHƯỜNG BÌNH TÂN,TP.HỒ CHÍ MINH, VIỆT NAM</t>
  </si>
  <si>
    <t>Bách Hóa Xanh Long Bình</t>
  </si>
  <si>
    <t>G243 Bùi Văn Hòa , Khu phố 7, P. Long Bình, TP Biên Hòa , Tỉnh Đồng Nai.</t>
  </si>
  <si>
    <t>11 ĐƯỜNG 30/4, PHƯỜNG PHÚ THỌ HÒA, TP HỒ CHÍ MINH</t>
  </si>
  <si>
    <t>EB An Lạc</t>
  </si>
  <si>
    <t>Số 1231, khu phố 5, Đường Quốc lộ 1A, Phường An Lạc, Thành phố Hồ Chí Minh, Việt Nam</t>
  </si>
  <si>
    <t>Lona Mart</t>
  </si>
  <si>
    <t>SỐ 9 NGUYỄN VĂN TẠO, XÃ HIỆP PHƯỚC, THÀNH PHỐ HỒ CHÍ MINH</t>
  </si>
  <si>
    <t>Bách Hóa Xanh Vĩnh Lộc</t>
  </si>
  <si>
    <t>LÔ A65/II - A72/II, ĐƯỜNG SỐ 4, KCN VĨNH LỘC, P. BÌNH HƯNG HÒA B, Q. BÌNH TÂN , TP.HCM</t>
  </si>
  <si>
    <t>Hương Liệu Thanh Xuân</t>
  </si>
  <si>
    <t>HCM - Củ Chi</t>
  </si>
  <si>
    <t>Satra Võ Văn Kiệt</t>
  </si>
  <si>
    <t>CHI NHÁNH TỔNG CÔNG TY THƯƠNG MẠI SÀI GÒN-TNHH MỘT THÀNH VIÊN-TRUNG TÂM THƯƠNG MẠI SATRA VÕ VĂN KIỆT</t>
  </si>
  <si>
    <t>SỐ 1466, ĐƯỜNG VÕ VĂN KIỆT, PHƯỜNG BÌNH TIÊN, THÀNH PHỐ HỒ CHÍ MINH, VIỆT NAM</t>
  </si>
  <si>
    <t>Đồng Nai - Trảng Bom</t>
  </si>
  <si>
    <t>Đông Quân</t>
  </si>
  <si>
    <t>Hân Lê</t>
  </si>
  <si>
    <t>4/4C3 , XÃ XUÂN THỚI SƠN, HUYỆN HÓC MÔN , THÀNH PHỐ HỒ CHÍ MINH.</t>
  </si>
  <si>
    <t>HCM - Bình Hòa</t>
  </si>
  <si>
    <t>Bình Dương - Thuận An</t>
  </si>
  <si>
    <t>CÔNG TY TNHH CÔNG NGHIỆP THỰC PHẨM LIWAYWAY SÀI GÒN</t>
  </si>
  <si>
    <t>SỐ 18, ĐƯỜNG SỐ 6, KCN VIỆT NAM - SINGAPORE, P. BÌNH HÒA, THÀNH PHỐ HỒ CHÍ MINH, VIỆT NAM.</t>
  </si>
  <si>
    <t>Topfood Việt Nam</t>
  </si>
  <si>
    <t>Tây Ninh - Long An</t>
  </si>
  <si>
    <t>CÔNG TY TNHH TOPFOOD VIỆT NAM</t>
  </si>
  <si>
    <t>592/214 QUỐC LỘ 1, PHƯỜNG LONG AN, TỈNH TÂY NINH, VIỆT NAM</t>
  </si>
  <si>
    <t>Tilico</t>
  </si>
  <si>
    <t>Bách Hóa Xanh Trần Đại Nghĩa</t>
  </si>
  <si>
    <t>G16/108A Đường Trần Đại Nghĩa, Ấp 7, Xã Lê Minh Xuân, Huyện Bình Chánh, TP.HCM</t>
  </si>
  <si>
    <t>Vũ Phúc</t>
  </si>
  <si>
    <t>Phạm Phan</t>
  </si>
  <si>
    <t>CÔNG TY CỔ PHẦN THƯƠNG MẠI PHẠM PHAN</t>
  </si>
  <si>
    <t>SỐ 14, ĐƯỜNG LÊ THỊ HOA, ẤP 2, XÃ CỦ CHI, TP.HỒ CHÍ MINH, VIỆT NAM</t>
  </si>
  <si>
    <t>Ngà Năm</t>
  </si>
  <si>
    <t>Liwayway Sài Gòn</t>
  </si>
  <si>
    <t>Hóa Chất Sen Việt</t>
  </si>
  <si>
    <t>Đồng Nai - Hố Nai</t>
  </si>
  <si>
    <t>CÔNG TY TNHH HÓA CHẤT SEN VIỆT</t>
  </si>
  <si>
    <t>ĐƯỜNG D2, CỤM CÔNG NGHIỆP HỐ NAI 3, PHƯỜNG HỐ NAI, TỈNH ĐỒNG NAI, VIỆT NAM</t>
  </si>
  <si>
    <t>Hồ Chí Minh</t>
  </si>
  <si>
    <t>Tuyến+Phường</t>
  </si>
  <si>
    <t>TP, Hồ Chí Minh - Tân Sơn Nhì</t>
  </si>
  <si>
    <t>TP, Hồ Chí Minh - Trung Mỹ Tây</t>
  </si>
  <si>
    <t>TP, Hồ Chí Minh - Thới An</t>
  </si>
  <si>
    <t>TP, Hồ Chí Minh - Bình Lợi</t>
  </si>
  <si>
    <t>TP, Hồ Chí Minh - Bình Tân</t>
  </si>
  <si>
    <t>Xuất Nhập Khẩu New Life</t>
  </si>
  <si>
    <t>CÔNG TY TNHH XUẤT NHẬP KHẨU NEW LIFE</t>
  </si>
  <si>
    <t>PHƯỜNG AN BÌNH, THÀNH PHỐ HỒ CHÍ MINH</t>
  </si>
  <si>
    <t>Dược Phẩm Phong Phú</t>
  </si>
  <si>
    <t>CÔNG TY CỔ PHẦN DƯỢC PHẨM PHONG PHÚ</t>
  </si>
  <si>
    <t>LÔ SỐ 12, ĐƯỜNG SỐ 8, KCN TÂN TẠO, PHƯỜNG TÂN TẠO, THÀNH PHỐ HỒ CHÍ MINH</t>
  </si>
  <si>
    <t>Ân Thái</t>
  </si>
  <si>
    <t>37 ĐƯỜNG 281 LÝ THƯỜNG KIỆT, PHƯỜNG PHÚ THỌ, THÀNH PHỐ HỒ CHÍ MINH</t>
  </si>
  <si>
    <t>EB Miền Đông</t>
  </si>
  <si>
    <t>Số 268, Đường Tô Hiến Thành, Phường Hòa Hưng, Thành phố Hồ Chí Minh, Việt Nam</t>
  </si>
  <si>
    <t>CÔNG TY TNHH TRUNG TÂM NGUYÊN LIỆU HUBCAKE</t>
  </si>
  <si>
    <t>SỐ 272/32 TRẦN THỊ NĂM, KHU PHỐ 49, PHƯỜNG TRUNG MỸ TÂY, THÀNH PHỐ HỒ CHÍ MINH, VIỆT NAM</t>
  </si>
  <si>
    <t>EB Đồng Nai</t>
  </si>
  <si>
    <t>Đồng Nai - Long Hưng</t>
  </si>
  <si>
    <t>Số 833, xa lộ Hà Nội, Phường Long Hưng, Tỉnh Đồng Nai, Việt Nam</t>
  </si>
  <si>
    <t>Phạm-Asset</t>
  </si>
  <si>
    <t>Thực Phẩm Hợp Nhất</t>
  </si>
  <si>
    <t>CÔNG TY TNHH ĐẦU TƯ THƯƠNG MẠI DỊCH VỤ NGUYỄN HUY</t>
  </si>
  <si>
    <t>355/3A ĐƯỜNG NGUYỄN KIM CƯƠNG, ẤP 6, XÃ TÂN THẠNH ĐÔNG, HUYỆN CỦ CHI, THÀNH PHỐ HỒ CHÍ MINH, VIỆT NAM</t>
  </si>
  <si>
    <t>Nguyễn Huy</t>
  </si>
  <si>
    <t>Lotte Phú Thọ</t>
  </si>
  <si>
    <t>CÔNG TY CỔ PHẦN TRUNG TÂM THƯƠNG MẠI LOTTE VIỆT NAM</t>
  </si>
  <si>
    <t>LOTTE MART PHÚ THỌ - 968 ĐƯỜNG 3/2, PHƯỜNG PHÚ THỌ, THÀNH PHỐ HỒ CHÍ MINH, VIỆT NAM</t>
  </si>
  <si>
    <t>Lotte Quận 7</t>
  </si>
  <si>
    <t>Số 469, đường Nguyễn Hữu Thọ, Phường Tân Hưng, TP. Hồ Chí Minh, Việt Nam</t>
  </si>
  <si>
    <t>Lotte Tân Bình</t>
  </si>
  <si>
    <t>CÔNG TY CỔ PHẦN TRUNG TÂM THƯƠNG MẠI LOTTE VIỆT NAM - CHI NHÁNH TÂN BÌNH</t>
  </si>
  <si>
    <t>Số 20, Đường Cộng Hòa , Phường Bảy Hiền, TP. Hồ Chí Minh, Việt Nam</t>
  </si>
  <si>
    <t>Emart Sala</t>
  </si>
  <si>
    <t>CÔNG TY TNHH THISO RETAIL</t>
  </si>
  <si>
    <t>TẦNG HẦM 01 (B1 ), KHU CAO ỐC VĂN PHÒNG - THƯƠNG MẠI - DỊCH VỤ TẠI LÔ 5.5, SỐ 8 - 10 ĐƯỜNG MAI CHÍ THỌ, PHƯỜNG AN KHÁNH, TP HCM</t>
  </si>
  <si>
    <t>Emart Phan Huy Ích</t>
  </si>
  <si>
    <t>385 PHAN HUY ÍCH, PHƯỜNG AN HỘI TÂY, TP HCM, VIỆT NAM</t>
  </si>
  <si>
    <t>Lotte Gò Vấp</t>
  </si>
  <si>
    <t>CÔNG TY CỔ PHẦN TRUNG TÂM THƯƠNG MẠI LOTTE VIỆT NAM - CHI NHÁNH GÒ VẤP</t>
  </si>
  <si>
    <t>Số 18 đường Phan Văn Trị, Phường Gò Vấp, TP. Hồ Chí Minh, Việt Nam</t>
  </si>
  <si>
    <t>TP, Hồ Chí Minh - Phú Thọ</t>
  </si>
  <si>
    <t>TP, Hồ Chí Minh - Chợ Lớn</t>
  </si>
  <si>
    <t>TP, Hồ Chí Minh - Bình Phú</t>
  </si>
  <si>
    <t>TP, Hồ Chí Minh - Phú Lâm</t>
  </si>
  <si>
    <t>TP, Hồ Chí Minh - Tân Tạo</t>
  </si>
  <si>
    <t>TP, Hồ Chí Minh - Bình Trị Đông</t>
  </si>
  <si>
    <t>TP, Hồ Chí Minh - Phú Thọ Hòa</t>
  </si>
  <si>
    <t>TP, Hồ Chí Minh - Bà Điểm</t>
  </si>
  <si>
    <t>TP, Hồ Chí Minh - An Lạc</t>
  </si>
  <si>
    <t>TP, Hồ Chí Minh - An Khánh</t>
  </si>
  <si>
    <t>TP, Hồ Chí Minh - Hòa Hưng</t>
  </si>
  <si>
    <t>TP, Hồ Chí Minh - Tân Mỹ</t>
  </si>
  <si>
    <t>TP. Hồ Chí Minh - Tân Tạo</t>
  </si>
  <si>
    <t>TP, Hồ Chí Minh - Cát Lái</t>
  </si>
  <si>
    <t>TP, Hồ Chí Minh - Tam Bình</t>
  </si>
  <si>
    <t>TP, Hồ Chí Minh - Hóc Môn</t>
  </si>
  <si>
    <t>TP, Hồ Chí Minh - Tân Nhựt</t>
  </si>
  <si>
    <t>TP, Hồ Chí Minh - Gò Vấp</t>
  </si>
  <si>
    <t>TP, Hồ Chí Minh - Tân Thới Hiệp</t>
  </si>
  <si>
    <t>TP, Hồ Chí Minh - Bình Trưng</t>
  </si>
  <si>
    <t>TP, Hồ Chí Minh - Đông Hưng Thuận</t>
  </si>
  <si>
    <t>TP, Hồ Chí Minh - Diên Hồng</t>
  </si>
  <si>
    <t>TP, Hồ Chí Minh - Bình Hưng Hòa B</t>
  </si>
  <si>
    <t>TP, Hồ Chí Minh - Phước Long</t>
  </si>
  <si>
    <t>TP, Hồ Chí Minh - Bình Thạnh</t>
  </si>
  <si>
    <t>TP, Hồ Chí Minh - Tân Thuận</t>
  </si>
  <si>
    <t>TP, Hồ Chí Minh - Bình Hưng</t>
  </si>
  <si>
    <t>Agrex Saigon</t>
  </si>
  <si>
    <t>TP, Hồ Chí Minh - Cầu Ông Lãnh</t>
  </si>
  <si>
    <t>TP, Hồ Chí Minh - Tây Thạnh</t>
  </si>
  <si>
    <t>TP, Hồ Chí Minh - Hiệp Bình</t>
  </si>
  <si>
    <t>TP. Hồ Chí Minh - Phú Định</t>
  </si>
  <si>
    <t>TP, Hồ Chí Minh - Bình Tiên</t>
  </si>
  <si>
    <t>TP, Hồ Chí Minh - Vĩnh Lộc</t>
  </si>
  <si>
    <t>TP, Hồ Chí Minh - Thạnh Mỹ Lợi</t>
  </si>
  <si>
    <t>Nguyên Liệu Hubcake</t>
  </si>
  <si>
    <t>TP, Hồ Chí Minh - Phú Thạnh</t>
  </si>
  <si>
    <t>Aeon Bình Tân</t>
  </si>
  <si>
    <t>TP. Hồ Chí Minh - An Lạc</t>
  </si>
  <si>
    <t>CÔNG TY TNHH AEON VIỆT NAM - CHI NHÁNH THÀNH PHỐ HỒ CHÍ MINH</t>
  </si>
  <si>
    <t>Số 1 đường số 17A, khu phố 27, Phường An Lạc, TP. Hồ Chí Minh, Việt Nam</t>
  </si>
  <si>
    <t>Emart Phan Văn Trị</t>
  </si>
  <si>
    <t>SỐ 366 PHAN VĂN TRỊ, PHƯỜNG AN NHƠN, THÀNH PHỐ HỒ CHÍ MINH, VIỆT NAM</t>
  </si>
  <si>
    <t>EB Phú Thạnh</t>
  </si>
  <si>
    <t>Số 53, Đường Nguyễn Sơn, Phường Phú Thạnh, Thành phố Hồ Chí Minh, Việt Nam</t>
  </si>
  <si>
    <t>TP, Hồ Chí Minh - An Hội Tây</t>
  </si>
  <si>
    <t>TP, Hồ Chí Minh - An Nhơn</t>
  </si>
  <si>
    <t>TP, Hồ Chí Minh - Tân Hưng</t>
  </si>
  <si>
    <t>TP, Hồ Chí Minh - Bảy Hiền</t>
  </si>
  <si>
    <t>Ajnomoto Việt Nam</t>
  </si>
  <si>
    <t>Đồng Nai - Ajnomoto/Nestle/… … ( Xe giao hàng dầu trong IBC tank - bao gồm cả phí thu hồi IBC tank)</t>
  </si>
  <si>
    <t>CÔNG TY AJINOMOTO VIỆT NAM</t>
  </si>
  <si>
    <t>Đường số 9, KCN Long Thành, Xã An Phước, Tỉnh Đồng Nai</t>
  </si>
  <si>
    <t>Anh Anh Vũ</t>
  </si>
  <si>
    <t>TP, Hồ Chí Minh (Đường nhỏ) - Bình Đông</t>
  </si>
  <si>
    <t>TP, Hồ Chí Minh (Đường nhỏ)</t>
  </si>
  <si>
    <t>CÔNG TY TNHH ANH ANH VŨ</t>
  </si>
  <si>
    <t>03 TẠ QUANG BỬU, PHƯỜNG BÌNH ĐÔNG, THÀNH PHỐ HỒ CHÍ MINH, VIỆT NAM</t>
  </si>
  <si>
    <t>Phan Minh Vũ</t>
  </si>
  <si>
    <t>Đồng Nai - Bình Lộc</t>
  </si>
  <si>
    <t>Đồng Nai - Long Khánh</t>
  </si>
  <si>
    <t>CÔNG TY TNHH THƯƠNG MẠI DỊCH VỤ PHAN MINH VŨ</t>
  </si>
  <si>
    <t>Đồng Nai - Trảng Dài</t>
  </si>
  <si>
    <t>SỐ 768, TỔ 10, KP3, PHƯỜNG TRẢNG DÀI, TỈNH ĐỒNG NAI, VIỆT NAM</t>
  </si>
  <si>
    <t>Tân Hùng Thái</t>
  </si>
  <si>
    <t>CÔNG TY TNHH TÂN HÙNG THÁI</t>
  </si>
  <si>
    <t>LÔ F19A-20-21, ĐƯỜNG SỐ 4, KCN HẢI SƠN ( GĐ 3+4), ẤP BÌNH TIỀN 2, XÃ ĐỨC HÒA, TỈNH TÂY NINH</t>
  </si>
  <si>
    <t>Hoàng Minh Phát</t>
  </si>
  <si>
    <t>CÔNG TY TNHH CÔNG NGHỆ PHẨM HOÀNG MINH PHÁT</t>
  </si>
  <si>
    <t>75/69 9, 75/5 Xuân Thới Thượng 9, Xuân Thới Thượng, Hóc Môn, Hồ Chí Minh</t>
  </si>
  <si>
    <t>Hóa Chất Việt Mỹ</t>
  </si>
  <si>
    <t>TP, Hồ Chí Minh - Bình Chánh</t>
  </si>
  <si>
    <t>CÔNG TY CỔ PHẦN XUẤT NHẬP KHẨU HÓA CHẤT VIỆT MỸ</t>
  </si>
  <si>
    <t>C2/29 QUỐC LỘ 1A, ẤP 3, XÃ BÌNH CHÁNH, HUYỆN BÌNH CHÁNH, TP.HCM</t>
  </si>
  <si>
    <t>Phúc Lộc Phát PLP</t>
  </si>
  <si>
    <t>TP, Hồ Chí Minh - Phú Thuận</t>
  </si>
  <si>
    <t>CÔNG TY TNHH THƯƠNG MẠI DỊCH VỤ PHÚC LỘC PHÁT PLP</t>
  </si>
  <si>
    <t>30/1 NGUYỄN VĂN QUỲ, PHƯỜNG PHÚ THUẬN, THÀNH PHỐ HỒ CHÍ MINH, VIỆT NAM</t>
  </si>
  <si>
    <t>Phạm Anh</t>
  </si>
  <si>
    <t>CÔNG TY TNHH MỘT THÀNH VIÊN PHẠM ANH</t>
  </si>
  <si>
    <t>1175 LÊ ĐỨC ANH, KHU PHỐ 25, PHƯỜNG TÂN TẠO, THÀNH PHỐ HỒ CHÍ MINH, VIỆT NAM</t>
  </si>
  <si>
    <t>Mifa</t>
  </si>
  <si>
    <t>CÔNG TY TNHH MIFA</t>
  </si>
  <si>
    <t>Lô 15 Đường số 4, Khu Công Nghiệp Tân Tạo, Phường Tân Tạo, TP. Hồ Chí Minh</t>
  </si>
  <si>
    <t>Thắng Nguyễn</t>
  </si>
  <si>
    <t>TP, Hồ Chí Minh (Đường nhỏ) - Phước Long</t>
  </si>
  <si>
    <t>CÔNG TY TNHH ĐẦU TƯ THƯƠNG MẠI DỊCH VỤ THẮNG NGUYỄN</t>
  </si>
  <si>
    <t>50C XA LỘ HÀ NỘI, PHƯỜNG PHƯỚC LONG, TP. HỒ CHÍ MINH, VIỆT NAM</t>
  </si>
  <si>
    <t xml:space="preserve">  </t>
  </si>
  <si>
    <t>Nestle Việt Nam</t>
  </si>
  <si>
    <t>CÔNG TY TNHH NESTLE VIỆT NAM</t>
  </si>
  <si>
    <t>SỐ 7, ĐƯỜNG 17A, KHU CÔNG NGHIỆP BIÊN HÒA II, PHƯỜNG TRẤN BIÊN, TỈNH ĐỒNG NAI, VIỆT NAM</t>
  </si>
  <si>
    <t>Nhật Trúc Anh</t>
  </si>
  <si>
    <t>Đồng Nai - Hưng Thịnh</t>
  </si>
  <si>
    <t>CÔNG TY TNHH NHẬT TRÚC ANH</t>
  </si>
  <si>
    <t>SỐ 37, ĐƯỜNG ĐÔNG HÒA 7KM, ẤP HÒA BÌNH, XÃ HƯNG THỊNH, TỈNH ĐỒNG NAI, VIỆT NAM</t>
  </si>
  <si>
    <t>Bách Hóa Xanh Diên Khánh</t>
  </si>
  <si>
    <t>Khánh Hòa</t>
  </si>
  <si>
    <t>Lô số 12,13 thuộc Cụm CN Diên Phú-VCN, X.Diên Phú, H.Diên Khánh, Tỉnh Khánh Hoà</t>
  </si>
  <si>
    <t>Bách Hoành</t>
  </si>
  <si>
    <t>An Giang - Châu Đốc</t>
  </si>
  <si>
    <t>Công ty TNHH MTV Thương Mại Dịch Vụ Bách Hoành</t>
  </si>
  <si>
    <t>Đường Tôn Đức Thắng, Tổ 20, Khóm Mỹ Thành, P. Vĩnh Mỹ, TP. Châu Đốc, Tỉnh An Giang, Việt Nam</t>
  </si>
  <si>
    <t>Bánh Mì Kim Ngân Bakery</t>
  </si>
  <si>
    <t>Khánh Hòa - Nam Nha Trang</t>
  </si>
  <si>
    <t>CÔNG TY TNHH BÁNH MÌ KIM NGÂN BAKERY</t>
  </si>
  <si>
    <t>THÔN PHƯỚC LỘC, XÃ PHƯỚC ĐỒNG, THÀNH PHỐ NHA TRANG, TỈNH KHÁNH HÒA, VIỆT NAM</t>
  </si>
  <si>
    <t>Đặng Hoàng Khang</t>
  </si>
  <si>
    <t>Cần Thơ - Vị Tân</t>
  </si>
  <si>
    <t>Hậu Giang</t>
  </si>
  <si>
    <t>CÔNG TY TRÁCH NHIỆM HỮU HẠN ĐẶNG HOÀNG KHANG</t>
  </si>
  <si>
    <t>107 NGUYỄN TRÃI, PHƯỜNG VỊ TÂN, THÀNH PHỐ CẦN THƠ, VIỆT NAM</t>
  </si>
  <si>
    <t>Di Phát</t>
  </si>
  <si>
    <t>Cần Thơ - Phú Lợi</t>
  </si>
  <si>
    <t>Sóc Trăng</t>
  </si>
  <si>
    <t>CÔNG TY TNHH MTV DI PHÁT</t>
  </si>
  <si>
    <t>SỐ 290-292-294 ĐƯỜNG LÊ DUẨN, PHƯỜNG PHÚ LỢI, TP CẦN THƠ, VIỆT NAM</t>
  </si>
  <si>
    <t>EB Gò Công Tây</t>
  </si>
  <si>
    <t>Đồng Tháp - Sơn Qui</t>
  </si>
  <si>
    <t>Tiền Giang - Cai Lậy</t>
  </si>
  <si>
    <t>THỬA ĐẤT SỐ 160, TỜ BẢN ĐỒ SỐ 14, ĐƯỜNG NGUYỄN VĂN CÔN, KHU PHỐ 5, THỊ TRẤN VĨNH BÌNH, HUYỆN GÒ CÔNG TÂY, TỈNH TIỀN GIANG, VIỆT NAM</t>
  </si>
  <si>
    <t>EB Nha Trang</t>
  </si>
  <si>
    <t>Khánh Hòa - Tây Nha Trang</t>
  </si>
  <si>
    <t>Trung tâm thương mại GO! Nha Trang, lô số 4, đường 19/5, Khu đô thị Vĩnh Điềm Trung, Phường Tây Nha Trang, Tỉnh Khánh Hòa, Việt Nam</t>
  </si>
  <si>
    <t>Gia Hoàng</t>
  </si>
  <si>
    <t>CÔNG TY TRÁCH NHIỆM HỮU HẠN THƯƠNG MẠI-DỊCH VỤ GIA HOÀNG</t>
  </si>
  <si>
    <t>KHU PHỐ LĂNG HOÀNG GIA, PHƯỜNG SƠN QUI, TỈNH ĐỒNG THÁP, VIỆT NAM</t>
  </si>
  <si>
    <t>H H Food</t>
  </si>
  <si>
    <t>Khánh Hòa - Nha Trang</t>
  </si>
  <si>
    <t>CÔNG TY TNHH H H FOOD</t>
  </si>
  <si>
    <t>30 Lý Tự Trọng, Phường Nha Trang, Khánh Hòa</t>
  </si>
  <si>
    <t>Hoàng Kha Phú Quốc</t>
  </si>
  <si>
    <t>An Giang - Đặc Khu Phú Quốc</t>
  </si>
  <si>
    <t>Kiên Giang - Phú Quốc</t>
  </si>
  <si>
    <t>CÔNG TY TNHH MTV HOÀNG KHA PHÚ QUỐC</t>
  </si>
  <si>
    <t>Hữu Linh</t>
  </si>
  <si>
    <t>HCM - Bà Rịa</t>
  </si>
  <si>
    <t>Bà Rịa - Vũng Tàu</t>
  </si>
  <si>
    <t>CÔNG TY TNHH THƯƠNG MẠI HỮU LINH</t>
  </si>
  <si>
    <t>47 TRẦN CHÁNH CHIẾU, PHƯỜNG BÀ RỊA, THÀNH PHỐ HỒ CHÍ MINH</t>
  </si>
  <si>
    <t>Huỳnh Hoàng Phát</t>
  </si>
  <si>
    <t>Đồng Tháp - Cao Lãnh</t>
  </si>
  <si>
    <t>CÔNG TY TNHH MỘT THÀNH VIÊN HUỲNH HOÀNG PHÁT</t>
  </si>
  <si>
    <t>SỐ 29, ĐƯỜNG NGUYỄN THỊ LỰU, PHƯỜNG CAO LÃNH, TỈNH ĐỒNG THÁP, VIỆT NAM</t>
  </si>
  <si>
    <t>Khanh Hoàng Kiệt</t>
  </si>
  <si>
    <t>Đồng Tháp - An Bình</t>
  </si>
  <si>
    <t>Đồng Tháp - Hồng Ngự</t>
  </si>
  <si>
    <t>Công ty TNHH Một Thành Viên Khanh Hoàng Kiệt</t>
  </si>
  <si>
    <t>QUỐC LỘ 30, KHÓM AN THỊNH, PHƯỜNG AN BÌNH A, THÀNH PHỐ HỒNG NGỰ, TỈNH ĐỒNG THÁP, VIỆT NAM</t>
  </si>
  <si>
    <t>Lotte Gold Nha Trang</t>
  </si>
  <si>
    <t>CÔNG TY CỔ PHẦN TRUNG TÂM THƯƠNG MẠI LOTTE VIỆT NAM - CHI NHÁNH NHA TRANG</t>
  </si>
  <si>
    <t>TẦNG 3, 4 NHA TRANG GOLD COAST - SỐ 1 TRẦN HƯNG ĐẠO, PHƯỜNG NHA TRANG, TỈNH KHÁNH HÒA</t>
  </si>
  <si>
    <t>Lotte Nha Trang</t>
  </si>
  <si>
    <t>SỐ 58 ĐƯỜNG 23/10, PHƯỜNG TÂY NHA TRANG, TỈNH KHÁNH HÒA, VIỆT NAM</t>
  </si>
  <si>
    <t>Mai Hoa</t>
  </si>
  <si>
    <t>Lâm Đồng - Đức Trọng</t>
  </si>
  <si>
    <t>CÔNG TY TNHH MAI HOA</t>
  </si>
  <si>
    <t>SỐ 705 QUỐC LỘ 20, XÃ  ĐỨC TRỌNG, TỈNH LÂM ĐỒNG, VIỆT NAM</t>
  </si>
  <si>
    <t>Mai Thịnh</t>
  </si>
  <si>
    <t>Lâm Đồng - Bảo Lộc</t>
  </si>
  <si>
    <t>CÔNG TY TNHH MTV MAI THỊNH</t>
  </si>
  <si>
    <t>SỐ 7-11 ĐƯỜNG LÊ HỒNG PHONG, PHƯỜNG 1, THÀNH PHỐ BẢO LỘC, TỈNH LÂM ĐỒNG, VIỆT NAM</t>
  </si>
  <si>
    <t>Mega Nha Trang</t>
  </si>
  <si>
    <t>ĐƯỜNG 23/10, THÔN VÕ CẠNH, XÃ VĨNH TRUNG,TP. NHA TRANG, TỈNH KHÁNH HÒA, VIỆT NAM</t>
  </si>
  <si>
    <t>Mega Phú Quốc</t>
  </si>
  <si>
    <t>TỔ 2, ẤP SUỐI ĐÁ, XÃ DƯƠNG TƠ, HUYỆN PHÚ QUỐC, TỈNH KIÊN GIANG, VIỆT NAM</t>
  </si>
  <si>
    <t>Minh Dược</t>
  </si>
  <si>
    <t>CÔNG TY TNHH THƯƠNG MẠI MINH DƯỢC</t>
  </si>
  <si>
    <t>404/6 LÊ HỒNG PHONG, PHƯỜNG NAM NHA TRANG, TỈNH KHÁNH HÒA, VIỆT NAM</t>
  </si>
  <si>
    <t>Mỹ Lệ</t>
  </si>
  <si>
    <t>Khánh Hòa - Bắc Cam Ranh</t>
  </si>
  <si>
    <t>Khánh Hòa - Cam Ranh</t>
  </si>
  <si>
    <t>Công ty TNHH TMDV Mỹ Lệ</t>
  </si>
  <si>
    <t>59 Nguyễn Công Trứ, Phường Bắc Cam Ranh, Tỉnh Khánh Hòa</t>
  </si>
  <si>
    <t>Ngọc Trương</t>
  </si>
  <si>
    <t>Lâm Đồng - Lâm Viên-Đà Lạt</t>
  </si>
  <si>
    <t>Lâm Đồng - Đà Lạt</t>
  </si>
  <si>
    <t>CÔNG TY TNHH NGỌC TRƯƠNG</t>
  </si>
  <si>
    <t>SỐ 26 28 TRẦN KHÁNH DƯ, PHƯỜNG LÂM VIÊN ĐÀ LẠT, TỈNH LÂM ĐỒNG, VIỆT NAM</t>
  </si>
  <si>
    <t>Phương Uyên</t>
  </si>
  <si>
    <t>Cần Thơ - Thuận Hưng</t>
  </si>
  <si>
    <t>Cần Thơ - Thốt Nốt</t>
  </si>
  <si>
    <t>CÔNG TY TNHH MỘT THÀNH VIÊN THƯƠNG MẠI DỊCH VỤ PHƯƠNG UYÊN</t>
  </si>
  <si>
    <t>KHU VỰC QUI THẠNH 1, PHƯỜNG THUẬN HƯNG, THÀNH PHỐ CẦN THƠ, VIỆT NAM</t>
  </si>
  <si>
    <t>Quốc Phong</t>
  </si>
  <si>
    <t>Khánh Hòa - Bắc Ninh Hòa</t>
  </si>
  <si>
    <t>CÔNG TY TNHH QUỐC PHONG NHA TRANG</t>
  </si>
  <si>
    <t>Thôn Ninh Ích, Xã Bắc Ninh Hòa, Tỉnh Khánh Hòa, Việt Nam</t>
  </si>
  <si>
    <t>Sunhou Việt Nam</t>
  </si>
  <si>
    <t>Cần Thơ - An Ninh</t>
  </si>
  <si>
    <t>CÔNG TY CỔ PHẦN SUNHOU VIỆT NAM</t>
  </si>
  <si>
    <t>Lô Q đường N1 khu công nghiệp An Nghiệp, xã An Ninh, thành phố Cần Thơ, Việt Nam</t>
  </si>
  <si>
    <t>Tân Huê Viên</t>
  </si>
  <si>
    <t>Cần Thơ</t>
  </si>
  <si>
    <t>CÔNG TY TNHH CHẾ BIẾN THỰC PHẨM BÁNH PÍA LẠP XƯỞNG TÂN HUÊ VIÊN</t>
  </si>
  <si>
    <t>153 QL1A, ẤP PHỤNG HIỆP, XÃ AN NINH, THÀNH PHỐ CẦN THƠ, VIỆT NAM</t>
  </si>
  <si>
    <t>Tân Vĩnh Lợi Hà Tiên</t>
  </si>
  <si>
    <t>An Giang - Hà Tiên</t>
  </si>
  <si>
    <t>Kiên Giang - Hà Tiên</t>
  </si>
  <si>
    <t>CÔNG TY TNHH MỘT THÀNH VIÊN TÂN VĨNH LỢI HÀ TIÊN</t>
  </si>
  <si>
    <t>LÔ C6 ĐƯỜNG NGUYỄN THỊ ĐỊNH, KĐT MỚI HÀ TIÊN, PHƯỜNG HÀ TIÊN, TỈNH AN GIANG.</t>
  </si>
  <si>
    <t>Thắng Thoa</t>
  </si>
  <si>
    <t>Đồng Nai - Tân Phú</t>
  </si>
  <si>
    <t>DOANH NGHIỆP TƯ NHÂN THẮNG THOA</t>
  </si>
  <si>
    <t>SỐ 90, TỔ 3, ẤP NGỌC LÂM 1, XÃ TÂN PHÚ, TỈNH ĐỒNG NAI, VIỆT NAM</t>
  </si>
  <si>
    <t>Tuấn Hân</t>
  </si>
  <si>
    <t>CÔNG TY TNHH MTV TUẤN HÂN</t>
  </si>
  <si>
    <t>93 CÙ CHÍNH LAN, PHƯỜNG 8, TP. ĐÀ LẠT, T. LÂM ĐỒNG, VIỆT NAM</t>
  </si>
  <si>
    <t>Vĩnh Thành</t>
  </si>
  <si>
    <t>CÔNG TY TNHH VĨNH THÀNH</t>
  </si>
  <si>
    <t>96 TRẦN QUÝ CÁP, PHƯỜNG NHA TRANG, TỈNH KHÁNH HÒA, VIỆT NAM</t>
  </si>
  <si>
    <t>SỐ 1610 VÕ VĂN KIỆT, PHƯỜNG BÌNH TIÊN, THÀNH PHỐ HỒ CHÍ MINH, VIỆT NAM.</t>
  </si>
  <si>
    <t>Thực Phẩm Dary</t>
  </si>
  <si>
    <t>CÔNG TY TNHH THỰC PHẨM DARY</t>
  </si>
  <si>
    <t>Lô D4, Đường N1, KCN Hiệp Phước, Xã Hiệp Phước, Huyện Nhà Bè, Thành phố Hồ Chí Minh, Việt Nam</t>
  </si>
  <si>
    <t>Bé Cần Đước</t>
  </si>
  <si>
    <t>HCM - Thủ Dầu Một</t>
  </si>
  <si>
    <t>Bình Dương - TDM</t>
  </si>
  <si>
    <t>CÔNG TY TNHH THƯƠNG MẠI ĐẦU TƯ BÉ CẦN ĐƯỚC</t>
  </si>
  <si>
    <t xml:space="preserve">61 ĐƯỜNG D, KHU ĐÔ THỊ CHÁNH NGHĨA, PHƯỜNG THỦ DẦU MỘT, THÀNH PHỐ HỒ CHÍ MINH, VIỆT NAM </t>
  </si>
  <si>
    <t>Thực Phẩm Vi Vi</t>
  </si>
  <si>
    <t>CÔNG TY TNHH THƯƠNG MẠI PHÂN PHỐI THỰC PHẨM VI VI</t>
  </si>
  <si>
    <t>Số 1 Đường Bùi Thanh Khiết, Xã Tân Nhựt, Thành phố Hồ Chí Minh, Việt Nam</t>
  </si>
  <si>
    <t>Satra</t>
  </si>
  <si>
    <t>TRUNG TÂM PHÂN PHỐI SATRA</t>
  </si>
  <si>
    <t>LÔ 1-5, KHU C1 VÀ LÔ 3-5,KHU B1 KHU CÔNG NGHIỆP TÂN THỚI HIỆP, PHƯỜNG TÂN THỚI HIỆP, THÀNH PHỐ HỒ CHÍ MINH, VIỆT NAM</t>
  </si>
  <si>
    <t>TP, Hồ Chí Minh - Tân Thạnh Đông</t>
  </si>
  <si>
    <t>Lâm Đồng - Xuân Hương-Đà Lạt</t>
  </si>
  <si>
    <t>Quảng trường Lâm Viên, góc đường Hồ Tùng Mậu và Trần Quốc Toản, Phường Xuân Hương - Đà Lạt, Tỉnh Lâm Đồng, Việt Nam</t>
  </si>
  <si>
    <t>Mega Kiên Giang</t>
  </si>
  <si>
    <t>An Giang - Rạch Giá</t>
  </si>
  <si>
    <t>Kiên Giang</t>
  </si>
  <si>
    <t>LÔ A11, KHU LẤN BIỂN, PHƯỜNG VĨNH THANH VÂN, THÀNH PHỐ RẠCH GIÁ, TỈNH KIÊN GIANG, VIỆT NAM</t>
  </si>
  <si>
    <t>Hiệp Hưng</t>
  </si>
  <si>
    <t>An Giang - Long Xuyên</t>
  </si>
  <si>
    <t>Công ty TNHH MTV Thương mại Dịch vụ Hiệp Hưng</t>
  </si>
  <si>
    <t>SỐ 162, ĐƯỜNG ĐIỆN BIÊN PHỦ, KHÓM 4, PHƯỜNG LONG XUYÊN, AN GIANG</t>
  </si>
  <si>
    <t>Thôn Võ Cang, Phường Tây Nha Trang, Tỉnh Khánh Hòa, Việt Nam</t>
  </si>
  <si>
    <t>Đường Quảng Ngãi</t>
  </si>
  <si>
    <t>CÔNG TY CỔ PHẦN ĐƯỜNG QUẢNG NGÃI</t>
  </si>
  <si>
    <t>KHO SỐ 3-BÃI XE MIỀN NAM,SỐ 13 QUỐC LỘ 1A,PHƯỜNG THỚI AN,THÀNH PHỒ HỒ CHÍ MINH</t>
  </si>
  <si>
    <t>EB Gò Vấp</t>
  </si>
  <si>
    <t>TP, Hồ Chí Minh - Hạnh Thông</t>
  </si>
  <si>
    <t>792 Nguyễn Kiệm, Phường Hạnh Thông, Thành phố Hồ Chí Minh, Việt Nam</t>
  </si>
  <si>
    <t>Cửa Hàng Hà Anh</t>
  </si>
  <si>
    <t>HỘ KINH DOANH CỬA HÀNG HÀ ANH</t>
  </si>
  <si>
    <t>226/21 Phan Đình Phùng, Phường Xuân Hương - Đà Lạt, Lâm Đồng</t>
  </si>
  <si>
    <t>Đăng Vân Kiên Giang</t>
  </si>
  <si>
    <t>CÔNG TY TNHH MỘT THÀNH VIÊN TƯ VẤN ĐĂNG VÂN KIÊN GIANG</t>
  </si>
  <si>
    <t>SỐ 566 LÂM QUANG KY, PHƯỜNG RẠCH GIÁ, TỈNH AN GIANG, VIỆT NAM</t>
  </si>
  <si>
    <t>Khánh Hòa - Cam Lâm</t>
  </si>
  <si>
    <t>LÔ N13, N14, N15 KHU CÔNG NGHIỆP SUỐI DẦU, XÃ SUỐI TÂN, HUYỆN CAM LÂM, TỈNH KHÁNH HÒA</t>
  </si>
  <si>
    <t>Hóa Dược Quốc Tế Sài Gòn</t>
  </si>
  <si>
    <t>CÔNG TY CỔ PHẦN HÓA DƯỢC QUỐC TẾ SÀI GÒN</t>
  </si>
  <si>
    <t>SỐ 71 ĐƯỜNG TA08, PHƯỜNG THỚI AN, THÀNH PHỐ HỒ CHÍ MINH, VIỆT NAM</t>
  </si>
  <si>
    <t>LC Foods</t>
  </si>
  <si>
    <t>HCM - Tây Nam</t>
  </si>
  <si>
    <t>CÔNG TY CỔ PHẦN LC FOODS</t>
  </si>
  <si>
    <t>LÔ G4-1 (KHU B2). ĐƯỜNG D10, KCN RẠCH BẮP, PHƯỜNG TÂY NAM, THÀNH PHỐ HỒ CHÍ MINH</t>
  </si>
  <si>
    <t>EB Âu Cơ</t>
  </si>
  <si>
    <t>EB Thảo Điền</t>
  </si>
  <si>
    <t>Tầng hầm lửng, Tòa nhà Thảo Điền Pearl, số 12, đường Quốc Hương, Phường An Khánh, Thành phố Hồ Chí Minh, Việt Nam</t>
  </si>
  <si>
    <t>Khu căn hộ và Trung tâm thương mại Đông Phương, số 685 đường Âu Cơ, Phường Tân Thành, Quận Tân Phú, Thành phố Hồ Chí Minh</t>
  </si>
  <si>
    <t>Xuân Thủy</t>
  </si>
  <si>
    <t>TP, Hồ Chí Minh - Tân Kiên</t>
  </si>
  <si>
    <t>HỘ KINH DOANH XUÂN THỦY</t>
  </si>
  <si>
    <t>B4/2 QL1A, VÒNG XOAY AN LẠC, XÃ TÂN KIÊN, HUYỆN BÌNH CHÁNH, TP HCM</t>
  </si>
  <si>
    <t>Jollibee Việt Nam Tại Cần Giuộc</t>
  </si>
  <si>
    <t>LÔ 302, ĐƯỜNG SỐ 12, KHU CÔNG NGHIỆP LONG HẬU 3 (GIAI ĐOẠN 2), ẤP LONG HẬU 3, XÃ CẦN GIUỘC, TỈNH TÂY NINH, VIỆT NAM</t>
  </si>
  <si>
    <t>Duy Linh</t>
  </si>
  <si>
    <t>TP, Hồ Chí Minh - Linh Xuân</t>
  </si>
  <si>
    <t>CÔNG TY TNHH MỘT THÀNH VIÊN VẬN TẢI DUY LINH</t>
  </si>
  <si>
    <t>56/6 Đường số 3, Khu phố 2, Phường Linh Xuân, TP. Hồ Chí Minh</t>
  </si>
  <si>
    <t>TP, Hồ Chí Minh - Linh Đông</t>
  </si>
  <si>
    <t>US Pharma USA</t>
  </si>
  <si>
    <t>CÔNG TY CỔ PHẦN US PHARMA USA</t>
  </si>
  <si>
    <t>LÔ B1-10, ĐƯỜNG D2, KHU CÔNG NGHIỆP TÂY BẮC CỦ CHI, ẤP BÀU TRE 2, XÃ TÂN AN HỘI, THÀNH PHỐ HỒ CHÍ MINH, VIỆT NAM</t>
  </si>
  <si>
    <t>Số 53/1 Quốc Lộ 1A, Phường Tân Thới Nhất, Quận 12, Thành Phố Hồ Chí Minh</t>
  </si>
  <si>
    <t>S.P.M</t>
  </si>
  <si>
    <t>CÔNG TY CỔ PHẦN S.P.M</t>
  </si>
  <si>
    <t>LÔ SỐ 51 - 53 KHU CÔNG NGHIỆP TÂN TẠO ĐƯỜNG SỐ 2, PHƯỜNG TÂN TẠO, THÀNH PHỐ HỒ CHÍ MINH, VIỆT NAM.</t>
  </si>
  <si>
    <t>Thực Phẩm Đông Lạnh Kido</t>
  </si>
  <si>
    <t>CÔNG TY CỔ PHẦN THỰC PHẨM ĐÔNG LẠNH KIDO</t>
  </si>
  <si>
    <t>LÔ A2-7, ĐƯỜNG SỐ N4, KCN TÂY BẮC CỦ CHI, XÃ TÂN AN HỘI, THÀNH PHỐ HỒ CHÍ MINH, VIỆT NAM.</t>
  </si>
  <si>
    <t>Nguyễn Ngọc Lang</t>
  </si>
  <si>
    <t>Tây Ninh - Rạch Kiến</t>
  </si>
  <si>
    <t>CÔNG TY TNHH MỘT THÀNH VIÊN NGUYỄN NGỌC LANG</t>
  </si>
  <si>
    <t>315 TỔ 5, ẤP 3, XÃ RẠCH KIẾN, TỈNH TÂY NINH, VIỆT NAM</t>
  </si>
  <si>
    <t>Phil Inter Pharma</t>
  </si>
  <si>
    <t>CÔNG TY TNHH PHIL INTER PHARMA</t>
  </si>
  <si>
    <t>Số 20 Đại lộ Hữu Nghị, Khu công nghiệp Việt Nam – Singapore, P. Bình Hòa, TP. Hồ Chí Minh, Việt Nam</t>
  </si>
  <si>
    <t>SG Coop Lê Minh Xuân</t>
  </si>
  <si>
    <t>LIÊN HIỆP HỢP TÁC XÃ THƯƠNG MẠI THÀNH PHỐ HỒ CHÍ MINH</t>
  </si>
  <si>
    <t>LÔ H1, H2-1, ĐƯỜNG N6, KHU CÔNG NGHIỆP LÊ MINH XUÂN 3, XÃ LÊ MINH XUÂN, HUYỆN BÌNH CHÁNH, THÀNH PHỐ HỒ CHÍ MINH, VIỆT NAM</t>
  </si>
  <si>
    <t>Go! Đà Lạt</t>
  </si>
  <si>
    <t>Nhựa Ngọc Minh</t>
  </si>
  <si>
    <t>CÔNG TY CỔ PHẦN HÓA NHỰA NGỌC MINH</t>
  </si>
  <si>
    <t>301 Đường ĐT 743 Khu phố Đồng An 2, Phường Bình Hòa, TP.HCM, Việt Nam</t>
  </si>
  <si>
    <t>Bách Hóa Xanh Thuận An</t>
  </si>
  <si>
    <t>HCM - An Phú</t>
  </si>
  <si>
    <t>Số 38/1 Tổ 1, Khu Phố Bình Phước A, Phường Bình Chuẩn, Thị xã Thuận An, Tỉnh Bình Dương, Việt Nam</t>
  </si>
  <si>
    <t>Golden Sword</t>
  </si>
  <si>
    <t>CÔNG TY TNHH GOLDEN SWORD</t>
  </si>
  <si>
    <t>A2/19T TRẦN ĐẠI NGHĨA, ẤP 1, XÃ TÂN KIÊN, HUYỆN BÌNH CHÁNH, THÀNH PHỐ HỒ CHÍ MINH, VIỆT NAM</t>
  </si>
  <si>
    <t>Hai Thanh</t>
  </si>
  <si>
    <t>CÔNG TY TNHH THỰC PHẨM XUẤT KHẨU HAI THANH</t>
  </si>
  <si>
    <t>LÔ A14a, KCN HIỆP PHƯỚC, XÃ HIỆP PHƯỚC, THÀNH PHỐ HỒ CHÍ MINH</t>
  </si>
  <si>
    <t>2538 TRẦN VĂN GIÀU, P.3, XÃ PHẠM VĂN HAI, HUYỆN BÌNH CHÁNH, TP.HỒ CHÍ MINH</t>
  </si>
  <si>
    <t>MỸ Phẩm LG Vina</t>
  </si>
  <si>
    <t>Đồng Nai - Nhơn Trạch</t>
  </si>
  <si>
    <t>CÔNG TY TNHH MỸ PHẨM LG VINA</t>
  </si>
  <si>
    <t>KCN NHƠN TRẠCH 2, XÃ NHƠN TRẠCH, TỈNH ĐỒNG NAI, VIỆT NAM</t>
  </si>
  <si>
    <t>Vĩnh Nam Anh</t>
  </si>
  <si>
    <t>CÔNG TY TNHH VĨNH NAM ANH</t>
  </si>
  <si>
    <t>109 Hà Duy Phiên, ấp 5, xã Bình Mỹ, Huyện Củ Chi</t>
  </si>
  <si>
    <t>ACT Hà Anh</t>
  </si>
  <si>
    <t>CÔNG TY TNHH ACT HÀ ANH</t>
  </si>
  <si>
    <t>SỐ 45 NGUYỄN LƯƠNG BẰNG, PHƯỜNG XUÂN HƯƠNG - ĐÀ LẠT, TỈNH LÂM ĐỒNG, VIỆT NAM</t>
  </si>
  <si>
    <t>ko bx ko chuyển tải</t>
  </si>
  <si>
    <t>có chuyển tải</t>
  </si>
  <si>
    <t>Tân Nguyên Hưng</t>
  </si>
  <si>
    <t>HỘ KINH DOANH TÂN NGUYÊN HƯNG</t>
  </si>
  <si>
    <t>269 HẬU GIANG, PHƯỜNG BÌNH TÂY, THÀNH PHỐ HỒ CHÍ MINH, VIỆT NAM</t>
  </si>
  <si>
    <t>TP, Hồ Chí Minh - Bình Tây</t>
  </si>
  <si>
    <t>Ic Food Vietnam Tại Thành Phố Hồ Chí Minh</t>
  </si>
  <si>
    <t>CHI NHÁNH CÔNG TY TNHH IC FOOD VIETNAM TẠI THÀNH PHỐ HỒ CHÍ MINH</t>
  </si>
  <si>
    <t>LÔ III-21, ĐƯỜNG 19/5A, NHÓM CN III, KHU CÔNG NGHIỆP TÂN BÌNH, PHƯỜNG TÂY THẠNH, THÀNH PHỐ HỒ CHÍ MINH, VIỆT NAM</t>
  </si>
  <si>
    <t>Mỹ Phẩm Sài Gòn</t>
  </si>
  <si>
    <t>CÔNG TY CỔ PHẦN MỸ PHẨM SÀI GÒN</t>
  </si>
  <si>
    <t>930 NGUYỄN THỊ ĐỊNH, KCN CÁT LÁI (CỤM II), PHƯỜNG CÁT LÁI, TP.HCM, VIỆT NAM</t>
  </si>
  <si>
    <t>TP, Hồ Chí Minh - Đông Thạnh</t>
  </si>
  <si>
    <t>CÔNG TY TNHH THƯƠNG MẠI NHẤT HƯƠNG</t>
  </si>
  <si>
    <t>335 ĐẶNG THÚC VỊNH , XÃ ĐÔNG THẠNH, HUYỆN HÓC MÔN, TP. HCM</t>
  </si>
  <si>
    <t>Yilin Việt Nam</t>
  </si>
  <si>
    <t>CÔNG TY TNHH YILIN VIỆT NAM</t>
  </si>
  <si>
    <t>LÔ K4C, ĐƯỜNG SỐ 4, KCN LÊ MINH XUÂN, XÃ BÌNH LỢI, THÀNH PHỐ HỒ CHÍ MINH</t>
  </si>
  <si>
    <t>Quốc Tế Hoàng Quân</t>
  </si>
  <si>
    <t>CÔNG TY TNHH XUẤT NHẬP KHẨU QUỐC TẾ HOÀNG QUÂN</t>
  </si>
  <si>
    <t>Số 72 Tô Ký , Phường Trung Mỹ Tây, Thành Phố Hồ Chí Minh</t>
  </si>
  <si>
    <t>Nguyên Liệu Nemo</t>
  </si>
  <si>
    <t>CÔNG TY TNHH NGUYÊN LIỆU NEMO</t>
  </si>
  <si>
    <t>01 NÚI MỘT, PHƯỜNG NHA TRANG, TỈNH KHÁNH HOÀ, VIỆT NAM</t>
  </si>
  <si>
    <t>EB Đà Lạt</t>
  </si>
  <si>
    <t>Toannguyen Food</t>
  </si>
  <si>
    <t>CÔNG TY TNHH TOANNGUYEN FOOD</t>
  </si>
  <si>
    <t>50G ĐƯỜNG BẾN PHÚ ĐỊNH, PHƯỜNG PHÚ ĐỊNH, THÀNH PHỐ HỒ CHÍ MINH, VIỆT NAM</t>
  </si>
  <si>
    <t>Marico South East Asia</t>
  </si>
  <si>
    <t>CÔNG TY CỔ PHẦN MARICO SOUTH EAST ASIA</t>
  </si>
  <si>
    <t>Lô D2 Đường số 7A, KCN Lê Minh Xuân, Xã Tân Nhựt, Thành phố Hồ Chí Minh, Việt Nam</t>
  </si>
  <si>
    <t>Giày Thái Thịnh</t>
  </si>
  <si>
    <t>TP, Hồ Chí Minh - Tân Vĩnh Lộc</t>
  </si>
  <si>
    <t>CÔNG TY CỔ PHẦN GIÀY THÁI THỊNH</t>
  </si>
  <si>
    <t>F1/35 Vĩnh Lộc (hương lộ 80), xã Vĩnh Lộc B,Bình Chánh, thành phố Hồ Chí Minh</t>
  </si>
  <si>
    <t>Đạt Mạnh Hùng</t>
  </si>
  <si>
    <t>Đồng Nai - Bình An</t>
  </si>
  <si>
    <t>Đồng Nai - Long Thành</t>
  </si>
  <si>
    <t>CÔNG TY TNHH ĐẠT MẠNH HÙNG</t>
  </si>
  <si>
    <t>299, TỔ 4, KHU 12, XÃ BÌNH AN, TỈNH ĐỒNG NAI, VIỆT NAM</t>
  </si>
  <si>
    <t>TP, Hồ Chí Minh - Bình Hưng Hòa A</t>
  </si>
  <si>
    <t>298/33 ĐƯỜNG LÊ VĂN QUỚI, PHƯỜNG BÌNH TÂN, THÀNH PHỐ HỒ CHÍ MINH, VIỆT NAM</t>
  </si>
  <si>
    <t>Tân Nhất Hương</t>
  </si>
  <si>
    <t>ko bx, ko ct</t>
  </si>
  <si>
    <t>Wincommerce</t>
  </si>
  <si>
    <t>HCM - Hòa Phú</t>
  </si>
  <si>
    <t>CÔNG TY CỔ PHẦN DỊCH VỤ THƯƠNG MẠI TỔNG HỢP WINCOMMERCE</t>
  </si>
  <si>
    <t>SITE 1379, 18L1/2, ĐƯỜNG SỐ 3 VSIP 2, HÒA PHÚ, P. PHÚ CHÁNH, T. BÌNH DƯƠNG, VIỆT NAM</t>
  </si>
  <si>
    <t>King Food Market</t>
  </si>
  <si>
    <t>HCM - Đông Hòa</t>
  </si>
  <si>
    <t>CÔNG TY CỔ PHẦN KING FOOD MARKET</t>
  </si>
  <si>
    <t>Kho Linker Logistics, Số 324, đường ĐT743A, Phường Đông Hòa, Thành phố Hồ Chí Minh, Việt Nam</t>
  </si>
  <si>
    <t>Viva Caca</t>
  </si>
  <si>
    <t>CÔNG TY CỔ PHẦN VIVA CACA</t>
  </si>
  <si>
    <t>LÔ H.07, ĐƯỜNG SỐ 2, KCN LONG HẬU, ẤP 3, XÃ CẦN GIUỘC, TÂY NINH</t>
  </si>
  <si>
    <t>Nuplex Resins (Việt Nam)</t>
  </si>
  <si>
    <t>Đồng Nai - An Bình</t>
  </si>
  <si>
    <t>CÔNG TY TNHH NUPLEX RESINS (VIỆT NAM)</t>
  </si>
  <si>
    <t>SỐ 1, ĐƯỜNG 9A, KHU CÔNG NGHIỆP BIÊN HÒA II, PHƯỜNG TRẤN BIÊN, TỈNH ĐỒNG NAI, VIỆT NAM</t>
  </si>
  <si>
    <t>Thiên Long Long Thành</t>
  </si>
  <si>
    <t>Đồng Nai - An Phước</t>
  </si>
  <si>
    <t>CÔNG TY TNHH SẢN XUẤT THƯƠNG MẠI THIÊN LONG LONG THÀNH</t>
  </si>
  <si>
    <t>Đường số 7, KCN Long Thành, Xã An Phước, Tỉnh Đồng Nai</t>
  </si>
  <si>
    <t>Bột Mì Phương Nam</t>
  </si>
  <si>
    <t>CÔNG TY TNHH THƯƠNG MẠI BỘT MÌ PHƯƠNG NAM</t>
  </si>
  <si>
    <t>53/1C QUỐC LỘ 1A, PHƯỜNG ĐÔNG HƯNG THUẬN, TP HỒ CHÍ MINH</t>
  </si>
  <si>
    <t>Võ Thành Nhân</t>
  </si>
  <si>
    <t>HCM - Thái Mỹ</t>
  </si>
  <si>
    <t>CÔNG TY TNHH MTV VÕ THÀNH NHÂN</t>
  </si>
  <si>
    <t>825, QUỐC LỘ 22, NGÃ TƯ PHƯỚC THẠNH, XÃ PHƯỚC THẠNH, HUYỆN CỦ CHI, TP. HỒ CHÍ MINH</t>
  </si>
  <si>
    <t>Kim Kê</t>
  </si>
  <si>
    <t>CÔNG TY TNHH KIM KÊ</t>
  </si>
  <si>
    <t>LÔ E1, ĐƯỜNG K1, KCN CÁT LÁI, PHƯỜNG CÁT LÁI, THÀNH PHỐ HỒ CHÍ MINH</t>
  </si>
  <si>
    <t>True Care Việt Nam</t>
  </si>
  <si>
    <t>CÔNG TY CỔ PHẦN TRUE CARE VIỆT NAM</t>
  </si>
  <si>
    <t xml:space="preserve">Lô A211, đường số 3, KCN Thái Hòa, xã Đức Lập, tỉnh Tây Ninh </t>
  </si>
  <si>
    <t>Vico Tại Bình Dương</t>
  </si>
  <si>
    <t>HCM - Vĩnh Tân</t>
  </si>
  <si>
    <t>Bình Dương - Tân Uyên</t>
  </si>
  <si>
    <t>CHI NHÁNH CÔNG TY TNHH VICO TẠI BÌNH DƯƠNG</t>
  </si>
  <si>
    <t>SỐ 19 VSIP II-A, ĐƯỜNG SỐ 26, KHU CÔNG NGHIỆP VIỆT NAM-SINGAPORE, PHƯỜNG VĨNH TÂN, THÀNH PHỐ HỒ CHÍ MINH, VIỆT NAM</t>
  </si>
  <si>
    <t>Dong Lim Vina Chemical</t>
  </si>
  <si>
    <t>CÔNG TY TNHH DONG LIM VINA CHEMICAL</t>
  </si>
  <si>
    <t>Khu Công nghiệp Long Thành, Xã  An Phước, Tỉnh Đồng Nai, Việt Nam</t>
  </si>
  <si>
    <t>Vilaco</t>
  </si>
  <si>
    <t>CÔNG TY CỔ PHẦN VILACO</t>
  </si>
  <si>
    <t>KCN SÓNG THẦN, QL14 , THÀNH PHỐ HỒ CHÍ MINH</t>
  </si>
  <si>
    <t>Dương Hoàng Hoa</t>
  </si>
  <si>
    <t>Đồng Nai - Tam Phước</t>
  </si>
  <si>
    <t>CÔNG TY TNHH MỘT THÀNH VIÊN DƯƠNG HOÀNG HOA</t>
  </si>
  <si>
    <t>Cụm Công Nghiệp Dốc 47, Xã Tam Phước, TP.Biên Hòa, Tỉnh Đồng Nai</t>
  </si>
  <si>
    <t>Opas</t>
  </si>
  <si>
    <t>Cần Thơ - Bình Thủy</t>
  </si>
  <si>
    <t>CÔNG TY CỔ PHẦN THƯƠNG MẠI DỊCH VỤ OPAS</t>
  </si>
  <si>
    <t>8A, CÁCH MẠNG THÁNG TÁM, PHƯỜNG BÌNH THUỶ, THÀNH PHỐ CẦN THƠ, VIỆT NAM</t>
  </si>
  <si>
    <t>Đại Việt BP</t>
  </si>
  <si>
    <t>Đồng Nai - Bình Phước</t>
  </si>
  <si>
    <t>CÔNG TY TNHH MTV ĐẠI VIỆT BP</t>
  </si>
  <si>
    <t>TỔ 7, KHU PHỐ TÂN TRÀ 2, PHƯỜNG BÌNH PHƯỚC, TỈNH ĐỒNG NAI, VIỆT NAM</t>
  </si>
  <si>
    <t>One Mount Distribution</t>
  </si>
  <si>
    <t>TP, Hồ Chí Minh - Trường Thọ</t>
  </si>
  <si>
    <t>CÔNG TY CỔ PHẦN ONE MOUNT DISTRIBUTION</t>
  </si>
  <si>
    <t>411A NGUYỄN VĂN BÁ, PHƯỜNG TRƯỜNG THỌ, THÀNH PHỐ HỒ CHÍ MINH</t>
  </si>
  <si>
    <t>Thực Phẩm Bình Tây</t>
  </si>
  <si>
    <t>CÔNG TY CỔ PHẦN THỰC PHẨM BÌNH TÂY</t>
  </si>
  <si>
    <t>KHU A, LÔ L01-03-05-07-09A, ĐƯỜNG SỐ 8, KCX TÂN THUẬN, PHƯỜNG TÂN THUẬN, THÀNH PHỐ HỒ CHÍ MINH, VIỆT NAM</t>
  </si>
  <si>
    <t>TP, Hồ Chí Minh - Sài Gòn</t>
  </si>
  <si>
    <t>15B/8 ĐƯỜNG LÊ THÁNH TÔN, PHƯỜNG SÀI GÒN, THÀNH PHỐ HỒ CHÍ MINH, VIỆT NAM</t>
  </si>
  <si>
    <t>Nam Huy Đồng Tháp</t>
  </si>
  <si>
    <t>CÔNG TY TNHH MỘT THÀNH VIÊN NAM HUY ĐỒNG THÁP</t>
  </si>
  <si>
    <t>SỐ 42/2/2 ĐƯỜNG 18, KHU PHỐ 2, PHƯỜNG THẠNH MỸ LỢI, THÀNH PHỐ THỦ ĐỨC, THÀNH PHỐ HỒ CHÍ MINH</t>
  </si>
  <si>
    <t>Vũng Tàu</t>
  </si>
  <si>
    <t>SỐ 58/23C &amp; 58/37A NGUYỄN GIA THIỀU, PHƯỜNG PHƯỚC THẮNG, THÀNH PHỐ HỒ CHÍ MINH, VIỆT NAM</t>
  </si>
  <si>
    <t>Khánh Hòa - Diên Điền</t>
  </si>
  <si>
    <t>TP, Hồ Chí Minh - Tân Phú</t>
  </si>
  <si>
    <t>TP, Hồ Chí Minh - Bình Hòa</t>
  </si>
  <si>
    <t>Bánh Kẹo Á Châu</t>
  </si>
  <si>
    <t>CÔNG TY CỔ PHẦN BÁNH KẸO Á CHÂU</t>
  </si>
  <si>
    <t>545 KINH DƯƠNG VƯƠNG, PHƯỜNG AN LẠC, QUẬN BÌNH TÂN, TP.HCM, VIỆT NAM</t>
  </si>
  <si>
    <t>Thực Phẩm Hải Đăng</t>
  </si>
  <si>
    <t>CÔNG TY CỔ PHẦN SẢN XUẤT THỰC PHẨM HẢI ĐĂNG</t>
  </si>
  <si>
    <t>O2-7, O2-8, O2-9 (THUỘC NHÀ XƯỞNG O1), ĐƯỜNG 1B, KHU XƯỞNG KIZUNA 3 MỞ RỘNG, KHU K1, KHU CÔNG NGHIỆP TÂN KIM MỞ RỘNG, XÃ CẦN GIUỘC, TỈNH TÂY NINH, VIỆT NAM.</t>
  </si>
  <si>
    <t>Lô T8, Đường số 10, KCN Hải Sơn Mở Rộng (Giai Đoạn 3+4), Xã Đức Hòa, Tỉnh Tây Ninh, Việt Nam</t>
  </si>
  <si>
    <t>Aeon Bình Dương</t>
  </si>
  <si>
    <t>HCM - Thuận Giao</t>
  </si>
  <si>
    <t>Bình Dương - Thuận Giao</t>
  </si>
  <si>
    <t>CÔNG TY TNHH AEON VIỆT NAM-CHI NHÁNH BÌNH DƯƠNG</t>
  </si>
  <si>
    <t>Số 1, Đại Lộ Bình Dương, Khu Phố Bình Giao, Phường Thuận Giao, Thành Phố Hồ Chí Minh, Việt Nam</t>
  </si>
  <si>
    <t>36/25 PHẠM VĂN NGHỊ,SKY GARDEN 3, P. TÂN PHONG, Q. 7,TP. HỒ CHÍ MINH</t>
  </si>
  <si>
    <t>Kim Hải Châu</t>
  </si>
  <si>
    <t>CÔNG TY TNHH KIM HẢI CHÂU</t>
  </si>
  <si>
    <t>PWVC + CFV, ĐƯỜNG SỐ 1, KCN NHƠN TRẠCH 1, XÃ NHƠN TRẠCH, T. ĐỒNG NAI</t>
  </si>
  <si>
    <t>ĐIỂM GIAO HÀNG TÍNH PHÍ
(ghi PL cú CLV)</t>
  </si>
  <si>
    <t>Các Phường/Xã khác trực thuộc Hồ Chí Minh (Đường Nhỏ)</t>
  </si>
  <si>
    <t>Đồng Nai - Bảo Vinh/ Bình Lộc/ Hàng Gòn/ Hố Nai/ Bình Minh/ Hưng Thịnh/ Trảng Bom</t>
  </si>
  <si>
    <t>Đồng Nai - Long Bình/ Long Hưng/ Tam Hiệp/ Tam Phước/ Tân Triều/ Trấn Biên/ Trảng Dài/ An Phước/ Bình An/ Long Thành/ Nhơn Trạch</t>
  </si>
  <si>
    <t xml:space="preserve">Tây Ninh - Khánh Hậu/ Long An/ Tân An/ Bến Lức/ Bình Đức/ Đức Hòa/ Đức Lập/ Hậu Nghĩa/ Hòa Khánh/ Long Cang/ Mỹ Hạnh/ Mỹ Yên/ Rạch Kiến / Tân Lân </t>
  </si>
  <si>
    <t>Các Phường/Xã khác trực thuộc TP. Hồ Chí Minh</t>
  </si>
  <si>
    <t>Hồ Chí Minh - An Phú/ Bình Dương/ Bình Hòa/ Chánh Hiệp/ Dĩ An/ Đông Hòa/ Lái Thiêu/ Phú An/ Phú Lợi/ Tân Đông Hiệp/ Thủ Dầu Một/ Thuận An/ Thuận Giao</t>
  </si>
  <si>
    <t>TP. Hồ Chí Minh -Tân Tạo</t>
  </si>
  <si>
    <t>Hồ Chí Minh - Bình Mỹ/ Củ Chi / Nhuận Đức/ Tân An Hội/ Thái Mỹ / Phú Hòa Đông</t>
  </si>
  <si>
    <t>TP. Hồ Chí Minh - Trung Mỹ Tây</t>
  </si>
  <si>
    <t>Hồ Chí Minh - Bình Mỹ</t>
  </si>
  <si>
    <t>Hồ Chí Minh - Bình Hòa</t>
  </si>
  <si>
    <t>TP. Hồ Chí Minh - Phú Thuận</t>
  </si>
  <si>
    <t>TP. Hồ Chí Minh - Bình Chánh</t>
  </si>
  <si>
    <t>TP. Hồ Chí Minh - Bà Điểm</t>
  </si>
  <si>
    <t>Hồ Chí Minh (Đường Nhỏ) - Bình Đông</t>
  </si>
  <si>
    <t>Hồ Chí Minh (Đường Nhỏ) - Phước Long</t>
  </si>
  <si>
    <t>Hồ Chí Minh - KCN Hiệp Phước</t>
  </si>
  <si>
    <t>Hồ Chí Minh - Củ Chi</t>
  </si>
  <si>
    <t>Hồ Chí Minh - Tân An Hội</t>
  </si>
  <si>
    <t>Hồ Chí Minh - Thủ Dầu Một</t>
  </si>
  <si>
    <t>Hồ Chí Minh - Dĩ An</t>
  </si>
  <si>
    <t>Hồ Chí Minh - Bến Cát/ Hòa Lợi/ Hòa Phú/ Long Nguyên/ Mỹ Phước/ Tân Hiệp/ Tân Khánh/ Tân Uyên/ Tây Nam/ Thới Hòa/ Vĩnh Tân/ Bắc Tân Uyên</t>
  </si>
  <si>
    <t>Hồ Chí Minh - Bến Cát</t>
  </si>
  <si>
    <t>Hồ Chí Minh - Tây Nam</t>
  </si>
  <si>
    <t>Hồ Chí Minh - Thuận Giao</t>
  </si>
  <si>
    <t>Hồ Chí Minh - Vĩnh Tân</t>
  </si>
  <si>
    <t>Hồ Chí Minh - An Phú</t>
  </si>
  <si>
    <t>Hồ Chí Minh - Hòa Phú</t>
  </si>
  <si>
    <t>Hồ Chí Minh - Đông Hòa</t>
  </si>
  <si>
    <t>Hồ Chí Minh - Thái Mỹ</t>
  </si>
  <si>
    <t>TP. Hồ Chí Minh - Tây Thạnh</t>
  </si>
  <si>
    <t>TP. Hồ Chí Minh</t>
  </si>
  <si>
    <t>TP. Hồ Chí Minh - Tân Sơn Nhì</t>
  </si>
  <si>
    <t>TP. Hồ Chí Minh - Tân Thuận</t>
  </si>
  <si>
    <t>TP. Hồ Chí Minh - Phú Thọ</t>
  </si>
  <si>
    <t>TP. Hồ Chí Minh - Thới An</t>
  </si>
  <si>
    <t>TP. Hồ Chí Minh - Tân Thới Hiệp</t>
  </si>
  <si>
    <t>TP. Hồ Chí Minh - Bình Lợi</t>
  </si>
  <si>
    <t>TP. Hồ Chí Minh - Bình Tân</t>
  </si>
  <si>
    <t>TP. Hồ Chí Minh - Phú Lâm</t>
  </si>
  <si>
    <t>TP. Hồ Chí Minh - Phú Thọ Hòa</t>
  </si>
  <si>
    <t>TP. Hồ Chí Minh - Bình Trị Đông</t>
  </si>
  <si>
    <t>TP. Hồ Chí Minh - An Khánh</t>
  </si>
  <si>
    <t>TP. Hồ Chí Minh - Tân Phú</t>
  </si>
  <si>
    <t>TP. Hồ Chí Minh - Hòa Hưng</t>
  </si>
  <si>
    <t>TP. Hồ Chí Minh - Tân Mỹ</t>
  </si>
  <si>
    <t>TP. Hồ Chí Minh - Phú Thạnh</t>
  </si>
  <si>
    <t>TP. Hồ Chí Minh - An Hội Tây</t>
  </si>
  <si>
    <t>TP. Hồ Chí Minh - An Nhơn</t>
  </si>
  <si>
    <t>TP. Hồ Chí Minh - Hóc Môn</t>
  </si>
  <si>
    <t>TP. Hồ Chí Minh - Chợ Lớn</t>
  </si>
  <si>
    <t>TP. Hồ Chí Minh - Hiệp Bình</t>
  </si>
  <si>
    <t>TP. Hồ Chí Minh - Tam Bình</t>
  </si>
  <si>
    <t>TP. Hồ Chí Minh - Diên Hồng</t>
  </si>
  <si>
    <t>TP. Hồ Chí Minh - Bình Phú</t>
  </si>
  <si>
    <t>TP. Hồ Chí Minh - Gò Vấp</t>
  </si>
  <si>
    <t>TP. Hồ Chí Minh - Tân Hưng</t>
  </si>
  <si>
    <t>TP. Hồ Chí Minh - Bảy Hiền</t>
  </si>
  <si>
    <t>TP. Hồ Chí Minh - Bình Trưng</t>
  </si>
  <si>
    <t>TP. Hồ Chí Minh - Linh Đông</t>
  </si>
  <si>
    <t>TP. Hồ Chí Minh - Bình Thạnh</t>
  </si>
  <si>
    <t>TP. Hồ Chí Minh - Phước Long</t>
  </si>
  <si>
    <t>TP. Hồ Chí Minh - Tân Thạnh Đông</t>
  </si>
  <si>
    <t>TP. Hồ Chí Minh - Tân Nhựt</t>
  </si>
  <si>
    <t>TP. Hồ Chí Minh - Bình Tiên</t>
  </si>
  <si>
    <t>TP. Hồ Chí Minh - Bình Hưng Hòa B</t>
  </si>
  <si>
    <t>TP. Hồ Chí Minh - Bình Hưng Hòa A</t>
  </si>
  <si>
    <t>TP. Hồ Chí Minh - Bình Hưng</t>
  </si>
  <si>
    <t>TP. Hồ Chí Minh - Đông Hưng Thuận</t>
  </si>
  <si>
    <t>TP. Hồ Chí Minh - Vĩnh Lộc</t>
  </si>
  <si>
    <t>TP. Hồ Chí Minh - Thạnh Mỹ Lợi</t>
  </si>
  <si>
    <t>TP. Hồ Chí Minh - Cầu Ông Lãnh</t>
  </si>
  <si>
    <t>TP. Hồ Chí Minh - Cát Lái</t>
  </si>
  <si>
    <t>TP. Hồ Chí Minh - Hạnh Thông</t>
  </si>
  <si>
    <t>TP. Hồ Chí Minh - Tân Kiên</t>
  </si>
  <si>
    <t>TP. Hồ Chí Minh - Linh Xuân</t>
  </si>
  <si>
    <t>TP. Hồ Chí Minh - Bình Hòa</t>
  </si>
  <si>
    <t>TP. Hồ Chí Minh - Tân Vĩnh Lộc</t>
  </si>
  <si>
    <t>TP. Hồ Chí Minh - Bình Tây</t>
  </si>
  <si>
    <t>TP. Hồ Chí Minh - Đông Thạnh</t>
  </si>
  <si>
    <t>TP. Hồ Chí Minh - Sài Gòn</t>
  </si>
  <si>
    <t>TP. Hồ Chí Minh - Trường Thọ</t>
  </si>
  <si>
    <t>Các Phường/Xã khác trực thuộc tỉnh Khánh Hòa</t>
  </si>
  <si>
    <t>Cần Thơ - Vị Tân/ Châu Thành/ Tân Hòa/ Thạnh Hòa/ Thạnh Xuân</t>
  </si>
  <si>
    <t>Cần Thơ - Phú Lợi/ An Ninh</t>
  </si>
  <si>
    <t xml:space="preserve">Đồng Tháp - Cai Lậy / Sơn Qui/ Hội Cư/ Ngũ Hiệp </t>
  </si>
  <si>
    <t>Hồ Chí Minh - Phước Thắng/ Tam Thắng</t>
  </si>
  <si>
    <t>Hồ Chí Minh - Phước Thắng</t>
  </si>
  <si>
    <t>Hồ Chí Minh - Bà Rịa/ Phú Mỹ/ Tân Phước / Châu Pha / Hồ Tràm / Long Điền/ Ngãi Giao</t>
  </si>
  <si>
    <t>Đồng Tháp - Cao Lãnh/ Lấp Vò/ Thanh Bình</t>
  </si>
  <si>
    <t>Đồng Tháp - An Bình/ Thường Lạc</t>
  </si>
  <si>
    <t>Lâm Đồng - Đức Trọng/ Hiệp Thạnh/ Phú Hội</t>
  </si>
  <si>
    <t>Lâm Đồng - Bảo Lộc/ B'Lao</t>
  </si>
  <si>
    <t>Lâm Đồng - Lâm Viên-Đà Lạt/ Xuân Hương-Đà Lạt/ Đơn Dương</t>
  </si>
  <si>
    <t>Cần Thơ - Thốt Nốt/ Thuận Hưng/ Trung Nhứt</t>
  </si>
  <si>
    <t>Đồng Nai - La Ngà/ Tân Phú/ Xuân Lộc/ Xuân Phú</t>
  </si>
  <si>
    <t>Các Phường/Xã khác trực thuộc tỉnh An Giang</t>
  </si>
  <si>
    <t>An Giang - Rạch Giá/ Châu Thành/ Thạnh Lộc</t>
  </si>
  <si>
    <t>ĐẠI LÝ</t>
  </si>
  <si>
    <t>ĐIỂM GIAO HÀNG THỰC TẾ</t>
  </si>
  <si>
    <t>Việt Tiến Phú</t>
  </si>
  <si>
    <t>Hồ Chí Minh - Hưng Định</t>
  </si>
  <si>
    <t>CÔNG TY TNHH THƯƠNG MẠI VIỆT TIẾN PHÚ</t>
  </si>
  <si>
    <t>SỐ 141A ĐƯỜNG CẦU TÀU, KHU PHỐ HƯNG THỌ, PHƯỜNG HƯNG ĐỊNH, THÀNH PHỐ THUẬN AN, TỈNH BÌNH DƯƠNG, VIỆT NAM</t>
  </si>
  <si>
    <t>Huyền Nga</t>
  </si>
  <si>
    <t>DOANH NGHIỆP TƯ NHÂN HUYỀN NGA</t>
  </si>
  <si>
    <t>SỐ 67/15C ĐƯỜNG PHÓ CƠ ĐIỀU, PHƯỜNG PHƯỚC HẬU, TỈNH VĨNH LONG, VIỆT NAM</t>
  </si>
  <si>
    <t>Các Phường/Xã khác trực thuộc tỉnh Vĩnh Long</t>
  </si>
  <si>
    <t>Vĩnh Long - Phước Hậu</t>
  </si>
  <si>
    <t>TP. Hồ Chí Minh - Hiệp Phước</t>
  </si>
  <si>
    <t>KHO 94/1055F NGUYỄN VĂN DUNG, P.6,QUẬN GÒ VẤP, TP.Hồ Chí Minh</t>
  </si>
  <si>
    <t>Đồng Nai - Bình Long/ Bình Phước/ Phước Bình/ Đồng Phú/ Lộc Ninh</t>
  </si>
  <si>
    <t>Kỳ Vũ</t>
  </si>
  <si>
    <t>CÔNG TY TNHH XUẤT NHẬP KHẨU KỲ VŨ</t>
  </si>
  <si>
    <t>LÔ II-14, KCN HỐ NAI, XÃ HỐ NAI 3, HUYỆN TRẢNG BOM, TỈNH ĐỒNG NAI</t>
  </si>
  <si>
    <t>Kreators</t>
  </si>
  <si>
    <t>CÔNG TY TNHH KREATORS</t>
  </si>
  <si>
    <t>THỬA 726, TỜ BẢN ĐỒ 28, KHU PHỐ TÂN BÌNH, PHƯỜNG TÂN HIỆP, THÀNH PHỐ HỒ CHÍ MINH, VIỆT NAM</t>
  </si>
  <si>
    <t>Mã nhà cung cấp</t>
  </si>
  <si>
    <t>Mã hàng hóa</t>
  </si>
  <si>
    <t>Tên hàng hóa</t>
  </si>
  <si>
    <t>Tên hàng hóa (En)</t>
  </si>
  <si>
    <t>Mã ĐVT (Bán hàng)</t>
  </si>
  <si>
    <t>SP - Trọng lượng Net</t>
  </si>
  <si>
    <t>2000000001</t>
  </si>
  <si>
    <t>7.45705279090100</t>
  </si>
  <si>
    <t>DẦU HẠT CẢI HIỆU SATELLITE TRONG TÚI BÓNG 18KG</t>
  </si>
  <si>
    <t>SATELLITE-CANOLA BIB @18 KG</t>
  </si>
  <si>
    <t>MT</t>
  </si>
  <si>
    <t>7.131087031705H10</t>
  </si>
  <si>
    <t>DẦU ĂN THƯỢNG HẠNG NHÃN HIỆU NEPTUNE LIGHT 1L</t>
  </si>
  <si>
    <t>CO-NEPTUNE LIGHT 1L X 12 BTL</t>
  </si>
  <si>
    <t>CAR</t>
  </si>
  <si>
    <t>7.131087061703H10</t>
  </si>
  <si>
    <t>DẦU ĂN THƯỢNG HẠNG NHÃN HIỆU NEPTUNE LIGHT 5L</t>
  </si>
  <si>
    <t>CO-NEPTUNE LIGHT 5L X 4 BTL</t>
  </si>
  <si>
    <t>7.1070123222553050</t>
  </si>
  <si>
    <t>BƠ THỰC VẬT NHÃN HIỆU MEIZAN 800G</t>
  </si>
  <si>
    <t>MEIZAN MARGARINE MP 39-42 800G X 12TUB</t>
  </si>
  <si>
    <t>7.131078031705E10</t>
  </si>
  <si>
    <t>DẦU ĂN CAO CẤP NHÃN HIỆU MEIZAN GOLD 1L</t>
  </si>
  <si>
    <t>CO-MEIZAN GOLD 1L X 12 BTL</t>
  </si>
  <si>
    <t>7.131009031705O90</t>
  </si>
  <si>
    <t>DẦU THỰC VẬT HẢO HẠNG NHÃN HIỆU CÁI LÂN 1L</t>
  </si>
  <si>
    <t>CAILAN PR VEGOIL(99.5OL+0.5SBO) 1LX12BTL</t>
  </si>
  <si>
    <t>7.131009041704O90</t>
  </si>
  <si>
    <t>DẦU THỰC VẬT HẢO HẠNG NHÃN HIỆU CÁI LÂN 2L</t>
  </si>
  <si>
    <t>CAILAN PR VEGOIL(99.5OL+0.5SBO) 2LX6BTL</t>
  </si>
  <si>
    <t>7.131103A41703P20</t>
  </si>
  <si>
    <t>DẦU THỰC VẬT HẢO HẠNG NHÃN HIỆU ORCHID 5L</t>
  </si>
  <si>
    <t>ORCHID PR 99.5%ROLIV56+0.5%SBO 5L*4BTL</t>
  </si>
  <si>
    <t>7.131103F01703P20</t>
  </si>
  <si>
    <t>DẦU THỰC VẬT HẢO HẠNG NHÃN HIỆU ORCHID 4.5L</t>
  </si>
  <si>
    <t>ORCHID PR 99.5%ROLIV56+0.5%SBO 4.5L*4BTL</t>
  </si>
  <si>
    <t>7.101306591201A60</t>
  </si>
  <si>
    <t>DẦU THỰC VẬT HẢO HẠNG NHÃN HIỆU ORCHID (KÍCH CỠ ĐÓNG GÓI LỚN) ÐÓNG CAN 25KG</t>
  </si>
  <si>
    <t>ORCHID PR ROL IV 56 IN JERRYCAN@25KG</t>
  </si>
  <si>
    <t>JRG</t>
  </si>
  <si>
    <t>7.131009591201O50</t>
  </si>
  <si>
    <t>DẦU THỰC VẬT HẢO HẠNG NHÃN HIỆU CÁI LÂN (KÍCH CỠ ĐÓNG GÓI LỚN) ĐÓNG CAN 25KG</t>
  </si>
  <si>
    <t>CAILANPREMIUMVEG OIL(100%OLIV58)JRG@25KG</t>
  </si>
  <si>
    <t>7.45705003010500</t>
  </si>
  <si>
    <t>DẦU HẠT CẢI NHÃN HIỆU SIMPLY 1L</t>
  </si>
  <si>
    <t>CO-SIMPLY CANOLA 1L X 12 BTL</t>
  </si>
  <si>
    <t>7.458050051704000</t>
  </si>
  <si>
    <t>DẦU HƯỚNG DƯƠNG NHÃN HIỆU SIMPLY 2L</t>
  </si>
  <si>
    <t>SIMPLY SFO 2L X 6 BTL</t>
  </si>
  <si>
    <t>7.455051R11706010</t>
  </si>
  <si>
    <t>DẦU MÈ THƠM NHÃN HIỆU MEIZAN 100ML</t>
  </si>
  <si>
    <t>MEIZAN SESAME OIL 0.1L X 24 BOTTLE</t>
  </si>
  <si>
    <t>7.45505101010501</t>
  </si>
  <si>
    <t>DẦU MÈ THƠM NHÃN HIỆU MEIZAN 250 ML</t>
  </si>
  <si>
    <t>CO-MEIZAN SESAME 0.25L X 12 BTL</t>
  </si>
  <si>
    <t>7.1070123122552250</t>
  </si>
  <si>
    <t>BƠ THỰC VẬT NHÃN HIỆU MEIZAN 200G</t>
  </si>
  <si>
    <t>MEIZAN MARGARINE MP 39-42 200G X 36TUB</t>
  </si>
  <si>
    <t>7.1070123022552230</t>
  </si>
  <si>
    <t>BƠ THỰC VẬT NHÃN HIỆU MEIZAN 80G</t>
  </si>
  <si>
    <t>MEIZAN MARGARINE MP 39-42 80G X 60TUB</t>
  </si>
  <si>
    <t>7.45105103010500</t>
  </si>
  <si>
    <t>DẦU ĐẬU NÀNH NHÃN HIỆU MEIZAN 1L</t>
  </si>
  <si>
    <t>CO-MEIZAN SBO 1L X 12 BTL</t>
  </si>
  <si>
    <t>7.101071031805550</t>
  </si>
  <si>
    <t>DẦU THỰC VẬT TINH LUYỆN NHÃN HIỆU CÁI LÂN 1L</t>
  </si>
  <si>
    <t>CAILAN ROL CP8 1LX12POUCH</t>
  </si>
  <si>
    <t>7.131023011705840</t>
  </si>
  <si>
    <t>DẦU Ô-LIU DINH DƯỠNG CHO TRẺ EM NHÃN HIỆU KIDDY 250 ML</t>
  </si>
  <si>
    <t>KIDDY REFINED OLIVE OIL 250ML X 12BTL</t>
  </si>
  <si>
    <t>7.47505601010500</t>
  </si>
  <si>
    <t>DẦU Ô-LIU EXTRA VIRGIN NHÃN HIỆU OLIVOILÀ 250 ML</t>
  </si>
  <si>
    <t>CO-OLIVOILÀ OLIVE OIL 0.25L X 12 BTL</t>
  </si>
  <si>
    <t>7.47505617010400</t>
  </si>
  <si>
    <t>DẦU Ô-LIU EXTRA VIRGIN NHÃN HIỆU OLIVOILÀ 750 ML</t>
  </si>
  <si>
    <t>CO-OLIVOILÀ OLIVE OIL @ 0.75L X 6 BTL</t>
  </si>
  <si>
    <t>7.107014089103300</t>
  </si>
  <si>
    <t>DẦU BƠ THAY THẾ HIỆU SATELLITE 18KG</t>
  </si>
  <si>
    <t>SATELLITE BOS IN PLASTIC BUCKET @ 18 KG</t>
  </si>
  <si>
    <t>PAI</t>
  </si>
  <si>
    <t>7.1070120892033009</t>
  </si>
  <si>
    <t>DẦU BƠ THAY THẾ HIỆU MEIZAN TRONG THÙNG NHỰA 18 KG (NHÃN VÀNG)</t>
  </si>
  <si>
    <t>MEIZAN BOS IN PLASTIC BUCKET35-38@18KG P</t>
  </si>
  <si>
    <t>7.707584P53717000H</t>
  </si>
  <si>
    <t>NƯỚC RỬA CHÉN POWER100 TIẾT KIỆM HƯƠNG CHANH 3.2KG*4 TÚI</t>
  </si>
  <si>
    <t>POWER100 DWL SAVING LEMON 3.2KG X 4PCH</t>
  </si>
  <si>
    <t>7.707586652817000H</t>
  </si>
  <si>
    <t>NƯỚC RỬA CHÉN POWER100 HƯƠNG TRÀ XANH 3.5KG*4</t>
  </si>
  <si>
    <t>POWER100 DWL GREENTEA 3.5KG*4BTL</t>
  </si>
  <si>
    <t>7.707662N328170001</t>
  </si>
  <si>
    <t>NƯỚC RỬA CHÉN POWER100 TINH DẦU CHANH 1.4KG*10</t>
  </si>
  <si>
    <t>POWER100 DWLLEMONESSENTIALOIL1.4KG*10BTL</t>
  </si>
  <si>
    <t>7.707662N528170000</t>
  </si>
  <si>
    <t>NƯỚC RỬA CHÉN POWER100 TINH DẦU CHANH 9.0KG</t>
  </si>
  <si>
    <t>POWER100 DWLLEMON ESSENTIALOIL BTL@9KG</t>
  </si>
  <si>
    <t>BOT</t>
  </si>
  <si>
    <t>7.707711E92817000N</t>
  </si>
  <si>
    <t>NƯỚC RỬA CHÉN POWER100 NATURAL TINH DẦU BƯỞI TÂY 750G*16</t>
  </si>
  <si>
    <t>POWER100 NTRLDWLGRAPEFRUIT EO 750G*16BTL</t>
  </si>
  <si>
    <t>7.707711962817000H</t>
  </si>
  <si>
    <t>NƯỚC RỬA CHÉN POWER100 NATURAL TINH DẦU BƯỞI TÂY 3.0KG*4</t>
  </si>
  <si>
    <t>POWER100 NTRL DWL GRAPEFRUIT EO 3KG*4BTL</t>
  </si>
  <si>
    <t>7.707591M328170002</t>
  </si>
  <si>
    <t>NƯỚC TẨY BỒN CẦU VÀ NHÀ TẮM POWER100 HƯƠNG BẠC HÀ 900ML*12</t>
  </si>
  <si>
    <t>POWER100 TOILET CLEANER MINT 900ML*12BTL</t>
  </si>
  <si>
    <t>7.707663652817000H</t>
  </si>
  <si>
    <t>NƯỚC LAU SÀN POWER100 TINH DẦU HOA THIÊN NHIÊN 3.5KG*4</t>
  </si>
  <si>
    <t>POWER100 FCFLORAL ESSENTIALOIL3.5KG*4BTL</t>
  </si>
  <si>
    <t>7.707664P53717000H</t>
  </si>
  <si>
    <t>NƯỚC LAU SÀN POWER100 TINH DẦU CHANH SẢ 3.2KG*4 TÚI</t>
  </si>
  <si>
    <t>POWER100 FC LG ESSENTIALOIL 3.2KG X 4PCH</t>
  </si>
  <si>
    <t>7.704228N528170019</t>
  </si>
  <si>
    <t>NƯỚC GIẶT XẢ POWER100 HƯƠNG NƯỚC HOA PHÁP QUYẾN RŨ 9.0KG*2</t>
  </si>
  <si>
    <t>POWER100 LDCHARMINGFRENCHPERFUME9KG*2BTL</t>
  </si>
  <si>
    <t>7.704229P53717000H</t>
  </si>
  <si>
    <t>NƯỚC GIẶT XẢ POWER100 HƯƠNG NƯỚC HOA PHÁP ĐAM MÊ 3.2KG*4</t>
  </si>
  <si>
    <t>POWER100 LD PASSION FRENCH 3.2KG X 4PCH</t>
  </si>
  <si>
    <t>7.704229P42817000H</t>
  </si>
  <si>
    <t>NƯỚC GIẶT XẢ POWER100 HƯƠNG NƯỚC HOA PHÁP ĐAM MÊ 3.4KG*4</t>
  </si>
  <si>
    <t>POWER100 LD PASSION FRENCH 3.4KG X 4BTL</t>
  </si>
  <si>
    <t>7.704233Q83717001I</t>
  </si>
  <si>
    <t>BỘT GIẶT POWER100 HƯƠNG NƯỚC HOA PHÁP QUYẾN RŨ 5.3KG*3</t>
  </si>
  <si>
    <t>POWER100 PD CHARMINGFRENCH PF 5.3KG*3PCH</t>
  </si>
  <si>
    <t>7.704235R73717001M</t>
  </si>
  <si>
    <t>BỘT GIẶT POWER100 SAVING 3 TRONG 1 5.1KG*3</t>
  </si>
  <si>
    <t>POWER100 SAVING PD 3IN1 5.1KG X 3PCH</t>
  </si>
  <si>
    <t>MBG</t>
  </si>
  <si>
    <t>7.10108957090102</t>
  </si>
  <si>
    <t>DẦU OLEIN TINH LUYỆN HIỆU SATELLITE TRONG TÚI BÓNG 18KG</t>
  </si>
  <si>
    <t>SATELLITE-OL1008 BIB @18KG</t>
  </si>
  <si>
    <t>7.707662N32817000K</t>
  </si>
  <si>
    <t>NƯỚC RỬA CHÉN POWER100 TINH DẦU CHANH 1.4KG*8</t>
  </si>
  <si>
    <t>POWER100 DWLLEMON ESSENTIALOIL1.4KG*8BTL</t>
  </si>
  <si>
    <t>7.1070140214008010</t>
  </si>
  <si>
    <t>BƠ THƠM NHÃN HIỆU SATELLITE TRONG THÙNG 20KG</t>
  </si>
  <si>
    <t>SATELLITE BAKERY MARGARINE PEBAG@20KG</t>
  </si>
  <si>
    <t>7.10408930480801</t>
  </si>
  <si>
    <t>SHORTENING HIỆU SATELLITE 25 KG</t>
  </si>
  <si>
    <t>SATELLITE SHORTENING  RED @ 25 KG</t>
  </si>
  <si>
    <t>7.704228P53717000H</t>
  </si>
  <si>
    <t>NƯỚC GIẶT XẢ POWER100 HƯƠNG NƯỚC HOA PHÁP QUYẾN RŨ 3.2KG*4</t>
  </si>
  <si>
    <t>POWER100 LD CHARMINGFRENCH PF 3.2KG*4PCH</t>
  </si>
  <si>
    <t>7.131078061703E10</t>
  </si>
  <si>
    <t>DẦU ĂN CAO CẤP NHÃN HIỆU MEIZAN GOLD 5L</t>
  </si>
  <si>
    <t>CO-MEIZAN GOLD 5L X 4 BTL</t>
  </si>
  <si>
    <t>7.131009121706O90</t>
  </si>
  <si>
    <t>DẦU THỰC VẬT HẢO HẠNG NHÃN HIỆU CÁI LÂN 400ML</t>
  </si>
  <si>
    <t>CAILANPRVEGOIL(99.5OL+0.5SBO)400MLX24BTL</t>
  </si>
  <si>
    <t>7.707583652817400H</t>
  </si>
  <si>
    <t>NƯỚC RỬA CHÉN POWER100 TIẾT KIỆM HƯƠNG CHANH 3.5KG*4</t>
  </si>
  <si>
    <t>POWER100 SAVING DWL LEMON 3.5KG*4BTL</t>
  </si>
  <si>
    <t>7.707662652817000H</t>
  </si>
  <si>
    <t>NƯỚC RỬA CHÉN POWER100 TINH DẦU CHANH 3.5KG*4</t>
  </si>
  <si>
    <t>POWER100 DWLLEMON ESSENTIALOIL3.5KG*4BTL</t>
  </si>
  <si>
    <t>7.706102031401200</t>
  </si>
  <si>
    <t>PHỤ GIA THỰC PHẨM GLYXERIN TINH KHIẾT 99,7% - WILFARIN, ĐÓNG TRONG PHUY 250KG</t>
  </si>
  <si>
    <t>WILFARIN REFINED GLYCERINE 99.7 DR@250KG</t>
  </si>
  <si>
    <t>7.1070140295008010</t>
  </si>
  <si>
    <t>DẦU BƠ THAY THẾ NHÃN HIỆU SATELLITE (NHÃN MÀU CAM) TRONG THÙNG 20KG</t>
  </si>
  <si>
    <t>SATELLITE BOS ORANGE IN PEBAG@20KG</t>
  </si>
  <si>
    <t>7.10108959120002</t>
  </si>
  <si>
    <t>DẦU OLEIN TINH LUYỆN HIỆU SATELLITE TRONG CAN 25KG</t>
  </si>
  <si>
    <t>SATELLITE-OL1008 JRG @25 KG</t>
  </si>
  <si>
    <t>7.45105003010500</t>
  </si>
  <si>
    <t>DẦU ĐẬU NÀNH NHÃN HIỆU SIMPLY 1L</t>
  </si>
  <si>
    <t>CO-SIMPLY SBO 1L X 12 BTL</t>
  </si>
  <si>
    <t>7.1061590330308010</t>
  </si>
  <si>
    <t>SHORTENING NHÃN HIỆU SATELLITE (NHÃN MÀU XANH LÁ)TRONG THÙNG CARTON 25KG</t>
  </si>
  <si>
    <t>SATELLITE SHORT(GREEN LABEL)CARTON@25KG</t>
  </si>
  <si>
    <t>7.451052261200000</t>
  </si>
  <si>
    <t>DẦU ĐẬU NÀNH TINH LUYỆN HIỆU SATELLITE TRONG CAN 25KG</t>
  </si>
  <si>
    <t>SATELLITE RBDSBO IN JERRYCAN @25KG</t>
  </si>
  <si>
    <t>7.704233Q13717001H</t>
  </si>
  <si>
    <t>BỘT GIẶT POWER100 HƯƠNG NƯỚC HOA PHÁP QUYẾN RŨ 2.6KG*5</t>
  </si>
  <si>
    <t>POWER100 PD CHARMINGFRENCH PF 2.6KG*5PCH</t>
  </si>
  <si>
    <t>7.45105008010300</t>
  </si>
  <si>
    <t>DẦU ĐẬU NÀNH NHÃN HIỆU SIMPLY 5L</t>
  </si>
  <si>
    <t>CO-SIMPLY SBO 5L X 4 BTL</t>
  </si>
  <si>
    <t>7.131014591200E30</t>
  </si>
  <si>
    <t>DẦU THỰC VẬT CHO ĐẦU BẾP CHUYÊN NGHIỆP NHÃN HIỆU SATELLITE ĐÓNG TRONG CAN 25KG</t>
  </si>
  <si>
    <t>SATELLITE VEG.OIL FOR PRO.CHEF INJC@25KG</t>
  </si>
  <si>
    <t>7.131103D11705P20</t>
  </si>
  <si>
    <t>DẦU THỰC VẬT HẢO HẠNG NHÃN HIỆU ORCHID 880ML</t>
  </si>
  <si>
    <t>ORCHID PR 99.5%ROL+0.5%SBO 0.88L*12BTL</t>
  </si>
  <si>
    <t>7.707705P42817000H</t>
  </si>
  <si>
    <t>NƯỚC GIẶT XẢ POWER100 HƯƠNG NƯỚC HOA PHÁP QUYẾN RŨ 3.4KG*4</t>
  </si>
  <si>
    <t>POWER100 LDCHARMINGFRNCPERFUME3.4KG*4BTL</t>
  </si>
  <si>
    <t>7.707664652817000H</t>
  </si>
  <si>
    <t>NƯỚC LAU SÀN POWER100 TINH DẦU CHANH SẢ 3.5KG*4</t>
  </si>
  <si>
    <t>POWER100 FC LEMONGRASS ESSENTIAL OIL 3.5KG*4BTL</t>
  </si>
  <si>
    <t>6.1212A98</t>
  </si>
  <si>
    <t>DẦU OLEIN CỌ TINH LUYỆN TRONG XE BỒN (TTP/LC1)</t>
  </si>
  <si>
    <t>RE-REFINED PALM OLEIN (TTP/LC1)</t>
  </si>
  <si>
    <t>7.707583N528174000</t>
  </si>
  <si>
    <t>NƯỚC RỬA CHÉN POWER100 TIẾT KIỆM HƯƠNG CHANH 9.0KG</t>
  </si>
  <si>
    <t>POWER100 SAVING DWL LEMON BTL @9KG</t>
  </si>
  <si>
    <t>7.131087041704H10</t>
  </si>
  <si>
    <t>DẦU ĂN THƯỢNG HẠNG NHÃN HIỆU NEPTUNE LIGHT 2L</t>
  </si>
  <si>
    <t>CO-NEPTUNE LIGHT 2L X 6 BTL</t>
  </si>
  <si>
    <t>7.131078041704E10</t>
  </si>
  <si>
    <t>DẦU ĂN CAO CẤP NHÃN HIỆU MEIZAN GOLD 2L</t>
  </si>
  <si>
    <t>CO-MEIZAN GOLD 2L X 6 BTL</t>
  </si>
  <si>
    <t>7.131103281705P20</t>
  </si>
  <si>
    <t>DẦU THỰC VẬT HẢO HẠNG NHÃN HIỆU ORCHID 1L</t>
  </si>
  <si>
    <t>ORCHID PR 99.5%ROLIV56+0.5%SBO 1L*12BTL</t>
  </si>
  <si>
    <t>7.101307591201C20</t>
  </si>
  <si>
    <t>ORCHID S PR ROL IV58 IN JERRYCAN@25KG</t>
  </si>
  <si>
    <t>7.475056171704020</t>
  </si>
  <si>
    <t>DẦU Ô-LIU POMACE NHÃN HIỆU OLIVOILÀ 750ML</t>
  </si>
  <si>
    <t>CO-OLIVOILA POMACE OLIVE OIL 750ML*6BTL</t>
  </si>
  <si>
    <t>7.707707P53717000H</t>
  </si>
  <si>
    <t>NƯỚC RỬA CHÉN POWER100 TIẾT KIỆM HƯƠNG TRÀ XANH LÔ HỘI 3.2KG*4 TÚI</t>
  </si>
  <si>
    <t>POWER100 DWL SVG GREENTEAALOE 3.2KG*4PCH</t>
  </si>
  <si>
    <t>7.131103B11704P20</t>
  </si>
  <si>
    <t>DẦU THỰC VẬT HẢO HẠNG NHÃN HIỆU ORCHID 2L</t>
  </si>
  <si>
    <t>ORCHID PR 99.5%ROLIV56+0.5%SBO 2L*6BTL</t>
  </si>
  <si>
    <t>7.707712O63717000C</t>
  </si>
  <si>
    <t>NƯỚC XẢ VẢI POWER100 PERFUMERY PEONY BLOSSOM 2L*6</t>
  </si>
  <si>
    <t>POWER100 FS PF PEONYBLOSSSOM 2L*6PCH</t>
  </si>
  <si>
    <t>7.707713R82017001K</t>
  </si>
  <si>
    <t>NƯỚC XẢ VẢI POWER100 EXTRA MILKY 20ML*360</t>
  </si>
  <si>
    <t>POWER100 FS EXTRA MILKY 20ML*360SCH</t>
  </si>
  <si>
    <t>7.704712R82017001K</t>
  </si>
  <si>
    <t>NƯỚC XẢ VẢI POWER100 PERFUMERY PEONY BLOSSOM 20ML*360</t>
  </si>
  <si>
    <t>POWER100 FS PF PEONYBLOSSSOM 20ML*360SCH</t>
  </si>
  <si>
    <t>7.704D62R63717001J</t>
  </si>
  <si>
    <t>VIÊN GIẶT TIỆN LỢI POWER100 3 TRONG 1 HƯƠNG TƯƠI MÁT 15G*4*170 TÚI</t>
  </si>
  <si>
    <t>POWER100 LP 3IN1 FRESH 4PODS@15G*170PCH</t>
  </si>
  <si>
    <t>7.1070120201608010</t>
  </si>
  <si>
    <t>BƠ THỰC VẬT ĐA DỤNG NHÃN HIỆU MEIZAN TRONG THÙNG CARTON 20KG</t>
  </si>
  <si>
    <t>MEIZAN CONFECTIONARY MARGARINE PBAG@20KG</t>
  </si>
  <si>
    <t>7.131010041704O30</t>
  </si>
  <si>
    <t>CAILAN S [70%OL IV58+30%NBDSBO] 2L*6BTL</t>
  </si>
  <si>
    <t>7.45105005010400</t>
  </si>
  <si>
    <t>DẦU ĐẬU NÀNH NHÃN HIỆU SIMPLY 2L</t>
  </si>
  <si>
    <t>CO-SIMPLY SBO 2L X 6 BTL</t>
  </si>
  <si>
    <t>7.707583653717400H</t>
  </si>
  <si>
    <t>NƯỚC RỬA CHÉN POWER100 TIẾT KIỆM HƯƠNG CHANH 3.5KG*4 TÚI</t>
  </si>
  <si>
    <t>POWER100 SAVING DWL LEMON 3.5KG*4PCH</t>
  </si>
  <si>
    <t>7.707664M428170002</t>
  </si>
  <si>
    <t>NƯỚC LAU SÀN POWER100 TINH DẦU CHANH SẢ 990G*12</t>
  </si>
  <si>
    <t>POWER100 FC LG ESSENTIALOIL990G*12BTL</t>
  </si>
  <si>
    <t>7.707713O63717000C</t>
  </si>
  <si>
    <t>NƯỚC XẢ VẢI POWER100 EXTRA MILKY 2L*6</t>
  </si>
  <si>
    <t>POWER100 FS EXTRA MILKY 2L X 6PCH</t>
  </si>
  <si>
    <t>7.458051B51705000</t>
  </si>
  <si>
    <t>DẦU HƯỚNG DƯƠNG NHÃN HIỆU MEIZAN 1L</t>
  </si>
  <si>
    <t>MEIZAN RBD SFO 1L(0.91KG) X 12 BTL</t>
  </si>
  <si>
    <t>7.460050030105030</t>
  </si>
  <si>
    <t>DẦU GẠO LỨT NHÃN HIỆU SIMPLY 1L</t>
  </si>
  <si>
    <t>SIMPLY RBDRBO 1L X 12 BTL</t>
  </si>
  <si>
    <t>7.131010031705O30</t>
  </si>
  <si>
    <t>CAILAN S [70%OL IV58+30%NBDSBO] 1L*12BTL</t>
  </si>
  <si>
    <t>7.131104281705P10</t>
  </si>
  <si>
    <t>ORCHID S PR 75%ROL+25%SBO 1L*12BTL</t>
  </si>
  <si>
    <t>7.723025010100000</t>
  </si>
  <si>
    <t>CHẤT HOẠT ĐỘNG BỀ MẶT MES (METHYL ESTER SULFONATE) DẠNG VẢY NHÃN HIỆU MIZULAN FL-80; BAO 25KG</t>
  </si>
  <si>
    <t>MES MIZULAN FL-80 IN PAPER BAG @25KG</t>
  </si>
  <si>
    <t>7.707587L82817000A</t>
  </si>
  <si>
    <t>NƯỚC LAU KÍNH POWER100 HƯƠNG BẠC HÀ 500ML*24</t>
  </si>
  <si>
    <t>POWER100 GLASS CLEANER MINT 500ML*24BTL</t>
  </si>
  <si>
    <t>7.460050B91704030</t>
  </si>
  <si>
    <t>DẦU GẠO LỨT NHÃN HIỆU SIMPLY 2L</t>
  </si>
  <si>
    <t>SIMPLY RBDRBO 2L X 6BTL</t>
  </si>
  <si>
    <t>7.131010061703O30</t>
  </si>
  <si>
    <t>DẦU THỰC VẬT HẢO HẠNG NHÃN HIỆU CÁI LÂN 5L</t>
  </si>
  <si>
    <t>CAILAN S [70%OL IV58+30%NBDSBO] 5L*4BTL</t>
  </si>
  <si>
    <t>6.1212B64</t>
  </si>
  <si>
    <t>DẦU OLEIN CỌ TINH LUYỆN TRONG XE BỒN(LC)</t>
  </si>
  <si>
    <t>RE-REFINED PALM OLEIN (LC)</t>
  </si>
  <si>
    <t>7.131105031705P50</t>
  </si>
  <si>
    <t>DẦU ĂN THƯỢNG HẠNG NHÃN HIỆU NEPTUNE OLIVE LIGHT 1L</t>
  </si>
  <si>
    <t>NEPTUNE OLIVELIGHT(RBO+EVOOCOI+)1LX12BTL</t>
  </si>
  <si>
    <t>7.131105041704P50</t>
  </si>
  <si>
    <t>DẦU ĂN THƯỢNG HẠNG NHÃN HIỆU NEPTUNE OLIVE LIGHT 2L</t>
  </si>
  <si>
    <t>NEPTUNE OLIVE LIGHT(RBO+EVOOCOI+)2LX6BTL</t>
  </si>
  <si>
    <t>N04.0018006.00445</t>
  </si>
  <si>
    <t>HỘP THỦY TINH VUÔNG NIKKO 520ML</t>
  </si>
  <si>
    <t>PROMOTIONAL STUFF, TYPE:GLASS CONTAINER, MATERIAL:GLASS, PP PLASTIC, SILICONE, SIZE:138 X 138 X 67 MM, MARKING:NEPTUNE, ADDITIONAL DETAILS:VIETNAM MARKET</t>
  </si>
  <si>
    <t>PC</t>
  </si>
  <si>
    <t>7.45805003010500</t>
  </si>
  <si>
    <t>DẦU HƯỚNG DƯƠNG NHÃN HIỆU SIMPLY 1L</t>
  </si>
  <si>
    <t>CO-SIMPLY SFO 1L X 12 BTL</t>
  </si>
  <si>
    <t>7.45105105010400</t>
  </si>
  <si>
    <t>DẦU ĐẬU NÀNH NHÃN HIỆU MEIZAN 2L</t>
  </si>
  <si>
    <t>CO-MEIZAN SBO 2L X 6 BTL</t>
  </si>
  <si>
    <t>7.45105108010300</t>
  </si>
  <si>
    <t>DẦU ĐẬU NÀNH NHÃN HIỆU MEIZAN 5L</t>
  </si>
  <si>
    <t>CO-MEIZAN SBO 5L X 4 BTL</t>
  </si>
  <si>
    <t>7.451050440106000</t>
  </si>
  <si>
    <t>DẦU ĐẬU NÀNH NHÃN HIỆU SIMPLY 400 ML</t>
  </si>
  <si>
    <t>CO-SIMPLY SBO 0.4L X 24 BTL</t>
  </si>
  <si>
    <t>7.131104A41703P10</t>
  </si>
  <si>
    <t>ORCHID S PR 75%ROL+25%SBO 5L*4BTL</t>
  </si>
  <si>
    <t>7.131010591201O40</t>
  </si>
  <si>
    <t>CAILAN S PREMVEGOIL(100%OLIV56) JRG@25KG</t>
  </si>
  <si>
    <t>7.45105279090100</t>
  </si>
  <si>
    <t>DẦU ĐẬU NÀNH TINH LUYỆN HIỆU SATELLITE TRONG TÚI BÓNG 18 KG</t>
  </si>
  <si>
    <t>SATELLITE-SBO BIB @18 KG</t>
  </si>
  <si>
    <t>7.101089580800910</t>
  </si>
  <si>
    <t>DẦU CỌ CHUYÊN DỤNG NHÃN HIỆU SATELLITE 20KG</t>
  </si>
  <si>
    <t>SATELLITE TEXTURIZED RBDPO CARTON@20KG</t>
  </si>
  <si>
    <t>7.704236E03717000H</t>
  </si>
  <si>
    <t>NƯỚC GIẶT POWER100 8 TRONG 1 HƯƠNG THUẦN KHIẾT 2.5KG*4 TÚI</t>
  </si>
  <si>
    <t>POWER100 LD PLATONIC 8IN1 2.5KG X 4PCH</t>
  </si>
  <si>
    <t>7.704237E03717000H</t>
  </si>
  <si>
    <t>NƯỚC GIẶT POWER100 8 TRONG 1 HƯƠNG THANH LỊCH 2.5KG*4 TÚI</t>
  </si>
  <si>
    <t>POWER100 LD ELEGANT 8IN1 2.5KG X 4PCH</t>
  </si>
  <si>
    <t>7.101172570901A00</t>
  </si>
  <si>
    <t>DẦU OLEIN TINH LUYỆN HIỆU SATELLITE TRONG TÚI BÓNG 18KG (RSPO/MB)</t>
  </si>
  <si>
    <t>SATELLITE RED RPOIV 58-61RSPOMB BIB@18KG</t>
  </si>
  <si>
    <t>7.1060140333708010</t>
  </si>
  <si>
    <t>SHORTENING HIỆU SATELLITE 25 KG (RSPO/MB)</t>
  </si>
  <si>
    <t>SATELLITE SHT 47-52 PE BAG@25KG/RSPO MB</t>
  </si>
  <si>
    <t>7.707664N52817000X</t>
  </si>
  <si>
    <t>NƯỚC LAU SÀN POWER100 TINH DẦU CHANH SẢ 9.0KG*2</t>
  </si>
  <si>
    <t>POWER100FCLEMONGRASSESSENTIALOIL9KG*2BTL</t>
  </si>
  <si>
    <t>7.707662N52817000X</t>
  </si>
  <si>
    <t>NƯỚC RỬA CHÉN POWER100 TINH DẦU CHANH 9.0KG*2</t>
  </si>
  <si>
    <t>POWER100 DWLLEMON ESSENTIALOIL 9KG*2BTL</t>
  </si>
  <si>
    <t>7.707663N52817000X</t>
  </si>
  <si>
    <t>NƯỚC LAU SÀN POWER100 TINH DẦU HOA THIÊN NHIÊN 9.0KG*2</t>
  </si>
  <si>
    <t>POWER100 FC FLORAL ESSENTIALOIL 9KG*2BTL</t>
  </si>
  <si>
    <t>7.131087121706H10</t>
  </si>
  <si>
    <t>DẦU ĂN THƯỢNG HẠNG NHÃN HIỆU NEPTUNE LIGHT 400ML</t>
  </si>
  <si>
    <t>CO-NEPTUNE LIGHT 400ML X 24 BTL</t>
  </si>
  <si>
    <t>7.1070120201508010</t>
  </si>
  <si>
    <t>BƠ THỰC VẬT CAO CẤP NHÃN HIỆU MEIZAN 20KG</t>
  </si>
  <si>
    <t>MEIZAN SUPERIOR MARGARINE(RED) PBG@20KG</t>
  </si>
  <si>
    <t>7.131036560800D60</t>
  </si>
  <si>
    <t>DẦU BƠ THAY THẾ ĐA DỤNG NHÃN HIỆU ORCHIRD TRONG THÙNG 15KG</t>
  </si>
  <si>
    <t>ORCHID BOS PINK IN PEBAG@15KG</t>
  </si>
  <si>
    <t>7.107033089153300</t>
  </si>
  <si>
    <t>DẦU BƠ THAY THẾ NHÃN HIỆU ORCHIRD (NHÃN MÀU VÀNG) TRONG THÙNG NHỰA 18KG</t>
  </si>
  <si>
    <t>ORCHID BOS IN PLASTIC BUCKET @18 KG</t>
  </si>
  <si>
    <t>7.706102031501200</t>
  </si>
  <si>
    <t>PHỤ GIA THỰC PHẨM GLYXERIN TINH KHIẾT 99,7% - WILFARIN, ĐÓNG TRONG PHUY SẮT 250KG</t>
  </si>
  <si>
    <t>WILFARIN REFGLYCERINE99.7 STEELDRM@250KG</t>
  </si>
  <si>
    <t>7.704229N528170019</t>
  </si>
  <si>
    <t>NƯỚC GIẶT XẢ POWER100 HƯƠNG NƯỚC HOA PHÁP ĐAM MÊ 9.0KG*2</t>
  </si>
  <si>
    <t>POWER100 LD PASSION FRENCH 9KG X 2BTL</t>
  </si>
  <si>
    <t>7.131005E41702C50</t>
  </si>
  <si>
    <t>DẦU THỰC VẬT CAO CẤP NHÃN HIỆU MEIZAN 9KG</t>
  </si>
  <si>
    <t>MEIZAN COOKING OIL 9KG X 2 BTL</t>
  </si>
  <si>
    <t>7.1070120291508010</t>
  </si>
  <si>
    <t>DẦU BƠ THAY THẾ NHÃN HIỆU MEIZAN 20KG</t>
  </si>
  <si>
    <t>MEIZAN BOS(BROWN) IN PEBAG@20KG</t>
  </si>
  <si>
    <t>7.707662P53717000H</t>
  </si>
  <si>
    <t>NƯỚC RỬA CHÉN POWER100 TINH DẦU CHANH 3.2KG*4 TÚI</t>
  </si>
  <si>
    <t>POWER100 DWLLEMON ESSENTIALOIL3.2KG*4PCH</t>
  </si>
  <si>
    <t>7.704235913717001L</t>
  </si>
  <si>
    <t>BỘT GIẶT POWER100 SAVING 3 TRONG 1 350G*36</t>
  </si>
  <si>
    <t>POWER100 SAVING PD 3IN1 350G X 36PCH</t>
  </si>
  <si>
    <t>7.131009061703O90</t>
  </si>
  <si>
    <t>CAILAN PR VEGOIL(99.5OL+0.5SBO) 5LX4BTL</t>
  </si>
  <si>
    <t>7.131009570901O50</t>
  </si>
  <si>
    <t>DẦU THỰC VẬT HẢO HẠNG NHÃN HIỆU CÁI LÂN (KÍCH CỠ ĐÓNG GÓI LỚN) TRONG TÚI BÓNG 18KG</t>
  </si>
  <si>
    <t>CAILANPREMIUMVEG OIL(100%OLIV58)BIB@18KG</t>
  </si>
  <si>
    <t>7.131087F11702H10</t>
  </si>
  <si>
    <t>DẦU ĂN THƯỢNG HẠNG NHÃN HIỆU NEPTUNE LIGHT 9.8L (9KG)</t>
  </si>
  <si>
    <t>CO-NEPTUNE LIGHT 9.8L X 2 BTL</t>
  </si>
  <si>
    <t>7.707707652817000H</t>
  </si>
  <si>
    <t>NƯỚC RỬA CHÉN POWER100 TIẾT KIỆM HƯƠNG TRÀ XANH LÔ HỘI 3.5KG*4</t>
  </si>
  <si>
    <t>POWER100 DWLSVG GREENTEA ALOE 3.5KG*4BTL</t>
  </si>
  <si>
    <t>7.707707N32817000K</t>
  </si>
  <si>
    <t>NƯỚC RỬA CHÉN POWER100 TIẾT KIỆM HƯƠNG TRÀ XANH LÔ HỘI 1.4KG*8</t>
  </si>
  <si>
    <t>POWER100 DWL SVG GREENTEA ALOE1.4KG*8BTL</t>
  </si>
  <si>
    <t>7.707583F62817400A</t>
  </si>
  <si>
    <t>NRC TIẾT KIỆM HƯƠNG CHANH 400G*24</t>
  </si>
  <si>
    <t>7.7042335937170003</t>
  </si>
  <si>
    <t>BỘT GIẶT POWER100 HƯƠNG NƯỚC HOA PHÁP QUYẾN RŨ 700G*20</t>
  </si>
  <si>
    <t>POWER100 PD CHARMINGFRENCH PF 700G*20PCH</t>
  </si>
  <si>
    <t>7.707583N32817000K</t>
  </si>
  <si>
    <t>NƯỚC RỬA CHÉN POWER100 TIẾT KIỆM HƯƠNG CHANH 1.4KG*8-XK</t>
  </si>
  <si>
    <t>POWER100 SAVING DWL LEMON@1.4KG*8BTL-EX</t>
  </si>
  <si>
    <t>7.707583E92817400N</t>
  </si>
  <si>
    <t>NƯỚC RỬA CHÉN POWER100 TIẾT KIỆM HƯƠNG CHANH 750G*16-XK</t>
  </si>
  <si>
    <t>POWER100 SAVING DWL LEMON 750G*16BTL-EX</t>
  </si>
  <si>
    <t>7.475056081708020</t>
  </si>
  <si>
    <t>DẦU Ô-LIU POMACE NHÃN HIỆU OLIVOILÀ 5L</t>
  </si>
  <si>
    <t>7.131078121706H60</t>
  </si>
  <si>
    <t>DẦU ĂN CAO CẤP NHÃN HIỆU MEIZAN GOLD 400 ML</t>
  </si>
  <si>
    <t>MEIZAN GOLD 0.4L X 24BTL</t>
  </si>
  <si>
    <t>7.707662F62817000A</t>
  </si>
  <si>
    <t>NƯỚC RỬA CHÉN POWER100 TINH DẦU CHANH 400G*24</t>
  </si>
  <si>
    <t>POWER100 DWLLEMON ESSENTIALOIL400G*24BTL</t>
  </si>
  <si>
    <t>7.707662E92817000N</t>
  </si>
  <si>
    <t>NƯỚC RỬA CHÉN POWER100 TINH DẦU CHANH 750G*16</t>
  </si>
  <si>
    <t>POWER100 DWLLEMON ESSENTIALOIL750G*16BTL</t>
  </si>
  <si>
    <t>7.45105003170000</t>
  </si>
  <si>
    <t>CO-SIMPLY SBO  BTL @ 1L-KM</t>
  </si>
  <si>
    <t>7.707704N22817000H</t>
  </si>
  <si>
    <t>NLK ĐA NĂNG POWER100 HƯƠNG BẠC HÀ 3.8L*4</t>
  </si>
  <si>
    <t>7.707663M428170002</t>
  </si>
  <si>
    <t>NLS TINH DẦU HOA THIÊN NHIÊN 990G*12</t>
  </si>
  <si>
    <t>7.707710N32817000K</t>
  </si>
  <si>
    <t>NƯỚC RỬA CHÉN POWER100 TINH CHẤT LÔ HỘI 1.4KG*8</t>
  </si>
  <si>
    <t>POWER100 NTRL DWL ALOEVERA EO 1.4KG*8BTL</t>
  </si>
  <si>
    <t>7.707710E92817000N</t>
  </si>
  <si>
    <t>NƯỚC RỬA CHÉN POWER100 NATURAL TINH CHẤT LÔ HỘI 750G*16</t>
  </si>
  <si>
    <t>POWER100 NTRL DWL ALOEVERA EO 750G*16BTL</t>
  </si>
  <si>
    <t>7.707711953717000C</t>
  </si>
  <si>
    <t>NƯỚC RỬA CHÉN POWER100 NATURAL TINH DẦU BƯỞI TÂY 2KG*6 TÚI-V</t>
  </si>
  <si>
    <t>POWER100 NTRL DWL GRAPEFRUIT EO 2KG*6PCH-V</t>
  </si>
  <si>
    <t>7.1070120803408010</t>
  </si>
  <si>
    <t>BƠ THỰC VẬT CAO CẤP HIỆU MEIZAN TRONG THÙNG 18KG (MÀU XANH )</t>
  </si>
  <si>
    <t>MEIZAN MARGARINE MP 42-44 IN PEBAG@18KG</t>
  </si>
  <si>
    <t>7.45105044170000</t>
  </si>
  <si>
    <t>CO-SIMPLY SBO BTL @ 0.4L</t>
  </si>
  <si>
    <t>7.45105008170000</t>
  </si>
  <si>
    <t>CO-SIMPLY SBO  BTL @ 5L</t>
  </si>
  <si>
    <t>7.45805003170000</t>
  </si>
  <si>
    <t>CO-SIMPLY SFO BTL @ 1L</t>
  </si>
  <si>
    <t>7.458050051700000</t>
  </si>
  <si>
    <t>SIMPLY SFO IN BOTTLE @2L</t>
  </si>
  <si>
    <t>7.45705003170000</t>
  </si>
  <si>
    <t>CO-SIMPLY CANOLA  BTL @ 1L</t>
  </si>
  <si>
    <t>7.101089570901890</t>
  </si>
  <si>
    <t>DẦU OLEIN CỌ TINH LUYỆN - B NHÃN HIỆU SATELLITE TRONG TÚI BÓNG 18KG</t>
  </si>
  <si>
    <t>SATELLITE-OL1008 + BHT BIB @18KG</t>
  </si>
  <si>
    <t>7.74100814070000</t>
  </si>
  <si>
    <t>CHẤT HOẠT ĐỘNG BỀ MẶT - SODIUM LAURYL SULPHATE ĐÓNG TRONG BAO 25KG</t>
  </si>
  <si>
    <t>SLS POWDER IN PAPER BAG @25KG</t>
  </si>
  <si>
    <t>7.707710F62817000A</t>
  </si>
  <si>
    <t>NƯỚC RỬA CHÉN POWER100 NATURAL TINH CHẤT LÔ HỘI 400G*24</t>
  </si>
  <si>
    <t>POWER100 NTRL DWL ALOEVERA EO 400G*24BTL</t>
  </si>
  <si>
    <t>7.131104F01703P10</t>
  </si>
  <si>
    <t>ORCHID S PR 75%ROLIV58+25%SBO 4.5L*4BTL</t>
  </si>
  <si>
    <t>N04.0018006.00306</t>
  </si>
  <si>
    <t>KỆ SẮT POWER100</t>
  </si>
  <si>
    <t>PROMOTIONAL STUFF,DISPLAY STAND SHELF,PO</t>
  </si>
  <si>
    <t>N04.0018001.00085</t>
  </si>
  <si>
    <t>TÚI VẢI ĐAY OLIVOILÀ</t>
  </si>
  <si>
    <t>BAG, TYPE:TOTE/GOODIE, MATERIAL:BLENDED JUTE FABRIC, SIZE:W. 30 X D. 9.2 X H. 36 CM, ADDITIONAL DETAILS:ROUND ROPE HANDLE, OLIVOILÀ</t>
  </si>
  <si>
    <t>7.704D63R537170001</t>
  </si>
  <si>
    <t>VIÊN GIẶT TIỆN LỢI POWER100 3 TRONG 1 HƯƠNG TINH TẾ 15G*34*10 TÚI</t>
  </si>
  <si>
    <t>POWER100 LP 3IN1DELICATE 34POD@15G*10PCH</t>
  </si>
  <si>
    <t>7.704D62R537170001</t>
  </si>
  <si>
    <t>VIÊN GIẶT TIỆN LỢI POWER100 3 TRONG 1 HƯƠNG TƯƠI MÁT 15G*34*10 TÚI</t>
  </si>
  <si>
    <t>POWER100 LP 3IN1 FRESH 34PODS@15G*10PCH</t>
  </si>
  <si>
    <t>7.1060140429608010</t>
  </si>
  <si>
    <t>SHORTENING NHÃN HIỆU SATELLITE 16KG</t>
  </si>
  <si>
    <t>SATELLITE SHORTENING (RED)IN CARTON 16KG</t>
  </si>
  <si>
    <t>7.1060140239008010</t>
  </si>
  <si>
    <t>SHORTENING NHÃN HIỆU SATELLITE 20KG</t>
  </si>
  <si>
    <t>SATELLITE SHT MP 48-51 IV 43 PEBAG@20KG</t>
  </si>
  <si>
    <t>7.101089570901880</t>
  </si>
  <si>
    <t>DẦU OLEIN CỌ TINH LUYỆN – A NHÃN HIỆU SATELLITE TRONG TÚI BÓNG 18KG</t>
  </si>
  <si>
    <t>SATELLITE-OL1008 + TOCOPHEROL BIB @18KG</t>
  </si>
  <si>
    <t>7.706102173201200</t>
  </si>
  <si>
    <t>PHỤ GIA THỰC PHẨM GLYXERIN TINH KHIẾT 99,7% WILFARIN - ĐÓNG TRONG CAN 30KG</t>
  </si>
  <si>
    <t>WILFARIN REFINED GLYCERINE 99.7% IN JERRY CAN 30KG</t>
  </si>
  <si>
    <t>7.1070123001852230</t>
  </si>
  <si>
    <t>MEIZAN MARGARINEMP44MAX 80GRX60 OVALTUBE</t>
  </si>
  <si>
    <t>6.4510700</t>
  </si>
  <si>
    <t>DẦU ĐẬU NÀNH TINH LUYỆN TRONG XE BỒN</t>
  </si>
  <si>
    <t>NBD SOYA BEAN OIL</t>
  </si>
  <si>
    <t>6.1212A64</t>
  </si>
  <si>
    <t>DẦU OLEIN CỌ TINH LUYỆN TRONG XE BỒN (RSPO/MB)</t>
  </si>
  <si>
    <t>REFINED PALM OLEIN IV 58-61/RSPO MB</t>
  </si>
  <si>
    <t>7.707583E928174002</t>
  </si>
  <si>
    <t>NƯỚC RỬA CHÉN POWER100 TIẾT KIỆM HƯƠNG CHANH 750G*12</t>
  </si>
  <si>
    <t>POWER100 SAVING DWL LEMON 750G*12BTL</t>
  </si>
  <si>
    <t>7.7040800101012000</t>
  </si>
  <si>
    <t>PHÔI XÀ PHÒNG - WILFARIN SN8020; BAO GIẤY 25KG</t>
  </si>
  <si>
    <t>WILFARIN SN8020 IN PAPERBAG@25KG</t>
  </si>
  <si>
    <t>7.101089591200A80</t>
  </si>
  <si>
    <t>DẦU OLEIN TINH LUYỆN HIỆU SATELLITE TRONG CAN 25KG (RSPO/MB)</t>
  </si>
  <si>
    <t>SATELLITE RBD OL1008 JRG @25KG/RSPO MB</t>
  </si>
  <si>
    <t>7.703004010500500</t>
  </si>
  <si>
    <t>AXIT STEARIC - WILFARIN SA1804; BAO NHỰA 25KG</t>
  </si>
  <si>
    <t>WILFARIN SA1804 IN WOVENBAG@25KG</t>
  </si>
  <si>
    <t>7.707710953717000C</t>
  </si>
  <si>
    <t>NƯỚC RỬA CHÉN POWER100 NATURAL TINH CHẤT LÔ HỘI 2.0KG*6 TÚI</t>
  </si>
  <si>
    <t>POWER100 NTRL DWL ALOEVERA EO 2KG*6BTL</t>
  </si>
  <si>
    <t>7.707586N32817000K</t>
  </si>
  <si>
    <t>NƯỚC RỬA CHÉN POWER100 HƯƠNG TRÀ XANH 1.4KG*8</t>
  </si>
  <si>
    <t>POWER100 DWL GREENTEA 1.4KG*8BTL</t>
  </si>
  <si>
    <t>7.74132917020000</t>
  </si>
  <si>
    <t>CHẤT HOẠT ĐỘNG BỀ MẶT AEO-9 MOL; PHUY SẮT 200KG</t>
  </si>
  <si>
    <t>FAL1214 ETHOXYLATED 9MOL STEELDRM@200KG</t>
  </si>
  <si>
    <t>7.707583F62817400G</t>
  </si>
  <si>
    <t>NƯỚC RỬA CHÉN POWER100 TIẾT KIỆM HƯƠNG CHANH 400G*28</t>
  </si>
  <si>
    <t>POWER100 SAVING DWL LEMON 400G*28BOTTLE</t>
  </si>
  <si>
    <t>7.707711N32817000K</t>
  </si>
  <si>
    <t>NƯỚC RỬA CHÉN POWER100 NATURAL TINH DẦU BƯỞI TÂY 1.4KG*8</t>
  </si>
  <si>
    <t>POWER100 NTRLDWLGRAPEFRUIT EO 1.4KG*8BTL</t>
  </si>
  <si>
    <t>7.131104B11704P10</t>
  </si>
  <si>
    <t>ORCHID S PR 75%ROL+25%SBO 2L*6BTL</t>
  </si>
  <si>
    <t>2000000005</t>
  </si>
  <si>
    <t>7.522H850305201320</t>
  </si>
  <si>
    <t>Nui cao cấp meizan - ống dài 8kg</t>
  </si>
  <si>
    <t>2000000007</t>
  </si>
  <si>
    <t>7.5221125707Y0223</t>
  </si>
  <si>
    <t>BỘT CHIÊN GIÒN MEIZAN 150G X 60 GÓI</t>
  </si>
  <si>
    <t>MEIZAN CRISPY FRYING MIX 150G X 60BAG</t>
  </si>
  <si>
    <t>7.522H850300101020</t>
  </si>
  <si>
    <t>NUI CAO CẤP MEIZAN 200G X 24 GÓI</t>
  </si>
  <si>
    <t>MEIZAN MACARONI LONG TUBE 200G*24BAG</t>
  </si>
  <si>
    <t>7.5221120707Y0210</t>
  </si>
  <si>
    <t>BỘT CHIÊN GIÒN MEIZAN 1KG X 10 GÓI</t>
  </si>
  <si>
    <t>MEIZAN CRISPY FRYING MIX 1KG X 10BAG</t>
  </si>
  <si>
    <t>7.522H850301201140</t>
  </si>
  <si>
    <t>NUI CAO CẤP MEIZAN 400G X 12 GÓI</t>
  </si>
  <si>
    <t>MEIZAN MACARONI LONG TUBE 400G*12BAG</t>
  </si>
  <si>
    <t>7.55601041671206</t>
  </si>
  <si>
    <t>BỘT BẮP MEIZAN 1KG X 10 GÓI</t>
  </si>
  <si>
    <t>MEIZAN CORN STARCH 1KG X 10 PLASTIC BAG</t>
  </si>
  <si>
    <t>7.522B850640701140</t>
  </si>
  <si>
    <t>MÌ TRỨNG CAO CẤP MEIZAN 500G X 12 GÓI</t>
  </si>
  <si>
    <t>MEIZAN PREMIUM EGG NOODLE 500G X 12BAG</t>
  </si>
  <si>
    <t>7.5221125707Z0206</t>
  </si>
  <si>
    <t>BỘT CHIÊN GIÒN MEIZAN ĐÃ NÊM SẴN GIA VỊ 150G X 24 GÓI</t>
  </si>
  <si>
    <t>MEIZAN SEASONED CRISPY FRYMIX 150G*24BAG</t>
  </si>
  <si>
    <t>7.522H850041201140</t>
  </si>
  <si>
    <t>NUI CAO CẤP MEIZAN - CHỮ "C" 400G X 12 GÓI</t>
  </si>
  <si>
    <t>MEIZAN MACARONI ELBOW 400G X 12BAG</t>
  </si>
  <si>
    <t>7.55601010672006</t>
  </si>
  <si>
    <t>BỘT BẮP MEIZAN 150G X 22 GÓI</t>
  </si>
  <si>
    <t>MEIZAN CORN STARCH 150G X 22 PLASTIC BAG</t>
  </si>
  <si>
    <t>7.585D130830080110</t>
  </si>
  <si>
    <t>BÁNH TRÁNG MEIZAN 120G</t>
  </si>
  <si>
    <t>MEIZAN RICE PAPER ROLL 120G X 40BAG</t>
  </si>
  <si>
    <t>7.5221450707Y0210</t>
  </si>
  <si>
    <t>BỘT CHIÊN GIÒN LA BÀN 1KG X 10 GÓI</t>
  </si>
  <si>
    <t>COMPASS CRISPY FRYING MIX 1KG X 10BAG</t>
  </si>
  <si>
    <t>7.522B850648101020</t>
  </si>
  <si>
    <t>MÌ TRỨNG CAO CẤP MEIZAN 250G X 24 GÓI</t>
  </si>
  <si>
    <t>MEIZAN PREMIUM EGG NOODLE 250G X 24BAG</t>
  </si>
  <si>
    <t>7.522H850240101020</t>
  </si>
  <si>
    <t>NUI CAO CẤP MEIZAN - HÌNH SAO 200G X 24 GÓI</t>
  </si>
  <si>
    <t>MEIZAN MACARONI STELLINE 200G X 24BAG</t>
  </si>
  <si>
    <t>7.522H850280101020</t>
  </si>
  <si>
    <t>NUI RAU CỦ CAO CẤP MEIZAN - CHỮ "C" 200G X 24 GÓI</t>
  </si>
  <si>
    <t>MEIZAN VEG MACARONI ELBOW 200G X 24BAG</t>
  </si>
  <si>
    <t>7.5221125707Y0206</t>
  </si>
  <si>
    <t>BỘT CHIÊN GIÒN MEIZAN 150G X 24 GÓI</t>
  </si>
  <si>
    <t>MEIZAN CRISPY FRYING MIX 150G X 24BAG</t>
  </si>
  <si>
    <t>7.522B856160701140</t>
  </si>
  <si>
    <t>MÌ TRỨNG CAO CẤP MEIZAN - SỢI NHỎ 500G X 12 GÓI</t>
  </si>
  <si>
    <t>MEIZAN THINROUNDSTRING NOODLE 500G*12BAG</t>
  </si>
  <si>
    <t>7.522112732350205</t>
  </si>
  <si>
    <t>BỘT GẠO MEIZAN 400G X 12 GÓI</t>
  </si>
  <si>
    <t>MEIZAN RICE FLOUR 400G X 12BAG</t>
  </si>
  <si>
    <t>7.01410721050205</t>
  </si>
  <si>
    <t>BỘT NĂNG ĐA DỤNG MEIZAN 400G X 12 GÓI</t>
  </si>
  <si>
    <t>MEIZAN ALLPURP TAPIOCA STARCH 400G*12BAG</t>
  </si>
  <si>
    <t>7.522H850040101020</t>
  </si>
  <si>
    <t>NUI CAO CẤP MEIZAN - CHỮ "C" 200G X 24 GÓI</t>
  </si>
  <si>
    <t>MEIZAN MACARONI ELBOW 200G X 24BAG</t>
  </si>
  <si>
    <t>7.522H850251401140</t>
  </si>
  <si>
    <t>NUI CAO CẤP MEIZAN - HÌNH XOẮN 300G X 12 GÓI</t>
  </si>
  <si>
    <t>MEIZAN MACARONI SPIRAL 300G X 12BAG</t>
  </si>
  <si>
    <t>7.522H860110780020</t>
  </si>
  <si>
    <t>MÌ SPAGHETTI OLIVOILÀ N.5 500G X 24 GÓI</t>
  </si>
  <si>
    <t>OLIVOILA SPAGHETTI N.5 500G X 24 ZIPPBAG</t>
  </si>
  <si>
    <t>7.522H860110765160</t>
  </si>
  <si>
    <t>MÌ SPAGHETTI OLIVOILÀ N.5 500G X 18 HỘP</t>
  </si>
  <si>
    <t>OLIVOILA SPAGHETTI N.5 500G X 18BOX</t>
  </si>
  <si>
    <t>7.090026641990913</t>
  </si>
  <si>
    <t>BỘT BÁNH XÈO MEIZAN 400G X 12 GÓI</t>
  </si>
  <si>
    <t>MEIZAN VIETNAMESE PANCAKE MIX 400G*12BAG</t>
  </si>
  <si>
    <t>7.522H850271201140</t>
  </si>
  <si>
    <t>NUI GẠO CAO CẤP MEIZAN - ỐNG DÀI 400G X 12 GÓI</t>
  </si>
  <si>
    <t>MEIZAN RICEMACARONI LONGTUBE 400G*12BAG</t>
  </si>
  <si>
    <t>7.522H870040803000</t>
  </si>
  <si>
    <t>NUI LA BÀN ĐỎ - CHỮ "C" 10KG</t>
  </si>
  <si>
    <t>RED COMPASS MACARONI ELBOW WOVENBAG@10KG</t>
  </si>
  <si>
    <t>BAG</t>
  </si>
  <si>
    <t>7.522H870300803000</t>
  </si>
  <si>
    <t>NUI LA BÀN ĐỎ - ỐNG DÀI 10KG</t>
  </si>
  <si>
    <t>REDCOMPASS MACARONILONGTUBE WOVENBG@10KG</t>
  </si>
  <si>
    <t>7.522B856181401020</t>
  </si>
  <si>
    <t>BÚN TƯƠI MEIZAN 300G X 24 GÓI</t>
  </si>
  <si>
    <t>MEIZAN RICE VERMICELLI 300G X 24BAG</t>
  </si>
  <si>
    <t>7.522112732590205</t>
  </si>
  <si>
    <t>BỘT NẾP MEIZAN 400G X 12 GÓI</t>
  </si>
  <si>
    <t>MEIZAN GLUTINOUS RICE FLOUR 400G*12BAG</t>
  </si>
  <si>
    <t>7.5221125707Z0223</t>
  </si>
  <si>
    <t>BỘT CHIÊN GIÒN MEIZAN ĐÃ NÊM SẴN GIA VỊ 150G X 60 GÓI</t>
  </si>
  <si>
    <t>MEIZAN SEASONED CRISPYFRYMIX 150G*60BAG</t>
  </si>
  <si>
    <t>7.01410701050101</t>
  </si>
  <si>
    <t>BỘT NĂNG ĐA DỤNG MEIZAN 10KG</t>
  </si>
  <si>
    <t>MEIZAN ALL PURP TAPIOCA STARCH BAG@10KG</t>
  </si>
  <si>
    <t>7.522B856170701140</t>
  </si>
  <si>
    <t>MÌ TRỨNG CAO CẤP MEIZAN - SỢI DẸT 500G X 12 GÓI</t>
  </si>
  <si>
    <t>MEIZAN EGGNOODLE FLATSTRING 500G*12BAG</t>
  </si>
  <si>
    <t>7.522B856158101140</t>
  </si>
  <si>
    <t>MÌ CHAY CAO CẤP MEIZAN 250G X 12 GÓI</t>
  </si>
  <si>
    <t>MEIZAN PREMIUM VEG NOODLE 250G X 12BAG</t>
  </si>
  <si>
    <t>7.585D130180080101</t>
  </si>
  <si>
    <t>BÁNH TRÁNG MEIZAN 450G X 20 GÓI</t>
  </si>
  <si>
    <t>MEIZAN RICE PAPER ROLL 450G X 20BAG</t>
  </si>
  <si>
    <t>7.59701568D32202</t>
  </si>
  <si>
    <t>BÁNH PHỒNG TÔM MEIZAN 100G X 50 GÓI</t>
  </si>
  <si>
    <t>MEIZAN PRAWN CRACKER 100G X 50BAG</t>
  </si>
  <si>
    <t>7.01410705050210</t>
  </si>
  <si>
    <t>BỘT NĂNG ĐA DỤNG MEIZAN 1KG</t>
  </si>
  <si>
    <t>MEIZAN ALLPURPOSETAPIOCASTARCH 1KG*10BAG</t>
  </si>
  <si>
    <t>7.522H850260101020</t>
  </si>
  <si>
    <t>NUI GẠO CAO CẤP MEIZAN - CHỮ "C" 200G X 24 GÓI</t>
  </si>
  <si>
    <t>MEIZAN RICE MACARONI ELBOW 200G X 24BAG</t>
  </si>
  <si>
    <t>7.522112052520101</t>
  </si>
  <si>
    <t>BỘT CHIÊN GÀ BC MEIZAN 10KG</t>
  </si>
  <si>
    <t>7.522HA80260803320</t>
  </si>
  <si>
    <t>NUI GẠO CÁI LÂN - CHỮ "C" 10KG</t>
  </si>
  <si>
    <t>CAILAN RICE MACARONI ELBOW WOVENBAG@10KG</t>
  </si>
  <si>
    <t>7.522HA80270803320</t>
  </si>
  <si>
    <t>NUI GẠO CÁI LÂN - ỐNG DÀI 10KG</t>
  </si>
  <si>
    <t>CAILAN RICEMACARONILONGTUBE WOVENBG@10KG</t>
  </si>
  <si>
    <t>7.522112052520601</t>
  </si>
  <si>
    <t>BỘT GÀ RÁN MEIZAN 10KG</t>
  </si>
  <si>
    <t>MEIZAN CHICKEN FRYING FLOUR PAPERBG@10KG</t>
  </si>
  <si>
    <t>7.522B850641C01320</t>
  </si>
  <si>
    <t>MÌ TRỨNG CAO CẤP MEIZAN 6,5KG</t>
  </si>
  <si>
    <t>MEIZAN PREMIUMEGGNOODLE PLASTICBAG@6.5KG</t>
  </si>
  <si>
    <t>2000000008</t>
  </si>
  <si>
    <t>7.551460E67C4M0680</t>
  </si>
  <si>
    <t>NƯỚC CHẤM ĐẬU NÀNH HÀNG VIỆT 500ML X 24 CHAI/THÙNG</t>
  </si>
  <si>
    <t>NAMDUONG HANG VIET SOY SAUCE 500ML*24BTL</t>
  </si>
  <si>
    <t>7.551460E67C5M0680</t>
  </si>
  <si>
    <t>NƯỚC CHẤM ĐẬU NÀNH HÀNG VIỆT THANH VỊ 500 ML X 24 CHAI/THÙNG</t>
  </si>
  <si>
    <t>NAMDUONG HANGVIETTHANHVI SOY 500ML*24BTL</t>
  </si>
  <si>
    <t>7.551460F37C6M0380</t>
  </si>
  <si>
    <t>NƯỚC CHẤM ĐẬU NÀNH HÀNG VIỆT HORECA 4 LÍT X 4 CHAI/THÙNG</t>
  </si>
  <si>
    <t>NAMDUONG HANGVIETHORECA SOYSAUCE 4L*4BTL</t>
  </si>
  <si>
    <t>7.5180032102408040</t>
  </si>
  <si>
    <t>HẠT NÊM MEIZAN THỊT, XƯƠNG ỐNG, TỦY, CÀ RỐT – VỊ HEO 1,8 KG X 6 GÓI/THÙNG</t>
  </si>
  <si>
    <t>MEIZAN PORK BOUILLON GRANULE 1.8KG*6BAG</t>
  </si>
  <si>
    <t>7.118110B419217060</t>
  </si>
  <si>
    <t>MAYONNAISE HƯƠNG GẠO RANG 230G X 24 CHAI/ THÙNG</t>
  </si>
  <si>
    <t>SIMPLY MAYO RICE ROASTED FLVR 230G*24BTL</t>
  </si>
  <si>
    <t>7.118110B418217060</t>
  </si>
  <si>
    <t>MAYONNAISE (CHẤM VÀ TRỘN ĐỀU NGON) 230G X 24 CHAI/ THÙNG</t>
  </si>
  <si>
    <t>SIMPLY MULTIPURPOSE MAYO 230G X 24BTL</t>
  </si>
  <si>
    <t>7.551460F56C7M0680</t>
  </si>
  <si>
    <t>TƯƠNG ĐEN 255G X 24 CHAI/THÙNG</t>
  </si>
  <si>
    <t>NAM DUONG HOISIN SOY SAUCE 255G X 24BTL</t>
  </si>
  <si>
    <t>7.515006143217060</t>
  </si>
  <si>
    <t>TƯƠNG ỚT ĐẶC BIỆT CAY 255G X 24 CHAI/THÙNG</t>
  </si>
  <si>
    <t>NAMDUONG SPECIAL HOT CHILI SC 255G*24BTL</t>
  </si>
  <si>
    <t>7.58810402204R1318</t>
  </si>
  <si>
    <t>SỐT DẦU DẤM TRỘN SALAD 250G</t>
  </si>
  <si>
    <t>NAM DUONG SALAD DRESSING 250G X 24BTL</t>
  </si>
  <si>
    <t>7.5180061602408100</t>
  </si>
  <si>
    <t>HẠT NÊM 4 TRONG 1 VỊ HEO 850G X 10 GÓI/ THÙNG</t>
  </si>
  <si>
    <t>NEPTUNE PORK BOUILLON 850G X 10PEBAG</t>
  </si>
  <si>
    <t>7.5180061402308120</t>
  </si>
  <si>
    <t>HẠT NÊM TAM BẢO VỊ NẤM 380G</t>
  </si>
  <si>
    <t>NEPTUNE MUSHROOM BOUILLON 380G*20PEBAG</t>
  </si>
  <si>
    <t>7.551460E6Y8000680</t>
  </si>
  <si>
    <t>NƯỚC TƯƠNG THƯỢNG HẠNG 500ML X 24 CHAI/THÙNG</t>
  </si>
  <si>
    <t>NAMDUONG PREMIUM SOY SAUCE 500ML X 24BTL</t>
  </si>
  <si>
    <t>7.58810415704Q1318</t>
  </si>
  <si>
    <t>DẦU HÀO NAM DƯƠNG 320G X 24 CHAI/ THÙNG</t>
  </si>
  <si>
    <t>NAM DUONG OYSTER SAUCE 320G X 24BTL</t>
  </si>
  <si>
    <t>7.58810415804Q1302</t>
  </si>
  <si>
    <t>DẦU HÀO NAM DƯƠNG 810G X 12 CHAI/ THÙNG</t>
  </si>
  <si>
    <t>NAM DUONG OYSTER SAUCE 810G X 12BTL</t>
  </si>
  <si>
    <t>7.5180072302408A50</t>
  </si>
  <si>
    <t>HẠT NÊM ORCHID THỊT, XƯƠNG ỐNG VÀ TỦY 10KG X 2 TÚI/BAO</t>
  </si>
  <si>
    <t>ORCHID PORK BOUILLON GRANULE 10KG*2BAG</t>
  </si>
  <si>
    <t>7.551460E4Y8000680</t>
  </si>
  <si>
    <t>NƯỚC TƯƠNG THƯỢNG HẠNG 210ML X 24 CHAI / THÙNG</t>
  </si>
  <si>
    <t>NAMDUONG PREMIUM SOY SAUCE 210ML X 24BTL</t>
  </si>
  <si>
    <t>7.551460E5Y9000680</t>
  </si>
  <si>
    <t>NƯỚC TƯƠNG NAM DƯƠNG ĐẬM ĐẶC 280ML X 24 CHAI/ THÙNG</t>
  </si>
  <si>
    <t>NAMDUONG CONDENSED SOY SAUCE 280ML*24BTL</t>
  </si>
  <si>
    <t>7.515006302917030</t>
  </si>
  <si>
    <t>TƯƠNG ỚT HÀNG VIỆT HORECA 4,2KG X 4 CHAI/THÙNG</t>
  </si>
  <si>
    <t>NAMDUONG HORECA HV CHILISAUCE 4.2KG*4BTL</t>
  </si>
  <si>
    <t>7.58810414704Q1304</t>
  </si>
  <si>
    <t>DẦU HÀO 615G X 20 CHAI/THÙNG</t>
  </si>
  <si>
    <t>NAM DUONG OYSTER SAUCE 615G X 20BTL</t>
  </si>
  <si>
    <t>7.1181100903976050</t>
  </si>
  <si>
    <t>MAYONNAISE 1KG X 12 HỘP/THÙNG</t>
  </si>
  <si>
    <t>SIMPLY MAYONNAISE 1KG X 12BOX</t>
  </si>
  <si>
    <t>7.1181109103976030</t>
  </si>
  <si>
    <t>MAYONNAISE SIMPLY 3KG X 4 HỘP/ THÙNG</t>
  </si>
  <si>
    <t>SIMPLY MAYONNAISE 3KG X 4BOX</t>
  </si>
  <si>
    <t>7.1180129103976030</t>
  </si>
  <si>
    <t>MAYONNAISE MEIZAN 3KG X 4 HỘP/ THÙNG</t>
  </si>
  <si>
    <t>MEIZAN MAYONNAISE 3KG X 4BOX</t>
  </si>
  <si>
    <t>7.5180031502508050</t>
  </si>
  <si>
    <t>BỘT NGỌT MEIZAN 1KG x 12 TÚI/ THÙNG</t>
  </si>
  <si>
    <t>MEIZAN MONOSODIUM GLUTAMAT 1KG*12PEBAG</t>
  </si>
  <si>
    <t>7.551460F26C000580</t>
  </si>
  <si>
    <t>NƯỚC TƯƠNG NAM DƯƠNG ĐẬU NÀNH LÊN MEN TỰ NHIÊN 710ML X 12 CHAI/THÙNG</t>
  </si>
  <si>
    <t>NAMDUONG FERMENTED SOY SAUCE 710ML*12BTL</t>
  </si>
  <si>
    <t>7.58810402204Q1318</t>
  </si>
  <si>
    <t>DẦU HÀO 270G X 24 CHAI</t>
  </si>
  <si>
    <t>NAM DUONG OYSTER SAUCE 270G X 24BTL</t>
  </si>
  <si>
    <t>7.515006413217060</t>
  </si>
  <si>
    <t>TƯƠNG ỚT ĐẶC BIỆT CAY 400G</t>
  </si>
  <si>
    <t>NAMDUONG SPECIAL HOT CHILI SC 400G*24BTL</t>
  </si>
  <si>
    <t>7.515006130617050</t>
  </si>
  <si>
    <t>TƯƠNG ỚT 470G X 12 CHAI/THÙNG</t>
  </si>
  <si>
    <t>NAM DUONG CHILI SAUCE 470G X 12BTL</t>
  </si>
  <si>
    <t>7.5630080350030601</t>
  </si>
  <si>
    <t>TƯƠNG CÀ 500G X 12 CHAI/THÙNG</t>
  </si>
  <si>
    <t>NAM DUONG TOMATO SAUCE 500G X 12BTL</t>
  </si>
  <si>
    <t>7.5180030702518200</t>
  </si>
  <si>
    <t>BỘT NGỌT MEIZAN 400G x 30 TÚI/ THÙNG</t>
  </si>
  <si>
    <t>MEIZAN MONOSODIUM GLUTAMAT 400G*30PCH</t>
  </si>
  <si>
    <t>7.515006141417060</t>
  </si>
  <si>
    <t>TƯƠNG ỚT NAM DƯƠNG CAY VỪA 255G X 24 CHAI/THÙNG</t>
  </si>
  <si>
    <t>NAMDUONG MED SPICY CHILISAUCE 255G*24BTL</t>
  </si>
  <si>
    <t>7.515006090608100</t>
  </si>
  <si>
    <t>TƯƠNG ỚT TÚI 1KG</t>
  </si>
  <si>
    <t>NAM DUONG CHILI SAUCE 1KG X 10BAG</t>
  </si>
  <si>
    <t>7.5630080190030604</t>
  </si>
  <si>
    <t>TƯƠNG CÀ NAM DƯƠNG 255G X 24 CHAI/ THÙNG</t>
  </si>
  <si>
    <t>NAM DUONG TOMATO SAUCE 255G X 24BTL</t>
  </si>
  <si>
    <t>7.5630080260030602</t>
  </si>
  <si>
    <t>TƯƠNG CÀ NAM DƯƠNG 2.2KG X 6 CHAI/ THÙNG</t>
  </si>
  <si>
    <t>NAM DUONG TOMATO SAUCE 2.2KG X 6BTL</t>
  </si>
  <si>
    <t>7.5180030702408060</t>
  </si>
  <si>
    <t>HẠT NÊM MEIZAN THỊT, XƯƠNG ỐNG, TUỶ, CÀ RỐT- VỊ HEO 400G X 24 GÓI/THÙNG</t>
  </si>
  <si>
    <t>MEIZAN PORKBOUILLON GRANULE 400G*24PEBAG</t>
  </si>
  <si>
    <t>7.515006333017050</t>
  </si>
  <si>
    <t>TƯƠNG ỚT HÀNG VIỆT 800G X 12 CHAI/ THÙNG</t>
  </si>
  <si>
    <t>NAMDUONG HANGVIET CHILISAUCE 800G*12BTL</t>
  </si>
  <si>
    <t>7.5180071702408080</t>
  </si>
  <si>
    <t>HẠT NÊM ORCHID THỊT, XƯƠNG ỐNG VÀ TỦY 5KG X 3 TÚI/THÙNG</t>
  </si>
  <si>
    <t>ORCHID PORK BOUILLON GRANULE 5KG*3PEBAG</t>
  </si>
  <si>
    <t>7.51800009025B2010</t>
  </si>
  <si>
    <t>BỘT NGỌT 25KG (S)</t>
  </si>
  <si>
    <t>MONOSODIUM GLUTAMATE PLASTICBAG@25KG</t>
  </si>
  <si>
    <t>7.551460E6Y9000680</t>
  </si>
  <si>
    <t>NƯỚC TƯƠNG NAM DƯƠNG ĐẬM ĐẶC 500ML X 24 CHAI/ THÙNG</t>
  </si>
  <si>
    <t>NAMDUONG CONDENSED SOY SAUCE 500ML*24BTL</t>
  </si>
  <si>
    <t>7.5180061402408120</t>
  </si>
  <si>
    <t>HẠT NÊM 4 TRONG 1 VỊ HEO 380G X 20 GÓI/THÙNG</t>
  </si>
  <si>
    <t>NEPTUNE PORK BOUILLON GRANULE 380G*20BAG</t>
  </si>
  <si>
    <t>7.551460E66C000680</t>
  </si>
  <si>
    <t>NƯỚC TƯƠNG NAM DƯƠNG ĐẬU NÀNH LÊN MEN TỰ NHIÊN 500ML X 24 CHAI</t>
  </si>
  <si>
    <t>NAMDUONG FERMENTED SOY SAUCE 500ML*24BTL</t>
  </si>
  <si>
    <t>7.5180030703418200</t>
  </si>
  <si>
    <t>BỘT NGỌT MEIZAN (CÁNH VỪA) 400G X 30 TÚI/ THÙNG</t>
  </si>
  <si>
    <t>MEIZAN MSG 60-MESH 400G*30PCH</t>
  </si>
  <si>
    <t>7.5180031702518080</t>
  </si>
  <si>
    <t>BỘT NGỌT MEIZAN (CÁNH VỪA) 5KG X 3 TÚI/ THÙNG</t>
  </si>
  <si>
    <t>MEIZAN MONOSODIUM GLUTAMATE 5KG*3PCH</t>
  </si>
  <si>
    <t>7.551460176C7M0580</t>
  </si>
  <si>
    <t>TƯƠNG ĐEN 500G X 12 CHAI</t>
  </si>
  <si>
    <t>NAM DUONG HOISIN SOY SAUCE 500G X 12BTL</t>
  </si>
  <si>
    <t>7.515006311417040</t>
  </si>
  <si>
    <t>TƯƠNG ỚT NAM DƯƠNG CAY VỪA 2.1KG X 6 CHAI/ THÙNG</t>
  </si>
  <si>
    <t>NAMDUONG MED SPICY CHILISAUCE 2.1KG*6BTL</t>
  </si>
  <si>
    <t>7.5180031502518050</t>
  </si>
  <si>
    <t>BỘT NGỌT MEIZAN (CÁNH VỪA) 1KG X 12 TÚI/ THÙNG</t>
  </si>
  <si>
    <t>MEIZAN MONOSODIUM GLUTAMATE 1KG X 12PCH</t>
  </si>
  <si>
    <t>7.5180032202518040</t>
  </si>
  <si>
    <t>BỘT NGỌT MEIZAN (CÁNH VỪA) 2KG X 6 TÚI/ THÙNG</t>
  </si>
  <si>
    <t>MEIZAN MONOSODIUM GLUTAMATE 2KG*6PCH</t>
  </si>
  <si>
    <t>7.551477E4Y8000680</t>
  </si>
  <si>
    <t>MEGA PREMIUM SOY SAUCE 210ML X 24BTL</t>
  </si>
  <si>
    <t>7.515006141317B20</t>
  </si>
  <si>
    <t>TƯƠNG ỚT NAM DƯƠNG CAY VỪA 255G X 4 LỐC/ THÙNG</t>
  </si>
  <si>
    <t>NAMDUONG HOT CHILI SAUCE@255G 6BTL*4PACK</t>
  </si>
  <si>
    <t>7.5180062202408040</t>
  </si>
  <si>
    <t>HẠT NÊM 4 TRONG 1 - VỊ HEO 2KG X 6 GÓI</t>
  </si>
  <si>
    <t>NEPTUNE PORK BOUILLON GRANULE 2KG*6PEBAG</t>
  </si>
  <si>
    <t>7.58810402204R1335</t>
  </si>
  <si>
    <t>SỐT DẦU DẤM TRỘN SALAD 250G X 4 LỐC/ THÙNG</t>
  </si>
  <si>
    <t>NAMDUONG SALAD DRESSING @250G 6BTL*4PACK</t>
  </si>
  <si>
    <t>7.515006312917040</t>
  </si>
  <si>
    <t>TƯƠNG ỚT HÀNG VIỆT HORECA 2,1KG X 6 CHAI/THÙNG</t>
  </si>
  <si>
    <t>NAMDUONG HORECA HV CHILISAUCE 2.1KG*6BTL</t>
  </si>
  <si>
    <t>7.515006341420A80</t>
  </si>
  <si>
    <t>TƯƠNG ỚT NAM DƯƠNG CAY VỪA 10G X 800 GÓI/THÙNG</t>
  </si>
  <si>
    <t>NAMDUONG MED SPICY CHILISAUCE 10G*800SCH</t>
  </si>
  <si>
    <t>7.5630080280031006</t>
  </si>
  <si>
    <t>TƯƠNG CÀ 10G X 800 GÓI/THÙNG</t>
  </si>
  <si>
    <t>NAM DUONG TOMATO SAUCE 10G X 800SACHET</t>
  </si>
  <si>
    <t>7.5180031502408100</t>
  </si>
  <si>
    <t>HẠT NÊM MEIZAN THỊT, XƯƠNG ỐNG, TỦY, CÀ RỐT – VỊ HEO 1KG X 10 GÓI/THÙNG</t>
  </si>
  <si>
    <t>MEIZAN PORK BOUILLON GRANULE 1KG*10PEBAG</t>
  </si>
  <si>
    <t>7.59800827601116</t>
  </si>
  <si>
    <t>COMBO 01 BAO HẠT NÊM 4 TRONG 1 VỊ HEO 850G VÀ 01 CHAI NƯỚC TƯƠNG THƯỢNG HẠNG 500ML VÀ 01 CHAI TƯƠNG ỚT ĐẶC BIỆT CAY 255G VÀ 01 CHAI NƯỚC MẮM NHỈ CÁ CƠM 30° ĐẠM HIỆU 584 NHA TRANG CHAI PET 500ML X 10 TÚI/ THÙNG</t>
  </si>
  <si>
    <t>NAMDUNG+NEPTUNE BUNDLE COMBO X 10PACK</t>
  </si>
  <si>
    <t>7.58810404104Q1308</t>
  </si>
  <si>
    <t>DẦU HÀO NAM DƯƠNG 2,25KG X 6 CHAI/ THÙNG</t>
  </si>
  <si>
    <t>NAM DUONG OYSTER SAUCE 2.25KG X 6BTL</t>
  </si>
  <si>
    <t>7.551460E6S2001280</t>
  </si>
  <si>
    <t>NƯỚC CHẤM HƯƠNG NẤM 500ML</t>
  </si>
  <si>
    <t>Tương ớt nam dương cay vừa 2.1kg x 6 chai/ thùng</t>
  </si>
  <si>
    <t>Nam duong hot chili sauce 2.1kg x 6 bot/car</t>
  </si>
  <si>
    <t>7.5630130190030604</t>
  </si>
  <si>
    <t>TƯƠNG CÀ THE PIZZA COMPANY 255G X 24 CHAI/THÙNG</t>
  </si>
  <si>
    <t>7.5630130280221008</t>
  </si>
  <si>
    <t>TƯƠNG CÀ THE PIZZA COMPANY 10G X1.200 GÓI/THÙNG</t>
  </si>
  <si>
    <t>7.551460F9S52N0680</t>
  </si>
  <si>
    <t>NƯỚC TƯƠNG TỎI ỚT TƯƠI 310G X 24CHAI/THÙNG</t>
  </si>
  <si>
    <t>NAMDUONG GARLIC CHILISOYSAUCE 310G*24BTL</t>
  </si>
  <si>
    <t>7.551460E56C000680</t>
  </si>
  <si>
    <t>NƯỚC TƯƠNG NAM DƯƠNG ĐẬU NÀNH LÊN MEN TỰ NHIÊN 280ML X 24 CHAI</t>
  </si>
  <si>
    <t>NAMDUONG FERMENTED SOY SAUCE 280ML*24BTL</t>
  </si>
  <si>
    <t>2100000002</t>
  </si>
  <si>
    <t>7.5221120705D2710</t>
  </si>
  <si>
    <t>BỘT MÌ HIỆU MEIZAN BÁNH BÔNG LAN (1KG *10 GÓI/THÙNG)</t>
  </si>
  <si>
    <t>MEIZAN CAKE FL 7-9% W/FE&amp;ZN 1KG X 10BAG</t>
  </si>
  <si>
    <t>7.089062121281203</t>
  </si>
  <si>
    <t>MEN KHÔ DÙNG LIỀN HIỆU MEIZAN –NHÃN XANH DƯƠNG (500G*20 GÓI/THÙNG)</t>
  </si>
  <si>
    <t>MEIZAN DRYYEASTLOWSUGAR500GX20BAG BLUELB</t>
  </si>
  <si>
    <t>7.089062120091203</t>
  </si>
  <si>
    <t>MEN KHÔ DÙNG LIỀN HIỆU MEIZAN - NHÃN ĐỎ (500G*20 GÓI/THÙNG)</t>
  </si>
  <si>
    <t>MEIZAN DRYYEASTLOWSUGAR 500GX20BAG REDLB</t>
  </si>
  <si>
    <t>7.522112071922710</t>
  </si>
  <si>
    <t>BỘT MÌ ĐA DỤNG CAO CẤP HIỆU MEIZAN (1KG*10 GÓI/THÙNG)</t>
  </si>
  <si>
    <t>MEIZAN MULTIPURPOSE W/FE,ZN,VIT 1KG*10BG</t>
  </si>
  <si>
    <t>7.52211207A632710</t>
  </si>
  <si>
    <t>BỘT MÌ HIỆU MEIZAN BÁNH MÌ (1KG *10 GÓI/THÙNG)</t>
  </si>
  <si>
    <t>MEIZAN BREADFL W/FE,ZN,VIT.C 1KG X 10BAG</t>
  </si>
  <si>
    <t>7.089062120111103</t>
  </si>
  <si>
    <t>MEN KHÔ DÙNG LIỀN HIỆU MEIZAN - NHÃN VÀNG (500G*20 GÓI/THÙNG)</t>
  </si>
  <si>
    <t>MEIZANDRYYEASTHISUGAR 500GX20BAGYELLOWLB</t>
  </si>
  <si>
    <t>7.522112292032712</t>
  </si>
  <si>
    <t>BỘT MÌ ĐA DỤNG CAO CẤP HIỆU MEIZAN (0.5KG*20 GÓI/THÙNG)</t>
  </si>
  <si>
    <t>MEIZAN MULTIFL 9.5-12%W/FE&amp;ZN 500G*20BAG</t>
  </si>
  <si>
    <t>7.522223292882712</t>
  </si>
  <si>
    <t>BỘT MÌ SỐ 8 MEIZAN GOLD (500G * 20 GÓI/THÙNG)</t>
  </si>
  <si>
    <t>MEIZAN GOLD WHEAT FLOUR NO.8 500G*20BAG</t>
  </si>
  <si>
    <t>7.522145071362710</t>
  </si>
  <si>
    <t>BỘT MÌ ĐA DỤNG HIỆU LA BÀN (1KG*10 GÓI/THÙNG)</t>
  </si>
  <si>
    <t>COMPASS MULTIPURPOSE FL 9-11% 1KG*10BAG</t>
  </si>
  <si>
    <t>7.522145291362712</t>
  </si>
  <si>
    <t>BỘT MÌ ĐA DỤNG HIỆU LA BÀN (0.5KG *20 GÓI/THÙNG)</t>
  </si>
  <si>
    <t>COMPASS MULTIPURPOSE FLOUR 500G*20BAG</t>
  </si>
  <si>
    <t>7.E38017899F00138</t>
  </si>
  <si>
    <t>SỮA TIỆT TRÙNG GIÀU CANXI ÍT BÉO NHÃN HIỆU MEADOW FRESH 200mlx24, XUẤT XỨ NEW ZEALAND</t>
  </si>
  <si>
    <t>7.G4001B599F20186</t>
  </si>
  <si>
    <t>TRÀ VINATEA HƯƠNG NHÀI, LOẠI 70G X 72 TÚI ĐÓNG TRONG THÙNG CARTON</t>
  </si>
  <si>
    <t>VINATEA JASMINE FLAVORED TEA 70G X 72 BAGS IN CARTON</t>
  </si>
  <si>
    <t>7.E3801789985I932</t>
  </si>
  <si>
    <t>SỮA TƯƠI TIỆT TRÙNG NGUYÊN KEM NHÃN HIỆU MEADOW FRESH 1LX12, XUẤT XỨ NEW ZEALAND</t>
  </si>
  <si>
    <t>7.92419B799D001A3</t>
  </si>
  <si>
    <t>NƯỚC MẮM CÁ CƠM 12° ĐẠM CHAI PET 5L X 4 CHAI ĐÓNG TRONG THÙNG CARTON</t>
  </si>
  <si>
    <t>ANCHOVY FISH SAUCE 12°N PLASTIC BOTTLES 5 LITRE X 4 BOT IN CARTON</t>
  </si>
  <si>
    <t>7.E3801789985I933</t>
  </si>
  <si>
    <t>SỮA TƯƠI TIỆT TRÙNG TÁCH BÉO NHÃN HIỆU MEADOW FRESH 1LX12, XUẤT XỨ NEW ZEALAND</t>
  </si>
  <si>
    <t>7.E3801789985I935</t>
  </si>
  <si>
    <t>SỮA TƯƠI TIỆT TRÙNG ÍT BÉO NHÃN HIỆU MEADOW FRESH 1LX12, XUẤT XỨ NEW ZEALAND</t>
  </si>
  <si>
    <t>MEADOW FRESH UHT LOW FAT MILK 1LX12, NEW ZEALAND ORIGIN</t>
  </si>
  <si>
    <t>7.E3801789985I938</t>
  </si>
  <si>
    <t>SỮA TIỆT TRÙNG GIÀU CANXI ÍT BÉO NHÃN HIỆU MEADOW FRESH 1LX12, XUẤT XỨ NEW ZEALAND</t>
  </si>
  <si>
    <t>7.E38017899F00132</t>
  </si>
  <si>
    <t>SỮA TƯƠI TIỆT TRÙNG NGUYÊN KEM NHÃN HIỆU MEADOW FRESH 200mlx24, XUẤT XỨ NEW ZEALAND</t>
  </si>
  <si>
    <t>MEADOW FRESH UHT FULL CREAM MILK 200MLX24</t>
  </si>
  <si>
    <t>7.G4001B599330186</t>
  </si>
  <si>
    <t>TRÀ VINATEA HƯƠNG NHÀI 400G X 10 TÚI ĐÓNG TRONG THÙNG CARTON</t>
  </si>
  <si>
    <t>VINATEA JASMINE FLAVORED TEA 400G X 10 BAGS IN CARTON</t>
  </si>
  <si>
    <t>7.J43021099020199</t>
  </si>
  <si>
    <t>HẠT MÈ (VỪNG) TÁCH VỎ 99.97% 1KG X 25 GÓI ĐÓNG TRONG BAO PP</t>
  </si>
  <si>
    <t>HULLED SESAME SEED 99.97% 1KG X 25 PACK IN PP MASTER BAG</t>
  </si>
  <si>
    <t>7.G4001B599C20188</t>
  </si>
  <si>
    <t>TRÀ VINATEA HOA CÚC MẬT ++ (TÚI LỌC) 40G 2G X 20 TÚI LỌC X 24 HỘP ĐÓNG TRONG THÙNG CARTON</t>
  </si>
  <si>
    <t>VINATEA CHAMOMILE TEA ++ (TEA BAG) 40G 2G X 20 BAGS X 24 BOXES IN CARTON</t>
  </si>
  <si>
    <t>7.G4001B599320199</t>
  </si>
  <si>
    <t>TRÀ ĐEN HẢO HẠNG HỘP VÀNG TÚI LỌC HIỆU VINATEA, LOẠI 200G 2G X 100 TÚI LỌC X 16 HỘP ĐÓNG TRONG THÙNG CARTON</t>
  </si>
  <si>
    <t>VINATEA BLACK TEA (TEA BAG) 200G 2G X 100 BAGS X 16 BOXES IN CARTON</t>
  </si>
  <si>
    <t>7.D3701C299020124</t>
  </si>
  <si>
    <t>NGUYÊN LIỆU THỰC PHẨM SÔ-CÔ-LA TRẮNG DẠNG KHỐI NHÃN HIỆU CHAMBERY, KHỐI 1KG, ĐÓNG TRONG THÙNG CARTON 10KG</t>
  </si>
  <si>
    <t>CHAMBERY WHITE COMPOUND BLOCK (1KG X 10PCS), 10KG</t>
  </si>
  <si>
    <t>7.D3701C2990201D1</t>
  </si>
  <si>
    <t>NGUYÊN LIỆU THỰC PHẨM SÔ-CÔ-LA ĐEN DẠNG KHỐI NHÃN HIỆU CHAMBERY, KHỐI 1KG, ĐÓNG TRONG THÙNG CARTON 10KG</t>
  </si>
  <si>
    <t>CHAMBERY DARK CHOCOLATE COMPOUND BLOCK (1KG X 10PCS), 10KG</t>
  </si>
  <si>
    <t>7.D3701109902L125</t>
  </si>
  <si>
    <t>NGUYÊN LIỆU THỰC PHẨM SÔ-CÔ-LA ĐEN CHAMBERY DẠNG KHỐI CDD-16CPEX, BLOCK 1KG, ĐÓNG TRONG THÙNG CARTON 10KG</t>
  </si>
  <si>
    <t>CHAMBERY DARK CHOCOLATE COMPOUND BLOCK CDD-16CPEX (1KG X 10PCS), 10KG</t>
  </si>
  <si>
    <t>7.E38017899F00135</t>
  </si>
  <si>
    <t>SỮA TƯƠI TIỆT TRÙNG ÍT BÉO NHÃN HIỆU MEADOW FRESH 200mlx24, XUẤT XỨ NEW ZEALAND</t>
  </si>
  <si>
    <t>MEADOW FRESH UHT LOW FAT MILK 200MLX24</t>
  </si>
  <si>
    <t>7.E3801789985K232</t>
  </si>
  <si>
    <t xml:space="preserve">SỮA TƯƠI TIỆT TRÙNG NGUYÊN KEM KHÔNG NẮP NHÃN HIỆU MEADOW FRESH 1LX12 </t>
  </si>
  <si>
    <t>7.J43021099050199</t>
  </si>
  <si>
    <t>HẠT MÈ (VỪNG) TÁCH VỎ 99.97% ĐÓNG TRONG BAO 25KG</t>
  </si>
  <si>
    <t>HULLED SESAME SEED 99.97% IN 25KG PP BAG</t>
  </si>
  <si>
    <t>7.G4001B599830199</t>
  </si>
  <si>
    <t>TRÀ HƯƠNG SÂM DỨA HIỆU VINATEA, LOẠI 350G X 10 TÚI TRONG THÙNG CARTON</t>
  </si>
  <si>
    <t>VINATEA PANDAN FLAVORED TEA 350G X 10 BAGS IN CARTON</t>
  </si>
  <si>
    <t>7.92524B69947L2D9</t>
  </si>
  <si>
    <t>XỐT GIA VỊ HOÀN CHỈNH BÒ KHO NHÃN HIỆU DHFOODS 80G X 20 X 6 HỘP ĐÓNG TRONG THÙNG CARTON</t>
  </si>
  <si>
    <t>DHFOODS SOUP BASE FOR BEEF STEW 80GR X 20 X 6 BOXES IN CARTON</t>
  </si>
  <si>
    <t>7.92524B69947L399</t>
  </si>
  <si>
    <t>XỐT GIA VỊ HOÀN CHỈNH KHO THỊT CÁ NHÃN HIỆU DHFOODS 80G X 20 X 6 HỘP ĐÓNG TRONG THÙNG CARTON</t>
  </si>
  <si>
    <t>DHFOODS VIETNAMESE BRAISING SAUCE FOR MEAT &amp; FISH 80GR X 20 X 6 BOXES IN CARTON</t>
  </si>
  <si>
    <t>7.92524B69947L408</t>
  </si>
  <si>
    <t>XỐT GIA VỊ HOÀN CHỈNH XÀO CHUA NGỌT NHÃN HIỆU DHFOODS 80G X 20 X 6 HỘP ĐÓNG TRONG THÙNG CARTON</t>
  </si>
  <si>
    <t>DHFOODS STIR-FRY SAUCE WITH SWEET &amp; SOUR TASTE 80GR X 20 X 6 BOXES IN CARTON</t>
  </si>
  <si>
    <t>7.92524B6996001E1</t>
  </si>
  <si>
    <t>XỐT PHÔ MAI NHÃN HIỆU DHFOODS 100G X 24 CHAI ĐÓNG TRONG THÙNG CARTON</t>
  </si>
  <si>
    <t>DHFOODS CHEESE SAUCE 100GR X 24 PCS IN CARTON</t>
  </si>
  <si>
    <t>7.92524B6993201E2</t>
  </si>
  <si>
    <t>XỐT THÁI SẢ TẮC NHÃN HIỆU DHFOODS 200G X 24 CHAI ĐÓNG TRONG THÙNG CARTON</t>
  </si>
  <si>
    <t>DHFOODS THAI-STYLE LEMONGRASS &amp; KUMQUAT SAUCE 200GR X 24 PCS IN CARTON</t>
  </si>
  <si>
    <t>7.92514B6994701C9</t>
  </si>
  <si>
    <t>XỐT GIA VỊ HOÀN CHỈNH NƯỚNG THỊT GÓI NHÃN HIỆU DHFOODS 80GR X 20 X 6 HỘP ĐÓNG TRONG THÙNG CARTON</t>
  </si>
  <si>
    <t>DHFOODS BBQ SAUCE FOR GRILLED MEAT 80GR X 20 x 6 BOXES IN CARTON</t>
  </si>
  <si>
    <t>7.92511B699D10189</t>
  </si>
  <si>
    <t>MUỐI TÔM TÂY NINH 60G X 48 CHAI ĐÓNG TRONG THÙNG CARTON</t>
  </si>
  <si>
    <t>TAY NINH SHRIMP SALT 60G x 48 BOT IN CARTON</t>
  </si>
  <si>
    <t>7.92511B699B00189</t>
  </si>
  <si>
    <t>MUỐI TÔM TÂY NINH 110G X 24 HŨ ĐÓNG TRONG THÙNG CARTON</t>
  </si>
  <si>
    <t>TAY NINH SHRIMP SALT 110G X 24 PCS IN CARTON</t>
  </si>
  <si>
    <t>7.92520B699430199</t>
  </si>
  <si>
    <t>MUỐI CHẤM HOA QUẢ 50GR X 48 HŨ ĐÓNG TRONG THÙNG CARTON</t>
  </si>
  <si>
    <t>DIPPING FRUIT SALT 50G x 48 PCS IN CARTON</t>
  </si>
  <si>
    <t>7.92522B699D70199</t>
  </si>
  <si>
    <t>MUỐI ỚT HỘT 65GR X 48 CHAI ĐÓNG TRONG THÙNG CARTON</t>
  </si>
  <si>
    <t>SEA SALT WITH CHILI 65GR X 48 PCS IN CARTON</t>
  </si>
  <si>
    <t>7.92419B7993701B9</t>
  </si>
  <si>
    <t>NƯỚC MẮM CÁ CƠM 15° ĐẠM HIỆU 584 NHA TRANG CHAI PET 500ML X 20 CHAI ĐÓNG TRONG THÙNG CARTON</t>
  </si>
  <si>
    <t>584 NHA TRANG ANCHOVY FISH SAUCE 15°N OF PET BOTTLES 500ML X 20 PCS IN CARTON</t>
  </si>
  <si>
    <t>7.92419B7993701B8</t>
  </si>
  <si>
    <t>NƯỚC MẮM NHỈ CÁ CƠM 30° ĐẠM HIỆU 584 NHA TRANG CHAI PET 500ML X 6 CHAI ĐÓNG TRONG THÙNG CARTON</t>
  </si>
  <si>
    <t>584 NHA TRANG ANCHOVY FISH SAUCE 30°N PET BOTTLES 500ML X 6 PCS IN CARTON</t>
  </si>
  <si>
    <t>7.92512B699430190</t>
  </si>
  <si>
    <t>MUỐI TIÊU LÁ CHANH 50G X 48 CHAI ĐÓNG TRONG THÙNG CARTON</t>
  </si>
  <si>
    <t>LIME LEAF PEPPER SALT 50G x 48 BOT IN CARTON</t>
  </si>
  <si>
    <t>7.92419B799C901A2</t>
  </si>
  <si>
    <t>NƯỚC MẮM NHỈ CÁ CƠM 25° ĐẠM CHAI PET 2L X 6 CHAI ĐÓNG TRONG THÙNG CARTON</t>
  </si>
  <si>
    <t>ANCHOVY FISH SAUCE 25°N PLASTIC BOTTLES 2 LITRE X 6 BOT IN CARTON</t>
  </si>
  <si>
    <t>7.92419B7993701A1</t>
  </si>
  <si>
    <t>NƯỚC MẮM NHỈ CÁ CƠM 35° ĐẠM HIỆU 584 NHA TRANG CHAI THỦY TINH 500ML X 12 CHAI ĐÓNG TRONG THÙNG CARTON</t>
  </si>
  <si>
    <t>ANCHOVY FISH SAUCE 35°N GLASS BOTTLES 500ML X 12 BOT IN CARTON</t>
  </si>
  <si>
    <t>7.92419B7993701A0</t>
  </si>
  <si>
    <t>NƯỚC MẮM NHỈ CÁ CƠM 40° ĐẠM HIỆU 584 NHA TRANG CHAI THỦY TINH 500ML X 12 CHAI ĐÓNG TRONG THÙNG CARTON</t>
  </si>
  <si>
    <t>ANCHOVY FISH SAUCE 40°N GLASS BOTTLES 500ML X 12 BOT IN CARTON</t>
  </si>
  <si>
    <t>7.G4001B595430199</t>
  </si>
  <si>
    <t>TRÀ VINATEA THÁI NGUYÊN (TÚI LỌC) 50G 2G X 25 TÚI LỌC X 24 HỘP ĐÓNG TRONG THÙNG CARTON</t>
  </si>
  <si>
    <t>VINATEA THAI NGUYEN GREEN TEA (TEA BAG) 50G 2G X 25 BAGS X 24 BOXES IN CARTON</t>
  </si>
  <si>
    <t>7.92413B699600199</t>
  </si>
  <si>
    <t>MUỐI ỚT CHANH 100GR X 48 CHAI ĐÓNG TRONG THÙNG CARTON</t>
  </si>
  <si>
    <t>LIME GREEN CHILI SAUCE 100G X 48 PCS IN CARTON</t>
  </si>
  <si>
    <t>7.92419B7998501A3</t>
  </si>
  <si>
    <t>NƯỚC MẮM CÁ CƠM 12° ĐẠM CHAI PET 1L X 12 CHAI ĐÓNG TRONG THÙNG CARTON</t>
  </si>
  <si>
    <t>ANCHOVY FISH SAUCE 12°N PLASTIC BOTTLES 1L X 12 BOT IN CARTON</t>
  </si>
  <si>
    <t>7.92413B699320191</t>
  </si>
  <si>
    <t>MUỐI ỚT CHANH NHA TRANG 200G X 24 CHAI ĐÓNG TRONG THÙNG CARTON</t>
  </si>
  <si>
    <t>7.92419B799D001B9</t>
  </si>
  <si>
    <t>NƯỚC MẮM CÁ CƠM 15° ĐẠM HIỆU 584 NHA TRANG CHAI PET 5L X 4 CHAI</t>
  </si>
  <si>
    <t>7.G4001B499C10183</t>
  </si>
  <si>
    <t>7.G4001B499C00182</t>
  </si>
  <si>
    <t>TWINKLE CHAMOMILE</t>
  </si>
  <si>
    <t>7.G4001B499C10184</t>
  </si>
  <si>
    <t>TWINKLE PEACH</t>
  </si>
  <si>
    <t>7.I42021099050199</t>
  </si>
  <si>
    <t>HẠT MÈ (VỪNG) TÁCH VỎ 99.97 ĐÓNG TRONG BAO 25KG</t>
  </si>
  <si>
    <t>HULLED SESAME SEED 99.97 PACKING IN 25KG PP BAG</t>
  </si>
  <si>
    <t>7.92514B6994701D8</t>
  </si>
  <si>
    <t>XỐT GIA VỊ HOÀN CHỈNH NƯỚNG MẬT ONG 80G X 20 X 6 HỘP</t>
  </si>
  <si>
    <t>7.D370110990399C5</t>
  </si>
  <si>
    <t>NGUYÊN LIỆU THỰC PHẨM SÔ-CÔ-LA ĐEN CHAMBERY DẠNG LỎNG MZD-15DL, BUCKET 5KG, ĐÓNG TRONG THÙNG CARTON 10KG</t>
  </si>
  <si>
    <t>CHAMBERY DARK COMPOUND CHOCOLATE LIQUID MZD-15DL (5KG X 2), 10KG</t>
  </si>
  <si>
    <t>7.92419B7998501A2</t>
  </si>
  <si>
    <t>NƯỚC MẮM NHỈ CÁ CƠM 25° ĐẠM CHAI PET 1L X 12 CHAI ĐÓNG TRONG THÙNG CARTON</t>
  </si>
  <si>
    <t>ANCHOVY FISH SAUCE 25°N PLASTIC BOTTLES 1L X 12 BOT IN CARTON</t>
  </si>
  <si>
    <t>7.1340551233401</t>
  </si>
  <si>
    <t>DẦU BƠ THAY THẾ NHÃN HIỆU GOLDEN CROWN ĐÓNG TRONG THÙNG THÉP 18KG</t>
  </si>
  <si>
    <t>GOLDEN CROWN BUTTER OIL SUBSTITUTE IN TIN 18KG</t>
  </si>
  <si>
    <t>7.G4001B599D601C3</t>
  </si>
  <si>
    <t>TRÀ VINATEA HƯƠNG SÂM DỨA, LOẠI 70G X 72 TÚI ĐÓNG TRONG THÙNG CARTON</t>
  </si>
  <si>
    <t>VINATEA PANDAN FLAVORED TEA 70G X 72 BAGS IN CARTON</t>
  </si>
  <si>
    <t>7.92514B699320199</t>
  </si>
  <si>
    <t>XỐT BBQ NHÃN HIỆU DHFOODS 200G X 24 CHAI ĐÓNG TRONG THÙNG CARTON</t>
  </si>
  <si>
    <t>DHFOODS BBQ SAUCE 200G x 24 PCS IN CARTON</t>
  </si>
  <si>
    <t>7.E3803789985I932</t>
  </si>
  <si>
    <t>SỮA TIỆT TRÙNG NGUYÊN KEM NHÃN HIỆU MEADOW FRESH 1Lx12, XUẤT XỨ NEW ZEALAND</t>
  </si>
  <si>
    <t>7.G4001B599030187</t>
  </si>
  <si>
    <t>HỒNG TRÀ HIỆU VINATEA TÚI 1KG X 5 TÚI ĐÓNG TRONG THÙNG CARTON</t>
  </si>
  <si>
    <t>VINATEA RED TEA 1KG X 5 BAGS IN CARTON</t>
  </si>
  <si>
    <t>7.92514B6994701B7</t>
  </si>
  <si>
    <t>XỐT GIA VỊ HOÀN CHỈNH NƯỚNG NGŨ VỊ NHÃN HIỆU DHFOODS 80GR X 20 X 6 HỘP ĐÓNG TRONG THÙNG CARTON</t>
  </si>
  <si>
    <t>DHFOODS BBQ SAUCE FOR FIVE SPICE GRILLED MEAT 80GR X 20 x 6 BOXES IN CARTON</t>
  </si>
  <si>
    <t>7.92419B7993701A2</t>
  </si>
  <si>
    <t>NƯỚC MẮM NHỈ CÁ CƠM 25° ĐẠM HIỆU 584 NHA TRANG CHAI THỦY TINH 500ML X 15 CHAI ĐÓNG TRONG THÙNG CARTON</t>
  </si>
  <si>
    <t>ANCHOVY FISH SAUCE 25°N GLASS BOTTLES 500ML X 15 BOT IN CARTON</t>
  </si>
  <si>
    <t>7.92521B699320108</t>
  </si>
  <si>
    <t>XỐT ME CHUA NGỌT NHÃN HIỆU DHFOODS 200G X 24 CHAI ĐÓNG TRONG THÙNG CARTON</t>
  </si>
  <si>
    <t>DHFOODS SWEET &amp; SOUR TAMARIND SAUCE 200G X 24 PCS IN CARTON</t>
  </si>
  <si>
    <t>HCM - Tân Hiệp</t>
  </si>
  <si>
    <t>11/8C ẤP 21, XÃ HÓC MÔN, THÀNH PHỐ HỒ CHÍ MINH, VIỆT NAM</t>
  </si>
  <si>
    <t>CÔNG TY TNHH THƯƠNG MẠI TẤN TƯỜNG</t>
  </si>
  <si>
    <t>11 ĐƯỜNG 30/04, PHƯỜNG PHÚ THỌ HÒA, THÀNH PHỐ HỒ CHÍ MINH, VIỆT NAM</t>
  </si>
  <si>
    <t>Tấn Tường</t>
  </si>
  <si>
    <t>Lotte Nam Sài Gòn</t>
  </si>
  <si>
    <t>9/3C, Ấp 1 Dương Công Khi, xã Bà Điểm, Thành phố Hồ Chí Minh</t>
  </si>
  <si>
    <t>TỔ 1, ẤP 3, PHƯỜNG BÌNH LỘC, TỈNH ĐỒNG NAI</t>
  </si>
  <si>
    <t>Các Phường/Xã khác trực thuộc tỉnh Cần Thơ</t>
  </si>
  <si>
    <t>EB Tân Hiệp</t>
  </si>
  <si>
    <t>Tầng 1 và 2 Trung tâm thương mại EB Tân Hiệp, số 1135, Nguyễn Ái Quốc, KP2, Phường Tam Hiệp, tỉnh Đồng Nai, Việt Nam</t>
  </si>
  <si>
    <t>Đồng Nai - Tam Hiệp</t>
  </si>
  <si>
    <t>LC FOODS: LÔ G4-1A (KHU B2), ĐƯỜNG D10, KCN RẠCH BẮP, PHƯỜNG AN TÂY, THÀNH PHỐ BẾN CÁT, TỈNH BÌNH DƯƠNG, VIỆT NAM</t>
  </si>
  <si>
    <t>7.G4001B499C10199</t>
  </si>
  <si>
    <t>TRÀ TWINKLE ENGLISH BREAKFAST 1,8 G X 20 X 12 HỘP ĐÓNG TRONG THÙNG CARTON</t>
  </si>
  <si>
    <t>7.92524B69947L3E0</t>
  </si>
  <si>
    <t>XỐT GIA VỊ HOÀN CHỈNH KHO TÀU NHÃN HIỆU DHFOODS 80G X 20 X 6 HỘP ĐÓNG TRONG THÙNG CARTON</t>
  </si>
  <si>
    <t>7.131087031700H10</t>
  </si>
  <si>
    <t>CO-NEPTUNE LIGHT IN BOTTLE@1L-CHƯA TP</t>
  </si>
  <si>
    <t>7.45105005170000</t>
  </si>
  <si>
    <t>CO-Simply SBO BTL @ 2L</t>
  </si>
  <si>
    <t>DẦU ĂN THƯỢNG HẠNG HIỆU NEPTUNE LIGHT 1L</t>
  </si>
  <si>
    <t>DẦU ĐẬU NÀNH NHXN HIỆU SIMPLY 2L</t>
  </si>
  <si>
    <t>Các Phường/Xã khác trực thuộc Thành phố Hồ Chí Minh</t>
  </si>
  <si>
    <t>Các Phường/Xã khác trực thuộc Thành phố Hồ Chí Minh (Đường nhỏ)</t>
  </si>
  <si>
    <t>Thành phố Hồ Chí Minh (Đường nhỏ) - Bình Đông</t>
  </si>
  <si>
    <t>Thành phố Hồ Chí Minh, Tân Tạo</t>
  </si>
  <si>
    <t>Thành phố Hồ Chí Minh (Đường nhỏ), Bình Đông</t>
  </si>
  <si>
    <t>DHFOODS VIETNAMESE CARAMEL BRAISING SAUCE 80GR X 20 X 6 BOXES IN CARTON</t>
  </si>
  <si>
    <t>TWINKLE ENGLISH BREAKFAST TEA 1,8 G X 20 X 12 IN CARTON</t>
  </si>
  <si>
    <t>DHFOODS BBQ SAUCE FOR HONEY GRILLED MEAT 80GR X 20 X 6 BOXES IN CARTON</t>
  </si>
  <si>
    <t>TWINKLE EARL GREY 1,8 G X 20 X 12 IN CARTON</t>
  </si>
  <si>
    <t>TRÀ TWINKLE EARL GREY 1,8 G X 20 X 12 HỘP ĐÓNG TRONG THÙNG CARTON</t>
  </si>
  <si>
    <t>584 NHA TRANG ANCHOVY FISH SAUCE 15°N OF PET BOTTLES 5L X 4 PCS IN CARTON</t>
  </si>
  <si>
    <t>NHA TRANG LIME GREEN - CHILI SAUCE 200G X 24 PCS IN CARTON</t>
  </si>
  <si>
    <t>Phú Thái</t>
  </si>
  <si>
    <t>SỐ 121/17 PHẠM NGỌC THẠCH, TỔ 73,KHU PHỐ 5, PHƯỜNG PHÚ LỢI, THÀNH PHỐ HỒ CHÍ MINH, VIỆT NAM</t>
  </si>
  <si>
    <t>Hồ Chí Minh - Phú Lợi</t>
  </si>
  <si>
    <t>CÔNG TY TNHH THƯƠNG MẠI DỊCH VỤ PHÚ THÁI</t>
  </si>
  <si>
    <t>Thành phố Hồ Chí Minh (Đường nhỏ) - Phước Long</t>
  </si>
  <si>
    <t>Thành phố Hồ Chí Minh, Phú Thuận</t>
  </si>
  <si>
    <t>Thành phố Hồ Chí Minh (Đường nhỏ), Phước Long</t>
  </si>
  <si>
    <t>7.704D63R63717001J</t>
  </si>
  <si>
    <t>POWER100 LP 3IN1DELICATE 4POD@15G*170PCH</t>
  </si>
  <si>
    <t>VIÊN GIẶT TIỆN LỢI POWER100 3 TRONG 1 HƯƠNG TINH TẾ 15G*4*170 TÚI</t>
  </si>
  <si>
    <t>TP, Hồ Chí Minh - Thủ Đức</t>
  </si>
  <si>
    <t>Hiến Hiệu</t>
  </si>
  <si>
    <t>Đồng Nai - Xuân Lộc</t>
  </si>
  <si>
    <t>Nguyên Vật Liệu Smallfortune</t>
  </si>
  <si>
    <t>Tây Ninh - Khánh Hậu/ Long An/ Tân An/ Bến Lức/ Bình Đức/ Đức Hòa/ Đức Lập/ Hậu Nghĩa/ Hòa Khánh/ Long Cang/ Mỹ Hạnh/ Mỹ Yên/ Rạch Kiến/ Tân Lân</t>
  </si>
  <si>
    <t>Bất Động Sản Sản Xuất Dịch Vụ Hưng Long Phát</t>
  </si>
  <si>
    <t>Các Phường/Xã khác trực thuộc TP, Hồ Chí Minh</t>
  </si>
  <si>
    <t>Poyun</t>
  </si>
  <si>
    <t>CÔNG TY TNHH SẢN XUẤT THƯƠNG MẠI POYUN</t>
  </si>
  <si>
    <t>Đường 4A, KCN Bàu Xéo , Xã Sông Trầu, Huyện Trảng Bom, Đồng Nai</t>
  </si>
  <si>
    <t>Thực Phẩm Nissin Việt Nam</t>
  </si>
  <si>
    <t>HCM - Bến Cát/ Hòa Lợi/ Hòa Phú/ Long Nguyên/ Mỹ Phước/ Tân Hiệp/ Tân Khánh/ Tân Uyên/ Tây Nam/ Thới Hòa/ Vĩnh Tân/ Bắc Tân Uyên</t>
  </si>
  <si>
    <t>CÔNG TY TNHH THỰC PHẨM NISSIN VIỆT NAM</t>
  </si>
  <si>
    <t>SỐ 2 VSIP II-A, ĐƯỜNG SỐ 19, KCN VIỆT NAM - SINGAPORE II-A, PHƯỜNG VĨNH TÂN, THÀNH PHỐ HỒ CHÍ MINH, VIỆT NAM</t>
  </si>
  <si>
    <t>Silver Nano Việt Nam</t>
  </si>
  <si>
    <t>CÔNG TY CỔ PHẦN SILVER NANO VIỆT NAM</t>
  </si>
  <si>
    <t>Thửa Đất Số 138, Đường Số 1, Kênh Tư Thượng, Ấp Bình Tiền 2, Xã Đức Hòa, Tỉnh Tây Ninh, Việt Nam</t>
  </si>
  <si>
    <t>Thương Mại Và Đầu Tư LG</t>
  </si>
  <si>
    <t>CÔNG TY TNHH THƯƠNG MẠI VÀ ĐẦU TƯ LG</t>
  </si>
  <si>
    <t>LÔ Q21 ĐƯỜNG SỐ 11, KCN HẢI SƠN MỞ RỘNG (GĐ 3+4), XÃ ĐỨC HÒA, TỈNH TÂY NINH</t>
  </si>
  <si>
    <t>Thủy Đặc Sản</t>
  </si>
  <si>
    <t>CÔNG TY CỔ PHẦN THỦY ĐẶC SẢN</t>
  </si>
  <si>
    <t>B23/63 Hoàng Phan Thái, Xã Bình Chánh, H.Bình Chánh</t>
  </si>
  <si>
    <t>Việt Nam Kỹ Nghệ Súc Sản</t>
  </si>
  <si>
    <t>TP, Hồ Chí Minh - Bình Lợi Trung</t>
  </si>
  <si>
    <t>CÔNG TY CỔ PHẦN VIỆT NAM KỸ NGHỆ SÚC SẢN</t>
  </si>
  <si>
    <t>SỐ 420, ĐƯỜNG NƠ TRANG LONG, PHƯỜNG BÌNH LỢI TRUNG, THÀNH PHỐ HỒ CHÍ MINH, VIỆT NAM.</t>
  </si>
  <si>
    <t>Phát Triển Khoa Học Quốc Tế Trường Sinh</t>
  </si>
  <si>
    <t>CÔNG TY TNHH PHÁT TRIỂN KHOA HỌC QUỐC TẾ TRƯỜNG SINH</t>
  </si>
  <si>
    <t>129 QUỐC LỘ 13, PHƯỜNG BÌNH THẠNH, THÀNH PHỐ HỒ CHÍ MINH</t>
  </si>
  <si>
    <t>Xà Bông Hạnh Phước</t>
  </si>
  <si>
    <t>TP, Hồ Chí Minh - Minh Phụng</t>
  </si>
  <si>
    <t>CÔNG TY TNHH XÀ BÔNG HẠNH PHƯỚC</t>
  </si>
  <si>
    <t>31 ĐÀO NGUYÊN PHỔ, PHƯỜNG 4, QUẬN 11, TPHCM</t>
  </si>
  <si>
    <t>Đại Việt Hương</t>
  </si>
  <si>
    <t>CÔNG TY CỔ PHẦN ĐẠI VIỆT HƯƠNG – CHI NHÁNH CẦN THƠ</t>
  </si>
  <si>
    <t>CHÀNH 1062, QUỐC LỘ 1A, PHƯỜNG TÂN TẠO A, QUẬN BÌNH TÂN, TP HCM</t>
  </si>
  <si>
    <t>Thorakao CO.LTD</t>
  </si>
  <si>
    <t>1191 Quốc Lộ 1A, Thới An, TP. Hồ Chí Minh</t>
  </si>
  <si>
    <t>Agronalis</t>
  </si>
  <si>
    <t>CÔNG TY TNHH AGRONALIS</t>
  </si>
  <si>
    <t>72 Tô Ký, P.Trung Mỹ Tây, TpHCM</t>
  </si>
  <si>
    <t>Quang Xuân Trường</t>
  </si>
  <si>
    <t>CÔNG TY TNHH DỊCH VỤ - THƯƠNG MẠI QUANG XUÂN TRƯỜNG</t>
  </si>
  <si>
    <t>SỐ 322, TỔ 5, ẤP 1B, XÃ PHƯỚC HÒA, THÀNH PHỐ HỒ CHÍ MINH, VIỆT NAM.</t>
  </si>
  <si>
    <t>Hồ Chí Minh - Phước Hòa</t>
  </si>
  <si>
    <t>Hồ Chí Minh - Bàu Bàng/ Long Hòa/ Phước Hòa…</t>
  </si>
  <si>
    <t>Hoàng Giang</t>
  </si>
  <si>
    <t>CÔNG TY TNHH HOÀNG GIANG</t>
  </si>
  <si>
    <t>PHƯỜNG HÀM THẮNG, TỈNH LÂM ĐỒNG, VIỆT NAM</t>
  </si>
  <si>
    <t>Lâm Đồng - Hàm Thắng/ Phú Thủy/ Tuyên Quang/ Lương Sơn</t>
  </si>
  <si>
    <t>cập nhật 16/6/26</t>
  </si>
  <si>
    <t>7.5180031502408100TD</t>
  </si>
  <si>
    <t>7.5630080190030600TD</t>
  </si>
  <si>
    <t>Tên(EN-US)</t>
  </si>
  <si>
    <t>Tên</t>
  </si>
  <si>
    <t>Mô tả</t>
  </si>
  <si>
    <t>Khối lượng tịnh</t>
  </si>
  <si>
    <t>Sử dụng</t>
  </si>
  <si>
    <t>NCC mặc định</t>
  </si>
  <si>
    <t>Base Code</t>
  </si>
  <si>
    <t>Base Conversion</t>
  </si>
  <si>
    <t>Cost center</t>
  </si>
  <si>
    <t>6.1211000</t>
  </si>
  <si>
    <t>REFINED PALM OIL</t>
  </si>
  <si>
    <t>DẦU CỌ TINH LUYỆN TRONG XE BỒN</t>
  </si>
  <si>
    <t>RPO</t>
  </si>
  <si>
    <t>Chọn</t>
  </si>
  <si>
    <t>HO1AC010100</t>
  </si>
  <si>
    <t>6.1211004</t>
  </si>
  <si>
    <t>REFINED PALM OIL OUTSPEC FFA 0.5-0.7%</t>
  </si>
  <si>
    <t>DẦU CỌ TINH LUYỆN TRONG XE BỒN</t>
  </si>
  <si>
    <t>RBDPO</t>
  </si>
  <si>
    <t>Bỏ chọn</t>
  </si>
  <si>
    <t>6.1211048</t>
  </si>
  <si>
    <t>REFINED PALM OIL FFA 0.1 IV50-55</t>
  </si>
  <si>
    <t>RBDPOFFA0.1</t>
  </si>
  <si>
    <t>6.1212000</t>
  </si>
  <si>
    <t>REFINED PALM OLEIN PORAM IV 56 MIN</t>
  </si>
  <si>
    <t>DẦU OLEIN CỌ TINH LUYỆN TRONG XE BỒN</t>
  </si>
  <si>
    <t>ROL PORAM</t>
  </si>
  <si>
    <t>6.1212010</t>
  </si>
  <si>
    <t>REFINED SUPER OLEIN IV 61-62</t>
  </si>
  <si>
    <t>DẦU OLEIN CỌ TINH LUYỆN TRONG XE BỒN</t>
  </si>
  <si>
    <t>ROL1005</t>
  </si>
  <si>
    <t>6.1212011</t>
  </si>
  <si>
    <t>REFINED SUPER OLEIN IV 64</t>
  </si>
  <si>
    <t>DẦU CỌ OLEIN TINH LUYỆN TRONG XE BỒN</t>
  </si>
  <si>
    <t>ROS IV64 MAX</t>
  </si>
  <si>
    <t>6.1212012</t>
  </si>
  <si>
    <t>REFINED PALM OLEIN IV 58-61</t>
  </si>
  <si>
    <t>ROL1008REF</t>
  </si>
  <si>
    <t>6.1212014</t>
  </si>
  <si>
    <t>REFINED PALM OLEIN CP 8</t>
  </si>
  <si>
    <t>ROL1008</t>
  </si>
  <si>
    <t>6.1212033</t>
  </si>
  <si>
    <t>RBD OLEIN IV 60 MIN, C. TEST 1.5 HRS MIN</t>
  </si>
  <si>
    <t>ROL1005IP</t>
  </si>
  <si>
    <t>6.1212037</t>
  </si>
  <si>
    <t>REFINED PALM OLEIN CP 5 IV 60 MIN</t>
  </si>
  <si>
    <t>ROL1005REF</t>
  </si>
  <si>
    <t>6.1212055</t>
  </si>
  <si>
    <t>ROL IV 58 MIN CP 7</t>
  </si>
  <si>
    <t>ROL1008 IP</t>
  </si>
  <si>
    <t>6.1212058</t>
  </si>
  <si>
    <t>RBD OLEIN CP.6 MAX, IV 59-60</t>
  </si>
  <si>
    <t>ROL1006</t>
  </si>
  <si>
    <t>6.1212072</t>
  </si>
  <si>
    <t>REFINED PALM OLEIN IV 56 CP 5</t>
  </si>
  <si>
    <t>ROL1010IP</t>
  </si>
  <si>
    <t>6.1213000</t>
  </si>
  <si>
    <t>REFINED PALM STEARIN PORAM SPEC</t>
  </si>
  <si>
    <t>DẦU STEARIN CỌ TINH LUYỆN TRONG XE BỒN</t>
  </si>
  <si>
    <t>RST1</t>
  </si>
  <si>
    <t>6.1213011</t>
  </si>
  <si>
    <t>REFINED PALM STEARIN OUT SPEC FFA &gt; 0.2%</t>
  </si>
  <si>
    <t>DẦU STEARIN CỌ TINH LUYỆN TRONG XE BỒN</t>
  </si>
  <si>
    <t>RST2</t>
  </si>
  <si>
    <t>6.1213012</t>
  </si>
  <si>
    <t>SOFT STEARIN SMP 44-50</t>
  </si>
  <si>
    <t>DẦU STEARIN CỌ TINH LUYỆN DẠNG XÁ</t>
  </si>
  <si>
    <t>RSTMP44-50IP</t>
  </si>
  <si>
    <t>6.1213066</t>
  </si>
  <si>
    <t>REFINED PALM STEARIN FFA0.15</t>
  </si>
  <si>
    <t>RSTMP44-50REF</t>
  </si>
  <si>
    <t>6.1213208</t>
  </si>
  <si>
    <t>RHPS MP 59, IV 0.63</t>
  </si>
  <si>
    <t>DẦU STEARIN CỌ HYDRO HÓA, TINH CHẾ</t>
  </si>
  <si>
    <t>RHPS</t>
  </si>
  <si>
    <t>6.1221000</t>
  </si>
  <si>
    <t>REFINED PALM KERNEL OIL</t>
  </si>
  <si>
    <t>DẦU NHÂN CỌ TINH LUYỆN TRONG THÙNG PHUY MỚI 190 KG</t>
  </si>
  <si>
    <t>RPK OIL</t>
  </si>
  <si>
    <t>6.1222000</t>
  </si>
  <si>
    <t>REFINED PALM KERNEL OLEIN</t>
  </si>
  <si>
    <t>DẦU OLEIN NHÂN CỌ TINH LUYỆN</t>
  </si>
  <si>
    <t>RPK OLEIN</t>
  </si>
  <si>
    <t>6.1222115</t>
  </si>
  <si>
    <t>HPKOL IV 5MAX SMPT 38-42</t>
  </si>
  <si>
    <t>DẦU OLEIN NHÂN CỌ ĐÃ ĐƯỢC TINH LUYỆN VÀ HYDRO HÓA</t>
  </si>
  <si>
    <t>HPKOL IV5MAX 38-42</t>
  </si>
  <si>
    <t>6.1231000</t>
  </si>
  <si>
    <t>REFINED COCONUT OIL</t>
  </si>
  <si>
    <t>DẦU DỪA TINH LUYỆN TRONG XE BỒN</t>
  </si>
  <si>
    <t>RCCN</t>
  </si>
  <si>
    <t>6.1231200</t>
  </si>
  <si>
    <t>REFINED HYDRO COCONUT OIL</t>
  </si>
  <si>
    <t>DẦU DỪA TINH LUYỆN VÀ HYDRO</t>
  </si>
  <si>
    <t>RHCNO</t>
  </si>
  <si>
    <t>6.1322101</t>
  </si>
  <si>
    <t>REFINED IE OLEIN</t>
  </si>
  <si>
    <t>DẦU CỌ TINH LUYỆN (NHẬP KHẨU/XUẤT KHẨU)</t>
  </si>
  <si>
    <t>REFIEOL</t>
  </si>
  <si>
    <t>6.1411000</t>
  </si>
  <si>
    <t>PALM FATTY ACID DISTILLATE</t>
  </si>
  <si>
    <t>DẦU AXIT BÉO CHƯNG CẤT TRONG XE BỒN</t>
  </si>
  <si>
    <t>PFAD</t>
  </si>
  <si>
    <t>6.1712305</t>
  </si>
  <si>
    <t>NEUROMEGA 100% SALMON OIL</t>
  </si>
  <si>
    <t>DẦU CÁ HỒI 100% NEUROMEGA</t>
  </si>
  <si>
    <t>SALMON OIL</t>
  </si>
  <si>
    <t>6.4510100</t>
  </si>
  <si>
    <t>CRUDE SOYA BEAN OIL</t>
  </si>
  <si>
    <t>DẦU ĐẬU NÀNH THÔ</t>
  </si>
  <si>
    <t>CSBO</t>
  </si>
  <si>
    <t>6.4510200</t>
  </si>
  <si>
    <t>CRUDE DEGUMMED SOYA BEAN OIL</t>
  </si>
  <si>
    <t>DẦU ĐẬU NÀNH THÔ TRONG XE BỒN</t>
  </si>
  <si>
    <t>DSBO</t>
  </si>
  <si>
    <t>6.4510500</t>
  </si>
  <si>
    <t>NEUTRALISED SOYA BEAN OIL</t>
  </si>
  <si>
    <t>DẦU ĐẬU NÀNH TRUNG HÒA TRONG XE BỒN</t>
  </si>
  <si>
    <t>NSBO</t>
  </si>
  <si>
    <t>NBDSBO</t>
  </si>
  <si>
    <t>6.4510800</t>
  </si>
  <si>
    <t>SOYA BEAN FATTY ACID</t>
  </si>
  <si>
    <t>DẦU AXIT BÉO ĐẬU NÀNH ĐÃ CHƯNG CẤT</t>
  </si>
  <si>
    <t>SBFAD</t>
  </si>
  <si>
    <t>6.4511000</t>
  </si>
  <si>
    <t>SOYABEAN OIL GUM</t>
  </si>
  <si>
    <t>KEO DẦU ĐẬU NÀNH</t>
  </si>
  <si>
    <t>SBO GUM</t>
  </si>
  <si>
    <t>6.4511700</t>
  </si>
  <si>
    <t>SOYA BEAN ACID OIL (SBAO)</t>
  </si>
  <si>
    <t>DẦU AXIT</t>
  </si>
  <si>
    <t>SBAO</t>
  </si>
  <si>
    <t>6.4520500</t>
  </si>
  <si>
    <t>CENTRIFUGED NEUTRALIZED RAPESEED OIL</t>
  </si>
  <si>
    <t>DẦU HẠT CẢI TRUNG HÒA</t>
  </si>
  <si>
    <t>NRSO</t>
  </si>
  <si>
    <t>6.4522000</t>
  </si>
  <si>
    <t>REFINED RAPESEED OIL</t>
  </si>
  <si>
    <t>DẦU HẠT CẢI TINH CHẾ</t>
  </si>
  <si>
    <t>RRSO</t>
  </si>
  <si>
    <t>6.4530100</t>
  </si>
  <si>
    <t>CRUDE GROUNDNUT OIL &lt;CGNO&gt;</t>
  </si>
  <si>
    <t>DẦU ĐẬU PHỘNG THÔ TRONG THÙNG PHUY 190 KG</t>
  </si>
  <si>
    <t>CGNO</t>
  </si>
  <si>
    <t>6.4580500</t>
  </si>
  <si>
    <t>CENTRIFUGED NEUTRALIZED SUNFLOWER OIL</t>
  </si>
  <si>
    <t>DẦU HƯỚNG DƯƠNG TRUNG HÒA</t>
  </si>
  <si>
    <t>NSFO</t>
  </si>
  <si>
    <t>6.4582000</t>
  </si>
  <si>
    <t>RBD SUNFLOWER OIL</t>
  </si>
  <si>
    <t>DẦU HƯỚNG DƯƠNG TINH LUYỆN</t>
  </si>
  <si>
    <t>RBDSFO</t>
  </si>
  <si>
    <t>6.4600100</t>
  </si>
  <si>
    <t>CRUDE RICE BRAN OIL</t>
  </si>
  <si>
    <t>DẦU CÁM GẠO THÔ</t>
  </si>
  <si>
    <t>CRBO</t>
  </si>
  <si>
    <t>6.4600200</t>
  </si>
  <si>
    <t>DEGUMMED RICE BRAN OIL</t>
  </si>
  <si>
    <t>DẦU CÁM GẠO ĐÃ KHỬ KEO</t>
  </si>
  <si>
    <t>DGRBO</t>
  </si>
  <si>
    <t>6.4600500</t>
  </si>
  <si>
    <t>NEUTRALIZE RICE BRAN OIL</t>
  </si>
  <si>
    <t>DGDW NRBO</t>
  </si>
  <si>
    <t>DGDWNRBO</t>
  </si>
  <si>
    <t>6.4600600</t>
  </si>
  <si>
    <t>NEUTRALIZE BLEACHED RICE BRAN OIL</t>
  </si>
  <si>
    <t>SEMI-REFINED RICE BRAN OIL</t>
  </si>
  <si>
    <t>DGDWNBRBO</t>
  </si>
  <si>
    <t>6.4601400</t>
  </si>
  <si>
    <t>DEG DEW DEACIDIFIED RICE BRAN OIL</t>
  </si>
  <si>
    <t>DẦU CÁM GẠO ĐÃ KHỬ A-XÍT, KHỬ SÁP VÀ KHỬ</t>
  </si>
  <si>
    <t>DGDWDARBO</t>
  </si>
  <si>
    <t>6.4601700</t>
  </si>
  <si>
    <t>RICE BRAN ACID OIL</t>
  </si>
  <si>
    <t>DẦU CÁM GẠO A-XÍT</t>
  </si>
  <si>
    <t>RBAO</t>
  </si>
  <si>
    <t>6.4602000</t>
  </si>
  <si>
    <t>RBD RICE BRAN OIL</t>
  </si>
  <si>
    <t>DẦU GẠO LỨT TINH LUYỆN TRONG XE BỒN</t>
  </si>
  <si>
    <t>DGDWDANBDRBO</t>
  </si>
  <si>
    <t>6.4604900</t>
  </si>
  <si>
    <t>DEG DEW DEACIDIFIED NEUTRA RICE BRAN OIL</t>
  </si>
  <si>
    <t>DẦU CÁM GẠO ĐÃ TRUNG HÒA, KHỬ A-XÍT, KHỬ MÙI</t>
  </si>
  <si>
    <t>DGDWDANRBO</t>
  </si>
  <si>
    <t>7.101007701400</t>
  </si>
  <si>
    <t>ROL CP:8 IN DRUM @ 190KG</t>
  </si>
  <si>
    <t>DẦU OLEIN CỌ TINH LUYỆN ĐÓNG, THÙNG PHUY 190KG</t>
  </si>
  <si>
    <t>OL1008@190KGDRM</t>
  </si>
  <si>
    <t>7.101007702700</t>
  </si>
  <si>
    <t>ROL CP:8 IN SECOND DRUM @ 190KG</t>
  </si>
  <si>
    <t>DẦU OLEIN CỌ TINH LUYỆN ĐÓNG, THÙNG PHUY CŨ 190KG</t>
  </si>
  <si>
    <t>OL1008@190KGUSEDRM</t>
  </si>
  <si>
    <t>7.101011701400</t>
  </si>
  <si>
    <t>RPO NORMAL  IN DRUM @ 190KG</t>
  </si>
  <si>
    <t>DẦU CỌ TINH LUYỆN ĐÓNG, THÙNG PHUY 190KG</t>
  </si>
  <si>
    <t>RPO@190KGDRM</t>
  </si>
  <si>
    <t>7.101011702700</t>
  </si>
  <si>
    <t>RPO NORMAL  IN SECOND DRUM @ 190KG</t>
  </si>
  <si>
    <t>DẦU CỌ TINH LUYỆN ĐÓNG, THÙNG PHUY CŨ 190KG</t>
  </si>
  <si>
    <t>RPO@190KGUSEDRM</t>
  </si>
  <si>
    <t>7.10107159120002</t>
  </si>
  <si>
    <t>CAILAN RBD OLEIN 1008  IN JRG @ 25KG</t>
  </si>
  <si>
    <t>DẦU OLEIN CỌ TINH LUYỆN HIỆU CÁI LÂN TRONG CAN 25KG</t>
  </si>
  <si>
    <t>CAOL1008@18KG</t>
  </si>
  <si>
    <t>7.10107176130002</t>
  </si>
  <si>
    <t>CAILAN RBD OLEIN 1008  IN TIN @17KG</t>
  </si>
  <si>
    <t>DẦU ĂN HIỆU CAI LAN TRONG THÙNG THIẾC 17KG</t>
  </si>
  <si>
    <t>COCLOL1008@17KGTIN</t>
  </si>
  <si>
    <t>COSTOL1008@18KGBIB</t>
  </si>
  <si>
    <t>7.10108957090104</t>
  </si>
  <si>
    <t>SATELLITE RBD PALM OIL IN BIB @18KG</t>
  </si>
  <si>
    <t>DẦU CỌ TINH LUYỆN HIỆU SATELLITE TRONG TÚI BÓNG 18KG</t>
  </si>
  <si>
    <t>CO-STRBDPO@18KGBIB</t>
  </si>
  <si>
    <t>7.10108957090105</t>
  </si>
  <si>
    <t>SATELLITE RBD PALM STEARIN BIB@18 KG</t>
  </si>
  <si>
    <t>STEARINE HIỆU SATELLITE TRONG THÙNG BIB 18KG</t>
  </si>
  <si>
    <t>ST-RBDST@18KGBIB</t>
  </si>
  <si>
    <t>7.101089570901410</t>
  </si>
  <si>
    <t>SATELLITE RPS IV 33-37 IN BIB@18KG</t>
  </si>
  <si>
    <t>DẦU STEARIN CỌ TINH LUYỆN TRONG THÙNG BIB 18KG</t>
  </si>
  <si>
    <t>SATSTBIB@18KG37</t>
  </si>
  <si>
    <t>7.101089570901500</t>
  </si>
  <si>
    <t>SATELLITE ROL MP20-22 IN BIB@18KG</t>
  </si>
  <si>
    <t>DẦU OLEIN CỌ TINH LUYỆN NHÃN HIỆU SATELL</t>
  </si>
  <si>
    <t>SATOLBIB@18KG22</t>
  </si>
  <si>
    <t>7.10108957120002</t>
  </si>
  <si>
    <t>SATELLITE-OL1008 JRG @18KG</t>
  </si>
  <si>
    <t>DẦU OLEIN CỌ TINH LUYỆN HIỆU SATELLITE, CAN NHỰA 18KG</t>
  </si>
  <si>
    <t>COSTOL1008@18KGJRG</t>
  </si>
  <si>
    <t>7.10108957120004</t>
  </si>
  <si>
    <t>SATELLITE-RBDPO JRG @18KG</t>
  </si>
  <si>
    <t>DẦU CỌ TINH LUYỆN HIỆU SATELLITE, CAN NHỰA 18KG</t>
  </si>
  <si>
    <t>CO-STRBDPO@18KGJRG</t>
  </si>
  <si>
    <t>7.10108957130001</t>
  </si>
  <si>
    <t>SATELLITE-OL1005 TIN @18KG</t>
  </si>
  <si>
    <t>DẦU TRÁNG KHUÔN HIỆU SATELLITE 18KG</t>
  </si>
  <si>
    <t>COSTOL1005@18KGTIN</t>
  </si>
  <si>
    <t>7.10108957130002</t>
  </si>
  <si>
    <t>SATELLITE-OL1008 TIN @18KG</t>
  </si>
  <si>
    <t>COSTOL1008@18KGTIN</t>
  </si>
  <si>
    <t>STOL08@25KGJRG</t>
  </si>
  <si>
    <t>7.101089591200500</t>
  </si>
  <si>
    <t>SATELLITE ROL MP20-22 IN JRG@25KG</t>
  </si>
  <si>
    <t>DẦU OLEIN CỌ TINH LUYỆN NHÃN HIỆU SATELLITE TRONG CAN 25KG</t>
  </si>
  <si>
    <t>SAT 20-22@25JRC</t>
  </si>
  <si>
    <t>7.10108970140001</t>
  </si>
  <si>
    <t>SATELLITE RBD OLEIN 1005, NEW DRUM 190KG</t>
  </si>
  <si>
    <t>DẦU OLEIN CỌ TINH LUYỆN HIỆU SATELLITE TRONG PHUY 190KG</t>
  </si>
  <si>
    <t>STOL1005@19OKGDRM</t>
  </si>
  <si>
    <t>7.10108970140002</t>
  </si>
  <si>
    <t>SATELLITE RBD OLEIN 1008, NEW DRUM 190KG</t>
  </si>
  <si>
    <t>DẦU OLEIN CỌ TINH LUYỆN HIỆU SATELLITE TRONG THÙNG PHUY MỚI 190KG</t>
  </si>
  <si>
    <t>STOL1008@190KGDRM</t>
  </si>
  <si>
    <t>7.10108970140004</t>
  </si>
  <si>
    <t>SATELLITE RBD PALM OIL, NEW DRUM 190KG</t>
  </si>
  <si>
    <t>DẦU CỌ TINH LUYỆN HIỆU SATELLITE, THÙNG PHUY 190KG</t>
  </si>
  <si>
    <t>STRBDPO@190KGDRM</t>
  </si>
  <si>
    <t>7.10108970270002</t>
  </si>
  <si>
    <t>SATELLITE RBD OLEIN 1008, 2ND DRUM 190KG</t>
  </si>
  <si>
    <t>STOL1008@190KGUSDR</t>
  </si>
  <si>
    <t>7.10300158090101</t>
  </si>
  <si>
    <t>RBD COCONUT OIL SANIA BIB @20 KG</t>
  </si>
  <si>
    <t>DẦU DỪA TINH LUYỆN HIỆU SANIA TRONG TÚI BÓNG 20KG</t>
  </si>
  <si>
    <t>RCONUTBIB@20KG</t>
  </si>
  <si>
    <t>7.103041C22200110</t>
  </si>
  <si>
    <t>DOUBLE RCNO FLEXIBAG@18000L (16MT)</t>
  </si>
  <si>
    <t>DẦU DỪA TINH LUYỆN TRONG TÚI NHỰA</t>
  </si>
  <si>
    <t>RCNO16MT@FLEX</t>
  </si>
  <si>
    <t>7.1040042008</t>
  </si>
  <si>
    <t>TRHPKL WILFIL 400 @ 20 KG</t>
  </si>
  <si>
    <t>DẦU OLEIN NHÂN CỌ ĐÃ HYDRO HÓA HIỆU WILFIL 400</t>
  </si>
  <si>
    <t>TRHPKL-WIL@20KG</t>
  </si>
  <si>
    <t>7.10408410400801</t>
  </si>
  <si>
    <t>MEIZAN BAKING FAT @ 15 KG</t>
  </si>
  <si>
    <t>CHẤT BÉO CHUYÊN DỤNG LÀM BÁNH HIỆU MEIZAN TRONG THÙNG 15KG</t>
  </si>
  <si>
    <t>MZBF@15KG</t>
  </si>
  <si>
    <t>7.10408410420801</t>
  </si>
  <si>
    <t>MEIZAN CREAMING FAT @ 15 KG</t>
  </si>
  <si>
    <t>DẦU BƠ NHÃN HIỆU MEIZAN TRONG THÙNG CARTON 15 KG</t>
  </si>
  <si>
    <t>MZCF@15KG</t>
  </si>
  <si>
    <t>7.10408430460801</t>
  </si>
  <si>
    <t>MEIZAN SHORTENING @ 25 KG</t>
  </si>
  <si>
    <t>SHORTENING HIỆU MEIZAN 25 KG</t>
  </si>
  <si>
    <t>MZSHT@25KG</t>
  </si>
  <si>
    <t>7.10408910260801</t>
  </si>
  <si>
    <t>SATELLITE RBD PALM OIL  36-39 @15 KG</t>
  </si>
  <si>
    <t>DẦU CỌ TINH LUYỆN HIỆU SATELLITE TRONG THÙNG 15KG</t>
  </si>
  <si>
    <t>STRBDPO36-39@15KG</t>
  </si>
  <si>
    <t>STSHT@25KG</t>
  </si>
  <si>
    <t>7.1040932620</t>
  </si>
  <si>
    <t>TRHPKL BESSCOTE 38-40 @ 20 KG</t>
  </si>
  <si>
    <t>DẦU OLEIN NHÂN CỌ ĐÃ ĐƯỢC TINH LUYỆN VÀ HYDRO HÓA HIỆU BESSCOTE 38-40 TRONG THÙNG CARTON 20KG</t>
  </si>
  <si>
    <t>TRHPKLBCT3840@20KG</t>
  </si>
  <si>
    <t>7.10500118220008</t>
  </si>
  <si>
    <t>PFAD IN FLEXIBAG @ 20 MT</t>
  </si>
  <si>
    <t>AXÍT BÉO CHƯNG CẤT</t>
  </si>
  <si>
    <t>FLEX PFAD</t>
  </si>
  <si>
    <t>7.10500118220049</t>
  </si>
  <si>
    <t>SBFAD IN FLEXIBLE BAG @20 MT</t>
  </si>
  <si>
    <t>DẦU AXIT BÉO ĐẬU TƯƠNG DẠNG RỜI TRONG TÚI FLEXITANK</t>
  </si>
  <si>
    <t>FLEX SBFAD</t>
  </si>
  <si>
    <t>7.10500118220051</t>
  </si>
  <si>
    <t>MIXED VEGETABLE ACIDOIL FLEXIBAG@20MT</t>
  </si>
  <si>
    <t>DẦU AXÍT THỰC VẬT HỖN HỢP</t>
  </si>
  <si>
    <t>FLEX MVAO</t>
  </si>
  <si>
    <t>7.10500175140051</t>
  </si>
  <si>
    <t>MIXED VEGETABLE ACID OIL IN DRUM @185KG</t>
  </si>
  <si>
    <t>HÔN HOP DÂU TRÔN TRONG THÙNG PHUY 185KG</t>
  </si>
  <si>
    <t>MVAO@185KGUSEDRM</t>
  </si>
  <si>
    <t>7.105005752700</t>
  </si>
  <si>
    <t>PFAD IN SECOND DRUM @185KG</t>
  </si>
  <si>
    <t>DẦU AXIT BÉO CHƯNG CẤT TRONG PHUY ĐÃ QUA SỬ DỤNG (185KG/PHUY)</t>
  </si>
  <si>
    <t>SBFAD@185KGSCDRUM</t>
  </si>
  <si>
    <t>7.10500175270049</t>
  </si>
  <si>
    <t>SBFAD IN SECOND DRUM @185KG</t>
  </si>
  <si>
    <t>SOYABEAN FATTY ACID DISTILATE TRONG PHUY ĐÃ QUA SỬ DỤNG (185KG/PHUY)</t>
  </si>
  <si>
    <t>7.105005131600</t>
  </si>
  <si>
    <t>PFAD IN WOVEN BAG 40KG</t>
  </si>
  <si>
    <t>PFAD ĐÓNG TRONG TÚI 40KG</t>
  </si>
  <si>
    <t>PFAD@40KGWOVEN</t>
  </si>
  <si>
    <t>7.1060000108608010</t>
  </si>
  <si>
    <t>LOW FAT SHORTENING MP48-52 PEBAG@15KG</t>
  </si>
  <si>
    <t>SHORTENING LOW FAT NHÃN HIỆU MEIZAN TRONG THÙNG 15 KG</t>
  </si>
  <si>
    <t>LFSHT@15KG</t>
  </si>
  <si>
    <t>7.1060003601622000</t>
  </si>
  <si>
    <t>RBD STEARIN MP 48-52 IN FLEXIBAG@20MT</t>
  </si>
  <si>
    <t>DẦU STEARIN CỌ TINH LUYỆN ĐÓNG TRONG TÚI FLEXIBAG</t>
  </si>
  <si>
    <t>FLEX-RBDST</t>
  </si>
  <si>
    <t>7.1060050201908010</t>
  </si>
  <si>
    <t>SHORTENING SANIA 47-50 IN PE BAG @20KG</t>
  </si>
  <si>
    <t>SHORTERNING HIỆU SANIA, LOẠI 20KG</t>
  </si>
  <si>
    <t>SANIA 47-50@20KG</t>
  </si>
  <si>
    <t>7.1060050209308010</t>
  </si>
  <si>
    <t>SANIA WILBAKE 2000 IN PE BAG@20KG</t>
  </si>
  <si>
    <t>DẦU ĂN HIỆU SANIA WILBAKE, LOẠI 20KG</t>
  </si>
  <si>
    <t>WBG2000@20KG</t>
  </si>
  <si>
    <t>7.106012010250801</t>
  </si>
  <si>
    <t>MEIZAN BAKING FAT 45 @15KG</t>
  </si>
  <si>
    <t>MEIZAN DÙNG LÀM BÁNH 15KG</t>
  </si>
  <si>
    <t>MZBF45@15KG</t>
  </si>
  <si>
    <t>7.1060120104708010</t>
  </si>
  <si>
    <t>MEIZAN SHORTENING MP42-44 PEBAG@15KG</t>
  </si>
  <si>
    <t>SHORTENING 42 NHÃN HIỆU MEIZAN ĐÓNG TRONG THÙNG CARTON 15KG</t>
  </si>
  <si>
    <t>MZSHT@15KGMP44</t>
  </si>
  <si>
    <t>7.1060120106108010</t>
  </si>
  <si>
    <t>SHORTENING MEIZAN 44-46@ 15 KG</t>
  </si>
  <si>
    <t>CHÂT BÉO NƯỚNG BÁNH HIỆU MEIZAN TRONG THÙNG 15 KG</t>
  </si>
  <si>
    <t>MZSHT46@15KG</t>
  </si>
  <si>
    <t>7.1060120111908010</t>
  </si>
  <si>
    <t>MEIZAN SHT CHOCOFAT MP37-39 PEBAG@15KG</t>
  </si>
  <si>
    <t>CHẤT BÉO CHOCO NHÃN HIỆU MEIZAN 15 KG</t>
  </si>
  <si>
    <t>MZCHOCO@15KG3739</t>
  </si>
  <si>
    <t>7.1060120305508010</t>
  </si>
  <si>
    <t>MEIZAN SHORTENING MP51-53 PEBAG@25KG</t>
  </si>
  <si>
    <t>SHORTENING 52 NHÃN HIỆU MEIZAN ĐÓNG TRONG THÙNG CARTON 25KG</t>
  </si>
  <si>
    <t>MZSHT@25KGMP53</t>
  </si>
  <si>
    <t>7.106014010100801</t>
  </si>
  <si>
    <t>SATELLITE CREAM FAT CUSTARD @ 15KG</t>
  </si>
  <si>
    <t>CHẤT BÉO DÙNG CHO BÁNH KEM TRƯNG HIỆU SATELLITE TRONG THÙNG CARTON 15KG</t>
  </si>
  <si>
    <t>STCFCUSTARD@15KG</t>
  </si>
  <si>
    <t>7.1060140309608010</t>
  </si>
  <si>
    <t>SATELLITE SHT MP48-50,IV44MAX PEBAG@25KG</t>
  </si>
  <si>
    <t>SHORTENING HIỆU SATELLITE 25 KG (NHÃN XANH)(BẢO LONG)</t>
  </si>
  <si>
    <t>STSHMP4850@25KG</t>
  </si>
  <si>
    <t>7.1060140314108010</t>
  </si>
  <si>
    <t>SATELLITE SHORTENING MP53MAX PEBAG@25KG</t>
  </si>
  <si>
    <t>SHORTENING NHÃN HIỆU SATELLITE (NHÃN MÀU CAM)</t>
  </si>
  <si>
    <t>SHTSAT@25KG</t>
  </si>
  <si>
    <t>7.1060140801309010</t>
  </si>
  <si>
    <t>SATELLITE ICE CREAM FAT TT IN BIB@18KG</t>
  </si>
  <si>
    <t>DẦU DÙNG LÀM KEM HIỆU SATELLITE ĐÓNG TRONG TÚI BÓNG 18KG</t>
  </si>
  <si>
    <t>STICFTT@18KGBIB</t>
  </si>
  <si>
    <t>7.1060140802333000</t>
  </si>
  <si>
    <t>SATELLITE TEXTURE PO PLASTICBUCKET@18KG</t>
  </si>
  <si>
    <t>DẦU CỌ TINH LUYỆN HIỆU SATELLITE, XÔ NHỰA LOẠI 18KG</t>
  </si>
  <si>
    <t>STTPO39@18KGPAI</t>
  </si>
  <si>
    <t>7.1060140809733000</t>
  </si>
  <si>
    <t>SATTELITE SHT BOS 37-42 PLASTICPAIL@18KG</t>
  </si>
  <si>
    <t>STBOS@18KPLBR</t>
  </si>
  <si>
    <t>7.1070050001708010</t>
  </si>
  <si>
    <t>SANIA WILPUFF MGR MP43-47 IN PEBAG</t>
  </si>
  <si>
    <t>BƠ THỰC VẬT HIỆU SANIA WILPUFF</t>
  </si>
  <si>
    <t>WILPUFF MGR</t>
  </si>
  <si>
    <t>7.107005090170810</t>
  </si>
  <si>
    <t>SANIA WILPUFF MARGARINE MP43-47 1KG X 10</t>
  </si>
  <si>
    <t>BƠ MARGARINE LÁ 43-47 HIỆU SANIA WILPUF TRONG THÙNG 10KG</t>
  </si>
  <si>
    <t>WIPUF_MAR1KGX10BAG</t>
  </si>
  <si>
    <t>7.1070120191508010</t>
  </si>
  <si>
    <t>MEIZAN BOS MP 44 MAX IN PEBAG@15KG</t>
  </si>
  <si>
    <t>DẦU BƠ THAY THẾ HIỆU MEIZAN TRONG THÙNG 15 KG</t>
  </si>
  <si>
    <t>MZBOS@15KG</t>
  </si>
  <si>
    <t>7.1070120401508010</t>
  </si>
  <si>
    <t>MEIZAN MARGARINE MP36-40 IN PEBAG@16KG</t>
  </si>
  <si>
    <t>MARGARINE CAO CẤP NHÃN HIỆU MEIZAN TRONG THÙNG 16 KG</t>
  </si>
  <si>
    <t>MZSMGR@16KG</t>
  </si>
  <si>
    <t>7.1070120401808010</t>
  </si>
  <si>
    <t>MEIZAN MARGARINE MP44MAX IN PEBAG@16KG</t>
  </si>
  <si>
    <t>BƠ THỰC VẬT ĐA DỤNG NHÃN HIỆU MEIZAN TRONG THÙNG 16KG</t>
  </si>
  <si>
    <t>MZMGR@16KG</t>
  </si>
  <si>
    <t>7.1070120403408010</t>
  </si>
  <si>
    <t>MEIZAN MARGARINE MP 42-44 IN PEBAG@16KG</t>
  </si>
  <si>
    <t>BƠ THỰC VẬT CAO CẤP NHÃN HIỆU MEIZAN TRONG THÙNG CARTON 16 KG ( MÀU XANH)</t>
  </si>
  <si>
    <t>MZSMGR@16KGB</t>
  </si>
  <si>
    <t>MZSMGR@18KGB</t>
  </si>
  <si>
    <t>7.107012089103300</t>
  </si>
  <si>
    <t>MEIZAN BOS IN PLASTIC BUCKET @ 18 KG</t>
  </si>
  <si>
    <t>DẦU BƠ THAY THẾ NHÃN HIỆU MEIZAN TRONG THÙNG NHỰA 18KG (TEM NÂU)</t>
  </si>
  <si>
    <t xml:space="preserve">MZBOS@18KGPAI </t>
  </si>
  <si>
    <t>7.1070120892033</t>
  </si>
  <si>
    <t>MEIZAN BOS IN PLASTIC BUCKET35-38@18KG</t>
  </si>
  <si>
    <t>DẦU BƠ THAY THẾ HIỆU MEIZAN, THÙNG NHỰA 18KG</t>
  </si>
  <si>
    <t>MZBOS@18KGPAI</t>
  </si>
  <si>
    <t>7.107012240091300</t>
  </si>
  <si>
    <t>MEIZAN MARGARINE @17 KG TIN</t>
  </si>
  <si>
    <t>SHORTERNING NHÃN HIỆU MEIZAN 25KG</t>
  </si>
  <si>
    <t>MZMGR@17KGTIN</t>
  </si>
  <si>
    <t>7.1070122400933009</t>
  </si>
  <si>
    <t>MEIZAN MARGARINE PLASTIC BUCKET@17KG P</t>
  </si>
  <si>
    <t>MARGARINE HIEU MEIZAN, THÙNG NHỰA 17KG</t>
  </si>
  <si>
    <t>MZMGR@17KGPAI</t>
  </si>
  <si>
    <t>7.107012249101300</t>
  </si>
  <si>
    <t>MEIZAN BOS @ TIN 17 KG</t>
  </si>
  <si>
    <t>BƠ THAY THẾ HIỆU MEIZAN TRONG TIN 17 KG</t>
  </si>
  <si>
    <t>MZBOS@17KGTIN</t>
  </si>
  <si>
    <t>7.1070123001828230</t>
  </si>
  <si>
    <t>MEIZAN MARGARINEMP44MAX 80GRX60ROUNDTUBE</t>
  </si>
  <si>
    <t>BƠ THỰC VẬT ĂN LIỀN HIỆU MEIZAN, LOẠI 80G</t>
  </si>
  <si>
    <t>MZMGR80GRMX60TB</t>
  </si>
  <si>
    <t>7.1070123001852000</t>
  </si>
  <si>
    <t>MEIZAN MARGARINE MP44MAX OVALTUBE@80GR</t>
  </si>
  <si>
    <t>MZMGR80TUBOVAL</t>
  </si>
  <si>
    <t>MZMGR80GX60OVAL</t>
  </si>
  <si>
    <t>7.1070123003652230</t>
  </si>
  <si>
    <t>MEIZAN MARGARINE VNSAMPLE 80GX60OVALTUBE</t>
  </si>
  <si>
    <t>BƠ THỰC VẬT NHÃN HIỆU MEIZAN 80G HÀNG MẪU</t>
  </si>
  <si>
    <t>7.1070123101828000</t>
  </si>
  <si>
    <t>MEIZAN MARGARINE MP44MAX ROUNDTUBE@200GR</t>
  </si>
  <si>
    <t>MZMGR@200GRMTUBE</t>
  </si>
  <si>
    <t>7.1070123101828200</t>
  </si>
  <si>
    <t>MEIZAN MARGARINEMP44MAX200GRX30ROUNDTUBE</t>
  </si>
  <si>
    <t>BƠ THỰC VẬT ĂN LIỀN HIỆU MEIZAN 200G</t>
  </si>
  <si>
    <t>MZMGR200GRMX30TB</t>
  </si>
  <si>
    <t>7.1070123101828250</t>
  </si>
  <si>
    <t>MEIZAN MARGARINEMP44MAX 200GX36ROUNDTUBE</t>
  </si>
  <si>
    <t>MZMGR200GRMX36TB</t>
  </si>
  <si>
    <t>7.1070123101852000</t>
  </si>
  <si>
    <t>MEIZAN MARGARINE MP44MAX OVALTUBE@200GR</t>
  </si>
  <si>
    <t>MZMGR200TUBOVAL</t>
  </si>
  <si>
    <t>7.1070123101852250</t>
  </si>
  <si>
    <t>MEIZAN MARGARINEMP44MAX 200GX36 OVALTUBE</t>
  </si>
  <si>
    <t>7.1070123201828000</t>
  </si>
  <si>
    <t>MEIZAN MARGARINE MP44MAX ROUNDTUBE@800GR</t>
  </si>
  <si>
    <t>7.1070123201828050</t>
  </si>
  <si>
    <t>MEIZAN MARGARINE MP 44 MAX 0.8KG X 12TUB</t>
  </si>
  <si>
    <t>MZMGR800GRMX12TB</t>
  </si>
  <si>
    <t>7.1070123201853000</t>
  </si>
  <si>
    <t>7.107014019080000</t>
  </si>
  <si>
    <t>SATELLITE BOS FOR COFFEE ROASTING @15KG</t>
  </si>
  <si>
    <t>DẦU BƠ NHÃN HIỆU SATELLITE 15KG DÙNG ĐỂ RANG CÀ-PHÊ</t>
  </si>
  <si>
    <t>STBOSCR@15KG</t>
  </si>
  <si>
    <t>7.1070140191508010</t>
  </si>
  <si>
    <t>SATELLITE BOS MP 44 MAX IN PEBAG@15KG</t>
  </si>
  <si>
    <t>DẦU BƠ THAY THẾ HIỆU SATELLITE TRONG THÙNG 15 KG</t>
  </si>
  <si>
    <t>STBOS@15KG</t>
  </si>
  <si>
    <t>7.1070140401608010</t>
  </si>
  <si>
    <t>SATELLITE MARGARINE MP39-43 PEBAG@16KG</t>
  </si>
  <si>
    <t>BƠ THƠM NHÃN HIỆU SATELLITE TRONG THÙNG 16KG</t>
  </si>
  <si>
    <t>STBBMGR@16KG</t>
  </si>
  <si>
    <t>7.107014080183300</t>
  </si>
  <si>
    <t>SATELLITE BAKERY MARGARINE IN PAIL@18KG</t>
  </si>
  <si>
    <t>BƠ THƠM HIỆU SATELITE, THÙNG NHỰA 18KG</t>
  </si>
  <si>
    <t>STBMGR@18KGPAI</t>
  </si>
  <si>
    <t>ST-BOS@18KGPAI</t>
  </si>
  <si>
    <t>7.107014249051300</t>
  </si>
  <si>
    <t>SATELLITE BOS GOLD TIN 17 KG</t>
  </si>
  <si>
    <t>DẦU BƠ NHÃN HIỆU SATELLITE 17KG (GOLD)</t>
  </si>
  <si>
    <t>ST-BOSGOLD@17KGTIN</t>
  </si>
  <si>
    <t>7.107014249101300</t>
  </si>
  <si>
    <t>SATELLITE BOS TIN 17 KG</t>
  </si>
  <si>
    <t>DẦU BƠ HIỆU SATELLITE TRONG THÙNG THIẾC</t>
  </si>
  <si>
    <t>ST-BOS@17KGTIN</t>
  </si>
  <si>
    <t>7.1070330192408010</t>
  </si>
  <si>
    <t>ORCHID BOS IV60MAX IN PE BAG@15KG</t>
  </si>
  <si>
    <t>DẦU BƠ THAY THẾ ĐA DỤNG NHÃN HIỆU ORCHID (NHÃN MÀU ĐỎ) 15KG</t>
  </si>
  <si>
    <t>ORCHID BOS @15KG</t>
  </si>
  <si>
    <t>ORCHIDBOS@18KGPAI</t>
  </si>
  <si>
    <t>7.1070330891833000</t>
  </si>
  <si>
    <t>ORCHID BOS IN PLASTIC PAIL MP34-36@18 KG</t>
  </si>
  <si>
    <t>DẦU BƠ THAY THẾ ĐA DỤNG NHÃN HIỆU ORCHID TRONG THÙNG NHỰA 18 KG</t>
  </si>
  <si>
    <t>PINKORCBOS@18KGPAI</t>
  </si>
  <si>
    <t>7.1070332491833000</t>
  </si>
  <si>
    <t>ORCHID BOS IN PLASTIC PAIL MP34-36@17 KG</t>
  </si>
  <si>
    <t>DẦU BƠ THAY THẾ HIỆU HOA LAN (NHÃN HỒNG)</t>
  </si>
  <si>
    <t>ORCHIDBOS@17KGPAI</t>
  </si>
  <si>
    <t>7.114005020020000</t>
  </si>
  <si>
    <t>CBR SANIA WILLARINE 880 LT @ 20 KG</t>
  </si>
  <si>
    <t>BƠ CA CAO THAY THẾ WILLARINE 880LT 20KG HIỆU SANIA</t>
  </si>
  <si>
    <t>SW-HKS-OL-WIL@20KG</t>
  </si>
  <si>
    <t>7.1180123103917000</t>
  </si>
  <si>
    <t>MEIZAN MAYONNAISE IN BTL@200G</t>
  </si>
  <si>
    <t>MAYONNAISE HIỆU MEIZAN 200G</t>
  </si>
  <si>
    <t>MZMAYONBT@200G</t>
  </si>
  <si>
    <t>7.1180123103917260</t>
  </si>
  <si>
    <t>MEIZAN MAYONNAISE IN 200G X 50BTL</t>
  </si>
  <si>
    <t>MAYONNAISE HIỆU MEIZAN 200G</t>
  </si>
  <si>
    <t>MEIZAN MGR MP44MAX RECTANGLETUBE@800G</t>
  </si>
  <si>
    <t>MZMGR@800G</t>
  </si>
  <si>
    <t>7.107012089203300</t>
  </si>
  <si>
    <t>MEIZAN BOS IN PLASTIC BUCKET 35-38@18 KG</t>
  </si>
  <si>
    <t>7.1160000250409010</t>
  </si>
  <si>
    <t>RBD HYDRO COCONUT OILMP30-33 IN BIB@20KG</t>
  </si>
  <si>
    <t>NGUYÊN LIỆU THỰC PHẨM DẦU DỪA TINH LUYỆN VÀ HYDRO HÓA WILKRIM HIỆU SANIA</t>
  </si>
  <si>
    <t>7.1120050200608010</t>
  </si>
  <si>
    <t>TRHPKS SANIA ULTRA CHOCO IN PE BAG @20KG</t>
  </si>
  <si>
    <t>DẦU STEARIN NHÂN CỌ TINH LUYỆN VÀ HYDRO HÓA HIỆU SANIA(ULTRACHOCO)20KG</t>
  </si>
  <si>
    <t>TRHPKL-SANIA@20KG</t>
  </si>
  <si>
    <t>7.1100050200808010</t>
  </si>
  <si>
    <t>SANIA HPKO WILKOTE 380 IN PE BAG @20KG</t>
  </si>
  <si>
    <t>DẦU NHÂN CỌ ĐÃ ĐƯỢC TINH LUYỆN VÀ HYDRO HÓA NHÃN HIỆU SANIA WILKOTE 380</t>
  </si>
  <si>
    <t>HPKO-SANIA@20KG</t>
  </si>
  <si>
    <t>7.13100112011202</t>
  </si>
  <si>
    <t>CO-NEPTUNE 0.4L X 20 BTL</t>
  </si>
  <si>
    <t>DẦU ĂN HIỆU NEPTUNE 0,4L</t>
  </si>
  <si>
    <t>CO-NEP0.4LX20BTL</t>
  </si>
  <si>
    <t>7.13100201010701</t>
  </si>
  <si>
    <t>CO-NEPTUNE S 0.25L X 48 BTL</t>
  </si>
  <si>
    <t>DẦU ĂN HIỆU NEPTUNE 0.25L</t>
  </si>
  <si>
    <t>CO-NEPS0.25LX48BTL</t>
  </si>
  <si>
    <t>7.13100201170001</t>
  </si>
  <si>
    <t>CO-NEPTUNE S  BTL @ 0.25L</t>
  </si>
  <si>
    <t>CO-NEPS@0.25LBTL</t>
  </si>
  <si>
    <t>7.13100203010501</t>
  </si>
  <si>
    <t>CO-NEPTUNE S 1L X 12 BTL</t>
  </si>
  <si>
    <t>DẦU ĂN HIỆU NEPTUNE 1L</t>
  </si>
  <si>
    <t>CO-NEPS1LX12BTL</t>
  </si>
  <si>
    <t>7.13100203170001</t>
  </si>
  <si>
    <t>CO-NEPTUNE S  BTL @ 1L</t>
  </si>
  <si>
    <t>CO-NEPS@1LBTL</t>
  </si>
  <si>
    <t>7.13100204010401</t>
  </si>
  <si>
    <t>CO-NEPTUNE S 2L X 6 BTL</t>
  </si>
  <si>
    <t>DẦU ĂN HIỆU NEPTUNE 2L</t>
  </si>
  <si>
    <t>CO-NEPS2LX6BTL</t>
  </si>
  <si>
    <t>7.13100204170001</t>
  </si>
  <si>
    <t>CO-NEPTUNE S  BTL @ 2L</t>
  </si>
  <si>
    <t>CO-NEPS@2LBTL</t>
  </si>
  <si>
    <t>7.13100206010301</t>
  </si>
  <si>
    <t>CO-NEPTUNE S 5L X 4 BTL</t>
  </si>
  <si>
    <t>DẦU ĂN HIỆU NEPTUNE 5L</t>
  </si>
  <si>
    <t>CO-NEPS5LX4BTL</t>
  </si>
  <si>
    <t>7.13100206170001</t>
  </si>
  <si>
    <t>CO-NEPTUNE S BTL @ 5L</t>
  </si>
  <si>
    <t>CO-NEPS@5LBTL</t>
  </si>
  <si>
    <t>7.13100212011201</t>
  </si>
  <si>
    <t>CO-NEPTUNE S  0.4L X 20 BTL</t>
  </si>
  <si>
    <t>CO-NEPS0.4LX20BTL</t>
  </si>
  <si>
    <t>7.13100212012001</t>
  </si>
  <si>
    <t>CO-NEPTUNE S 0.4L X 30 BTL</t>
  </si>
  <si>
    <t>DẦU ĂN HIỆU NEPTUNE 0.40L</t>
  </si>
  <si>
    <t>CO-NEPS0.4LX30BTL</t>
  </si>
  <si>
    <t>7.13100212170001</t>
  </si>
  <si>
    <t>CO-NEPTUNE S  BTL @ 0.4L</t>
  </si>
  <si>
    <t>CO-NEPS@0.4LBTL</t>
  </si>
  <si>
    <t>7.13100301010702</t>
  </si>
  <si>
    <t>CO-NEPTUNE A 0.25L X 48 BTL</t>
  </si>
  <si>
    <t>CO-NEPA0.25LX48BTL</t>
  </si>
  <si>
    <t>7.13100301170002</t>
  </si>
  <si>
    <t>CO-NEPTUNE A  BTL @ 0.25L</t>
  </si>
  <si>
    <t>CO-NEPA@0.25LBTL</t>
  </si>
  <si>
    <t>7.13100303010502</t>
  </si>
  <si>
    <t>CO-NEPTUNE A 1L X 12 BTL</t>
  </si>
  <si>
    <t>CO-NEPA1LX12BTL</t>
  </si>
  <si>
    <t>7.13100303170002</t>
  </si>
  <si>
    <t>CO-NEPTUNE A  BTL @ 1L</t>
  </si>
  <si>
    <t>CO-NEPA@1LBTL</t>
  </si>
  <si>
    <t>7.13100304010402</t>
  </si>
  <si>
    <t>CO-NEPTUNE A 2L X 6 BTL</t>
  </si>
  <si>
    <t>CO-NEPA2LX6BTL</t>
  </si>
  <si>
    <t>7.13100304170002</t>
  </si>
  <si>
    <t>CO-NEPTUNE A  BTL @ 2L</t>
  </si>
  <si>
    <t>CO-NEPA@2LBTL</t>
  </si>
  <si>
    <t>7.13100306010302</t>
  </si>
  <si>
    <t>CO-NEPTUNE A 5L X 4 BTL</t>
  </si>
  <si>
    <t>CO-NEPA5LX4BTL</t>
  </si>
  <si>
    <t>7.13100306170002</t>
  </si>
  <si>
    <t>CO-NEPTUNE A  BTL @ 5L</t>
  </si>
  <si>
    <t>CO-NEPA@5LBTL</t>
  </si>
  <si>
    <t>7.13100312011202</t>
  </si>
  <si>
    <t>CO-NEPTUNE A  0.4L X 20 BTL</t>
  </si>
  <si>
    <t>CO-NEPA0.4LX20BTL</t>
  </si>
  <si>
    <t>7.13100312012002</t>
  </si>
  <si>
    <t>CO-NEPTUNE A 0.4L X 30 BTL</t>
  </si>
  <si>
    <t>CO-NEPA0.4LX30BTL</t>
  </si>
  <si>
    <t>7.13100312170002</t>
  </si>
  <si>
    <t>CO-NEPTUNE A  BTL @ 0.4L</t>
  </si>
  <si>
    <t>CO-NEPA@0.4LBTL</t>
  </si>
  <si>
    <t>7.13100403010502</t>
  </si>
  <si>
    <t>CO-NEPTUNE B 1L X 12 BTL</t>
  </si>
  <si>
    <t>CO-NEPB1LX12BTL</t>
  </si>
  <si>
    <t>7.13100403170002</t>
  </si>
  <si>
    <t>CO-NEPTUNE B  BTL @ 1L</t>
  </si>
  <si>
    <t>CO-NEPB@1LBTL</t>
  </si>
  <si>
    <t>7.13100404010402</t>
  </si>
  <si>
    <t>CO-NEPTUNE B 2L X 6 BTL</t>
  </si>
  <si>
    <t>CO-NEPB2LX6BTL</t>
  </si>
  <si>
    <t>7.13100404170002</t>
  </si>
  <si>
    <t>CO-NEPTUNE B  BTL @ 2L</t>
  </si>
  <si>
    <t>CO-NEPB@2LBTL</t>
  </si>
  <si>
    <t>7.13100412012002</t>
  </si>
  <si>
    <t>CO-NEPTUNE B 0.4L X 30 BTL</t>
  </si>
  <si>
    <t>CO-NEPB0.4LX30BTL</t>
  </si>
  <si>
    <t>7.13100501010704</t>
  </si>
  <si>
    <t>CO-MEIZAN 0.25L X 48 BTL</t>
  </si>
  <si>
    <t>DẦU ĂN HIỆU MEIZAN 0.25L</t>
  </si>
  <si>
    <t>CO-MZ0.25LX48BTL</t>
  </si>
  <si>
    <t>7.13100501170004</t>
  </si>
  <si>
    <t>CO-MEIZAN  BTL @  0.25L</t>
  </si>
  <si>
    <t>CO-MZ@0.25LBTL</t>
  </si>
  <si>
    <t>7.13100503010504</t>
  </si>
  <si>
    <t>CO-MEIZAN 1L X 12 BTL</t>
  </si>
  <si>
    <t>DẦU ĂN HIỆU MEIZAN 1L</t>
  </si>
  <si>
    <t>CO-MZ1LX12BTL</t>
  </si>
  <si>
    <t>7.13100503170004</t>
  </si>
  <si>
    <t>CO-MEIZAN  BTL @ 1L</t>
  </si>
  <si>
    <t>CO-MZ@1LBTL</t>
  </si>
  <si>
    <t>7.13100504010404</t>
  </si>
  <si>
    <t>CO-MEIZAN  2L X 6 BTL</t>
  </si>
  <si>
    <t>DẦU ĂN HIỆU MEIZAN 2L</t>
  </si>
  <si>
    <t>CO-MZ2LX6BTL</t>
  </si>
  <si>
    <t>7.13100504170004</t>
  </si>
  <si>
    <t>CO-MEIZAN  BTL @ 2L</t>
  </si>
  <si>
    <t>CO-MZ@2LBTL</t>
  </si>
  <si>
    <t>7.13100506010304</t>
  </si>
  <si>
    <t>CO-MEIZAN 5L X 4 BTL</t>
  </si>
  <si>
    <t>DẦU ĂN HIỆU MEIZAN 5L</t>
  </si>
  <si>
    <t>CO-MZ5LX4BTL</t>
  </si>
  <si>
    <t>7.13100506010307</t>
  </si>
  <si>
    <t>CO-MEIZAN (E) 5L X 4 BTL</t>
  </si>
  <si>
    <t>DẦU LÀM BÁNH TRUNG THU HIỆU MEIZAN 5L</t>
  </si>
  <si>
    <t>CO-MZE5LX4BTL</t>
  </si>
  <si>
    <t>7.13100506170004</t>
  </si>
  <si>
    <t>CO-MEIZAN  BTL @ 5L</t>
  </si>
  <si>
    <t>CO-MZ@5LBTL</t>
  </si>
  <si>
    <t>7.13100506170007</t>
  </si>
  <si>
    <t>MEIZAN MOON CAKE OIL  BTL @ 5L</t>
  </si>
  <si>
    <t>CO-MZMCO@5LBTL</t>
  </si>
  <si>
    <t>7.131005111700650</t>
  </si>
  <si>
    <t>MEIZAN CO OL1008:NBDSBO IN BOTTLE@10L</t>
  </si>
  <si>
    <t>DẦU ĂN MEIZAN HỖN HỢP 10L</t>
  </si>
  <si>
    <t>CO-MZ10LBTL</t>
  </si>
  <si>
    <t>7.131005111702650</t>
  </si>
  <si>
    <t>MEIZAN  CO OL1008:NBDSBO 10L X 2 BTL</t>
  </si>
  <si>
    <t>CO-MZ10LX2B</t>
  </si>
  <si>
    <t>7.13100512011204</t>
  </si>
  <si>
    <t>CO-MEIZAN 0.4L X 20 BTL</t>
  </si>
  <si>
    <t>DẦU ĂN HIỆU MEIZAN 0,4L</t>
  </si>
  <si>
    <t>CO-MZ0.4LX20BTL</t>
  </si>
  <si>
    <t>7.13100512012004</t>
  </si>
  <si>
    <t>CO-MEIZAN  0.4L X 30 BTL</t>
  </si>
  <si>
    <t>DẦU ĂN HIỆU MEIZAN 0.40L</t>
  </si>
  <si>
    <t>CO-MZ0.4LX30BTL</t>
  </si>
  <si>
    <t>7.13100512170004</t>
  </si>
  <si>
    <t>CO-MEIZAN   BTL @ 0.4L</t>
  </si>
  <si>
    <t>CO-MZ@0.4LBTL</t>
  </si>
  <si>
    <t>7.13100513010104</t>
  </si>
  <si>
    <t>CO-MEIZAN 16L X 1 BTL</t>
  </si>
  <si>
    <t>DẦU ĂN HIỆU MEIZAN 16L</t>
  </si>
  <si>
    <t>CO-MZ16LX1BTL</t>
  </si>
  <si>
    <t>7.131005560801580</t>
  </si>
  <si>
    <t>MEIZAN CREAMING FAT @ 15 KG BLUE</t>
  </si>
  <si>
    <t>MZCF@15KGB</t>
  </si>
  <si>
    <t>7.13100557090104</t>
  </si>
  <si>
    <t>CO-MEIZAN BIB @18KG</t>
  </si>
  <si>
    <t>DẦU ĂN HIỆU MEIZAN TRONG TÚI BÓNG 18KG</t>
  </si>
  <si>
    <t>CO-MZ@18KGBIB</t>
  </si>
  <si>
    <t>7.13100557090107</t>
  </si>
  <si>
    <t>MEIZAN MOON CAKE OIL BIB @18 KG</t>
  </si>
  <si>
    <t>DẦU LÀM BÁNH TRUNG THU HIỆU MEIZAN, TÚI BIB 18KG</t>
  </si>
  <si>
    <t>CO-MZMC@18KGBIB</t>
  </si>
  <si>
    <t>7.13100601010703</t>
  </si>
  <si>
    <t>CO-MEIZAN S 0.25L X 48 BTL</t>
  </si>
  <si>
    <t>CO-MZS0.25LX48BTL</t>
  </si>
  <si>
    <t>7.13100601170003</t>
  </si>
  <si>
    <t>CO-MEIZAN S   BTL @ 0.25L</t>
  </si>
  <si>
    <t>CO-MZS@0.25LBTL</t>
  </si>
  <si>
    <t>7.13100603010503</t>
  </si>
  <si>
    <t>CO-MEIZAN S 1L X 12 BTL</t>
  </si>
  <si>
    <t>CO-MZS1LX12BTL</t>
  </si>
  <si>
    <t>7.13100603170003</t>
  </si>
  <si>
    <t>CO-MEIZAN S  BTL @ 1L</t>
  </si>
  <si>
    <t>CO-MZS@1LBTL</t>
  </si>
  <si>
    <t>7.13100604010403</t>
  </si>
  <si>
    <t>CO-MEIZAN S 2L X 6 BTL</t>
  </si>
  <si>
    <t>CO-MZS2LX6BTL</t>
  </si>
  <si>
    <t>7.13100604170003</t>
  </si>
  <si>
    <t>CO-MEIZAN S  BTL @ 2L</t>
  </si>
  <si>
    <t>CO-MZS@2LBTL</t>
  </si>
  <si>
    <t>7.13100606010303</t>
  </si>
  <si>
    <t>CO-MEIZAN S 5L X 4 BTL</t>
  </si>
  <si>
    <t>CO-MZS5LX4BTL</t>
  </si>
  <si>
    <t>7.13100606170003</t>
  </si>
  <si>
    <t>CO-MEIZAN S  BTL @ 5L</t>
  </si>
  <si>
    <t>CO-MZS@5LBTL</t>
  </si>
  <si>
    <t>7.13100612011203</t>
  </si>
  <si>
    <t>CO-MEIZAN S  0.4L X 20 BTL</t>
  </si>
  <si>
    <t>CO-MZS0.4LX20BTL</t>
  </si>
  <si>
    <t>7.13100612012003</t>
  </si>
  <si>
    <t>CO-MEIZAN S 0.4L X 30 BTL</t>
  </si>
  <si>
    <t>CO-MZS0.4LX30BTL</t>
  </si>
  <si>
    <t>7.13100612170003</t>
  </si>
  <si>
    <t>CO-MEIZAN S  BTL @ 0.4L</t>
  </si>
  <si>
    <t>CO-MZS@0.4LBTL</t>
  </si>
  <si>
    <t>7.13100613010102</t>
  </si>
  <si>
    <t>CO-MEIZAN S  16L X 1 BTL</t>
  </si>
  <si>
    <t>CO-MZS16LX1BTL</t>
  </si>
  <si>
    <t>7.13100701010704</t>
  </si>
  <si>
    <t>CO-MEIZAN A 0.25L X 48 BTL</t>
  </si>
  <si>
    <t>CO-MZA0.25LX48BTL</t>
  </si>
  <si>
    <t>7.13100701170004</t>
  </si>
  <si>
    <t>CO-MEIZAN A  BTL @ 0.25L</t>
  </si>
  <si>
    <t>CO-MZA@0.25LBTL</t>
  </si>
  <si>
    <t>7.13100703010504</t>
  </si>
  <si>
    <t>CO-MEIZAN A 1L X 12 BTL</t>
  </si>
  <si>
    <t>CO-MZA1LX12BTL</t>
  </si>
  <si>
    <t>7.13100703170004</t>
  </si>
  <si>
    <t>CO-MEIZAN A  BTL @ 1L</t>
  </si>
  <si>
    <t>CO-MZA@1LBTL</t>
  </si>
  <si>
    <t>7.13100704010404</t>
  </si>
  <si>
    <t>CO-MEIZAN A 2L X 6 BTL</t>
  </si>
  <si>
    <t>CO-MZA2LX6BTL</t>
  </si>
  <si>
    <t>7.13100704170004</t>
  </si>
  <si>
    <t>CO-MEIZAN A  BTL @ 2L</t>
  </si>
  <si>
    <t>CO-MZA@2LBTL</t>
  </si>
  <si>
    <t>7.13100706010304</t>
  </si>
  <si>
    <t>CO-MEIZAN A 5L X 4 BTL</t>
  </si>
  <si>
    <t>CO-MZA5LX4BTL</t>
  </si>
  <si>
    <t>7.13100706170004</t>
  </si>
  <si>
    <t>CO-MEIZAN A  BTL @ 5L</t>
  </si>
  <si>
    <t>CO-MZA@5LBTL</t>
  </si>
  <si>
    <t>7.13100712011204</t>
  </si>
  <si>
    <t>CO-MEIZAN A 0.4L X 20 BTL</t>
  </si>
  <si>
    <t>CO-MZA0.4LX20BTL</t>
  </si>
  <si>
    <t>7.13100712012004</t>
  </si>
  <si>
    <t>CO-MEIZAN A 0.4L X 30 BTL</t>
  </si>
  <si>
    <t>CO-MZA0.4LX30BTL</t>
  </si>
  <si>
    <t>7.13100712170004</t>
  </si>
  <si>
    <t>CO-MEIZAN A  BTL @ 0.4L</t>
  </si>
  <si>
    <t>CO-MZA@0.4LBTL</t>
  </si>
  <si>
    <t>7.13100713010104</t>
  </si>
  <si>
    <t>CO-MEIZAN A 16L X 1 BTL</t>
  </si>
  <si>
    <t>CO-MZA16LX1BTL</t>
  </si>
  <si>
    <t>7.13100801012004</t>
  </si>
  <si>
    <t>CO-MEIZAN B 0.25L X 30 BTL</t>
  </si>
  <si>
    <t>DẦU ĂN HIỆU MEIZAN 0,25L</t>
  </si>
  <si>
    <t>CO-MZB0.25LX30BTL</t>
  </si>
  <si>
    <t>7.13100801170004</t>
  </si>
  <si>
    <t>CO-MEIZAN B   BTL @ 0.25L</t>
  </si>
  <si>
    <t>CO-MZB@0.25LBTL</t>
  </si>
  <si>
    <t>7.13100806170004</t>
  </si>
  <si>
    <t>CO-MEIZAN B  BTL @ 5L</t>
  </si>
  <si>
    <t>CO-MZB@5LBTL</t>
  </si>
  <si>
    <t>7.13100901010704</t>
  </si>
  <si>
    <t>CO-CAI LAN  0.25L X 48 BTL</t>
  </si>
  <si>
    <t>DẦU ĂN HIỆU CÁI LÂN 0.25L</t>
  </si>
  <si>
    <t>CO-CL0.25LX48BTL</t>
  </si>
  <si>
    <t>7.13100901170004</t>
  </si>
  <si>
    <t>CO-CAI LAN  BTL @ 0.25L</t>
  </si>
  <si>
    <t>CO-CL@0.25LBTL</t>
  </si>
  <si>
    <t>7.13100903010504</t>
  </si>
  <si>
    <t>CO-CAI LAN  1L X 12 BTL</t>
  </si>
  <si>
    <t>CO-CL1LX12BTL</t>
  </si>
  <si>
    <t>7.13100903170004</t>
  </si>
  <si>
    <t>CO-CAI LAN   BTL @ 1L</t>
  </si>
  <si>
    <t>CO-CL@1LBTL</t>
  </si>
  <si>
    <t>7.13100904010404</t>
  </si>
  <si>
    <t>CO-CAI LAN  2L X 6 BTL</t>
  </si>
  <si>
    <t>DẦU THỰC VẬT TINH LUYỆN NHÃN HIỆU CÁI LÂN 2L</t>
  </si>
  <si>
    <t>CO-CL2LX6BTL</t>
  </si>
  <si>
    <t>7.13100904170004</t>
  </si>
  <si>
    <t>CO-CAI LAN  BTL @ 2L</t>
  </si>
  <si>
    <t>CO-CL@2LBTL</t>
  </si>
  <si>
    <t>7.13100906010304</t>
  </si>
  <si>
    <t>CO-CAI LAN  5L X 4 BTL</t>
  </si>
  <si>
    <t>DẦU THỰC VẬT TINH LUYỆN NHÃN HIỆU CÁI LÂN 5L</t>
  </si>
  <si>
    <t>CO-CL5LX4BTL</t>
  </si>
  <si>
    <t>7.13100906170004</t>
  </si>
  <si>
    <t>CO-CAI LAN  BTL @ 5L</t>
  </si>
  <si>
    <t>CO-CL@5LBTL</t>
  </si>
  <si>
    <t>7.13100912011204</t>
  </si>
  <si>
    <t>CO-CAI LAN  0.4L X 20 BTL</t>
  </si>
  <si>
    <t>DẦU THỰC VẬT TINH LUYỆN NHÃN HIỆU CÁI LÂN 0.4L</t>
  </si>
  <si>
    <t>CO-CL0.4LX20BTL</t>
  </si>
  <si>
    <t>7.13100912012004</t>
  </si>
  <si>
    <t>CO-CAI LAN  0.4L X 30 BTL</t>
  </si>
  <si>
    <t>DẦU ĂN HIỆU CÁI LÂN 0.40L</t>
  </si>
  <si>
    <t>CO-CL0.4LX30BTL</t>
  </si>
  <si>
    <t>7.13100912170004</t>
  </si>
  <si>
    <t>CO-CAI LAN   BTL @ 0.4L</t>
  </si>
  <si>
    <t>DẦU THỰC VẬT TINH LUYỆN NHÃN HIỆU CÁI LÂN 400 ML</t>
  </si>
  <si>
    <t>7.13100913010104</t>
  </si>
  <si>
    <t>CO-CAI LAN  16L X 1 BTL</t>
  </si>
  <si>
    <t>DẦU ĂN HIỆU CÁI LÂN 16L</t>
  </si>
  <si>
    <t>CO-CL16LX1BTL</t>
  </si>
  <si>
    <t>7.13100917180004</t>
  </si>
  <si>
    <t>CO-CAI LAN @ 200ML-POUCH</t>
  </si>
  <si>
    <t>DẦU ĂN HIỆU CÁI LÂN TRONG TÚI 200ML</t>
  </si>
  <si>
    <t>CO-CL0.2LPX60BTL</t>
  </si>
  <si>
    <t>7.13100957090104</t>
  </si>
  <si>
    <t>CO-CAI LAN  BIB @18 KG</t>
  </si>
  <si>
    <t>DẦU THỰC VẬT TINH LUYỆN NHÃN HIỆU CÁI LÂN TRONG TÚI BÓNG 18KG</t>
  </si>
  <si>
    <t>CO-CL@18KGBIB</t>
  </si>
  <si>
    <t>7.131009591200590</t>
  </si>
  <si>
    <t>CAI LAN BLEND[OLIV60+NBDSBO] IN JRG@25KG</t>
  </si>
  <si>
    <t>DẦU THỰC VẬT TINH LUYỆN NHÃN HIỆU CÁI LÂN TRONG CAN NHỰA 25KG</t>
  </si>
  <si>
    <t>CO-CLA@25KGJRG</t>
  </si>
  <si>
    <t>7.13100961090804</t>
  </si>
  <si>
    <t>CO-CAI LAN  6KG X 3 BIB</t>
  </si>
  <si>
    <t>DẦU ĂN HIỆU CÁI LÂN TRONG TÚI BÓNG 6KG X 3</t>
  </si>
  <si>
    <t>CO-CL6KGX3BIB</t>
  </si>
  <si>
    <t>7.13101001010703</t>
  </si>
  <si>
    <t>CO-CAI LAN S 0.25L X 48 BTL</t>
  </si>
  <si>
    <t>CO-CLS0.25LX48BTL</t>
  </si>
  <si>
    <t>7.13101001170003</t>
  </si>
  <si>
    <t>CO-CAI LAN S   BTL @ 0.25L</t>
  </si>
  <si>
    <t>CO-CLS@0.25LBTL</t>
  </si>
  <si>
    <t>7.13101003010503</t>
  </si>
  <si>
    <t>CO-CAI LAN S 1L X 12 BTL</t>
  </si>
  <si>
    <t>CO-CLS1LX12BTL</t>
  </si>
  <si>
    <t>7.13101003170003</t>
  </si>
  <si>
    <t>CO-CAI LAN S  BTL @ 1L</t>
  </si>
  <si>
    <t>CO-CLS@1LBTL</t>
  </si>
  <si>
    <t>7.13101004010403</t>
  </si>
  <si>
    <t>CO-CAI LAN S 2L X 6 BTL</t>
  </si>
  <si>
    <t>CO-CLS2LX6BTL</t>
  </si>
  <si>
    <t>7.13101004170003</t>
  </si>
  <si>
    <t>CO-CAI LAN S  BTL @ 2L</t>
  </si>
  <si>
    <t>CO-CLS@2LBTL</t>
  </si>
  <si>
    <t>7.13101006010303</t>
  </si>
  <si>
    <t>CO-CAI LAN S 5L X 4 BTL</t>
  </si>
  <si>
    <t>CO-CLS5LX4BTL</t>
  </si>
  <si>
    <t>7.13101006170003</t>
  </si>
  <si>
    <t>CO-CAI LAN S  BTL @ 5L</t>
  </si>
  <si>
    <t>CO-CLS@5LBTL</t>
  </si>
  <si>
    <t>7.13101012011203</t>
  </si>
  <si>
    <t>CO-CAI LAN S  0.4L X 20 BTL</t>
  </si>
  <si>
    <t>CO-CLS0.4LX20BTL</t>
  </si>
  <si>
    <t>7.13101012012003</t>
  </si>
  <si>
    <t>CO-CAI LAN S 0.4L X 30 BTL</t>
  </si>
  <si>
    <t>CO-CLS0.4LX30BTL</t>
  </si>
  <si>
    <t>7.13101012170003</t>
  </si>
  <si>
    <t>CO-CAI LAN S  BTL @ 0.4L</t>
  </si>
  <si>
    <t>CO-CLS@0.4LBTL</t>
  </si>
  <si>
    <t>7.13101013010104</t>
  </si>
  <si>
    <t>CO-CAI LAN S  16L X 1 BTL</t>
  </si>
  <si>
    <t>CO-CLS16LX1BTL</t>
  </si>
  <si>
    <t>7.13101057090104</t>
  </si>
  <si>
    <t>CO-CAI LAN S BIB @18KG</t>
  </si>
  <si>
    <t>DẦU ĂN HIỆU CÁI LÂN TRONG TÚI BÓNG 18KG</t>
  </si>
  <si>
    <t>CO-CLS@18KGBIB</t>
  </si>
  <si>
    <t>7.13101061090804</t>
  </si>
  <si>
    <t>CO-CAI LAN S  6KG X 3 BIB</t>
  </si>
  <si>
    <t>CO-CLS6KGX3BIB</t>
  </si>
  <si>
    <t>7.13101101010704</t>
  </si>
  <si>
    <t>CO-CAI LAN A 0.25L X 48 BTL</t>
  </si>
  <si>
    <t>CO-CLA0.25LX48BTL</t>
  </si>
  <si>
    <t>7.13101101170004</t>
  </si>
  <si>
    <t>CO-CAI LAN A  BTL @ 0.25L</t>
  </si>
  <si>
    <t>CO-CLA@0.25LBTL</t>
  </si>
  <si>
    <t>7.13101103010504</t>
  </si>
  <si>
    <t>CO-CAI LAN A 1L X 12 BTL</t>
  </si>
  <si>
    <t>CO-CLA1LX12BTL</t>
  </si>
  <si>
    <t>7.13101103170004</t>
  </si>
  <si>
    <t>CO-CAI LAN A  BTL @ 1L</t>
  </si>
  <si>
    <t>CO-CLA@1LBTL</t>
  </si>
  <si>
    <t>7.13101104010404</t>
  </si>
  <si>
    <t>CO-CAI LAN A 2L X 6 BTL</t>
  </si>
  <si>
    <t>CO-CLA2LX6BTL</t>
  </si>
  <si>
    <t>7.13101104170004</t>
  </si>
  <si>
    <t>CO-CAI LAN A  BTL @ 2L</t>
  </si>
  <si>
    <t>CO-CLA@2LBTL</t>
  </si>
  <si>
    <t>7.13101106010304</t>
  </si>
  <si>
    <t>CO-CAI LAN A 5L X 4 BTL</t>
  </si>
  <si>
    <t>CO-CLA5LX4BTL</t>
  </si>
  <si>
    <t>7.13101106170004</t>
  </si>
  <si>
    <t>CO-CAI LAN A  BTL @ 5L</t>
  </si>
  <si>
    <t>CO-CLA@5LBTL</t>
  </si>
  <si>
    <t>7.13101112011204</t>
  </si>
  <si>
    <t>CO-CAI LAN A  0.4L X 20 BTL</t>
  </si>
  <si>
    <t>CO-CLA0.4LX20BTL</t>
  </si>
  <si>
    <t>7.13101112012004</t>
  </si>
  <si>
    <t>CO-CAI LAN A 0.4L X 30 BTL</t>
  </si>
  <si>
    <t>CO-CLA0.4LX30BTL</t>
  </si>
  <si>
    <t>7.13101112170004</t>
  </si>
  <si>
    <t>CO-CAI LAN A  BTL @ 0.4L</t>
  </si>
  <si>
    <t>CO-CLA@0.4LBTL</t>
  </si>
  <si>
    <t>7.13101113010104</t>
  </si>
  <si>
    <t>CO-CAI LAN A 16L X 1 BTL</t>
  </si>
  <si>
    <t>CO-CLA16LX1BTL</t>
  </si>
  <si>
    <t>7.13101157090104</t>
  </si>
  <si>
    <t>CO-CAI LAN A  BIB @18KG</t>
  </si>
  <si>
    <t>CO-CLA@18KGBIB</t>
  </si>
  <si>
    <t>7.13101157120004</t>
  </si>
  <si>
    <t>CO-CAI LAN A  JRG @18KG</t>
  </si>
  <si>
    <t>DẦU ĂN HIỆU CÁI LÂN, CAN NHỰA 18KG</t>
  </si>
  <si>
    <t>CO-CLA@18KGJRG</t>
  </si>
  <si>
    <t>7.13101161090804</t>
  </si>
  <si>
    <t>CO-CAI LAN A 6KG X 3 BIB</t>
  </si>
  <si>
    <t>CO-CLA6KGX3BIB</t>
  </si>
  <si>
    <t>7.13101203170004</t>
  </si>
  <si>
    <t>CO-CAI LAN B  BTL @ 1L</t>
  </si>
  <si>
    <t>DẦU ĂN HIỆU CÁI LÂN 1L</t>
  </si>
  <si>
    <t>CO-CLB@1LBTL</t>
  </si>
  <si>
    <t>7.13101206170004</t>
  </si>
  <si>
    <t>CO-CAI LAN B  BTL @ 5L</t>
  </si>
  <si>
    <t>DẦU ĂN HIỆU CÁI LÂN 5L</t>
  </si>
  <si>
    <t>CO-CLB@5LBTL</t>
  </si>
  <si>
    <t>7.13101452022005</t>
  </si>
  <si>
    <t>SATELLITE-SOLID COOKING OIL 500GRM X 30</t>
  </si>
  <si>
    <t>DẦU THỰC VẬT ĐẶC HIỆU SATELLITE 500 GR</t>
  </si>
  <si>
    <t>CO-ST500GRMX30</t>
  </si>
  <si>
    <t>7.13101457090101</t>
  </si>
  <si>
    <t>SATELLITE RELEASE OIL IN BIB @18 KG</t>
  </si>
  <si>
    <t>DẦU TRÁNG KHUÔN HIỆU SATELLITE ĐÓNG TRONG THÙNG BIB 18KG</t>
  </si>
  <si>
    <t>CO-STREALO@18KGBIB</t>
  </si>
  <si>
    <t>7.13101457090104</t>
  </si>
  <si>
    <t>SATELLITE-VEGETABLE OIL BIB @18 KG</t>
  </si>
  <si>
    <t>DẦU ĂN HIỆU SATELLITE TRONG TÚI BIB 18KG</t>
  </si>
  <si>
    <t>ST-VO@18KGBIB</t>
  </si>
  <si>
    <t>7.13101457090107</t>
  </si>
  <si>
    <t>SATELLITE MOON CAKE OIL BIB 18KG</t>
  </si>
  <si>
    <t>DẦU DÙNG LÀM BÁNH TRUNG THU HIỆU SATELLITE TRONG TÚI BÓNG 18KG</t>
  </si>
  <si>
    <t>CO-STMC@18KGBIB</t>
  </si>
  <si>
    <t>7.13101457120017</t>
  </si>
  <si>
    <t>SATELLITE RELEASE OIL IN JRG @18 KG</t>
  </si>
  <si>
    <t>DẦU TRÁNG KHUÔN</t>
  </si>
  <si>
    <t>CO-STREALO@18KGJRG</t>
  </si>
  <si>
    <t>7.13101459080115</t>
  </si>
  <si>
    <t>SATELLITE SOLID COOKING OIL@ 25KG</t>
  </si>
  <si>
    <t>DẦU THỰC VẬT ĐẶC HIỆU SATELLITE 25KG</t>
  </si>
  <si>
    <t>STSOLID@25KG</t>
  </si>
  <si>
    <t>7.13101461090805</t>
  </si>
  <si>
    <t>SATELLITE SOLID COOKING OIL @6KG X 3BIB</t>
  </si>
  <si>
    <t>DẦU ĐẶC HIỆU SATELLITE TRONG 3 TÚI BIB 6KG MỖI TÚI</t>
  </si>
  <si>
    <t>STSOLID6KGX3BIB</t>
  </si>
  <si>
    <t>7.13101757090108</t>
  </si>
  <si>
    <t>CO-CAI LAN P  BIB @18 KG</t>
  </si>
  <si>
    <t>CO-CLP@18KGBIB</t>
  </si>
  <si>
    <t>7.13101761090808</t>
  </si>
  <si>
    <t>CO-CAI LAN P  6KG X 3 BIB</t>
  </si>
  <si>
    <t>CO-CLP6KGX3BIB</t>
  </si>
  <si>
    <t>7.131021011700610</t>
  </si>
  <si>
    <t>CO-NEPTUNE 1:1:1 BTL @ 0.25L</t>
  </si>
  <si>
    <t>DẦU ĂN HIỆU NEPTUNE 250ML</t>
  </si>
  <si>
    <t>CO-NEP111@0.25LBTL</t>
  </si>
  <si>
    <t>7.131021011720610</t>
  </si>
  <si>
    <t>CO-NEPTUNE 1:1:1 0.25L X 30 BTL</t>
  </si>
  <si>
    <t>DẦU ĂN HIỆU NEPTUNE 0.25ML</t>
  </si>
  <si>
    <t>CO-NEP111025LX30BL</t>
  </si>
  <si>
    <t>7.13102103010510</t>
  </si>
  <si>
    <t>CO-NEPTUNE 1:1:1 1L X 12 BTL</t>
  </si>
  <si>
    <t>CO-NEP111-1LX12BTL</t>
  </si>
  <si>
    <t>7.13102103170010</t>
  </si>
  <si>
    <t>CO-NEPTUNE 1:1:1  BTL @ 1L</t>
  </si>
  <si>
    <t>DẦU ĂN HIỆU NEPTUNE 1:1:1 1L</t>
  </si>
  <si>
    <t>CO-NEP111@1LBTL</t>
  </si>
  <si>
    <t>7.131021031758610</t>
  </si>
  <si>
    <t>CO-NEPTUNE 1:1:1 1L 4BLOCK X 3 BTL</t>
  </si>
  <si>
    <t>DẦU ĂN HIỆU NEPTUNE 1:1:1 1L, LOẠI 4BLOCK X 3 CHAI</t>
  </si>
  <si>
    <t>CO-NEP111-1L, 4 BLOCK</t>
  </si>
  <si>
    <t>7.13102104010410</t>
  </si>
  <si>
    <t>CO-NEPTUNE 1:1:1 2L X 6 BTL</t>
  </si>
  <si>
    <t>DẦU ĂN HIỆU NEPTUNE 1:1:1 2L</t>
  </si>
  <si>
    <t>CO-NEP111-2LX6BTL</t>
  </si>
  <si>
    <t>7.13102104170010</t>
  </si>
  <si>
    <t>CO-NEPTUNE 1:1:1  BTL @ 2L</t>
  </si>
  <si>
    <t>DẦU ĂN HIỆU NEPTUNE 1:1:1 2L</t>
  </si>
  <si>
    <t>CO-NEP111@2LBTL</t>
  </si>
  <si>
    <t>7.13102106010310</t>
  </si>
  <si>
    <t>CO-NEPTUNE 1:1:1 5L X 4 BTL</t>
  </si>
  <si>
    <t>CO-NEP111-5LX4BTL</t>
  </si>
  <si>
    <t>7.13102106170010</t>
  </si>
  <si>
    <t>CO-NEPTUNE 1:1:1  BTL @ 5L</t>
  </si>
  <si>
    <t>DẦU ĂN HIỆU NEPTUNE 1:1:1 5L</t>
  </si>
  <si>
    <t>CO-NEP111@5LBTL</t>
  </si>
  <si>
    <t>7.13102112011210</t>
  </si>
  <si>
    <t>CO-NEPTUNE 1:1:1 0.4L X 20 BTL</t>
  </si>
  <si>
    <t>DẦU ĂN HIỆU NEPTUNE 0.4L</t>
  </si>
  <si>
    <t>CO-NEP111-0.4LX20B</t>
  </si>
  <si>
    <t>7.13102112012010</t>
  </si>
  <si>
    <t>CO-NEPTUNE 1:1:1  @0.4L X 30 BTL</t>
  </si>
  <si>
    <t>DẦU ĂN HIỆU NEPTUNE 0.4L (1:1:1)</t>
  </si>
  <si>
    <t>CO-NEP111-0.4LX30B</t>
  </si>
  <si>
    <t>7.13102112170010</t>
  </si>
  <si>
    <t>CO-NEPTUNE 1:1:1  BTL @ 0.4L</t>
  </si>
  <si>
    <t>DẦU NEPTUNE 1:1:1 0.4L</t>
  </si>
  <si>
    <t>CO-NEP111@0.4LBTL</t>
  </si>
  <si>
    <t>7.13102113010110</t>
  </si>
  <si>
    <t>CO-NEPTUNE 1:1:1 16L X 1 BTL</t>
  </si>
  <si>
    <t>DẦU ĂN HIỆU NEPTUNE 1:1:1 16L</t>
  </si>
  <si>
    <t>CO-NEP111-16LX1BTL</t>
  </si>
  <si>
    <t>7.131021141700900</t>
  </si>
  <si>
    <t>CO-NEPTUNE 1:1:1 IN BOTTLE@8L</t>
  </si>
  <si>
    <t>DẦU ĂN HIỆU NEPTUNE 1:1:1 8L</t>
  </si>
  <si>
    <t>NEP111 8LBOT</t>
  </si>
  <si>
    <t>7.131021141702900</t>
  </si>
  <si>
    <t>CO-NEPTUNE 1:1:1 8L X 2 BTL</t>
  </si>
  <si>
    <t>DẦU ĂN HIỆU NEPTUNE 1:1:1, 8LX2 CHAI</t>
  </si>
  <si>
    <t>NEP111 8LX2</t>
  </si>
  <si>
    <t>7.13102214010202</t>
  </si>
  <si>
    <t>CO-ARO 8L X 2 BTL</t>
  </si>
  <si>
    <t>DẦU ĂN HIỆU ARO 8L</t>
  </si>
  <si>
    <t>CO-ARO8LX2BTL</t>
  </si>
  <si>
    <t>7.13102214170002</t>
  </si>
  <si>
    <t>CO-ARO BTL @ 8L</t>
  </si>
  <si>
    <t>CO-ARO@8LBTL</t>
  </si>
  <si>
    <t>7.13102216010402</t>
  </si>
  <si>
    <t>CO-ARO 1.8L X 6 BTL</t>
  </si>
  <si>
    <t>DẦU ĂN HIỆU ARO 1,8L</t>
  </si>
  <si>
    <t>CO-ARO1.8LX6BTL</t>
  </si>
  <si>
    <t>7.13102216170002</t>
  </si>
  <si>
    <t>CO-ARO BTL @ 1.8L</t>
  </si>
  <si>
    <t>CO-ARO@1.8LBTL</t>
  </si>
  <si>
    <t>7.13102301010512</t>
  </si>
  <si>
    <t>CO-KIDDY 0.25L X 12 BTL</t>
  </si>
  <si>
    <t>DẦU ĂN DINH DƯỠNG CHO TRẺ NHÃN HIỆU KIDDY 250 ML</t>
  </si>
  <si>
    <t>CO-KIDY0.25LX12BTL</t>
  </si>
  <si>
    <t>7.13102301170012</t>
  </si>
  <si>
    <t>CO-KIDDY BTL @ 0.25L</t>
  </si>
  <si>
    <t>CO-KIDY@0.25L</t>
  </si>
  <si>
    <t>7.131023011700840</t>
  </si>
  <si>
    <t>KIDDY REFINED OLIVE OIL IN BOTTLE@250ML</t>
  </si>
  <si>
    <t>KIDOLI@025BTL</t>
  </si>
  <si>
    <t>KIDOLIV@025X12</t>
  </si>
  <si>
    <t>7.13102401012013</t>
  </si>
  <si>
    <t>CO-MEIZAN G2 0.25L X 30 BTL</t>
  </si>
  <si>
    <t>DẦU ĂN HIỆU MEIZAN, 0,25LX 30 CHAI</t>
  </si>
  <si>
    <t>CO-MZG2-0.25LX30B</t>
  </si>
  <si>
    <t>7.13102401170013</t>
  </si>
  <si>
    <t>CO-MEIZAN G2  BTL @ 0.25L</t>
  </si>
  <si>
    <t>CO-MZG2@0.25LBTL</t>
  </si>
  <si>
    <t>7.13102403010513</t>
  </si>
  <si>
    <t>CO-MEIZAN G2 1L X 12 BTL</t>
  </si>
  <si>
    <t>DẦU ĂN HIỆU MEIZAN 1L X 12CHAI</t>
  </si>
  <si>
    <t>CO-MZG2-1LX12BTL</t>
  </si>
  <si>
    <t>7.13102403170013</t>
  </si>
  <si>
    <t>CO-MEIZAN G2  BTL @ 1L</t>
  </si>
  <si>
    <t>CO-MZG2@1LBTL</t>
  </si>
  <si>
    <t>7.13102404010413</t>
  </si>
  <si>
    <t>CO-MEIZAN G2 2L X 6 BTL</t>
  </si>
  <si>
    <t>DẦU ĂN HIỆU MEIZAN 2L X 6 CHAI</t>
  </si>
  <si>
    <t>CO-MZG2-2LX6BTL</t>
  </si>
  <si>
    <t>7.13102404170013</t>
  </si>
  <si>
    <t>CO-MEIZAN G2 BTL @ 2L</t>
  </si>
  <si>
    <t>CO-MZG2@2LBTL</t>
  </si>
  <si>
    <t>7.13102406010313</t>
  </si>
  <si>
    <t>CO-MEIZAN G2 5L X 4 BTL</t>
  </si>
  <si>
    <t>CO-MZG2-5LX4BTL</t>
  </si>
  <si>
    <t>7.13102406170013</t>
  </si>
  <si>
    <t>CO-MEIZAN G2 BTL @ 5L</t>
  </si>
  <si>
    <t>CO-MZG2@5LBTL</t>
  </si>
  <si>
    <t>7.13102412011213</t>
  </si>
  <si>
    <t>CO-MEIZAN G2 0.4L X 20 BTL</t>
  </si>
  <si>
    <t>DẦU ĂN HIỆU MEIZAN 0,4L X 20 CHAI</t>
  </si>
  <si>
    <t>CO-MZG2-0.4LX20BTL</t>
  </si>
  <si>
    <t>7.13102412170013</t>
  </si>
  <si>
    <t>CO-MEIZAN G2  BTL @ 0.4L</t>
  </si>
  <si>
    <t>CO-MZG2@0.4LBTL</t>
  </si>
  <si>
    <t>7.13102501010714</t>
  </si>
  <si>
    <t>CO-MEIZAN G2 S 0.25L X 48 BTL</t>
  </si>
  <si>
    <t>CO-MZG2S0.25LX48BT</t>
  </si>
  <si>
    <t>7.13102501012014</t>
  </si>
  <si>
    <t>CO-MEIZAN G2 S 0.25L X 30 BTL</t>
  </si>
  <si>
    <t>DẦU ĂN HIỆU MEIZAN 0,25L X 30 CHAI</t>
  </si>
  <si>
    <t>CO-MZG2S0.25LX30BT</t>
  </si>
  <si>
    <t>7.13102501170014</t>
  </si>
  <si>
    <t>CO-MEIZAN G2  S BTL @ 0.25L</t>
  </si>
  <si>
    <t>CO-MZG2S@0.25LBTL</t>
  </si>
  <si>
    <t>7.13102503010514</t>
  </si>
  <si>
    <t>CO-MEIZAN G2 S 1L X 12 BTL</t>
  </si>
  <si>
    <t>DẦU ĂN HIỆU MEIZAN 1L X 12 CHAI</t>
  </si>
  <si>
    <t>CO-MZG2S1LX12BTL</t>
  </si>
  <si>
    <t>7.13102503170014</t>
  </si>
  <si>
    <t>CO-MEIZAN G2 S BTL @ 1L</t>
  </si>
  <si>
    <t>CO-MZG2S@1LBTL</t>
  </si>
  <si>
    <t>7.13102504010414</t>
  </si>
  <si>
    <t>CO-MEIZAN G2 S 2L X 6 BTL</t>
  </si>
  <si>
    <t>CO-MZG2S2LX6BTL</t>
  </si>
  <si>
    <t>7.13102504170014</t>
  </si>
  <si>
    <t>CO-MEIZAN G2 S BTL @ 2L</t>
  </si>
  <si>
    <t>CO-MZG2S@2LBTL</t>
  </si>
  <si>
    <t>7.13102506010314</t>
  </si>
  <si>
    <t>CO-MEIZAN G2 S 5L X 4 BTL</t>
  </si>
  <si>
    <t>DẦU ĂN HIỆU MEIZAN 5L X 4 CHAI</t>
  </si>
  <si>
    <t>CO-MZG2S5LX4BTL</t>
  </si>
  <si>
    <t>7.13102506170014</t>
  </si>
  <si>
    <t>CO-MEIZAN G2 S BTL @ 5L</t>
  </si>
  <si>
    <t>CO-MZG2S@5LBTL</t>
  </si>
  <si>
    <t>7.13102512011214</t>
  </si>
  <si>
    <t>CO-MEIZAN G2 S 0.4L X 20 BTL</t>
  </si>
  <si>
    <t>CO-MZG2S0.4LX20BTL</t>
  </si>
  <si>
    <t>7.13102512170014</t>
  </si>
  <si>
    <t>CO-MEIZAN G2  S BTL @ 0.4L</t>
  </si>
  <si>
    <t>CO-MZG2S@0.4LBTL</t>
  </si>
  <si>
    <t>7.13102514010201</t>
  </si>
  <si>
    <t>CO-MEIZAN G2 S 8L X 2 BTL</t>
  </si>
  <si>
    <t>DẦU ĂN HIỆU MEIZAN 8L X 2CHAI</t>
  </si>
  <si>
    <t>CO-MZG2S8LX2BTL</t>
  </si>
  <si>
    <t>7.13102514170001</t>
  </si>
  <si>
    <t>CO-MEIZAN G2 S BTL @ 8L</t>
  </si>
  <si>
    <t>DẦU ĂN HIỆU MEIZAN 8L</t>
  </si>
  <si>
    <t>CO-MZG2S@8LBTL</t>
  </si>
  <si>
    <t>7.13102601012014</t>
  </si>
  <si>
    <t>CO-MEIZAN G2 SC 0.25L X 30 BTL</t>
  </si>
  <si>
    <t>CO-MZG2SC0.25LX30B</t>
  </si>
  <si>
    <t>7.13102601170014</t>
  </si>
  <si>
    <t>CO-MEIZAN G2  SC BTL @ 0.25L</t>
  </si>
  <si>
    <t>CO-MZG2SC@0.25LBTL</t>
  </si>
  <si>
    <t>7.13102701010713</t>
  </si>
  <si>
    <t>CO-MEIZAN G2 A 0.25L X 48 BTL</t>
  </si>
  <si>
    <t>CO-MZG2A0.25LX48BT</t>
  </si>
  <si>
    <t>7.13102701012013</t>
  </si>
  <si>
    <t>CO-MEIZAN G2 A 0.25L X 30 BTL</t>
  </si>
  <si>
    <t>CO-MZG2A0.25LX30BT</t>
  </si>
  <si>
    <t>7.13102701170013</t>
  </si>
  <si>
    <t>CO-MEIZAN G2  A BTL @ 0.25L</t>
  </si>
  <si>
    <t>CO-MZG2A@0.25LBTL</t>
  </si>
  <si>
    <t>7.13102703010513</t>
  </si>
  <si>
    <t>CO-MEIZAN G2 A 1L X 12 BTL</t>
  </si>
  <si>
    <t>CO-MZG2A1LX12BTL</t>
  </si>
  <si>
    <t>7.13102703170013</t>
  </si>
  <si>
    <t>CO-MEIZAN G2 A BTL @ 1L</t>
  </si>
  <si>
    <t>CO-MZG2A@1LBTL</t>
  </si>
  <si>
    <t>7.13102704010413</t>
  </si>
  <si>
    <t>CO-MEIZAN G2 A 2L X 6 BTL</t>
  </si>
  <si>
    <t>CO-MZG2A2LX6BTL</t>
  </si>
  <si>
    <t>7.13102704170013</t>
  </si>
  <si>
    <t>CO-MEIZAN G2 A BTL @ 2L</t>
  </si>
  <si>
    <t>CO-MZG2A@2LBTL</t>
  </si>
  <si>
    <t>7.13102706010313</t>
  </si>
  <si>
    <t>CO-MEIZAN G2 A 5L X 4 BTL</t>
  </si>
  <si>
    <t>CO-MZG2A5LX4BTL</t>
  </si>
  <si>
    <t>7.13102706170013</t>
  </si>
  <si>
    <t>CO-MEIZAN G2 A BTL @ 5L</t>
  </si>
  <si>
    <t>CO-MZG2A@5LBTL</t>
  </si>
  <si>
    <t>7.131027061703710</t>
  </si>
  <si>
    <t>CO-MEIZAN G2 A OL IV65 5L X 4 BTL</t>
  </si>
  <si>
    <t>MEIZAN HÔN HOP 5L IV65</t>
  </si>
  <si>
    <t>CO-MZ2A5LX4IV65</t>
  </si>
  <si>
    <t>7.13102712011213</t>
  </si>
  <si>
    <t>CO-MEIZAN G2 A 0.4L X 20 BTL</t>
  </si>
  <si>
    <t>CO-MZG2A0.4LX20BTL</t>
  </si>
  <si>
    <t>7.13102712170013</t>
  </si>
  <si>
    <t>CO-MEIZAN G2  A BTL @ 0.4L</t>
  </si>
  <si>
    <t>CO-MZG2A@0.4LBTL</t>
  </si>
  <si>
    <t>7.13102714010204</t>
  </si>
  <si>
    <t>CO-MEIZAN G2 A 8L X 2 BTL</t>
  </si>
  <si>
    <t>DẦU ĂN HIỆU MEIZAN G2 8L</t>
  </si>
  <si>
    <t>CO-MZG2A8LX2BTL</t>
  </si>
  <si>
    <t>7.13102714170004</t>
  </si>
  <si>
    <t>CO-MEIZAN G2 A BTL @ 8L</t>
  </si>
  <si>
    <t>CO-MZG2A@8LBTL</t>
  </si>
  <si>
    <t>7.13102801012013</t>
  </si>
  <si>
    <t>CO-MEIZAN G2 AC 0.25L X 30 BTL</t>
  </si>
  <si>
    <t>CO-MZG2AC0.25LX30B</t>
  </si>
  <si>
    <t>7.13102801170013</t>
  </si>
  <si>
    <t>CO-MEIZAN G2  AC BTL @ 0.25L</t>
  </si>
  <si>
    <t>CO-MZG2AC@0.25LBTL</t>
  </si>
  <si>
    <t>7.13102901012013</t>
  </si>
  <si>
    <t>CO-MEIZAN G2 B 0.25L X 30 BTL</t>
  </si>
  <si>
    <t>CO-MZG2B0.25LX30BT</t>
  </si>
  <si>
    <t>7.13102901170013</t>
  </si>
  <si>
    <t>CO-MEIZAN G2  B BTL @ 0.25L</t>
  </si>
  <si>
    <t>CO-MZG2B@0.25LBTL</t>
  </si>
  <si>
    <t>7.13103004170001</t>
  </si>
  <si>
    <t>CO-FINE FOOD BTL @ 2L</t>
  </si>
  <si>
    <t>DẦU ĂN HIỆU FINE FOOD 2L</t>
  </si>
  <si>
    <t>CO-FF@2LBTL</t>
  </si>
  <si>
    <t>7.13103006170001</t>
  </si>
  <si>
    <t>CO-FINE FOOD BTL @ 5L</t>
  </si>
  <si>
    <t>DẦU ĂN HIỆU FINE FOOD 5L</t>
  </si>
  <si>
    <t>CO-FF@5LBTL</t>
  </si>
  <si>
    <t>7.13103014010201</t>
  </si>
  <si>
    <t>CO-FINE FOOD 8L X 2 BTL</t>
  </si>
  <si>
    <t>DẦU ĂN HIỆU FINE FOOD 8L</t>
  </si>
  <si>
    <t>CO-FF8LX2BTL</t>
  </si>
  <si>
    <t>7.13103014170001</t>
  </si>
  <si>
    <t>CO-FINE FOOD BTL @ 8L</t>
  </si>
  <si>
    <t>DẦU ĂN THỰC VẬT HIỆU FINE FOOD 8L</t>
  </si>
  <si>
    <t>CO-FF@8LBTL</t>
  </si>
  <si>
    <t>7.13103016010401</t>
  </si>
  <si>
    <t>CO-FINE FOOD 1.8L X 6 BTL</t>
  </si>
  <si>
    <t>DẦU ĂN HIỆU FINE FOOD 1,8L</t>
  </si>
  <si>
    <t>CO-FF1.8LX6BTL</t>
  </si>
  <si>
    <t>7.13103016170001</t>
  </si>
  <si>
    <t>CO-FINE FOOD BTL @ 1.8L</t>
  </si>
  <si>
    <t>DẦU ĂN THỰC VẬT HIỆU FINE FOOD 1,8L</t>
  </si>
  <si>
    <t>CO-FF@1.8LBTL</t>
  </si>
  <si>
    <t>7.13103103010510</t>
  </si>
  <si>
    <t>CO-NEPTUNE 1:1:1 S 1L X 12 BTL</t>
  </si>
  <si>
    <t>DẦU ĂN HIỆU NEPTUNE 1:1:1 1L</t>
  </si>
  <si>
    <t>CO-NEP111S-1LX12B</t>
  </si>
  <si>
    <t>7.13103103170010</t>
  </si>
  <si>
    <t>CO-NEPTUNE 1:1:1 S BTL @ 1L</t>
  </si>
  <si>
    <t>CO-NEP111S@1LBTL</t>
  </si>
  <si>
    <t>7.13103104010410</t>
  </si>
  <si>
    <t>CO-NEPTUNE 1:1:1 S 2L X 6 BTL</t>
  </si>
  <si>
    <t>CO-NEP111S-2LX6BTL</t>
  </si>
  <si>
    <t>7.13103104170010</t>
  </si>
  <si>
    <t>CO-NEPTUNE 1:1:1 S BTL @ 2L</t>
  </si>
  <si>
    <t>CO-NEP111S@2LBTL</t>
  </si>
  <si>
    <t>7.13103106010310</t>
  </si>
  <si>
    <t>CO-NEPTUNE 1:1:1 S 5L X 4 BTL</t>
  </si>
  <si>
    <t>CO-NEP111S-5LX4BTL</t>
  </si>
  <si>
    <t>7.13103106170010</t>
  </si>
  <si>
    <t>CO-NEPTUNE 1:1:1 S BTL @ 5L</t>
  </si>
  <si>
    <t>CO-NEP111S@5LBTL</t>
  </si>
  <si>
    <t>7.13103112011210</t>
  </si>
  <si>
    <t>CO-NEPTUNE 1:1:1 S 0.4L X 20 BTL</t>
  </si>
  <si>
    <t>DẦU ĂN HIỆU NEPTUNE 1:1:1 0,4L</t>
  </si>
  <si>
    <t>CO-NE111S-0.4LX20B</t>
  </si>
  <si>
    <t>7.13103112170010</t>
  </si>
  <si>
    <t>CO-NEPTUNE 1:1:1 S BTL @ 0.4L</t>
  </si>
  <si>
    <t>CO-NEP111S@0.4LBTL</t>
  </si>
  <si>
    <t>7.13103113010110</t>
  </si>
  <si>
    <t>CO-NEPTUNE 1:1:1 S 16L X 1 BTL</t>
  </si>
  <si>
    <t>CO-NEP111S-16LX1BT</t>
  </si>
  <si>
    <t>7.13103503170001</t>
  </si>
  <si>
    <t>CO-WOW BTL @ 1L</t>
  </si>
  <si>
    <t>DẦU ĂN HIỆU WOW 1L</t>
  </si>
  <si>
    <t>CO-WOW@1LBTL</t>
  </si>
  <si>
    <t>7.13103504170001</t>
  </si>
  <si>
    <t>CO-WOW BTL @ 2L</t>
  </si>
  <si>
    <t>DẦU ĂN HIỆU WOW 2L</t>
  </si>
  <si>
    <t>CO-WOW@2LBTL</t>
  </si>
  <si>
    <t>7.13103506170001</t>
  </si>
  <si>
    <t>CO-WOW BTL @ 5L</t>
  </si>
  <si>
    <t>DẦU ĂN HIỆU WOW 5L</t>
  </si>
  <si>
    <t>CO-WOW@5LBTL</t>
  </si>
  <si>
    <t>7.13103603010524</t>
  </si>
  <si>
    <t>CO-ORCHID 1L X 12 BTL</t>
  </si>
  <si>
    <t>DẦU THỰC VẬT TINH LUYỆN NHÃN HIỆU ORCHID 1L</t>
  </si>
  <si>
    <t>CO-ORC1LX12BTL</t>
  </si>
  <si>
    <t>7.131036031700240</t>
  </si>
  <si>
    <t>ORCHID CO OL1005:RSBO IN BOT@1L</t>
  </si>
  <si>
    <t>CO-ORC1@LBTL</t>
  </si>
  <si>
    <t>7.13103604010424</t>
  </si>
  <si>
    <t>CO-ORCHID 2L X 6 BTL</t>
  </si>
  <si>
    <t>DẦU THỰC VẬT TINH LUYỆN NHÃN HIỆU ORCHID 2L</t>
  </si>
  <si>
    <t>CO-ORC2LX6BTL</t>
  </si>
  <si>
    <t>7.131036041700240</t>
  </si>
  <si>
    <t>ORCHID CO OL1005:RSBO IN BOT@2L</t>
  </si>
  <si>
    <t>CO-ORC2@LBTL</t>
  </si>
  <si>
    <t>7.13103606010324</t>
  </si>
  <si>
    <t>CO-ORCHID 5L X 4 BTL</t>
  </si>
  <si>
    <t>DẦU THỰC VẬT TINH LUYỆN NHÃN HIỆU ORCHID 5L</t>
  </si>
  <si>
    <t>CO-ORC5LX4BTL</t>
  </si>
  <si>
    <t>7.131036061700240</t>
  </si>
  <si>
    <t>ORCHID CO OL1005:RSBO IN BOT@5L</t>
  </si>
  <si>
    <t>DẦU THỰC VẬT TINH LUYỆN NHÃN HIỆU ORCHID 5L</t>
  </si>
  <si>
    <t>CO-ORC5L@BTL</t>
  </si>
  <si>
    <t>7.131036111700010</t>
  </si>
  <si>
    <t>ORCHID CO OL1005:RBDSBO IN BTL@10L</t>
  </si>
  <si>
    <t>DẦU THỰC VẬT TINH LUYỆN HIỆU ORCHID 10L</t>
  </si>
  <si>
    <t>CO-ORC10LBTL</t>
  </si>
  <si>
    <t>7.131036111702010</t>
  </si>
  <si>
    <t>ORCHID CO OL1005:RBDSBO 10LX2BTL</t>
  </si>
  <si>
    <t>CO-ORC10LX2BTL</t>
  </si>
  <si>
    <t>7.131036121700740</t>
  </si>
  <si>
    <t>ORCHID OLIV60:SBO IN BOT @400ML</t>
  </si>
  <si>
    <t>DẦU ĂN HIỆU ORCHID 0.4L</t>
  </si>
  <si>
    <t>CO-ORC0.4L@BTL</t>
  </si>
  <si>
    <t>7.131036121712740</t>
  </si>
  <si>
    <t>ORCHID OLIV60:SBO 400ML X 20BTL</t>
  </si>
  <si>
    <t>DẦU ĂN HIỆU ORCHID, 0.4L X 20 CHAI</t>
  </si>
  <si>
    <t>CO-ORC0.4LX20BTL</t>
  </si>
  <si>
    <t>7.131036560801660</t>
  </si>
  <si>
    <t>ORCHID BOS[RPO:RSBO:OTHERS]IN PEBAG@15KG</t>
  </si>
  <si>
    <t>DẦU BƠ HIỆU ORCHID TRONG THÙNG 15KG NHÃN HỒNG</t>
  </si>
  <si>
    <t>ORCBOS@15KGP</t>
  </si>
  <si>
    <t>7.131036573300670</t>
  </si>
  <si>
    <t>ORCHID BOS IN PLASTIC BUCKET@18KG</t>
  </si>
  <si>
    <t>DẦU BƠ HIỆU HOA LAN TRONG THÙNG NHỰA 18KG (NHÃN NÂU)</t>
  </si>
  <si>
    <t>ORCBOS@18KGBR</t>
  </si>
  <si>
    <t>7.131056031700750</t>
  </si>
  <si>
    <t>CO-MEIZAN G3 BTL@1L</t>
  </si>
  <si>
    <t>CO-MZG3@1LBTL</t>
  </si>
  <si>
    <t>7.131056121712750</t>
  </si>
  <si>
    <t>CO-MEIZAN G3 0.4L X 20 BTL</t>
  </si>
  <si>
    <t>CO-MZG30.4LX20BTL</t>
  </si>
  <si>
    <t>7.131057011720630</t>
  </si>
  <si>
    <t>CO-MEIZAN G3 A 0.25L X 30 BTL</t>
  </si>
  <si>
    <t>MZG3A0.25LX30BT</t>
  </si>
  <si>
    <t>7.131058011700760</t>
  </si>
  <si>
    <t>CO-MEIZAN G3  S BTL @ 0.25L</t>
  </si>
  <si>
    <t>MZG3A0.25L</t>
  </si>
  <si>
    <t>7.131058011720760</t>
  </si>
  <si>
    <t>CO-MEIZAN G3 S 0.25L X 30 BTL</t>
  </si>
  <si>
    <t>CO-MZG3S0.25LX30BT</t>
  </si>
  <si>
    <t>7.131058031705760</t>
  </si>
  <si>
    <t>CO-MEIZAN G3 S 1LX12BTL</t>
  </si>
  <si>
    <t>MEI G3 S@1LX12</t>
  </si>
  <si>
    <t>7.131064031700830</t>
  </si>
  <si>
    <t>RIKA OLIV60:NBDSBO IN BOTTLE@1L</t>
  </si>
  <si>
    <t>DẦU ĂN THƯỢNG HẠNG HIỆU RIKA 1L</t>
  </si>
  <si>
    <t>RIKA1LBTL</t>
  </si>
  <si>
    <t>7.131064041700830</t>
  </si>
  <si>
    <t>RIKA OLIV60:NBDSBO IN BOTTLE@2L</t>
  </si>
  <si>
    <t>DẦU ĂN THƯỢNG HẠNG HIỆU RIKA 2L</t>
  </si>
  <si>
    <t>RIKA2LBTL</t>
  </si>
  <si>
    <t>7.131064061700830</t>
  </si>
  <si>
    <t>RIKA OLIV60:NBDSBO IN BOTTLE@5L</t>
  </si>
  <si>
    <t>DẦU ĂN THƯỢNG HẠNG HIỆU RIKA 5L</t>
  </si>
  <si>
    <t>RIKA5LBTL</t>
  </si>
  <si>
    <t>7.1990125050603050</t>
  </si>
  <si>
    <t>MEIZAN 5LX4BTL OP NEPTUNE1:1:1 0.4L</t>
  </si>
  <si>
    <t>DẦU ĂN HỖN HỢP HIỆU MEIZAN 5L</t>
  </si>
  <si>
    <t>MEI5LX4@NEP0.4L</t>
  </si>
  <si>
    <t>7.1990128000603050</t>
  </si>
  <si>
    <t>MEIZAN SBO 5LX4BTL OP NEPTUNE1:1:1 0.4L</t>
  </si>
  <si>
    <t>DẦU ĐẬU NÀNH HIỆU MEIZAN 5L</t>
  </si>
  <si>
    <t>MZSBO5LOP0.4L</t>
  </si>
  <si>
    <t>7.1990128000603090</t>
  </si>
  <si>
    <t>MEIZAN SBO 5L X 4 BTL OP MEIZAN CKO 0.4L</t>
  </si>
  <si>
    <t>MEI G3 SBO@5LX12 W PRO</t>
  </si>
  <si>
    <t>7.1990935000105010</t>
  </si>
  <si>
    <t>CO-KIDDY0.25LX12BTL OP SPOON</t>
  </si>
  <si>
    <t>DẦU ĂN DINH DƯỠNG CHO TRẺ EM HIỆU KIDDY, 0,25L X 12 CHAI KÈM KM THÌA</t>
  </si>
  <si>
    <t>KID0.25X12SPOON</t>
  </si>
  <si>
    <t>7.1990945010603050</t>
  </si>
  <si>
    <t>CO-NEPTUNE 1:1:1 5LX4BTL OP NEPTUNE1:1:1 0.4L</t>
  </si>
  <si>
    <t>DẦU ĂN NEPTUNE 1:1:1 5L</t>
  </si>
  <si>
    <t>NEP1115LOP0.4L</t>
  </si>
  <si>
    <t>7.1990945040603080</t>
  </si>
  <si>
    <t>NEPTUNE 1:1:1 CO 5LX4BTL OP NEPTUNE0.25L</t>
  </si>
  <si>
    <t>NEP1115LOP0.25L</t>
  </si>
  <si>
    <t>7.1991108000603050</t>
  </si>
  <si>
    <t>SIMPLY SBO 5LX4BTL OP NEPTUNE1:1:1 0.4L</t>
  </si>
  <si>
    <t>DẦU ĂN SIMPLY ĐẬU NÀNH 5L</t>
  </si>
  <si>
    <t>SIM5LX4@NEP0.4L</t>
  </si>
  <si>
    <t>7.1991108000603080</t>
  </si>
  <si>
    <t>CO-SIMPLYSBO5LX4BTL OP NEPTUNE1:1:1 0.25L</t>
  </si>
  <si>
    <t>SIM5LX4@NEP0.25L</t>
  </si>
  <si>
    <t>7.45100030140003</t>
  </si>
  <si>
    <t>CRUDE SOYABEAN OIL @190KG DRUM</t>
  </si>
  <si>
    <t>DÂU NÀNH THÔ TRONG THÙNG PHUY MOI 190KG</t>
  </si>
  <si>
    <t>CSBO@190KGDRM</t>
  </si>
  <si>
    <t>7.451000304900010</t>
  </si>
  <si>
    <t>NSBO IN NEW DRUMS(16.5) @190KG</t>
  </si>
  <si>
    <t>DẦU ĐẬU NÀNH TRUNG HÒA HIỆU SATELLITE</t>
  </si>
  <si>
    <t>NSBO@190NEWDRM</t>
  </si>
  <si>
    <t>7.45100079090103</t>
  </si>
  <si>
    <t>CRUDE SOYABEAN OIL BIB @18KG</t>
  </si>
  <si>
    <t>DẦU ĐẬU NÀNH THÔ ĐÓNG TRONG TÚI BIB 18KG</t>
  </si>
  <si>
    <t>CSBO@18KGBIB</t>
  </si>
  <si>
    <t>7.45100079120003</t>
  </si>
  <si>
    <t>CRUDE SOYABEAN OIL @18KG JRG</t>
  </si>
  <si>
    <t>DẦU ĐẬU NÀNH THÔ ĐÓNG TRONG CAN 18KG</t>
  </si>
  <si>
    <t>CSBO@18KGJRG</t>
  </si>
  <si>
    <t>7.451000832700030</t>
  </si>
  <si>
    <t>CSBO IN SECOND HAND DRUM @185KG</t>
  </si>
  <si>
    <t>DẦU ĐẬU NÀNH THÔ ĐÓNG TRONG THÙNG PHUY CŨ</t>
  </si>
  <si>
    <t>CSBO@185KGSDDRM</t>
  </si>
  <si>
    <t>7.45100083350003</t>
  </si>
  <si>
    <t>CRUDE SOYABEAN OIL @185KG USED DRUM</t>
  </si>
  <si>
    <t>DÂU NÀNH THÔ TRONG THÙNG PHUY DA SU DUNG</t>
  </si>
  <si>
    <t>CSBO@185KGUSEDRM</t>
  </si>
  <si>
    <t>7.45100084220001</t>
  </si>
  <si>
    <t>NBDSBO IN FLEXIBLE BAG@20MT</t>
  </si>
  <si>
    <t>DẦU ĐẬU NÀNH TINH LUYỆN ĐÓNG TRONG TÚI FLEXITANK</t>
  </si>
  <si>
    <t>FLEX NBDSBO</t>
  </si>
  <si>
    <t>7.45100084220002</t>
  </si>
  <si>
    <t>SOYA BEAN ACID OIL IN FLEXIBLE BAG@20MT</t>
  </si>
  <si>
    <t>DẦU A-XÍT THỰC VẬT HỖN HỢP ĐÓNG TRONG TÚI FLEXITANK</t>
  </si>
  <si>
    <t>7.45105001010700</t>
  </si>
  <si>
    <t>CO-SIMPLY SBO 0.25L X 48 BTL</t>
  </si>
  <si>
    <t>DẦU ĂN HIỆU SIMPLY 0.25L</t>
  </si>
  <si>
    <t>CO-SPSBO0.25LX48BT</t>
  </si>
  <si>
    <t>7.45105001170000</t>
  </si>
  <si>
    <t>CO-SIMPLY SBO  BTL @ 0.25L</t>
  </si>
  <si>
    <t>CO-SPSBO@0.25LBTL</t>
  </si>
  <si>
    <t>CO-SPSBO1LX12BTL</t>
  </si>
  <si>
    <t>CO-SIMPLY SBO  BTL @ 1L</t>
  </si>
  <si>
    <t>CO-SPSBO@1LBTL</t>
  </si>
  <si>
    <t>7.451050031758000</t>
  </si>
  <si>
    <t>CO-SIMPLY SBO 1L 4BLOCK X 3 BTL</t>
  </si>
  <si>
    <t>DẦU ĐẬU NÀNH HIỆU SIMPLY 1L, 4 BLOCK X 3 CHAI</t>
  </si>
  <si>
    <t>CO-SPSBO@4BLOCK X 3LBTL</t>
  </si>
  <si>
    <t>CO-SPSBO2LX6BTL</t>
  </si>
  <si>
    <t>CO-SIMPLY SBO BTL @ 2L</t>
  </si>
  <si>
    <t>CO-SPSBO@2LBTL</t>
  </si>
  <si>
    <t>CO-SPSBO5LX4BTL</t>
  </si>
  <si>
    <t>CO-SPSBO@5LBTL</t>
  </si>
  <si>
    <t>7.451050091200040</t>
  </si>
  <si>
    <t>SIMPLY NBDSBO IN JERRYCAN@20L</t>
  </si>
  <si>
    <t>DẦU ĐẬU NÀNH HIỆU SIMPLY, CAN NHỰA 20L</t>
  </si>
  <si>
    <t>CO-SPSBO@20LJRG</t>
  </si>
  <si>
    <t>7.45105044011200</t>
  </si>
  <si>
    <t>CO-SIMPLY SBO 0.4L X 20 BTL</t>
  </si>
  <si>
    <t>CO-SPSBO0.4LX20BTL</t>
  </si>
  <si>
    <t>7.45105044012000</t>
  </si>
  <si>
    <t>CO-SIMPLY SBO 0.4L X 30 BTL</t>
  </si>
  <si>
    <t>CO-SPSBO0.4LX30BTL</t>
  </si>
  <si>
    <t>CO-SPSBO@0.4LBTL</t>
  </si>
  <si>
    <t>CO-MZSBO1LX12BTL</t>
  </si>
  <si>
    <t>7.45105103170000</t>
  </si>
  <si>
    <t>CO-MEIZAN SBO  BTL @ 1L</t>
  </si>
  <si>
    <t>CO-MZSBO@1LBTL</t>
  </si>
  <si>
    <t>CO-MZSBO2LX6BTL</t>
  </si>
  <si>
    <t>7.45105105170000</t>
  </si>
  <si>
    <t>CO-MEIZAN SBO  BTL @ 2L</t>
  </si>
  <si>
    <t>CO-MZSBO@2LBTL</t>
  </si>
  <si>
    <t>CO-MZSBO5LX4BTL</t>
  </si>
  <si>
    <t>7.45105108170000</t>
  </si>
  <si>
    <t>CO-MEIZAN SBO  BTL @ 5L</t>
  </si>
  <si>
    <t>CO-MZSBO@5LBTL</t>
  </si>
  <si>
    <t>7.45105144011200</t>
  </si>
  <si>
    <t>CO-MEIZAN SBO 0.4L X 20 BTL</t>
  </si>
  <si>
    <t>DẦU ĐẬU NÀNH HIỆU MEIZAN 0,4L X 20</t>
  </si>
  <si>
    <t>CO-MZSBO0.4LX20BTL</t>
  </si>
  <si>
    <t>7.45105144170000</t>
  </si>
  <si>
    <t>CO-MEIZAN SBO BTL @ 0.4L</t>
  </si>
  <si>
    <t>DẦU ĐẬU NÀNH HIỆU MEIZAN 0,4L</t>
  </si>
  <si>
    <t>CO-MZSBO@0.4LBTL</t>
  </si>
  <si>
    <t>7.45105152010100</t>
  </si>
  <si>
    <t>CO-MEIZAN SBO  16L X 1 BTL</t>
  </si>
  <si>
    <t>DẦU ĐẬU NÀNH HIỆU MEIZAN 16L</t>
  </si>
  <si>
    <t>CO-MZSBO16LX1BTL</t>
  </si>
  <si>
    <t>CO-SATSBO@25JRG</t>
  </si>
  <si>
    <t>7.451052261200010</t>
  </si>
  <si>
    <t>SATELLITE NSBO IN JERRYCAN@25KG</t>
  </si>
  <si>
    <t>DẦU ĐẬU NÀNH TRUNG HOÀ NHÃN NHIỆU SATELLITE TRONG CAN 25KG</t>
  </si>
  <si>
    <t>SAT@25KGJRG</t>
  </si>
  <si>
    <t>7.45105230140000</t>
  </si>
  <si>
    <t>SATELLITE RBD SBO IN NEW DRUM@190 KG</t>
  </si>
  <si>
    <t>DẦU ĐẬU NÀNH TINH LUYỆN HIỆU "SATELLITE", THÙNG PHUY 190KG</t>
  </si>
  <si>
    <t>STRBDSBO@190KGDRM</t>
  </si>
  <si>
    <t>7.45105230270000</t>
  </si>
  <si>
    <t>SATELLITE RBD SBO IN SECOND DRUM @190KG</t>
  </si>
  <si>
    <t>DẦU ĐẬU NÀNH TINH LUYỆN HIỆU "SATELLITE", THÙNG PHUY CŨ 190KG</t>
  </si>
  <si>
    <t>STRBDSBO@190KGUSDR</t>
  </si>
  <si>
    <t>CO-STRSBO@18KGBIB</t>
  </si>
  <si>
    <t>7.45105279090101</t>
  </si>
  <si>
    <t>SATELLITE-NSBO BIB @18KG</t>
  </si>
  <si>
    <t>DẦU ĐẬU NÀNH TRUNG HÒA HIỆU SATTLITE TRONG TÚI BIB 18KG</t>
  </si>
  <si>
    <t>STNSBO@18KGBIB</t>
  </si>
  <si>
    <t>7.451109031700040</t>
  </si>
  <si>
    <t>RIKA NBDSBO IN BOTTLE@1L</t>
  </si>
  <si>
    <t>DẦU ĐẬU NÀNH RIKA 1L</t>
  </si>
  <si>
    <t>RIKASBO1LBTL</t>
  </si>
  <si>
    <t>7.451109051700040</t>
  </si>
  <si>
    <t>RIKA NBDSBO IN BOTTLE@2L</t>
  </si>
  <si>
    <t>DẦU ĐẬU NÀNH RIKA 2L</t>
  </si>
  <si>
    <t>RIKASBO2LBTL</t>
  </si>
  <si>
    <t>7.451109081700040</t>
  </si>
  <si>
    <t>RIKA NBDSBO IN BOTTLE@5L</t>
  </si>
  <si>
    <t>DẦU ĐẬU NÀNH RIKA 5L</t>
  </si>
  <si>
    <t>RIKASBO5LBTL</t>
  </si>
  <si>
    <t>7.45200030140000</t>
  </si>
  <si>
    <t>RBD RAPESEED OIL IN DRUM @190 KG</t>
  </si>
  <si>
    <t>DẦU CẢI TINH LUYỆN, THÙNG PHUY 190KG</t>
  </si>
  <si>
    <t>RBDRPSDOIL@190KGDR</t>
  </si>
  <si>
    <t>MEIZ-SSO@0.25LX12</t>
  </si>
  <si>
    <t>7.45505101170001</t>
  </si>
  <si>
    <t>CO-MEIZAN SESAME IN BOT-PET/PVC@ 0.25L</t>
  </si>
  <si>
    <t>MEIZ-SSO@0.25L</t>
  </si>
  <si>
    <t>CO-SPCNL1LX12BTL</t>
  </si>
  <si>
    <t>CO-SPCNL@1LBTL</t>
  </si>
  <si>
    <t>CO-STCNL@18KGJRG</t>
  </si>
  <si>
    <t>7.45705279120000</t>
  </si>
  <si>
    <t>SATELLITE-CANOLA JRG @18 KG</t>
  </si>
  <si>
    <t>DẦU HẠT CẢI TINH LUYỆN HIỆU SATELLITE TRONG CAN 18KG</t>
  </si>
  <si>
    <t>CO-SPSFO1LX12BTL</t>
  </si>
  <si>
    <t>CO-SPSFO@1LBTL</t>
  </si>
  <si>
    <t>7.45805279090100</t>
  </si>
  <si>
    <t>SATELLITE RBD SUNFLOWER OIL IN BIB18 KG</t>
  </si>
  <si>
    <t>DẦU HƯỚNG DƯƠNG TINH LUYỆN HIỆU SATELLITE TRONG TÚI BÓNG 18KG</t>
  </si>
  <si>
    <t>CO-STRBDSF@18KGBIB</t>
  </si>
  <si>
    <t>7.46000079090101</t>
  </si>
  <si>
    <t>CRUDE RICE BRAN OIL IN BIB @18KG</t>
  </si>
  <si>
    <t>DẦU CÁM GẠO THÔ ĐÓNG TRONG TÚI BIB 18KG</t>
  </si>
  <si>
    <t>CRBO@18KGBIB</t>
  </si>
  <si>
    <t>7.46000084220001</t>
  </si>
  <si>
    <t>CRBO IN FLEXIBLE BAG@20MT</t>
  </si>
  <si>
    <t>DẦU CÁM GẠO THÔ ĐÓNG TRONG TÚI FLEXITANK</t>
  </si>
  <si>
    <t>FLEX CRBO</t>
  </si>
  <si>
    <t>7.46000084220002</t>
  </si>
  <si>
    <t>SEMI RBO IN FLEXIBLE BAG@20MT</t>
  </si>
  <si>
    <t>DẦU CÁM GẠO SƠ CHẾ ĐÓNG TRONG TÚI FLEXITANK</t>
  </si>
  <si>
    <t>FLEX DGDWNBRBO</t>
  </si>
  <si>
    <t>7.46000084220003</t>
  </si>
  <si>
    <t>RBD RICE BRAN OIL IN FLEXIBLE BAG@20MT</t>
  </si>
  <si>
    <t>DẦU CÁM GẠO TINH LUYỆN TRONG FLEXITANK (HP)</t>
  </si>
  <si>
    <t>FLEX RBDRBO</t>
  </si>
  <si>
    <t>7.46000084220004</t>
  </si>
  <si>
    <t>NEUTRALIZED RICE BRAN OIL FLEXIBAG@20MT</t>
  </si>
  <si>
    <t>DẦU CÁM GẠO TRUNG HÒA ĐÓNG TRONG TÚI FLEXIBLE</t>
  </si>
  <si>
    <t>FLEX NRBO</t>
  </si>
  <si>
    <t>7.46000084220005</t>
  </si>
  <si>
    <t>DGDWDA NEU RICE BRAN OIL IN FLEXIBAG20MT</t>
  </si>
  <si>
    <t>DẦU CÁM GẠO KHỬ GUM, TÁCH SÁP, TRUNG HÒA TRONG TÚI FLEXIBLE</t>
  </si>
  <si>
    <t>FLEX DGDWDANRBO</t>
  </si>
  <si>
    <t>7.460050031704030</t>
  </si>
  <si>
    <t>CO-SIMPLY RBDRBO 1L X 6BTL</t>
  </si>
  <si>
    <t>DẦU GẠO CAO CẤP SIMPLY 1L</t>
  </si>
  <si>
    <t>CO-SPRBO1LX6BTL</t>
  </si>
  <si>
    <t>7.460106011705030</t>
  </si>
  <si>
    <t>NEPTUNE PREMIUM RICE BRAN OIL0.25LX12BTL</t>
  </si>
  <si>
    <t>DẦU GẠO CAO CẤP NEPTUNE 0,25L</t>
  </si>
  <si>
    <t>NEPRB0.25LX12</t>
  </si>
  <si>
    <t>7.460106171700030</t>
  </si>
  <si>
    <t>CO-NEPTUNE PREMIUM RBD RBO BTL@0.75L</t>
  </si>
  <si>
    <t>DẦU GẠO CAO CẤP NEPTUNE 0,75L</t>
  </si>
  <si>
    <t>CO-NEPRBO@0.75LB</t>
  </si>
  <si>
    <t>7.460106171704030</t>
  </si>
  <si>
    <t>CO-NEPTUNE PREMIUM RBD RBO 0.75LX6BTL</t>
  </si>
  <si>
    <t>DẦU CÁM GẠO THƯỢNG HẠNG HIỆU NEPTUNE, 750 ML X 6 CHAI</t>
  </si>
  <si>
    <t>NEPRB0.75LX6B</t>
  </si>
  <si>
    <t>7.460106171713030</t>
  </si>
  <si>
    <t>NEPTUNE PREMIUM RICE BRAN OIL 0.75LX9BTL</t>
  </si>
  <si>
    <t>NEPRB0.75LX9B</t>
  </si>
  <si>
    <t>7.460106175701030</t>
  </si>
  <si>
    <t>NEPTUNE PREM RBDRBO IN LACQUER BOX@0.75L</t>
  </si>
  <si>
    <t>DẦU GẠO CAO CẤP NEPTUNE 0,75L TRONG HÔP SƠN MÀI</t>
  </si>
  <si>
    <t>NEPLACRB0.75</t>
  </si>
  <si>
    <t>OLIVE0.25LX12BTL</t>
  </si>
  <si>
    <t>7.47505601170000</t>
  </si>
  <si>
    <t>CO-OLIVOILÀ OLIVE OIL @ 0.25L</t>
  </si>
  <si>
    <t>OLIVE@0.25L</t>
  </si>
  <si>
    <t>7.475056011700020</t>
  </si>
  <si>
    <t>CO-OLIVOILA POMACE OLIVEOIL IN BOT@250ML</t>
  </si>
  <si>
    <t>DẦU Ô-LIU POMACE NHÃN HIỆU OLIVOILÀ 0.25L</t>
  </si>
  <si>
    <t>CO-P.OLIVE @0.25L</t>
  </si>
  <si>
    <t>7.475056011705020</t>
  </si>
  <si>
    <t>CO-OLIVOILA POMACE OLIVE OIL 250MLX12BTL</t>
  </si>
  <si>
    <t>CO-OLI0.25LX12BTL</t>
  </si>
  <si>
    <t>7.475056031700020</t>
  </si>
  <si>
    <t>CO-OLIVOILA POMACE OLIVE OIL IN BOT @1L</t>
  </si>
  <si>
    <t>DẦU Ô-LIU POMACE NHÃN HIỆU OLIVOILÀ 1L</t>
  </si>
  <si>
    <t>CO-P.OLIVE @1L</t>
  </si>
  <si>
    <t>7.475056031705020</t>
  </si>
  <si>
    <t>CO-OLIVOILA POMACE OLIVE OIL 1LX12BTL</t>
  </si>
  <si>
    <t>CO-OLI1LX12BTL</t>
  </si>
  <si>
    <t>OLIVE0.75LX6BTL</t>
  </si>
  <si>
    <t>7.47505617170000</t>
  </si>
  <si>
    <t>CO-OLIVOILÀ OLIVE OIL  IN BOTTLE@0.75L</t>
  </si>
  <si>
    <t>OLIVE@0.75L</t>
  </si>
  <si>
    <t>97.131021011700610</t>
  </si>
  <si>
    <t>CO-NEPTUNE 1:1:1 BTL @ 0.25L TOLL</t>
  </si>
  <si>
    <t>PRO-NE111S-0.25L</t>
  </si>
  <si>
    <t>97.131021011720610</t>
  </si>
  <si>
    <t>PRO-NE111S-0.25LX30</t>
  </si>
  <si>
    <t>97.13102103010510</t>
  </si>
  <si>
    <t>DẦU ĂN NEPTUNE 1:1:1, 1L X 12 CHAI</t>
  </si>
  <si>
    <t>PRO-NE111S-1LX12</t>
  </si>
  <si>
    <t>97.13102301010512</t>
  </si>
  <si>
    <t>DẦU ĂN DINH DƯỠNG CHO TRẺ EM HIỆU KIDDY 250ML</t>
  </si>
  <si>
    <t>PRO-KIDDY-0.25LX12</t>
  </si>
  <si>
    <t>97.131058031705760</t>
  </si>
  <si>
    <t>CO-MEIZAN G3 S 1LX12BTL TOLL</t>
  </si>
  <si>
    <t>DẦU ĂN HIỆU MEIZAN 1L</t>
  </si>
  <si>
    <t>PRO-MEI-1LX12</t>
  </si>
  <si>
    <t>97.45105003010500</t>
  </si>
  <si>
    <t>DẦU ĂN HIỆU SIMPLY 1L</t>
  </si>
  <si>
    <t>PRO-SIM-1L</t>
  </si>
  <si>
    <t>97.45505101010501</t>
  </si>
  <si>
    <t>DẦU MÈ HIỆU MEIZAN 0,25L</t>
  </si>
  <si>
    <t>PRO-MEI-0,25LX12</t>
  </si>
  <si>
    <t>97.45805003010500</t>
  </si>
  <si>
    <t>DẦU HƯỚNG DƯƠNG HIỆU SIMPLY 1L</t>
  </si>
  <si>
    <t>PRO-SIM SFO-1LX12</t>
  </si>
  <si>
    <t>97.47505617010400</t>
  </si>
  <si>
    <t>DẦU OLIU NGUYÊN CHẤT HIỆU OLIVOILÀ 75</t>
  </si>
  <si>
    <t>PRO-OLIVOILA OLIVE-0.75LX6</t>
  </si>
  <si>
    <t>6.523991505</t>
  </si>
  <si>
    <t>RED KEY_25</t>
  </si>
  <si>
    <t>BỘT MÌ NHÃN HIỆU "CHÌA KHÓA ĐỎ" (25KG)</t>
  </si>
  <si>
    <t>HO1AC010200</t>
  </si>
  <si>
    <t>6.5239917990515</t>
  </si>
  <si>
    <t>SATELLITE PDS_25</t>
  </si>
  <si>
    <t>BỘT MÌ NHÃN HIỆU "VỆ TINH" (25KG)</t>
  </si>
  <si>
    <t>6.5239926990501</t>
  </si>
  <si>
    <t>BLUE KEY PAU_25</t>
  </si>
  <si>
    <t>BỘT MÌ NHÃN HIỆU "CHÌA KHÓA XANH BÁNH BAO" (25KG)</t>
  </si>
  <si>
    <t>6.523991605</t>
  </si>
  <si>
    <t>RED PEN_25</t>
  </si>
  <si>
    <t>BỘT MÌ NHÃN HIỆU "CÂY VIẾT ĐỎ" (25KG)</t>
  </si>
  <si>
    <t>6.5239907990501</t>
  </si>
  <si>
    <t>GREEN KEY_25</t>
  </si>
  <si>
    <t>BỘT MÌ NHÃN HIỆU "CHÌA KHÓA XANH LÁ" (25KG)</t>
  </si>
  <si>
    <t>6.5239904990501</t>
  </si>
  <si>
    <t>BROWN COMPASS_25</t>
  </si>
  <si>
    <t>BỘT MÌ NHÃN HIỆU "LA BÀN NÂU" (25KG)</t>
  </si>
  <si>
    <t>6.523991304</t>
  </si>
  <si>
    <t>PIZZA HUT_10</t>
  </si>
  <si>
    <t>BỘT MÌ NHÃN HIỆU "PIZZA FLOUR" (10KG)</t>
  </si>
  <si>
    <t>6.523990801</t>
  </si>
  <si>
    <t>MEIZAN_0.5</t>
  </si>
  <si>
    <t>BỘT MÌ NHÃN HIỆU "MEIZAN" (0.5KG*20 GÓI/THÙNG)</t>
  </si>
  <si>
    <t>6.523990802</t>
  </si>
  <si>
    <t>MEIZAN_1</t>
  </si>
  <si>
    <t>BỘT MÌ NHÃN HIỆU "MEIZAN" (1KG*10 GÓI/THÙNG)</t>
  </si>
  <si>
    <t>6.523990501</t>
  </si>
  <si>
    <t>COMPASS - PP_0.5</t>
  </si>
  <si>
    <t>BỘT MÌ NHÃN HIỆU "LA BÀN" (0.5KG*60 GÓI/BAO)</t>
  </si>
  <si>
    <t>6.523990502</t>
  </si>
  <si>
    <t>COMPASS - PP_1</t>
  </si>
  <si>
    <t>BỘT MÌ NHÃN HIỆU "LA BÀN" (1KG*30 GÓI/BAO)</t>
  </si>
  <si>
    <t>6.523991007</t>
  </si>
  <si>
    <t>WHITE POLLARD 14%_50</t>
  </si>
  <si>
    <t>CÁM MÌ (50KG)</t>
  </si>
  <si>
    <t>6.52399040619</t>
  </si>
  <si>
    <t>BROWN COMPASS M_40</t>
  </si>
  <si>
    <t>BỘT MÌ NHÃN HIỆU "LA BÀN NÂU" (40KG)</t>
  </si>
  <si>
    <t>6.523991905</t>
  </si>
  <si>
    <t>RED KEY -SP_25</t>
  </si>
  <si>
    <t>BỘT MÌ NHÃN HIỆU "CHÌA KHÓA ĐỎ SP" (25KG)</t>
  </si>
  <si>
    <t>6.52399160510</t>
  </si>
  <si>
    <t>RED PEN POUL TRY_25</t>
  </si>
  <si>
    <t>6.5239907990513</t>
  </si>
  <si>
    <t>GREEN KEY - COOKIES_25</t>
  </si>
  <si>
    <t>6.5239907990514</t>
  </si>
  <si>
    <t>GREEN KEY-25-BISCAFUN</t>
  </si>
  <si>
    <t>6.5239914990501</t>
  </si>
  <si>
    <t>RED COMPASS_25</t>
  </si>
  <si>
    <t>BỘT MÌ NHÃN HIỆU "LA BÀN ĐỎ" (25KG)</t>
  </si>
  <si>
    <t>6.523991506</t>
  </si>
  <si>
    <t>RED KEY_40</t>
  </si>
  <si>
    <t>BỘT MÌ NHÃN HIỆU "CHÌA KHÓA ĐỎ" (40KG)</t>
  </si>
  <si>
    <t>6.5239907990515</t>
  </si>
  <si>
    <t xml:space="preserve">GREEN KEY PDS_25 </t>
  </si>
  <si>
    <t>6.523991105</t>
  </si>
  <si>
    <t>ORANGE KEY_25</t>
  </si>
  <si>
    <t>BỘT MÌ NHÃN HIỆU "CHÌA KHÓA CAM" (25KG)</t>
  </si>
  <si>
    <t>6.5239907990516</t>
  </si>
  <si>
    <t>GREEN KEY HC_25</t>
  </si>
  <si>
    <t>6.5239922990509</t>
  </si>
  <si>
    <t>BLUE COMPASS-25-MICOEM</t>
  </si>
  <si>
    <t>BỘT MÌ NHÃN HIỆU "LA BÀN XANH" (25KG)</t>
  </si>
  <si>
    <t>6.523990803</t>
  </si>
  <si>
    <t>MEIZAN-5</t>
  </si>
  <si>
    <t>BỘT MÌ NHÃN HIỆU "MEIZAN" (5KG*6 GÓI/BAO)</t>
  </si>
  <si>
    <t>6.52399160511</t>
  </si>
  <si>
    <t>RED PEN-25-XN22</t>
  </si>
  <si>
    <t>6.5239907990517</t>
  </si>
  <si>
    <t>GREEN KEY-25-HAI HA</t>
  </si>
  <si>
    <t>6.5239907990518</t>
  </si>
  <si>
    <t>GREEN KEY-25-KINH DO</t>
  </si>
  <si>
    <t>6.5239922990501</t>
  </si>
  <si>
    <t>BLUE COMPASS_25</t>
  </si>
  <si>
    <t>6.5239922990520</t>
  </si>
  <si>
    <t>BLUE COMPASS-25-KHAI MINH</t>
  </si>
  <si>
    <t>6.5239904990509</t>
  </si>
  <si>
    <t>BROWN COMPASS-25-MICOEM</t>
  </si>
  <si>
    <t>6.52399150512</t>
  </si>
  <si>
    <t>RED KEY LAO-25</t>
  </si>
  <si>
    <t>6.523991005</t>
  </si>
  <si>
    <t>WHEAT GERM-25</t>
  </si>
  <si>
    <t>MẦM LÚA MÌ (25KG)</t>
  </si>
  <si>
    <t>6.5239904990601</t>
  </si>
  <si>
    <t>BROWN COMPASS_40</t>
  </si>
  <si>
    <t>6.52399020503</t>
  </si>
  <si>
    <t>BLUE KEY NOODLE_25</t>
  </si>
  <si>
    <t>BỘT MÌ NHÃN HIỆU "CHÌA KHÓA XANH MÌ SỢI" (25KG)</t>
  </si>
  <si>
    <t>6.523990605</t>
  </si>
  <si>
    <t>GREEN COMPASS_25</t>
  </si>
  <si>
    <t>BỘT MÌ NHÃN HIỆU "LA BÀN XANH LÁ" (25KG)</t>
  </si>
  <si>
    <t>6.5239921990501</t>
  </si>
  <si>
    <t>SATELLITE - SP_25</t>
  </si>
  <si>
    <t>BỘT MÌ NHÃN HIỆU "VỆ TINH SP" (25KG)</t>
  </si>
  <si>
    <t>6.523990305</t>
  </si>
  <si>
    <t>BLUE PEN_25</t>
  </si>
  <si>
    <t>BỘT MÌ NHÃN HIỆU "CÂY VIẾT XANH" (25KG)</t>
  </si>
  <si>
    <t>6.523991205</t>
  </si>
  <si>
    <t>PINK KEY_25</t>
  </si>
  <si>
    <t>BỘT MÌ NHÃN HIỆU "CHÌA KHÓA HỒNG" (25KG)</t>
  </si>
  <si>
    <t>6.523990105</t>
  </si>
  <si>
    <t>ACE 1-25</t>
  </si>
  <si>
    <t>BỘT MÌ NHÃN HIỆU "ACE-1" (25KG)</t>
  </si>
  <si>
    <t>6.523991805</t>
  </si>
  <si>
    <t>ACE 2-25</t>
  </si>
  <si>
    <t>BỘT MÌ NHÃN HIỆU "ACE-2" (25KG)</t>
  </si>
  <si>
    <t>6.523990905</t>
  </si>
  <si>
    <t>MS 1-25</t>
  </si>
  <si>
    <t>BỘT MÌ NHÃN HIỆU "MS 1" (25KG)</t>
  </si>
  <si>
    <t>6.523992005</t>
  </si>
  <si>
    <t>MS 2-25</t>
  </si>
  <si>
    <t>BỘT MÌ NHÃN HIỆU "MS 2" (25KG)</t>
  </si>
  <si>
    <t>7.702050021300500</t>
  </si>
  <si>
    <t>WILFARIN DC0818 IN PEDRUM @180KG</t>
  </si>
  <si>
    <t>WILFARIN DISTILLED COCONUT FATTY ACID0818 IN PEDRUM @180KG</t>
  </si>
  <si>
    <t>WILFARIN™ DC-0818</t>
  </si>
  <si>
    <t>HO1TD031000</t>
  </si>
  <si>
    <t>7.702050021500500</t>
  </si>
  <si>
    <t>WILFARIN DC0818 IN STEELDRUM @180KG</t>
  </si>
  <si>
    <t>WILFARIN DISTILLED COCONUT FATTY ACID0818 IN STEELDRUM @180KG</t>
  </si>
  <si>
    <t>7.702100021300500</t>
  </si>
  <si>
    <t>WILFARIN DC0818H IN PEDRUM @180KG</t>
  </si>
  <si>
    <t>WILFARIN DISTILLED COCONUT FATTY ACID0818H IN PEDRUM @180KG</t>
  </si>
  <si>
    <t>WILFARIN™ DC-0818H</t>
  </si>
  <si>
    <t>7.702100021500500</t>
  </si>
  <si>
    <t>WILFARIN DC0818H IN STEELDRUM @180KG</t>
  </si>
  <si>
    <t>WILFARIN DISTILLED COCONUT FATTY ACID0818H IN STEELDRUM @180KG</t>
  </si>
  <si>
    <t>7.702071021300500</t>
  </si>
  <si>
    <t>WILFARIN DC1218 IN PEDRUM @180KG</t>
  </si>
  <si>
    <t>WILFARIN DISTILLED COCONUT FATTY ACID1218 IN PEDRUM @180KG</t>
  </si>
  <si>
    <t>WILFARIN™ DC-1218</t>
  </si>
  <si>
    <t>7.702071021500500</t>
  </si>
  <si>
    <t>WILFARIN DC1218 IN STEELDRUM @180KG</t>
  </si>
  <si>
    <t>WILFARIN DISTILLED COCONUT FATTY ACID1218 IN STEELDRUM @180KG</t>
  </si>
  <si>
    <t>7.702103021300500</t>
  </si>
  <si>
    <t>WILFARIN DC1218H IN PEDRUM @180KG</t>
  </si>
  <si>
    <t>WILFARIN DISTILLED COCONUT FATTY ACID1218H IN PEDRUM @180KG</t>
  </si>
  <si>
    <t>WILFARIN™ DC-1218H</t>
  </si>
  <si>
    <t>7.702103021500500</t>
  </si>
  <si>
    <t>WILFARIN DC1218H IN STEELDRUM @180KG</t>
  </si>
  <si>
    <t>WILFARIN DISTILLED COCONUT FATTY ACID1218H IN STEELDRUM @180KG</t>
  </si>
  <si>
    <t>7.702061021300500</t>
  </si>
  <si>
    <t>WILFARIN DK0818 IN PEDRUM @180KG</t>
  </si>
  <si>
    <t>WILFARIN DISTILLED PALM KERNEL FATTY ACID0818 IN PEDRUM @180KG</t>
  </si>
  <si>
    <t>WILFARIN™ DK-0818</t>
  </si>
  <si>
    <t>7.702061021500500</t>
  </si>
  <si>
    <t>WILFARIN DK0818 IN STEELDRUM @180KG</t>
  </si>
  <si>
    <t>WILFARIN DISTILLED PALM KERNEL FATTY ACID0818 IN STEELDRUM @180KG</t>
  </si>
  <si>
    <t>7.702105021300500</t>
  </si>
  <si>
    <t>WILFARIN DK0818H IN PEDRUM @180KG</t>
  </si>
  <si>
    <t>WILFARIN DISTILLED PALM KERNEL FATTY ACID0818H IN PEDRUM @180KG</t>
  </si>
  <si>
    <t>WILFARIN™ DK-0818H</t>
  </si>
  <si>
    <t>7.702105021500500</t>
  </si>
  <si>
    <t>WILFARIN DK0818H IN STEELDRUM @180KG</t>
  </si>
  <si>
    <t>WILFARIN DISTILLED PALM KERNEL FATTY ACID0818H IN STEELDRUM @180KG</t>
  </si>
  <si>
    <t>7.702062010300500</t>
  </si>
  <si>
    <t>WILFARIN DK1218 LAMINATED PAPERBAG@25KG</t>
  </si>
  <si>
    <t>WILFARIN DISTILLED PALM KERNEL FATTY ACID1218 LAMINATED PAPERBAG@25KG</t>
  </si>
  <si>
    <t>WILFARIN™ DK-1218</t>
  </si>
  <si>
    <t>7.702062021300500</t>
  </si>
  <si>
    <t>WILFARIN DK1218 IN PEDRUM @180KG</t>
  </si>
  <si>
    <t>WILFARIN DISTILLED PALM KERNEL FATTY ACID1218 IN PEDRUM @180KG</t>
  </si>
  <si>
    <t>7.702062021500500</t>
  </si>
  <si>
    <t>WILFARIN DK1218 IN STEELDRUM @180KG</t>
  </si>
  <si>
    <t>WILFARIN DISTILLED PALM KERNEL FATTY ACID1218 IN STEELDRUM @180KG</t>
  </si>
  <si>
    <t>7.702104010300500</t>
  </si>
  <si>
    <t>WILFARIN DK1218H LAMINATED PAPERBAG@25KG</t>
  </si>
  <si>
    <t>WILFARIN DISTILLED PALM KERNEL FATTY ACID1218H LAMINATED PAPERBAG@25KG</t>
  </si>
  <si>
    <t>WILFARIN™ DK-1218H</t>
  </si>
  <si>
    <t>7.702104021300500</t>
  </si>
  <si>
    <t>WILFARIN DK1218H IN PEDRUM @180KG</t>
  </si>
  <si>
    <t>WILFARIN DISTILLED PALM KERNEL FATTY ACID1218H IN PEDRUM @180KG</t>
  </si>
  <si>
    <t>7.702104021500500</t>
  </si>
  <si>
    <t>WILFARIN DK1218H IN STEELDRUM @180KG</t>
  </si>
  <si>
    <t>WILFARIN DISTILLED PALM KERNEL FATTY ACID1218H IN STEELDRUM @180KG</t>
  </si>
  <si>
    <t>7.702080010300500</t>
  </si>
  <si>
    <t>WILFARIN DP1601 LAMINATED PAPERBAG@25KG</t>
  </si>
  <si>
    <t>WILFARIN DISTILLED PALM OIL ACID1601 LAMINATED PAPERBAG@25KG</t>
  </si>
  <si>
    <t>WILFARIN™ DP-1601</t>
  </si>
  <si>
    <t>7.702080021300500</t>
  </si>
  <si>
    <t>WILFARIN DP1601 IN PEDRUM @180KG</t>
  </si>
  <si>
    <t>WILFARIN DISTILLED PALM OIL ACID1601 IN PEDRUM @180KG</t>
  </si>
  <si>
    <t>7.702080021500500</t>
  </si>
  <si>
    <t>WILFARIN DP 1601 IN STEELDRUM @180KG</t>
  </si>
  <si>
    <t>WILFARIN DISTILLED PALM OIL ACID 1601 IN STEELDRUM @180KG</t>
  </si>
  <si>
    <t>7.702112010300500</t>
  </si>
  <si>
    <t>WILFARIN DP1601H LAMINATED PAPERBAG@25KG</t>
  </si>
  <si>
    <t>WILFARIN DISTILLED PALM OIL ACID1601H LAMINATED PAPERBAG@25KG</t>
  </si>
  <si>
    <t>WILFARIN™ DP-1601H</t>
  </si>
  <si>
    <t>7.702112021300500</t>
  </si>
  <si>
    <t>WILFARIN DP1601H IN PEDRUM @180KG</t>
  </si>
  <si>
    <t>WILFARIN DISTILLED PALM OIL ACID1601H IN PEDRUM @180KG</t>
  </si>
  <si>
    <t>7.702112021500500</t>
  </si>
  <si>
    <t>WILFARIN DP1601H IN STEELDRUM @180KG</t>
  </si>
  <si>
    <t>WILFARIN DISTILLED PALM OIL ACID1601H IN STEELDRUM @180KG</t>
  </si>
  <si>
    <t>7.702090010300500</t>
  </si>
  <si>
    <t>WILFARIN DP1602 LAMINATED PAPERBAG@25KG</t>
  </si>
  <si>
    <t>WILFARIN DISTILLED PALM OIL ACID1602 LAMINATED PAPERBAG@25KG</t>
  </si>
  <si>
    <t>WILFARIN™ DP-1602</t>
  </si>
  <si>
    <t>7.702090021300500</t>
  </si>
  <si>
    <t>WILFARIN DP1602 IN PEDRUM@180KG</t>
  </si>
  <si>
    <t>WILFARIN DISTILLED PALM OIL ACID1602 IN PEDRUM@180KG</t>
  </si>
  <si>
    <t>7.702090021500500</t>
  </si>
  <si>
    <t>WILFARIN DP1602 IN STEELDRUM @180KG</t>
  </si>
  <si>
    <t>WILFARIN DISTILLED PALM OIL ACID1602 IN STEELDRUM @180KG</t>
  </si>
  <si>
    <t>7.702113010300500</t>
  </si>
  <si>
    <t>WILFARIN DP1602H LAMINATED PAPERBAG@25KG</t>
  </si>
  <si>
    <t>WILFARIN DISTILLED PALM OIL ACID1602H LAMINATED PAPERBAG@25KG</t>
  </si>
  <si>
    <t>WILFARIN™ DP-1602H</t>
  </si>
  <si>
    <t>7.702113021300500</t>
  </si>
  <si>
    <t>WILFARIN DP1602H IN PEDRUM@180KG</t>
  </si>
  <si>
    <t>WILFARIN DISTILLED PALM OIL ACID1602H IN PEDRUM@180KG</t>
  </si>
  <si>
    <t>7.702113021500500</t>
  </si>
  <si>
    <t>WILFARIN DP1602H IN STEELDRUM @180KG</t>
  </si>
  <si>
    <t>WILFARIN DISTILLED PALM OIL ACID1602H IN STEELDRUM @180KG</t>
  </si>
  <si>
    <t>7.702082010300500</t>
  </si>
  <si>
    <t>WILFARIN DP1603 LAMINATED PAPERBAG@25KG</t>
  </si>
  <si>
    <t>WILFARIN DISTILLED PALM OIL ACID1603 LAMINATED PAPERBAG@25KG</t>
  </si>
  <si>
    <t>WILFARIN™ DP-1603</t>
  </si>
  <si>
    <t>7.702082021300500</t>
  </si>
  <si>
    <t>WILFARIN DP1603 IN PEDRUM@180KG</t>
  </si>
  <si>
    <t>WILFARIN DISTILLED PALM OIL ACID1603 IN PEDRUM@180KG</t>
  </si>
  <si>
    <t>7.702082021500500</t>
  </si>
  <si>
    <t>WILFARIN DP1603 IN STEELDRUM @180KG</t>
  </si>
  <si>
    <t>WILFARIN DISTILLED PALM OIL ACID1603 IN STEELDRUM @180KG</t>
  </si>
  <si>
    <t>7.701010010400500</t>
  </si>
  <si>
    <t>WILFARIN CC0810 LAMINATED PAPERBAG@25KG</t>
  </si>
  <si>
    <t>WILFARIN CAPRYLIC ACID0810 LAMINATED PAPERBAG@25KG</t>
  </si>
  <si>
    <t>WILFARIN™ CC-0810</t>
  </si>
  <si>
    <t>7.701010021500500</t>
  </si>
  <si>
    <t>WILFARIN CC0810 IN STEELDRUM @180KG</t>
  </si>
  <si>
    <t>WILFARIN CAPRYLIC ACID0810 IN STEELDRUM @180KG</t>
  </si>
  <si>
    <t>7.702051010400500</t>
  </si>
  <si>
    <t>WILFARIN DC0810 LAMINATED PAPERBAG@25KG</t>
  </si>
  <si>
    <t>WILFARIN™ DC-0810</t>
  </si>
  <si>
    <t>7.702051021500500</t>
  </si>
  <si>
    <t>WILFARIN DC0810 IN STEELDRUM @180KG</t>
  </si>
  <si>
    <t>7.701011010400500</t>
  </si>
  <si>
    <t>WILFARIN CA0899 LAMINATED PAPERBAG@25KG</t>
  </si>
  <si>
    <t>WILFARIN CAPRYLIC ACID0899 LAMINATED PAPERBAG@25KG</t>
  </si>
  <si>
    <t>WILFARIN™ CA-0899</t>
  </si>
  <si>
    <t>7.701011021500500</t>
  </si>
  <si>
    <t>WILFARIN CA0899 IN STEELDRUM @180KG</t>
  </si>
  <si>
    <t>WILFARIN CAPRYLIC ACID0899 IN STEELDRUM @180KG</t>
  </si>
  <si>
    <t>7.701012010400500</t>
  </si>
  <si>
    <t>WILFARIN CA1099 LAMINATED PAPERBAG @25KG</t>
  </si>
  <si>
    <t>WILFARIN CAPRYLIC ACID1099 LAMINATED PAPERBAG @25KG</t>
  </si>
  <si>
    <t>WILFARIN™ CA-1099</t>
  </si>
  <si>
    <t>7.701012021500500</t>
  </si>
  <si>
    <t>WILFARIN CA1099 IN STEELDRUM @180KG</t>
  </si>
  <si>
    <t>WILFARIN CAPRYLIC ACID1099 IN STEELDRUM @180KG</t>
  </si>
  <si>
    <t>7.701022010400500</t>
  </si>
  <si>
    <t>WILFARIN LA1299 LAMINATED PAPERBAG @25KG</t>
  </si>
  <si>
    <t>AXIT LAURIC 99% - WILFARIN LA1299; BAO 25KG</t>
  </si>
  <si>
    <t>WILFARIN™ LA-1299</t>
  </si>
  <si>
    <t>7.701022021500500</t>
  </si>
  <si>
    <t>WILFARIN LA1299 IN STEEL DRUM @180KG</t>
  </si>
  <si>
    <t>AXIT LAURIC 99% - WILFARIN LA1299</t>
  </si>
  <si>
    <t>7.701021010400500</t>
  </si>
  <si>
    <t>WILFARIN LA1298 LAMINATED PAPERBAG @25KG</t>
  </si>
  <si>
    <t>AXIT LAURIC 98% - WILFARIN LA1298</t>
  </si>
  <si>
    <t>WILFARIN™ LA-1298</t>
  </si>
  <si>
    <t>7.701021021500500</t>
  </si>
  <si>
    <t>WILFARIN LA1298 IN STEELDRUM @180KG</t>
  </si>
  <si>
    <t>7.70102D010400500</t>
  </si>
  <si>
    <t>WILFARIN LA1275 LAMINATED PAPERBAG @25KG</t>
  </si>
  <si>
    <t>AXIT LAURIC 75% - WILFARIN LA1275</t>
  </si>
  <si>
    <t>WILFARIN™ LA-1275</t>
  </si>
  <si>
    <t>7.70102D021500500</t>
  </si>
  <si>
    <t>WILFARIN LA1275 IN STEELDRUM @180KG</t>
  </si>
  <si>
    <t>7.701036010400500</t>
  </si>
  <si>
    <t>WILFARIN MA1499 LAMINATED PAPERBAG @25KG</t>
  </si>
  <si>
    <t>AXIT MYRISTIC 99% - WILFARIN MA1499; BAO 25KG</t>
  </si>
  <si>
    <t>WILFARIN™ MA-1499</t>
  </si>
  <si>
    <t>7.701036021500500</t>
  </si>
  <si>
    <t>WILFARIN MA1499 IN STEEL DRUM @180KG</t>
  </si>
  <si>
    <t>AXIT MYRISTIC 99% - WILFARIN MA1499</t>
  </si>
  <si>
    <t>7.701034010400500</t>
  </si>
  <si>
    <t>WILFARIN MA1498 LAMINATED PAPERBAG @25KG</t>
  </si>
  <si>
    <t>AXIT MYRISTIC 98% - WILFARIN MA1498</t>
  </si>
  <si>
    <t>WILFARIN™ MA-1498</t>
  </si>
  <si>
    <t>7.701034021500500</t>
  </si>
  <si>
    <t>WILFARIN MA1498 IN STEELDRUM @180KG</t>
  </si>
  <si>
    <t>7.7010430104005</t>
  </si>
  <si>
    <t>PALMITICACID1698 WILFARIN@25KG LAMINATED</t>
  </si>
  <si>
    <t>WILFARIN™ PA-1698</t>
  </si>
  <si>
    <t>7.70104B021500500</t>
  </si>
  <si>
    <t>WILFARIN PA1698 IN STEELDRUM @180KG</t>
  </si>
  <si>
    <t>WILFARIN PALMITIC ACID1698 IN STEELDRUM @180KG</t>
  </si>
  <si>
    <t>7.701041010400500</t>
  </si>
  <si>
    <t>WILFARIN PA1695 LAMINATED PAPERBAG@25KG</t>
  </si>
  <si>
    <t>WILFARIN PALMITIC ACID1695 LAMINATED PALMITIC ACIDPERBAG@25KG</t>
  </si>
  <si>
    <t>WILFARIN™ PA-1695</t>
  </si>
  <si>
    <t>7.701049021500500</t>
  </si>
  <si>
    <t>WILFARIN PA1695 IN STEELDRUM @180KG</t>
  </si>
  <si>
    <t>WILFARIN PALMITIC ACID1695 IN STEELDRUM @180KG</t>
  </si>
  <si>
    <t>7.701102010400500</t>
  </si>
  <si>
    <t>WILFARIN OA7075 LAMINATED PAPERBAG @25KG</t>
  </si>
  <si>
    <t>AXIT OLEIC 75% - WILFARIN OA7075</t>
  </si>
  <si>
    <t>WILFARIN™ OA-7075</t>
  </si>
  <si>
    <t>7.701102021500500</t>
  </si>
  <si>
    <t>WILFARIN OA7075 IN STEELDRUM @180KG</t>
  </si>
  <si>
    <t>AXIT OLEIC 75% - WILFARIN OA7075; PHUY 180KG</t>
  </si>
  <si>
    <t>7.701108010400500</t>
  </si>
  <si>
    <t>WILFARIN OA7070 LAMINATED PAPERBAG @25KG</t>
  </si>
  <si>
    <t>AXIT OLEIC 70% - WILFARIN OA7070</t>
  </si>
  <si>
    <t>WILFARIN™ OA-7070</t>
  </si>
  <si>
    <t>7.701108021500500</t>
  </si>
  <si>
    <t>WILFARIN OA7070 IN STEELDRUM @180KG</t>
  </si>
  <si>
    <t>7.703307010300500</t>
  </si>
  <si>
    <t>WILFARIN SA1892 LAMINATED PAPERBAG @25KG</t>
  </si>
  <si>
    <t>WILFARIN STEARIC ACID1892 LAMINATED PAPERBAG @25KG</t>
  </si>
  <si>
    <t>WILFARIN™ SA-1892</t>
  </si>
  <si>
    <t>7.703307021500500</t>
  </si>
  <si>
    <t>WILFARIN SA1892 IN STEELDRUM @180KG</t>
  </si>
  <si>
    <t>WILFARIN STEARIC ACID1892 IN STEELDRUM @180KG</t>
  </si>
  <si>
    <t>7.703305010300500</t>
  </si>
  <si>
    <t>WILFARIN SA1865 LAMINATED PAPERBAG @25KG</t>
  </si>
  <si>
    <t>AXIT STEARIC 65% - WILFARIN SA1865; BAO 25KG</t>
  </si>
  <si>
    <t>WILFARIN™ SA-1865</t>
  </si>
  <si>
    <t>7.703348021500500</t>
  </si>
  <si>
    <t>WILFARIN SA1865 IN STEELDRUM @180KG</t>
  </si>
  <si>
    <t>AXIT STEARIC 65% - WILFARIN SA1865</t>
  </si>
  <si>
    <t>7.703901010300500</t>
  </si>
  <si>
    <t>WILFARIN SA1850 LAMINATED PAPERBAG @25KG</t>
  </si>
  <si>
    <t>WILFARIN STEARIC ACID1850 LAMINATED PAPERBAG @25KG</t>
  </si>
  <si>
    <t>WILFARIN™ SA-1850</t>
  </si>
  <si>
    <t>7.703901021500500</t>
  </si>
  <si>
    <t>WILFARIN SA1850 IN STEELDRUM @180KG</t>
  </si>
  <si>
    <t>WILFARIN STEARIC ACID1850 IN STEELDRUM @180KG</t>
  </si>
  <si>
    <t>7.703902010300500</t>
  </si>
  <si>
    <t>WILFARIN SA1843 LAMINATED PAPERBAG @25KG</t>
  </si>
  <si>
    <t>AXIT STEARIC 43% - WILFARIN SA1843; BAO 25KG</t>
  </si>
  <si>
    <t>WILFARIN™ SA-1843</t>
  </si>
  <si>
    <t>7.703902021500500</t>
  </si>
  <si>
    <t>WILFARIN SA1843 IN STEELDRUM @180KG</t>
  </si>
  <si>
    <t>AXIT STEARIC 43% - WILFARIN SA1843</t>
  </si>
  <si>
    <t>7.703903010300500</t>
  </si>
  <si>
    <t>WILFARIN SA1838 LAMINATED PAPERBAG @25KG</t>
  </si>
  <si>
    <t>AXIT STEARIC 38% - WILFARIN SA1838; BAO 25KG</t>
  </si>
  <si>
    <t>WILFARIN™ SA-1838</t>
  </si>
  <si>
    <t>7.703903021500500</t>
  </si>
  <si>
    <t>WILFARIN SA1838 IN STEELDRUM @180KG</t>
  </si>
  <si>
    <t>AXIT STEARIC 38% - WILFARIN SA1838</t>
  </si>
  <si>
    <t>7.703005010300500</t>
  </si>
  <si>
    <t>WILFARIN SA1810 LAMINATED PAPERBAG @25KG</t>
  </si>
  <si>
    <t>WILFARIN STEARIC ACID1810 LAMINATED PAPERBAG @25KG</t>
  </si>
  <si>
    <t>WILFARIN™ SA-1810</t>
  </si>
  <si>
    <t>7.703005021500500</t>
  </si>
  <si>
    <t>WILFARIN SA1810 IN STEELDRUM @180KG</t>
  </si>
  <si>
    <t>WILFARIN STEARIC ACID1810 IN STEELDRUM @180KG</t>
  </si>
  <si>
    <t>7.703004010300500</t>
  </si>
  <si>
    <t>WILFARIN SA1804 LAMINATED PAPERBAG @25KG</t>
  </si>
  <si>
    <t>AXIT STEARIC - WILFARIN SA1804; BAO 25KG</t>
  </si>
  <si>
    <t>WILFARIN™ SA1804</t>
  </si>
  <si>
    <t>7.703004021500500</t>
  </si>
  <si>
    <t>WILFARIN SA1804 IN STEELDRUM @180KG</t>
  </si>
  <si>
    <t>AXIT STEARIC - WILFARIN SA1804</t>
  </si>
  <si>
    <t>7.7065330314012</t>
  </si>
  <si>
    <t>R.GLYCERINE WILFARIN USP997@250KG PEDRUM</t>
  </si>
  <si>
    <t>GLYXERIN- WILFARIN USP 99.7%; PHUY NHỰA 250KG</t>
  </si>
  <si>
    <t>WILFARIN™ USP-997 PEDRUM</t>
  </si>
  <si>
    <t>7.7065330315012</t>
  </si>
  <si>
    <t>R.GLYCERINE WILFARIN USP997@250STEELDRUM</t>
  </si>
  <si>
    <t>GLYXERIN- WILFARIN USP 99.7%; PHUY THÉP 250KG</t>
  </si>
  <si>
    <t>WILFARIN™ USP-997 STEELDRUM</t>
  </si>
  <si>
    <t>7.7065340314012</t>
  </si>
  <si>
    <t>R.GLYCERINE WILFARIN EP997@250KG PE DRUM</t>
  </si>
  <si>
    <t>R.GLYCERINE WILFARIN EP997@250 PEDRUM</t>
  </si>
  <si>
    <t>WILFARIN™ EP-997 PEDRUM</t>
  </si>
  <si>
    <t>7.7065340315012</t>
  </si>
  <si>
    <t>R.GLYCERINE WILFARIN EP997@250STEEL DRUM</t>
  </si>
  <si>
    <t>WILFARIN™ EP-997 STEELDRUM</t>
  </si>
  <si>
    <t>7.706537031401200</t>
  </si>
  <si>
    <t>WILFARIN BP997 IN PEDRUM @250KG</t>
  </si>
  <si>
    <t>WILFARIN™ BP-997</t>
  </si>
  <si>
    <t>7.706537031501200</t>
  </si>
  <si>
    <t>WILFARIN BP997 IN STEELDRUM @250KG</t>
  </si>
  <si>
    <t>7.7040600104012000</t>
  </si>
  <si>
    <t>WILFARIN SN6040 LAMINATED PAPERBAG @25KG</t>
  </si>
  <si>
    <t>WILFARIN SOAP NOODLE 6040 LAMINATED PAPERBAG @25KG</t>
  </si>
  <si>
    <t>WILFARIN™ SN-6040</t>
  </si>
  <si>
    <t>7.7040700104012000</t>
  </si>
  <si>
    <t>WILFARIN SN7030 LAMINATED PAPERBAG @25KG</t>
  </si>
  <si>
    <t>PHÔI XÀ PHÒNG - WILFARIN SN7030; BAO 25KG</t>
  </si>
  <si>
    <t>WILFARIN™ SN-7030</t>
  </si>
  <si>
    <t>7.7040800104012000</t>
  </si>
  <si>
    <t>WILFARIN SN8020 LAMINATED PAPERBAG @25KG</t>
  </si>
  <si>
    <t>PHÔI XÀ PHÒNG - WILFARIN SN8020; BAO 25KG</t>
  </si>
  <si>
    <t>WILFARIN™ SN-8020</t>
  </si>
  <si>
    <t>7.7040810104012000</t>
  </si>
  <si>
    <t>WILFARIN SN8021 LAMINATED PAPERBAG @25KG</t>
  </si>
  <si>
    <t>PHÔI XÀ PHÒNG - WILFARIN SN8021</t>
  </si>
  <si>
    <t>WILFARIN™ SN-8021</t>
  </si>
  <si>
    <t>7.7040900104012000</t>
  </si>
  <si>
    <t>WILFARIN SN9010 LAMINATED PAPERBAG @25KG</t>
  </si>
  <si>
    <t>PHÔI XÀ PHÒNG - WILFARIN SN9010; BAO 25KG</t>
  </si>
  <si>
    <t>WILFARIN™ SN-9010</t>
  </si>
  <si>
    <t>7.7041540104012000</t>
  </si>
  <si>
    <t>WILFARIN SN9015 LAMINATED PAPERBAG @25KG</t>
  </si>
  <si>
    <t>PHÔI XÀ PHÒNG - WILFARIN SN9015</t>
  </si>
  <si>
    <t>WILFARIN™ SN-9015</t>
  </si>
  <si>
    <t>7.7041550104012000</t>
  </si>
  <si>
    <t>WILFARIN SN9050 LAMINATED PAPERBAG @25KG</t>
  </si>
  <si>
    <t>PHÔI XÀ PHÒNG - WILFARIN SN9050; BAO 25KG</t>
  </si>
  <si>
    <t>WILFARIN™ SN-9050</t>
  </si>
  <si>
    <t>7.73020503150101</t>
  </si>
  <si>
    <t>WILFAROL 0810 IN STEELDRUM @250KG</t>
  </si>
  <si>
    <t>WILFAR OCTYL-DECYL ALCOHOL 0810 IN STEELDRUM @250KG</t>
  </si>
  <si>
    <t>"WILFAROL™
0810"</t>
  </si>
  <si>
    <t>7.73021203150201</t>
  </si>
  <si>
    <t>WILFAROL 1299 IN STEELDRUM @250KG</t>
  </si>
  <si>
    <t>WILFAR OCTYL-DECYL ALCOHOL 1299 IN STEELDRUM @250KG</t>
  </si>
  <si>
    <t>"WILFAROL™
1299"</t>
  </si>
  <si>
    <t>7.73020103150101</t>
  </si>
  <si>
    <t>WILFAROL 1214 IN STEELDRUM @250KG</t>
  </si>
  <si>
    <t>WILFAR OCTYL-DECYL ALCOHOL 1214 IN STEELDRUM @250KG</t>
  </si>
  <si>
    <t>"WILFAROL™
1214"</t>
  </si>
  <si>
    <t>7.73020203150101</t>
  </si>
  <si>
    <t>WILFAROL 1216 IN STEELDRUM @250KG</t>
  </si>
  <si>
    <t>WILFAR OCTYL-DECYL ALCOHOL 1216 IN STEELDRUM @250KG</t>
  </si>
  <si>
    <t>"WILFAROL™
1216"</t>
  </si>
  <si>
    <t>7.73021303150201</t>
  </si>
  <si>
    <t>WILFAROL 1499 IN STEELDRUM @250KG</t>
  </si>
  <si>
    <t>WILFAR OCTYL-DECYL ALCOHOL 1499 IN STEELDRUM @250KG</t>
  </si>
  <si>
    <t>"WILFAROL™
1499"</t>
  </si>
  <si>
    <t>7.73021103150101</t>
  </si>
  <si>
    <t>WILFAROL 1218 IN STEELDRUM @250KG</t>
  </si>
  <si>
    <t>WILFAR OCTYL-DECYL ALCOHOL 1218 IN STEELDRUM @250KG</t>
  </si>
  <si>
    <t>"WILFAROL™
1218"</t>
  </si>
  <si>
    <t>7.73021003150101</t>
  </si>
  <si>
    <t>WILFAROL 1618 IN STEELDRUM @250KG</t>
  </si>
  <si>
    <t>WILFAR OCTYL-DECYL ALCOHOL 1618 IN STEELDRUM @250KG</t>
  </si>
  <si>
    <t>"WILFAROL™
1618"</t>
  </si>
  <si>
    <t>7.705300010308000</t>
  </si>
  <si>
    <t>WILFAWAX PF1705 LAMINATED PAPERBAG @25KG</t>
  </si>
  <si>
    <t>SÁP THỰC VẬT - WILFAWAX PF1705; BAO 25KG</t>
  </si>
  <si>
    <t>"WILFAWAX™
PF-1705"</t>
  </si>
  <si>
    <t>7.705301010308000</t>
  </si>
  <si>
    <t>WILFAWAX PF1508 LAMINATED PAPERBAG @25KG</t>
  </si>
  <si>
    <t>SÁP THỰC VẬT - WILFAWAX PF1508; BAO 25KG</t>
  </si>
  <si>
    <t>"WILFAWAX™
PF-1508"</t>
  </si>
  <si>
    <t>7.705302010308000</t>
  </si>
  <si>
    <t>WILFAWAX PF1505 LAMINATED PAPERBAG @25KG</t>
  </si>
  <si>
    <t>SÁP THỰC VẬT - WILFAWAX PF1505; BAO 25KG</t>
  </si>
  <si>
    <t>"WILFAWAX™
PF-1505"</t>
  </si>
  <si>
    <t>7.705303010308000</t>
  </si>
  <si>
    <t>WILFAWAX PF363 LAMINATED PAPERBAG @25KG</t>
  </si>
  <si>
    <t>SÁP THỰC VẬT - WILFAWAX PF363; BAO 25KG</t>
  </si>
  <si>
    <t>"WILFAWAX™
PF-363"</t>
  </si>
  <si>
    <t>7.8102501133701903</t>
  </si>
  <si>
    <t>WILFAWAX AKD-40 LAMINATED PAPERBAG @25KG</t>
  </si>
  <si>
    <t>WILFAWAX ALKYL KETENE DIMER-40 LAMINATED PAPERBAG @25KG</t>
  </si>
  <si>
    <t>"WILFAWAX™
AKD-40"</t>
  </si>
  <si>
    <t>7.8102501133702003</t>
  </si>
  <si>
    <t>WILFAWAX AKD-65 LAMINATED PAPERBAG @25KG</t>
  </si>
  <si>
    <t>WILFAWAX ALKYL KETENE DIMER-65 LAMINATED PAPERBAG @25KG</t>
  </si>
  <si>
    <t>"WILFAWAX™
AKD-65"</t>
  </si>
  <si>
    <t>7.8102501133702103</t>
  </si>
  <si>
    <t>WILFAWAX AKD-95 LAMINATED PAPERBAG @25KG</t>
  </si>
  <si>
    <t>WILFAWAX ALKYL KETENE DIMER-95 LAMINATED PAPERBAG @25KG</t>
  </si>
  <si>
    <t>"WILFAWAX™
AKD-95"</t>
  </si>
  <si>
    <t>7.723004010304800</t>
  </si>
  <si>
    <t>WILFAMES C16 FR LAMINATED PAPERBAG@25KG</t>
  </si>
  <si>
    <t>CHẾ PHẨM HOẠT ĐỘNG BỀ MẶT DẠNG ANION - WILFAMES C16FR; BAO 25KG</t>
  </si>
  <si>
    <t xml:space="preserve">WILFAMES™ C16 FR </t>
  </si>
  <si>
    <t>7.723002010304800</t>
  </si>
  <si>
    <t>WILFAMES C16 PR5 LAMINATED PAPERBAG@25KG</t>
  </si>
  <si>
    <t>CHẾ PHẨM HOẠT ĐỘNG BỀ MẶT DẠNG ANION - WILFAMES C16PR5; BAO 25KG</t>
  </si>
  <si>
    <t>WILFAMES™ C16 PR 5</t>
  </si>
  <si>
    <t>7.723003010304800</t>
  </si>
  <si>
    <t>WILFAMES C16PR10 LAMINATED PAPERBAG@25KG</t>
  </si>
  <si>
    <t>MES C16-18 VỚI 10% ZEOLITE; BAO 25KG</t>
  </si>
  <si>
    <t>WILFAMES™ C16 PR 10</t>
  </si>
  <si>
    <t>DDGS</t>
  </si>
  <si>
    <t>DISTILLERS DRIED GRAINS WITH SOLUBLES (DDGS)</t>
  </si>
  <si>
    <t>HO1TD041200</t>
  </si>
  <si>
    <t>COPEX</t>
  </si>
  <si>
    <t>COPRA EXPELLERS (COPEX)</t>
  </si>
  <si>
    <t>COPRA EXPELLERS (COPEX) - KHO DAU DUA</t>
  </si>
  <si>
    <t>WILPRO</t>
  </si>
  <si>
    <t>WILPROMIL R ( SOY PROTEIN CONCENTRATE)</t>
  </si>
  <si>
    <t>6.52399080100</t>
  </si>
  <si>
    <t>BỘT MÌ NHÃN HIỆU "MEIZAN" 0.5KG (GÓI)</t>
  </si>
  <si>
    <t>6.52399080200</t>
  </si>
  <si>
    <t>BỘT MÌ NHÃN HIỆU "MEIZAN" 1KG (GÓI)</t>
  </si>
  <si>
    <t>6.52399050100</t>
  </si>
  <si>
    <t>BỘT MÌ NHÃN HIỆU "LA BÀN" 0.5KG (GÓI)</t>
  </si>
  <si>
    <t>6.52399050200</t>
  </si>
  <si>
    <t>BỘT MÌ NHÃN HIỆU "LA BÀN" 1KG (GÓI)</t>
  </si>
  <si>
    <t>7.52399080821</t>
  </si>
  <si>
    <t>MEIZAN-CRYSPY</t>
  </si>
  <si>
    <t>BỘT CHIÊN GIÒN "MEIZAN" 150GR</t>
  </si>
  <si>
    <t>7.70501</t>
  </si>
  <si>
    <t>MIXED SOAP POWDER IN JUMBO BAG @900KG</t>
  </si>
  <si>
    <t>PHÔI XÀ PHÒNG - DẠNG BỘT; BAO 900KG</t>
  </si>
  <si>
    <t>7.70502</t>
  </si>
  <si>
    <t>MIXED SOAP NOODLE IN JUMBO BAG @900KG</t>
  </si>
  <si>
    <t>PHÔI XÀ PHÒNG - DẠNG BỘT</t>
  </si>
  <si>
    <t>7.70503</t>
  </si>
  <si>
    <t>WILFARIN SA1837 IN STEELDRUM @180KG</t>
  </si>
  <si>
    <t>AXIT STEARIC 37% - WILFARIN SA1837</t>
  </si>
  <si>
    <t>7.70504</t>
  </si>
  <si>
    <t>WILFARIN SA1837 LAMINATED PAPERBAG @25KG</t>
  </si>
  <si>
    <t>AXIT STEARIC 37% - WILFARIN SA1837; BAO 25KG</t>
  </si>
  <si>
    <t>7.70505</t>
  </si>
  <si>
    <t>LAURYL AND MYRISTYL ALCOHOL (C1214FC) IN FLEXIBAG @ 19,500KG</t>
  </si>
  <si>
    <t>RƯỢU LAURYL VÀ MYRISTYL (C1214FC); TÚI FLEXIBAG 19,500KG</t>
  </si>
  <si>
    <t>7.70506</t>
  </si>
  <si>
    <t>OFF SPEC SOAP</t>
  </si>
  <si>
    <t>7.70507</t>
  </si>
  <si>
    <t>ALKYL KETENE DIMER (AKD-1840) LAMINATED PAPERBAG @25KG</t>
  </si>
  <si>
    <t>ALKYL KETENE DIMER (AKD-1840) LAMINATED PAPERBAG @25KG_x000D_</t>
  </si>
  <si>
    <t>7.70508</t>
  </si>
  <si>
    <t>ETHYLENE BIS STEAMIDE (EBS) SUPER FINE POWDER BAG@20KG</t>
  </si>
  <si>
    <t>8.80501</t>
  </si>
  <si>
    <t>CANOLA MEAL</t>
  </si>
  <si>
    <t>8.80502</t>
  </si>
  <si>
    <t>PALM KERNEL EXPELLERS (PKE)</t>
  </si>
  <si>
    <t>8.80503</t>
  </si>
  <si>
    <t>SOYBEAN MEAL</t>
  </si>
  <si>
    <t>8.80504</t>
  </si>
  <si>
    <t>RAPESEED MEAL</t>
  </si>
  <si>
    <t>8.80505</t>
  </si>
  <si>
    <t>CORN GLUTEN MEAL</t>
  </si>
  <si>
    <t>8.90501</t>
  </si>
  <si>
    <t>CORN</t>
  </si>
  <si>
    <t>8.80506</t>
  </si>
  <si>
    <t>WHEAT BRAN POLLARD</t>
  </si>
  <si>
    <t>9V8.80501</t>
  </si>
  <si>
    <t>9VCOPEX</t>
  </si>
  <si>
    <t>9V8.90501</t>
  </si>
  <si>
    <t>9V8.80505</t>
  </si>
  <si>
    <t>9VDDGS</t>
  </si>
  <si>
    <t>9V8.80502</t>
  </si>
  <si>
    <t>9V8.80504</t>
  </si>
  <si>
    <t>9V8.80503</t>
  </si>
  <si>
    <t>9V8.80506</t>
  </si>
  <si>
    <t>9VWILPRO</t>
  </si>
  <si>
    <t>6.4510725</t>
  </si>
  <si>
    <t>NBD SOYA BEAN OIL IMPORTED</t>
  </si>
  <si>
    <t>7.101071031800550</t>
  </si>
  <si>
    <t>7.1071250507108010</t>
  </si>
  <si>
    <t>GOLDEN DELICIOUS MGRN MP42-46 PEBAG@10KG</t>
  </si>
  <si>
    <t>BƠ LÁ THỰC VẬT GOLDEN DELICIOUS 10KG</t>
  </si>
  <si>
    <t>7.1100120202608010</t>
  </si>
  <si>
    <t>MEIZAN TRHPKO WILKOTE 1400 INPEBAG@20KG</t>
  </si>
  <si>
    <t>7.1110120200208010</t>
  </si>
  <si>
    <t>MEIZAN TRHPKL WILFIL380 IN PE BAG@20KG</t>
  </si>
  <si>
    <t>DẦU OLEIN NHÂN CỌ ĐÃ ĐƯỢC TINH LUYỆN VÀ HYDRO HÓA HIỆU MEIZAN WILFIL 380 TRONG THÙNG CARTON 20KG</t>
  </si>
  <si>
    <t>7.1110120201308010</t>
  </si>
  <si>
    <t>MEIZAN TRHPKL WILFIL 400 IN PE BAG@20KG</t>
  </si>
  <si>
    <t>DẦU OLEIN NHÂN CỌ TINH LUYỆN VÀ HYDRO HÓA HIỆU MEIZAN (WILFIL 400) 20KG</t>
  </si>
  <si>
    <t>7.1120120203608010</t>
  </si>
  <si>
    <t>MEIZAN TRHPKS UC 1710 IN PEBAG@20KG</t>
  </si>
  <si>
    <t>ULTRA CHOCO 1710 NHÃN HIỆU MEIZAN ĐÓNG TRONG THÙNG CARTON 20KG</t>
  </si>
  <si>
    <t>7.1140120202608010</t>
  </si>
  <si>
    <t>MEIZAN CBR WILLARINE 820 IN PEBAG@20KG</t>
  </si>
  <si>
    <t>CHẤT BÉO THỰC VẬT THAY THẾ CHO BƠ CACAO- WILLARINE 820-NHÃN HIỆU MEIZAN 20KG</t>
  </si>
  <si>
    <t>7.1160120250408010</t>
  </si>
  <si>
    <t>MEIZAN WILKRIM MP30-33 IN PEBAG@20KG</t>
  </si>
  <si>
    <t>7.131069011700A00</t>
  </si>
  <si>
    <t>NEPTUNE GOLD BTL @0.25L</t>
  </si>
  <si>
    <t>DẦU ĂN THƯỢNG HẠNG HIỆU NEPTUNE GOLD 0,25L</t>
  </si>
  <si>
    <t>7.131069011720A00</t>
  </si>
  <si>
    <t>NEPTUNE GOLD 0.25L X 30 BTL</t>
  </si>
  <si>
    <t>7.131069031700A00</t>
  </si>
  <si>
    <t>NEPTUNE GOLD  IN BOTTLE@1L</t>
  </si>
  <si>
    <t>DẦU ĂN THƯỢNG HẠNG HIỆU NEPTUNE GOLD 1L</t>
  </si>
  <si>
    <t>7.131069031705A00</t>
  </si>
  <si>
    <t>NEPTUNE GOLD  1L X 12 BTL</t>
  </si>
  <si>
    <t>7.131069041704A00</t>
  </si>
  <si>
    <t>NEPTUNE GOLD  2L X 6 BTL</t>
  </si>
  <si>
    <t>DẦU ĂN THƯỢNG HẠNG HIỆU NEPTUNE GOLD 2L</t>
  </si>
  <si>
    <t>7.131069061703A00</t>
  </si>
  <si>
    <t>NEPTUNE GOLD 5L X 4 BTL</t>
  </si>
  <si>
    <t>DẦU ĂN THƯỢNG HẠNG HIỆU NEPTUNE GOLD 5L</t>
  </si>
  <si>
    <t>7.131069111702A00</t>
  </si>
  <si>
    <t>NEPTUNE GOLD 10L X 2BTL</t>
  </si>
  <si>
    <t>DẦU ĂN THƯỢNG HẠNG HIỆU NEPTUNE GOLD 10L</t>
  </si>
  <si>
    <t>7.131069121700A00</t>
  </si>
  <si>
    <t>NEPTUNE GOLD IN BOTTLE@0.4L</t>
  </si>
  <si>
    <t>DẦU ĂN THƯỢNG HẠNG HIỆU NEPTUNE GOLD 0,4L</t>
  </si>
  <si>
    <t>7.131069121712A00</t>
  </si>
  <si>
    <t>NEPTUNE GOLD 0.4L X 20 BTL</t>
  </si>
  <si>
    <t>DẦU ĂN THƯỢNG HẠNG HIỆU NEPTUNE GOLD 0.4L</t>
  </si>
  <si>
    <t>7.451051361702000</t>
  </si>
  <si>
    <t>MEIZAN RBD SBO 10L X 2BTL</t>
  </si>
  <si>
    <t>DẦU ĂN MEIZAN ĐẬU NÀNH 10L</t>
  </si>
  <si>
    <t>7.702912220800000</t>
  </si>
  <si>
    <t>DMFA(PFAD+SBFAD) IN 2NDSTEELDRM@185KG</t>
  </si>
  <si>
    <t>7.702912451400000</t>
  </si>
  <si>
    <t>DMFA(PFAD+SBFAD) IN FLEXIBAG@20MT</t>
  </si>
  <si>
    <t>DẦU AXÍT BÉO THỰC VẬT HỖN HỢP</t>
  </si>
  <si>
    <t>9V39.015.007</t>
  </si>
  <si>
    <t>GLASSLOCK NEPTUNE</t>
  </si>
  <si>
    <t>HŨ ĐỰNG GIA VỊ NEPTUNE</t>
  </si>
  <si>
    <t>9V58.001.001</t>
  </si>
  <si>
    <t>PET RESIN CRUSHED</t>
  </si>
  <si>
    <t>9V58.001.006</t>
  </si>
  <si>
    <t>PET RESIN BURNT</t>
  </si>
  <si>
    <t>V12.354.003</t>
  </si>
  <si>
    <t>GRINDSTED PGMS 90</t>
  </si>
  <si>
    <t>V12.407.001</t>
  </si>
  <si>
    <t>POTASSIUM SORBATE  - 25 KG/CARTON</t>
  </si>
  <si>
    <t>POTASSIUM SORBATE - 25 KG/CARTON</t>
  </si>
  <si>
    <t>V12.441.002</t>
  </si>
  <si>
    <t>WIJS SOLUTION, MERK (2.5LIT/BOTTLE)</t>
  </si>
  <si>
    <t>V12.701.004</t>
  </si>
  <si>
    <t>FLAVOUR SMF 60289 PNS5870</t>
  </si>
  <si>
    <t>V12.701.013</t>
  </si>
  <si>
    <t>BUTTER FLAVOUR ( CODE - 20890805 )</t>
  </si>
  <si>
    <t>V12.701.018</t>
  </si>
  <si>
    <t>BUTTER FLAVOUR CODE: 520866T</t>
  </si>
  <si>
    <t>HƯƠNG BƠ CODE 520866T</t>
  </si>
  <si>
    <t>V34.303.005</t>
  </si>
  <si>
    <t>HELMET NEPTUNE GOLD</t>
  </si>
  <si>
    <t>NÓN BẢO HIỂM NEPTUNE GOLD</t>
  </si>
  <si>
    <t>V34.303.006</t>
  </si>
  <si>
    <t>HELMET MEIZAN SALEMAN</t>
  </si>
  <si>
    <t>NÓN BẢO HIỂM MEIZAN</t>
  </si>
  <si>
    <t>V39.013.070</t>
  </si>
  <si>
    <t>RAINCOAT NEPTUNE</t>
  </si>
  <si>
    <t>ÁO MƯA NEPTUNE GOLD</t>
  </si>
  <si>
    <t>V39.013.071</t>
  </si>
  <si>
    <t>RAINCOAT NEPTUNE GOLD</t>
  </si>
  <si>
    <t>V39.015.008</t>
  </si>
  <si>
    <t>GLASS LG 143509</t>
  </si>
  <si>
    <t>LY THỦY TINH LG 143509</t>
  </si>
  <si>
    <t>V39.015.010</t>
  </si>
  <si>
    <t>GLASS LG OLIVOILA 123 (2PC/ BOX)</t>
  </si>
  <si>
    <t>LY THỦY TINH LG 123 (2 CHIẾC/HỘP)</t>
  </si>
  <si>
    <t>V39.015.011</t>
  </si>
  <si>
    <t>PORCELAIN JARS MEIZAN (3 PCS/SET)</t>
  </si>
  <si>
    <t>BỘ 03 HŨ SỨ GIA VỊ CAO CẤP MEIZAN</t>
  </si>
  <si>
    <t>V39.015.101</t>
  </si>
  <si>
    <t>SPOON SIMPLY STAINLESS STEEL</t>
  </si>
  <si>
    <t>MUỖNG INOX SIMPLY</t>
  </si>
  <si>
    <t>V39.015.102</t>
  </si>
  <si>
    <t>SPOON NEPTUNE STAINLESS STEEL</t>
  </si>
  <si>
    <t>MUỖNG INOX NEPTUNE</t>
  </si>
  <si>
    <t>V39.015.103</t>
  </si>
  <si>
    <t>SPOON KIDDY STAINLESS STEEL (L=15.5CM)</t>
  </si>
  <si>
    <t>MUỖNG INOX KIDDY (L=15.5CM)</t>
  </si>
  <si>
    <t>V39.015.203</t>
  </si>
  <si>
    <t>BOWL OCEAN GLASS (180MM)</t>
  </si>
  <si>
    <t>BÁT THỦY TINH OCEAN (180MM)</t>
  </si>
  <si>
    <t>V39.015.205</t>
  </si>
  <si>
    <t>BOWL MEIZAN MELAMINE SAUCE</t>
  </si>
  <si>
    <t>CHÉN CHẤM GIA VỊ MELAMINE MEIZAN</t>
  </si>
  <si>
    <t>V39.015.208</t>
  </si>
  <si>
    <t>BOWL SET WITH MEIZAN LOGO MINH LONG</t>
  </si>
  <si>
    <t>BỘ BÁT MINH LONG IN LOGO MEIZAN</t>
  </si>
  <si>
    <t>V39.039.004</t>
  </si>
  <si>
    <t>DECAL DELIVERY BOX NEPTUNE GOLD</t>
  </si>
  <si>
    <t>DECAL CHO THÙNG BÁN HÀNG NEPTUNE GOLD</t>
  </si>
  <si>
    <t>V39.039.005</t>
  </si>
  <si>
    <t>DECAL DELIVERY BOX MEIZAN SALEMAN</t>
  </si>
  <si>
    <t>THÙNG CHỞ HÀNG MEIZAN KÈM DECAN</t>
  </si>
  <si>
    <t>V51.035.004</t>
  </si>
  <si>
    <t>TOWEL NEPTUNE DIM (35X35)CM</t>
  </si>
  <si>
    <t>KHĂN TẮM NEPTUNE NHỎ (35X35 CM)</t>
  </si>
  <si>
    <t>V51.035.005</t>
  </si>
  <si>
    <t>TOWEL OLIVOILA DIM (35X35)CM</t>
  </si>
  <si>
    <t>KHĂN OLIVOILA LOẠI NHỎ</t>
  </si>
  <si>
    <t>V51.043.014</t>
  </si>
  <si>
    <t>HA NOI BEER</t>
  </si>
  <si>
    <t>BIA HÀ NỘI</t>
  </si>
  <si>
    <t>V51.043.015</t>
  </si>
  <si>
    <t>HUDA BEER</t>
  </si>
  <si>
    <t>BIA HUDA</t>
  </si>
  <si>
    <t>V51.047.001</t>
  </si>
  <si>
    <t>FLOUR MEIZAN 500G/BAG</t>
  </si>
  <si>
    <t>BỘT MÌ MEIZAN 500GR/BAG</t>
  </si>
  <si>
    <t>V51.047.002</t>
  </si>
  <si>
    <t>FRYING MIX MEIZAN CRISPY 150G</t>
  </si>
  <si>
    <t>BỘT CHIÊN GIÒN MEIZAN 150GR</t>
  </si>
  <si>
    <t>V51.103.402</t>
  </si>
  <si>
    <t>OIL REMOVER ACNES 100M</t>
  </si>
  <si>
    <t>GIẤY THẤM DẦU ACNES 100 TỜ</t>
  </si>
  <si>
    <t>V51.103.430</t>
  </si>
  <si>
    <t>TOOTHBRUSH LIPZO CRYSTAL KIDS</t>
  </si>
  <si>
    <t>BÀN CHẢI ĐÁNH RĂNG TRẺ EM LIPZO</t>
  </si>
  <si>
    <t>V51.103.770</t>
  </si>
  <si>
    <t>BOOTH KIDDY_MINI</t>
  </si>
  <si>
    <t>QUẦY BÁN HÀNG DI ĐỘNG KIDDY THÁO RÁP</t>
  </si>
  <si>
    <t>V51.154.001</t>
  </si>
  <si>
    <t>BACKPACK KIDDY</t>
  </si>
  <si>
    <t>BA LÔ KIDDY</t>
  </si>
  <si>
    <t>V51.901.013</t>
  </si>
  <si>
    <t>PLIERS NGHIA</t>
  </si>
  <si>
    <t>KIỀM NGHĨA</t>
  </si>
  <si>
    <t>V51.901.014</t>
  </si>
  <si>
    <t>COTTON SWAB</t>
  </si>
  <si>
    <t>TĂM BÔNG</t>
  </si>
  <si>
    <t>V51.901.016</t>
  </si>
  <si>
    <t>VIETTEL CARD WITH 50.000 VND</t>
  </si>
  <si>
    <t>THẺ ĐIỆN THOẠI VIETTEL MỆNH GIÁ 50.000 ĐỒNG</t>
  </si>
  <si>
    <t>V51.901.018</t>
  </si>
  <si>
    <t>SEASONING AJINOMOTO 454GR</t>
  </si>
  <si>
    <t>BỘT NGỌT AJINOMOTO 454GR</t>
  </si>
  <si>
    <t>V58.006.004</t>
  </si>
  <si>
    <t>PREFORM 15.5G, 0.4L - PHÔI NHỰA CHO CHAI</t>
  </si>
  <si>
    <t>PHÔI 15.5G</t>
  </si>
  <si>
    <t>V58.011.011</t>
  </si>
  <si>
    <t>JERRYCAN 25KG WITH CAP</t>
  </si>
  <si>
    <t>V58.011.016</t>
  </si>
  <si>
    <t>JERRYCAN 20L WHITE (1.2KG)</t>
  </si>
  <si>
    <t>V58.029.002</t>
  </si>
  <si>
    <t>PET PREFORM 55G, 1L-SD-PROD</t>
  </si>
  <si>
    <t>PHÔI 55G</t>
  </si>
  <si>
    <t>V58.031.002</t>
  </si>
  <si>
    <t>SMALL DRUM CAP SEAL</t>
  </si>
  <si>
    <t>NẮP PHUY LOẠI NHỎ</t>
  </si>
  <si>
    <t>V58.031.004</t>
  </si>
  <si>
    <t>BIG DRUM CAP SEAL , WITHOUT CALOFIC LOGO</t>
  </si>
  <si>
    <t>6.1212075</t>
  </si>
  <si>
    <t>REFINED PALM OLEIN IV 56  CP 5  LC 2.5R</t>
  </si>
  <si>
    <t>6.1311A49</t>
  </si>
  <si>
    <t>RBD PALM OLEIN (IV58+IV56)</t>
  </si>
  <si>
    <t>6.1312087</t>
  </si>
  <si>
    <t>RBD VEGETABLE OIL</t>
  </si>
  <si>
    <t>DẦU THỰC VẬT TINH LUYỆN TRONG XE BỒN</t>
  </si>
  <si>
    <t>6.4550122</t>
  </si>
  <si>
    <t>CRUDE AROMATIC SESAME OIL</t>
  </si>
  <si>
    <t>DẦU MÈ THƠM TRONG PHUY 190KG</t>
  </si>
  <si>
    <t>6.4572000</t>
  </si>
  <si>
    <t>RBD CANOLA OIL</t>
  </si>
  <si>
    <t>DẦU HẠT CẢI TINH LUYỆN</t>
  </si>
  <si>
    <t>6.4601800</t>
  </si>
  <si>
    <t>NEUTRALISED BLEACHED DEW RICE BRAN OIL</t>
  </si>
  <si>
    <t>7.10108957090101</t>
  </si>
  <si>
    <t>SATELLITE-OL1005 BIB @18KG</t>
  </si>
  <si>
    <t>7.1011355900020</t>
  </si>
  <si>
    <t>ARO ROL CP8 IN JRG@25KG</t>
  </si>
  <si>
    <t>DẦU OLEIN TINH LUYỆN HIỆU ARO TRONG CAN 25KG</t>
  </si>
  <si>
    <t>7.101159C61703030</t>
  </si>
  <si>
    <t>CO-ORCHID 4.4LX4BTL</t>
  </si>
  <si>
    <t>DẦU THỰC VẬT TINH LUYỆN NHÃN HIỆU ORCHID 4.4L</t>
  </si>
  <si>
    <t>7.101159D11705030</t>
  </si>
  <si>
    <t>CO-ORCHID 0.88L X 12 BTL</t>
  </si>
  <si>
    <t>DẦU THỰC VẬT TINH LUYỆN NHÃN HIỆU ORCHID 880 ML</t>
  </si>
  <si>
    <t>7.131036D11701E40</t>
  </si>
  <si>
    <t>7.103084701400010</t>
  </si>
  <si>
    <t>MEIZAN RCNO IN DRUM @190KG</t>
  </si>
  <si>
    <t>DẦU DỪA TINH LUYỆN HIỆU MEIZAN TRONG PHUY 190KG</t>
  </si>
  <si>
    <t>7.1060120106608010</t>
  </si>
  <si>
    <t>MEIZAN WILSHORT PLIN3438 IN PEBAG@15KG</t>
  </si>
  <si>
    <t>WILSHORT PLIN 3438 NHÃN HIỆU MEIZAN TRONG THÙNG CARTON 15KG</t>
  </si>
  <si>
    <t>7.1060140113008010</t>
  </si>
  <si>
    <t>SATELLITE BOS MP 40 MAX IN PEBAG@15KG</t>
  </si>
  <si>
    <t>DẦU BƠ THAY THẾ HIỆU SATELLITE TRONG THÙNG 15 KG ( NHÃN XANH)</t>
  </si>
  <si>
    <t>7.1070120192108010</t>
  </si>
  <si>
    <t>MEIZAN BOS MP34-38 IV48-52 PEBAG@15KG</t>
  </si>
  <si>
    <t>DẦU BƠ THAY THẾ NHÃN HIỆU MEIZAN (NHÃN MÀU VÀNG CAM)</t>
  </si>
  <si>
    <t>7.1070120192708010</t>
  </si>
  <si>
    <t>MEIZAN BOS SAMPLE IN CARTON @15KG</t>
  </si>
  <si>
    <t>7.1070120803633000</t>
  </si>
  <si>
    <t>MEIZAN MGR VN SAMPLE PLASTIC PAIL@18KG</t>
  </si>
  <si>
    <t>BƠ LOẠI 18KG</t>
  </si>
  <si>
    <t>7.1100120600814000</t>
  </si>
  <si>
    <t>MEIZAN WILKOTE380 IN DRUM@190KG</t>
  </si>
  <si>
    <t>DẦU NHÂN CỌ ĐÃ ĐƯỢC TINH LUYỆN VÀ HYDRO HÓA HIỆU MEIZAN WILKOTE 380</t>
  </si>
  <si>
    <t>7.1140120200208010</t>
  </si>
  <si>
    <t>MEIZAN CBR WILLARINE 880LT IN PEBAG@20KG</t>
  </si>
  <si>
    <t>WILLARINE 880LT NHÃN HIỆU MEIZAN 20KG</t>
  </si>
  <si>
    <t>7.131006111702850</t>
  </si>
  <si>
    <t>CO-MEIZAN S 10L X 2BTL</t>
  </si>
  <si>
    <t>DẦU ĂN HIỆU MEIZAN 10L</t>
  </si>
  <si>
    <t>7.131007111702910</t>
  </si>
  <si>
    <t>CO-MEIZAN A 10L X 2BTL</t>
  </si>
  <si>
    <t>7.13100903010511</t>
  </si>
  <si>
    <t>CO-CAI LAN EXPORT 1L X 12 BTL</t>
  </si>
  <si>
    <t>7.13100904010411</t>
  </si>
  <si>
    <t>CO-CAI LAN EXPORT 2L X 6 BTL</t>
  </si>
  <si>
    <t>DẦU ĂN HIỆU CÁI LÂN 2L</t>
  </si>
  <si>
    <t>7.13100906010311</t>
  </si>
  <si>
    <t>CO-CAI LAN EXPORT 5L X 4 BTL</t>
  </si>
  <si>
    <t>7.13100959120011</t>
  </si>
  <si>
    <t>CO-CAILAN OLEIN JC @25KG</t>
  </si>
  <si>
    <t>7.13101059120018</t>
  </si>
  <si>
    <t>CO-CAILAN OLEIN S JC @25KG</t>
  </si>
  <si>
    <t>7.13105103010502</t>
  </si>
  <si>
    <t>CO-COOP 1L X 12 BTL</t>
  </si>
  <si>
    <t>DẦU THỰC VẬT HIỆU COOP 1L</t>
  </si>
  <si>
    <t>7.13105104010402</t>
  </si>
  <si>
    <t>CO-COOP 2L X 6 BTL</t>
  </si>
  <si>
    <t>DẦU THỰC VẬT HIỆU COOP 2L</t>
  </si>
  <si>
    <t>7.13105106010302</t>
  </si>
  <si>
    <t>CO-COOP 5L X 4 BTL</t>
  </si>
  <si>
    <t>DẦU THỰC VẬT HIỆU COOP 5L</t>
  </si>
  <si>
    <t>7.131056011720750</t>
  </si>
  <si>
    <t>CO-MEIZAN G3 0.25L X 30 BTL</t>
  </si>
  <si>
    <t>7.131056031705750</t>
  </si>
  <si>
    <t>CO-MEIZAN G3 1LX12BTL</t>
  </si>
  <si>
    <t>7.131056041704750</t>
  </si>
  <si>
    <t>CO-MEIZAN G3 2L X 6 BTL</t>
  </si>
  <si>
    <t>7.131056061703750</t>
  </si>
  <si>
    <t>CO-MEIZAN G3 5L X 4 BTL</t>
  </si>
  <si>
    <t>7.131056121700750</t>
  </si>
  <si>
    <t>CO-MEIZAN G3  BTL @ 0.4L</t>
  </si>
  <si>
    <t>7.131057011700630</t>
  </si>
  <si>
    <t>CO-MEIZAN G3  A BTL@0.25L</t>
  </si>
  <si>
    <t>7.131057031700630</t>
  </si>
  <si>
    <t>CO-MEIZAN G3 A  BTL@1L</t>
  </si>
  <si>
    <t>7.131057031705630</t>
  </si>
  <si>
    <t>CO-MEIZAN G3 A 1LX12BTL</t>
  </si>
  <si>
    <t>7.131057041704630</t>
  </si>
  <si>
    <t>CO-MEIZAN G3 A 2L X 6 BTL</t>
  </si>
  <si>
    <t>7.131057061703630</t>
  </si>
  <si>
    <t>CO-MEIZAN G3 A 5L X 4 BTL</t>
  </si>
  <si>
    <t>7.131057121700630</t>
  </si>
  <si>
    <t>CO-MEIZAN G3  A BTL @ 0.4L</t>
  </si>
  <si>
    <t>7.131057121712630</t>
  </si>
  <si>
    <t>CO-MEIZAN G3 A 0.4L X 20 BTL</t>
  </si>
  <si>
    <t>7.131058031700760</t>
  </si>
  <si>
    <t>CO-MEIZAN G3 S BTL@1L</t>
  </si>
  <si>
    <t>7.131058041704760</t>
  </si>
  <si>
    <t>CO-MEIZAN G3 S 2L X 6 BTL</t>
  </si>
  <si>
    <t>7.131058061703760</t>
  </si>
  <si>
    <t>CO-MEIZAN G3 S 5L X 4 BTL</t>
  </si>
  <si>
    <t>7.131058121700760</t>
  </si>
  <si>
    <t>CO-MEIZAN G3  S BTL @ 0.4L</t>
  </si>
  <si>
    <t>7.131058121712760</t>
  </si>
  <si>
    <t>CO-MEIZAN G3 S 0.4L X 20 BTL</t>
  </si>
  <si>
    <t>7.131062031705810</t>
  </si>
  <si>
    <t>COOP A  1L X 12 BTL</t>
  </si>
  <si>
    <t>DẦU THỰC VẬT CAO CẤP HIỆU COOP 1L</t>
  </si>
  <si>
    <t>7.131062041704810</t>
  </si>
  <si>
    <t>COOP A  2L X 6 BTL</t>
  </si>
  <si>
    <t>DẦU THỰC VẬT CAO CẤP HIỆU COOP 2L</t>
  </si>
  <si>
    <t>7.131062061703810</t>
  </si>
  <si>
    <t>COOP A 5L X 4 BTL</t>
  </si>
  <si>
    <t>DẦU THỰC VẬT CAO CẤP HIỆU COOP 5L</t>
  </si>
  <si>
    <t>7.131069035900A00</t>
  </si>
  <si>
    <t>NEPTUNE GOLD TET BTL@1L</t>
  </si>
  <si>
    <t>7.131069036000A00</t>
  </si>
  <si>
    <t>NEPTUNE GOLD TET GIFT PACK BTL@1L</t>
  </si>
  <si>
    <t>7.131069041700A00</t>
  </si>
  <si>
    <t>NEPTUNE GOLD  IN BOTTLE@2L</t>
  </si>
  <si>
    <t>7.131069061700A00</t>
  </si>
  <si>
    <t>NEPTUNE GOLD  IN BOTTLE@5L</t>
  </si>
  <si>
    <t>7.131071031705040</t>
  </si>
  <si>
    <t>COOK COOP 1L X 12 BTL</t>
  </si>
  <si>
    <t>DẦU THỰC VẬT TINH LUYỆN COOK COOP 1L</t>
  </si>
  <si>
    <t>7.131071041704040</t>
  </si>
  <si>
    <t>COOK COOP 2L X 6 BTL</t>
  </si>
  <si>
    <t>DẦU THỰC VẬT TINH LUYỆN COOK COOP 2L</t>
  </si>
  <si>
    <t>7.131071061703040</t>
  </si>
  <si>
    <t>COOK COOP 5L X 4 BTL</t>
  </si>
  <si>
    <t>DẦU THỰC VẬT TINH LUYỆN COOK COOP 5L</t>
  </si>
  <si>
    <t>7.451050031705000</t>
  </si>
  <si>
    <t>CO-SIMPLY SBO EXPORT 1L X 12 BTL</t>
  </si>
  <si>
    <t>DẦU ĂN HIỆU SIMPLY 1L</t>
  </si>
  <si>
    <t>7.451050051704009</t>
  </si>
  <si>
    <t>CO-SIMPLY SBO EXPORT 2L X 6 BTL</t>
  </si>
  <si>
    <t>DẦU ĂN HIỆU SIMPLY 2L</t>
  </si>
  <si>
    <t>7.451050081703000</t>
  </si>
  <si>
    <t>CO-SIMPLY SBO EXPORT 5L X 4 BTL</t>
  </si>
  <si>
    <t>DẦU ĂN HIỆU SIMPLY 5L</t>
  </si>
  <si>
    <t>7.451102031705000</t>
  </si>
  <si>
    <t>CO-COOP RBD SBO 1L X 12 BTL</t>
  </si>
  <si>
    <t>DẦU ĐẬU NÀNH HIỆU COOP 1L</t>
  </si>
  <si>
    <t>7.451102051704000</t>
  </si>
  <si>
    <t>CO-COOP RBD SBO 2L X 6 BTL</t>
  </si>
  <si>
    <t>DẦU ĐẬU NÀNH HIỆU COOP 2L</t>
  </si>
  <si>
    <t>7.451102081703000</t>
  </si>
  <si>
    <t>CO-COOP RBD SBO 5L X 4 BTL</t>
  </si>
  <si>
    <t>DẦU ĐẬU NÀNH HIỆU COOP 5L</t>
  </si>
  <si>
    <t>7.455052261200010</t>
  </si>
  <si>
    <t>SATELLITE SESAME IN JERRYCAN @25KG</t>
  </si>
  <si>
    <t>DẦU MÈ HIỆU SATELLITE TRONG CAN NHỰA 25KG</t>
  </si>
  <si>
    <t>7.460050021700030</t>
  </si>
  <si>
    <t>SIMPLY RBDRBO IN BOTTLE@500ML</t>
  </si>
  <si>
    <t>DẦU GẠO CAO CẤP SIMPLY 0.5L</t>
  </si>
  <si>
    <t>7.460050021705030</t>
  </si>
  <si>
    <t>CO-SIMPLY RBDRBO 500ML X 12BTL</t>
  </si>
  <si>
    <t>7.460052790901030</t>
  </si>
  <si>
    <t>SATELLITE RBDRBO IN BIB@18KG</t>
  </si>
  <si>
    <t>DẦU GẠO LỨT TINH LUYỆN NHÃN HIỆU SATELLITE TRONG TÚI BÓNG 18KG</t>
  </si>
  <si>
    <t>7.475000261200010</t>
  </si>
  <si>
    <t>RBD OLIVE OIL IN JERRYCAN@25KG</t>
  </si>
  <si>
    <t>9V86.05001190067</t>
  </si>
  <si>
    <t>USED EMPTY DRUM 190KG</t>
  </si>
  <si>
    <t>V12.204.001</t>
  </si>
  <si>
    <t>TBHQ - FOOD GRADE</t>
  </si>
  <si>
    <t>V12.701.023</t>
  </si>
  <si>
    <t>BUTTER FLAVOR 521242 T 25KG/JAR</t>
  </si>
  <si>
    <t>V12.702.004</t>
  </si>
  <si>
    <t>BUTTER CREAM (WISS AROMA) 20KG/JAR</t>
  </si>
  <si>
    <t>V39.013.074</t>
  </si>
  <si>
    <t>NEPTUNE RAINCOAT</t>
  </si>
  <si>
    <t>ÁO MƯA NEPTUNE</t>
  </si>
  <si>
    <t>V39.015.007</t>
  </si>
  <si>
    <t>V39.015.009</t>
  </si>
  <si>
    <t>POP JAR (GLASS LID) B02517 (500ML)</t>
  </si>
  <si>
    <t>LỌ (HŨ) THỦY TINH (GLASS LID) B02517 500ML</t>
  </si>
  <si>
    <t>V39.015.012</t>
  </si>
  <si>
    <t>UNION GLASS UG350</t>
  </si>
  <si>
    <t>LY THỦY TINH UNION UG350</t>
  </si>
  <si>
    <t>V39.015.013</t>
  </si>
  <si>
    <t>NEPTUNE GOLD OCEAN GLASSES SET</t>
  </si>
  <si>
    <t>BỘ LY OCEAN NEPTUNE GOLD</t>
  </si>
  <si>
    <t>V39.015.014</t>
  </si>
  <si>
    <t>KIDDY MELAMINE GLASS WITH HANDLE APA03</t>
  </si>
  <si>
    <t>LY QUAI MELAMINE KIDDY APA03</t>
  </si>
  <si>
    <t>V39.015.105</t>
  </si>
  <si>
    <t>MEIZAN STAINLESS STEEL INOX SPOON</t>
  </si>
  <si>
    <t>MUỖNG INOX MEIZAN</t>
  </si>
  <si>
    <t>V39.015.106</t>
  </si>
  <si>
    <t>INOX SPOON</t>
  </si>
  <si>
    <t>MUỖNG INOX</t>
  </si>
  <si>
    <t>V39.015.107</t>
  </si>
  <si>
    <t>SET OF KNIFE, FORK, SPOON NEPTUNE</t>
  </si>
  <si>
    <t>BỘ DAO, NĨA, MUỖNG NEPTUNE</t>
  </si>
  <si>
    <t>V39.015.206</t>
  </si>
  <si>
    <t>BOWL KIDDY APB01</t>
  </si>
  <si>
    <t>TÔ MELAMINE KIDDY APB01</t>
  </si>
  <si>
    <t>V39.015.210</t>
  </si>
  <si>
    <t>NEPTUNE GOLD - MINH LONG SET OF 06 SMALL</t>
  </si>
  <si>
    <t>BỘ 6 CHÉN MINH LONG - NEPTUNE GOLD</t>
  </si>
  <si>
    <t>V39.015.211</t>
  </si>
  <si>
    <t>NEPTUNE GOLD - MINH LONG SET OF 01 BOWL</t>
  </si>
  <si>
    <t>BỘ 01 TÔ VÀ 01 ĐĨA MINH LONG</t>
  </si>
  <si>
    <t>V39.015.212</t>
  </si>
  <si>
    <t>PORCELAIN BOWL CK – 89 WITH SIMPLY LOGO</t>
  </si>
  <si>
    <t>CHÉN SỨ CK-89, LOGO SIMPLY</t>
  </si>
  <si>
    <t>V51.035.003</t>
  </si>
  <si>
    <t>TOWEL OLIVOILA DIM (40X70)CM</t>
  </si>
  <si>
    <t>KHĂN TẮM LỚN OLIVOILA 40X70</t>
  </si>
  <si>
    <t>V51.042.001</t>
  </si>
  <si>
    <t>BIEN HOA SUGAR 500GR</t>
  </si>
  <si>
    <t>ĐƯỜNG BIÊN HÒA 500GR</t>
  </si>
  <si>
    <t>V51.043.009</t>
  </si>
  <si>
    <t>SAI GON 333 BEER</t>
  </si>
  <si>
    <t>BIA SAIGON 333</t>
  </si>
  <si>
    <t>V51.043.011</t>
  </si>
  <si>
    <t>BIERE LARUE BEER</t>
  </si>
  <si>
    <t>BIA BIERE LARUE</t>
  </si>
  <si>
    <t>V51.046.001</t>
  </si>
  <si>
    <t>AJINOMOTO SEASONING POWDER 454G</t>
  </si>
  <si>
    <t>BỘT NGỌT AJINOMOTO 454G</t>
  </si>
  <si>
    <t>V51.103.703</t>
  </si>
  <si>
    <t>MOBI CARD WITH 50.000 VND</t>
  </si>
  <si>
    <t>THẺ CÀO ĐIỆN THOẠI MOBI MỆNH GIÁ 50.000 ĐỒNG</t>
  </si>
  <si>
    <t>V51.103.704</t>
  </si>
  <si>
    <t>THẺ CÀO ĐIỆN THOẠI VIETTEL MỆNH GIÁ 50.000 ĐỒNG</t>
  </si>
  <si>
    <t>V51.043.016</t>
  </si>
  <si>
    <t>SAI GON LAGER BEER</t>
  </si>
  <si>
    <t>BIA SAI GON LAGER</t>
  </si>
  <si>
    <t>7.70509</t>
  </si>
  <si>
    <t>WILFARIN PA1660 LAMINATED PAPERBAG @25KG</t>
  </si>
  <si>
    <t>AXIT STEARIC - WILFARIN PA1660; BAO 25KG</t>
  </si>
  <si>
    <t>V51.103.730</t>
  </si>
  <si>
    <t>BALLOON KIDDY</t>
  </si>
  <si>
    <t>BÓNG BAY KIDDY</t>
  </si>
  <si>
    <t>V39.013.073</t>
  </si>
  <si>
    <t>RAINCOAT KIDDY</t>
  </si>
  <si>
    <t>ÁO MƯA KIDDY</t>
  </si>
  <si>
    <t>V39.000.002</t>
  </si>
  <si>
    <t>T- SHIRT UNIFORM (M)</t>
  </si>
  <si>
    <t>ÁO THUN NAM ĐỒNG PHỤC NGẮN TAY</t>
  </si>
  <si>
    <t>V39.013.046</t>
  </si>
  <si>
    <t>T-SHIRT SIMPLY (RETAILER)</t>
  </si>
  <si>
    <t>ÁO THUN SIMPLY (NGƯỜI BÁN LẺ)</t>
  </si>
  <si>
    <t>V39.013.038</t>
  </si>
  <si>
    <t>T-SHIRT KIDDY</t>
  </si>
  <si>
    <t>ÁO THUN KIDDY</t>
  </si>
  <si>
    <t>V39.013.039</t>
  </si>
  <si>
    <t>T-SHIRT WITH NEPTUNE LOGO - 65%COTTON</t>
  </si>
  <si>
    <t>ÁO THUN NEPTUNE</t>
  </si>
  <si>
    <t>V39.013.040</t>
  </si>
  <si>
    <t>T-SHIRT WILMAR (FOR AGENT MEETING)</t>
  </si>
  <si>
    <t>ÁO THUN WILMAR</t>
  </si>
  <si>
    <t>V39.013.072</t>
  </si>
  <si>
    <t>RAINCOAT MEIZAN - XXXL</t>
  </si>
  <si>
    <t>ÁO MƯA MEIZAN - XXXL</t>
  </si>
  <si>
    <t>V39.013.100</t>
  </si>
  <si>
    <t>SKIRT, MATERIAL: WHITE KAKI,YELLOW KAKI, RED COORDINATE-EMBROIDERED LOGO</t>
  </si>
  <si>
    <t>ÁO GIẢ VEST ÁO CỔ TIM, CHẤT LIỆU:KAKI, THUN TRẮNG,KAKI THUN VÀNG PHỐI ĐỎ - THÊU LOGO</t>
  </si>
  <si>
    <t>V39.013.200</t>
  </si>
  <si>
    <t>HAT WILMAR (FOR AGENT MEETING)</t>
  </si>
  <si>
    <t>NÓN WILMAR</t>
  </si>
  <si>
    <t>V39.013.300</t>
  </si>
  <si>
    <t>UNIFORM CORPORATE</t>
  </si>
  <si>
    <t>ÁO THUN CORPORATE</t>
  </si>
  <si>
    <t>V39.015.050</t>
  </si>
  <si>
    <t>COOKING PAN MODEL NSF16 (16CM)</t>
  </si>
  <si>
    <t>CHẢO CHỐNG DÍNH TRƠN NSF16</t>
  </si>
  <si>
    <t>V39.015.051</t>
  </si>
  <si>
    <t>COOKING PAN MODEL ACE-24W (24CM)</t>
  </si>
  <si>
    <t>CHẢO CHỐNG DÍNH ACE-24W (24CM)</t>
  </si>
  <si>
    <t>V39.015.070</t>
  </si>
  <si>
    <t>APRON NEPTUNE</t>
  </si>
  <si>
    <t>TẠP DỀ NEPTUNE</t>
  </si>
  <si>
    <t>V39.015.072</t>
  </si>
  <si>
    <t>APRON SIMPLY</t>
  </si>
  <si>
    <t>TẠP DỀ SIMPLY</t>
  </si>
  <si>
    <t>V39.015.202</t>
  </si>
  <si>
    <t>BOWL &amp; PLATE SET MINH LONG</t>
  </si>
  <si>
    <t>BỘ DĨA TÔ MINH LONG</t>
  </si>
  <si>
    <t>V39.015.204</t>
  </si>
  <si>
    <t>BOWL NEPTUNE PORCELAIN (6PCS/SET)</t>
  </si>
  <si>
    <t>BỘ 6 CHÉN SỨ NEPTUNE</t>
  </si>
  <si>
    <t>V39.015.207</t>
  </si>
  <si>
    <t>TEA SET MINH LONG</t>
  </si>
  <si>
    <t>BỘ TRÀ MINH LONG</t>
  </si>
  <si>
    <t>V51.047.003</t>
  </si>
  <si>
    <t>FRYING MIX MEIZAN 100G</t>
  </si>
  <si>
    <t>BỘT CHIÊN GIÒN MEIZAN 100GR</t>
  </si>
  <si>
    <t>V51.058.001</t>
  </si>
  <si>
    <t>PEN PARKER IM</t>
  </si>
  <si>
    <t>VIẾT MÁY</t>
  </si>
  <si>
    <t>V51.061.001</t>
  </si>
  <si>
    <t>NOTEBOOK - DESIGNED BY LE PHU</t>
  </si>
  <si>
    <t>SỔ TAY</t>
  </si>
  <si>
    <t>V51.061.002</t>
  </si>
  <si>
    <t>NOTEBOOK 21.5 X 14.5 - 100 PAGES</t>
  </si>
  <si>
    <t>V51.103.700</t>
  </si>
  <si>
    <t>SCRATCH CARD NEPTUNE</t>
  </si>
  <si>
    <t>THẺ CÀO NEPTUNE</t>
  </si>
  <si>
    <t>V51.153.004</t>
  </si>
  <si>
    <t>PAPER BAG NEPTUNE</t>
  </si>
  <si>
    <t>TÚI GIẤY NEPTUNE</t>
  </si>
  <si>
    <t>V51.153.005</t>
  </si>
  <si>
    <t>NEPTUNE GOLD NYLON BAG</t>
  </si>
  <si>
    <t>BAO NYLON NEPTUNE GOLD</t>
  </si>
  <si>
    <t>V51.041.001</t>
  </si>
  <si>
    <t>JASMINE RICE 10KG/BAG</t>
  </si>
  <si>
    <t>GẠO JASMINE 10KG/BAG</t>
  </si>
  <si>
    <t>V51.041.002</t>
  </si>
  <si>
    <t>RICE 10 KG/ BAG</t>
  </si>
  <si>
    <t>GẠO (TÚI 10KG)</t>
  </si>
  <si>
    <t>V51.041.004</t>
  </si>
  <si>
    <t>RICE 05 KG/ BAG</t>
  </si>
  <si>
    <t>GẠO OM 4900 (TÚI PA/PE 5KG)</t>
  </si>
  <si>
    <t>V51.600.011</t>
  </si>
  <si>
    <t>NEPTUNE GOLD WINDOW FRAME 0.8M</t>
  </si>
  <si>
    <t>THANH TRƯNG BÀY SẢN PHẨM</t>
  </si>
  <si>
    <t>V51.600.012</t>
  </si>
  <si>
    <t>NEPTUNE GOLD WINDOW FRAME 1.2M</t>
  </si>
  <si>
    <t>THANH TRƯNG BÀY NEPTUNE GOLD 1,2M</t>
  </si>
  <si>
    <t>V51.600.013</t>
  </si>
  <si>
    <t>NEPTUNE GOLD WINDOW FRAME 1.6M</t>
  </si>
  <si>
    <t>THANH TRƯNG BÀY NEPTUNE GOLD 1,6M</t>
  </si>
  <si>
    <t>V51.600.014</t>
  </si>
  <si>
    <t>NEPTUNE GOLD KING</t>
  </si>
  <si>
    <t>MÔ HÌNH NEPTUNE GOLD KING</t>
  </si>
  <si>
    <t>V51.600.015</t>
  </si>
  <si>
    <t>ARTWORK FOR NEPTUNE GOLD PARASOL</t>
  </si>
  <si>
    <t>BẠT DÙ NEPTUNE GOLD</t>
  </si>
  <si>
    <t>V51.600.016</t>
  </si>
  <si>
    <t>ARTWORK OF MEIZAN MOBILE SALES TABLE</t>
  </si>
  <si>
    <t>TẤM TRANG TRÍ CHO BÀN LẮP RÁP MEIZAN</t>
  </si>
  <si>
    <t>V51.600.017</t>
  </si>
  <si>
    <t>MEIZAN ARTWORK OF BOOTH</t>
  </si>
  <si>
    <t>BẠT LỀU MEIZAN</t>
  </si>
  <si>
    <t>V51.600.018</t>
  </si>
  <si>
    <t>MEIZAN SALEMAN DELIVERY BOX WITH DECAN</t>
  </si>
  <si>
    <t>V51.600.019</t>
  </si>
  <si>
    <t>DECAL FOR MEIZAN DELIVERY BOX</t>
  </si>
  <si>
    <t>DECAL CHO THÙNG CHỞ HÀNG MEIZAN</t>
  </si>
  <si>
    <t>V51.106.001</t>
  </si>
  <si>
    <t>MEIZAN UMBRELLA</t>
  </si>
  <si>
    <t>DÙ MEIZAN</t>
  </si>
  <si>
    <t>V51.600.020</t>
  </si>
  <si>
    <t>MEIZAN BANNER 3.0M*1.2M</t>
  </si>
  <si>
    <t>BĂNG RÔN MEIZAN 3.0M*1,2M</t>
  </si>
  <si>
    <t>V51.600.021</t>
  </si>
  <si>
    <t>MEIZAN BANNER 4.0M*1.2M</t>
  </si>
  <si>
    <t>BĂNG RÔN MEIZAN 4.0M*1,2M</t>
  </si>
  <si>
    <t>V51.600.022</t>
  </si>
  <si>
    <t>MEIZAN BANNER 5.0M*1.2M</t>
  </si>
  <si>
    <t>BĂNG RÔN MEIZAN 5.0M*1,2M</t>
  </si>
  <si>
    <t>V51.061.006</t>
  </si>
  <si>
    <t>MEIZAN HAND-NOTE</t>
  </si>
  <si>
    <t>SỔ TAY MEIZAN</t>
  </si>
  <si>
    <t>V58.022.024</t>
  </si>
  <si>
    <t>NECK-TAG FOR MEIZAN 0.4L</t>
  </si>
  <si>
    <t>CHỤP CỔ CHAI MEIZAN 0,4L</t>
  </si>
  <si>
    <t>V58.022.025</t>
  </si>
  <si>
    <t>NECK-TAG FOR MEIZAN SBO 1L</t>
  </si>
  <si>
    <t>CHỤP CỔ CHAI MEIZAN ĐẬU NÀNH 1L</t>
  </si>
  <si>
    <t>V58.022.026</t>
  </si>
  <si>
    <t>NECK-TAG FOR MEIZAN SBO 2L</t>
  </si>
  <si>
    <t>CHỤP CỔ CHAI MEIZAN ĐẬU NÀNH 2L</t>
  </si>
  <si>
    <t>V58.022.027</t>
  </si>
  <si>
    <t>NECK-TAG FOR MEIZAN SBO 5L</t>
  </si>
  <si>
    <t>CHỤP CỔ CHAI MEIZAN ĐẬU NÀNH 5L</t>
  </si>
  <si>
    <t>V39.013.043</t>
  </si>
  <si>
    <t>MEIZAN T-SHIRT (YELLOW COLOR)</t>
  </si>
  <si>
    <t>ÁO THUN MEIZAN (MÀU VÀNG)</t>
  </si>
  <si>
    <t>V58.022.008</t>
  </si>
  <si>
    <t>NECK-TAG FOR MEIZAN 1L  </t>
  </si>
  <si>
    <t>CHỤP CỔ CHAI MEIZAN 1L</t>
  </si>
  <si>
    <t>V51.048.001</t>
  </si>
  <si>
    <t>PREMIUM SOYA SAUCE 200 ML</t>
  </si>
  <si>
    <t>NƯỚC TƯƠNG THƯỢNG HẠNG 200 ML</t>
  </si>
  <si>
    <t>V51.049.001</t>
  </si>
  <si>
    <t>MILD CHILI SAUCE 275 GR</t>
  </si>
  <si>
    <t>TƯƠNG ỚT 275 GR</t>
  </si>
  <si>
    <t>V51.049.002</t>
  </si>
  <si>
    <t>SPECIAL HOT CHILI SAUCE 275 GR</t>
  </si>
  <si>
    <t>TƯƠNG ỚT ĐẶC BIỆT CAY 275 GR</t>
  </si>
  <si>
    <t>V51.600.039</t>
  </si>
  <si>
    <t>SIMPLY BANNER SBO 3M*1.2M</t>
  </si>
  <si>
    <t>BĂNG RÔN DẦU SIMPLY ĐẬU NÀNH 3M*1,2M</t>
  </si>
  <si>
    <t>V51.600.040</t>
  </si>
  <si>
    <t>SIMPLY BANNER SBO 4M*1.2M</t>
  </si>
  <si>
    <t>BĂNG RÔN DẦU SIMPLY ĐẬU NÀNH 4M*1,2M</t>
  </si>
  <si>
    <t>V51.600.041</t>
  </si>
  <si>
    <t>SIMPLY BANNER SBO 5M*1.5M</t>
  </si>
  <si>
    <t>BĂNG RÔN DẦU SIMPLY ĐẬU NÀNH 5M*1,5M</t>
  </si>
  <si>
    <t>V51.600.042</t>
  </si>
  <si>
    <t>SIMPLY BANNER SBO 6M*1.5M</t>
  </si>
  <si>
    <t>BĂNG RÔN DẦU SIMPLY ĐẬU NÀNH 6M*1,5M</t>
  </si>
  <si>
    <t>V51.103.706</t>
  </si>
  <si>
    <t>SIMPLY GREETING CARD 20/10</t>
  </si>
  <si>
    <t>THIỆP SIMPLY CHÚC MỪNG 20/10</t>
  </si>
  <si>
    <t>V51.600.025</t>
  </si>
  <si>
    <t>SIMPLY BANNER RBO 3M*1.2M</t>
  </si>
  <si>
    <t>BĂNG RÔN SIMPLY DẦU GẠO 3M*1,2M</t>
  </si>
  <si>
    <t>V51.600.026</t>
  </si>
  <si>
    <t>SIMPLY BANNER RBO 4M*1.2M</t>
  </si>
  <si>
    <t>BĂNG RÔN SIMPLY DẦU GẠO 4M*1,2M</t>
  </si>
  <si>
    <t>V51.600.027</t>
  </si>
  <si>
    <t>SIMPLY BANNER RBO 5M*1.5M</t>
  </si>
  <si>
    <t>BĂNG RÔN SIMPLY DẦU GẠO 5M*1,5M</t>
  </si>
  <si>
    <t>V51.600.028</t>
  </si>
  <si>
    <t>SIMPLY BANNER RBO 6M*1.5M</t>
  </si>
  <si>
    <t>BĂNG RÔN SIMPLY DẦU GẠO 6M*1,5M</t>
  </si>
  <si>
    <t>V51.061.007</t>
  </si>
  <si>
    <t xml:space="preserve">SIMPLY BOOKLET </t>
  </si>
  <si>
    <t>SÁCH DINH DƯỠNG SIMPLY</t>
  </si>
  <si>
    <t>V58.022.031</t>
  </si>
  <si>
    <t>NECK-TAG FOR SIMPLY RBO 0.4L</t>
  </si>
  <si>
    <t>CHỤP CỔ CHAI SIMPLY DẦU GẠO 0.4L</t>
  </si>
  <si>
    <t>V58.022.032</t>
  </si>
  <si>
    <t>NECKTAG SIMPLY RBO_CAMBODIA</t>
  </si>
  <si>
    <t>NHÃN DÁN CỔ CHAI SIMPLY DẦU GẠO LỨT_CAMBODIA</t>
  </si>
  <si>
    <t>V51.600.007</t>
  </si>
  <si>
    <t>NEPTUNE GOLD BIG MOBILE DISPLAY</t>
  </si>
  <si>
    <t>KỆ TRƯNG BÀY NEPTUNE CỠ LỚN</t>
  </si>
  <si>
    <t>HO1TD010100</t>
  </si>
  <si>
    <t>V39.013.042</t>
  </si>
  <si>
    <t>SIMPLY PE FABRIC T-SHIRT WHITE COLOUR</t>
  </si>
  <si>
    <t>ÁO THUN SIMPLY</t>
  </si>
  <si>
    <t>V39.013.041</t>
  </si>
  <si>
    <t>MEIZAN T-SHIRT (GREEN COLOR)</t>
  </si>
  <si>
    <t>ÁO THUN MEIZAN (MÀU XANH) XL</t>
  </si>
  <si>
    <t>V51.601.001</t>
  </si>
  <si>
    <t>NEPTUNE GOLD LOGO</t>
  </si>
  <si>
    <t>HÌNH ẢNH QUẢNG CÁO LOGO NEPTUNE GOLD</t>
  </si>
  <si>
    <t>V51.600.008</t>
  </si>
  <si>
    <t>ARTWORK OF MEIZAN SHELF BIG SIZE 4 BARS</t>
  </si>
  <si>
    <t>TẤM ARTWORK KỆ TRƯNG BÀY MEIZAN</t>
  </si>
  <si>
    <t>V51.153.007</t>
  </si>
  <si>
    <t>KIDDY PAPER BAG</t>
  </si>
  <si>
    <t>TÚI GIẤY KIDDY</t>
  </si>
  <si>
    <t>V51.600.005</t>
  </si>
  <si>
    <t>PICTURE FRAME</t>
  </si>
  <si>
    <t>KHUNG ẢNH</t>
  </si>
  <si>
    <t>V51.061.003</t>
  </si>
  <si>
    <t>KIDDY BOOKLET</t>
  </si>
  <si>
    <t>SỔ TAY DINH DƯỠNG KIDDY</t>
  </si>
  <si>
    <t>V51.600.009</t>
  </si>
  <si>
    <t>MOBILE SALES TABLE + ARTWORK</t>
  </si>
  <si>
    <t>BÀN BÁN HÀNG LẮP RÁP + TẤM TRANG TRÍ</t>
  </si>
  <si>
    <t>V39.013.0721</t>
  </si>
  <si>
    <t>V58.022.022</t>
  </si>
  <si>
    <t>NECK-TAG FOR SIMPLY SFO</t>
  </si>
  <si>
    <t>CHỤP TREO CỔ CHAI SIMLY HƯỚNG DƯƠNG</t>
  </si>
  <si>
    <t>V58.022.019</t>
  </si>
  <si>
    <t>NECK-TAG FOR NEPTUNE GOLD, 0.4L</t>
  </si>
  <si>
    <t>NHÃN CỔ CHAI NEPTUNE GOLD 0.4L</t>
  </si>
  <si>
    <t>V51.103.702</t>
  </si>
  <si>
    <t>SIMPLY SCRATCH CARD</t>
  </si>
  <si>
    <t>THẺ CÀO SIMPLY</t>
  </si>
  <si>
    <t>V51.103.701</t>
  </si>
  <si>
    <t>MEIZAN SCRATCH CARD</t>
  </si>
  <si>
    <t>THẺ CÀO MEIZAN</t>
  </si>
  <si>
    <t>V58.027.002</t>
  </si>
  <si>
    <t xml:space="preserve"> NEPTUNE RBO LACQUER BOX</t>
  </si>
  <si>
    <t>HỘP SƠN MÀI NEPTUNE</t>
  </si>
  <si>
    <t>6.52399150522</t>
  </si>
  <si>
    <t>RED KEY_25 (KM)</t>
  </si>
  <si>
    <t>7.1070123201852000</t>
  </si>
  <si>
    <t>MEIZAN MARGARINE MP44MAX OVALTUBE@800GR</t>
  </si>
  <si>
    <t>MARGARINE HIỆU MEIZAN 0.8KG</t>
  </si>
  <si>
    <t>V39.015.400</t>
  </si>
  <si>
    <t>INFRARED KITCHEN KANGAROO KG 394I</t>
  </si>
  <si>
    <t>BẾP HỒNG NGOẠI KANGAROO KG 394I</t>
  </si>
  <si>
    <t>V39.017.081</t>
  </si>
  <si>
    <t>WASHING MACHINE ELECTROLUX EWF</t>
  </si>
  <si>
    <t>MÁY GIẶT ELECTROLUX EWF 85743</t>
  </si>
  <si>
    <t>V39.034.006</t>
  </si>
  <si>
    <t>WATER PURIFIERS KANGAROO KG118</t>
  </si>
  <si>
    <t>MÁY LỌC NƯỚC KANGAROO KG118</t>
  </si>
  <si>
    <t>V51.048.002</t>
  </si>
  <si>
    <t>OYSTER SAUCE 320GR</t>
  </si>
  <si>
    <t>DẦU HÀO 320GR</t>
  </si>
  <si>
    <t>V51.401.054</t>
  </si>
  <si>
    <t>A TAEL OF SJC 999.9</t>
  </si>
  <si>
    <t>CHỈ VÀNG SJC</t>
  </si>
  <si>
    <t>7.460052261200030</t>
  </si>
  <si>
    <t>SATELLITE RBDRBO IN JERRYCAN@25KG</t>
  </si>
  <si>
    <t>DẦU CÁM GẠO TINH LUYỆN HIỆU SATELLITE TRONG CAN 25KG</t>
  </si>
  <si>
    <t>7.9240123021001</t>
  </si>
  <si>
    <t>HANG VIET SOY SAUCE 495ML X 24 BOT</t>
  </si>
  <si>
    <t>NƯỚC TƯƠNG HÀNG VIỆT 495ML</t>
  </si>
  <si>
    <t>HO1TD010400</t>
  </si>
  <si>
    <t>7.9240223991123</t>
  </si>
  <si>
    <t>HOT CHILLI SAUCE 275G X 24 BOT</t>
  </si>
  <si>
    <t>TƯƠNG ỚT ĐẶC BIỆT CAY 275G</t>
  </si>
  <si>
    <t>7.9240223991101</t>
  </si>
  <si>
    <t>CHILI SAUCE 275G X 24 BOT</t>
  </si>
  <si>
    <t>TƯƠNG ỚT 275G</t>
  </si>
  <si>
    <t>7.92423991201</t>
  </si>
  <si>
    <t>SALAD DRESSING 340G X 30 BOT</t>
  </si>
  <si>
    <t>SỐT DẦU DẤM 340G</t>
  </si>
  <si>
    <t>7.9240123031301</t>
  </si>
  <si>
    <t>PREMIUM SOYA SOUCE 200ML X 24 BOT</t>
  </si>
  <si>
    <t>NƯỚC TƯƠNG THƯỢNG HẠNG 200ML</t>
  </si>
  <si>
    <t>7.9240123041401</t>
  </si>
  <si>
    <t>HUONG NAM DIPPING SAUCE 450ML X 20 BOT</t>
  </si>
  <si>
    <t>NƯỚC CHẤM HƯƠNG NẤM 450ML</t>
  </si>
  <si>
    <t>7.924012302100101</t>
  </si>
  <si>
    <t>HANG VIET SOY SAUCE 495ML</t>
  </si>
  <si>
    <t>7.924022399112301</t>
  </si>
  <si>
    <t>HOT CHILLI SAUCE 275G</t>
  </si>
  <si>
    <t>7.924022399110101</t>
  </si>
  <si>
    <t>CHILI SAUCE 275G</t>
  </si>
  <si>
    <t>7.9242399120101</t>
  </si>
  <si>
    <t>SALAD DRESSING 340G</t>
  </si>
  <si>
    <t>7.924012303130101</t>
  </si>
  <si>
    <t>PREMIUM SOYA SOUCE 200ML</t>
  </si>
  <si>
    <t>7.924012304140101</t>
  </si>
  <si>
    <t>HUONG NAM DIPPING SAUCE 450ML</t>
  </si>
  <si>
    <t>7.52399080221</t>
  </si>
  <si>
    <t>MEIZAN-CRYSPY 1KG</t>
  </si>
  <si>
    <t>BỘT CHIÊN GIÒN "MEIZAN" 1KG</t>
  </si>
  <si>
    <t>6.5239905050501</t>
  </si>
  <si>
    <t>COMPASS LP1-25</t>
  </si>
  <si>
    <t>BỘT MÌ ĐA DỤNG LA BÀN LP-1 (25KG)</t>
  </si>
  <si>
    <t>HO1TD010200</t>
  </si>
  <si>
    <t>6.5239905050526</t>
  </si>
  <si>
    <t>COMPASS LP1-25-AD2</t>
  </si>
  <si>
    <t>6.5239905050527</t>
  </si>
  <si>
    <t>COMPASS LP1-25-TIEN NHAN</t>
  </si>
  <si>
    <t>6.5239905060501</t>
  </si>
  <si>
    <t>COMPASS LP2-25</t>
  </si>
  <si>
    <t>BỘT MÌ ĐA DỤNG LA BÀN LP-2 (25KG)</t>
  </si>
  <si>
    <t>6.5239905060528</t>
  </si>
  <si>
    <t>COMPASS LP2-25-SASA</t>
  </si>
  <si>
    <t>6.5239905070501</t>
  </si>
  <si>
    <t>COMPASS LP3-25</t>
  </si>
  <si>
    <t>BỘT MÌ ĐA DỤNG LA BÀN LP-3 (25KG)</t>
  </si>
  <si>
    <t>6.5239905070529</t>
  </si>
  <si>
    <t>COMPASS LP3-25-NEW</t>
  </si>
  <si>
    <t>6.5239905070528</t>
  </si>
  <si>
    <t>COMPASS LP3-25-SASA</t>
  </si>
  <si>
    <t>6.5239905070527</t>
  </si>
  <si>
    <t>COMPASS LP3-25-TIEN NHAN</t>
  </si>
  <si>
    <t>6.5239905070530</t>
  </si>
  <si>
    <t>COMPASS LP3-25-VUNG VONG</t>
  </si>
  <si>
    <t>6.5239905080501</t>
  </si>
  <si>
    <t>COMPASS LP4-25</t>
  </si>
  <si>
    <t>BỘT MÌ ĐA DỤNG LA BÀN LP-4 (25KG)</t>
  </si>
  <si>
    <t>6.5239905090501</t>
  </si>
  <si>
    <t>COMPASS LP5-25</t>
  </si>
  <si>
    <t>BỘT MÌ ĐA DỤNG LA BÀN LP-5 (25KG)</t>
  </si>
  <si>
    <t>6.5239905090525</t>
  </si>
  <si>
    <t>COMPASS LP5-25-AD1</t>
  </si>
  <si>
    <t>7.101172570901020</t>
  </si>
  <si>
    <t>SATELLITE REDLABEL RBDOLCP8 IN BIB @18KG</t>
  </si>
  <si>
    <t>DẦU OLEIN CỌ TINH LUYỆN NHÃN HIỆU SATELLITE NHÃN MÀU ĐỎ18KG</t>
  </si>
  <si>
    <t>7.9240223122101</t>
  </si>
  <si>
    <t>CHILLI SAUCES HORECA 5,2KG X 4 BOT</t>
  </si>
  <si>
    <t>TƯƠNG ỚT HORECA 5,2KG</t>
  </si>
  <si>
    <t>7.924022312210101</t>
  </si>
  <si>
    <t>CHILLI SAUCES HORECA 5,2KG</t>
  </si>
  <si>
    <t>V86.8242499001</t>
  </si>
  <si>
    <t>STICKER TRADITIONAL WHOLE EGG 2KG</t>
  </si>
  <si>
    <t>V86.8242599001</t>
  </si>
  <si>
    <t>STICKER ETA BBQ SAUCE 4KG</t>
  </si>
  <si>
    <t>V86.8242499002</t>
  </si>
  <si>
    <t>STICKER TRADITIONAL 365GR</t>
  </si>
  <si>
    <t>V86.8242499003</t>
  </si>
  <si>
    <t>STICKER REAL WHOLE EGG 355GR</t>
  </si>
  <si>
    <t>V86.8242599002</t>
  </si>
  <si>
    <t>STICKER ETA BBQ SAUCE 375ML</t>
  </si>
  <si>
    <t>7.9240223991901</t>
  </si>
  <si>
    <t>PREMIUM CHILI SAUCE 295GR X 20 BOT</t>
  </si>
  <si>
    <t>TƯƠNG ỚT CAO CẤP 295G</t>
  </si>
  <si>
    <t>7.924022399190101</t>
  </si>
  <si>
    <t>PREMIUM CHILI SAUCE 295GR</t>
  </si>
  <si>
    <t>7.9240223122001</t>
  </si>
  <si>
    <t>HORECA CHILI SAUCE 2.1KG X 6 BOT</t>
  </si>
  <si>
    <t>TƯƠNG ỚT HORECA 2,1KG</t>
  </si>
  <si>
    <t>7.924022312200101</t>
  </si>
  <si>
    <t>HORECA CHILI SAUCE 2.1KG</t>
  </si>
  <si>
    <t>V39.005.061</t>
  </si>
  <si>
    <t>KANGAROO KG 57S HUMIDIFYING MIST FAN</t>
  </si>
  <si>
    <t>QUẠT PHUN SƯƠNG TẠO ẨM KANGAROO KG</t>
  </si>
  <si>
    <t>7.8240128992401</t>
  </si>
  <si>
    <t>PRAISE TRADITIONAL CREAMY MAYONNAISE 365G X 12BOT</t>
  </si>
  <si>
    <t>XỐT MAYONNAISE TRUYỀN THỐNG NHÃN HIỆU PRAISE 365G</t>
  </si>
  <si>
    <t>7.824012899240101</t>
  </si>
  <si>
    <t>PRAISE TRADITIONAL CREAMY MAYONNAISE 365G</t>
  </si>
  <si>
    <t>7.8240128992501</t>
  </si>
  <si>
    <t>PRAISE TRADITIONAL WHOLE EGG MAYONNAISE 2KG X 4BOT</t>
  </si>
  <si>
    <t>XỐT MAYONNAISE TRUYỀN THỐNG NHÃN HIỆU PRAISE 2KG</t>
  </si>
  <si>
    <t>7.824012899250101</t>
  </si>
  <si>
    <t>PRAISE TRADITIONAL WHOLE EGG MAYONNAISE 2KG</t>
  </si>
  <si>
    <t>7.8240128992640</t>
  </si>
  <si>
    <t>PRAISE REAL WHOLE EGG CREAMY MAYONNAISE 335G X 12BOT</t>
  </si>
  <si>
    <t>XỐT MAYONNAISE TỪ TRỨNG GÀ TƯƠI NHÃN HIỆU PRAISE 335G</t>
  </si>
  <si>
    <t>7.824012899264001</t>
  </si>
  <si>
    <t>PRAISE REAL WHOLE EGG CREAMY MAYONNAISE 335G</t>
  </si>
  <si>
    <t>7.8240229992701</t>
  </si>
  <si>
    <t>ETA ORIGINAL BARBECUE SAUCE 375ML X 12BOT</t>
  </si>
  <si>
    <t>XỐT BARBECUE ETA 375ML</t>
  </si>
  <si>
    <t>7.824022999270101</t>
  </si>
  <si>
    <t>ETA ORIGINAL BARBECUE SAUCE 375ML</t>
  </si>
  <si>
    <t>7.8240229992801</t>
  </si>
  <si>
    <t>ETA ORIGINAL BARBECUE SAUCE 4KG X 2BOT</t>
  </si>
  <si>
    <t>XỐT BARBECUE ETA 4KG</t>
  </si>
  <si>
    <t>7.824022999280101</t>
  </si>
  <si>
    <t>ETA ORIGINAL BARBECUE SAUCE 4KG</t>
  </si>
  <si>
    <t>V39.013.202</t>
  </si>
  <si>
    <t>SIMPLY HAT</t>
  </si>
  <si>
    <t>NÓN SIMPLY</t>
  </si>
  <si>
    <t>V51.901.024</t>
  </si>
  <si>
    <t>THIỆP CHÚC MỪNG SIMPLY 20/10</t>
  </si>
  <si>
    <t>V51.600.044</t>
  </si>
  <si>
    <t>DECAN CHO THÙNG CHỞ HÀNG MEIZAN</t>
  </si>
  <si>
    <t>V51.153.010</t>
  </si>
  <si>
    <t>SIMPLY PAPER BAG</t>
  </si>
  <si>
    <t>TÚI GIẤY SIMPLY</t>
  </si>
  <si>
    <t>V39.005.055</t>
  </si>
  <si>
    <t>MITSUBISHI STANDING FAN LV16-RT CY-GY</t>
  </si>
  <si>
    <t>QUẠT ĐỨNG MITSUBISHI LV16-RT CY-GY</t>
  </si>
  <si>
    <t>7.9240223991638</t>
  </si>
  <si>
    <t>CHILLI SAUCE SWEET AND SOUR 265GR X 30 BOT</t>
  </si>
  <si>
    <t>TƯƠNG ỚT CHUA NGỌT 265G</t>
  </si>
  <si>
    <t>7.924022399163801</t>
  </si>
  <si>
    <t>CHILLI SAUCE SWEET AND SOUR 265GR</t>
  </si>
  <si>
    <t>7.9240323991201</t>
  </si>
  <si>
    <t>OYSTER SAUCE 340GR X 30 BOT</t>
  </si>
  <si>
    <t>DẦU HÀO 340G</t>
  </si>
  <si>
    <t>7.924032399120101</t>
  </si>
  <si>
    <t>OYSTER SAUCE 340GR</t>
  </si>
  <si>
    <t>7.9240523991501</t>
  </si>
  <si>
    <t>SATAY CHILLI 90GR X 60 BOT</t>
  </si>
  <si>
    <t>SA TẾ ỚT 90G</t>
  </si>
  <si>
    <t>7.924052399150101</t>
  </si>
  <si>
    <t xml:space="preserve">SATAY CHILLI 90GR </t>
  </si>
  <si>
    <t>7.9240223991637</t>
  </si>
  <si>
    <t>PLUM CHILLI SAUCE 265GR X 30 BOT</t>
  </si>
  <si>
    <t>TƯƠNG ỚT XÍ MUỘI 265G</t>
  </si>
  <si>
    <t>7.924022399163701</t>
  </si>
  <si>
    <t>CHILI PLUM SAUCE 265GR</t>
  </si>
  <si>
    <t>7.70510</t>
  </si>
  <si>
    <t>WILFAESTER IPP@180STEELDRUM</t>
  </si>
  <si>
    <t>ESTE CỦA AXIT PALMITIC - WILFAESTER IPP; PHUY 180KG</t>
  </si>
  <si>
    <t>7.70511</t>
  </si>
  <si>
    <t>WILFAESTER IPM@180STEELDRUM</t>
  </si>
  <si>
    <t>ESTE CỦA AXIT MYRISTIC - WILFAESTER IPM; PHUY 180KG</t>
  </si>
  <si>
    <t>6.5239907990541</t>
  </si>
  <si>
    <t>GREEN KEY-25-TOP FOOD</t>
  </si>
  <si>
    <t>6.5239907990543</t>
  </si>
  <si>
    <t>GREEN KEY-25-DIAMOND</t>
  </si>
  <si>
    <t>6.5239927990501</t>
  </si>
  <si>
    <t>GREEN KEY SP-25</t>
  </si>
  <si>
    <t>BỘT MÌ THƯỢNG HẠNG "CHÌA KHÓA XANH LÁ SP" (25KG)</t>
  </si>
  <si>
    <t>6.5239927990542</t>
  </si>
  <si>
    <t>GREEN KEY SP-25-TRANG AN</t>
  </si>
  <si>
    <t>6.5239907990544</t>
  </si>
  <si>
    <t>GREEN KEY-25-HAI CHAU</t>
  </si>
  <si>
    <t>6.5239907990545</t>
  </si>
  <si>
    <t>GREEN KEY-25-HOBICO</t>
  </si>
  <si>
    <t>6.5239907990546</t>
  </si>
  <si>
    <t>GREEN KEY-25-LBB</t>
  </si>
  <si>
    <t>6.5239907990542</t>
  </si>
  <si>
    <t>GREEN KEY-25-TRANG AN</t>
  </si>
  <si>
    <t>7.9240123010901</t>
  </si>
  <si>
    <t>SOYA SAUCE 300ML X 30BOT</t>
  </si>
  <si>
    <t>NƯỚC TƯƠNG SOYA 300ML</t>
  </si>
  <si>
    <t>7.924012301090101</t>
  </si>
  <si>
    <t>SOYA SAUCE 300ML</t>
  </si>
  <si>
    <t>7.70512</t>
  </si>
  <si>
    <t>MIXED SOAP POWDER IN BAG @25KG</t>
  </si>
  <si>
    <t>PHÔI XÀ PHÒNG - DẠNG BỘT; BAO 25KG</t>
  </si>
  <si>
    <t>V39.013.037</t>
  </si>
  <si>
    <t>T-SHIRT SIMPLY</t>
  </si>
  <si>
    <t>6.5239904990534</t>
  </si>
  <si>
    <t>BROWN COMPASS-25-HANOI FOOD</t>
  </si>
  <si>
    <t>6.5239904990535</t>
  </si>
  <si>
    <t>BROWN COMPASS-25-HUU NGHI</t>
  </si>
  <si>
    <t>6.5239904990520</t>
  </si>
  <si>
    <t>BROWN COMPASS-25-KHAI MINH</t>
  </si>
  <si>
    <t>6.5239904990547</t>
  </si>
  <si>
    <t>BROWN COMPASS-25-THAI LAN</t>
  </si>
  <si>
    <t>6.5239904990548</t>
  </si>
  <si>
    <t>BROWN COMPASS-25-X22</t>
  </si>
  <si>
    <t>6.5239904990636</t>
  </si>
  <si>
    <t>BROWN COMPASS-40-MASAN</t>
  </si>
  <si>
    <t>6.5239904990649</t>
  </si>
  <si>
    <t>BROWN COMPASS-40-UNIBEN</t>
  </si>
  <si>
    <t>7.106005020160801</t>
  </si>
  <si>
    <t>RBD  PALM STEARIN  SANIA  48-52 @ 20KG</t>
  </si>
  <si>
    <t>WILSHORT SHORTENING 48-52 HIỆU SANIA TRONG THÙNG 20KG</t>
  </si>
  <si>
    <t>V51.901.025</t>
  </si>
  <si>
    <t>HANGER 6 BOXES</t>
  </si>
  <si>
    <t>GIÁ TREO 6 HỘC</t>
  </si>
  <si>
    <t>7.70513</t>
  </si>
  <si>
    <t>WILFARIN STEARIC ACID1860 LAMINATED PAPERBAG @25KG</t>
  </si>
  <si>
    <t>AXIT STEARIC - WILFARIN SA1860</t>
  </si>
  <si>
    <t>V51.501.122</t>
  </si>
  <si>
    <t>TROPHY FOR BEST PERFORMANCE</t>
  </si>
  <si>
    <t>CÚP CHO NHÀ PHÂN PHỐI ĐẠT THÀNH TÍCH XUẤT SẮC</t>
  </si>
  <si>
    <t>V51.501.123</t>
  </si>
  <si>
    <t>TROPHY FOR GOOD PERFORMANCE</t>
  </si>
  <si>
    <t>CÚP CHO NHÀ PHÂN PHỐI ĐẠT THÀNH TÍCH TỐT</t>
  </si>
  <si>
    <t>V51.501.124</t>
  </si>
  <si>
    <t>TROPHY FOR COOPERATION AWARD</t>
  </si>
  <si>
    <t>CÚP CHO NHÀ PHÂN PHỐI ĐẠT GIẢI THƯỞNG HỢP TÁC</t>
  </si>
  <si>
    <t>V51.501.125</t>
  </si>
  <si>
    <t>TROPHY FOR MARKETING STAFFS</t>
  </si>
  <si>
    <t>CÚP CHO NHÂN VIÊN BÁN HÀNG</t>
  </si>
  <si>
    <t>V39.013.047</t>
  </si>
  <si>
    <t>SIMPLY BLUE T-SHIRT FOR AGENT MEETING</t>
  </si>
  <si>
    <t>ÁO PHÔNG SIMPLY MÀU XANH CHO HỘI NGHỊ NHÀ PHÂN PHỐI</t>
  </si>
  <si>
    <t>V39.013.048</t>
  </si>
  <si>
    <t>SIMPLY WHITE T-SHIRT FOR AGENT MEETING</t>
  </si>
  <si>
    <t>ÁO PHÔNG SIMPLY MÀU TRẮNG CHO HỘI NGHỊ NHÀ PHÂN PHỐI</t>
  </si>
  <si>
    <t>V39.013.207</t>
  </si>
  <si>
    <t>SIMPLY HAT FOR AGENT MEETING</t>
  </si>
  <si>
    <t>MŨ SIMPLY CHO HỘI NGHỊ NHÀ PHÂN PHỐI</t>
  </si>
  <si>
    <t>V39.013.401</t>
  </si>
  <si>
    <t>VALI SKYWAY NIMBUS WITH LOGO WILMAR</t>
  </si>
  <si>
    <t>VALI SKYWAY NIMBUS IN LOGO WILMAR</t>
  </si>
  <si>
    <t>V39.013.402</t>
  </si>
  <si>
    <t>VALI NAMETAG</t>
  </si>
  <si>
    <t>BẢNG TÊN VALI</t>
  </si>
  <si>
    <t>6.5239922990601</t>
  </si>
  <si>
    <t>BLUE COMPASS-40</t>
  </si>
  <si>
    <t>BỘT MÌ NHÃN HIỆU "LA BÀN XANH" (40KG)</t>
  </si>
  <si>
    <t>6.5239914990601</t>
  </si>
  <si>
    <t>RED COMPASS-40</t>
  </si>
  <si>
    <t>BỘT MÌ NHÃN HIỆU "LA BÀN ĐỎ" (40KG)</t>
  </si>
  <si>
    <t>6.5239930990501</t>
  </si>
  <si>
    <t>RED KEY - N 25</t>
  </si>
  <si>
    <t>BỘT MÌ NHÃN HIỆU "CHÌA KHÓA ĐỎ MÌ SỢI" (25KG)</t>
  </si>
  <si>
    <t>6.5239931990501</t>
  </si>
  <si>
    <t>BCR-1 25KG</t>
  </si>
  <si>
    <t>BỘT MÌ NHÃN HIỆU "BCR-1" (25KG)</t>
  </si>
  <si>
    <t>6.5239917990501</t>
  </si>
  <si>
    <t>SATELLITE-25</t>
  </si>
  <si>
    <t>BỘT MÌ NHÃN HIỆU "VỆ TINH" (25KG)</t>
  </si>
  <si>
    <t>6.5239917990550</t>
  </si>
  <si>
    <t>SATELLITE - JOLLIBEE 25KG</t>
  </si>
  <si>
    <t>6.5239917990535</t>
  </si>
  <si>
    <t>SATELLITE - HN 25KG</t>
  </si>
  <si>
    <t>6.5239917990551</t>
  </si>
  <si>
    <t>SATELLITE - HIGH PRO 25KG</t>
  </si>
  <si>
    <t>7.131069035905A00</t>
  </si>
  <si>
    <t>NEPTUNE GOLD TET 1LX12BTL</t>
  </si>
  <si>
    <t>NEPTUNE GOLD CO TET 1LX12BTL</t>
  </si>
  <si>
    <t>7.131069045904A00</t>
  </si>
  <si>
    <t>NEPTUNE GOLD TET 2LX6BTL</t>
  </si>
  <si>
    <t>NEPTUNE GOLD CO TET 2LX6BTL</t>
  </si>
  <si>
    <t>7.131069065903A00</t>
  </si>
  <si>
    <t>NEPTUNE GOLD TET 5LX4BTL</t>
  </si>
  <si>
    <t>NEPTUNE GOLD CO TET 5LX4BTL</t>
  </si>
  <si>
    <t>7.131069036005A00</t>
  </si>
  <si>
    <t>NEPTUNE GOLD TET GIFT PACK 1L X12BTL</t>
  </si>
  <si>
    <t>NEPTUNE GOLD CO TET GIFT PACK 1L X12BTL</t>
  </si>
  <si>
    <t>V39.015.016</t>
  </si>
  <si>
    <t>SET OF OLIVOILA UG 999 GLASS (2PC/BOX)</t>
  </si>
  <si>
    <t>BỘ LY THỦY TINH UG 999 (2 CÁI/HỘP)</t>
  </si>
  <si>
    <t>6.5239904990652</t>
  </si>
  <si>
    <t>BROWN COMPASS-40-BIVY</t>
  </si>
  <si>
    <t>6.5239915990553</t>
  </si>
  <si>
    <t>RED KEY-25-KA</t>
  </si>
  <si>
    <t>7.460106011700030</t>
  </si>
  <si>
    <t>NEPTUNE PREMIUM RICE BRAN OIL @ 0.25L</t>
  </si>
  <si>
    <t>DẦU GẠO CAO CẤP NEPTUNE 0,25L (HP)</t>
  </si>
  <si>
    <t>V39.013.203</t>
  </si>
  <si>
    <t>SIMPLY CROWNLESS CAP</t>
  </si>
  <si>
    <t>NÓN SIMPLY NỬA ĐẦU</t>
  </si>
  <si>
    <t>V51.901.023</t>
  </si>
  <si>
    <t>CAI LAN HANGER</t>
  </si>
  <si>
    <t>MÓC TREO HÀNG CÁI LÂN</t>
  </si>
  <si>
    <t>V51.106.004</t>
  </si>
  <si>
    <t>CAI LAN UMBRELLA</t>
  </si>
  <si>
    <t>DÙ CÁI LÂN</t>
  </si>
  <si>
    <t>V51.600.049</t>
  </si>
  <si>
    <t>CAI LAN BOOTH</t>
  </si>
  <si>
    <t>QUẦY BÁN HÀNG CÁI LÂN</t>
  </si>
  <si>
    <t>V51.600.050</t>
  </si>
  <si>
    <t>CAI LAN SALES TABLE</t>
  </si>
  <si>
    <t>BÀN LẮP RÁP CÁI LÂN</t>
  </si>
  <si>
    <t>V39.015.301</t>
  </si>
  <si>
    <t>SET OF DAI DONG TIEN PLASTIC B</t>
  </si>
  <si>
    <t>BỘ 5 HỘP NHỰA ĐẠI ĐỒNG TIẾN</t>
  </si>
  <si>
    <t>V51.060.002</t>
  </si>
  <si>
    <t>CALENDAR TET 2017 - 365 DELICIOUS DAY</t>
  </si>
  <si>
    <t>BỘ LỊCH TẾT 2017 - 365 NGÀY NGON</t>
  </si>
  <si>
    <t>V56.052.013</t>
  </si>
  <si>
    <t>LAPTOP DELL VOSTRO 5459-V5459C (YELLOW COPPER)</t>
  </si>
  <si>
    <t>MÁY TÍNH XÁCH TAY DELL VOSTRO 5459-V5459C (VÀNG ĐỒNG)</t>
  </si>
  <si>
    <t>V39.001.048</t>
  </si>
  <si>
    <t>TIVI LG 49LH511 - TIVI LG 49LH511</t>
  </si>
  <si>
    <t>V15.405.006</t>
  </si>
  <si>
    <t>CANON CAMERA SX420 IS</t>
  </si>
  <si>
    <t>V15.020.002</t>
  </si>
  <si>
    <t>APPLE  IPHONE 7  128GB GOLD</t>
  </si>
  <si>
    <t>ĐIỆN THOẠI DI ĐỘNG APPLE IPHONE 7 128 GB (VÀNG ĐỒNG)</t>
  </si>
  <si>
    <t>7.460050031700030</t>
  </si>
  <si>
    <t>7.460050440112030</t>
  </si>
  <si>
    <t>SIMPLY RBDRBO 0.4L X 20 BTL</t>
  </si>
  <si>
    <t>DẦU GẠO NGUYÊN CHẤT NHÃN HIỆU SIMPLY 0.4L</t>
  </si>
  <si>
    <t>SIMPLY RBDRBO IN BOTTLE@1L</t>
  </si>
  <si>
    <t>7.460050441700030</t>
  </si>
  <si>
    <t>SIMPLY RBDRBO 0.4L</t>
  </si>
  <si>
    <t>6.5239924990701</t>
  </si>
  <si>
    <t>RED POLLARD 14%_50</t>
  </si>
  <si>
    <t>7.106012021770801</t>
  </si>
  <si>
    <t>MEIZAN BAKING FAT 48 @20KG</t>
  </si>
  <si>
    <t>CHẤT BÉO BÁNH NƯỚNG NHÃN HIỆU MEIZAN TRONG THÙNG 20KG</t>
  </si>
  <si>
    <t>7.131056011700750</t>
  </si>
  <si>
    <t>CO-MEIZAN G3 BTL@0.25L</t>
  </si>
  <si>
    <t>6.5239927990543</t>
  </si>
  <si>
    <t>GREEN KEY SP-25-DIAMOND</t>
  </si>
  <si>
    <t>V39.017.082</t>
  </si>
  <si>
    <t>ELECTROLUX EWF12844 WASHING MACHINE</t>
  </si>
  <si>
    <t>MÁY GIẶT ELECTROLUX EWF12844</t>
  </si>
  <si>
    <t>V39.050.001</t>
  </si>
  <si>
    <t>PANASONIC AIR CONDITIONER CU/CS - YZ12SKH-8</t>
  </si>
  <si>
    <t>ĐIỀU HÒA PANASONIC CU/CS-YZ12SKH-8</t>
  </si>
  <si>
    <t>6.5239901990531</t>
  </si>
  <si>
    <t>ACE 1-25-WOODLAND</t>
  </si>
  <si>
    <t>7.5239908082101</t>
  </si>
  <si>
    <t>6.5239926990533</t>
  </si>
  <si>
    <t>BLUE KEY PAU-25-PHU MY</t>
  </si>
  <si>
    <t>BỘT MÌ NHÃN HIỆU"CHÌA KHÓA XANH BÁNH BAO"(25KG)</t>
  </si>
  <si>
    <t>V39.015.218</t>
  </si>
  <si>
    <t>KIDDY GLASS BOWL UG 317</t>
  </si>
  <si>
    <t>CHÉN THỦY TINH UNION UG 317</t>
  </si>
  <si>
    <t>6.1222222</t>
  </si>
  <si>
    <t>REFINED HYDRO PALM KERNEL OLEIN IV 4-12</t>
  </si>
  <si>
    <t>6.5239911990512</t>
  </si>
  <si>
    <t>ORANGE KEY-25-LAO</t>
  </si>
  <si>
    <t>6.5239916990512</t>
  </si>
  <si>
    <t>RED PEN-25-LAO</t>
  </si>
  <si>
    <t>6.5239925990554</t>
  </si>
  <si>
    <t>BLUE KEY NOODLE-25-HUE</t>
  </si>
  <si>
    <t>6.5239904990555</t>
  </si>
  <si>
    <t>BROWN COMPASS-25-BAO HUNG</t>
  </si>
  <si>
    <t>6.5239912990556</t>
  </si>
  <si>
    <t>PINK KEY-25-KIM MA</t>
  </si>
  <si>
    <t>6.5239917990557</t>
  </si>
  <si>
    <t>SATELLITE_25_AN THAI</t>
  </si>
  <si>
    <t>6.5239911990601</t>
  </si>
  <si>
    <t>ORANGE KEY_40</t>
  </si>
  <si>
    <t>BỘT MÌ NHÃN HIỆU "CHÌA KHÓA CAM" (40KG)</t>
  </si>
  <si>
    <t>6.5239919990601</t>
  </si>
  <si>
    <t>RED KEY -SP_40</t>
  </si>
  <si>
    <t>BỘT MÌ NHÃN HIỆU "CHÌA KHÓA ĐỎ SP" (40KG)</t>
  </si>
  <si>
    <t>6.5239903990601</t>
  </si>
  <si>
    <t>BLUE PEN_40</t>
  </si>
  <si>
    <t>BỘT MÌ NHÃN HIỆU "CÂY VIẾT XANH" (40KG)</t>
  </si>
  <si>
    <t>6.5239916990601</t>
  </si>
  <si>
    <t>RED PEN_40</t>
  </si>
  <si>
    <t>BỘT MÌ NHÃN HIỆU "CÂY VIẾT ĐỎ" (40KG)</t>
  </si>
  <si>
    <t>6.5239902990601</t>
  </si>
  <si>
    <t>BLUE KEY_40</t>
  </si>
  <si>
    <t>BỘT MÌ NHÃN HIỆU "CHÌA KHÓA XANH" (40KG)</t>
  </si>
  <si>
    <t>6.5239906990601</t>
  </si>
  <si>
    <t>GREEN COMPASS_40</t>
  </si>
  <si>
    <t>BỘT MÌ NHÃN HIỆU "LA BÀN XANH LÁ" (40KG)</t>
  </si>
  <si>
    <t>6.5239932990501</t>
  </si>
  <si>
    <t>PINK COMPASS_25</t>
  </si>
  <si>
    <t>BỘT MÌ NHÃN HIỆU "LA BÀN HỒNG" (25KG)</t>
  </si>
  <si>
    <t>6.5239932990601</t>
  </si>
  <si>
    <t>PINK COMPASS_40</t>
  </si>
  <si>
    <t>BỘT MÌ NHÃN HIỆU "LA BÀN HỒNG" (40KG)</t>
  </si>
  <si>
    <t>6.5239933990601</t>
  </si>
  <si>
    <t>SA-3 40KG</t>
  </si>
  <si>
    <t>BỘT MÌ NHÃN HIỆU "SA-3" (40KG)</t>
  </si>
  <si>
    <t>6.5239914990658</t>
  </si>
  <si>
    <t>RED COMPASS MT_40_HIEU PHUONG</t>
  </si>
  <si>
    <t>BỘT MÌ NHÃN HIỆU "LA BÀN ĐỎ MT" (40KG)</t>
  </si>
  <si>
    <t>6.5239934990601</t>
  </si>
  <si>
    <t>ACE-40</t>
  </si>
  <si>
    <t>BỘT MÌ NHÃN HIỆU "ACE" (40KG)</t>
  </si>
  <si>
    <t>7.9240223111801</t>
  </si>
  <si>
    <t>CHILI SAUCE 250GR X 30 BOT</t>
  </si>
  <si>
    <t>TƯƠNG ỚT CHILI 250G</t>
  </si>
  <si>
    <t>7.924022311180101</t>
  </si>
  <si>
    <t>CHILI SAUCE 250GR</t>
  </si>
  <si>
    <t>6.5239935220501</t>
  </si>
  <si>
    <t>LWW 2-25</t>
  </si>
  <si>
    <t>BỘT MÌ CHUYÊN DỤNG "CAKE FLOUR LWW-2" (25KG)</t>
  </si>
  <si>
    <t>6.5239936220501</t>
  </si>
  <si>
    <t>LWW 3-25</t>
  </si>
  <si>
    <t>BỘT MÌ CHUYÊN DỤNG "HARD WHEAT FLOUR LWW-3" (25KG)</t>
  </si>
  <si>
    <t>6.5239914992959</t>
  </si>
  <si>
    <t>RED COMPASS _25_CPC</t>
  </si>
  <si>
    <t>BỘT MÌ NHÃN HIỆU "LA BÀN ĐỎ" (20KG)</t>
  </si>
  <si>
    <t>6.5239937140601</t>
  </si>
  <si>
    <t>SF32_ 40</t>
  </si>
  <si>
    <t>BỘT "MÌ TÔM VUA XANH" (40KG)</t>
  </si>
  <si>
    <t>6.5239913990460</t>
  </si>
  <si>
    <t>PIZZA-10- PIZZA NGON</t>
  </si>
  <si>
    <t>V51.901.029</t>
  </si>
  <si>
    <t>PLASTIC HOOK WITH 9 CORES</t>
  </si>
  <si>
    <t>DÂY TREO NHỰA 9 MÓC</t>
  </si>
  <si>
    <t>6.5239937130661</t>
  </si>
  <si>
    <t>SF28_40_TIN PHUONG</t>
  </si>
  <si>
    <t>BỘT MÌ SF (40KG)</t>
  </si>
  <si>
    <t>6.5239937990662</t>
  </si>
  <si>
    <t>SF_40_FL3</t>
  </si>
  <si>
    <t>6.5239937990563</t>
  </si>
  <si>
    <t>SF_25_1</t>
  </si>
  <si>
    <t>BỘT MÌ SF 25KG</t>
  </si>
  <si>
    <t>6.5239937130601</t>
  </si>
  <si>
    <t>SF28_40</t>
  </si>
  <si>
    <t>BỘT MÌ SF 28 (40KG)</t>
  </si>
  <si>
    <t>6.5239937130657</t>
  </si>
  <si>
    <t>SF28_40_ AN THAI</t>
  </si>
  <si>
    <t>BỘT MÌ SF 28_AN THAI (40KG)</t>
  </si>
  <si>
    <t>6.5239937150657</t>
  </si>
  <si>
    <t>SF32_40_AN THAI</t>
  </si>
  <si>
    <t>7.5239937160601</t>
  </si>
  <si>
    <t>RED KING SHRIMP (40KG)</t>
  </si>
  <si>
    <t>BỘT MÌ TÔM VUA ĐỎ (40KG)</t>
  </si>
  <si>
    <t>6.5239938990763</t>
  </si>
  <si>
    <t>POLLARD 14%_50_1</t>
  </si>
  <si>
    <t>CÁM MÌ (POLLARD) (50KG)</t>
  </si>
  <si>
    <t>6.5239938990701</t>
  </si>
  <si>
    <t>POLLARD 14%_50</t>
  </si>
  <si>
    <t>6.5239914990559</t>
  </si>
  <si>
    <t>7.70514</t>
  </si>
  <si>
    <t>WILFAROL1698 LAMINATED PAPERBAG @25KG</t>
  </si>
  <si>
    <t>RƯỢU CETYL - WILFAROL 1698; BAO 25KG</t>
  </si>
  <si>
    <t>7.70515</t>
  </si>
  <si>
    <t>WILFAROL1618 LAMINATED PAPERBAG @25KG</t>
  </si>
  <si>
    <t>RƯỢU CETYL-STEARYL - WILFAROL 1618; BAO 25KG</t>
  </si>
  <si>
    <t>6.1221210</t>
  </si>
  <si>
    <t>REFINED HYDRO KERNEL OIL IV 1 MP 41</t>
  </si>
  <si>
    <t>DẦU NHÂN CỌ HYDRO HÓA, TINH LUYỆN 41 - 43</t>
  </si>
  <si>
    <t>6.5239939990501</t>
  </si>
  <si>
    <t>BLUE KEY PIA_25</t>
  </si>
  <si>
    <t>BỘT MÌ NHÃN HIỆU"CHÌA KHÓA XANH BÁNH PÍA"(25KG)</t>
  </si>
  <si>
    <t>6-1221210</t>
  </si>
  <si>
    <t>TEMP REFINED HYDRO KERNEL OIL IV 1 MP 41</t>
  </si>
  <si>
    <t>DẦU NHÂN CỌ HYDRO HÓA VÀ TINH LUYỆN (HPKO 42)</t>
  </si>
  <si>
    <t>V51.501.120</t>
  </si>
  <si>
    <t>CRYSTAL TROPHY</t>
  </si>
  <si>
    <t>KỶ NIỆM CHƯƠNG</t>
  </si>
  <si>
    <t>V39.015.015</t>
  </si>
  <si>
    <t>GLASSLOCK OLIVOILA</t>
  </si>
  <si>
    <t>HỦ THỦY TINH OLIVOILA</t>
  </si>
  <si>
    <t>6.5239924170201</t>
  </si>
  <si>
    <t>VFMW - 2</t>
  </si>
  <si>
    <t>BỘT MÌ CHUYÊN DỤNG CAO CẤP "VFMW-2"</t>
  </si>
  <si>
    <t>6.5239924180201</t>
  </si>
  <si>
    <t>VFMW - 4</t>
  </si>
  <si>
    <t>BỘT MÌ CHUYÊN DỤNG CAO CẤP "VFMW-4"</t>
  </si>
  <si>
    <t>6.5239914990636</t>
  </si>
  <si>
    <t>RED COMPASS-40-MASAN</t>
  </si>
  <si>
    <t>6.5239909990601</t>
  </si>
  <si>
    <t>MS 1-40</t>
  </si>
  <si>
    <t>BỘT MÌ CHUYÊN DỤNG “MS 1”</t>
  </si>
  <si>
    <t>7.9240123101001</t>
  </si>
  <si>
    <t>HOA SEN SAUCE 495 ML X 24 BOT</t>
  </si>
  <si>
    <t>NƯỚC TƯƠNG HOA SEN 495ML</t>
  </si>
  <si>
    <t>7.924012310100101</t>
  </si>
  <si>
    <t>HOA SEN SAUCE 495 ML</t>
  </si>
  <si>
    <t>6.5239904990564</t>
  </si>
  <si>
    <t>BROWN COMPASS-25-AJI</t>
  </si>
  <si>
    <t>6.5239940190201</t>
  </si>
  <si>
    <t>VFM-2 (BULK)</t>
  </si>
  <si>
    <t>BỘT MÌ NHÃN HIỆU VFM 2</t>
  </si>
  <si>
    <t>6.5239940200201</t>
  </si>
  <si>
    <t>VFM-4 (BULK)</t>
  </si>
  <si>
    <t>BỘT MÌ NHÃN HIỆU VFM 4</t>
  </si>
  <si>
    <t>7.70516</t>
  </si>
  <si>
    <t>WILFA METHYL ESTER SULPHONATE FLAKES C16FR 75% ACTIVE MATTER LAMINATED PAPERBAG@25KG</t>
  </si>
  <si>
    <t>CHẾ PHẨM HOẠT ĐỘNG BỀ MẶT DẠNG ANION - WILFAMES C16FR 75%; BAO 25KG</t>
  </si>
  <si>
    <t>6.5239901990565</t>
  </si>
  <si>
    <t>ACE 1-25-AP</t>
  </si>
  <si>
    <t>V39.009.032</t>
  </si>
  <si>
    <t>V51.511.013</t>
  </si>
  <si>
    <t>OLIVOILA GLASS LG 123</t>
  </si>
  <si>
    <t>LY THỦY TINH LUCKYGLASS LG-312311 (123)</t>
  </si>
  <si>
    <t>6.5239941990601</t>
  </si>
  <si>
    <t>AP-40</t>
  </si>
  <si>
    <t>BỘT MÌ CHĂN NUÔI AP (40KG)</t>
  </si>
  <si>
    <t>6.5239941990666</t>
  </si>
  <si>
    <t>AP-40-P</t>
  </si>
  <si>
    <t>V51.901.030</t>
  </si>
  <si>
    <t>MEIZAN STANDEE SMALL SIZE (HIGH 1,9M)</t>
  </si>
  <si>
    <t>PHƯỚN ĐỨNG CỠ NHỎ (1,9 M)</t>
  </si>
  <si>
    <t>6.5239943990567</t>
  </si>
  <si>
    <t>GREEN KEY K</t>
  </si>
  <si>
    <t>V39.015.017</t>
  </si>
  <si>
    <t>LUCKYGLASS LG-312311</t>
  </si>
  <si>
    <t>LY THỦY TINH LUCKYGLASS LG-312311</t>
  </si>
  <si>
    <t>7.460050031700030TD</t>
  </si>
  <si>
    <t>7.5239908082101TD</t>
  </si>
  <si>
    <t>6.52399080100TD</t>
  </si>
  <si>
    <t>7.70517</t>
  </si>
  <si>
    <t>AXIT STEARIC - WILFARIN SA1810; BAO 25KG</t>
  </si>
  <si>
    <t>V39.015.401</t>
  </si>
  <si>
    <t>INFRARED STOVES (FOR TET DINNER)</t>
  </si>
  <si>
    <t>BẾP HỒNG NGOẠI</t>
  </si>
  <si>
    <t>7.1100003600822000</t>
  </si>
  <si>
    <t>WILKOTE 380 IN FLEXIBLEBAG @20MT</t>
  </si>
  <si>
    <t>DẦU NHÂN CỌ TINH LUYỆN VÀ HYDRO HÓA WILKOTE 380 TRONG FLEXIBAG</t>
  </si>
  <si>
    <t>V51.053.001</t>
  </si>
  <si>
    <t>PRAISE TRADITIONAL MAYONNAISE 365G</t>
  </si>
  <si>
    <t>XỐT MAYONAISE TRUYỀN THỐNG NHÃN HIỆU PRAISE 365G</t>
  </si>
  <si>
    <t>6.5239942990668</t>
  </si>
  <si>
    <t>PS - 1</t>
  </si>
  <si>
    <t>BỘT MÌ NHÃN HIỆU PS - 1 (40KG)</t>
  </si>
  <si>
    <t>V51.049.004</t>
  </si>
  <si>
    <t>HORECA CHILI SAUCE 2,1KG</t>
  </si>
  <si>
    <t>6.5239907990567</t>
  </si>
  <si>
    <t>GREEN KEY-25-BIBICA</t>
  </si>
  <si>
    <t>6.5239926990569</t>
  </si>
  <si>
    <t>BLUE KEY PAU 25 - ABC</t>
  </si>
  <si>
    <t>BỘT MÌ NHÃN HIỆU CHÌA KHÓA XANH BÁNH BAO (25KG)</t>
  </si>
  <si>
    <t>7.5239908990301</t>
  </si>
  <si>
    <t>7.131074031705810</t>
  </si>
  <si>
    <t>CHOICE L VEGETABLE OIL 1L X 12 BTL</t>
  </si>
  <si>
    <t>DẦU THỰC VẬT HIỆU CHOICE L 1L</t>
  </si>
  <si>
    <t>7.131074041704810</t>
  </si>
  <si>
    <t>CHOICE L VEGETABLE OIL 2L X 12 BTL</t>
  </si>
  <si>
    <t>DẦU THỰC VẬT HIỆU CHOICE L 2L</t>
  </si>
  <si>
    <t>7.131074061703810</t>
  </si>
  <si>
    <t>CHOICE L VEGETABLE OIL 5L X 4 BTL</t>
  </si>
  <si>
    <t>DẦU THỰC VẬT HIỆU CHOICE L 5L</t>
  </si>
  <si>
    <t>7.451123031705000</t>
  </si>
  <si>
    <t>CHOICE L SOYABEAN OIL 1L X 12 BTL</t>
  </si>
  <si>
    <t>DẦU ĐẬU NÀNH HIỆU CHOICE L 1L</t>
  </si>
  <si>
    <t>7.451123051704000</t>
  </si>
  <si>
    <t>CHOICE L SOYABEAN OIL 2L X 6 BTL</t>
  </si>
  <si>
    <t>DẦU ĐẬU NÀNH HIỆU CHOICE L 2L</t>
  </si>
  <si>
    <t>HO2TD010100</t>
  </si>
  <si>
    <t>7.451123081703000</t>
  </si>
  <si>
    <t>CHOICE L SOYABEAN OIL 5L X 4 BTL</t>
  </si>
  <si>
    <t>DẦU ĐẬU NÀNH HIỆU CHOICE L 5L</t>
  </si>
  <si>
    <t>V39.015.501</t>
  </si>
  <si>
    <t>ICE POT VIVAS 6L</t>
  </si>
  <si>
    <t>BÌNH ĐỰNG ĐÁ VIVAS 6L L713</t>
  </si>
  <si>
    <t>V39.015.500</t>
  </si>
  <si>
    <t>ICE POT VIVAS 3L</t>
  </si>
  <si>
    <t>BÌNH ĐỰNG ĐÁ VIVAS 3L L804</t>
  </si>
  <si>
    <t>7.131069036000A00TD</t>
  </si>
  <si>
    <t>7.131069031700A00TD</t>
  </si>
  <si>
    <t>V15.009.002</t>
  </si>
  <si>
    <t>HANDPHONE OPPO</t>
  </si>
  <si>
    <t>ĐIỆN THOẠI DI ĐỘNG OPPO</t>
  </si>
  <si>
    <t>V39.014.017</t>
  </si>
  <si>
    <t>HOTPOT COOKER HAPPYCOOK</t>
  </si>
  <si>
    <t>NỒI LẨU ĐIỆN HAPPYCOOK</t>
  </si>
  <si>
    <t>V39.003.011</t>
  </si>
  <si>
    <t>REFRIGERATOR LG 189L</t>
  </si>
  <si>
    <t>TỦ LẠNH LG 189 LÍT</t>
  </si>
  <si>
    <t>V39.030.005</t>
  </si>
  <si>
    <t>PANASONIC BLENDER TYPE MX-GM1011</t>
  </si>
  <si>
    <t>MÁY XAY SINH TỐ</t>
  </si>
  <si>
    <t>V39.018.016</t>
  </si>
  <si>
    <t>IRON (FOR TET DINNER)</t>
  </si>
  <si>
    <t>BÀN ỦI</t>
  </si>
  <si>
    <t>V39.040.001</t>
  </si>
  <si>
    <t>ELECTRIC HOT POT (FOR TET DINNER)</t>
  </si>
  <si>
    <t>LẨU ĐIỆN</t>
  </si>
  <si>
    <t>V39.023.051</t>
  </si>
  <si>
    <t>MICROWAVE (FOR TET DINNER)</t>
  </si>
  <si>
    <t>LÒ VI SÓNG</t>
  </si>
  <si>
    <t>7.6269845990301</t>
  </si>
  <si>
    <t>RICE OM 4900</t>
  </si>
  <si>
    <t>GẠO OM 4900</t>
  </si>
  <si>
    <t>HO1TD010800</t>
  </si>
  <si>
    <t>6.1222223</t>
  </si>
  <si>
    <t>RE-PROCESS RHPK OLEIN IV 4-12</t>
  </si>
  <si>
    <t>7.1070126492109000</t>
  </si>
  <si>
    <t>MEIZAN BOS MP34-38 IV48-52 BIG@100KG</t>
  </si>
  <si>
    <t>7.70518</t>
  </si>
  <si>
    <t>CALCIUM SALT OF PALM FATTY ACIDS "MEGALAC" IN BAG @25KG</t>
  </si>
  <si>
    <t>MUỐI CANXI CỦA CÁC AXIT BÉO DẦU CỌ- MEGALAC</t>
  </si>
  <si>
    <t>V39.015.600</t>
  </si>
  <si>
    <t>MEIZAN FOOD TRAY</t>
  </si>
  <si>
    <t>KHAY BƯNG ĐỒ ĂN BẰNG NHỰA IN LOGO MEIZAN</t>
  </si>
  <si>
    <t>7.457000A62200010</t>
  </si>
  <si>
    <t>RBD CANOLA OIL IN FLEXIBAG@21MT</t>
  </si>
  <si>
    <t>V51.048.004</t>
  </si>
  <si>
    <t>HANG VIET SOYA SAUCE 495ML</t>
  </si>
  <si>
    <t>V51.041.005</t>
  </si>
  <si>
    <t>RICE MEIZAN 1KG/BAG</t>
  </si>
  <si>
    <t>GẠO MEIZAN 1KG/BAG</t>
  </si>
  <si>
    <t>9V58.039.001</t>
  </si>
  <si>
    <t>GRAB PROMOTION CODE 25.000 VND</t>
  </si>
  <si>
    <t>MÃ KHUYẾN MẠI GRAB 25.000 VNĐ</t>
  </si>
  <si>
    <t>V00.001.001</t>
  </si>
  <si>
    <t>DOUGH CUTTER VFMW</t>
  </si>
  <si>
    <t>DAO CHIA BỘT</t>
  </si>
  <si>
    <t>V00.001.002</t>
  </si>
  <si>
    <t>T-SHIRT VFMW</t>
  </si>
  <si>
    <t>ÁO THUN KHÔNG CỔ</t>
  </si>
  <si>
    <t>V00.001.003</t>
  </si>
  <si>
    <t>POLO T-SHIRT VFMW</t>
  </si>
  <si>
    <t>ÁO THUN CỔ TRỤ</t>
  </si>
  <si>
    <t>V00.001.004</t>
  </si>
  <si>
    <t>PEN TL - 025 VFMW</t>
  </si>
  <si>
    <t>BÚT BI TL – 025</t>
  </si>
  <si>
    <t>V00.001.005</t>
  </si>
  <si>
    <t>GLOVES VFMW</t>
  </si>
  <si>
    <t>GĂNG TAY</t>
  </si>
  <si>
    <t>V00.001.006</t>
  </si>
  <si>
    <t>APRON VFMW</t>
  </si>
  <si>
    <t>TẠP DỀ</t>
  </si>
  <si>
    <t>V00.001.007</t>
  </si>
  <si>
    <t>CATALOGUE VFMW</t>
  </si>
  <si>
    <t>SÁCH GIỚI THIỆU SẢN PHẨM</t>
  </si>
  <si>
    <t>V00.001.008</t>
  </si>
  <si>
    <t>CATALOGUE MEIZAN VFMW</t>
  </si>
  <si>
    <t>SỔ TAY HƯỚNG DẪN LÀM BÁNH TỪ BỘT MỲ MEIZAN</t>
  </si>
  <si>
    <t>V00.001.009</t>
  </si>
  <si>
    <t>PLASTIC HOOK WITH 10 CORES</t>
  </si>
  <si>
    <t>THANH NHỰA TREO 10 MÓC</t>
  </si>
  <si>
    <t>V51.601.002</t>
  </si>
  <si>
    <t>9999 GOLD CALOFIC LOGO</t>
  </si>
  <si>
    <t>LOGO CALOFIC BẰNG VÀNG 9999</t>
  </si>
  <si>
    <t>7.5239926990501</t>
  </si>
  <si>
    <t>BLUE KEY PAU SP-25</t>
  </si>
  <si>
    <t>BỘT MÌ NHÃN HIỆU "CHÌA KHÓA XANH BÁNH BAO SP" (25KG)</t>
  </si>
  <si>
    <t>7.5239941990301</t>
  </si>
  <si>
    <t>SAMPLE-5-AP</t>
  </si>
  <si>
    <t>BỘT MÌ CHĂN NUÔI AP (5KG)</t>
  </si>
  <si>
    <t>7.5239948990301</t>
  </si>
  <si>
    <t>SAMPLE-5-AP-P</t>
  </si>
  <si>
    <t>7.5239917990301</t>
  </si>
  <si>
    <t>SAMPLE-5-SATELLITE</t>
  </si>
  <si>
    <t>BỘT MÌ NHÃN HIỆU "VỆ TINH" (5KG)</t>
  </si>
  <si>
    <t>7.5239912990301</t>
  </si>
  <si>
    <t>SAMPLE-5-PINK KEY</t>
  </si>
  <si>
    <t>BỘT MÌ NHÃN HIỆU "CHÌA KHÓA HỒNG" (5KG)</t>
  </si>
  <si>
    <t>7.5239911990301</t>
  </si>
  <si>
    <t>SAMPLE-5-ORANGE KEY</t>
  </si>
  <si>
    <t>BỘT MÌ NHÃN HIỆU "CHÌA KHÓA CAM" (5KG)</t>
  </si>
  <si>
    <t>7.5239907990301</t>
  </si>
  <si>
    <t>SAMPLE-5-GREEN KEY</t>
  </si>
  <si>
    <t>BỘT MÌ NHÃN HIỆU "CHÌA KHÓA XANH LÁ" (5KG)</t>
  </si>
  <si>
    <t>7.5239915990301</t>
  </si>
  <si>
    <t>SAMPLE-5-RED KEY</t>
  </si>
  <si>
    <t>BỘT MÌ NHÃN HIỆU "CHÌA KHÓA ĐỎ" (5KG)</t>
  </si>
  <si>
    <t>7.5239919990301</t>
  </si>
  <si>
    <t>SAMPLE-5-RED KEY SP</t>
  </si>
  <si>
    <t>BỘT MÌ NHÃN HIỆU "CHÌA KHÓA ĐỎ SP" (5KG)</t>
  </si>
  <si>
    <t>7.5239916990301</t>
  </si>
  <si>
    <t>SAMPLE-5-RED PEN</t>
  </si>
  <si>
    <t>BỘT MÌ NHÃN HIỆU "CÂY VIẾT ĐỎ" (5KG)</t>
  </si>
  <si>
    <t>7.5239925990301</t>
  </si>
  <si>
    <t>SAMPLE-5-BLUE KEY - N</t>
  </si>
  <si>
    <t>BỘT MÌ NHÃN HIỆU "CHÌA KHÓA XANH MÌ SỢI" (5KG)</t>
  </si>
  <si>
    <t>7.5239926990301</t>
  </si>
  <si>
    <t>SAMPLE-5-BLUE KEY PAU</t>
  </si>
  <si>
    <t>BỘT MÌ NHÃN HIỆU "CHÌA KHÓA XANH BÁNH BAO" (5KG)</t>
  </si>
  <si>
    <t>7.5239904990301</t>
  </si>
  <si>
    <t>SAMPLE-5-BROWN COMPASS</t>
  </si>
  <si>
    <t>BỘT MÌ NHÃN HIỆU "LA BÀN NÂU" (5KG)</t>
  </si>
  <si>
    <t>7.5239922990301</t>
  </si>
  <si>
    <t>SAMPLE-5-BLUE COMPASS</t>
  </si>
  <si>
    <t>BỘT MÌ NHÃN HIỆU "LA BÀN XANH" (5KG)</t>
  </si>
  <si>
    <t>7.5239914990301</t>
  </si>
  <si>
    <t>SAMPLE-5-RED COMPASS</t>
  </si>
  <si>
    <t>BỘT MÌ NHÃN HIỆU "LA BÀN ĐỎ" (5KG)</t>
  </si>
  <si>
    <t>7.5239946990301</t>
  </si>
  <si>
    <t>SAMPLE-5- WHITE POLLARD</t>
  </si>
  <si>
    <t>CÁM MÌ (5KG)</t>
  </si>
  <si>
    <t>7.5239947990301</t>
  </si>
  <si>
    <t>SAMPLE-5-RED POLLARD</t>
  </si>
  <si>
    <t>7.5239946993001</t>
  </si>
  <si>
    <t>SAMPLE-3- WHITE POLLARD</t>
  </si>
  <si>
    <t>CÁM MÌ (3KG)</t>
  </si>
  <si>
    <t>7.5239947993001</t>
  </si>
  <si>
    <t>SAMPLE-3-RED POLLARD</t>
  </si>
  <si>
    <t>6.5239941990566</t>
  </si>
  <si>
    <t>AP-25-P</t>
  </si>
  <si>
    <t>BỘT MÌ CHĂN NUÔI AP (25KG)</t>
  </si>
  <si>
    <t>6.5239922990570</t>
  </si>
  <si>
    <t>BLUE COMPASS-25-MINH PHONG</t>
  </si>
  <si>
    <t>6.5239914990512</t>
  </si>
  <si>
    <t>RED COMPASS-25-LAO</t>
  </si>
  <si>
    <t>7.5239913990371</t>
  </si>
  <si>
    <t>SAMPLE-5-PIZZA NGON</t>
  </si>
  <si>
    <t>BỘT MÌ NHÃN HIỆU "PIZZA FLOUR" (5KG)</t>
  </si>
  <si>
    <t>7.9240123991072</t>
  </si>
  <si>
    <t>SOYA SOY SAUCE 495ML</t>
  </si>
  <si>
    <t>7.924012399107201</t>
  </si>
  <si>
    <t>7.9240123043101</t>
  </si>
  <si>
    <t>PLUM SAUCE 980ML X 12 BOT</t>
  </si>
  <si>
    <t>NƯỚC CHẤM HƯƠNG NẤM 980ML</t>
  </si>
  <si>
    <t>7.924012304310101</t>
  </si>
  <si>
    <t>PLUM SAUCE 980ML</t>
  </si>
  <si>
    <t>7.9240223113201</t>
  </si>
  <si>
    <t>CHILI SAUCE 200GR X 30 BOT</t>
  </si>
  <si>
    <t>TƯƠNG ỚT CHILI 200GR</t>
  </si>
  <si>
    <t>7.924022311320101</t>
  </si>
  <si>
    <t>CHILI SAUCE 200GR</t>
  </si>
  <si>
    <t>9V51.103.707</t>
  </si>
  <si>
    <t>MÃ KHUYẾN MẠI GRAB 25.000 VND</t>
  </si>
  <si>
    <t>V39.016.018</t>
  </si>
  <si>
    <t>GLASS BOWL TUL 3.75</t>
  </si>
  <si>
    <t>CHÉN THỦY TINH</t>
  </si>
  <si>
    <t>7.1070120103608010</t>
  </si>
  <si>
    <t>MEIZAN MARGARINE VN SAMPLE IN PEBAG@15KG</t>
  </si>
  <si>
    <t>BƠ LOẠI 15KG</t>
  </si>
  <si>
    <t>6.5239917990522</t>
  </si>
  <si>
    <t>SATELLITE-25 (KM)</t>
  </si>
  <si>
    <t>6.5239921990522</t>
  </si>
  <si>
    <t>SATELLITE -SP-25 (KM)</t>
  </si>
  <si>
    <t>6.5239919990522</t>
  </si>
  <si>
    <t>RED KEY -SP-25 (KM)</t>
  </si>
  <si>
    <t>6.5239915990622</t>
  </si>
  <si>
    <t>RED KEY-40 (KM)</t>
  </si>
  <si>
    <t>6.5239912990522</t>
  </si>
  <si>
    <t>PINK KEY-25 (KM)</t>
  </si>
  <si>
    <t>6.5239912990578</t>
  </si>
  <si>
    <t>PINK KEY-25-KIM MA (KM)</t>
  </si>
  <si>
    <t>6.5239911990522</t>
  </si>
  <si>
    <t>ORANGE KEY-25 (KM)</t>
  </si>
  <si>
    <t>6.5239907990522</t>
  </si>
  <si>
    <t>GREEN KEY-25 (KM)</t>
  </si>
  <si>
    <t>6.5239907990576</t>
  </si>
  <si>
    <t>GREEN KEY-25-DIAMOND (KM)</t>
  </si>
  <si>
    <t>6.5239927990522</t>
  </si>
  <si>
    <t>GREEN KEY SP-25 (KM)</t>
  </si>
  <si>
    <t>BỘT MÌ NHÃN HIỆU "CHÌA KHÓA XANH LÁ SP" (25KG)</t>
  </si>
  <si>
    <t>6.5239927990576</t>
  </si>
  <si>
    <t>GREEN KEY SP-25-DIAMOND (KM)</t>
  </si>
  <si>
    <t>6.5239926990522</t>
  </si>
  <si>
    <t>BLUE KEY PAU-25 (KM)</t>
  </si>
  <si>
    <t>6.5239926990581</t>
  </si>
  <si>
    <t>BLUE KEY PAU-25-PHU MY (KM)</t>
  </si>
  <si>
    <t>6.5239925990522</t>
  </si>
  <si>
    <t>BLUE KEY NOODLE-25 (KM)</t>
  </si>
  <si>
    <t>6.5239925990577</t>
  </si>
  <si>
    <t>BLUE KEY NOODLE-25-HUE (KM)</t>
  </si>
  <si>
    <t>6.5239916990522</t>
  </si>
  <si>
    <t>RED PEN-25 (KM)</t>
  </si>
  <si>
    <t>6.5239903990522</t>
  </si>
  <si>
    <t>BLUE PEN-25 (KM)</t>
  </si>
  <si>
    <t>6.5239922990522</t>
  </si>
  <si>
    <t>BLUE COMPASS-25 (KM)</t>
  </si>
  <si>
    <t>6.5239922990579</t>
  </si>
  <si>
    <t>BLUE COMPASS-MINH PHONG-25 (KM)</t>
  </si>
  <si>
    <t>6.5239906990522</t>
  </si>
  <si>
    <t>GREEN COMPASS-25 (KM)</t>
  </si>
  <si>
    <t>6.5239904990522</t>
  </si>
  <si>
    <t>BROWN COMPASS-25 (KM)</t>
  </si>
  <si>
    <t>6.5239904990575</t>
  </si>
  <si>
    <t>BROWN COMPASS-25-BAO HUNG (KM)</t>
  </si>
  <si>
    <t>6.5239905050522</t>
  </si>
  <si>
    <t>COMPASS LP1-25 (KM)</t>
  </si>
  <si>
    <t>6.5239905050574</t>
  </si>
  <si>
    <t>COMPASS LP1-25-AD2 (KM)</t>
  </si>
  <si>
    <t>6.5239905050583</t>
  </si>
  <si>
    <t>COMPASS LP1-25-TIEN NHAN (KM)</t>
  </si>
  <si>
    <t>6.5239905060522</t>
  </si>
  <si>
    <t>COMPASS LP2-25 (KM)</t>
  </si>
  <si>
    <t>6.5239905060582</t>
  </si>
  <si>
    <t>COMPASS LP2-25-SASA (KM)</t>
  </si>
  <si>
    <t>6.5239905070583</t>
  </si>
  <si>
    <t>COMPASS LP3-25-TIEN NHAN (KM)</t>
  </si>
  <si>
    <t>6.5239905070584</t>
  </si>
  <si>
    <t>COMPASS LP3-25-VUNG VONG (KM)</t>
  </si>
  <si>
    <t>6.5239905070522</t>
  </si>
  <si>
    <t>COMPASS LP3-25 (KM)</t>
  </si>
  <si>
    <t>6.5239905070580</t>
  </si>
  <si>
    <t>COMPASS LP3-25-NEW (KM)</t>
  </si>
  <si>
    <t>6.5239905080522</t>
  </si>
  <si>
    <t>COMPASS LP4-25 (KM)</t>
  </si>
  <si>
    <t>6.5239905090522</t>
  </si>
  <si>
    <t>COMPASS LP5-25 (KM)</t>
  </si>
  <si>
    <t>6.5239905090573</t>
  </si>
  <si>
    <t>COMPASS LP5-25-AD1 (KM)</t>
  </si>
  <si>
    <t>6.5239944210501</t>
  </si>
  <si>
    <t>LWW 1-25 VFM</t>
  </si>
  <si>
    <t>BỘT MÌ LWW - 1 (25KG)</t>
  </si>
  <si>
    <t>6.5239944210201</t>
  </si>
  <si>
    <t>LWW - 1 VFM</t>
  </si>
  <si>
    <t>BỘT MÌ LWW - 1</t>
  </si>
  <si>
    <t>6.5239949990501</t>
  </si>
  <si>
    <t>SEMOLINA</t>
  </si>
  <si>
    <t>BỘT MÌ SEMOLINA (25KG)</t>
  </si>
  <si>
    <t>6.5239950990501</t>
  </si>
  <si>
    <t>WHOLE WHEAT (25KG)</t>
  </si>
  <si>
    <t>BỘT MÌ WHOLE WHEAT (25KG)</t>
  </si>
  <si>
    <t>6.5239935210501</t>
  </si>
  <si>
    <t>LWW - 2 (VFM)</t>
  </si>
  <si>
    <t>BỘT MÌ LWW - 2 (25KG)</t>
  </si>
  <si>
    <t>6.5239936210501</t>
  </si>
  <si>
    <t>LWW - 3 (VFM)</t>
  </si>
  <si>
    <t>BỘT MÌ LWW - 3 (25KG)</t>
  </si>
  <si>
    <t>V39.015.071</t>
  </si>
  <si>
    <t>MEIZAN APRON</t>
  </si>
  <si>
    <t>TẠP DỀ MEIZAN</t>
  </si>
  <si>
    <t>V51.320.002</t>
  </si>
  <si>
    <t>MEIZAN TISSUE BOX</t>
  </si>
  <si>
    <t>HỘP KHĂN GIẤY MEIZAN</t>
  </si>
  <si>
    <t>6.5239914990522</t>
  </si>
  <si>
    <t>RED COMPASS-25 (KM)</t>
  </si>
  <si>
    <t>6.5239911990585</t>
  </si>
  <si>
    <t>ORANGE KEY-25-LAO (KM)</t>
  </si>
  <si>
    <t>6.5239916990585</t>
  </si>
  <si>
    <t>RED PEN-25-LAO (KM)</t>
  </si>
  <si>
    <t>6.5239915990585</t>
  </si>
  <si>
    <t>RED KEY-25-LAO (KM)</t>
  </si>
  <si>
    <t>V78.004.009</t>
  </si>
  <si>
    <t>YELLOW &amp; BROWN SHIRT -LONG SLEEVE</t>
  </si>
  <si>
    <t>ÁO SƠMI DÀI TAY NAM MÀU VÀNG</t>
  </si>
  <si>
    <t>V78.002.005</t>
  </si>
  <si>
    <t>YELLOW SHIRT FOR PG</t>
  </si>
  <si>
    <t>ÁO SƠ MI CHO NỮ PG</t>
  </si>
  <si>
    <t>V78.047.002</t>
  </si>
  <si>
    <t>BAG - BLACK COLOR WITH CALOFIC LOGO</t>
  </si>
  <si>
    <t>CẶP XÁCH MÀU ĐEN LOGO CALOFIC</t>
  </si>
  <si>
    <t>6.5239907990586</t>
  </si>
  <si>
    <t>GREEN KEY-25-PHAM NGUYEN</t>
  </si>
  <si>
    <t>6.5239904990589</t>
  </si>
  <si>
    <t>BROWN COMPASS-25-PHAM NGUYEN</t>
  </si>
  <si>
    <t>7.101089570901860</t>
  </si>
  <si>
    <t>SATELLITE RBD PALM OLEIN IN BIB @18KG</t>
  </si>
  <si>
    <t>DẦU CỌ OLEIN HIỆU SATELLITE ĐÓNG TRONG TÚI BIB 18KG</t>
  </si>
  <si>
    <t>7.1060120220708010</t>
  </si>
  <si>
    <t>MEIZAN SHORTENING NH IN PE BAG @20KG</t>
  </si>
  <si>
    <t>SHORTENING NH NHÃN HIỆU MEIZAN ĐÓNG TRONG TÚI NHỰA 20KG</t>
  </si>
  <si>
    <t>V39.013.049</t>
  </si>
  <si>
    <t>YELLOW-GREEN T-SHIRT</t>
  </si>
  <si>
    <t>ÁO THUN XANH NÕN CHUỐI</t>
  </si>
  <si>
    <t>7.70519</t>
  </si>
  <si>
    <t>WILFARIN SWING SOAP NOODLE 8020 LAMINATED PAPERBAG @25KG</t>
  </si>
  <si>
    <t>PHÔI XÀ PHÒNG - WILFARIN SWING SN8020; BAO 25KG</t>
  </si>
  <si>
    <t>V78.043.005</t>
  </si>
  <si>
    <t>WINTER JACKET - DARK RED +LOGO</t>
  </si>
  <si>
    <t>ÁO KHOÁC MÙA ĐÔNG MÀU ĐỎ + LOGO</t>
  </si>
  <si>
    <t>7.131005580801C00</t>
  </si>
  <si>
    <t>MEIZAN CREAMING FAT@20KG</t>
  </si>
  <si>
    <t>CHẤT BÉO KEM BÁNH NHÃN HIỆU MEIZAN (NHÃN MÀU CAM) 20KG</t>
  </si>
  <si>
    <t>7.5239908022101</t>
  </si>
  <si>
    <t>7.1070120203608010</t>
  </si>
  <si>
    <t>MEIZAN MARGARINE VN SAMPLE IN PEBAG@20KG</t>
  </si>
  <si>
    <t>BƠ LOẠI 20KG</t>
  </si>
  <si>
    <t>6.4554392</t>
  </si>
  <si>
    <t>DEWAXED SESAME OIL IV 104-120 FFA 2 MAX</t>
  </si>
  <si>
    <t>DẦU MÈ THƠM</t>
  </si>
  <si>
    <t>6.5239912990587</t>
  </si>
  <si>
    <t>PINK KEY -25-MI CAN</t>
  </si>
  <si>
    <t>6.5239912990588</t>
  </si>
  <si>
    <t>PINK KEY -25-MI CAN (KM)</t>
  </si>
  <si>
    <t>V51.064.002</t>
  </si>
  <si>
    <t>SIMPLY RBO LEAFLET</t>
  </si>
  <si>
    <t>TỜ RƠI SIMPLY DẦU GẠO</t>
  </si>
  <si>
    <t>6.5239902990589</t>
  </si>
  <si>
    <t>BLUE KEY N-25-HUE (KM)</t>
  </si>
  <si>
    <t>V56.052.014</t>
  </si>
  <si>
    <t>SAMSUNG TABLET MODEL: GALAXY TAB S2 9.7</t>
  </si>
  <si>
    <t>SM T819Y, BRAND: SAMSUNG MÁY TÍNH BẢNG GALAXY TAB S2 9.7-SM T819Y</t>
  </si>
  <si>
    <t>V56.601.001</t>
  </si>
  <si>
    <t>PROJECTOR PANASONIC PT-VX420</t>
  </si>
  <si>
    <t>MÁY CHIẾU PANASONIC PT-VX420</t>
  </si>
  <si>
    <t>7.1060120222208010</t>
  </si>
  <si>
    <t>MEIZAN SHT 42 GREEN LABEL IN PEBAG @20KG CAR</t>
  </si>
  <si>
    <t>SHORTENING 42 NHÃN HIỆU MEIZAN (NHÃN MÀU XANH) TRONG THÙNG 20KG</t>
  </si>
  <si>
    <t xml:space="preserve">MEIZAN SHT 42 GREEN LABEL IN PEBAG @20KG </t>
  </si>
  <si>
    <t>7.70520</t>
  </si>
  <si>
    <t>SWING SOAP NOODLES 8020 (WILFARIN SWN8020) @25KG</t>
  </si>
  <si>
    <t>PHÔI XÀ PHÒNG - WILFARIN SWN8020; BAO 25KG</t>
  </si>
  <si>
    <t>WILFARIN™ SWN-8020</t>
  </si>
  <si>
    <t>7.70521</t>
  </si>
  <si>
    <t>SOAP NOODLES 8020 (WILFARIN SN8020) SUPER FATTED SOAP @25KG</t>
  </si>
  <si>
    <t>PHÔI XÀ PHÒNG - WILFARIN SN8020 SUPER FATTED SOAP; BAO 25KG</t>
  </si>
  <si>
    <t>WILFARIN™ SN-8020 SUPER FATTED</t>
  </si>
  <si>
    <t>7.A31990899080101</t>
  </si>
  <si>
    <t>MEIZAN CRISPY FRYING MIX 150G</t>
  </si>
  <si>
    <t>BỘT CHIÊN GIÒN MEIZAN 150G</t>
  </si>
  <si>
    <t>HO1AC010300</t>
  </si>
  <si>
    <t>7.A31990899020101</t>
  </si>
  <si>
    <t>MEIZAN CRISPY FRYING MIX 1KG</t>
  </si>
  <si>
    <t>BỘT CHIÊN GIÒN MEIZAN 1KG</t>
  </si>
  <si>
    <t>7.A32010899010101</t>
  </si>
  <si>
    <t>MEIZAN PREMIUM EGG NOODLE 500G</t>
  </si>
  <si>
    <t>MÌ TRỨNG CAO CẤP MEIZAN 500G</t>
  </si>
  <si>
    <t>7.A33020899330101</t>
  </si>
  <si>
    <t>MEIZAN PREMIUM MACARONI 400G</t>
  </si>
  <si>
    <t>NUI CAO CẤP MEIZAN 400G</t>
  </si>
  <si>
    <t>7.A31990899330101</t>
  </si>
  <si>
    <t>VIETNAMESE PANCAKE MIX 400G</t>
  </si>
  <si>
    <t>BỘT BÁNH XÈO MEIZAN 400G</t>
  </si>
  <si>
    <t>7.A319908990801</t>
  </si>
  <si>
    <t>MEIZAN CRISPY FRYING MIX 150G X 24 BAG</t>
  </si>
  <si>
    <t>7.A319908990201</t>
  </si>
  <si>
    <t>MEIZAN CRISPY FRYING MIX 1KG X 10 BAG</t>
  </si>
  <si>
    <t>7.A320108990101</t>
  </si>
  <si>
    <t>MEIZAN PREMIUM EGG NOODLE 500G X 6 BAG</t>
  </si>
  <si>
    <t>7.A330208993301</t>
  </si>
  <si>
    <t>MEIZAN PREMIUM MACARONI 400G X 6 BAG</t>
  </si>
  <si>
    <t>7.A319908993301</t>
  </si>
  <si>
    <t>VIETNAMESE PANCAKE MIX 400G X 6 BAG</t>
  </si>
  <si>
    <t>7.1070120292908010</t>
  </si>
  <si>
    <t>MEIZAN SUPERIOR BOS IV55MAX PEBAG @20KG</t>
  </si>
  <si>
    <t>DẦU BƠ THAY THẾ CAO CẤP NHÃN HIỆU MEIZAN ĐÓNG TRONG THÙNG 20 KG</t>
  </si>
  <si>
    <t>7.70522</t>
  </si>
  <si>
    <t>REFINED GLYCERINE USP 99.7% IN FLEXIBAG</t>
  </si>
  <si>
    <t>GLYXERIN- WILFARIN USP 99.7%; TÚI FLEXIBAG</t>
  </si>
  <si>
    <t>WILFARIN™ USP-997 FLEXIBAG</t>
  </si>
  <si>
    <t>7.105041171400080</t>
  </si>
  <si>
    <t>PFAD IN DRUM@185KG</t>
  </si>
  <si>
    <t>AXIT BÉO NGƯNG TỤ TỪ DẦU CỌ ĐÓNG TRONG PHUY 185KG</t>
  </si>
  <si>
    <t>7.13103603170024</t>
  </si>
  <si>
    <t>CO-ORCHID BTL @ 1L</t>
  </si>
  <si>
    <t>DẦU THỰC VẬT TINH LUYỆN NHÃN HIỆU ORCHID 1L</t>
  </si>
  <si>
    <t>V78.301.013</t>
  </si>
  <si>
    <t>WHITE SHIRT WITH RED LINE - SHORT SLEEVE FOR FEMALE PG</t>
  </si>
  <si>
    <t>ÁO NỮ NGẮN TAY MÀU TRẮNG VIỀN ĐỎ PG</t>
  </si>
  <si>
    <t>V78.004.014</t>
  </si>
  <si>
    <t>WAISTCOAT, MATERIAL: RED KAKI, EMBROIDER LOGO ON THE LEFT</t>
  </si>
  <si>
    <t>ÁO GHI LÊ 1 LỚP, CHẤT LIỆU: KAKI THUN MÀU ĐỎ, THÊU LOGO BÊN TRÁI</t>
  </si>
  <si>
    <t>V78.004.013</t>
  </si>
  <si>
    <t>DRESS PANT, MATERIAL: RED KAKI</t>
  </si>
  <si>
    <t>VÁY QUẦN, CHẤT LIỆU: KAKI THUN MÀU ĐỎ</t>
  </si>
  <si>
    <t>V78.005.001</t>
  </si>
  <si>
    <t>TROUSERS FOR PG</t>
  </si>
  <si>
    <t>QUẦN ĐỒNG PHỤC CHO PG</t>
  </si>
  <si>
    <t>V51.154.002</t>
  </si>
  <si>
    <t>BAG - BLACK COLOR WITH CLV LOGO</t>
  </si>
  <si>
    <t>CẶP XÁCH MÀU ĐEN LOGO CLV</t>
  </si>
  <si>
    <t>7.9240123021001RT</t>
  </si>
  <si>
    <t>7.9240223991123RT</t>
  </si>
  <si>
    <t>7.9240223991101RT</t>
  </si>
  <si>
    <t>7.92423991201RT</t>
  </si>
  <si>
    <t>7.9240123031301RT</t>
  </si>
  <si>
    <t>7.9240123041401RT</t>
  </si>
  <si>
    <t>7.924012302100101RT</t>
  </si>
  <si>
    <t>7.924022399112301RT</t>
  </si>
  <si>
    <t>7.924022399110101RT</t>
  </si>
  <si>
    <t>7.9242399120101RT</t>
  </si>
  <si>
    <t>7.924012303130101RT</t>
  </si>
  <si>
    <t>7.924012304140101RT</t>
  </si>
  <si>
    <t>7.9240223122101RT</t>
  </si>
  <si>
    <t>7.924022312210101RT</t>
  </si>
  <si>
    <t>7.9240223991901RT</t>
  </si>
  <si>
    <t>7.924022399190101RT</t>
  </si>
  <si>
    <t>7.9240223122001RT</t>
  </si>
  <si>
    <t>7.924022312200101RT</t>
  </si>
  <si>
    <t>7.9240223991638RT</t>
  </si>
  <si>
    <t>7.924022399163801RT</t>
  </si>
  <si>
    <t>7.9240323991201RT</t>
  </si>
  <si>
    <t>7.924032399120101RT</t>
  </si>
  <si>
    <t>7.9240523991501RT</t>
  </si>
  <si>
    <t>7.924052399150101RT</t>
  </si>
  <si>
    <t>7.9240223991637RT</t>
  </si>
  <si>
    <t>7.924022399163701RT</t>
  </si>
  <si>
    <t>7.9240223111801RT</t>
  </si>
  <si>
    <t>7.924022311180101RT</t>
  </si>
  <si>
    <t>6.5239941990620</t>
  </si>
  <si>
    <t>AP-40-MB</t>
  </si>
  <si>
    <t>V39.015.214</t>
  </si>
  <si>
    <t>KIDDY GLASS BOWL LG224</t>
  </si>
  <si>
    <t>CHÉN THỦY TINH LG224 HIỆU KIDDY</t>
  </si>
  <si>
    <t>V39.013.201</t>
  </si>
  <si>
    <t>NEPTUNE CAP</t>
  </si>
  <si>
    <t>NÓN NEPTUNE</t>
  </si>
  <si>
    <t>V39.015.104</t>
  </si>
  <si>
    <t>SOUP SPOON</t>
  </si>
  <si>
    <t>VÁ MÚC CANH</t>
  </si>
  <si>
    <t>V39.015.209</t>
  </si>
  <si>
    <t>MINH LONG DAISY DISC 18CM</t>
  </si>
  <si>
    <t>ĐĨA SỨ MINH LONG DAISY 18CM</t>
  </si>
  <si>
    <t>7.1060120206608010</t>
  </si>
  <si>
    <t>MEIZAN WILSHORT PLIN-3438 IN PEBAG@20KG</t>
  </si>
  <si>
    <t>WILSHORT PLIN 3438 NHÃN HIỆU MEIZAN TRONG THÙNG CARTON 20KG</t>
  </si>
  <si>
    <t>7.5239907990586</t>
  </si>
  <si>
    <t>GREEN KEY-25-PHAM NGUYEN 2</t>
  </si>
  <si>
    <t>7.5239904990590</t>
  </si>
  <si>
    <t>BROWN COMPASS-25-VIET LONG</t>
  </si>
  <si>
    <t>6.1211069</t>
  </si>
  <si>
    <t>PALM OIL CERTIFIED RSPO-MB</t>
  </si>
  <si>
    <t>DẦU CỌ TINH LUYỆN TRONG XE BỒN (RSPO/MB)</t>
  </si>
  <si>
    <t>7.70523</t>
  </si>
  <si>
    <t>WILFARIN SA1807 LAMINATED PAPERBAG @25KG</t>
  </si>
  <si>
    <t>AXIT STEARIC - WILFARIN SA1807; BAO 25KG</t>
  </si>
  <si>
    <t>WILFARIN™ SA1807</t>
  </si>
  <si>
    <t>7.A330208993301TD</t>
  </si>
  <si>
    <t>HO1TD010300</t>
  </si>
  <si>
    <t>7.A33020899330101TD</t>
  </si>
  <si>
    <t>7.A320108990101TD</t>
  </si>
  <si>
    <t>7.A32010899010101TD</t>
  </si>
  <si>
    <t>7.A319908993301TD</t>
  </si>
  <si>
    <t>7.A31990899330101TD</t>
  </si>
  <si>
    <t>7.1060120222308010</t>
  </si>
  <si>
    <t>MEIZAN SHORTENING42 RED LABEL PEBAG@20KG CAR</t>
  </si>
  <si>
    <t>SHORTENING 42 NHÃN HIỆU MEIZAN (NHÃN MÀU ĐỎ) TRONG THÙNG 20KG</t>
  </si>
  <si>
    <t>MEIZAN SHORTENING42 RED LABEL PEBAG@20KG</t>
  </si>
  <si>
    <t>7.5239904990636</t>
  </si>
  <si>
    <t>BROWN COMPASS-40-MASAN-HD</t>
  </si>
  <si>
    <t>6.5239907990512</t>
  </si>
  <si>
    <t>GREEN KEY-25-LAO</t>
  </si>
  <si>
    <t>BỘT MÌ CAO CẤP "CHÌA KHÓA XANH LÁ" (25KG)</t>
  </si>
  <si>
    <t>V39.015.076</t>
  </si>
  <si>
    <t>NEPTUNE APRON - LOVE IS SHARING</t>
  </si>
  <si>
    <t>TẠP DỀ NEPTUNE - HIỂU ĐỂ YÊU THƯƠNG</t>
  </si>
  <si>
    <t>V39.015.075</t>
  </si>
  <si>
    <t>NEPTUNE PATTERNED APRON</t>
  </si>
  <si>
    <t>TẠP DỀ CÓ HỌA TIẾT NEPTUNE</t>
  </si>
  <si>
    <t>V51.600.055</t>
  </si>
  <si>
    <t>NEPTUNE GOLD BANNER 3.0M*1.2M</t>
  </si>
  <si>
    <t>BĂNG RÔN NEPTUNE GOLD 3,0M*1,2M</t>
  </si>
  <si>
    <t>V51.600.058</t>
  </si>
  <si>
    <t>NEPTUNE GOLD BANNER 4.0M*1.2M</t>
  </si>
  <si>
    <t>BĂNG RÔN NEPTUNE GOLD 4.0M*1.2M</t>
  </si>
  <si>
    <t>V51.600.056</t>
  </si>
  <si>
    <t>NEPTUNE GOLD BANNER 5.0*1.5M</t>
  </si>
  <si>
    <t>BĂNG RÔN NEPTUNE GOLD 5,0M*1,5M</t>
  </si>
  <si>
    <t>V51.600.057</t>
  </si>
  <si>
    <t>NEPTUNE GOLD BANNER 6.0M*1.5M</t>
  </si>
  <si>
    <t>BĂNG RÔN NEPTUNE GOLD 6,0M*1,5M</t>
  </si>
  <si>
    <t>7.8340351233401</t>
  </si>
  <si>
    <t xml:space="preserve">GOLDEN CROWN BUTTER OIL SUBSTITUTE </t>
  </si>
  <si>
    <t>DẦU BƠ THAY THẾ NHÃN HIỆU GOLDEN CROWN 18KG</t>
  </si>
  <si>
    <t>7.A330208993201</t>
  </si>
  <si>
    <t>MEIZAN PREMIUM MACARONI 200G X 12 BAG</t>
  </si>
  <si>
    <t>NUI CAO CẤP MEIZAN 200G</t>
  </si>
  <si>
    <t>7.A33020899320101</t>
  </si>
  <si>
    <t>MEIZAN PREMIUM MACARONI 200G</t>
  </si>
  <si>
    <t>V78.301.020</t>
  </si>
  <si>
    <t>GREEN SHIRT WITH GRAY LINES</t>
  </si>
  <si>
    <t>ÁO PHÔNG XANH VIỀN XÁM</t>
  </si>
  <si>
    <t>V74.019.008</t>
  </si>
  <si>
    <t>NOTEBOOK 3 IN 1</t>
  </si>
  <si>
    <t>SỔ PIN 3 TRONG 1</t>
  </si>
  <si>
    <t>7.131056041700750</t>
  </si>
  <si>
    <t>CO-MEIZAN G3 BTL @ 2L</t>
  </si>
  <si>
    <t>7.131057041700630</t>
  </si>
  <si>
    <t>CO-MEIZAN G3 A BTL @2L</t>
  </si>
  <si>
    <t>7.131058041700760</t>
  </si>
  <si>
    <t>CO-MEIZAN G3 S BTL @ 2L</t>
  </si>
  <si>
    <t>7.1070140201608010</t>
  </si>
  <si>
    <t>SATELLITE BAKERY MARGARINE-B PEBAG@20KG</t>
  </si>
  <si>
    <t>BƠ THƠM - B NHÃN HIỆU SATELLITE 20KG</t>
  </si>
  <si>
    <t>7.1070140293008010</t>
  </si>
  <si>
    <t>SATELLITE BOS-B(ORANGE) IN PEBAG@20KG</t>
  </si>
  <si>
    <t>DẦU BƠ THAY THẾ - B NHÃN HIỆU SATELLITE (NHÃN MÀU CAM) 20KG</t>
  </si>
  <si>
    <t>V39.015.018</t>
  </si>
  <si>
    <t>NEPTUNE GOLD PORCELAIN CUP</t>
  </si>
  <si>
    <t>LY SỨ CÓ QUAI NEPTUNE GOLD</t>
  </si>
  <si>
    <t>V39.015.219</t>
  </si>
  <si>
    <t>NEPTUNE GOLD PORCELAIN PLATE</t>
  </si>
  <si>
    <t>ĐĨA SỨ NEPTUNE GOLD</t>
  </si>
  <si>
    <t>V39.015.220</t>
  </si>
  <si>
    <t>NEPTUNE GOLD SET OF 4 PORCELAIN BOWLS</t>
  </si>
  <si>
    <t>BỘ 4 CHÉN SỨ NEPTUNE GOLD</t>
  </si>
  <si>
    <t>V34.303.008</t>
  </si>
  <si>
    <t>KIDDY HELMET</t>
  </si>
  <si>
    <t>NÓN BẢO HIỂM KIDDY</t>
  </si>
  <si>
    <t>7.70524</t>
  </si>
  <si>
    <t>PALMITIC ACID 98% (PA1698) IN PAPERBAG @25KG</t>
  </si>
  <si>
    <t>AXIT PALMITIC 98% (PA1698) ; BAO 25KG</t>
  </si>
  <si>
    <t>7.705K1</t>
  </si>
  <si>
    <t>REFINED RICE BRAN WAX PACK IN BAG 2.15KG</t>
  </si>
  <si>
    <t>SÁP CÁM GẠO TINH CHẾ ĐÓNG TRONG TÚI 2.15KG</t>
  </si>
  <si>
    <t>V51.060.004</t>
  </si>
  <si>
    <t>CALENDAR TET - 365 DELICIOUS DAY</t>
  </si>
  <si>
    <t>LỊCH TẾT - 365 NGÀY NGON</t>
  </si>
  <si>
    <t>6.1213505</t>
  </si>
  <si>
    <t>REFINED PALM STEARIN FFA0.15 / RSPO MB</t>
  </si>
  <si>
    <t>DẦU STEARIN CỌ TINH LUYỆN TRONG XE BỒN (RSPO/MB)</t>
  </si>
  <si>
    <t>V39.005.072</t>
  </si>
  <si>
    <t>MITSUBISHI STANDING FAN LV16S-RT</t>
  </si>
  <si>
    <t>QUẠT ĐỨNG MITSUBISHI LV16S-RT</t>
  </si>
  <si>
    <t>7.101089591200960</t>
  </si>
  <si>
    <t>SATELLITE RBD OLEIN-D IN JERRYCAN @25KG</t>
  </si>
  <si>
    <t>DẦU OLEIN CỌ TINH LUYỆN - D NHÃN HIỆU SATELLITE TRONG CAN 25KG</t>
  </si>
  <si>
    <t>V56.052.018</t>
  </si>
  <si>
    <t xml:space="preserve">LAPTOP DELL VOSTRO 5568 I5 </t>
  </si>
  <si>
    <t>MÁY TÍNH XÁCH TAY DELL VOSTRO 5568 I5</t>
  </si>
  <si>
    <t>V56.052.019</t>
  </si>
  <si>
    <t>TABLET SAMSUNG GALAXY TAB A6 10.1 SPEN</t>
  </si>
  <si>
    <t>MÁY TÍNH BẢNG SAMSUNG GALAXY TAB A6 10.1 SPEN</t>
  </si>
  <si>
    <t>V56.101.402</t>
  </si>
  <si>
    <t xml:space="preserve">PRINTER CANON PIXMA G3000 </t>
  </si>
  <si>
    <t>MÁY IN PHUN CANON PIXMA G3000</t>
  </si>
  <si>
    <t>PRINTER CANON PIXMA G3000</t>
  </si>
  <si>
    <t>V51.901.027</t>
  </si>
  <si>
    <t>WILMAR SJC 999 GOLD LOGO FOR 20 YEAR</t>
  </si>
  <si>
    <t>VÀNG SJC LOGO WILMAR CHO NHÀ PHÂN PHỐI 20 NĂM</t>
  </si>
  <si>
    <t>V51.043.018</t>
  </si>
  <si>
    <t>JACOB'S CREEK WINE</t>
  </si>
  <si>
    <t>RƯỢU JACOBS CREEK</t>
  </si>
  <si>
    <t>V51.153.020</t>
  </si>
  <si>
    <t>NONE WOVEN GIFT BAG (WILMAR MKT CLV)</t>
  </si>
  <si>
    <t>TÚI VẢI QUÀ TẶNG LOGO WILMAR MARKETING CLV</t>
  </si>
  <si>
    <t>7.131056061700750</t>
  </si>
  <si>
    <t>CO-MEIZAN G3 BTL @5L</t>
  </si>
  <si>
    <t>7.1070140291508010</t>
  </si>
  <si>
    <t>SATELLITE BOS(BLUE) IN PEBAG@20KG</t>
  </si>
  <si>
    <t>DẦU BƠ THAY THẾ NHÃN HIỆU SATELLITE (NHÃN MÀU XANH) TRONG THÙNG CARTON 20KG</t>
  </si>
  <si>
    <t>7.1070120893233000</t>
  </si>
  <si>
    <t>MEIZAN BOS(YELLOW) IN PLASTICBUCKET@18KG</t>
  </si>
  <si>
    <t>7.1060122119008010</t>
  </si>
  <si>
    <t>MEIZAN BRAND CP SHORTENING CARTON@14.5KG</t>
  </si>
  <si>
    <t>MEIZAN CP SHORTENING TRONG THÙNG 14,5KG</t>
  </si>
  <si>
    <t>V86.10596134001</t>
  </si>
  <si>
    <t>LABEL OF GOLDEN CROWN BUTTER OIL SUBSTITUTE 18KG</t>
  </si>
  <si>
    <t>NHÃN PHỤ DẦU BƠ THAY THẾ NHÃN HIỆU GOLDEN CROWN 18KG</t>
  </si>
  <si>
    <t>V51.152.001</t>
  </si>
  <si>
    <t>VALI SKYWAY NIMBUS - SW001</t>
  </si>
  <si>
    <t>VALI KÉO SKYWAY NIMBUS - SW001</t>
  </si>
  <si>
    <t>V30.210.011</t>
  </si>
  <si>
    <t>MASSAGE CUSHIONS BEURER-MG 206</t>
  </si>
  <si>
    <t>ĐỆM GHẾ MATXA BEURER-MG 206</t>
  </si>
  <si>
    <t>V39.052.001</t>
  </si>
  <si>
    <t>WATER PURIFIER A.O SMITH RO AR75-A-S-1E</t>
  </si>
  <si>
    <t>MÁY LỌC NƯỚC A.O SMITH RO AR75-A-S-1E</t>
  </si>
  <si>
    <t>7.101089570901960</t>
  </si>
  <si>
    <t>SATELLITE RBD OLEIN-D IN BIB @18KG</t>
  </si>
  <si>
    <t>DẦU OLEIN CỌ TINH LUYỆN - D NHÃN HIỆU SATELLITE TRONG THÙNG BIB 18 KG</t>
  </si>
  <si>
    <t>7.5239920990601</t>
  </si>
  <si>
    <t>MS-2 40KG</t>
  </si>
  <si>
    <t>BỘT MÌ HIỆU MS-2 40KG</t>
  </si>
  <si>
    <t>7.5239920990501</t>
  </si>
  <si>
    <t>MS-2 25KG</t>
  </si>
  <si>
    <t>BỘT MÌ HIỆU MS-2 25KG</t>
  </si>
  <si>
    <t>7.5239907990542</t>
  </si>
  <si>
    <t>GREEN KEY-25-TRANG AN CLV</t>
  </si>
  <si>
    <t>7.5239952990542</t>
  </si>
  <si>
    <t>GREEN CLV 01-25-TRANG AN</t>
  </si>
  <si>
    <t>BỘT MÌ CHUYÊN DỤNG "GREEN CLV-01" (25KG)</t>
  </si>
  <si>
    <t>7.1070140893133000</t>
  </si>
  <si>
    <t>SATELLITE BOS(YELLOW) IN PLASTICBKT@18KG</t>
  </si>
  <si>
    <t>DẦU BƠ THAY THẾ NHÃN HIỆU SATELLITE (NHÃN MÀU VÀNG) TRONG XÔ NHỰA 18KG</t>
  </si>
  <si>
    <t>7.B24012399370102</t>
  </si>
  <si>
    <t>HUONG NAM SOY SAUCE 500ML X 20 BOT</t>
  </si>
  <si>
    <t>7.B2401239937010201</t>
  </si>
  <si>
    <t>HO1AC010400</t>
  </si>
  <si>
    <t>7.B24015399327210</t>
  </si>
  <si>
    <t>MIVIMEX CHILI GARLIC SOY SAUCE 200G X 30 BOT</t>
  </si>
  <si>
    <t>NƯỚC CHẤM TỎI ỚT XUẤT KHẨU MIVIMEX 200G</t>
  </si>
  <si>
    <t>7.B24015399387299</t>
  </si>
  <si>
    <t>MIVIMEX SOY SAUCE 210G X 30 BOT</t>
  </si>
  <si>
    <t>NƯỚC CHẤM XUẤT KHẨU MIVIMEX 210G</t>
  </si>
  <si>
    <t>7.B24012399379213</t>
  </si>
  <si>
    <t>NAM DUONG CONDENSED SOY SAUCE 500ML X 20 BOT</t>
  </si>
  <si>
    <t>THỰC PHẨM BỔ SUNG NƯỚC TƯƠNG NAM DƯƠNG ĐẬM ĐẶC 500ML</t>
  </si>
  <si>
    <t>7.B24012399399213</t>
  </si>
  <si>
    <t>NAM DUONG CONDENSED SOY SAUCE 280ML X 20 BOT</t>
  </si>
  <si>
    <t>THỰC PHẨM BỔ SUNG NƯỚC TƯƠNG NAM DƯƠNG ĐẬM ĐẶC 280ML</t>
  </si>
  <si>
    <t>7.B24012302370199</t>
  </si>
  <si>
    <t>HANG VIET SOY SAUCE 500ML X 24 BOT</t>
  </si>
  <si>
    <t>NƯỚC CHẤM HÀNG VIỆT 500ML</t>
  </si>
  <si>
    <t>7.B24012399370101</t>
  </si>
  <si>
    <t>SOYA SOY SAUCE 500ML X 24 BOT</t>
  </si>
  <si>
    <t>NƯỚC CHẤM SOYA 500ML</t>
  </si>
  <si>
    <t>7.B24012399400104</t>
  </si>
  <si>
    <t>PREMIUM SOY SAUCE 210ML X 20 BOT</t>
  </si>
  <si>
    <t>NƯỚC TƯƠNG THƯỢNG HẠNG 210ML</t>
  </si>
  <si>
    <t>7.B2401239940010401</t>
  </si>
  <si>
    <t>7.B24012325377299</t>
  </si>
  <si>
    <t>SOBI SOY SAUCE 500ML X 24 BOT</t>
  </si>
  <si>
    <t>NƯỚC TƯƠNG SOBI 500ML</t>
  </si>
  <si>
    <t>7.B24022399180103</t>
  </si>
  <si>
    <t>SPECIAL HOT CHILI SAUCE 250G X 24 BOT</t>
  </si>
  <si>
    <t>TƯƠNG ỚT ĐẶC BIỆT CAY 250G</t>
  </si>
  <si>
    <t>7.B2402239918010301</t>
  </si>
  <si>
    <t>7.B24022399330103</t>
  </si>
  <si>
    <t>SPECIAL HOT CHILI SAUCE 400G X 24 BOT</t>
  </si>
  <si>
    <t>7.B2402239933010301</t>
  </si>
  <si>
    <t>7.B24022399180199</t>
  </si>
  <si>
    <t>CHILI SAUCE 250G X 24 BOT</t>
  </si>
  <si>
    <t>TƯƠNG ỚT 250G</t>
  </si>
  <si>
    <t>7.B2402239918019901</t>
  </si>
  <si>
    <t>7.B24022399330199</t>
  </si>
  <si>
    <t>CHILI SAUCE 400G X 24 BOT</t>
  </si>
  <si>
    <t>TƯƠNG ỚT 400G</t>
  </si>
  <si>
    <t>7.B24025399327211</t>
  </si>
  <si>
    <t>MIVIMEX GARLIC CHILI SAUCE 200G X 30 BOT</t>
  </si>
  <si>
    <t>TƯƠNG ỚT TỎI XUẤT KHẨU MIVIMEX 200G</t>
  </si>
  <si>
    <t>7.B24025399327212</t>
  </si>
  <si>
    <t>MIVIMEX GARLIC TOMATO CHILI SAUCE 200G X 30 BOT</t>
  </si>
  <si>
    <t>TƯƠNG ỚT VỚI TỎI VÀ CÀ CHUA XUẤT KHẨU MIVIMEX 200G</t>
  </si>
  <si>
    <t>7.B24025399327214</t>
  </si>
  <si>
    <t>MIVIMEX SPICY CHILI SAUCE 200G X 30 BOT</t>
  </si>
  <si>
    <t>TƯƠNG ỚT CAY XUẤT KHẨU MIVIMEX 200G</t>
  </si>
  <si>
    <t>7.B24025399327299</t>
  </si>
  <si>
    <t>MIVIMEX CHILI SAUCE 200G X 30 BOT</t>
  </si>
  <si>
    <t>TƯƠNG ỚT XUẤT KHẨU MIVIMEX 200G</t>
  </si>
  <si>
    <t>7.B25085499419205</t>
  </si>
  <si>
    <t>PORK BOUILLON GRANULE 170G X 40 PAC</t>
  </si>
  <si>
    <t>THỰC PHẨM BỔ SUNG HẠT NÊM 4 TRONG 1 - VỊ HEO 170G</t>
  </si>
  <si>
    <t>7.B25085499429205</t>
  </si>
  <si>
    <t>PORK BOUILLON GRANULE 380G X 20 PAC</t>
  </si>
  <si>
    <t>THỰC PHẨM BỔ SUNG HẠT NÊM 4 TRONG 1 - VỊ HEO 380G</t>
  </si>
  <si>
    <t>7.B25085499439205</t>
  </si>
  <si>
    <t>PORK BOUILLON GRANULE 50G X 100 PAC</t>
  </si>
  <si>
    <t>THỰC PHẨM BỔ SUNG HẠT NÊM 4 TRONG 1 - VỊ HEO 50G</t>
  </si>
  <si>
    <t>7.B25085499449205</t>
  </si>
  <si>
    <t>PORK BOUILLON GRANULE 850G X 10 PAC</t>
  </si>
  <si>
    <t>THỰC PHẨM BỔ SUNG HẠT NÊM 4 TRONG 1 - VỊ HEO 850G</t>
  </si>
  <si>
    <t>7.B25085424410106</t>
  </si>
  <si>
    <t>MUSHROOM BOUILLON GRANULE 170G X 40 PAC</t>
  </si>
  <si>
    <t>HẠT NÊM TAM BẢO VỊ NẤM 170G</t>
  </si>
  <si>
    <t>7.B25085424420106</t>
  </si>
  <si>
    <t>MUSHROOM BOUILLON GRANULE 380G X 20 PAC</t>
  </si>
  <si>
    <t>7.B2508542442010601</t>
  </si>
  <si>
    <t>7.B25085424430106</t>
  </si>
  <si>
    <t>MUSHROOM BOUILLON GRANULE 50G X 100 PAC</t>
  </si>
  <si>
    <t>HẠT NÊM TAM BẢO VỊ NẤM 50G</t>
  </si>
  <si>
    <t>7.B25085424440106</t>
  </si>
  <si>
    <t>MUSHROOM BOUILLON GRANULE 850G X 10 PAC</t>
  </si>
  <si>
    <t>HẠT NÊM TAM BẢO VỊ NẤM 850G</t>
  </si>
  <si>
    <t>7.B25085499419207</t>
  </si>
  <si>
    <t>CHICKEN BOUILLON GRANULE 170G X 40 PAC</t>
  </si>
  <si>
    <t>THỰC PHẨM BỔ SUNG HẠT NÊM GÀ HẦM NHẤT VỊ - VỊ GÀ 170G</t>
  </si>
  <si>
    <t>7.B25085499429207</t>
  </si>
  <si>
    <t>CHICKEN BOUILLON GRANULE 380G X 20 PAC</t>
  </si>
  <si>
    <t>THỰC PHẨM BỔ SUNG HẠT NÊM GÀ HẦM NHẤT VỊ - VỊ GÀ 380G</t>
  </si>
  <si>
    <t>7.B25085499439207</t>
  </si>
  <si>
    <t>CHICKEN BOUILLON GRANULE 50G X 100 PAC</t>
  </si>
  <si>
    <t>THỰC PHẨM BỔ SUNG HẠT NÊM GÀ HẦM NHẤT VỊ - VỊ GÀ 50G</t>
  </si>
  <si>
    <t>7.B25085499449207</t>
  </si>
  <si>
    <t>CHICKEN BOUILLON GRANULE 850G X 10 PAC</t>
  </si>
  <si>
    <t>THỰC PHẨM BỔ SUNG HẠT NÊM GÀ HẦM NHẤT VỊ - VỊ GÀ 850G</t>
  </si>
  <si>
    <t>7.B24022399180108</t>
  </si>
  <si>
    <t>SWEET AND SOUR CHILI SAUCE 250G X 24 BOT</t>
  </si>
  <si>
    <t>TƯƠNG ỚT CHUA NGỌT 250G</t>
  </si>
  <si>
    <t>7.B24032399160199</t>
  </si>
  <si>
    <t>OYSTER SAUCE 265G X 24 BOT</t>
  </si>
  <si>
    <t>DẦU HÀO 265G</t>
  </si>
  <si>
    <t>7.B24092399180199</t>
  </si>
  <si>
    <t>SALAD DRESSING 250G X 24 BOT</t>
  </si>
  <si>
    <t>7.B2409239918019901</t>
  </si>
  <si>
    <t>7.B24022399450199</t>
  </si>
  <si>
    <t>CHILI SAUCE 470G X 12 BOT</t>
  </si>
  <si>
    <t>TƯƠNG ỚT CHILI 470G</t>
  </si>
  <si>
    <t>7.B24022399320199</t>
  </si>
  <si>
    <t>CHILI SAUCE 200G X 30 BOT</t>
  </si>
  <si>
    <t>TƯƠNG ỚT CHILI 200G</t>
  </si>
  <si>
    <t>7.B24022399209199</t>
  </si>
  <si>
    <t>TƯƠNG ỚT HORECA 2.1KG</t>
  </si>
  <si>
    <t>7.B2402239920919901</t>
  </si>
  <si>
    <t>7.B24022399039199</t>
  </si>
  <si>
    <t>HORECA CHILI SAUCE 5KG X 4 BOT</t>
  </si>
  <si>
    <t>TƯƠNG ỚT HORECA 5 KG</t>
  </si>
  <si>
    <t>7.B24022399359104</t>
  </si>
  <si>
    <t>HORECA PREMIUM CHILI SAUCE2.2KG X 6 BOT</t>
  </si>
  <si>
    <t>TƯƠNG ỚT HORECA PREMIUM 2.2KG</t>
  </si>
  <si>
    <t>7.B24022399039104</t>
  </si>
  <si>
    <t>HORECA PREMIUM CHILI SAUCE 5KG X 4 BOT</t>
  </si>
  <si>
    <t>TƯƠNG ỚT HORECA PREMIUM 5KG</t>
  </si>
  <si>
    <t>7.B24052399470199</t>
  </si>
  <si>
    <t>CHILI SATAY 80G X 60 BOT</t>
  </si>
  <si>
    <t>ỚT SA TẾ 80G</t>
  </si>
  <si>
    <t>7.B2405239947019901</t>
  </si>
  <si>
    <t>7.B24052399470109</t>
  </si>
  <si>
    <t>SHRIMP SATAY 80G X 60 BOT</t>
  </si>
  <si>
    <t>SATẾ TÔM 80G</t>
  </si>
  <si>
    <t>7.B24022399020199</t>
  </si>
  <si>
    <t>BAG CHILI SAUCE 1KG X 10 PAC</t>
  </si>
  <si>
    <t>7.B24012399369199</t>
  </si>
  <si>
    <t>HORECA SOY SAUCE 1.96L X 6 BOT</t>
  </si>
  <si>
    <t>NƯỚC CHẤM HORECA 1.96L</t>
  </si>
  <si>
    <t>7.B24012399489199</t>
  </si>
  <si>
    <t>HORECA SOY SAUCE 4.5L X 4 BOT</t>
  </si>
  <si>
    <t>NƯỚC CHẤM HORECA 4.5L</t>
  </si>
  <si>
    <t>7.B250854994292051</t>
  </si>
  <si>
    <t>PORK BOUILLON GRANULE 380G X 20 PAC ON PACK 20 PAC NEPTUNE 0.25L</t>
  </si>
  <si>
    <t>THỰC PHẨM BỔ SUNG HẠT NÊM 4 TRONG 1 - VỊ HEO 380G ĐÓNG KÈM 20 CHAI DẦU ĂN THƯỢNG HẠNG NHÃN HIỆU NEPTUNE GOLD 0.25L / THÙNG</t>
  </si>
  <si>
    <t>7.B250854994492052</t>
  </si>
  <si>
    <t>PORK BOUILLON GRANULE 850G X 10 PAC ON PACK 10 PAC NEPTUNE 0.4L</t>
  </si>
  <si>
    <t>THỰC PHẨM BỔ SUNG HẠT NÊM 4 TRONG 1 - VỊ HEO 850G ĐÓNG KÈM 10 CHAI DẦU ĂN THƯỢNG HẠNG NHÃN HIỆU NEPTUNE GOLD 0.4L / THÙNG</t>
  </si>
  <si>
    <t>7.B250854244201061</t>
  </si>
  <si>
    <t>MUSHROOM BOUILLON GRANULE 380G ON PACK 20 PAC NEPTUNE 0.25L</t>
  </si>
  <si>
    <t>HẠT NÊM TAM BẢO VỊ NẤM 380G ĐÓNG KÈM 20 CHAI DẦU ĂN THƯỢNG HẠNG NHÃN HIỆU NEPTUNE GOLD 0.25L / THÙNG</t>
  </si>
  <si>
    <t>HUONG NAM SOY SAUCE 500ML</t>
  </si>
  <si>
    <t>7.B2401539932721001</t>
  </si>
  <si>
    <t>MIVIMEX CHILI GARLIC SOY SAUCE 200G</t>
  </si>
  <si>
    <t>7.B2401539938729901</t>
  </si>
  <si>
    <t>MIVIMEX SOY SAUCE 210G</t>
  </si>
  <si>
    <t>7.B2401239937921301</t>
  </si>
  <si>
    <t>NAM DUONG CONDENSED SOY SAUCE 500ML</t>
  </si>
  <si>
    <t>7.B2401239939921301</t>
  </si>
  <si>
    <t>NAM DUONG CONDENSED SOY SAUCE 280ML</t>
  </si>
  <si>
    <t>7.B2401230237019901</t>
  </si>
  <si>
    <t>HANG VIET SOY SAUCE 500ML</t>
  </si>
  <si>
    <t>7.B2401239937010101</t>
  </si>
  <si>
    <t>SOYA SOY SAUCE 500ML</t>
  </si>
  <si>
    <t>PREMIUM SOY SAUCE 210ML</t>
  </si>
  <si>
    <t>7.B2401232537729901</t>
  </si>
  <si>
    <t xml:space="preserve">SOBI SOY SAUCE 500ML </t>
  </si>
  <si>
    <t>SPECIAL HOT CHILI SAUCE 250G</t>
  </si>
  <si>
    <t xml:space="preserve">SPECIAL HOT CHILI SAUCE 400G </t>
  </si>
  <si>
    <t>CHILI SAUCE 250G</t>
  </si>
  <si>
    <t>7.B2402239933019901</t>
  </si>
  <si>
    <t xml:space="preserve">CHILI SAUCE 400G </t>
  </si>
  <si>
    <t>7.B2402539932721101</t>
  </si>
  <si>
    <t>MIVIMEX GARLIC CHILI SAUCE 200G</t>
  </si>
  <si>
    <t xml:space="preserve">MIVIMEX GARLIC CHILI SAUCE 200G </t>
  </si>
  <si>
    <t>7.B2402539932721201</t>
  </si>
  <si>
    <t>MIVIMEX GARLIC TOMATO CHILI SAUCE 200G</t>
  </si>
  <si>
    <t>7.B2402539932721401</t>
  </si>
  <si>
    <t>MIVIMEX SPICY CHILI SAUCE 200G</t>
  </si>
  <si>
    <t xml:space="preserve">MIVIMEX SPICY CHILI SAUCE 200G </t>
  </si>
  <si>
    <t>7.B2402539932729901</t>
  </si>
  <si>
    <t xml:space="preserve">MIVIMEX CHILI SAUCE 200G </t>
  </si>
  <si>
    <t>MIVIMEX CHILI SAUCE 200G</t>
  </si>
  <si>
    <t>7.B2508549941920501</t>
  </si>
  <si>
    <t xml:space="preserve">PORK BOUILLON GRANULE 170G </t>
  </si>
  <si>
    <t>PORK BOUILLON GRANULE 170G</t>
  </si>
  <si>
    <t>7.B2508549942920501</t>
  </si>
  <si>
    <t>PORK BOUILLON GRANULE 380G</t>
  </si>
  <si>
    <t xml:space="preserve">PORK BOUILLON GRANULE 380G </t>
  </si>
  <si>
    <t>7.B2508549943920501</t>
  </si>
  <si>
    <t>PORK BOUILLON GRANULE 50G</t>
  </si>
  <si>
    <t>7.B2508549944920501</t>
  </si>
  <si>
    <t xml:space="preserve">PORK BOUILLON GRANULE 850G </t>
  </si>
  <si>
    <t>7.B2508542441010601</t>
  </si>
  <si>
    <t xml:space="preserve">MUSHROOM BOUILLON GRANULE 170G </t>
  </si>
  <si>
    <t>MUSHROOM BOUILLON GRANULE 170G</t>
  </si>
  <si>
    <t>MUSHROOM BOUILLON GRANULE 380G</t>
  </si>
  <si>
    <t>7.B2508542443010601</t>
  </si>
  <si>
    <t xml:space="preserve">MUSHROOM BOUILLON GRANULE 50G </t>
  </si>
  <si>
    <t>7.B2508542444010601</t>
  </si>
  <si>
    <t>MUSHROOM BOUILLON GRANULE 850G</t>
  </si>
  <si>
    <t>7.B2508549941920701</t>
  </si>
  <si>
    <t>CHICKEN BOUILLON GRANULE 170G</t>
  </si>
  <si>
    <t>7.B2508549942920701</t>
  </si>
  <si>
    <t xml:space="preserve">CHICKEN BOUILLON GRANULE 380G </t>
  </si>
  <si>
    <t>7.B2508549943920701</t>
  </si>
  <si>
    <t xml:space="preserve">CHICKEN BOUILLON GRANULE 50G </t>
  </si>
  <si>
    <t>CHICKEN BOUILLON GRANULE 50G</t>
  </si>
  <si>
    <t>7.B2508549944920701</t>
  </si>
  <si>
    <t>CHICKEN BOUILLON GRANULE 850G</t>
  </si>
  <si>
    <t xml:space="preserve">CHICKEN BOUILLON GRANULE 850G </t>
  </si>
  <si>
    <t>7.B2402239918010801</t>
  </si>
  <si>
    <t>SWEET AND SOUR CHILI SAUCE 250G</t>
  </si>
  <si>
    <t>7.B2403239916019901</t>
  </si>
  <si>
    <t xml:space="preserve">OYSTER SAUCE 265G </t>
  </si>
  <si>
    <t xml:space="preserve">SALAD DRESSING 250G </t>
  </si>
  <si>
    <t>7.B2402239945019901</t>
  </si>
  <si>
    <t>CHILI SAUCE 470G</t>
  </si>
  <si>
    <t>7.B2402239932019901</t>
  </si>
  <si>
    <t>CHILI SAUCE 200G</t>
  </si>
  <si>
    <t xml:space="preserve">HORECA CHILI SAUCE 2.1KG </t>
  </si>
  <si>
    <t>7.B2402239903919901</t>
  </si>
  <si>
    <t xml:space="preserve">HORECA CHILI SAUCE 5KG </t>
  </si>
  <si>
    <t>HORECA CHILI SAUCE 5KG</t>
  </si>
  <si>
    <t>7.B2402239935910401</t>
  </si>
  <si>
    <t>HORECA PREMIUM CHILI SAUCE2.2KG</t>
  </si>
  <si>
    <t>7.B2402239903910401</t>
  </si>
  <si>
    <t>HORECA PREMIUM CHILI SAUCE 5KG</t>
  </si>
  <si>
    <t>CHILI SATAY 80G</t>
  </si>
  <si>
    <t>7.B2405239947010901</t>
  </si>
  <si>
    <t>SHRIMP SATAY 80G</t>
  </si>
  <si>
    <t>7.B2402239902019901</t>
  </si>
  <si>
    <t>BAG CHILI SAUCE 1KG</t>
  </si>
  <si>
    <t>7.B2401239936919901</t>
  </si>
  <si>
    <t>HORECA SOY SAUCE 1.96L</t>
  </si>
  <si>
    <t>7.B2401239948919901</t>
  </si>
  <si>
    <t>HORECA SOY SAUCE 4.5L</t>
  </si>
  <si>
    <t>7.B25085499429205101</t>
  </si>
  <si>
    <t>PORK BOUILLON GRANULE 380G ON PACK 1 PAC NEPTUNE 0.25L</t>
  </si>
  <si>
    <t>THỰC PHẨM BỔ SUNG HẠT NÊM 4 TRONG 1 - VỊ HEO 380G ĐÓNG KÈM 1 CHAI DẦU ĂN THƯỢNG HẠNG NHÃN HIỆU NEPTUNE GOLD 0.25L</t>
  </si>
  <si>
    <t>7.B25085499449205201</t>
  </si>
  <si>
    <t>PORK BOUILLON GRANULE 850G ON PACK 1 PAC NEPTUNE 0.4L</t>
  </si>
  <si>
    <t>THỰC PHẨM BỔ SUNG HẠT NÊM 4 TRONG 1 - VỊ HEO 850G ĐÓNG KÈM 1 CHAI DẦU ĂN THƯỢNG HẠNG NHÃN HIỆU NEPTUNE GOLD 0.4L</t>
  </si>
  <si>
    <t>7.B25085424420106101</t>
  </si>
  <si>
    <t>MUSHROOM BOUILLON GRANULE 380G ON PACK 1 PAC NEPTUNE 0.25L</t>
  </si>
  <si>
    <t>HẠT NÊM TAM BẢO VỊ NẤM 380G ĐÓNG KÈM 1 CHAI DẦU ĂN THƯỢNG HẠNG NHÃN HIỆU NEPTUNE GOLD 0.25L</t>
  </si>
  <si>
    <t>V51.901.044</t>
  </si>
  <si>
    <t>SET GIFT PACK,PEN &amp; SPARE BATTERY CHARGER</t>
  </si>
  <si>
    <t>BỘ HỘP QUÀ, BÚT VÀ SẠC PIN DỰ PHÒNG</t>
  </si>
  <si>
    <t>7.5239922990593</t>
  </si>
  <si>
    <t>BLUE COMPASS-25-VIFON</t>
  </si>
  <si>
    <t>V56.031.008</t>
  </si>
  <si>
    <t>ACCESS CONTROL ZK TF1700</t>
  </si>
  <si>
    <t>MÁY CHẤM CÔNG ZK TF1700</t>
  </si>
  <si>
    <t>V56.079.001</t>
  </si>
  <si>
    <t>EXTENDED READER FR1200</t>
  </si>
  <si>
    <t>ĐẦU ĐỌC MỞ RỘNG FR1200</t>
  </si>
  <si>
    <t>7.131005E41700C50</t>
  </si>
  <si>
    <t>MEIZAN COOKING OIL IN BOTTLE @9KG</t>
  </si>
  <si>
    <t>7.451051871702000</t>
  </si>
  <si>
    <t>MEIZAN SBO 9KG X 2 BTL</t>
  </si>
  <si>
    <t>DẦU ĐẬU NÀNH NHÃN HIỆU MEIZAN 9KG</t>
  </si>
  <si>
    <t>7.451051871700000</t>
  </si>
  <si>
    <t>MEIZAN SBO IN BOTTLE @9KG</t>
  </si>
  <si>
    <t>V15.050.001</t>
  </si>
  <si>
    <t>SIM VIETTEL 4G</t>
  </si>
  <si>
    <t>V15.007.003</t>
  </si>
  <si>
    <t xml:space="preserve">SAMSUNG GALAXY A5 </t>
  </si>
  <si>
    <t>ĐIỆN THOẠI SAMSUNG GALAXY A5</t>
  </si>
  <si>
    <t>7.101071021806550</t>
  </si>
  <si>
    <t>CAILAN ROL CP8 0.5L X 24 POUCH</t>
  </si>
  <si>
    <t>DẦU THỰC VẬT TINH LUYỆN NHÃN HIỆU CÁI LÂN 0.5L</t>
  </si>
  <si>
    <t>V78.301.021</t>
  </si>
  <si>
    <t>MEDIUM DRESS; VEST FOR F</t>
  </si>
  <si>
    <t>VÁY LIỀN; VEST</t>
  </si>
  <si>
    <t>V78.301.022</t>
  </si>
  <si>
    <t>SHIRT; WAISTCOAT; TROUSERS FOR F</t>
  </si>
  <si>
    <t>ÁO NGẮN TAY; GHI LÊ; QUẦN DÀI</t>
  </si>
  <si>
    <t>V78.301.023</t>
  </si>
  <si>
    <t>MEDIUM DRESS, SHIRT FOR F</t>
  </si>
  <si>
    <t>VÁY LIỀN; ÁO NGẮN TAY</t>
  </si>
  <si>
    <t>V78.301.024</t>
  </si>
  <si>
    <t>SHIRT; TROUSERS FOR F</t>
  </si>
  <si>
    <t>ÁO SƠ MI NỮ; QUẦN ÂU NỮ</t>
  </si>
  <si>
    <t>V78.301.025</t>
  </si>
  <si>
    <t>SHIRT; SKIRT FOR F</t>
  </si>
  <si>
    <t>ÁO DÀI TAY; VÁY NGẮN</t>
  </si>
  <si>
    <t>V78.301.026</t>
  </si>
  <si>
    <t>SHIRT; TROUSERS FOR M</t>
  </si>
  <si>
    <t>ÁO SƠ MI NAM; QUẦN ÂU NAM</t>
  </si>
  <si>
    <t>V78.301.027</t>
  </si>
  <si>
    <t>SHIRT; TROUSERS; VEST FOR M</t>
  </si>
  <si>
    <t>ÁO SƠ MI NAM; QUẦN ÂU NAM; VEST</t>
  </si>
  <si>
    <t>V78.301.028</t>
  </si>
  <si>
    <t>SHIRT; SKIRT; VEST FOR F</t>
  </si>
  <si>
    <t>ÁO SƠ MI NỮ; VÁY NGẮN; VEST</t>
  </si>
  <si>
    <t>7.131069E41702C40</t>
  </si>
  <si>
    <t>NEPTUNE GOLD 9KG X 2 BTL</t>
  </si>
  <si>
    <t>DẦU ĂN THƯỢNG HẠNG HIỆU NEPTUNE GOLD 9KG</t>
  </si>
  <si>
    <t>7.131069E41700C40</t>
  </si>
  <si>
    <t>NEPTUNE GOLD IN BOTTLE @9KG</t>
  </si>
  <si>
    <t>DẦU ĂN THƯỢNG HẠNG NHẪN HIỆU NEPTUNE GOLD 9KG</t>
  </si>
  <si>
    <t>V39.015.019</t>
  </si>
  <si>
    <t>OLIVOILA PORCELAIN CUP</t>
  </si>
  <si>
    <t>LY SỨ CÓ QUAI OLIVOILA</t>
  </si>
  <si>
    <t>V39.015.111</t>
  </si>
  <si>
    <t>SET OF BABY SPOON - FORK</t>
  </si>
  <si>
    <t>BỘ MUỖNG - NĨA TẬP ĂN CHO BÉ</t>
  </si>
  <si>
    <t>V39.015.112</t>
  </si>
  <si>
    <t>SET OF INOX SPOON - FORK - CHOPSTICKS</t>
  </si>
  <si>
    <t>BỘ MUỖNG - NĨA - ĐŨA INOX</t>
  </si>
  <si>
    <t>V39.015.223</t>
  </si>
  <si>
    <t>OLIVOILA PORCELAIN PLATE</t>
  </si>
  <si>
    <t>ĐĨA SỨ OLIVOILA</t>
  </si>
  <si>
    <t>V51.035.007</t>
  </si>
  <si>
    <t>3M MICROFIBER KITCHEN WIPES</t>
  </si>
  <si>
    <t>KHĂN LAU BẾP ĐA NĂNG MICROFIBER 3M</t>
  </si>
  <si>
    <t>V51.035.008</t>
  </si>
  <si>
    <t>3M YELLOW KITCHEN WIPES</t>
  </si>
  <si>
    <t>KHĂN LAU BẾP ĐA NĂNG MÀU VÀNG 3M</t>
  </si>
  <si>
    <t>V51.153.021</t>
  </si>
  <si>
    <t>HANDHELD COSMETIC BAG</t>
  </si>
  <si>
    <t>TÚI CẦM TAY ĐỰNG MỸ PHẨM</t>
  </si>
  <si>
    <t>V51.901.042</t>
  </si>
  <si>
    <t>3M BABY FACE MASK PACK 2</t>
  </si>
  <si>
    <t>BỘ 2 KHẨU TRANG CHO BÉ 3M</t>
  </si>
  <si>
    <t>V51.000.001</t>
  </si>
  <si>
    <t xml:space="preserve">PLASTIC HOOK </t>
  </si>
  <si>
    <t>DÂY TREO HD</t>
  </si>
  <si>
    <t>V39.000.001</t>
  </si>
  <si>
    <t>APRON NDFC</t>
  </si>
  <si>
    <t>TẠP DỀ NDFC</t>
  </si>
  <si>
    <t>V51.000.002</t>
  </si>
  <si>
    <t>TOPBOARD</t>
  </si>
  <si>
    <t>BẢNG TREO</t>
  </si>
  <si>
    <t>V51.000.003</t>
  </si>
  <si>
    <t xml:space="preserve"> HANGER WITH 6 PLASTIC BOX</t>
  </si>
  <si>
    <t>VỈ TREO NHỰA 6 TÚI</t>
  </si>
  <si>
    <t>V39.013.036</t>
  </si>
  <si>
    <t>T-SHIRT NEPTUNE GOLD</t>
  </si>
  <si>
    <t>ÁO THUN NEPTUNE - 65% COTTON</t>
  </si>
  <si>
    <t>7.5239904990501</t>
  </si>
  <si>
    <t>BROWN COMPASS-25-SP</t>
  </si>
  <si>
    <t>BỘT MÌ ĐA DỤNG "LA BÀN NÂU" (25KG)</t>
  </si>
  <si>
    <t>V51.000.004</t>
  </si>
  <si>
    <t>DANGLER NDFC</t>
  </si>
  <si>
    <t>PHƯỚN QUẢNG CÁO NDFC</t>
  </si>
  <si>
    <t>V51.000.005</t>
  </si>
  <si>
    <t>TRAY HOLDER</t>
  </si>
  <si>
    <t>KHAY ĐỰNG GIA VỊ NAM DƯƠNG</t>
  </si>
  <si>
    <t>V39.000.003</t>
  </si>
  <si>
    <t>T-SHIRT NDFC</t>
  </si>
  <si>
    <t>ÁO THUN NDFC</t>
  </si>
  <si>
    <t>V51.901.045</t>
  </si>
  <si>
    <t>GOLD RING 9999 (1 TAEL)</t>
  </si>
  <si>
    <t>NHẪN VÀNG 9999 LOẠI 1 CHỈ</t>
  </si>
  <si>
    <t>V39.015.221</t>
  </si>
  <si>
    <t>SET OF NEPTUNE BOWL AND PLATE</t>
  </si>
  <si>
    <t>BỘ BÁT ĐĨA NEPTUNE</t>
  </si>
  <si>
    <t>V78.000.001</t>
  </si>
  <si>
    <t>COAT NDFC</t>
  </si>
  <si>
    <t>ÁO KHOÁC NDFC</t>
  </si>
  <si>
    <t>V51.035.009</t>
  </si>
  <si>
    <t>7.131023011705840TD</t>
  </si>
  <si>
    <t>7.131023011700840TD</t>
  </si>
  <si>
    <t>7.47505601010500TD</t>
  </si>
  <si>
    <t>CO-OLIVOILÀ OLIVE OIL 0,25L X 12 BTL</t>
  </si>
  <si>
    <t>7.47505601170000TD</t>
  </si>
  <si>
    <t>7.47505617010400TD</t>
  </si>
  <si>
    <t>7.47505617170000TD</t>
  </si>
  <si>
    <t xml:space="preserve">CO-OLIVOILÀ OLIVE OIL @ 0.75L </t>
  </si>
  <si>
    <t>7.475056011705020TD</t>
  </si>
  <si>
    <t>DẦU Ô-LIU POMACE NHÃN HIỆU OLIVOILÀ 0,25L</t>
  </si>
  <si>
    <t>7.475056011700020TD</t>
  </si>
  <si>
    <t>CO-OLIVOILA POMACE OLIVE OIL @250ML</t>
  </si>
  <si>
    <t>7.475056031705020TD</t>
  </si>
  <si>
    <t>7.475056031700020TD</t>
  </si>
  <si>
    <t>CO-OLIVOILA POMACE OLIVE OIL @1L</t>
  </si>
  <si>
    <t>V39.000.004</t>
  </si>
  <si>
    <t>POP JAR (GLASS LID) B02517 (500ML) HŨ THỦY TINH B02517</t>
  </si>
  <si>
    <t>V39.000.005</t>
  </si>
  <si>
    <t>LUCKYGLASS LG-312311 (2 CÁI/HỘP)</t>
  </si>
  <si>
    <t>V51.000.006</t>
  </si>
  <si>
    <t>KHẨU TRANG TRẺ EM 3 LỚP</t>
  </si>
  <si>
    <t>V51.000.007</t>
  </si>
  <si>
    <t>V34.000.001</t>
  </si>
  <si>
    <t>V39.000.006</t>
  </si>
  <si>
    <t>V39.000.007</t>
  </si>
  <si>
    <t>THÌA INOX KIDDY</t>
  </si>
  <si>
    <t>V86.000.001</t>
  </si>
  <si>
    <t>KIDDY OLIVE OIL 250ML, SUB LABEL</t>
  </si>
  <si>
    <t>NHÃN PHỤ KIDDY OLIVE 250ML</t>
  </si>
  <si>
    <t>V86.000.002</t>
  </si>
  <si>
    <t>OLIVOILA LABEL 0.25L, SUBLABEL</t>
  </si>
  <si>
    <t>NHÃN PHỤ OLIVOILA EXTRA VIRGIN 250ML</t>
  </si>
  <si>
    <t>V39.000.008</t>
  </si>
  <si>
    <t>V39.000.009</t>
  </si>
  <si>
    <t>V56.052.023</t>
  </si>
  <si>
    <t>IPAD PRO 9.7 WI-FI 4G 128GB</t>
  </si>
  <si>
    <t>MÁY TÍNH BẢNG IPAD PRO 9.7 WI-FI 4G 128G</t>
  </si>
  <si>
    <t>7.1060120208608010</t>
  </si>
  <si>
    <t>MEIZAN LOW FAT SHORT MP48-52 PEBAG@20KG</t>
  </si>
  <si>
    <t>SHORTENING LF NHÃN HIỆU MEIZAN 20KG</t>
  </si>
  <si>
    <t>7.131069011720A00TD</t>
  </si>
  <si>
    <t>7.131069011700A00TD</t>
  </si>
  <si>
    <t>7.131069121712A00TD</t>
  </si>
  <si>
    <t>7.131069121700A00TD</t>
  </si>
  <si>
    <t>NEPTUNE GOLD BTL @0.4L</t>
  </si>
  <si>
    <t>7.131069031705A00TD</t>
  </si>
  <si>
    <t>NEPTUNE GOLD 1L X 12 BTL</t>
  </si>
  <si>
    <t>7.460050440112030TD</t>
  </si>
  <si>
    <t>7.460050441700030TD</t>
  </si>
  <si>
    <t>SIMPLY RBDRBO @ 0.4L</t>
  </si>
  <si>
    <t>7.460050030105030TD</t>
  </si>
  <si>
    <t>7.45105044011200TD</t>
  </si>
  <si>
    <t>SIMPLY SBO 0.4L X 20 BTL</t>
  </si>
  <si>
    <t>7.45105044170000TD</t>
  </si>
  <si>
    <t>SIMPLY SBO @ 0.4L</t>
  </si>
  <si>
    <t>7.45105003010500TD</t>
  </si>
  <si>
    <t>SIMPLY SBO 1L X 12 BTL</t>
  </si>
  <si>
    <t>7.45105003170000TD</t>
  </si>
  <si>
    <t>SIMPLY SBO @ 1L</t>
  </si>
  <si>
    <t>V39.013.052</t>
  </si>
  <si>
    <t>NEPTUNE LIS T-SHIRT DARK RED</t>
  </si>
  <si>
    <t>ÁO THUN LIS NEPTUNE ĐỎ ĐẬM</t>
  </si>
  <si>
    <t>V39.013.051</t>
  </si>
  <si>
    <t>NEPTUNE LIS T-SHIRT DARK BLUE</t>
  </si>
  <si>
    <t>ÁO THUN LIS NETUNE XANH DƯƠNG ĐẬM</t>
  </si>
  <si>
    <t>7.5239952990501</t>
  </si>
  <si>
    <t>GREEN CLV 01-25</t>
  </si>
  <si>
    <t>BỘT MÌ CHUYÊN DỤNG GREEN CLV-01 (25KG)</t>
  </si>
  <si>
    <t>7.70526</t>
  </si>
  <si>
    <t>ALKYL KETENE DIMER (AKD 1840) IN JUMBO BAG 500KGS</t>
  </si>
  <si>
    <t>SÁP NHÂN TẠO AKD ( ALKYL KETENE DIMER ), BAO 500KG</t>
  </si>
  <si>
    <t>7.70527</t>
  </si>
  <si>
    <t>ALKYL KETENE DIMER (AKD 1840) IN PLASTIC BAG 25KGS</t>
  </si>
  <si>
    <t>SÁP NHÂN TẠO AKD ( ALKYL KETENE DIMER ), BAO 25KG</t>
  </si>
  <si>
    <t>7.C35015599490101</t>
  </si>
  <si>
    <t>DISHWASHING LIQUID POWER100, 3,8KG</t>
  </si>
  <si>
    <t>NƯỚC RỬA CHÉN POWER100, LOẠI 3,8 KG</t>
  </si>
  <si>
    <t>HO1TD031100</t>
  </si>
  <si>
    <t>7.C350155994901</t>
  </si>
  <si>
    <t>DISHWASHING LIQUID POWER100, 3,8KG X 4 JRG</t>
  </si>
  <si>
    <t>NƯỚC RỬA CHÉN POWER100, LOẠI 3,8 KG X 4 CAN</t>
  </si>
  <si>
    <t>7.C350155995001</t>
  </si>
  <si>
    <t>DISHWASHING LIQUID POWER100, 9,5KG</t>
  </si>
  <si>
    <t>NƯỚC RỬA CHÉN POWER100, LOẠI 9,5 KG</t>
  </si>
  <si>
    <t>7.5239941990501</t>
  </si>
  <si>
    <t>AP-25</t>
  </si>
  <si>
    <t>7.460050051704050</t>
  </si>
  <si>
    <t>SIMPLY RBO 2L X 6 BTL</t>
  </si>
  <si>
    <t>6.1212A68</t>
  </si>
  <si>
    <t>REFINED PO IV56 CP5 LC2.5R RSPO MB</t>
  </si>
  <si>
    <t>V51.153.008</t>
  </si>
  <si>
    <t>KIDDY PLASTIC BAG</t>
  </si>
  <si>
    <t>TÚI NHỰA KIDDY</t>
  </si>
  <si>
    <t>7.1100120200808010</t>
  </si>
  <si>
    <t>MEIZAN TRHPKO CBS WILKOTE380 INPEBG@20KG</t>
  </si>
  <si>
    <t>DẦU NHÂN CỌ ĐÃ TINH LUYỆN VÀ HYDRO HÓA, HIỆU MEIZAN WILKOTE 380</t>
  </si>
  <si>
    <t>V12.201.001</t>
  </si>
  <si>
    <t>MIXED TOCOPHEROL, 95% (VITAMIN E)</t>
  </si>
  <si>
    <t>TOCOPHEROL HỖN HỢP TỰ NHIÊN WILMOX 90</t>
  </si>
  <si>
    <t>FORTIUM MT 95 LIQUID</t>
  </si>
  <si>
    <t>7.1060000224008010TD</t>
  </si>
  <si>
    <t xml:space="preserve">SHORTENING WILMAX 1200, IN CARTON 20KG </t>
  </si>
  <si>
    <t>DẦU THỰC VẬT WILMAX 1200, THÙNG 20KG</t>
  </si>
  <si>
    <t>7.1060050201908010TD</t>
  </si>
  <si>
    <t xml:space="preserve">SHORTENING WILSHORT 4750, BRAND NAME SANIA, IN CARTON 20KG </t>
  </si>
  <si>
    <t>DẦU THỰC VẬT WILSHORT 4750, NHÃN HIỆU SANIA, THÙNG 20KG</t>
  </si>
  <si>
    <t>7.B2401239940010401TD</t>
  </si>
  <si>
    <t>7.B24012399400104TD</t>
  </si>
  <si>
    <t>7.B2402239918010301TD</t>
  </si>
  <si>
    <t>7.B24022399180103TD</t>
  </si>
  <si>
    <t>7.B2508549942920501TD</t>
  </si>
  <si>
    <t>7.B24025399329415</t>
  </si>
  <si>
    <t>MIVIMEX ASSORTED CHILI SAUCE 200G X 30 BTL</t>
  </si>
  <si>
    <t>TƯƠNG ỚT HỖN HỢP XUẤT KHẨU MIVIMEX 200G</t>
  </si>
  <si>
    <t>7.B25085499429205TD</t>
  </si>
  <si>
    <t>7.B2402539932941501</t>
  </si>
  <si>
    <t>MIVIMEX ASSORTED CHILI SAUCE 200G</t>
  </si>
  <si>
    <t>7.B24072399359116</t>
  </si>
  <si>
    <t>HORECA TOMATO SAUCE 2.2KG X 6 BTL</t>
  </si>
  <si>
    <t>TƯƠNG CÀ HORECA 2.2KG</t>
  </si>
  <si>
    <t>7.B2407239935911601</t>
  </si>
  <si>
    <t>HORECA TOMATO SAUCE 2.2KG</t>
  </si>
  <si>
    <t>V10.000.001</t>
  </si>
  <si>
    <t>TV SONY KD -65X7000E VN3</t>
  </si>
  <si>
    <t>TIVI SONY KD-65X7000E VN3</t>
  </si>
  <si>
    <t>V10.000.002</t>
  </si>
  <si>
    <t>TV SONY KD-55X7000E VN3</t>
  </si>
  <si>
    <t>TIVI SONY KD-55X7000E VN3</t>
  </si>
  <si>
    <t>V39.000.010</t>
  </si>
  <si>
    <t>SKYLINK SUITCASE</t>
  </si>
  <si>
    <t>VALI SKYLINK SUITCASE (TP SONY)</t>
  </si>
  <si>
    <t>V52.000.001</t>
  </si>
  <si>
    <t>SUZUKI CAR-F10A-ID731374</t>
  </si>
  <si>
    <t>XE Ô TÔ TẢI NHÃN HIỆU SUZUKI SK410K4 MỚI 100%, MÀU TRẮNG</t>
  </si>
  <si>
    <t>V52.000.002</t>
  </si>
  <si>
    <t>FOR RANGER CAR-P4AT 2560252</t>
  </si>
  <si>
    <t>XE Ô-TÔ TẢI - PINK UP, CABIN KÉP NHẬP KHẨU MỚI, NHÃN HIỆU: FORD RANGER</t>
  </si>
  <si>
    <t>V52.000.003</t>
  </si>
  <si>
    <t>FOR RANGER CAR-P4AT 2562347</t>
  </si>
  <si>
    <t>V52.000.004</t>
  </si>
  <si>
    <t>CRV CAR-L15BG 1111079</t>
  </si>
  <si>
    <t>Ô TÔ HONDA CR-V 15TOP MỚI 100% TAY LÁI THUẬN</t>
  </si>
  <si>
    <t>V52.000.005</t>
  </si>
  <si>
    <t>MERCEDES-BENZ CAR-RLMWF4CX7HV004359</t>
  </si>
  <si>
    <t>XE MERCEDES-BENZ C 200 (205042 R032P0)</t>
  </si>
  <si>
    <t>V15.000.001</t>
  </si>
  <si>
    <t>IPHONE 7 PLUS IMEI: 353811087580380</t>
  </si>
  <si>
    <t>BỘ SẢN PHẨM VIETTEL ĐTDĐ IPHONE 7 PLUS BLACK 128GB (IMEI: 353811087580380)</t>
  </si>
  <si>
    <t>V15.000.002</t>
  </si>
  <si>
    <t>IPHONE 7 PLUS IMEI: 355349081135255</t>
  </si>
  <si>
    <t>BỘ SẢN PHẨM VIETTEL ĐTDĐ IPHONE 7 PLUS BLACK 128GB (IMEI: 355349081135255)</t>
  </si>
  <si>
    <t>V15.000.003</t>
  </si>
  <si>
    <t>IPAD-4G 128GB IMEI: 355807083699263</t>
  </si>
  <si>
    <t>IPAD (2017) WI-FI + 4G 128GB GOLD (IMEI: 355807083699263)</t>
  </si>
  <si>
    <t>V15.000.004</t>
  </si>
  <si>
    <t>IPAD-4G 128GB IMEI: 359454082059359</t>
  </si>
  <si>
    <t>IPAD (2017) WI-FI + 4G 128GB GOLD (IMEI: 359454082059359)</t>
  </si>
  <si>
    <t>V15.000.005</t>
  </si>
  <si>
    <t>IPAD-4G 128GB IMEI: 359454082320967</t>
  </si>
  <si>
    <t>IPAD (2017) WI-FI + 4G 128GB GOLD (IMEI: 359454082320967)</t>
  </si>
  <si>
    <t>V52.000.006</t>
  </si>
  <si>
    <t>HONDA KF251 SH 150I</t>
  </si>
  <si>
    <t>XE HONDA KF251 SH 150I</t>
  </si>
  <si>
    <t>V39.000.011</t>
  </si>
  <si>
    <t>3M KITCHEN GLOVES LONG SIZE 39CM</t>
  </si>
  <si>
    <t>3M GĂNG TAY DÀI 39CM</t>
  </si>
  <si>
    <t>V78.000.029</t>
  </si>
  <si>
    <t>T-SHIRT UNIFORM POWER100</t>
  </si>
  <si>
    <t>ÁO THUN ĐỒNG PHỤC POWER100</t>
  </si>
  <si>
    <t>7.5239901990595</t>
  </si>
  <si>
    <t>ACE 1-25-TTH</t>
  </si>
  <si>
    <t>BỘT MÌ CHUYÊN DỤNG "ACE 1" (25KG)</t>
  </si>
  <si>
    <t>7.5239941990595</t>
  </si>
  <si>
    <t>AP-25-TTH</t>
  </si>
  <si>
    <t>7.B24022399469199</t>
  </si>
  <si>
    <t>HORECA CHILI SAUCE 4.8 KG X 4 BOT</t>
  </si>
  <si>
    <t>TƯƠNG ỚT HORECA 4.8 KG</t>
  </si>
  <si>
    <t>7.B2402239946919901</t>
  </si>
  <si>
    <t>HORECA CHILI SAUCE 4.8 KG</t>
  </si>
  <si>
    <t>V51.000.008</t>
  </si>
  <si>
    <t>DISPLAY SHELF</t>
  </si>
  <si>
    <t>KỆ TRƯNG BÀY</t>
  </si>
  <si>
    <t>V51.000.009</t>
  </si>
  <si>
    <t>DECAL FOR MOBIKE BOOT ( 28 X 20)</t>
  </si>
  <si>
    <t>DECAL THÙNG XE MẶT TRƯỚC (28 X 20)</t>
  </si>
  <si>
    <t>V51.000.010</t>
  </si>
  <si>
    <t>DECAL FOR MOBIKE BOOT ( 28 X 24)</t>
  </si>
  <si>
    <t>DECAL THÙNG XE MẶT SAU ( 28 X 24)</t>
  </si>
  <si>
    <t>7.A31990899080117</t>
  </si>
  <si>
    <t>MEIZAN SEASONED CRISPY FRYING MIX 150G X 24 PAC</t>
  </si>
  <si>
    <t>BỘT CHIÊN GIÒN MEIZAN ĐÃ NÊM SẴN GIA VỊ 150G</t>
  </si>
  <si>
    <t>7.A3199089908011701</t>
  </si>
  <si>
    <t>MEIZAN SEASONED CRISPY FRYING MIX 150G</t>
  </si>
  <si>
    <t>V51.000.011</t>
  </si>
  <si>
    <t>LEAFLET POWER100</t>
  </si>
  <si>
    <t>TỜ RƠI POWER100</t>
  </si>
  <si>
    <t>6.1231000TD</t>
  </si>
  <si>
    <t>7.1040932620TD</t>
  </si>
  <si>
    <t>7.460050051700050</t>
  </si>
  <si>
    <t>SIMPLY RBO IN BOTTLE @2L</t>
  </si>
  <si>
    <t>7.13101112011204TD</t>
  </si>
  <si>
    <t>7.13101112170004TD</t>
  </si>
  <si>
    <t>7.13101103010504TD</t>
  </si>
  <si>
    <t>7.13101103170004TD</t>
  </si>
  <si>
    <t>7.70528</t>
  </si>
  <si>
    <t>FATTY ALCOHOL 1699 LAMINATED PAPERBAG @25KG</t>
  </si>
  <si>
    <t>RƯỢU CETYL - WILFAROL 1699; BAO 25KG</t>
  </si>
  <si>
    <t>7.70529</t>
  </si>
  <si>
    <t>OLEAMIDE; LAMINATED PAPERBAG @25KG</t>
  </si>
  <si>
    <t>OLEAMIDE; BAO 25KG</t>
  </si>
  <si>
    <t>7.1100003600822000TD</t>
  </si>
  <si>
    <t>WILKOTE 380 (REFINED HYDROGENATED PALM KERNEL OIL) IN FLEXIBAG</t>
  </si>
  <si>
    <t>DẦU NHÂN CỌ HYDRO HÓA , TINH LUYỆN WILKOTE 380 TRONG FLEXIBAG</t>
  </si>
  <si>
    <t>7.101001570901970TD</t>
  </si>
  <si>
    <t>SANIA BRAND RBD PALM OLEIN (MASS BALANCE)</t>
  </si>
  <si>
    <t>DẦU OLEIN CỌ TINH LUYỆN (MASS BALANCE) NHÃN HIỆU SANIA</t>
  </si>
  <si>
    <t>V39.000.012</t>
  </si>
  <si>
    <t>AQUA WASHING MACHINE 8.5 KG AQW-S85AT H</t>
  </si>
  <si>
    <t>MÁY GIẶT AQUA 8.5 KG AQW-S85AT H</t>
  </si>
  <si>
    <t>V39.000.013</t>
  </si>
  <si>
    <t>SAMSUNG WASHING MACHINE WA90M5120SG/SV</t>
  </si>
  <si>
    <t>MÁY GIẶT SAMSUNG WA90M5120SG/SV</t>
  </si>
  <si>
    <t>V39.000.014</t>
  </si>
  <si>
    <t>SUNHOUSE ELECTRIC PRESSURE COOKER  SHD 1767 6.0L</t>
  </si>
  <si>
    <t>NỒI ÁP SUẤT ĐIỆN SUNHOUSE SHD 1767 6.0 LÍT</t>
  </si>
  <si>
    <t>V39.000.015</t>
  </si>
  <si>
    <t>SUNHOUSE INFRARED STOVES SHD 6015</t>
  </si>
  <si>
    <t>BẾP HỒNG NGOẠI SUNHOUSE SHD 6015</t>
  </si>
  <si>
    <t>V39.000.016</t>
  </si>
  <si>
    <t>BATHROOM HEAT LAMP KANGAROO</t>
  </si>
  <si>
    <t>ĐÈN SƯỞI NHÀ TẮM KANGAROO 03 BÓNG CÓ QUẠT KG250</t>
  </si>
  <si>
    <t>V39.000.017</t>
  </si>
  <si>
    <t>ASIA STANDING FAN D16011</t>
  </si>
  <si>
    <t>QUẠT ĐỨNG ASIA D16011</t>
  </si>
  <si>
    <t>V39.000.018</t>
  </si>
  <si>
    <t>HAPPYCOOK RICE COOKER 1.8L HC-180A</t>
  </si>
  <si>
    <t>NỒI CƠM ĐIỆN HAPPYCOOK 1.8 LÍT HC-180A</t>
  </si>
  <si>
    <t>V51.000.012</t>
  </si>
  <si>
    <t>LEAFLET WILMAR PLUS</t>
  </si>
  <si>
    <t>TỜ RƠI WILMAR PLUS</t>
  </si>
  <si>
    <t>7.A33020899330118</t>
  </si>
  <si>
    <t>MEIZAN PREMIUM MACARONI - SPIRAL 400G X 6 BAG</t>
  </si>
  <si>
    <t>NUI CAO CẤP MEIZAN - HÌNH XOẮN 400G X 6 GÓI</t>
  </si>
  <si>
    <t>7.A3302089933011801</t>
  </si>
  <si>
    <t>MEIZAN PREMIUM MACARONI - SPIRAL 400G</t>
  </si>
  <si>
    <t>NUI CAO CẤP MEIZAN - HÌNH XOẮN 400G</t>
  </si>
  <si>
    <t>7.A33020899320118</t>
  </si>
  <si>
    <t>MEIZAN PREMIUM MACARONI - SPIRAL 200G X 12 BAG</t>
  </si>
  <si>
    <t>NUI CAO CẤP MEIZAN - HÌNH XOẮN 200G X 12 GÓI</t>
  </si>
  <si>
    <t>7.A3302089932011801</t>
  </si>
  <si>
    <t>MEIZAN PREMIUM MACARONI - SPIRAL 200G</t>
  </si>
  <si>
    <t>NUI CAO CẤP MEIZAN - HÌNH XOẮN 200G</t>
  </si>
  <si>
    <t>7.A33020899330119</t>
  </si>
  <si>
    <t>MEIZAN PREMIUM MACARONI - ELBOW 400G X 6 BAG</t>
  </si>
  <si>
    <t>NUI CAO CẤP MEIZAN - CHỮ "C" 400G X 6 GÓI</t>
  </si>
  <si>
    <t>7.A3302089933011901</t>
  </si>
  <si>
    <t>MEIZAN PREMIUM MACARONI - ELBOW 400G</t>
  </si>
  <si>
    <t>NUI CAO CẤP MEIZAN - CHỮ "C" 400G</t>
  </si>
  <si>
    <t>7.A33020899320119</t>
  </si>
  <si>
    <t>MEIZAN PREMIUM MACARONI - ELBOW 200G X 12 BAG</t>
  </si>
  <si>
    <t>NUI CAO CẤP MEIZAN - CHỮ "C" 200G X 12 GÓI</t>
  </si>
  <si>
    <t>7.A3302089932011901</t>
  </si>
  <si>
    <t>MEIZAN PREMIUM MACARONI - ELBOW 200G</t>
  </si>
  <si>
    <t>NUI CAO CẤP MEIZAN - CHỮ "C" 200G</t>
  </si>
  <si>
    <t>7.C350155993301</t>
  </si>
  <si>
    <t>DISHWASHING LIQUID POWER100, 0,4KG X 24 BOT</t>
  </si>
  <si>
    <t>NƯỚC RỬA CHÉN POWER100, LOẠI 0,4 KG X 24 CHAI</t>
  </si>
  <si>
    <t>7.C35015599330101</t>
  </si>
  <si>
    <t>DISHWASHING LIQUID POWER100, 0,4KG</t>
  </si>
  <si>
    <t>NƯỚC RỬA CHÉN POWER100, LOẠI 0,4 KG</t>
  </si>
  <si>
    <t>V51.041.006</t>
  </si>
  <si>
    <t>MEIZAN RICE 5KG</t>
  </si>
  <si>
    <t>GẠO MEIZAN 5 KG</t>
  </si>
  <si>
    <t>V39.001.057</t>
  </si>
  <si>
    <t>SMART TIVI SAMSUNG 40 INCH UA40J5200D</t>
  </si>
  <si>
    <t>TIVI SMART SAMSUNG 40 INCH MÃ SẢN PHẨM UA40J5200D</t>
  </si>
  <si>
    <t>V39.003.015</t>
  </si>
  <si>
    <t>REFRIGERATOR SAMSUNG RT20K300ASE/SV</t>
  </si>
  <si>
    <t>TỦ LẠNH SAMSUNG 208 LÍT MÃ SẢN PHẨM RT20K300ASE/SV</t>
  </si>
  <si>
    <t>V39.014.022</t>
  </si>
  <si>
    <t>ELECTROLUX RICE COOKERS ERC3505 1.8L</t>
  </si>
  <si>
    <t>NỒI CƠM ĐIỆN ELECTROLUX 1.8 LÍT ERC35005</t>
  </si>
  <si>
    <t>V39.003.016</t>
  </si>
  <si>
    <t>REFRIGERATOR SAMSUNG RT20HAR8DSA</t>
  </si>
  <si>
    <t>TỦ LẠNH SAMSUNG RT20HAR8DSA</t>
  </si>
  <si>
    <t>V52.000.007</t>
  </si>
  <si>
    <t>TOYOTA VIOS E_NSP151L-BEXRKU</t>
  </si>
  <si>
    <t>XE Ô TÔ CON 05 CHỖ NGỒI HIỆU TOYOTA VIOS E, NSP151L-BEXRKU, MỚI 100%</t>
  </si>
  <si>
    <t>V15.000.006</t>
  </si>
  <si>
    <t>BSP ĐTDĐ IPHONE 7 PLUS BLACK 128GB</t>
  </si>
  <si>
    <t>(BSP ĐTDĐ) IPHONE 7 PLUS BLACK 128GB (BỘ SẢN PHẨM ĐTDĐ)</t>
  </si>
  <si>
    <t>V15.000.007</t>
  </si>
  <si>
    <t>MTB APPLE IPAD (2017) WI-FI + 4G 128GB GOLD</t>
  </si>
  <si>
    <t>(MTB) APPLE IPAD (2017) WI-FI + 4G 128GB GOLD (MÁY TÍNH BẢNG)</t>
  </si>
  <si>
    <t>V51.000.013</t>
  </si>
  <si>
    <t>NDFC KITCHEN TOWEL</t>
  </si>
  <si>
    <t>KHĂN BẾP NDFC</t>
  </si>
  <si>
    <t>V39.001.059</t>
  </si>
  <si>
    <t>TIVI LED SAMSUNG MODEL:UA40J5200DKXXV</t>
  </si>
  <si>
    <t>V39.000.019</t>
  </si>
  <si>
    <t>V39.000.020</t>
  </si>
  <si>
    <t>V39.000.021</t>
  </si>
  <si>
    <t>V51.000.014</t>
  </si>
  <si>
    <t>V51.048.010</t>
  </si>
  <si>
    <t>7.131014570901D70</t>
  </si>
  <si>
    <t>SATELLITE VEGETABLE OIL-A IN BIB@18KG</t>
  </si>
  <si>
    <t>DẦU THỰC VẬT -A NHÃN HIỆU SATELLITE TRONG TÚI BÓNG 18KG</t>
  </si>
  <si>
    <t>V51.046.002</t>
  </si>
  <si>
    <t>SUPPLEMENT FOOD SEASONING 4 IN 1 - PORK 380G</t>
  </si>
  <si>
    <t>THỰC PHẨM BỔ SUNG HẠT NÊM 4 TRONG 1 -VỊ HEO 380G</t>
  </si>
  <si>
    <t>V51.046.003</t>
  </si>
  <si>
    <t>SUPPLEMENT FOOD SEASONING 4 IN 1 -PORK 170G</t>
  </si>
  <si>
    <t>THỰC PHẨM BỔ SUNG HẠT NÊM 4 TRONG 1 -VỊ HEO 170G</t>
  </si>
  <si>
    <t>V51.000.015</t>
  </si>
  <si>
    <t>PLASTIC BASKET SET</t>
  </si>
  <si>
    <t>BỘ THAU RỔ NHỰA (BỘ THAU RỔ BẦU)</t>
  </si>
  <si>
    <t>V39.000.022</t>
  </si>
  <si>
    <t>PLASTIC BOX</t>
  </si>
  <si>
    <t>HỘP NHỰA (HỘP KIWI NHỎ)</t>
  </si>
  <si>
    <t>7.A33020899510118</t>
  </si>
  <si>
    <t>MEIZAN PREMIUM MACARONI - SPIRAL 6.5KG</t>
  </si>
  <si>
    <t>NUI CAO CẤP MEIZAN - HÌNH XOẮN 6.5KG</t>
  </si>
  <si>
    <t>7.A33020899530119</t>
  </si>
  <si>
    <t>MEIZAN PREMIUM MACARONI - ELBOW 8.5KG</t>
  </si>
  <si>
    <t>NUI CAO CẤP MEIZAN - CHỮ "C" 8.5KG</t>
  </si>
  <si>
    <t>7.A33020899520120</t>
  </si>
  <si>
    <t>MEIZAN PREMIUM MACARONI - LONG TUBE 8KG</t>
  </si>
  <si>
    <t>NUI CAO CẤP MEIZAN - ỐNG DÀI 8KG</t>
  </si>
  <si>
    <t>V51.047.005</t>
  </si>
  <si>
    <t>V51.048.008</t>
  </si>
  <si>
    <t>NAM DUONG CONCENTRATED SOY SAUCE 280ML</t>
  </si>
  <si>
    <t>V39.000.023</t>
  </si>
  <si>
    <t xml:space="preserve">TOSHIBA RC-10NMFVN(WT) 1L ELECTRIC RICE COOKER </t>
  </si>
  <si>
    <t>NỒI CƠM ĐIỆN TOSHIBA RC-10NMFVN(WT) 1L</t>
  </si>
  <si>
    <t>V15.000.008</t>
  </si>
  <si>
    <t xml:space="preserve"> SAMSUNG J7 PLUS SMARTPHONE </t>
  </si>
  <si>
    <t>ĐIỆN THOẠI SAMSUNG J7 PLUS</t>
  </si>
  <si>
    <t xml:space="preserve"> SAMSUNG J7 PLUS SMARTPHONE</t>
  </si>
  <si>
    <t>V51.000.016</t>
  </si>
  <si>
    <t>7.B24022399209104</t>
  </si>
  <si>
    <t>HORECA PREMIUM CHILI SAUCE2.1KG X 6 BOT</t>
  </si>
  <si>
    <t>TƯƠNG ỚT HORECA PREMIUM 2.1KG</t>
  </si>
  <si>
    <t>7.B2402239920910401</t>
  </si>
  <si>
    <t>HORECA PREMIUM CHILI SAUCE2.1KG</t>
  </si>
  <si>
    <t>V30.000.001</t>
  </si>
  <si>
    <t>NDFC TABLE</t>
  </si>
  <si>
    <t>BÀN NDFC</t>
  </si>
  <si>
    <t>V51.000.017</t>
  </si>
  <si>
    <t>NDFC TENT</t>
  </si>
  <si>
    <t>LỀU NDFC</t>
  </si>
  <si>
    <t>V51.000.018</t>
  </si>
  <si>
    <t>NDFC UMBRELLA</t>
  </si>
  <si>
    <t>DÙ NDFC</t>
  </si>
  <si>
    <t>V86.000.003</t>
  </si>
  <si>
    <t>OLIVOILA LABEL 750ML, SUBLABEL</t>
  </si>
  <si>
    <t>NHÃN PHỤ OLIVOILA EXTRA VIRGIN 750ML</t>
  </si>
  <si>
    <t>V86.000.004</t>
  </si>
  <si>
    <t>OLIVOILA POMACE SUBLABEL 1L</t>
  </si>
  <si>
    <t>NHÃN PHỤ OLIVOILA POMACE 1L</t>
  </si>
  <si>
    <t>V51.050.005</t>
  </si>
  <si>
    <t>V39.000.024</t>
  </si>
  <si>
    <t>NDFC BOWL - CAT SHAPE</t>
  </si>
  <si>
    <t>CHÉN CHẤM CON MÈO NDFC</t>
  </si>
  <si>
    <t>V51.050.006</t>
  </si>
  <si>
    <t>7.70530</t>
  </si>
  <si>
    <t>ERCAWAX CS 25 V/FD; 20KG BAG</t>
  </si>
  <si>
    <t>CHẤT HỮU CƠ HOẠT ĐỘNG BỀ MẶT DẠNG KHÔNG PHÂN LY ERCAWAX CS 25 V/FD</t>
  </si>
  <si>
    <t>7.C350155995401</t>
  </si>
  <si>
    <t>DISHWASHING LIQUID POWER100, 1,5 KG X 8 JRG</t>
  </si>
  <si>
    <t>NƯỚC RỬA CHÉN POWER100, LOẠI 1,5 KG X 8 CAN</t>
  </si>
  <si>
    <t>7.C35015599540101</t>
  </si>
  <si>
    <t>DISHWASHING LIQUID POWER100, 1,5 KG</t>
  </si>
  <si>
    <t>NƯỚC RỬA CHÉN POWER100, LOẠI 1,5 KG</t>
  </si>
  <si>
    <t>6.522A056990201TD</t>
  </si>
  <si>
    <t>MILLING WHEAT</t>
  </si>
  <si>
    <t>LÚA MÌ MILLING</t>
  </si>
  <si>
    <t>7.1060140425308010</t>
  </si>
  <si>
    <t>SATELLITE SHORTENINGB(BLUE LBL)PBAG@16KG</t>
  </si>
  <si>
    <t>SHORTENING B HIỆU SATELLITE NHÃN XANH</t>
  </si>
  <si>
    <t>V51.000.019</t>
  </si>
  <si>
    <t>STANDEE 0.6 X 1.6 M</t>
  </si>
  <si>
    <t>KHUNG STANDEE 0,6 X 1,6M</t>
  </si>
  <si>
    <t>V51.047.006</t>
  </si>
  <si>
    <t>V51.050.003</t>
  </si>
  <si>
    <t>MEIZAN PREMIUM MACARONI 200G- ELBOW</t>
  </si>
  <si>
    <t>NUI CAO CẤP MEIZAN-CHỮ "C" 200G</t>
  </si>
  <si>
    <t>V51.050.004</t>
  </si>
  <si>
    <t>MEIZAN PREMIUM MACARONI 200G- SPIRAL</t>
  </si>
  <si>
    <t>NUI CAO CẤP MEIZAN-HÌNH XOẮN 200G</t>
  </si>
  <si>
    <t>6.7011000TD</t>
  </si>
  <si>
    <t xml:space="preserve">SPLIT PALM KERNEL OIL FATTY ACID; 850KG IBC TANK </t>
  </si>
  <si>
    <t>AXIT BÉO TÁCH TỪ NHÂN HẠT CỌ CHƯA QUA CHƯNG CẤT PHÂN ĐOẠN; PHUY IBC 850KG</t>
  </si>
  <si>
    <t>V51.046.005</t>
  </si>
  <si>
    <t>THỰC PHẨM BỔ SUNG HẠT NÊM 4 TRONG 1 VỊ HEO 380G </t>
  </si>
  <si>
    <t>V51.046.006</t>
  </si>
  <si>
    <t>7.5239937260601</t>
  </si>
  <si>
    <t>SF- 1  40KG</t>
  </si>
  <si>
    <t>BỘT MÌ - NGUYÊN LIỆU LÀM THỨC ĂN CHĂN NUÔI HIỆU SF-1 (40KG)</t>
  </si>
  <si>
    <t>7.5239937990601</t>
  </si>
  <si>
    <t>SF- 40KG</t>
  </si>
  <si>
    <t>BỘT MÌ - NGUYÊN LIỆU LÀM THỨC ĂN CHO TÔM HIỆU SF (40KG)</t>
  </si>
  <si>
    <t>7.5239957270601</t>
  </si>
  <si>
    <t>VI VI-BLUE 40KG</t>
  </si>
  <si>
    <t>BỘT MÌ VI VI (40KG)</t>
  </si>
  <si>
    <t>7.5239957280601</t>
  </si>
  <si>
    <t>VI VI-GREEN 40KG</t>
  </si>
  <si>
    <t>7.5239957290601</t>
  </si>
  <si>
    <t>VI VI-RED 40KG</t>
  </si>
  <si>
    <t>V51.050.010</t>
  </si>
  <si>
    <t>V51.043.012</t>
  </si>
  <si>
    <t>HEINEKEN BEER, 330ML/CAN</t>
  </si>
  <si>
    <t>BIA HEINEKEN</t>
  </si>
  <si>
    <t>7.A320108991801</t>
  </si>
  <si>
    <t>MEIZAN PREMIUM EGG NOODLE 250G X 12 BAG</t>
  </si>
  <si>
    <t>MÌ TRỨNG CAO CẤP MEIZAN 250G</t>
  </si>
  <si>
    <t>7.A32010899180101</t>
  </si>
  <si>
    <t>MEIZAN PREMIUM EGG NOODLE 250G</t>
  </si>
  <si>
    <t>7.A320108995101</t>
  </si>
  <si>
    <t>MEIZAN PREMIUM EGG NOODLE 6.5KG</t>
  </si>
  <si>
    <t>V39.000.025</t>
  </si>
  <si>
    <t>MINH CHÂU BOWL MC-C06</t>
  </si>
  <si>
    <t>CHÉN SỨ MINH CHÂU MC-C06</t>
  </si>
  <si>
    <t>7.1140120202608010TD</t>
  </si>
  <si>
    <t>DẦU THỰC VẬT WILLARINE 820 NHÃN HIỆU MEIZAN TRONG THÙNG CARTON 20KG</t>
  </si>
  <si>
    <t>7.B250854994192053</t>
  </si>
  <si>
    <t>PORK BOUILLON GRANULE 170G X 40 PAC ON PACK 40 SPOONS</t>
  </si>
  <si>
    <t>THỰC PHẨM BỔ SUNG HẠT NÊM 4 TRONG 1 - VỊ HEO 170G ĐÓNG KÈM 40 MUỖNG NHỰA BỚI CƠM / THÙNG</t>
  </si>
  <si>
    <t>7.B25085499419205301</t>
  </si>
  <si>
    <t>PORK BOUILLON GRANULE 170G X 1 PAC ON PACK 01 SPOON</t>
  </si>
  <si>
    <t>THỰC PHẨM BỔ SUNG HẠT NÊM 4 TRONG 1 - VỊ HEO 170G ĐÓNG KÈM 1 MUỖNG NHỰA BỚI CƠM</t>
  </si>
  <si>
    <t>7.B250854994292054</t>
  </si>
  <si>
    <t>PORK BOUILLON GRANULE 380G X 20 PAC ON PACK 20 BOT NAM DUONG CONDENSED SOY SAUCE 280ML</t>
  </si>
  <si>
    <t>THỰC PHẨM BỔ SUNG HẠT NÊM 4 TRONG 1 - VỊ HEO 380G ĐÓNG KÈM 20 CHAI THỰC PHẨM BỔ SUNG NƯỚC TƯƠNG NAM DƯƠNG ĐẬM ĐẶC 280ML / THÙNG</t>
  </si>
  <si>
    <t>7.B25085499429205401</t>
  </si>
  <si>
    <t xml:space="preserve">PORK BOUILLON GRANULE 380G X 1 PAC ON PACK 01 BOT NAM DUONG CONDENSED SOY SAUCE 280ML </t>
  </si>
  <si>
    <t>THỰC PHẨM BỔ SUNG HẠT NÊM 4 TRONG 1 - VỊ HEO 380G ĐÓNG KÈM 01 CHAI THỰC PHẨM BỔ SUNG NƯỚC TƯƠNG NAM DƯƠNG ĐẬM ĐẶC 280ML</t>
  </si>
  <si>
    <t>PORK BOUILLON GRANULE 380G X 1 PAC ON PACK 01 BOT NAM DUONG CONDENSED SOY SAUCE 280ML</t>
  </si>
  <si>
    <t>7.B250854994292055</t>
  </si>
  <si>
    <t>PORK BOUILLON GRANULE 380G X 20 PAC ON PACK 20 BOT CHILI SAUCE 250G</t>
  </si>
  <si>
    <t>THỰC PHẨM BỔ SUNG HẠT NÊM 4 TRONG 1 - VỊ HEO 380G ĐÓNG KÈM 20 CHAI TƯƠNG ỚT 250G / THÙNG</t>
  </si>
  <si>
    <t>7.B25085499429205501</t>
  </si>
  <si>
    <t>PORK BOUILLON GRANULE 380G X 1 PAC ON PACK 01 BOT CHILI SAUCE 250G</t>
  </si>
  <si>
    <t>THỰC PHẨM BỔ SUNG HẠT NÊM 4 TRONG 1 - VỊ HEO 380G ĐÓNG KÈM 01 CHAI TƯƠNG ỚT 250G</t>
  </si>
  <si>
    <t>7.B25085499559205</t>
  </si>
  <si>
    <t>PORK BOUILLON GRANULE 170G X 16 PAC</t>
  </si>
  <si>
    <t>THỰC PHẨM BỔ SUNG HẠT NÊM 4 TRONG 1 - VỊ HEO 170G (16 GÓI / THÙNG)</t>
  </si>
  <si>
    <t>V51.006.059</t>
  </si>
  <si>
    <t>NEPTUNE WINDOW FRAME 0.8M</t>
  </si>
  <si>
    <t>THANH TRƯNG BÀY SẢN PHẨM 0.8M</t>
  </si>
  <si>
    <t>V51.006.060</t>
  </si>
  <si>
    <t>NEPTUNE WINDOW FRAME 1.2M</t>
  </si>
  <si>
    <t>THANH TRƯNG BÀY SẢN PHẨM 1.2M</t>
  </si>
  <si>
    <t>V51.006.061</t>
  </si>
  <si>
    <t>NEPTUNE WINDOW FRAME 1.6M</t>
  </si>
  <si>
    <t>THANH TRƯNG BÀY SẢN PHẨM 1.6M</t>
  </si>
  <si>
    <t>V51.006.062</t>
  </si>
  <si>
    <t>NEPTUNE WINDOW FRAME 1.0M (WITH LOGO)</t>
  </si>
  <si>
    <t>THANH TRƯNG BÀY SẢN PHẨM 1.0M (CÓ LOGO)</t>
  </si>
  <si>
    <t>V51.006.063</t>
  </si>
  <si>
    <t>NEPTUNE WINDOW FRAME 1.6M (WITH LOGO)</t>
  </si>
  <si>
    <t>THANH TRƯNG BÀY SẢN PHẨM 1.6M (CÓ LOGO)</t>
  </si>
  <si>
    <t>V51.501.025</t>
  </si>
  <si>
    <t>NEPTUNE BOTTLE MOCK-UP</t>
  </si>
  <si>
    <t>MÔ HÌNH CHAI DẦU NEPTUNE</t>
  </si>
  <si>
    <t>V51.600.059</t>
  </si>
  <si>
    <t>MEIZAN BOOTH (1,5M X 2M)</t>
  </si>
  <si>
    <t>BỘ KHUNG LỀU, BẠT MEIZAN</t>
  </si>
  <si>
    <t>V51.600.061</t>
  </si>
  <si>
    <t>MEIZAN COUNTER TABLE</t>
  </si>
  <si>
    <t>BÀN MEIZAN</t>
  </si>
  <si>
    <t>V51.600.060</t>
  </si>
  <si>
    <t>MEIZAN ARTWORK FOR TABLE</t>
  </si>
  <si>
    <t>HÌNH ẢNH LẮP GHÉP BÀN MEIZAN</t>
  </si>
  <si>
    <t>7.70531</t>
  </si>
  <si>
    <t>REFINED HYDROGENATED PALM STEARIN FLAKES</t>
  </si>
  <si>
    <t>DẦU STEARIN CỌ ĐÃ TINH LUYỆN VÀ HYDRO HÓA, DẠNG VẢY; BAO 20KG</t>
  </si>
  <si>
    <t>V58.000.001</t>
  </si>
  <si>
    <t>OPP TAPE 48MM X 80M, W/O LOGO</t>
  </si>
  <si>
    <t>BĂNG KEO OPP TRONG, KHÔNG IN CHỮ, 48MM X 80M</t>
  </si>
  <si>
    <t>7.B24022399469104</t>
  </si>
  <si>
    <t>HORECA PREMIUM CHILI SAUCE 4.8 KG X 4 BOT</t>
  </si>
  <si>
    <t>TƯƠNG ỚT HORECA PREMIUM 4.8 KG</t>
  </si>
  <si>
    <t>7.B2402239946910401</t>
  </si>
  <si>
    <t>HORECA PREMIUM CHILI SAUCE 4.8 KG</t>
  </si>
  <si>
    <t>7.1110120200208010TD</t>
  </si>
  <si>
    <t>DẦU OLEIN NHÂN CỌ HYDRO HÓA, TINH LUYỆN WIFILL 380 NHÃN HIỆU MEIZAN TRONG THÙNG CARTON 20KG</t>
  </si>
  <si>
    <t>7.1110120201308010TD</t>
  </si>
  <si>
    <t>DẦU OLEIN NHÂN CỌ HYDRO HÓA, TINH LUYỆN WIFILL 400 NHÃN HIỆU MEIZAN TRONG THÙNG CARTON 20KG</t>
  </si>
  <si>
    <t>V51.043.010</t>
  </si>
  <si>
    <t>TIGER BEER</t>
  </si>
  <si>
    <t>BIA TIGER</t>
  </si>
  <si>
    <t>V51.901.053</t>
  </si>
  <si>
    <t>MEIZAN STANDEE (HIGH 1,6M)</t>
  </si>
  <si>
    <t>PHƯỚN ĐỨNG MEIZAN (1,6M)</t>
  </si>
  <si>
    <t>7.5239914990509</t>
  </si>
  <si>
    <t>RED COMPASS-25-MICOEM</t>
  </si>
  <si>
    <t>BỘT MÌ HIỆU "LA BÀN ĐỎ"</t>
  </si>
  <si>
    <t>7.5239952990596</t>
  </si>
  <si>
    <t>GREEN CLV 01-25-SANTA</t>
  </si>
  <si>
    <t>V51.050.009</t>
  </si>
  <si>
    <t>7.5239940190601</t>
  </si>
  <si>
    <t>VFM - 2 40KG</t>
  </si>
  <si>
    <t>BỘT MÌ HIỆU VFM-2 40KG</t>
  </si>
  <si>
    <t>7.5239958990501</t>
  </si>
  <si>
    <t>FLAG 25KG</t>
  </si>
  <si>
    <t>BỘT MÌ HIỆU LÁ CỜ (25KG)</t>
  </si>
  <si>
    <t>7.5239959990501</t>
  </si>
  <si>
    <t>GREEN CLV 02-25</t>
  </si>
  <si>
    <t>BỘT MÌ CHUYÊN DỤNG GREEN CLV-02 (25KG)</t>
  </si>
  <si>
    <t>7.70532</t>
  </si>
  <si>
    <t>METHYL ESTER SULPHONATE FLAKES C16FR 75% ACTIVE MATTER BULKER BAG PALLETISED @600KG</t>
  </si>
  <si>
    <t>CHẾ PHẨM HOẠT ĐỘNG BỀ MẶT DẠNG ANION - WILFAMES C16FR 75%; BAO 600 KG</t>
  </si>
  <si>
    <t>V56.000.001</t>
  </si>
  <si>
    <t>SAMSUNG GALAXY TAB A6 10.1 SPEN</t>
  </si>
  <si>
    <t>MÁY TÍNH BẢNG  SAMSUNG GALAXY  A6 10.1 SPEN</t>
  </si>
  <si>
    <t>V56.000.002</t>
  </si>
  <si>
    <t>FUJI XEROX DC  S2320 PHOTOCOPIER</t>
  </si>
  <si>
    <t>MÁY PHOTOCOPY - IN - QUÉT ĐEN TRẮNG FUJI XEROX DC S2320</t>
  </si>
  <si>
    <t>7.A33030899320120</t>
  </si>
  <si>
    <t>MEIZAN PREMIUM RICE MACARONI 200G - LONG TUBE X12 BAG</t>
  </si>
  <si>
    <t>NUI GẠO CAO CẤP MEIZAN - ỐNG DÀI 200G</t>
  </si>
  <si>
    <t>7.A3303089932012001</t>
  </si>
  <si>
    <t>MEIZAN PREMIUM RICE MACARONI 200G - LONG TUBE</t>
  </si>
  <si>
    <t>7.A33030899330120</t>
  </si>
  <si>
    <t>MEIZAN PREMIUM RICE MACARONI 400G - LONG TUBE X 6 BAG</t>
  </si>
  <si>
    <t>NUI GẠO CAO CẤP MEIZAN - ỐNG DÀI 400G</t>
  </si>
  <si>
    <t>7.A3303089933012001</t>
  </si>
  <si>
    <t>MEIZAN PREMIUM RICE MACARONI 400G - LONG TUBE</t>
  </si>
  <si>
    <t>7.A33030899320119</t>
  </si>
  <si>
    <t>MEIZAN PREMIUM RICE MACARONI 200G - ELBOW X 12 BAG</t>
  </si>
  <si>
    <t>NUI GẠO CAO CẤP MEIZAN - CHỮ "C" 200G</t>
  </si>
  <si>
    <t>7.A3303089932011901</t>
  </si>
  <si>
    <t xml:space="preserve">MEIZAN PREMIUM RICE MACARONI 200G - ELBOW </t>
  </si>
  <si>
    <t>7.A33030899330119</t>
  </si>
  <si>
    <t>MEIZAN PREMIUM RICE MACARONI 400G - ELBOW X 6 BAG</t>
  </si>
  <si>
    <t>NUI GẠO CAO CẤP MEIZAN - CHỮ "C" 400G</t>
  </si>
  <si>
    <t>7.A3303089933011901</t>
  </si>
  <si>
    <t>MEIZAN PREMIUM RICE MACARONI 400G - ELBOW</t>
  </si>
  <si>
    <t>7.A320408991801</t>
  </si>
  <si>
    <t>MEIZAN PREMIUM VEGETARIAN NOODLE 250G X 12 BAG</t>
  </si>
  <si>
    <t>MÌ CHAY CAO CẤP MEIZAN 250G</t>
  </si>
  <si>
    <t>7.A32040899180101</t>
  </si>
  <si>
    <t>MEIZAN PREMIUM VEGETARIAN NOODLE 250G</t>
  </si>
  <si>
    <t>CAILAN ROL CP8 IN POUCH@1L</t>
  </si>
  <si>
    <t>V51.047.009</t>
  </si>
  <si>
    <t>BỘT CHIÊN GIÒN HIỆU MEIZAN 1KG</t>
  </si>
  <si>
    <t>V51.048.007</t>
  </si>
  <si>
    <t>PREMIUM SOYA SAUCE 210 ML</t>
  </si>
  <si>
    <t>NƯỚC TƯƠNG THƯỢNG HẠNG 210 ML</t>
  </si>
  <si>
    <t>V51.046.007</t>
  </si>
  <si>
    <t>V51.048.009</t>
  </si>
  <si>
    <t> NAM DUONG CONDENSED SOY SAUCE 500ML</t>
  </si>
  <si>
    <t>7.1070120303608010</t>
  </si>
  <si>
    <t>MEIZAN MARGARINE VN SAMPLE PEBAG@25KG</t>
  </si>
  <si>
    <t>BƠ LOẠI 25KG</t>
  </si>
  <si>
    <t>V51.000.020</t>
  </si>
  <si>
    <t>3M SCOTCH-BRITE SCOURER PACK 3</t>
  </si>
  <si>
    <t>BỘ 3 MIẾNG RỬA CHÉN SCOTCH-BRITE 3M</t>
  </si>
  <si>
    <t>V78.000.002</t>
  </si>
  <si>
    <t>V78.000.003</t>
  </si>
  <si>
    <t>V39.000.026</t>
  </si>
  <si>
    <t>V78.000.004</t>
  </si>
  <si>
    <t>V78.000.005</t>
  </si>
  <si>
    <t>TYPE 7: SHIRT FOR MAN, TROUSERS, VEST</t>
  </si>
  <si>
    <t>MẪU 7: ÁO SƠ MI NAM, QUẦN ÂU NAM, VEST</t>
  </si>
  <si>
    <t>V78.000.006</t>
  </si>
  <si>
    <t>V51.000.021</t>
  </si>
  <si>
    <t>V78.000.007</t>
  </si>
  <si>
    <t>V39.000.027</t>
  </si>
  <si>
    <t>SPOON</t>
  </si>
  <si>
    <t>MUỖNG NHỰA BỚI CƠM</t>
  </si>
  <si>
    <t>V51.000.022</t>
  </si>
  <si>
    <t>TOPBOARD WITH 4 HOOKS</t>
  </si>
  <si>
    <t>VỈ TREO 4 DÂY NHỰA</t>
  </si>
  <si>
    <t>V39.000.028</t>
  </si>
  <si>
    <t>ELECTRIC RICE COOKER TOSHIBA 1.8L RC-18NMFVN(WT)</t>
  </si>
  <si>
    <t>NỒI CƠM ĐIỆN TOSHIBA RC-18NMFVN(WT) 1,8L</t>
  </si>
  <si>
    <t>7.70533</t>
  </si>
  <si>
    <t>YELLOW GLYCERINE 95%</t>
  </si>
  <si>
    <t>GLYXERIN MÀU VÀNG 95% ; FLEXIBAG</t>
  </si>
  <si>
    <t>7.1160010203608010TD</t>
  </si>
  <si>
    <t>GOLDEN ORIOLE REFINED HYDROGENATED SOYA OIL 20KG IN CARTON</t>
  </si>
  <si>
    <t>DẦU ĐẬU NÀNH TINH LUYỆN ĐÃ HYDRO HÓA HIỆU GOLDEN ORIOLE ĐÓNG THÙNG CARTON 20KG</t>
  </si>
  <si>
    <t>V51.049.006</t>
  </si>
  <si>
    <t>7.B250854994292056</t>
  </si>
  <si>
    <t>PORK BOUILLON GRANULE 380G X 20 PAC ON PACK 10 PEACE PLASTIC BASKET</t>
  </si>
  <si>
    <t>THỰC PHẨM BỔ SUNG HẠT NÊM 4 TRONG 1 - VỊ HEO 380G X 20 GÓI ĐÓNG KÈM 10 BỘ RỔ NHỰA / THÙNG</t>
  </si>
  <si>
    <t>7.B25085499429205601</t>
  </si>
  <si>
    <t>PORK BOUILLON GRANULE 380G X 02 PAC ON PACK 01 PEACE PLASTIC BASKET</t>
  </si>
  <si>
    <t>THỰC PHẨM BỔ SUNG HẠT NÊM 4 TRONG 1 - VỊ HEO 380G X 2 GÓI ĐÓNG KÈM 01 BỘ RỔ NHỰA</t>
  </si>
  <si>
    <t>7.B250854994492056</t>
  </si>
  <si>
    <t>PORK BOUILLON GRANULE 850G X 10 PAC ON PACK 10 PEACE PLASTIC BASKET</t>
  </si>
  <si>
    <t>THỰC PHẨM BỔ SUNG HẠT NÊM 4 TRONG 1 - VỊ HEO 850G X10 GÓI ĐÓNG KÈM 10 BỘ RỔ NHỰA / THÙNG</t>
  </si>
  <si>
    <t>7.B25085499449205601</t>
  </si>
  <si>
    <t>PORK BOUILLON GRANULE 850G X 01 PAC ON PACK 01 PEACE PLASTIC BASKET.</t>
  </si>
  <si>
    <t>THỰC PHẨM BỔ SUNG HẠT NÊM 4 TRONG 1 - VỊ HEO 850G X 1 GÓI ĐÓNG KÈM 01 BỘ RỔ NHỰA</t>
  </si>
  <si>
    <t>7.B25085499259205</t>
  </si>
  <si>
    <t>PORK BOUILLON GRANULE 2KG X 6 PAC</t>
  </si>
  <si>
    <t>7.B2508549925920501</t>
  </si>
  <si>
    <t xml:space="preserve">PORK BOUILLON GRANULE 2KG </t>
  </si>
  <si>
    <t>HẠT NÊM 4 TRONG 1 - VỊ HEO 2KG</t>
  </si>
  <si>
    <t>7.B24012399589213</t>
  </si>
  <si>
    <t>NAM DUONG CONDENSED SOY SAUCE 280ML X 24 BOT</t>
  </si>
  <si>
    <t>THỰC PHẨM BỔ SUNG NƯỚC TƯƠNG NAM DƯƠNG ĐẬM ĐẶC 280ML X 24 CHAI</t>
  </si>
  <si>
    <t>7.B24012399599213</t>
  </si>
  <si>
    <t>NAM DUONG CONDENSED SOY SAUCE 500ML X 24 BOT</t>
  </si>
  <si>
    <t>THỰC PHẨM BỔ SUNG NƯỚC TƯƠNG NAM DƯƠNG ĐẬM ĐẶC 500ML X 24 CHAI</t>
  </si>
  <si>
    <t>V51.049.005</t>
  </si>
  <si>
    <t>SPECIAL HOT CHILI SAUCE 250 GR</t>
  </si>
  <si>
    <t>TƯƠNG ỚT ĐẶC BIỆT CAY 250 GR</t>
  </si>
  <si>
    <t>V34.000.002</t>
  </si>
  <si>
    <t>SAMPLING HAT</t>
  </si>
  <si>
    <t>NÓN SAMPLING</t>
  </si>
  <si>
    <t>7.131078011720E10</t>
  </si>
  <si>
    <t>CO-MEIZAN GOLD 0.25L X 30 BTL</t>
  </si>
  <si>
    <t>DẦU ĂN CAO CẤP NHÃN HIỆU MEIZAN GOLD 0.25L</t>
  </si>
  <si>
    <t>7.131078011700E10</t>
  </si>
  <si>
    <t>7.131078121712E10</t>
  </si>
  <si>
    <t>CO-MEIZAN GOLD 0.4L X 20 BTL</t>
  </si>
  <si>
    <t>DẦU ĂN CAO CẤP NHÃN HIỆU MEIZAN GOLD 0.4L</t>
  </si>
  <si>
    <t>7.131078031700E10</t>
  </si>
  <si>
    <t>7.131078041700E10</t>
  </si>
  <si>
    <t>7.131078061700E10</t>
  </si>
  <si>
    <t>7.101172577901020</t>
  </si>
  <si>
    <t>SATELITE RDLABEL RBDLCP8 BIB@18KG W/LOGO</t>
  </si>
  <si>
    <t>DẦU OLEIN CỌ TINH LUYỆN HIỆU SATELLITE TRONG THÙNG 18KG</t>
  </si>
  <si>
    <t>V51.000.023</t>
  </si>
  <si>
    <t>BOUILLON PROMOTION BAG</t>
  </si>
  <si>
    <t>TÚI KHUYẾN MÃI HẠT NÊM 20 OPP/25 CPP</t>
  </si>
  <si>
    <t>V51.061.012</t>
  </si>
  <si>
    <t>SIMPLY COOK BOOK 2018</t>
  </si>
  <si>
    <t>SÁCH NẤU ĂN SIMPLY 2018</t>
  </si>
  <si>
    <t>7.5239920990649</t>
  </si>
  <si>
    <t>MS 2-40</t>
  </si>
  <si>
    <t>BỘT MÌ CHUYÊN DỤNG "MS 2" (40KG)</t>
  </si>
  <si>
    <t>7.B25081099259107</t>
  </si>
  <si>
    <t>HORECA CHICKEN BOUILLON GRANULE 2KG X 6 PAC</t>
  </si>
  <si>
    <t>HẠT NÊM HORECA VỊ GÀ 2KG X 6 GÓI</t>
  </si>
  <si>
    <t>7.B2508109925910701</t>
  </si>
  <si>
    <t xml:space="preserve">HORECA CHICKEN BOUILLON GRANULE 2KG </t>
  </si>
  <si>
    <t>HẠT NÊM HORECA VỊ GÀ 2KG</t>
  </si>
  <si>
    <t>V51.000.024</t>
  </si>
  <si>
    <t>DISPLAY SHELF (60X50X26)</t>
  </si>
  <si>
    <t>KỆ TRƯNG BÀY (60X50X26)</t>
  </si>
  <si>
    <t>V86.000.005</t>
  </si>
  <si>
    <t>V51.046.009</t>
  </si>
  <si>
    <t>HORECA CHICKEN BOUILLON GRANULE 2KG</t>
  </si>
  <si>
    <t>HẠT NÊM HORECA VỊ GÀ 2KG  </t>
  </si>
  <si>
    <t>V51.000.025</t>
  </si>
  <si>
    <t>TWO LINE DISPLAY SHELF (42X47X12)</t>
  </si>
  <si>
    <t>KỆ TRƯNG BÀY 2 TẦNG (42X47X12)</t>
  </si>
  <si>
    <t>7.C350160993201</t>
  </si>
  <si>
    <t>DISHWASHING LIQUID POWER100- 0,2 KGX50 BOTTLES IN CARTON</t>
  </si>
  <si>
    <t>NƯỚC RỬA CHÉN POWER100 LOẠI 0,2KG X 50 CHAI TRONG THÙNG CATTON</t>
  </si>
  <si>
    <t>7.C35016099320101</t>
  </si>
  <si>
    <t>DISHWASHING LIQUID POWER100- 0,2 KG</t>
  </si>
  <si>
    <t>NƯỚC RỬA CHÉN POWER100 LOẠI 0,2KG</t>
  </si>
  <si>
    <t>V51.000.026</t>
  </si>
  <si>
    <t>TOPBOARD WITH 6 PLASTIC BOXES</t>
  </si>
  <si>
    <t>VỈ TREO 6 HỘC NHỰA</t>
  </si>
  <si>
    <t>7.5239961990561</t>
  </si>
  <si>
    <t>HOA KEN FLOUR 25KG</t>
  </si>
  <si>
    <t>BỘT MÌ HIỆU HOA KÈN (25KG)</t>
  </si>
  <si>
    <t>7.1060120206608010TD</t>
  </si>
  <si>
    <t>MEIZAN WILSHORT PLIN3438 IN CARTON@20KG</t>
  </si>
  <si>
    <t>NGUYÊN LIỆU THỰC PHẨM WILSHORT PLIN 3438 NHÃN HIỆU MEIZAN TRONG THÙNG CARTON 20KG</t>
  </si>
  <si>
    <t>V51.000.027</t>
  </si>
  <si>
    <t>GRANULE BOUILLON DISPLAY SHELF</t>
  </si>
  <si>
    <t>CÂY TRƯNG BÀY SẢN PHẨM HẠT NÊM NEPTUNE</t>
  </si>
  <si>
    <t>7.5239916990512</t>
  </si>
  <si>
    <t>RED PEN LAOS-25</t>
  </si>
  <si>
    <t>BỘT MÌ CAO CẤP "CÂY VIẾT ĐỎ" (TIẾNG LÀO) (25KG)</t>
  </si>
  <si>
    <t>HO2AC010200</t>
  </si>
  <si>
    <t>7.5239911990512</t>
  </si>
  <si>
    <t>ORANGE KEY LAOS-25</t>
  </si>
  <si>
    <t>BỘT MÌ THƯỢNG HẠNG "CHÌA KHÓA CAM" (TIẾNG LÀO) (25KG)</t>
  </si>
  <si>
    <t>7.5239915990512</t>
  </si>
  <si>
    <t>RED KEY LAOS-25</t>
  </si>
  <si>
    <t>BỘT MÌ THƯỢNG HẠNG "CHÌA KHÓA ĐỎ" (TIẾNG LÀO) (25KG)</t>
  </si>
  <si>
    <t>7.5239914990512</t>
  </si>
  <si>
    <t>RED COMPASS LAOS-25</t>
  </si>
  <si>
    <t>BỘT MÌ HIỆU "LA BÀN ĐỎ" (TIẾNG LÀO) (25KG)</t>
  </si>
  <si>
    <t>7.A319905996001</t>
  </si>
  <si>
    <t>COMPASS CRISPY FRYING MIX 100G X 60 PAC</t>
  </si>
  <si>
    <t>BỘT CHIÊN GIÒN LA BÀN 100G</t>
  </si>
  <si>
    <t>7.A31990599600101</t>
  </si>
  <si>
    <t>COMPASS CRISPY FRYING MIX 100G</t>
  </si>
  <si>
    <t>7.A319905990201</t>
  </si>
  <si>
    <t>COMPASS CRISPY FRYING MIX 1KG X 10 PAC</t>
  </si>
  <si>
    <t>BỘT CHIÊN GIÒN LA BÀN 1KG</t>
  </si>
  <si>
    <t>7.A31990599020101</t>
  </si>
  <si>
    <t>COMPASS CRISPY FRYING MIX 1KG</t>
  </si>
  <si>
    <t>7.5239952990597</t>
  </si>
  <si>
    <t>GREEN CLV 01 FLOUR 25KG</t>
  </si>
  <si>
    <t>BỘT MÌ HIỆU"GREEN CLV 01" (25KG)</t>
  </si>
  <si>
    <t>7.B250854244101063</t>
  </si>
  <si>
    <t>MUSHROOM BOUILLON GRANULE 170G X 40 PAC ON PACK 40 SPOONS</t>
  </si>
  <si>
    <t>HẠT NÊM TAM BẢO VỊ NẤM 170G X 40 GÓI ĐÓNG KÈM 40 MUỖNG NHỰA BỚI CƠM/ THÙNG</t>
  </si>
  <si>
    <t>7.B25085424410106301</t>
  </si>
  <si>
    <t>MUSHROOM BOUILLON GRANULE 170G X 40 PAC ON PACK 01 SPOON</t>
  </si>
  <si>
    <t>HẠT NÊM TAM BẢO VỊ NẤM 170G X 01 GÓI ĐÓNG KÈM 01 MUỖNG NHỰA BỚI CƠM</t>
  </si>
  <si>
    <t>V51.046.008</t>
  </si>
  <si>
    <t>PORK BOUILLON GRANULE 850G</t>
  </si>
  <si>
    <t>THỰC PHẨM BỔ SUNG HẠT NÊM 4 TRONG 1-VỊ HEO 850G</t>
  </si>
  <si>
    <t>V51.046.004</t>
  </si>
  <si>
    <t>THỰC PHẨM BỔ SUNG HẠT NÊM 4 TRONG 1 – VỊ HEO 850G</t>
  </si>
  <si>
    <t>CO-MEIZAN GOLD IN BOTTLE @1L</t>
  </si>
  <si>
    <t>6.1212A71</t>
  </si>
  <si>
    <t>DOUBLE FRACTINATION RBD PALMOLEIN IV56</t>
  </si>
  <si>
    <t>7.5239957300698</t>
  </si>
  <si>
    <t>VI VI - BROWN 40KG</t>
  </si>
  <si>
    <t>V39.000.029</t>
  </si>
  <si>
    <t>NEPTUNE PORCELAIN PLATES AND PLATES SET</t>
  </si>
  <si>
    <t>BỘ 8 SẢN PHẨM IN LOGO NEPTUNE NHIỀU MÀU</t>
  </si>
  <si>
    <t>7.5239917990699</t>
  </si>
  <si>
    <t>SATELLITE 40KG - KINH DO MDLZ</t>
  </si>
  <si>
    <t>BỘT MÌ HIỆU VỆ TINH 40KG (BỘT MÌ HARD)</t>
  </si>
  <si>
    <t>V58.000.002</t>
  </si>
  <si>
    <t>OPP TAPE 48MM X 80M, WITH LOGO KIDDY</t>
  </si>
  <si>
    <t>BĂNG KEO, LOGO KIDDY, 48MM X 80M</t>
  </si>
  <si>
    <t>V58.000.003</t>
  </si>
  <si>
    <t>OPP TAPE 48MM X 80M, WITH LOGO OLIVOILA</t>
  </si>
  <si>
    <t>BĂNG KEO, LOGO OLIVOILÀ, 48MM X 80M</t>
  </si>
  <si>
    <t>CO-MEIZAN GOLD IN BOTTLE @0.25L</t>
  </si>
  <si>
    <t>DẦU ĂN CAO CẤP NHÃN HIỆU MEIZAN GOLD 250 ML</t>
  </si>
  <si>
    <t>V39.013.403</t>
  </si>
  <si>
    <t>MEIZAN GOLD T-SHIRT</t>
  </si>
  <si>
    <t>ÁO THUN MEIZAN GOLD</t>
  </si>
  <si>
    <t>6.1212A73</t>
  </si>
  <si>
    <t>DOUBLE FRACTIONATION OLEIN IV58</t>
  </si>
  <si>
    <t>DẦU OLEIN CỌ TINH LUYỆN</t>
  </si>
  <si>
    <t>7.A33020899610118</t>
  </si>
  <si>
    <t>MEIZAN PREMIUM MACARONI - SPIRAL 300G X 6 PACK</t>
  </si>
  <si>
    <t>NUI CAO CẤP MEIZAN - HÌNH XOẮN 300G</t>
  </si>
  <si>
    <t>7.A3302089961011801</t>
  </si>
  <si>
    <t>MEIZAN PREMIUM MACARONI - SPIRAL 300G</t>
  </si>
  <si>
    <t>7.B2508549942920507</t>
  </si>
  <si>
    <t>PORK BOUILLON GRANULE 380G X 20 PACK ON PACK 10 PAC NEPTUNE GOLD 0.25L</t>
  </si>
  <si>
    <t>THỰC PHẨM BỔ SUNG HẠT NÊM 4 TRONG 1 - VỊ HEO 380G X 20 GÓI ĐÓNG KÈM 10 CHAI DẦU ĂN THƯỢNG HẠNG NHÃN HIỆU NEPTUNE GOLD 0.25L</t>
  </si>
  <si>
    <t>7.131078121700E10</t>
  </si>
  <si>
    <t>CO-MEIZAN GOLD IN BOTTLE @0.4L</t>
  </si>
  <si>
    <t>7.B250854994292050701</t>
  </si>
  <si>
    <t>PORK BOUILLON GRANULE 380G X 02 PAC ON PACK 01 NEPTUNE GOLD 0.25L</t>
  </si>
  <si>
    <t>THỰC PHẨM BỔ SUNG HẠT NÊM 4 TRONG 1 - VỊ HEO 380G X 02 GÓI ĐÓNG KÈM 01 CHAI DẦU ĂN THƯỢNG HẠNG NHÃN HIỆU NEPTUNE GOLD 0.25L</t>
  </si>
  <si>
    <t>V51.043.020</t>
  </si>
  <si>
    <t>MEDOW FULLCREAM MILK 200ML ( SET 3 BOX)</t>
  </si>
  <si>
    <t>SỮA MEDOW FULLCREAM 200ML (LỐC 3 HỘP)</t>
  </si>
  <si>
    <t>7.131036D11705E40</t>
  </si>
  <si>
    <t>REFINED VEGETABLE OIL ORCHID 0.88L*12BTL</t>
  </si>
  <si>
    <t>DẦU THỰC VẬT TINH LUYỆN NHÃN HIỆU ORCHID 0.88L</t>
  </si>
  <si>
    <t>7.131036161704E40</t>
  </si>
  <si>
    <t>REFINED VEGETABLE OIL ORCHID 1.8L*6BTL</t>
  </si>
  <si>
    <t>DẦU THỰC VẬT TINH LUYỆN NHÃN HIỆU ORCHID 1.8L</t>
  </si>
  <si>
    <t>7.131036F01703E40</t>
  </si>
  <si>
    <t>REFINED VEGETABLE OIL ORCHID 4.5L*4BTL</t>
  </si>
  <si>
    <t>DẦU THỰC VẬT TINH LUYỆN NHÃN HIỆU ORCHID 4.5L</t>
  </si>
  <si>
    <t>7.131036F01701E40</t>
  </si>
  <si>
    <t>REFINED VEGETABLE OIL ORCHID 4.5L</t>
  </si>
  <si>
    <t>7.131036161701E40</t>
  </si>
  <si>
    <t>REFINED VEGETABLE OIL ORCHID 1.8L</t>
  </si>
  <si>
    <t>7.C350155996201</t>
  </si>
  <si>
    <t>DISHWASHING LIQUID POWER100, 750ML X 12 BOTTLES IN CARTON</t>
  </si>
  <si>
    <t>NƯỚC RỬA CHÉN POWER100, LOẠI 750ML X 12 CHAI NHỰA TRONG THÙNG CARTON</t>
  </si>
  <si>
    <t>7.C35015599620101</t>
  </si>
  <si>
    <t>DISHWASHING LIQUID POWER100, 750ML</t>
  </si>
  <si>
    <t>NƯỚC RỬA CHÉN POWER100, LOẠI 750ML</t>
  </si>
  <si>
    <t>V51.000.028</t>
  </si>
  <si>
    <t>2,7M NDFC UMBRELL</t>
  </si>
  <si>
    <t>DÙ NDFC 2,7M</t>
  </si>
  <si>
    <t>7.101159381704030</t>
  </si>
  <si>
    <t>CO-ORCHID 1.8LX6BTL</t>
  </si>
  <si>
    <t>7.131060D11705E50</t>
  </si>
  <si>
    <t>CO-ORCHID S 0.88L X 12BTL</t>
  </si>
  <si>
    <t>DẦU THỰC VẬT TINH LUYỆN NHÃN HIỆU ORCHID 880ML</t>
  </si>
  <si>
    <t>7.131060D11700E50</t>
  </si>
  <si>
    <t>CO-ORCHID S BTL @ 0.88L</t>
  </si>
  <si>
    <t>7.131060381704E50</t>
  </si>
  <si>
    <t>CO-ORCHID S 1.8L X 6BTL</t>
  </si>
  <si>
    <t>7.131060381700E50</t>
  </si>
  <si>
    <t>CO-ORCHID S BTL @1.8L</t>
  </si>
  <si>
    <t>7.131060F01703E50</t>
  </si>
  <si>
    <t>CO-ORCHID S 4.5L X 4BTL</t>
  </si>
  <si>
    <t>7.131060F01700E50</t>
  </si>
  <si>
    <t>CO-ORCHID S BTL @ 4.5L</t>
  </si>
  <si>
    <t>V39.000.030</t>
  </si>
  <si>
    <t>7.A320108992501</t>
  </si>
  <si>
    <t>MEIZAN PASTA ALL'UOVO 2KG</t>
  </si>
  <si>
    <t>MÌ Ý SỢI DẸT MEIZAN 2KG</t>
  </si>
  <si>
    <t>7.A31990899020121</t>
  </si>
  <si>
    <t>MEIZAN CORN STARCH 1KG X 10 PACK</t>
  </si>
  <si>
    <t>BỘT BẮP MEIZAN 1KG</t>
  </si>
  <si>
    <t>7.A3199089902012101</t>
  </si>
  <si>
    <t xml:space="preserve">MEIZAN CORN STARCH 1KG </t>
  </si>
  <si>
    <t>7.A31990899080121</t>
  </si>
  <si>
    <t>MEIZAN CORN STARCH 150G X 22 PACK</t>
  </si>
  <si>
    <t>BỘT BẮP MEIZAN 150G</t>
  </si>
  <si>
    <t>7.A3199089908012101</t>
  </si>
  <si>
    <t>MEIZAN CORN STARCH 150G</t>
  </si>
  <si>
    <t>7.A319905996201</t>
  </si>
  <si>
    <t>COMPASS CRISPY FRYING MIX 100G X 28 PACK</t>
  </si>
  <si>
    <t>7.C350155995472</t>
  </si>
  <si>
    <t>DISHWASHING LIQUID POWER100, 1,5 KG X 8 JRG IN CARTON, EXPORT</t>
  </si>
  <si>
    <t>NƯỚC RỬA CHÉN POWER100, LOẠI 1,5 KG X 8 CAN TRONG THÙNG CARTON, XUẤT KHẨU</t>
  </si>
  <si>
    <t>7.C35015599547201</t>
  </si>
  <si>
    <t>DISHWASHING LIQUID POWER100, 1,5 KG , EXPORT</t>
  </si>
  <si>
    <t>NƯỚC RỬA CHÉN POWER100, LOẠI 1,5 KG, XUẤT KHẨU</t>
  </si>
  <si>
    <t>7.C350155994972</t>
  </si>
  <si>
    <t xml:space="preserve">DISHWASHING LIQUID POWER100, 3,8 KG X 4 JRG IN CARTON, EXPORT </t>
  </si>
  <si>
    <t>NƯỚC RỬA CHÉN POWER100, LOẠI 3,8 KG X 4 CAN TRONG THÙNG CARTON, XUẤT KHẨU</t>
  </si>
  <si>
    <t>HO2TD031100</t>
  </si>
  <si>
    <t>7.C35015599497201</t>
  </si>
  <si>
    <t xml:space="preserve">DISHWASHING LIQUID POWER100, 3,8 KG, EXPORT </t>
  </si>
  <si>
    <t>NƯỚC RỬA CHÉN POWER100, LOẠI 3,8 KG, XUẤT KHẨU</t>
  </si>
  <si>
    <t>7.13103606170024</t>
  </si>
  <si>
    <t>CO-ORCHID BTL @ 5L</t>
  </si>
  <si>
    <t>DẦU THỰC VẬT TINH LUYỆN NHÃN HIỆU ORCHID 5L</t>
  </si>
  <si>
    <t>V51.048.012</t>
  </si>
  <si>
    <t>7.C35015599500199</t>
  </si>
  <si>
    <t>DISHWASHING LIQUID POWER100, 9,5 KG X 2 JRG IN CARTON</t>
  </si>
  <si>
    <t>NƯỚC RỬA CHÉN POWER100, LOẠI 9,5KG X 2 CAN TRONG THÙNG CARTON</t>
  </si>
  <si>
    <t>V39.000.031</t>
  </si>
  <si>
    <t>SPOON PLASTIC SPICE</t>
  </si>
  <si>
    <t>VỈ MUỖNG NHỰA GIA VỊ 4 CÁI</t>
  </si>
  <si>
    <t>7.B2508542441010601TD</t>
  </si>
  <si>
    <t>7.B2508542441010608</t>
  </si>
  <si>
    <t>MUSHROOM BOUILLON GRANULE 170G X 40 PAC ON PACK 40 SPOONS PLASTIC SPICE</t>
  </si>
  <si>
    <t>HẠT NÊM TAM BẢO VỊ NẤM 170G X 40 GÓI ĐÓNG KÈM 40 VỈ MUỖNG NHỰA GIA VỊ 4 CÁI/ THÙNG</t>
  </si>
  <si>
    <t>7.B250854244101060801</t>
  </si>
  <si>
    <t>MUSHROOM BOUILLON GRANULE 170G X 40 PAC ON PACK 01 SPOON PLASTIC SPICE</t>
  </si>
  <si>
    <t>HẠT NÊM TAM BẢO VỊ NẤM 170G X 01 GÓI ĐÓNG KÈM 01 VỈ MUỖNG NHỰA GIA VỊ 4 CÁI</t>
  </si>
  <si>
    <t>7.B2508549941920508</t>
  </si>
  <si>
    <t>PORK BOUILLON GRANULE 170G X 40 PAC ON PACK 40 SPOONS PLASTIC SPICE</t>
  </si>
  <si>
    <t>THỰC PHẨM BỔ SUNG HẠT NÊM 4 TRONG 1 - VỊ HEO 170G X 40 GÓI ĐÓNG KÈM 40 VỈ MUỖNG NHỰA GIA VỊ 4 CÁI/ THÙNG</t>
  </si>
  <si>
    <t>7.B250854994192050801</t>
  </si>
  <si>
    <t>PORK BOUILLON GRANULE 170G X 01 PAC ON PACK 01 SPOON PLASTIC SPICE</t>
  </si>
  <si>
    <t>THỰC PHẨM BỔ SUNG HẠT NÊM 4 TRONG 1 - VỊ HEO 170G X 1 GÓI ĐÓNG KÈM 01 VỈ MUỖNG NHỰA GIA VỊ 4 CÁI</t>
  </si>
  <si>
    <t>7.5239907990598</t>
  </si>
  <si>
    <t>GREEN KEY A-25KG</t>
  </si>
  <si>
    <t>BỘT MÌ CHÌA KHÓA XANH LÁ (25KG)</t>
  </si>
  <si>
    <t>7.5239917990598</t>
  </si>
  <si>
    <t>SATELLITE HORECA-25KG</t>
  </si>
  <si>
    <t>BỘT MÌ VỆ TINH (25KG)</t>
  </si>
  <si>
    <t>7.5239950996401</t>
  </si>
  <si>
    <t>WHOLE WHEAT FLOUR 15KG</t>
  </si>
  <si>
    <t>BỘT MÌ HIỆU "WHOLE WHEAT FLOUR" 15KG</t>
  </si>
  <si>
    <t>7.131014E41700E20</t>
  </si>
  <si>
    <t>SATELLITE VEG.OIL FOR PRO.CHEF INBTL@9KG</t>
  </si>
  <si>
    <t>DẦU THỰC VẬT CHO ĐẦU BẾP CHUYÊN NGHIỆP NHÃN HIỆU SATELLITE 9KG</t>
  </si>
  <si>
    <t>7.131014E41702E20</t>
  </si>
  <si>
    <t>SATELLITE VEG.OIL FOR PRO.CHEF 9KG*2BTL</t>
  </si>
  <si>
    <t>7.131014570901E30</t>
  </si>
  <si>
    <t>SATELLITE VEG.OIL FOR PRO.CHEF BIB@18KG</t>
  </si>
  <si>
    <t>DẦU THỰC VẬT CHO ĐẦU BẾP CHUYÊN NGHIỆP NHÃN HIỆU SATELLITE ĐÓNG TRONG TÚI 18KG</t>
  </si>
  <si>
    <t>V51.041.008</t>
  </si>
  <si>
    <t>NEPTUNE PREMIUM RICE 5KG</t>
  </si>
  <si>
    <t>NEPTUNE GẠO THƠM THƯỢNG HẠNG 5 KG</t>
  </si>
  <si>
    <t>V51.050.012</t>
  </si>
  <si>
    <t>MEIZAN PREMIUM MACARONI 400G- SPIRAL</t>
  </si>
  <si>
    <t>NUI CAO CẤP MEIZAN-HÌNH XOẮN 400G</t>
  </si>
  <si>
    <t>V51.046.010</t>
  </si>
  <si>
    <t>V51.000.029</t>
  </si>
  <si>
    <t>MEIZAN JASMINE RICE 5KG</t>
  </si>
  <si>
    <t>MEIZAN GẠO NGON HẢO HẠNG LÀI SỮA 5KG</t>
  </si>
  <si>
    <t>V51.000.030</t>
  </si>
  <si>
    <t>MEIZAN FRAGRANT RICE 5KG</t>
  </si>
  <si>
    <t>MEIZAN GẠO NGON HẢO HẠNG TÁM THƠM 5KG</t>
  </si>
  <si>
    <t>7.460050031704030TD</t>
  </si>
  <si>
    <t>7.45705003010500TD</t>
  </si>
  <si>
    <t>V51.000.031</t>
  </si>
  <si>
    <t>WILMAR SJC 999 GOLD LOGO FOR 15 YEAR</t>
  </si>
  <si>
    <t>VÀNG SJC LOGO WILMAR 15 NĂM</t>
  </si>
  <si>
    <t>V51.000.032</t>
  </si>
  <si>
    <t>VÀNG SJC LOGO WILMAR 20 NĂM</t>
  </si>
  <si>
    <t>V51.060.006</t>
  </si>
  <si>
    <t>TET BLOC CALENDAR</t>
  </si>
  <si>
    <t>BỘ LỊCH TẾT</t>
  </si>
  <si>
    <t>7.131014F11702E90</t>
  </si>
  <si>
    <t>SATELLITE VEG.OIL FOR PRO.CHEF 9KG (9.8L*2BTL)</t>
  </si>
  <si>
    <t>DẦU THỰC VẬT CHO ĐẦU BẾP CHUYÊN NGHIỆP SATELLITE 9KG (9,8LÍT)</t>
  </si>
  <si>
    <t>7.131014570901F00</t>
  </si>
  <si>
    <t>SATELLITE VEG.OIL FOR PRO.CHEF 18KG</t>
  </si>
  <si>
    <t>DẦU THỰC VẬT CHO ĐẦU BẾP CHUYÊN NGHIỆP SATELLITE 18KG</t>
  </si>
  <si>
    <t>7.6269808310301</t>
  </si>
  <si>
    <t>7.6269808320301</t>
  </si>
  <si>
    <t>7.1060120228108010</t>
  </si>
  <si>
    <t>MEIZAN SHORTENING 47 IN PEBAG@20KG</t>
  </si>
  <si>
    <t>SHORRTENING 47 NHÃN HIỆU MEIZAN 20KG</t>
  </si>
  <si>
    <t>V51.000.033</t>
  </si>
  <si>
    <t>V51.049.007</t>
  </si>
  <si>
    <t>HORECA PREMIUM CHILI SAUCE 2.1KG</t>
  </si>
  <si>
    <t>7.B24106333300199</t>
  </si>
  <si>
    <t>MAYONNAISE SIMPLY FOR PROFESSIONAL CHEFS 3KG X 4 PAIL/CAR</t>
  </si>
  <si>
    <t>MAYONNAISE SIMPLY FOR PROFESSIONAL CHEFS 3KG X 4 XÔ/THÙNG</t>
  </si>
  <si>
    <t>7.B2410633330019901</t>
  </si>
  <si>
    <t>MAYONNAISE SIMPLY FOR PROFESSIONAL CHEFS 3KG</t>
  </si>
  <si>
    <t>V51.106.005</t>
  </si>
  <si>
    <t>MEIZAN GOLD UMBRELLA</t>
  </si>
  <si>
    <t>DÙ (Ô) MEIZAN GOLD</t>
  </si>
  <si>
    <t>7.131069036014E60</t>
  </si>
  <si>
    <t>NEPTUNE GOLD TET GIFTPACK 1L X 8 BTL</t>
  </si>
  <si>
    <t>DẦU ĂN THƯỢNG HẠNG HIỆU NEPTUNE GOLD 1L (8 CHAI/ THÙNG) - ĐÓNG KÈM 4 GÓI THỰC PHẨM BỔ SUNG HẠT NÊM 4 TRONG 1 - VỊ HEO 250G/ THÙNG</t>
  </si>
  <si>
    <t>7.131077031705E80</t>
  </si>
  <si>
    <t>HAPPY PRICE COOKING OIL 1L X 12BTL</t>
  </si>
  <si>
    <t>DẦU ĂN HAPPY PRICE 1 LÍT</t>
  </si>
  <si>
    <t>7.131077061703E80</t>
  </si>
  <si>
    <t>HAPPY PRICE COOKING OIL 5L X 4BTL</t>
  </si>
  <si>
    <t>DẦU ĂN HAPPY PRICE 5L</t>
  </si>
  <si>
    <t>V39.000.032</t>
  </si>
  <si>
    <t>SUNHOUSE ELECTRIC GRILL SHD 4603</t>
  </si>
  <si>
    <t>BẾP NƯỚNG ĐIỆN SUNHOUSE SHD 4603</t>
  </si>
  <si>
    <t>V39.000.033</t>
  </si>
  <si>
    <t>PHILIPS ELECTRIC PRESSURE COOKER HS2103/66</t>
  </si>
  <si>
    <t>NỒI ÁP SUẤT ĐIỆN PHILIPS HD2103/66</t>
  </si>
  <si>
    <t>V39.000.034</t>
  </si>
  <si>
    <t>GREYISH MITSUIBISHI FAN LV16-RV SF-GY</t>
  </si>
  <si>
    <t>QUẠT ĐỨNG MITSUBISHI LV16-RV SF-GY XÁM NHẠT</t>
  </si>
  <si>
    <t>7.B24012302650122</t>
  </si>
  <si>
    <t>SAVE HANG VIET SOY SAUCE 470ML X 24 BOT/CAR</t>
  </si>
  <si>
    <t>NƯỚC CHẤM HÀNG VIỆT TIẾT KIỆM 470ML X 24 CHAI/THÙNG</t>
  </si>
  <si>
    <t>7.B2401230265012201</t>
  </si>
  <si>
    <t>SAVE HANG VIET SOY SAUCE 470ML</t>
  </si>
  <si>
    <t>NƯỚC CHẤM HÀNG VIỆT TIẾT KIỆM 470ML</t>
  </si>
  <si>
    <t>7.B24012399360123</t>
  </si>
  <si>
    <t>TASTE NORTH SOY SAUCE 1.96L X 6 BOT/CAR</t>
  </si>
  <si>
    <t>NƯỚC TƯƠNG VỊ BẮC 1.96L X 6 CHAI/THÙNG</t>
  </si>
  <si>
    <t>7.B2401239936012301</t>
  </si>
  <si>
    <t>TASTE NORTH SOY SAUCE</t>
  </si>
  <si>
    <t>NƯỚC TƯƠNG VỊ BẮC 1.96L</t>
  </si>
  <si>
    <t>V51.046.011</t>
  </si>
  <si>
    <t>PORK BOUILLON GRANULE 250G</t>
  </si>
  <si>
    <t>THỰC PHẨM BỔ SUNG HẠT NÊM 4 TRONG 1 - VỊ HEO 250G</t>
  </si>
  <si>
    <t>7.1060120228308010</t>
  </si>
  <si>
    <t>MEIZAN CHOCOFAT MP45MAX IN PEBAG 20KG</t>
  </si>
  <si>
    <t>CHẤT BÉO CHOCO NHÃN HIỆU MEIZAN 20KG</t>
  </si>
  <si>
    <t>7.1060120328308010</t>
  </si>
  <si>
    <t>MEIZAN CHOCOFAT MP45MAX IN PEBAG 25KG</t>
  </si>
  <si>
    <t>CHẤT BÉO CHOCO NHÃN HIỆU MEIZAN 25KG</t>
  </si>
  <si>
    <t>V51.00A.001</t>
  </si>
  <si>
    <t>NAM DUONG SPICE TRAY (NO PARTITION)</t>
  </si>
  <si>
    <t>KHAY GIA VỊ NAM DƯƠNG (KHÔNG VÁCH)</t>
  </si>
  <si>
    <t>7.A3302089933011901TD</t>
  </si>
  <si>
    <t>V51.050.015</t>
  </si>
  <si>
    <t>MEIZAN PREMIUM MACARONI 300G- SPIRAL</t>
  </si>
  <si>
    <t>NUI CAO CẤP MEIZAN-HÌNH XOẮN 300G</t>
  </si>
  <si>
    <t>V51.000.034</t>
  </si>
  <si>
    <t>V78.000.008</t>
  </si>
  <si>
    <t>7.A319910990501TD</t>
  </si>
  <si>
    <t>EDIBLE CORN STARCH IN WOVEN BAG 25KG</t>
  </si>
  <si>
    <t>NGUYÊN LIỆU THỰC PHẨM TINH BỘT NGÔ TRONG BAO 25KG</t>
  </si>
  <si>
    <t>7.131069045900A00</t>
  </si>
  <si>
    <t>NEPTUNE GOLD TET BTL@2L</t>
  </si>
  <si>
    <t>7.131069065900A00</t>
  </si>
  <si>
    <t>NEPTUNE GOLD TET BTL@5L</t>
  </si>
  <si>
    <t>CO-MEIZAN GOLD IN BOTTLE @2L</t>
  </si>
  <si>
    <t>V51.00A.002</t>
  </si>
  <si>
    <t>PLASTIC CHOPSTICKS TRAY</t>
  </si>
  <si>
    <t>KHAY ĐŨA NHỰA</t>
  </si>
  <si>
    <t>V78.000.009</t>
  </si>
  <si>
    <t>TYPE 1: DRESSES, VEST</t>
  </si>
  <si>
    <t>MẪU 1: VÁY LIỀN, VEST</t>
  </si>
  <si>
    <t>V78.000.010</t>
  </si>
  <si>
    <t>TYPE 8: SHIRT FOR FEMALE, SKIRT, VEST</t>
  </si>
  <si>
    <t>MẪU 8: ÁO SƠ MI NỮ, VÁY NGẮN, VEST</t>
  </si>
  <si>
    <t>V78.000.011</t>
  </si>
  <si>
    <t>TYPE 5: LONG SLEEVE SHIRT, SKIRT_x000D_</t>
  </si>
  <si>
    <t>MẪU 5: ÁO DÀI TAY, VÁY NGẮN</t>
  </si>
  <si>
    <t>V78.000.012</t>
  </si>
  <si>
    <t>TYPE 2: SHORT-SLEEVED SHIRTS, VEST NOT HAND, TROUSERS</t>
  </si>
  <si>
    <t>MẪU 2: ÁO NGẮN TAY, GHI LÊ, QUẦN DÀI</t>
  </si>
  <si>
    <t>V78.000.013</t>
  </si>
  <si>
    <t>TYPE 4: SHIRT, TROUSERS FOR FEMALE</t>
  </si>
  <si>
    <t>MẪU 4: ÁO SƠ MI, QUẦN ÂU NỮ</t>
  </si>
  <si>
    <t>V51.600.065</t>
  </si>
  <si>
    <t>MEIZAN GOLD AW FOR TENT</t>
  </si>
  <si>
    <t>BỘ BẠT MEIZAN GOLD LẮP LỀU</t>
  </si>
  <si>
    <t>V51.600.066</t>
  </si>
  <si>
    <t>MEIZAN GOLD TABLE (INCLUDE AW)</t>
  </si>
  <si>
    <t>BÀN MEIZAN GOLD (BAO GỒM HÌNH ẢNH)</t>
  </si>
  <si>
    <t>V51.600.067</t>
  </si>
  <si>
    <t>MEIZAN GOLD AW FOR TABLE</t>
  </si>
  <si>
    <t>BỘ HÌNH ẢNH LẮP BÀN MEIZAN GOLD</t>
  </si>
  <si>
    <t>6.70534</t>
  </si>
  <si>
    <t>PALM METHYL ESTER (PME)</t>
  </si>
  <si>
    <t>METHYL ESTER TỪ CỌ</t>
  </si>
  <si>
    <t>6.70535</t>
  </si>
  <si>
    <t>EHTHOXYLATED LAURETH (C12C14) ALCOHOL  1EO</t>
  </si>
  <si>
    <t>RƯỢU BÉO ĐÃ ĐƯỢC ETHOXYLATE HÓA 1 MOL</t>
  </si>
  <si>
    <t>V51.000.035</t>
  </si>
  <si>
    <t>IRON SHELF</t>
  </si>
  <si>
    <t>KỆ SẮT</t>
  </si>
  <si>
    <t>CO-MEIZAN GOLD IN BOTTLE @5L</t>
  </si>
  <si>
    <t>7.B25085499660105</t>
  </si>
  <si>
    <t>PORK BOUILLON GRANULE 380G X 40 PAC/CAR</t>
  </si>
  <si>
    <t>HẠT NÊM 4 TRONG 1 - VỊ HEO 380G X 40 GÓI/THÙNG</t>
  </si>
  <si>
    <t>7.B2508549966010501</t>
  </si>
  <si>
    <t>HẠT NÊM 4 TRONG 1 - VỊ HEO 380G</t>
  </si>
  <si>
    <t>7.B24022399670103</t>
  </si>
  <si>
    <t>SPECIAL HOT CHILI SAUCE 10G X 1200 PACK/CAR</t>
  </si>
  <si>
    <t>TƯƠNG ỚT ĐẶC BIỆT CAY 10G X 1200 GÓI/THÙNG</t>
  </si>
  <si>
    <t>7.B2402239967010301</t>
  </si>
  <si>
    <t>SPECIAL HOT CHILI SAUCE 10G</t>
  </si>
  <si>
    <t>TƯƠNG ỚT ĐẶC BIỆT CAY 10G</t>
  </si>
  <si>
    <t>SPECIAL HOT CHILI SAUCE 10GR</t>
  </si>
  <si>
    <t>V51.050.011</t>
  </si>
  <si>
    <t>MEI PREMIUM RICE MACARONI 200G-ELBOW</t>
  </si>
  <si>
    <t>7.45105008010300TD</t>
  </si>
  <si>
    <t>7.45105008170000TD</t>
  </si>
  <si>
    <t>V51.102.013</t>
  </si>
  <si>
    <t>DISHWASHING LIQUID POWER100 SIZE: 1.5KG</t>
  </si>
  <si>
    <t>NƯỚC RỬA CHÉN 1.5KG</t>
  </si>
  <si>
    <t>V51.046.012</t>
  </si>
  <si>
    <t>PORK BOUILLON GRANULE 380G (X 40 PAC/CAR)</t>
  </si>
  <si>
    <t>V51.102.014</t>
  </si>
  <si>
    <t>DISHWASHING LIQUID POWER100, 1.5 KG</t>
  </si>
  <si>
    <t>NƯỚC RỬA CHÉN POWER100, LOẠI 1.5 KG</t>
  </si>
  <si>
    <t>7.52399109903A0</t>
  </si>
  <si>
    <t>FLOUR SAMPLE 5KG</t>
  </si>
  <si>
    <t>BỘT MÌ MẪU 5KG</t>
  </si>
  <si>
    <t>7.5239932990301</t>
  </si>
  <si>
    <t>PINK COMPASS 5KG</t>
  </si>
  <si>
    <t>BỘT MÌ HIỆU LA BÀN HỒNG 5KG</t>
  </si>
  <si>
    <t>7.5239902990301</t>
  </si>
  <si>
    <t>BLUE KEY (5KG)</t>
  </si>
  <si>
    <t>BỘT MÌ CHÌA KHÓA XANH (5KG)</t>
  </si>
  <si>
    <t>7.5239907990501</t>
  </si>
  <si>
    <t>GREEN KEY</t>
  </si>
  <si>
    <t>BỘT MÌ HIỆU"CHÌA KHÓA XANH LÁ"</t>
  </si>
  <si>
    <t>7.B25085499030105</t>
  </si>
  <si>
    <t>PORK BOUILLON GRANULE 5KG X 3 PACK/CAR</t>
  </si>
  <si>
    <t>HẠT NÊM 4 TRONG 1 VỊ HEO 5KG X 3 TÚI/THÙNG</t>
  </si>
  <si>
    <t>7.B2508549903010501</t>
  </si>
  <si>
    <t>PORK BOUILLON GRANULE 5KG</t>
  </si>
  <si>
    <t>HẠT NÊM 4 TRONG 1 VỊ HEO 5KG</t>
  </si>
  <si>
    <t>V51.000.036</t>
  </si>
  <si>
    <t>HANGING BANNER POWER100</t>
  </si>
  <si>
    <t>BĂNG RÔN THẢ TRẦN POWER100</t>
  </si>
  <si>
    <t>V39.000.035</t>
  </si>
  <si>
    <t>APRON POWER100</t>
  </si>
  <si>
    <t>TẠP DỀ POWER100</t>
  </si>
  <si>
    <t>7.131069036014E60TD</t>
  </si>
  <si>
    <t>V51.00A.003</t>
  </si>
  <si>
    <t>CALENDAR 2019</t>
  </si>
  <si>
    <t>LỊCH BLOC 2019</t>
  </si>
  <si>
    <t>V51.00A.004</t>
  </si>
  <si>
    <t>TET GIFT</t>
  </si>
  <si>
    <t>QUÀ TẾT</t>
  </si>
  <si>
    <t>7.D37011099050124TD</t>
  </si>
  <si>
    <t>WHITE COMPOUND SLW-3200B, BLOCK, (2.5 X 10 PCS), 25KG</t>
  </si>
  <si>
    <t>NGUYÊN LIỆU THỰC PHẨM SÔ-CÔ-LA TRẮNG SLW-3200B</t>
  </si>
  <si>
    <t>HO1TD010500</t>
  </si>
  <si>
    <t>7.D37011099050125TD</t>
  </si>
  <si>
    <t>DARK COMPOUND SLD-3836Z, BLOCK, (2.5 X 10 PCS), 25KG</t>
  </si>
  <si>
    <t>NGUYÊN LIỆU THỰC PHẨM SÔ-CÔ-LA ĐEN SLD-3836Z</t>
  </si>
  <si>
    <t>6.1213210TD</t>
  </si>
  <si>
    <t>RBD TEXTURIZED HYDROGENATED PALM KERNEL OIL WILKOTE 357-A IN FLEXIBAG</t>
  </si>
  <si>
    <t>DẦU NHÂN CỌ ĐƯỢC HYDRO HÓA , TINH LUYỆN WILKOTE 357-A</t>
  </si>
  <si>
    <t>7.70534</t>
  </si>
  <si>
    <t>TEXTURIZED REFINED HYDROGERATED COCONUT OIL</t>
  </si>
  <si>
    <t>DẦU DỪA TINH LUYỆN ĐÃ HYDRO HÓA</t>
  </si>
  <si>
    <t>7.131069036002E60TD</t>
  </si>
  <si>
    <t>NEPTUNE GOLD TET GIFTPACK 1L X 2BTL</t>
  </si>
  <si>
    <t>DẦU ĂN THƯỢNG HẠNG HIỆU NEPTUNE GOLD 1L (2 CHAI/ HỘP) - ĐÓNG KÈM 1 GÓI THỰC PHẨM BỔ SUNG HẠT NÊM 4 TRONG 1 - VỊ HEO 250G/ HỘP</t>
  </si>
  <si>
    <t>6.70536</t>
  </si>
  <si>
    <t>SPLIT PALM KERNEL OIL FATTY ACID; FLEXIBAG</t>
  </si>
  <si>
    <t>AXIT BÉO TÁCH TỪ NHÂN HẠT CỌ CHƯA QUA CHƯNG CẤT PHÂN ĐOẠN; FLEXIBAG</t>
  </si>
  <si>
    <t>V39.000.036</t>
  </si>
  <si>
    <t>3M BASIC GLOVES 26CM POWER100</t>
  </si>
  <si>
    <t>3M GĂNG TAY DÀI 26CM</t>
  </si>
  <si>
    <t>V51.000.037</t>
  </si>
  <si>
    <t>3M NON-SCRATCH SCRUB SPONGE 70X90MM POWER100</t>
  </si>
  <si>
    <t>3M CƯỚC CỌ RỬA SIÊU SẠCH CÓ MÚT CHỮ NHẬT 70X90MM</t>
  </si>
  <si>
    <t>V51.000.038</t>
  </si>
  <si>
    <t>MESH SPONGE POWER100</t>
  </si>
  <si>
    <t>MIẾNG LƯỚI RỬA CHÉN</t>
  </si>
  <si>
    <t>7.5239902990501</t>
  </si>
  <si>
    <t>BLUE KEY (25KG)</t>
  </si>
  <si>
    <t>BỘT MÌ HIỆU CHÌA KHÓA XANH</t>
  </si>
  <si>
    <t>7.52399449902A0</t>
  </si>
  <si>
    <t>LWW - 1 1KG</t>
  </si>
  <si>
    <t>BỘT MÌ LWW - 1 (1KG)</t>
  </si>
  <si>
    <t>7.52399359902A0</t>
  </si>
  <si>
    <t>LWW - 2 1KG</t>
  </si>
  <si>
    <t>BỘT MÌ LWW - 2 (1KG)</t>
  </si>
  <si>
    <t>7.52399369902A0</t>
  </si>
  <si>
    <t>LWW - 3 1KG</t>
  </si>
  <si>
    <t>BỘT MÌ LWW - 3 (1KG)</t>
  </si>
  <si>
    <t>7.C350155994901RT</t>
  </si>
  <si>
    <t>7.C350155995001RT</t>
  </si>
  <si>
    <t>6.5239964990501</t>
  </si>
  <si>
    <t>HI RATIO FLOUR</t>
  </si>
  <si>
    <t>BỘT MÌ HIỆU"HI RATIO FLOUR"</t>
  </si>
  <si>
    <t>V78.000.014</t>
  </si>
  <si>
    <t>YELLOW SHIRT -LONG SLEEVE</t>
  </si>
  <si>
    <t>ÁO SƠ MI DÀI TAY NỮ MÀU VÀNG</t>
  </si>
  <si>
    <t>7.B24022899450126</t>
  </si>
  <si>
    <t>CHILI SAUCE 470G X 12 BOT/CAR</t>
  </si>
  <si>
    <t>7.B2402289945012601</t>
  </si>
  <si>
    <t>TƯƠNG ỚT 470G</t>
  </si>
  <si>
    <t>7.B24012399680110</t>
  </si>
  <si>
    <t>GARLIC CHILI SOY SAUCE 205G X 30 BOT/CAR</t>
  </si>
  <si>
    <t>NƯỚC TƯƠNG TỎI ỚT TƯƠI 205G X 30 CHAI/THÙNG</t>
  </si>
  <si>
    <t>7.B2401239968011001</t>
  </si>
  <si>
    <t>GARLIC CHILI SOY SAUCE 205G</t>
  </si>
  <si>
    <t>NƯỚC TƯƠNG TỎI ỚT TƯƠI 205G</t>
  </si>
  <si>
    <t>V51.000.039</t>
  </si>
  <si>
    <t>NEPTUNE FRAGRANT RICE 5KG</t>
  </si>
  <si>
    <t>NEPTUNE GẠO THƠM THƯỢNG HẠNG 5KG</t>
  </si>
  <si>
    <t>V39.000.037</t>
  </si>
  <si>
    <t>PHILIPS FLAT IRON, MODEL: GC2676</t>
  </si>
  <si>
    <t>BÀN ỦI PHILIPS GC2676</t>
  </si>
  <si>
    <t>V39.000.038</t>
  </si>
  <si>
    <t>SHARP ELECTRIC RICE COOKER,KSCOM186EV-GL</t>
  </si>
  <si>
    <t>NỒI CƠM ĐIỆN TỬ SHARP, KS-COM186EV-GL</t>
  </si>
  <si>
    <t>V39.000.039</t>
  </si>
  <si>
    <t>HAPPYCALL PRESSURE COOKER, BLUE 24CM</t>
  </si>
  <si>
    <t>NỒI ÁP SUẤT ĐÁY TỪ HAPPYCALL, XANH 24CM</t>
  </si>
  <si>
    <t>V39.000.040</t>
  </si>
  <si>
    <t>PHILIPS ELECTRIC STOVE : HD4921/00</t>
  </si>
  <si>
    <t>BẾP ĐIỆN TỪ PHILIPS, HD4921/00</t>
  </si>
  <si>
    <t>V39.000.041</t>
  </si>
  <si>
    <t>FIVESTAR INOX 3 BOTTOMS COOKER SET 3 PCS</t>
  </si>
  <si>
    <t>BỘ COOL 3 NỒI FIVESTAR 3 ĐÁY NẮP INOX FS06C</t>
  </si>
  <si>
    <t>V39.000.042</t>
  </si>
  <si>
    <t>PHILIPS FLAT IRON, MODEL: GC1430</t>
  </si>
  <si>
    <t>BÀN ỦI PHILIPS GC1430</t>
  </si>
  <si>
    <t>V39.000.043</t>
  </si>
  <si>
    <t>SHARP R -G226VN-S MICROWAVE</t>
  </si>
  <si>
    <t>LÒ VI SÓNG SHARP R-G226VN-S</t>
  </si>
  <si>
    <t>7.70535</t>
  </si>
  <si>
    <t>BLEND OF PALM OIL FRACTION AND HYDROGENATED PALM OIL FRACTION - WILMAX 1050 20KG IN CARTON</t>
  </si>
  <si>
    <t>HỖN HỢP PHÂN ĐOẠN DẦU CỌ VÀ PHÂN ĐOẠN DẦU CỌ HYDRO HÓA - WILMAX 1050 ĐÓNG THÙNG CARTON 20KG</t>
  </si>
  <si>
    <t>7.B24106333030199</t>
  </si>
  <si>
    <t>MAYONNAISE SIMPLY FOR PROFESSIONAL CHEFS 5KG X 4 SHOVE/CAR</t>
  </si>
  <si>
    <t>MAYONNAISE SIMPLY FOR PROFESSIONAL CHEFS 5KG X 4 XÔ/THÙNG</t>
  </si>
  <si>
    <t>7.B2410633303019901</t>
  </si>
  <si>
    <t>MAYONNAISE SIMPLY FOR PROFESSIONAL CHEFS 5KG</t>
  </si>
  <si>
    <t>V51.00A.005</t>
  </si>
  <si>
    <t>ARTWORK - 41 SET</t>
  </si>
  <si>
    <t>BỘ HÌNH ẢNH THIẾT KẾ DỰ PHÒNG DÁN BÀN</t>
  </si>
  <si>
    <t>7.5239965990501</t>
  </si>
  <si>
    <t>PINK SATELLITE (25KG )</t>
  </si>
  <si>
    <t>BỘT MÌ HIỆU"VỆ TINH HỒNG" (25KG)</t>
  </si>
  <si>
    <t>V51.000.040</t>
  </si>
  <si>
    <t>HDPE PLASTIC BAG 27X46CM-POWER100</t>
  </si>
  <si>
    <t>TÚI NHỰA HDPE 27X46CM HIỆU POWER100</t>
  </si>
  <si>
    <t>7.52399109905A0</t>
  </si>
  <si>
    <t>SAMPLE 25KG</t>
  </si>
  <si>
    <t>HÀNG MẪU 25KG</t>
  </si>
  <si>
    <t>7.52399109906A0</t>
  </si>
  <si>
    <t>SAMPLE 40KG</t>
  </si>
  <si>
    <t>HÀNG MẪU 40KG</t>
  </si>
  <si>
    <t>7.52399319903A0</t>
  </si>
  <si>
    <t>BCR - 1 5KG</t>
  </si>
  <si>
    <t>BỘT MÌ HIỆU BCR-1 (5KG)</t>
  </si>
  <si>
    <t>7.52399153403A0</t>
  </si>
  <si>
    <t>RED KEY N 5KG</t>
  </si>
  <si>
    <t>BỘT MÌ HIỆU CHÌA KHÓA ĐỎ MÌ SỢI (5KG)</t>
  </si>
  <si>
    <t>7.5239966990601</t>
  </si>
  <si>
    <t>ORANGE COMPASS (40KG )</t>
  </si>
  <si>
    <t>BỘT MÌ HIỆU"LA BÀN CAM" (40KG)</t>
  </si>
  <si>
    <t>7.C350155996901</t>
  </si>
  <si>
    <t>DISHWASHING LIQUID POWER100, 750G X 16 BOTTLES IN CARTON</t>
  </si>
  <si>
    <t>NƯỚC RỬA CHÉN POWER100, LOẠI 750G X 16 CHAI TRONG THÙNG CARTON</t>
  </si>
  <si>
    <t>7.C35015599690101</t>
  </si>
  <si>
    <t>DISHWASHING LIQUID POWER100, 750G</t>
  </si>
  <si>
    <t>NƯỚC RỬA CHÉN POWER100, LOẠI 750G</t>
  </si>
  <si>
    <t>V51.047.011</t>
  </si>
  <si>
    <t>MEIZAN CORN STARCH 1KG</t>
  </si>
  <si>
    <t>V51.000.041</t>
  </si>
  <si>
    <t>WOODEN PALLET 1.2M X 1M</t>
  </si>
  <si>
    <t>PALLET GỖ 1.2M X 1M</t>
  </si>
  <si>
    <t>7.B24072399160116</t>
  </si>
  <si>
    <t>TOMATO SAUCE 265G X 24 BOT/CAR</t>
  </si>
  <si>
    <t>TƯƠNG CÀ 265G X 24 CHAI/THÙNG</t>
  </si>
  <si>
    <t>7.B2407239916011601</t>
  </si>
  <si>
    <t>TOMATO SAUCE 265G</t>
  </si>
  <si>
    <t>TƯƠNG CÀ 265G</t>
  </si>
  <si>
    <t>V51.047.012</t>
  </si>
  <si>
    <t>V51.047.013</t>
  </si>
  <si>
    <t>7.B250854994492051</t>
  </si>
  <si>
    <t>PORK BOUILLON GRANULE 850G X 10 PAC ON PACK 10 PAC NEPTUNE GOLD 0.25L/CAR</t>
  </si>
  <si>
    <t>THỰC PHẨM BỔ SUNG HẠT NÊM 4 TRONG 1 - VỊ HEO 850G X 10 GÓI ĐÓNG KÈM 10 CHAI DẦU ĂN THƯỢNG HẠNG NHÃN HIỆU NEPTUNE GOLD 0.25L/THÙNG</t>
  </si>
  <si>
    <t>7.B25085499449205101</t>
  </si>
  <si>
    <t>PORK BOUILLON GRANULE 850G X 01 PAC ON PAC 01 PACK NEPTUNE GOLD 0.25L</t>
  </si>
  <si>
    <t>THỰC PHẨM BỔ SUNG HẠT NÊM 4 TRONG 1 - VỊ HEO 850G X 01 GÓI ĐÓNG KÈM 01 CHAI DẦU ĂN THƯỢNG HẠNG NHÃN HIỆU NEPTUNE GOLD 0.25L</t>
  </si>
  <si>
    <t>7.70536</t>
  </si>
  <si>
    <t>PALM OIL FRACTION - WILMAX 1050 RSPO MB 20KG IN CARTON</t>
  </si>
  <si>
    <t>PHÂN ĐOẠN DẦU CỌ - WILMAX 1050 RSPO MB ĐÓNG THÙNG CARTON 20KG</t>
  </si>
  <si>
    <t>7.1070140294408010</t>
  </si>
  <si>
    <t>SATELLITE BOS (RED) IN PEBAG@20KG</t>
  </si>
  <si>
    <t>DẦU BƠ THAY THẾ NHÃN HIỆU SATELLITE 20KG</t>
  </si>
  <si>
    <t>7.5239967990501</t>
  </si>
  <si>
    <t>PURPLE COMPASS (25KG )</t>
  </si>
  <si>
    <t>BỘT MÌ HIỆU"LA BÀN TÍM" (25KG)</t>
  </si>
  <si>
    <t>7.B25085499180105TD</t>
  </si>
  <si>
    <t>NEPTUNE PORK BOUILLON GRANULE 250G X 50 PACKS IN CARTON</t>
  </si>
  <si>
    <t>THỰC PHẨM BỔ SUNG HẠT NÊM NEPTUNE 4 TRONG 1 - VỊ HEO 250G X 50 GÓI ĐÓNG TRONG THÙNG CARTON</t>
  </si>
  <si>
    <t>7.B2508549918010501TD</t>
  </si>
  <si>
    <t>NEPTUNE PORK BOUILLON GRANULE 250G</t>
  </si>
  <si>
    <t>THỰC PHẨM BỔ SUNG HẠT NÊM NEPTUNE 4 TRONG 1 - VỊ HEO 250G</t>
  </si>
  <si>
    <t xml:space="preserve">NEPTUNE PORK BOUILLON GRANULE 250G </t>
  </si>
  <si>
    <t>7.70537</t>
  </si>
  <si>
    <t>12-HYDROXY STEARIC ACID, PAPER BAG 25 KG</t>
  </si>
  <si>
    <t>12-HYDROXY STEARIC ACID, BAO 25 KG</t>
  </si>
  <si>
    <t>7.131036E41700910</t>
  </si>
  <si>
    <t>CO-ORCHID IN BOTTLE @9KG</t>
  </si>
  <si>
    <t>DẦU THỰC VẬT TINH LUYỆN NHÃN HIỆU ORCHID 9KG</t>
  </si>
  <si>
    <t>7.131036E41702910</t>
  </si>
  <si>
    <t>CO-ORCHID 9KG X 2BTL</t>
  </si>
  <si>
    <t>ORCHID 9KG X 2BTL</t>
  </si>
  <si>
    <t>7.5239967990601</t>
  </si>
  <si>
    <t>PURPLE COMPASS (40KG )</t>
  </si>
  <si>
    <t>BỘT MÌ HIỆU"LA BÀN TÍM" (40KG)</t>
  </si>
  <si>
    <t>7.52399109902A0</t>
  </si>
  <si>
    <t>SAMPLE 1KG</t>
  </si>
  <si>
    <t>HÀNG MẪU 1KG</t>
  </si>
  <si>
    <t>7.5239968990501</t>
  </si>
  <si>
    <t>YELLOW KEY 25KG</t>
  </si>
  <si>
    <t>BỘT MÌ HIỆU "CHÌA KHÓA VÀNG" (25KG)</t>
  </si>
  <si>
    <t>7.5239968990601</t>
  </si>
  <si>
    <t>YELLOW KEY 40KG</t>
  </si>
  <si>
    <t>BỘT MÌ HIỆU "CHÌA KHÓA VÀNG" (40KG)</t>
  </si>
  <si>
    <t>V39.000.044</t>
  </si>
  <si>
    <t>WILMAR'S SHORT-SLEEVED T-SHIRT</t>
  </si>
  <si>
    <t>ÁO THUN WILMAR NGẮN TAY</t>
  </si>
  <si>
    <t>7.52399109925A0</t>
  </si>
  <si>
    <t>SAMPLE 2KG</t>
  </si>
  <si>
    <t>HÀNG MẪU 2KG</t>
  </si>
  <si>
    <t>7.B24012399700104</t>
  </si>
  <si>
    <t>PREMIUM SOY SAUCE 210ML X 36 BOT</t>
  </si>
  <si>
    <t>NƯỚC TƯƠNG THƯỢNG HẠNG 210ML X 36 CHAI</t>
  </si>
  <si>
    <t>7.B24012399719213</t>
  </si>
  <si>
    <t>NAM DUONG CONDENSED SOY SAUCE 280ML X 36 BOT</t>
  </si>
  <si>
    <t>THỰC PHẨM BỔ SUNG NƯỚC TƯƠNG NAM DƯƠNG ĐẬM ĐẶC 280ML X 36 CHAI</t>
  </si>
  <si>
    <t>7.B24012399729213</t>
  </si>
  <si>
    <t>NAM DUONG CONDENSED SOY SAUCE 500ML X 36 BOT</t>
  </si>
  <si>
    <t>THỰC PHẨM BỔ SUNG NƯỚC TƯƠNG NAM DƯƠNG ĐẬM ĐẶC 500ML X 36 CHAI</t>
  </si>
  <si>
    <t>7.B24012302720199</t>
  </si>
  <si>
    <t>HANG VIET SOY SAUCE 500ML X 36 BOT</t>
  </si>
  <si>
    <t>NƯỚC CHẤM HÀNG VIỆT 500ML X 36 CHAI</t>
  </si>
  <si>
    <t>7.B25085499739205</t>
  </si>
  <si>
    <t>PORK BOUILLON GRANULE 170G X 36 PAC</t>
  </si>
  <si>
    <t>THỰC PHẨM BỔ SUNG HẠT NÊM 4 TRONG 1 - VỊ HEO 170G X 36 GÓI</t>
  </si>
  <si>
    <t>7.B25085499749205</t>
  </si>
  <si>
    <t>PORK BOUILLON GRANULE 380G X 24 PAC</t>
  </si>
  <si>
    <t>THỰC PHẨM BỔ SUNG HẠT NÊM 4 TRONG 1 - VỊ HEO 380G X 24 GÓI</t>
  </si>
  <si>
    <t>7.B25085499759205</t>
  </si>
  <si>
    <t>PORK BOUILLON GRANULE 850G X 12 PAC</t>
  </si>
  <si>
    <t>THỰC PHẨM BỔ SUNG HẠT NÊM 4 TRONG 1 - VỊ HEO 850G X 12 GÓI</t>
  </si>
  <si>
    <t>7.C350155997601</t>
  </si>
  <si>
    <t>MINT SCENT GLASS CLEANER POWER100, 580ML X 12 BOTTLES IN CARTON</t>
  </si>
  <si>
    <t>NƯỚC LAU KÍNH HƯƠNG BẠC HÀ POWER100 580MLX12 CHAI TRONG THÙNG CARTON</t>
  </si>
  <si>
    <t>7.C35015599760101</t>
  </si>
  <si>
    <t xml:space="preserve">MINT SCENT GLASS CLEANER POWER100, 580ML </t>
  </si>
  <si>
    <t>NƯỚC LAU KÍNH HƯƠNG BẠC HÀ POWER100 580ML</t>
  </si>
  <si>
    <t>7.52399529903A0</t>
  </si>
  <si>
    <t>SAMPLE-5-GREEN CLV 01</t>
  </si>
  <si>
    <t>BỘT MÌ CHUYÊN DỤNG GREEN CLV-01 (5KG)</t>
  </si>
  <si>
    <t>7.5239969990501</t>
  </si>
  <si>
    <t>YELLOW COMPASS 25KG</t>
  </si>
  <si>
    <t>BỘT MÌ HIỆU "LA BÀN VÀNG" (25KG)</t>
  </si>
  <si>
    <t>7.5239969990601</t>
  </si>
  <si>
    <t>YELLOW COMPASS 40KG</t>
  </si>
  <si>
    <t>BỘT MÌ HIỆU "LA BÀN VÀNG" (40KG)</t>
  </si>
  <si>
    <t>7.1140120203208010TD</t>
  </si>
  <si>
    <t>MEIZAN BRAND OF COCOA BUTTER REPLACE WILLARINE 890 LT IN CARTON 20KG</t>
  </si>
  <si>
    <t>CHẤT BÉO THỰC VẬT WILLARINE 890LT MEIZAN TRONG THÙNG CARTON 20KG</t>
  </si>
  <si>
    <t>V51.102.016</t>
  </si>
  <si>
    <t>7.5239970990501</t>
  </si>
  <si>
    <t>HONG KONG PAU (25KG)</t>
  </si>
  <si>
    <t>BỘT MÌ HIỆU "HONG KONG PAU" ( 25KG)</t>
  </si>
  <si>
    <t>7.5239970990601</t>
  </si>
  <si>
    <t>HONG KONG PAU (40KG)</t>
  </si>
  <si>
    <t>BỘT MÌ HIỆU "HONG KONG PAU" ( 40KG)</t>
  </si>
  <si>
    <t>7.B25085499189205</t>
  </si>
  <si>
    <t>PORK BOUILLON GRANULE 250G X 50 PAC/CAR</t>
  </si>
  <si>
    <t>THỰC PHẨM BỔ SUNG HẠT NÊM 4 TRONG 1 - VỊ HEO 250G X 50 GÓI/THÙNG</t>
  </si>
  <si>
    <t>7.B2508549918920501</t>
  </si>
  <si>
    <t xml:space="preserve">PORK BOUILLON GRANULE 250G </t>
  </si>
  <si>
    <t>7.5239973990501</t>
  </si>
  <si>
    <t>VI VI - RED 25KG</t>
  </si>
  <si>
    <t>BỘT MÌ VI VI ĐỎ (25KG)</t>
  </si>
  <si>
    <t>7.5239971990501</t>
  </si>
  <si>
    <t>VI VI - BLUE 25KG</t>
  </si>
  <si>
    <t>BỘT MÌ VI VI XANH (25KG)</t>
  </si>
  <si>
    <t>7.5239972990501</t>
  </si>
  <si>
    <t>VI VI - GREEN 25KG</t>
  </si>
  <si>
    <t>BỘT MÌ VI VI XANH LÁ (25KG)</t>
  </si>
  <si>
    <t>7.5239973990601</t>
  </si>
  <si>
    <t>VI VI - RED 40KG</t>
  </si>
  <si>
    <t>BỘT MÌ VI VI ĐỎ (40KG)</t>
  </si>
  <si>
    <t>7.5239971990601</t>
  </si>
  <si>
    <t>VI VI - BLUE 40KG</t>
  </si>
  <si>
    <t>BỘT MÌ VI VI XANH (40KG)</t>
  </si>
  <si>
    <t>7.5239972990601</t>
  </si>
  <si>
    <t>VI VI - GREEN 40KG</t>
  </si>
  <si>
    <t>BỘT MÌ VI VI XANH LÁ (40KG)</t>
  </si>
  <si>
    <t>7.5239937350601</t>
  </si>
  <si>
    <t>SF-3 (40KG)</t>
  </si>
  <si>
    <t>BỘT MÌ - NGUYÊN LIỆU LÀM THỨC ĂN CHĂN NUÔI HIỆU SF-3 (40KG)</t>
  </si>
  <si>
    <t>7.A33020899320119TD</t>
  </si>
  <si>
    <t>7.A3302089932011901TD</t>
  </si>
  <si>
    <t>7.A319908994301</t>
  </si>
  <si>
    <t>MEIZAN SEASONED CRISPY CHICKEN MIX 50G X 60 BAG</t>
  </si>
  <si>
    <t>BỘT CHIÊN GÀ GIÒN NHÃN HIỆU MEIZAN 50G</t>
  </si>
  <si>
    <t>7.A31990899430101</t>
  </si>
  <si>
    <t>MEIZAN SEASONED CRISPY CHICKEN MIX 50G</t>
  </si>
  <si>
    <t>7.B24022399770199</t>
  </si>
  <si>
    <t>CHILI SAUCE 250G X 36 BOT/CAR</t>
  </si>
  <si>
    <t>TƯƠNG ỚT 250G X 36 CHAI/THÙNG</t>
  </si>
  <si>
    <t>7.B24022399770103</t>
  </si>
  <si>
    <t>SPECIAL HOT CHILI SAUCE 250G X 36 BOT/CAR</t>
  </si>
  <si>
    <t>TƯƠNG ỚT ĐẶC BIỆT CAY 250G X 36 CHAI/THÙNG</t>
  </si>
  <si>
    <t>7.B25085499739205TD</t>
  </si>
  <si>
    <t>NEPTUNE PORK BOUILLON GRANULE 170G X 36 PACKS IN CARTON</t>
  </si>
  <si>
    <t>THỰC PHẨM BỔ SUNG HẠT NÊM NEPTUNE 4 TRONG 1-VỊ HEO 170GX36 GÓI TRONG THÙNG CARTON</t>
  </si>
  <si>
    <t>7.B2508549941920501TD</t>
  </si>
  <si>
    <t>NEPTUNE PORK BOUILLON GRANULE 170G</t>
  </si>
  <si>
    <t>THỰC PHẨM BỔ SUNG HẠT NÊM NEPTUNE 4 TRONG 1-VỊ HEO 170G</t>
  </si>
  <si>
    <t>7.5239917990601</t>
  </si>
  <si>
    <t>SATELLITE  40KG</t>
  </si>
  <si>
    <t>BỘT MÌ HIỆU VỆ TINH 40KG</t>
  </si>
  <si>
    <t>V51.000.042</t>
  </si>
  <si>
    <t>V51.000.043</t>
  </si>
  <si>
    <t>THE GIOI DI DONG-DIEN MAY XANH VOUCHER, 500,000 VND VALUE WITH VAT</t>
  </si>
  <si>
    <t>PHIẾU MUA HÀNG THẾ GIỚI DI ĐỘNG-ĐIỆN MÁY XANH 500,000 VND SAU VAT</t>
  </si>
  <si>
    <t>V51.000.044</t>
  </si>
  <si>
    <t>THE GIOI DI DONG-DIEN MAY XANH VOUCHER, 2,200,000 VND VALUE WITH VAT</t>
  </si>
  <si>
    <t>PHIẾU MUA HÀNG THẾ GIỚI DI ĐỘNG-ĐIỆN MÁY XANH 2,200,000 VND SAU VAT</t>
  </si>
  <si>
    <t>V51.000.045</t>
  </si>
  <si>
    <t>THE GIOI DI DONG-DIEN MAY XANH VOUCHER, 4,000,000 VND VALUE WITH VAT</t>
  </si>
  <si>
    <t>PHIẾU MUA HÀNG THẾ GIỚI DI ĐỘNG-ĐIỆN MÁY XANH 4,000,000 VND SAU VAT</t>
  </si>
  <si>
    <t>V51.000.046</t>
  </si>
  <si>
    <t>THE GIOI DI DONG-DIEN MAY XANH VOUCHER, 7,700,000 VND VALUE WITH VAT</t>
  </si>
  <si>
    <t>PHIẾU MUA HÀNG THẾ GIỚI DI ĐỘNG-ĐIỆN MÁY XANH 7,700,000 VND SAU VAT</t>
  </si>
  <si>
    <t>7.460050051700050TD</t>
  </si>
  <si>
    <t>SIMPLY RBO 2L BOTTLE</t>
  </si>
  <si>
    <t>DẦU GẠO NGUYÊN CHẤT SIMPLY 2L</t>
  </si>
  <si>
    <t>7.45105005170000TD</t>
  </si>
  <si>
    <t>SIMPLY SBO 2L BOTTLE</t>
  </si>
  <si>
    <t>7.B25085499449205TD</t>
  </si>
  <si>
    <t>4-IN-1 PORK FLAVOR BOUILLON GRANULE 850GX10 BAGS IN CARTON</t>
  </si>
  <si>
    <t>THỰC PHẨM BỔ SUNG HẠT NÊM 4 TRONG 1 VỊ HEO 850GX10 GÓI TRONG THÙNG CARTON</t>
  </si>
  <si>
    <t>7.131069061703A00TD</t>
  </si>
  <si>
    <t>NEPTUNE GOLD 5LX4 BOTTLES IN CARTON</t>
  </si>
  <si>
    <t>DẦU ĂN NEPTUNE GOLD 5LX4 CHAI TRONG THÙNG CARTON</t>
  </si>
  <si>
    <t>V51.00A.006</t>
  </si>
  <si>
    <t>SHELFTALKER</t>
  </si>
  <si>
    <t>KHAY SẮT TRAY L NDFC</t>
  </si>
  <si>
    <t>7.C35015599320127</t>
  </si>
  <si>
    <t>DISHWASHING LIQUID POWER100 LEMON, 200G X 50 BOTTLES IN CARTON</t>
  </si>
  <si>
    <t>NƯỚC RỬA CHÉN POWER100 HƯƠNG CHANH, LOẠI 200G X 50 CHAI TRONG THÙNG CARTON</t>
  </si>
  <si>
    <t>7.C3501559932012701</t>
  </si>
  <si>
    <t>DISHWASHING LIQUID POWER100 LEMON, 200G</t>
  </si>
  <si>
    <t>NƯỚC RỬA CHÉN POWER100 HƯƠNG CHANH, LOẠI 200G</t>
  </si>
  <si>
    <t>7.C35015599330127</t>
  </si>
  <si>
    <t>DISHWASHING LIQUID POWER100 LEMON, 400G X 24 BOTTLES IN CARTON</t>
  </si>
  <si>
    <t>NƯỚC RỬA CHÉN POWER100 HƯƠNG CHANH, LOẠI 400G X 24 CHAI TRONG THÙNG CARTON</t>
  </si>
  <si>
    <t>7.C3501559933012701</t>
  </si>
  <si>
    <t>DISHWASHING LIQUID POWER100 LEMON, 400G</t>
  </si>
  <si>
    <t>NƯỚC RỬA CHÉN POWER100 HƯƠNG CHANH, LOẠI 400G</t>
  </si>
  <si>
    <t>7.C35015599690127</t>
  </si>
  <si>
    <t>DISHWASHING LIQUID POWER100 LEMON, 750G X 16 BOTTLES IN CARTON</t>
  </si>
  <si>
    <t>NƯỚC RỬA CHÉN POWER100 HƯƠNG CHANH, LOẠI 750G X 16 CHAI TRONG THÙNG CARTON</t>
  </si>
  <si>
    <t>7.C3501559969012701</t>
  </si>
  <si>
    <t xml:space="preserve">DISHWASHING LIQUID POWER100 LEMON, 750G </t>
  </si>
  <si>
    <t>NƯỚC RỬA CHÉN POWER100 HƯƠNG CHANH, LOẠI 750G</t>
  </si>
  <si>
    <t>7.C35015599540127</t>
  </si>
  <si>
    <t>DISHWASHING LIQUID POWER100 LEMON, 1,5 KG X 8 JRG IN CARTON</t>
  </si>
  <si>
    <t>NƯỚC RỬA CHÉN POWER100 HƯƠNG CHANH, LOẠI 1,5 KG X 8 CAN TRONG THÙNG CARTON</t>
  </si>
  <si>
    <t>7.C3501559954012701</t>
  </si>
  <si>
    <t>DISHWASHING LIQUID POWER100 LEMON, 1,5 KG</t>
  </si>
  <si>
    <t>NƯỚC RỬA CHÉN POWER100 HƯƠNG CHANH, LOẠI 1,5 KG</t>
  </si>
  <si>
    <t>7.C35015599490127</t>
  </si>
  <si>
    <t>DISHWASHING LIQUID POWER100 LEMON, 3,8 KG X 4 JRG IN CARTON</t>
  </si>
  <si>
    <t>NƯỚC RỬA CHÉN POWER100 HƯƠNG CHANH, LOẠI 3,8 KG X 4 CAN TRONG THÙNG CARTON</t>
  </si>
  <si>
    <t>7.C3501559949012701</t>
  </si>
  <si>
    <t>DISHWASHING LIQUID POWER100 LEMON, 3,8 KG</t>
  </si>
  <si>
    <t>NƯỚC RỬA CHÉN POWER100 HƯƠNG CHANH, LOẠI 3,8 KG</t>
  </si>
  <si>
    <t>7.C35015599500127</t>
  </si>
  <si>
    <t>DISHWASHING LIQUID POWER100 LEMON, 9,5 KG X 2 JRG IN CARTON</t>
  </si>
  <si>
    <t>NƯỚC RỬA CHÉN POWER100 HƯƠNG CHANH, LOẠI 9,5 KG X 2 CAN TRONG THÙNG CARTON</t>
  </si>
  <si>
    <t>7.C3501559950012701</t>
  </si>
  <si>
    <t>DISHWASHING LIQUID POWER100 LEMON, 9,5 KG</t>
  </si>
  <si>
    <t>NƯỚC RỬA CHÉN POWER100 HƯƠNG CHANH, LOẠI 9,5 KG</t>
  </si>
  <si>
    <t>7.C35015599620128</t>
  </si>
  <si>
    <t>DISHWASHING LIQUID POWER100 NATURAL, 750ML X 12 BOTTLES IN CARTON</t>
  </si>
  <si>
    <t>NƯỚC RỬA CHÉN POWER100 NATURAL, LOẠI 750ML X 12 CHAI TRONG THÙNG CARTON</t>
  </si>
  <si>
    <t>7.C3501559962012801</t>
  </si>
  <si>
    <t xml:space="preserve">DISHWASHING LIQUID POWER100 NATURAL, 750ML </t>
  </si>
  <si>
    <t>NƯỚC RỬA CHÉN POWER100 NATURAL, LOẠI 750ML</t>
  </si>
  <si>
    <t>DISHWASHING LIQUID POWER100 NATURAL, 750ML</t>
  </si>
  <si>
    <t>7.C35015599547227</t>
  </si>
  <si>
    <t>DISHWASHING LIQUID POWER100 LEMON, 1,5 KG X 8 JRG IN CARTON, EXPORT TO CAMBODIA</t>
  </si>
  <si>
    <t>NƯỚC RỬA CHÉN POWER100 HƯƠNG CHANH, LOẠI 1,5 KG X 8 CAN TRONG THÙNG CARTON, XK CAMPUCHIA</t>
  </si>
  <si>
    <t>7.C3501559954722701</t>
  </si>
  <si>
    <t>DISHWASHING LIQUID POWER100 LEMON, 1,5 KG, EXPORT TO CAMBODIA</t>
  </si>
  <si>
    <t>NƯỚC RỬA CHÉN POWER100 HƯƠNG CHANH, LOẠI 1,5 KG, XK CAMPUCHIA</t>
  </si>
  <si>
    <t>7.C35015599497227</t>
  </si>
  <si>
    <t>DISHWASHING LIQUID POWER100 LEMON, 3,8 KG X 4 JRG IN CARTON, EXPORT TO CAMBODIA</t>
  </si>
  <si>
    <t>NƯỚC RỬA CHÉN POWER100 HƯƠNG CHANH, LOẠI 3,8KG X 4 CAN TRONG THÙNG CARTON, XK CAMPUCHIA</t>
  </si>
  <si>
    <t>7.C3501559949722701</t>
  </si>
  <si>
    <t>DISHWASHING LIQUID POWER100 LEMON, 3,8 KG, EXPORT TO CAMBODIA</t>
  </si>
  <si>
    <t>NƯỚC RỬA CHÉN POWER100 HƯƠNG CHANH, LOẠI 3,8KG, XK CAMPUCHIA</t>
  </si>
  <si>
    <t>V51.000.047</t>
  </si>
  <si>
    <t>BANNER POWER100</t>
  </si>
  <si>
    <t>BĂNG RÔN POWER100</t>
  </si>
  <si>
    <t>V51.00A.007</t>
  </si>
  <si>
    <t>RED PEN LAOS PP BAG - 25</t>
  </si>
  <si>
    <t>BAO PP CÂY VIẾT ĐỎ LÀO (RED PEN LAOS) - 25</t>
  </si>
  <si>
    <t>V39.015.114</t>
  </si>
  <si>
    <t>V51.00A.008</t>
  </si>
  <si>
    <t>RED KEY LAOS PP BAG - 25</t>
  </si>
  <si>
    <t>BAO PP CHÌA KHÓA ĐỎ LÀO (RED KEY LAOS) - 25</t>
  </si>
  <si>
    <t>V51.00A.009</t>
  </si>
  <si>
    <t>RED COMPASS LAOS PP BAG - 25</t>
  </si>
  <si>
    <t>BAO PP LA BÀN ĐỎ LÀO (RED COMPASS LAOS) - 25</t>
  </si>
  <si>
    <t>7.B24032399780199</t>
  </si>
  <si>
    <t>OYSTER SAUCE 615G X  20 BOT/CAR</t>
  </si>
  <si>
    <t>7.B2403239978019901</t>
  </si>
  <si>
    <t xml:space="preserve">OYSTER SAUCE 615G </t>
  </si>
  <si>
    <t>DẦU HÀO 615G</t>
  </si>
  <si>
    <t>OYSTER SAUCE 615G</t>
  </si>
  <si>
    <t>7.C35015599337227</t>
  </si>
  <si>
    <t>DISHWASHING LIQUID POWER100 LEMON, 400G X 24 BOTTLES IN CARTON, EXPORT TO CAMBODIA</t>
  </si>
  <si>
    <t>NƯỚC RỬA CHÉN POWER100 HƯƠNG CHANH, LOẠI 400G  X 24 CHAI TRONG THÙNG CARTON, XK CAMPUCHIA</t>
  </si>
  <si>
    <t>7.C3501559933722701</t>
  </si>
  <si>
    <t>DISHWASHING LIQUID POWER100 LEMON, EXPORT TO CAMBODIA</t>
  </si>
  <si>
    <t>NƯỚC RỬA CHÉN POWER100 HƯƠNG CHANH, LOẠI 400G, XK CAMPUCHIA</t>
  </si>
  <si>
    <t>7.C35015599697227</t>
  </si>
  <si>
    <t>DISHWASHING LIQUID POWER100 LEMON, 750G X 16 BOTTLES IN CARTON, EXPORT TO CAMBODIA</t>
  </si>
  <si>
    <t>NƯỚC RỬA CHÉN POWER100 HƯƠNG CHANH, LOẠI 750G X 16 CHAI TRONG THÙNG CARTON, XK CAMPUCHIA</t>
  </si>
  <si>
    <t>7.C3501559969722701</t>
  </si>
  <si>
    <t>DISHWASHING LIQUID POWER100 LEMON, 750G, EXPORT TO CAMBODIA</t>
  </si>
  <si>
    <t>NƯỚC RỬA CHÉN POWER100 HƯƠNG CHANH, LOẠI 750G, XK CAMPUCHIA</t>
  </si>
  <si>
    <t>7.5239938990701</t>
  </si>
  <si>
    <t>POLLARD (50KG)</t>
  </si>
  <si>
    <t>CÁM MÌ - NGUYÊN LIỆU LÀM THỨC ĂN CHĂN NUÔI HIỆU “POLLARD” (50KG)</t>
  </si>
  <si>
    <t>V39.013.054</t>
  </si>
  <si>
    <t>MEIZAN SBO T-SHIRT</t>
  </si>
  <si>
    <t>ÁO THUN MEIZAN SBO</t>
  </si>
  <si>
    <t>V51.600.075</t>
  </si>
  <si>
    <t>MEIZAN SBO BOOTH</t>
  </si>
  <si>
    <t>BỘ BÀN MEIZAN SBO</t>
  </si>
  <si>
    <t>V51.106.006</t>
  </si>
  <si>
    <t>MEIZAN SBO UMBRELLA</t>
  </si>
  <si>
    <t>DÙ MEIZAN SBO</t>
  </si>
  <si>
    <t>V51.901.068</t>
  </si>
  <si>
    <t>MEIZAN SBO STANDEE</t>
  </si>
  <si>
    <t>PHƯỚN ĐỨNG MEIZAN SBO</t>
  </si>
  <si>
    <t>V51.153.025</t>
  </si>
  <si>
    <t>MEIZAN NYLONG PACK</t>
  </si>
  <si>
    <t>TÚI NYLONG MEIZAN</t>
  </si>
  <si>
    <t>V51.600.079</t>
  </si>
  <si>
    <t>MEIZAN DISPLAY SHELF</t>
  </si>
  <si>
    <t>KỆ TRƯNG BÀY MEIZAN</t>
  </si>
  <si>
    <t>V51.600.076</t>
  </si>
  <si>
    <t>MEIZAN SBO BANNER (4M X 1.2M)</t>
  </si>
  <si>
    <t>BĂNG RÔN MEIZAN SBO (4M X 1.2M)</t>
  </si>
  <si>
    <t>V51.600.077</t>
  </si>
  <si>
    <t>MEIZAN SBO BANNER (5M X 1.5M)</t>
  </si>
  <si>
    <t>BĂNG RÔN MEIZAN SBO (5M X 1.5M)</t>
  </si>
  <si>
    <t>V51.600.078</t>
  </si>
  <si>
    <t>MEIZAN SBO BANNER (6M X 1.5M)</t>
  </si>
  <si>
    <t>BĂNG RÔN MEIZAN SBO (6M X 1.5M)</t>
  </si>
  <si>
    <t>V51.000.048</t>
  </si>
  <si>
    <t>KIDDY SMALL SHELF (31 X 30)</t>
  </si>
  <si>
    <t>KỆ TRƯNG BÀY KIDDY (NGANG 31 CM X CAO 30 CM)</t>
  </si>
  <si>
    <t>V51.000.049</t>
  </si>
  <si>
    <t>KIDDY MINISHELF (40 X 140)</t>
  </si>
  <si>
    <t>KỆ TRƯNG BÀY KIDDY (NGANG 40 CM X CAO 140 CM)</t>
  </si>
  <si>
    <t>7.B25085499799205</t>
  </si>
  <si>
    <t>PORK BOUILLON GRANULE 50G X 120 PAC/CAR</t>
  </si>
  <si>
    <t>THỰC PHẨM BỔ SUNG HẠT NÊM 4 TRONG 1 - VỊ HEO 50G X 120 GÓI/THÙNG</t>
  </si>
  <si>
    <t>V39.000.045</t>
  </si>
  <si>
    <t>SAMSUNG TV ULTRA HD 4K 55-UA55RU7200</t>
  </si>
  <si>
    <t>TIVI SAMSUNG ULTRA HD 4K 55-UA55RU7200</t>
  </si>
  <si>
    <t>V15.000.009</t>
  </si>
  <si>
    <t>SAMSUNG GALAXY TAB A 8 SM-T385 - GOLD</t>
  </si>
  <si>
    <t>MÁY TÍNH BẢNG SAMSUNG GALAXY TAB A 8 SM-T385-GOLD</t>
  </si>
  <si>
    <t>V51.000.050</t>
  </si>
  <si>
    <t>OLIVOILA SHELF (1M X 2,87M X 0,4M)</t>
  </si>
  <si>
    <t>KỆ TRƯNG BÀY OLIVOILA (NGANG 1M X CAO 2,87M X SÂU 0,4M)</t>
  </si>
  <si>
    <t>7.1070120494108010</t>
  </si>
  <si>
    <t>MEIZAN SUPERIOR MARGARINEBLUE PEBAG@16KG</t>
  </si>
  <si>
    <t>BƠ THỰC VẬT CAO CẤP NHÃN HIỆU MEIZAN (NHÃN MÀU XANH)</t>
  </si>
  <si>
    <t>V51.102.017</t>
  </si>
  <si>
    <t>DISHWASHING LIQUID POWER100 NATURAL750ML</t>
  </si>
  <si>
    <t>6.1231002TD</t>
  </si>
  <si>
    <t>DOUBLE REFINED COCONUT OIL</t>
  </si>
  <si>
    <t>DẦU DỪA TINH LUYỆN</t>
  </si>
  <si>
    <t>V51.000.051</t>
  </si>
  <si>
    <t xml:space="preserve">ARTWORK POWER100 FOR STANDEE 0,6M X 1,64M </t>
  </si>
  <si>
    <t>HÌNH ẢNH POWER100 CHO PHƯỚN ĐỨNG 0,6M X 1,64M</t>
  </si>
  <si>
    <t>V51.000.052</t>
  </si>
  <si>
    <t>UMBRELLA POWER100 2,4M</t>
  </si>
  <si>
    <t>DÙ POWER100 2,4M</t>
  </si>
  <si>
    <t>V51.000.053</t>
  </si>
  <si>
    <t>ARTWORK POWER100 FOR BOOTH, 3 PCS PER SET</t>
  </si>
  <si>
    <t>HÌNH ẢNH POWER100 CHO BÀN, BỘ 3 CÁI</t>
  </si>
  <si>
    <t>V51.000.054</t>
  </si>
  <si>
    <t>THE GIOI DI DONG-DIEN MAY XANH VOUCHER, 100,000 VND VALUE WITH VAT</t>
  </si>
  <si>
    <t>PHIẾU MUA HÀNG THẾ GIỚI DI ĐỘNG-ĐIỆN MÁY XANH 100,000 VND SAU VAT</t>
  </si>
  <si>
    <t>V51.000.055</t>
  </si>
  <si>
    <t>THE GIOI DI DONG-DIEN MAY XANH VOUCHER, 1,000,000 VND VALUE WITH VAT</t>
  </si>
  <si>
    <t>PHIẾU MUA HÀNG THẾ GIỚI DI ĐỘNG-ĐIỆN MÁY XANH 1,000,000 VND SAU VAT</t>
  </si>
  <si>
    <t>V51.000.056</t>
  </si>
  <si>
    <t>THE GIOI DI DONG-DIEN MAY XANH VOUCHER, 2,000,000 VND VALUE WITH VAT</t>
  </si>
  <si>
    <t>PHIẾU MUA HÀNG THẾ GIỚI DI ĐỘNG-ĐIỆN MÁY XANH 2,000,000 VND SAU VAT</t>
  </si>
  <si>
    <t>V51.000.057</t>
  </si>
  <si>
    <t>PHIẾU MUA HÀNG THẾ GIỚI DI ĐỘNG-ĐIỆN MÁY XANH 5,000,000 VND SAU VAT</t>
  </si>
  <si>
    <t>7.101089570901840</t>
  </si>
  <si>
    <t>RBDPO SATELLITE IN BIB 18KG (RSPO MB)</t>
  </si>
  <si>
    <t>DẦU CỌ TINH LUYỆN NHÃN HIỆU SATELLITE (RSPO/MB) TRONG TÚI BÓNG 18KG</t>
  </si>
  <si>
    <t>V51.000.058</t>
  </si>
  <si>
    <t>MR. WIL MASCOT</t>
  </si>
  <si>
    <t>LINH VẬT ÔNG WIL</t>
  </si>
  <si>
    <t>7.B2409239918019901TD</t>
  </si>
  <si>
    <t>SALAD DRESSING 250G (LNS)</t>
  </si>
  <si>
    <t>7.B2407239916011601TD</t>
  </si>
  <si>
    <t>7.B2401239937921301TD</t>
  </si>
  <si>
    <t>7.B24012399800104</t>
  </si>
  <si>
    <t>PREMIUM SOY SAUCE 95ML X 60 BOT/CAR</t>
  </si>
  <si>
    <t>NƯỚC TƯƠNG THƯỢNG HẠNG 95ML X 60 CHAI/THÙNG</t>
  </si>
  <si>
    <t>7.B2401239980010401</t>
  </si>
  <si>
    <t>V39.000.046</t>
  </si>
  <si>
    <t>MINH LONG TABLEWARE SET</t>
  </si>
  <si>
    <t>BỘ ĐỒ ĂN MINH LONG</t>
  </si>
  <si>
    <t xml:space="preserve">PREMIUM SOY SAUCE 95ML </t>
  </si>
  <si>
    <t>NƯỚC TƯƠNG THƯỢNG HẠNG 95ML</t>
  </si>
  <si>
    <t>V39.000.047</t>
  </si>
  <si>
    <t>SUNHOUSE SHD 2301 650W HAIRDRYER</t>
  </si>
  <si>
    <t>MÁY SẤY TÓC SUNHOUSE SHD2301 650W</t>
  </si>
  <si>
    <t>V46.000.001</t>
  </si>
  <si>
    <t xml:space="preserve">ELMICH K5 500ML THERMOSTATS </t>
  </si>
  <si>
    <t>PHÍCH GIỮ NHIỆT ELMICH K5 2246386 500 ML</t>
  </si>
  <si>
    <t>V51.000.059</t>
  </si>
  <si>
    <t xml:space="preserve">ARPENAZ 10L BACKPACKS  </t>
  </si>
  <si>
    <t>BA LÔ LEO NÚI DÃ NGOẠI ARPENAZ 10L</t>
  </si>
  <si>
    <t>V51.000.063</t>
  </si>
  <si>
    <t>HEINEKEN BEER 330ML X 24BOT/CAR</t>
  </si>
  <si>
    <t>BIA HEINEKEN 330ML X 24LON/THÙNG</t>
  </si>
  <si>
    <t>7.5239974990501</t>
  </si>
  <si>
    <t>RED PEGASUS (25KG)</t>
  </si>
  <si>
    <t>BỘT MÌ HIỆU "THIÊN MÃ ĐỎ" (25KG)</t>
  </si>
  <si>
    <t>7.5239974990601</t>
  </si>
  <si>
    <t>RED PEGASUS (40KG)</t>
  </si>
  <si>
    <t>BỘT MÌ HIỆU "THIÊN MÃ ĐỎ" (40KG)</t>
  </si>
  <si>
    <t>V51.00A.010</t>
  </si>
  <si>
    <t>GREEN KEY PP BAG - 25</t>
  </si>
  <si>
    <t>BAO PP CHÌA KHÓA XANH LÁ (GREEN KEY) - 25</t>
  </si>
  <si>
    <t>7.5239937360601</t>
  </si>
  <si>
    <t>BROWN KING SHRIMP (40KG)</t>
  </si>
  <si>
    <t>BỘT MÌ - NGUYÊN LIỆU LÀM THỨC ĂN THỦY SẢN HIỆU “TÔM VUA NÂU” (40KG)</t>
  </si>
  <si>
    <t>7.B24106399030199</t>
  </si>
  <si>
    <t>MAYONNAISE SIMPLY FOR PROFESSIONAL CHEFS 5KG X 2 PAIL/CAR</t>
  </si>
  <si>
    <t>MAYONNAISE SIMPLY FOR PROFESSIONAL CHEFS 5KG X 2 XÔ/THÙNG</t>
  </si>
  <si>
    <t>7.B2410639903019901</t>
  </si>
  <si>
    <t>7.5239975990512</t>
  </si>
  <si>
    <t>ORANGE KEY LAOS 111-25</t>
  </si>
  <si>
    <t>BỘT MÌ THƯỢNG HẠNG CHÌA KHÓA CAM-111 (TIẾNG LÀO) (25KG)</t>
  </si>
  <si>
    <t>7.5239937370601</t>
  </si>
  <si>
    <t>PURPLE KING SHRIMP (40KG)</t>
  </si>
  <si>
    <t>BỘT MÌ - NGUYÊN LIỆU LÀM THỨC ĂN THỦY SẢN HIỆU “TÔM VUA TÍM” (40KG)</t>
  </si>
  <si>
    <t>7.A31990899330129</t>
  </si>
  <si>
    <t>MEIZAN ALL- PURPOSE TAPIOCA STARCH 400G  X 12 BAG</t>
  </si>
  <si>
    <t>BỘT NĂNG ĐA DỤNG MEIZAN 400G</t>
  </si>
  <si>
    <t>7.A3199089933012901</t>
  </si>
  <si>
    <t>MEIZAN ALL- PURPOSE TAPIOCA STARCH 400G</t>
  </si>
  <si>
    <t>V51.047.014</t>
  </si>
  <si>
    <t>7.5239908380201</t>
  </si>
  <si>
    <t>MEIZAN BREAD FLOUR_1</t>
  </si>
  <si>
    <t>MEIZAN BỘT MÌ CHUYÊN DỤNG CHO BÁNH MÌ "MEIZAN BREAD FLOUR" (1KG*10 GÓI/THÙNG)</t>
  </si>
  <si>
    <t>7.5239908390201</t>
  </si>
  <si>
    <t>MEIZAN HI-RATIO CAKE FLOUR_1</t>
  </si>
  <si>
    <t>MEIZAN BỘT MÌ CHUYÊN DỤNG CHO BÁNH BÔNG LAN "MEIZAN HI-RATIO CAKE FLOUR" (1KG*10 GÓI/THÙNG)</t>
  </si>
  <si>
    <t>V39.000.048</t>
  </si>
  <si>
    <t>HAND FAN</t>
  </si>
  <si>
    <t>QUẠT CẦM TAY</t>
  </si>
  <si>
    <t>V39.000.049</t>
  </si>
  <si>
    <t>THERMOS CUP</t>
  </si>
  <si>
    <t>LY GIỮ NHIỆT</t>
  </si>
  <si>
    <t>V74.000.001</t>
  </si>
  <si>
    <t>BACKUP BATTERY CHARGER 7500MAH AVALJ JP197 BLUE</t>
  </si>
  <si>
    <t>PIN SẠC DỰ PHÒNG 7500MAH AVALJ JP197 XANH</t>
  </si>
  <si>
    <t>V74.000.002</t>
  </si>
  <si>
    <t>BACKUP BATTERY CHARGER 7500MAH AVALJ JP197 WHITE</t>
  </si>
  <si>
    <t>PIN SẠC DỰ PHÒNG 7500MAH AVALJ JP197 TRẮNG</t>
  </si>
  <si>
    <t>7.B2508549941920509</t>
  </si>
  <si>
    <t>PORK BOUILLON GRANULE 170G X 40 PAC ON PACK 40 BOT PREMIUM SOY SAUCE 95ML</t>
  </si>
  <si>
    <t>THỰC PHẨM BỔ SUNG HẠT NÊM 4 TRONG 1 - VỊ HEO 170G X 40 GÓI ĐÓNG KÈM 40 CHAI NƯỚC TƯƠNG THƯỢNG HẠNG 95ML</t>
  </si>
  <si>
    <t>7.B250854994192050901</t>
  </si>
  <si>
    <t>PORK BOUILLON GRANULE 170G X 01 PAC ON PACK 01 BOT PREMIUM SOY SAUCE 95ML</t>
  </si>
  <si>
    <t>THỰC PHẨM BỔ SUNG HẠT NÊM 4 TRONG 1 - VỊ HEO 170G ĐÓNG KÈM 01 CHAI NƯỚC TƯƠNG THƯỢNG HẠNG 95ML</t>
  </si>
  <si>
    <t>7.5239922400501</t>
  </si>
  <si>
    <t>BLUE COMPASS - 111 (25KG)</t>
  </si>
  <si>
    <t>BỘT MÌ HIỆU "LA BÀN XANH - 111" (25KG)</t>
  </si>
  <si>
    <t>7.5239922400601</t>
  </si>
  <si>
    <t>BLUE COMPASS - 111 (40KG)</t>
  </si>
  <si>
    <t>BỘT MÌ HIỆU "LA BÀN XANH - 111" (40KG)</t>
  </si>
  <si>
    <t>7.5239922410501</t>
  </si>
  <si>
    <t>BLUE COMPASS - 333 (25KG)</t>
  </si>
  <si>
    <t>BỘT MÌ HIỆU "LA BÀN XANH - 333" (25KG)</t>
  </si>
  <si>
    <t>7.5239922410601</t>
  </si>
  <si>
    <t>BLUE COMPASS - 333 (40KG)</t>
  </si>
  <si>
    <t>BỘT MÌ HIỆU "LA BÀN XANH - 333" (40KG)</t>
  </si>
  <si>
    <t>7.5239922420501</t>
  </si>
  <si>
    <t>BLUE COMPASS - 555 (25KG)</t>
  </si>
  <si>
    <t>BỘT MÌ HIỆU "LA BÀN XANH - 555" (25KG)</t>
  </si>
  <si>
    <t>7.5239922420601</t>
  </si>
  <si>
    <t>BLUE COMPASS - 555 (40KG)</t>
  </si>
  <si>
    <t>BỘT MÌ HIỆU "LA BÀN XANH - 555" (40KG)</t>
  </si>
  <si>
    <t>7.5239922430501</t>
  </si>
  <si>
    <t>BLUE COMPASS - 666 (25KG)</t>
  </si>
  <si>
    <t>BỘT MÌ HIỆU "LA BÀN XANH - 666" (25KG)</t>
  </si>
  <si>
    <t>7.5239922430601</t>
  </si>
  <si>
    <t>BLUE COMPASS - 666 (40KG)</t>
  </si>
  <si>
    <t>BỘT MÌ HIỆU "LA BÀN XANH - 666" (40KG)</t>
  </si>
  <si>
    <t>7.5239922440501</t>
  </si>
  <si>
    <t>BLUE COMPASS - 888 (25KG)</t>
  </si>
  <si>
    <t>BỘT MÌ HIỆU "LA BÀN XANH - 888" (25KG)</t>
  </si>
  <si>
    <t>7.5239922440601</t>
  </si>
  <si>
    <t>BLUE COMPASS - 888 (40KG)</t>
  </si>
  <si>
    <t>BỘT MÌ HIỆU "LA BÀN XANH - 888" (40KG)</t>
  </si>
  <si>
    <t>7.5239922450501</t>
  </si>
  <si>
    <t>BLUE COMPASS - 999 (25KG)</t>
  </si>
  <si>
    <t>BỘT MÌ HIỆU "LA BÀN XANH - 999" (25KG)</t>
  </si>
  <si>
    <t>7.5239922450601</t>
  </si>
  <si>
    <t>BLUE COMPASS - 999 (40KG)</t>
  </si>
  <si>
    <t>BỘT MÌ HIỆU "LA BÀN XANH - 999" (40KG)</t>
  </si>
  <si>
    <t>7.D37011099810130TD</t>
  </si>
  <si>
    <t>TWIN COMPOUND CHIPS SLT-2506-261, 15000 CTS/KG, 25KG</t>
  </si>
  <si>
    <t>NGUYÊN LIỆU THỰC PHẨM SÔ-CÔ-LA HAI MÀU SLT-2506</t>
  </si>
  <si>
    <t>7.D37011099810124TD</t>
  </si>
  <si>
    <t>WHITE COMPOUND SLW-38022X-115CI, BLOCK (2.5KG X 10 PCS), 25KG</t>
  </si>
  <si>
    <t>NGUYÊN LIỆU THỰC PHẨM SÔ-CÔ-LA TRẮNG SLW-38022X</t>
  </si>
  <si>
    <t>V51.600.080</t>
  </si>
  <si>
    <t>SIMPLY RBO BANNER (4M X 0.8M)</t>
  </si>
  <si>
    <t>BĂNG RÔN SIMPLY (4M X 0.8M)</t>
  </si>
  <si>
    <t>7.5239917460501</t>
  </si>
  <si>
    <t>GREEN SATELLITE HI-RATIO CAKE FLOUR (25KG)</t>
  </si>
  <si>
    <t>BỘT MÌ HIỆU VỆ TINH XANH LÁ - HI-RATIO CAKE FLOUR (25KG)</t>
  </si>
  <si>
    <t>7.5239917460601</t>
  </si>
  <si>
    <t>GREEN SATELLITE HI-RATIO CAKE FLOUR (40KG)</t>
  </si>
  <si>
    <t>BỘT MÌ HIỆU VỆ TINH XANH LÁ - HI-RATIO CAKE FLOUR (40KG)</t>
  </si>
  <si>
    <t>7.5239917470501</t>
  </si>
  <si>
    <t>BLUE SATELLITE HONG KONG PAU (25KG)</t>
  </si>
  <si>
    <t>BỘT MÌ HIỆU VỆ TINH XANH - HONG KONG PAU (25KG)</t>
  </si>
  <si>
    <t>7.5239917470601</t>
  </si>
  <si>
    <t>BLUE SATELLITE HONG KONG PAU (40KG)</t>
  </si>
  <si>
    <t>BỘT MÌ HIỆU VỆ TINH XANH - HONG KONG PAU (40KG)</t>
  </si>
  <si>
    <t>7.5239917480501</t>
  </si>
  <si>
    <t>RED SATELLITE (25KG)</t>
  </si>
  <si>
    <t>BỘT MÌ HIỆU VỆ TINH ĐỎ (25KG)</t>
  </si>
  <si>
    <t>7.5239917480601</t>
  </si>
  <si>
    <t>RED SATELLITE (40KG)</t>
  </si>
  <si>
    <t>BỘT MÌ HIỆU VỆ TINH ĐỎ (40KG)</t>
  </si>
  <si>
    <t>7.B24022399180131</t>
  </si>
  <si>
    <t>SUPER TASTY CHILI SAUCE 250GR X 24 BOT</t>
  </si>
  <si>
    <t>TƯƠNG ỚT SIÊU NGON 250G X 24 CHAI</t>
  </si>
  <si>
    <t>7.B2402239918013101</t>
  </si>
  <si>
    <t>SUPER TASTY CHILI SAUCE 250GR</t>
  </si>
  <si>
    <t>TƯƠNG ỚT SIÊU NGON 250G</t>
  </si>
  <si>
    <t>7.B24022399829199</t>
  </si>
  <si>
    <t>HORECA CHILI SAUCE 800G X 12 BOT</t>
  </si>
  <si>
    <t>TƯƠNG ỚT HORECA 800G X 12CHAI</t>
  </si>
  <si>
    <t>7.B2402239982919901</t>
  </si>
  <si>
    <t>HORECA CHILI SAUCE 800G</t>
  </si>
  <si>
    <t>TƯƠNG ỚT HORECA 800G</t>
  </si>
  <si>
    <t>V39.00A.001</t>
  </si>
  <si>
    <t>MEIZAN RAINCOAT</t>
  </si>
  <si>
    <t>ÁO MƯA MEIZAN</t>
  </si>
  <si>
    <t>7.B25085499089205</t>
  </si>
  <si>
    <t>PORK BOUILLON GRANULE 150G X 36 PAC</t>
  </si>
  <si>
    <t>THỰC PHẨM BỔ SUNG HẠT NÊM 4 TRONG 1 - VỊ HEO 150G X 36 GÓI</t>
  </si>
  <si>
    <t>7.B2508549908920501</t>
  </si>
  <si>
    <t>PORK BOUILLON GRANULE 150G</t>
  </si>
  <si>
    <t>THỰC PHẨM BỔ SUNG HẠT NÊM 4 TRONG 1 - VỊ HEO 150G</t>
  </si>
  <si>
    <t>7.B25085499839205</t>
  </si>
  <si>
    <t>PORK BOUILLON GRANULE 350G X 24 PAC</t>
  </si>
  <si>
    <t>THỰC PHẨM BỔ SUNG HẠT NÊM 4 TRONG 1 - VỊ HEO 350G X 24 GÓI</t>
  </si>
  <si>
    <t>7.B2508549983920501</t>
  </si>
  <si>
    <t xml:space="preserve">PORK BOUILLON GRANULE 350G </t>
  </si>
  <si>
    <t>THỰC PHẨM BỔ SUNG HẠT NÊM 4 TRONG 1 - VỊ HEO 350G</t>
  </si>
  <si>
    <t>6.70537</t>
  </si>
  <si>
    <t>DISTILLED TOPPED PALM KERNEL FATTY ACID (DK1218), 850KG IBC TANK</t>
  </si>
  <si>
    <t>AXIT BÉO TỪ NHÂN CỌ ĐÃ QUA TINH CHẾ DISTILLED TOPPED PALM KERNEL FATTY ACID (DK1218), IBC TANK 850KG</t>
  </si>
  <si>
    <t>V51.00A.011</t>
  </si>
  <si>
    <t>ARTWORK</t>
  </si>
  <si>
    <t>HÌNH ẢNH BÀN BOOTH</t>
  </si>
  <si>
    <t>7.5239943990567</t>
  </si>
  <si>
    <t>GREEN KEY - K 25KG</t>
  </si>
  <si>
    <t>BỘT MÌ HIỆU CHÌA KHÓA XANH LÁ K 25KG</t>
  </si>
  <si>
    <t>V51.00A.012</t>
  </si>
  <si>
    <t>EGG NOODLE STANDEE</t>
  </si>
  <si>
    <t>STANDEE MÌ TRỨNG</t>
  </si>
  <si>
    <t>V51.00A.013</t>
  </si>
  <si>
    <t>SUPER PROMOTIONS STANDEE</t>
  </si>
  <si>
    <t>STANDEE KHUYẾN MÃI SIÊU HẤP DẪN</t>
  </si>
  <si>
    <t>V51.000.064</t>
  </si>
  <si>
    <t xml:space="preserve">BACKPACK WITH EMBROIDERED LOGO WILMAR MARKETING CLV
</t>
  </si>
  <si>
    <t>BA LÔ CÓ LOGO CÔNG TY WILMAR MARKETING CLV</t>
  </si>
  <si>
    <t>7.5239904510501</t>
  </si>
  <si>
    <t>BROWN COMPASS - 555 (25KG)</t>
  </si>
  <si>
    <t>BỘT MÌ HIỆU LA BÀN NÂU - 555 (25KG)</t>
  </si>
  <si>
    <t>7.5239904510601</t>
  </si>
  <si>
    <t>BROWN COMPASS - 555 (40KG)</t>
  </si>
  <si>
    <t>BỘT MÌ HIỆU LA BÀN NÂU - 555 (40KG)</t>
  </si>
  <si>
    <t>7.5239904490501</t>
  </si>
  <si>
    <t>BROWN COMPASS - 111 (25KG)</t>
  </si>
  <si>
    <t>BỘT MÌ HIỆU LA BÀN NÂU - 111 (25KG)</t>
  </si>
  <si>
    <t>7.5239904490601</t>
  </si>
  <si>
    <t>BROWN COMPASS - 111 (40KG)</t>
  </si>
  <si>
    <t>BỘT MÌ HIỆU LA BÀN NÂU - 111 (40KG)</t>
  </si>
  <si>
    <t>7.5239904500501</t>
  </si>
  <si>
    <t>BROWN COMPASS - 333 (25KG)</t>
  </si>
  <si>
    <t>BỘT MÌ HIỆU LA BÀN NÂU - 333 (25KG)</t>
  </si>
  <si>
    <t>7.5239904500601</t>
  </si>
  <si>
    <t>BROWN COMPASS - 333 (40KG)</t>
  </si>
  <si>
    <t>BỘT MÌ HIỆU LA BÀN NÂU - 333 (40KG)</t>
  </si>
  <si>
    <t>7.5239904520501</t>
  </si>
  <si>
    <t>BROWN COMPASS - 666 (25KG)</t>
  </si>
  <si>
    <t>BỘT MÌ HIỆU LA BÀN NÂU - 666 (25KG)</t>
  </si>
  <si>
    <t>7.5239904520601</t>
  </si>
  <si>
    <t>BROWN COMPASS - 666 (40KG)</t>
  </si>
  <si>
    <t>BỘT MÌ HIỆU LA BÀN NÂU - 666 (40KG)</t>
  </si>
  <si>
    <t>7.5239904530501</t>
  </si>
  <si>
    <t>BROWN COMPASS - 888 (25KG)</t>
  </si>
  <si>
    <t>BỘT MÌ HIỆU LA BÀN NÂU - 888 (25KG)</t>
  </si>
  <si>
    <t>7.5239904530601</t>
  </si>
  <si>
    <t>BROWN COMPASS - 888 (40KG)</t>
  </si>
  <si>
    <t>BỘT MÌ HIỆU LA BÀN NÂU - 888 (40KG)</t>
  </si>
  <si>
    <t>7.5239904540501</t>
  </si>
  <si>
    <t>BROWN COMPASS - 999 (25KG)</t>
  </si>
  <si>
    <t>BỘT MÌ HIỆU LA BÀN NÂU - 999 (25KG)</t>
  </si>
  <si>
    <t>7.5239904540601</t>
  </si>
  <si>
    <t>BROWN COMPASS - 999 (40KG)</t>
  </si>
  <si>
    <t>BỘT MÌ HIỆU LA BÀN NÂU - 999 (40KG)</t>
  </si>
  <si>
    <t>7.5239914550501</t>
  </si>
  <si>
    <t>RED COMPASS - 111 (25KG)</t>
  </si>
  <si>
    <t>BỘT MÌ HIỆU LA BÀN ĐỎ - 111 (25KG)</t>
  </si>
  <si>
    <t>7.5239914550601</t>
  </si>
  <si>
    <t>RED COMPASS - 111 (40KG)</t>
  </si>
  <si>
    <t>BỘT MÌ HIỆU LA BÀN ĐỎ - 111 (40KG)</t>
  </si>
  <si>
    <t>7.5239914560501</t>
  </si>
  <si>
    <t>RED COMPASS - 333 (25KG)</t>
  </si>
  <si>
    <t>BỘT MÌ HIỆU LA BÀN ĐỎ - 333 (25KG)</t>
  </si>
  <si>
    <t>7.5239914560601</t>
  </si>
  <si>
    <t>RED COMPASS - 333 (40KG)</t>
  </si>
  <si>
    <t>BỘT MÌ HIỆU LA BÀN ĐỎ - 333 (40KG)</t>
  </si>
  <si>
    <t>7.5239914570501</t>
  </si>
  <si>
    <t>RED COMPASS - 555 (25KG)</t>
  </si>
  <si>
    <t>BỘT MÌ HIỆU LA BÀN ĐỎ - 555 (25KG)</t>
  </si>
  <si>
    <t>7.5239914570601</t>
  </si>
  <si>
    <t>RED COMPASS - 555 (40KG)</t>
  </si>
  <si>
    <t>BỘT MÌ HIỆU LA BÀN ĐỎ - 555 (40KG)</t>
  </si>
  <si>
    <t>7.5239914580501</t>
  </si>
  <si>
    <t>RED COMPASS - 666 (25KG)</t>
  </si>
  <si>
    <t>BỘT MÌ HIỆU LA BÀN ĐỎ - 666 (25KG)</t>
  </si>
  <si>
    <t>7.5239914580601</t>
  </si>
  <si>
    <t>RED COMPASS - 666 (40KG)</t>
  </si>
  <si>
    <t>BỘT MÌ HIỆU LA BÀN ĐỎ - 666 (40KG)</t>
  </si>
  <si>
    <t>7.5239914590501</t>
  </si>
  <si>
    <t>RED COMPASS - 888 (25KG)</t>
  </si>
  <si>
    <t>BỘT MÌ HIỆU LA BÀN ĐỎ - 888 (25KG)</t>
  </si>
  <si>
    <t>7.5239914590601</t>
  </si>
  <si>
    <t>RED COMPASS - 888 (40KG)</t>
  </si>
  <si>
    <t>BỘT MÌ HIỆU LA BÀN ĐỎ - 888 (40KG)</t>
  </si>
  <si>
    <t>7.5239914600501</t>
  </si>
  <si>
    <t>RED COMPASS - 999 (25KG)</t>
  </si>
  <si>
    <t>BỘT MÌ HIỆU LA BÀN ĐỎ - 999 (25KG)</t>
  </si>
  <si>
    <t>7.5239914600601</t>
  </si>
  <si>
    <t>RED COMPASS - 999 (40KG)</t>
  </si>
  <si>
    <t>BỘT MÌ HIỆU LA BÀN ĐỎ - 999 (40KG)</t>
  </si>
  <si>
    <t>7.1060120229508010</t>
  </si>
  <si>
    <t>MEIZAN SHORTENING PM IN PEBAG @20KG</t>
  </si>
  <si>
    <t>SHORTENING PM NHÃN HIỆU MEIZAN 20KG</t>
  </si>
  <si>
    <t>V51.000.065</t>
  </si>
  <si>
    <t>SAIGON BEER 330ML X 24BOT/CAR</t>
  </si>
  <si>
    <t>BIA SÀI GÒN 330ML X 24LON/THÙNG</t>
  </si>
  <si>
    <t>V51.046.013</t>
  </si>
  <si>
    <t>THỰC PHẨM BỔ SUNG HẠT NÊM 4 TRONG 1 – VỊ HEO 150G</t>
  </si>
  <si>
    <t>V51.046.014</t>
  </si>
  <si>
    <t>PORK BOUILLON GRANULE 350G</t>
  </si>
  <si>
    <t>7.134017699040199</t>
  </si>
  <si>
    <t>GOLDEN ORIOLE PASTRY MARGARINE 10KG IN CARTON</t>
  </si>
  <si>
    <t>BƠ LÁ GOLDEN ORIOLE</t>
  </si>
  <si>
    <t>7.A330208998401</t>
  </si>
  <si>
    <t>MEIZAN PREMIUM MACARONI 200G X 48 BAG</t>
  </si>
  <si>
    <t>NUI CAO CẤP MEIZAN 200G X 48 GÓI</t>
  </si>
  <si>
    <t>V51.600.081</t>
  </si>
  <si>
    <t>SIMPLY FOOD WRAP (30CM)</t>
  </si>
  <si>
    <t>MÀNG BỌC THỰC PHẨM NHÃN SIMPLY (30CM)</t>
  </si>
  <si>
    <t>7.131078036014E10</t>
  </si>
  <si>
    <t>MEIZAN GOLD TET GIFTPACK 1L X 8 BTL</t>
  </si>
  <si>
    <t>DẦU ĂN CAO CẤP NHÃN HIỆU MEIZAN GOLD 1L (8 CHAI/THÙNG)-ĐÓNG KÈM 4 GÓI MÌ TRỨNG CAO CẤP MEIZAN 250G/THÙNG</t>
  </si>
  <si>
    <t>V51.00A.014</t>
  </si>
  <si>
    <t>HANGER WITH 3 PLASTIC STRINGS</t>
  </si>
  <si>
    <t>VỈ TREO 3 DÂY</t>
  </si>
  <si>
    <t>V51.00A.015</t>
  </si>
  <si>
    <t>PP BREAD CART 0,5M X 1,1M</t>
  </si>
  <si>
    <t>PP DÁN XE BÁNH MÌ 0,5M X 1,1M</t>
  </si>
  <si>
    <t>7.5239977990501</t>
  </si>
  <si>
    <t>GREEN KEY 111-25</t>
  </si>
  <si>
    <t>BỘT MÌ CHUYÊN DỤNG CHÌA KHÓA XANH LÁ -111 (25KG)</t>
  </si>
  <si>
    <t>7.E38017899850132</t>
  </si>
  <si>
    <t>MF UHT FULL CREAM PURE MILK 1LX12</t>
  </si>
  <si>
    <t>SỮA TƯƠI TIỆT TRÙNG NGUYÊN KEM NHÃN HIỆU MEADOW FRESH 1LX12</t>
  </si>
  <si>
    <t>HO1TD010900</t>
  </si>
  <si>
    <t>7.E3801789985013201</t>
  </si>
  <si>
    <t>MF UHT FULL CREAM PURE MILK 1L</t>
  </si>
  <si>
    <t>SỮA TƯƠI TIỆT TRÙNG NGUYÊN KEM NHÃN HIỆU MEADOW FRESH 1L</t>
  </si>
  <si>
    <t>7.E38017899850133</t>
  </si>
  <si>
    <t>MF UHT SKIMMED PURE MILK 1LX12</t>
  </si>
  <si>
    <t>7.E3801789985013301</t>
  </si>
  <si>
    <t>MF UHT SKIMMED PURE MILK 1L</t>
  </si>
  <si>
    <t>SỮA TƯƠI TIỆT TRÙNG TÁCH BÉO NHÃN HIỆU MEADOW FRESH 1L</t>
  </si>
  <si>
    <t>HO2TD010900</t>
  </si>
  <si>
    <t>7.E38017899850135</t>
  </si>
  <si>
    <t>MF UHT LOW FAT PURE MILK 1LX12</t>
  </si>
  <si>
    <t>SỮA TƯƠI TIỆT TRÙNG ÍT BÉO NHÃN HIỆU MEADOW FRESH 1LX12</t>
  </si>
  <si>
    <t>7.E3801789985013501</t>
  </si>
  <si>
    <t>MF UHT LOW FAT PURE MILK 1L</t>
  </si>
  <si>
    <t>SỮA TƯƠI TIỆT TRÙNG ÍT BÉO NHÃN HIỆU MEADOW FRESH 1L</t>
  </si>
  <si>
    <t>7.E38017899850138</t>
  </si>
  <si>
    <t>MF UHT CALCI MAX MILK 1LX12</t>
  </si>
  <si>
    <t>7.E3801789985013801</t>
  </si>
  <si>
    <t>MF UHT CALCI MAX MILK 1L</t>
  </si>
  <si>
    <t>SỮA TƯƠI TIỆT TRÙNG GIÀU CANXI ÍT BÉO NHÃN HIỆU MEADOW FRESH 1L</t>
  </si>
  <si>
    <t>7.E38017899130138</t>
  </si>
  <si>
    <t>MF UHT CALCI MAX MILK 200MLX3X8</t>
  </si>
  <si>
    <t>SỮA TƯƠI TIỆT TRÙNG GIÀU CANXI ÍT BÉO NHÃN HIỆU MEADOW FRESH 200MLX3X8</t>
  </si>
  <si>
    <t>7.E3801789913013801</t>
  </si>
  <si>
    <t>MF UHT CALCI MAX MILK 200ML</t>
  </si>
  <si>
    <t>SỮA TƯƠI TIỆT TRÙNG GIÀU CANXI ÍT BÉO NHÃN HIỆU MEADOW FRESH 200ML</t>
  </si>
  <si>
    <t>7.E38017899130132</t>
  </si>
  <si>
    <t>MF UHT FULL CREAM PURE MILK 200MLX3X8</t>
  </si>
  <si>
    <t>SỮA TƯƠI TIỆT TRÙNG NGUYÊN KEM NHÃN HIỆU MEADOW FRESH 200MLX3X8</t>
  </si>
  <si>
    <t>7.E3801789913013201</t>
  </si>
  <si>
    <t>MF UHT FULL CREAM PURE MILK 200ML</t>
  </si>
  <si>
    <t>SỮA TƯƠI TIỆT TRÙNG NGUYÊN KEM NHÃN HIỆU MEADOW FRESH 200ML</t>
  </si>
  <si>
    <t>7.E38017899130135</t>
  </si>
  <si>
    <t>MF UHT LOW FAT PURE MILK 200MLX3X8</t>
  </si>
  <si>
    <t>SỮA TƯƠI TIỆT TRÙNG ÍT BÉO NHÃN HIỆU MEADOW FRESH 200MLX3X8</t>
  </si>
  <si>
    <t>7.E3801789913013501</t>
  </si>
  <si>
    <t>MF UHT LOW FAT PURE MILK 200ML</t>
  </si>
  <si>
    <t>SỮA TƯƠI TIỆT TRÙNG ÍT BÉO NHÃN HIỆU MEADOW FRESH 200ML</t>
  </si>
  <si>
    <t>7.E38017899130136</t>
  </si>
  <si>
    <t>MF UHT STRAWBERRY FLAVOUR MILK 200MLX3X8</t>
  </si>
  <si>
    <t>SỮA TIỆT TRÙNG HƯƠNG DÂU NHÃN HIỆU MEADOW FRESH 200MLX3X8</t>
  </si>
  <si>
    <t>7.E3801789913013601</t>
  </si>
  <si>
    <t>MF UHT STRAWBERRY FLAVOUR MILK 200ML</t>
  </si>
  <si>
    <t>SỮA TIỆT TRÙNG HƯƠNG DÂU NHÃN HIỆU MEADOW FRESH 200ML</t>
  </si>
  <si>
    <t>7.E38017899130137</t>
  </si>
  <si>
    <t>MF UHT CHOCOCHOC FLAVOUR MILK 200MLX3X8</t>
  </si>
  <si>
    <t>SỮA TIỆT TRÙNG HƯƠNG SÔ-CÔ-LA NHÃN HIỆU MEADOW FRESH 200MLX3X8</t>
  </si>
  <si>
    <t>7.E3801789913013701</t>
  </si>
  <si>
    <t>MF UHT CHOCOCHOC FLAVOUR MILK 200ML</t>
  </si>
  <si>
    <t>SỮA TIỆT TRÙNG HƯƠNG SÔ-CÔ-LA NHÃN HIỆU MEADOW FRESH 200ML</t>
  </si>
  <si>
    <t>7.5239934990501</t>
  </si>
  <si>
    <t>ACE-25</t>
  </si>
  <si>
    <t>BỘT MÌ ACE (25KG)</t>
  </si>
  <si>
    <t>7.B24032399860199</t>
  </si>
  <si>
    <t>OYSTER SAUCE 270G X 24 BOT</t>
  </si>
  <si>
    <t>7.B2403239986019901</t>
  </si>
  <si>
    <t>OYSTER SAUCE 270G</t>
  </si>
  <si>
    <t>DẦU HÀO 270G</t>
  </si>
  <si>
    <t>V51.00A.016</t>
  </si>
  <si>
    <t>PLASTIC STRING 2,2 X 55 CM</t>
  </si>
  <si>
    <t>DÂY NHỰA 2,2 X 55 CM</t>
  </si>
  <si>
    <t>V51.000.066</t>
  </si>
  <si>
    <t>WILMAR TROPHY 310X150X130MM</t>
  </si>
  <si>
    <t>CÚP WILMAR 310X150X130MM</t>
  </si>
  <si>
    <t>V51.000.067</t>
  </si>
  <si>
    <t>WILMAR TROPHY 275X135X115MM</t>
  </si>
  <si>
    <t>CÚP WILMAR 275X135X115MM</t>
  </si>
  <si>
    <t>V51.000.068</t>
  </si>
  <si>
    <t>WILMAR TROPHY 235X115X95MM</t>
  </si>
  <si>
    <t>CÚP WILMAR 235X115X95MM</t>
  </si>
  <si>
    <t>V51.000.069</t>
  </si>
  <si>
    <t>WILMAR SJC 999 GOLD LOGO FOR 25 YEAR</t>
  </si>
  <si>
    <t>VÀNG SJC LOGO WILMAR 25 NĂM</t>
  </si>
  <si>
    <t>V78.000.015</t>
  </si>
  <si>
    <t>BLUE T-SHIRT WILMAR CLV</t>
  </si>
  <si>
    <t>ÁO PHÔNG XANH WILMAR CLV</t>
  </si>
  <si>
    <t>V15.000.010</t>
  </si>
  <si>
    <t>APPLE MACBOOK AIR 2019 - MVFM2SA/A</t>
  </si>
  <si>
    <t>V15.000.011</t>
  </si>
  <si>
    <t>SAMSUNG GALAXY NOTE 10 256GB - SM-N970</t>
  </si>
  <si>
    <t>ĐIỆN THOẠI SAMSUNG GALAXY NOTE 10 256GB - SM-N970</t>
  </si>
  <si>
    <t>V15.000.012</t>
  </si>
  <si>
    <t>IPAD AIR WIFI 64GB NEW 2019</t>
  </si>
  <si>
    <t>V15.000.013</t>
  </si>
  <si>
    <t>SAMSUNG GALAXY WATCH ACTIVE - SM-R500</t>
  </si>
  <si>
    <t>ĐỒNG HỒ THÔNG MINH SAMSUNG GALAXY WATCH ACTIVE - SM-R500</t>
  </si>
  <si>
    <t>V34.000.003</t>
  </si>
  <si>
    <t>BLUE CAP WILMAR CLV</t>
  </si>
  <si>
    <t>NÓN LƯỠI TRAI XANH WILMAR CLV</t>
  </si>
  <si>
    <t>7.70538</t>
  </si>
  <si>
    <t xml:space="preserve">HYDROGERATED COCONUT OIL </t>
  </si>
  <si>
    <t>V51.102.022</t>
  </si>
  <si>
    <t>DISHWASHING LIQUID POWER100 LEMON 1,5KG</t>
  </si>
  <si>
    <t>V51.102.021</t>
  </si>
  <si>
    <t>DISHWASHING LIQUID POWER100 LEMON 400G</t>
  </si>
  <si>
    <t>NƯỚC RỬA CHÉN POWER100 HƯƠNG CHANH LOẠI 400G</t>
  </si>
  <si>
    <t>V78.000.016</t>
  </si>
  <si>
    <t>MEN'S TROUSERS</t>
  </si>
  <si>
    <t>QUẦN TÂY NAM</t>
  </si>
  <si>
    <t>V78.000.017</t>
  </si>
  <si>
    <t>WOMEN'S TROUSERS</t>
  </si>
  <si>
    <t>QUẦN TÂY NỮ</t>
  </si>
  <si>
    <t>7.5239979990501</t>
  </si>
  <si>
    <t>RED SATELLITE-25</t>
  </si>
  <si>
    <t>BỘT MÌ THƯỢNG HẠNG VỆ TINH ĐỎ (25KG)</t>
  </si>
  <si>
    <t>7.5239979990535</t>
  </si>
  <si>
    <t>RED SATELLITE-25-HUU NGHI</t>
  </si>
  <si>
    <t>7.5239979990518</t>
  </si>
  <si>
    <t>RED SATELLITE-25-KINH DO</t>
  </si>
  <si>
    <t>7.C35015599541227</t>
  </si>
  <si>
    <t>DISHWASHING LIQUID POWER100 LEMON, 1,5 KG X 8 JRG IN CARTON, EXPORT TO LAOS</t>
  </si>
  <si>
    <t>NƯỚC RỬA CHÉN POWER100 HƯƠNG CHANH, LOẠI 1,5 KG X 8 CAN TRONG THÙNG CARTON, XK LÀO</t>
  </si>
  <si>
    <t>7.C3501559954122701</t>
  </si>
  <si>
    <t>NƯỚC RỬA CHÉN POWER100 HƯƠNG CHANH, LOẠI 1,5 KG, XK LÀO</t>
  </si>
  <si>
    <t>DISHWASHING LIQUID POWER100 LEMON, 1,5 KG, EXPORT TO LAOS</t>
  </si>
  <si>
    <t>7.C35015599490139</t>
  </si>
  <si>
    <t>FLOOR CLEANER POWER100 NATURAL FLOWER, 3,8 KG X 4 JRG IN CARTON</t>
  </si>
  <si>
    <t>NƯỚC LAU SÀN POWER100 HƯƠNG HOA THIÊN NHIÊN, LOẠI 3,8KG X 4 CAN TRONG THÙNG CARTON</t>
  </si>
  <si>
    <t>7.C3501559949013901</t>
  </si>
  <si>
    <t>FLOOR CLEANER POWER100 NATURAL FLOWER, 3,8 KG</t>
  </si>
  <si>
    <t>NƯỚC LAU SÀN POWER100 HƯƠNG HOA THIÊN NHIÊN, LOẠI 3,8KG</t>
  </si>
  <si>
    <t>7.C35015599490140</t>
  </si>
  <si>
    <t>FLOOR CLEANER POWER100 LEMONGRASS, 3,8 KG X 4 JRG IN CARTON</t>
  </si>
  <si>
    <t>NƯỚC LAU SÀN POWER100 HƯƠNG CHANH SẢ, LOẠI 3,8KG X 4 CAN TRONG THÙNG CARTON</t>
  </si>
  <si>
    <t>7.C3501559949014001</t>
  </si>
  <si>
    <t>FLOOR CLEANER POWER100 LEMONGRASS, 3,8 KG</t>
  </si>
  <si>
    <t>NƯỚC LAU SÀN POWER100 HƯƠNG CHANH SẢ, LOẠI 3,8KG</t>
  </si>
  <si>
    <t>7.131078031705E10TD</t>
  </si>
  <si>
    <t>V51.000.070</t>
  </si>
  <si>
    <t>GIFT</t>
  </si>
  <si>
    <t>GIỎ QUÀ TẶNG</t>
  </si>
  <si>
    <t>V78.000.030</t>
  </si>
  <si>
    <t>SPORTS CLOTHING</t>
  </si>
  <si>
    <t>QUẦN ÁO THỂ THAO</t>
  </si>
  <si>
    <t>V78.000.031</t>
  </si>
  <si>
    <t>T-SHIRT</t>
  </si>
  <si>
    <t>ÁO THUN</t>
  </si>
  <si>
    <t>V78.000.032</t>
  </si>
  <si>
    <t>FEMALE TROUSSER</t>
  </si>
  <si>
    <t>QUẦN NỮ</t>
  </si>
  <si>
    <t>V78.000.033</t>
  </si>
  <si>
    <t>SHOES</t>
  </si>
  <si>
    <t>GIẦY</t>
  </si>
  <si>
    <t>V78.000.034</t>
  </si>
  <si>
    <t>FOOTBALL SHOES</t>
  </si>
  <si>
    <t>GIẦY BÓNG ĐÁ</t>
  </si>
  <si>
    <t>V51.000.071</t>
  </si>
  <si>
    <t>SPORTS GLOVES</t>
  </si>
  <si>
    <t>GĂNG TAY THỂ THAO</t>
  </si>
  <si>
    <t>7.52399109930A0</t>
  </si>
  <si>
    <t>SAMPLE 3KG</t>
  </si>
  <si>
    <t>HÀNG MẪU 3KG</t>
  </si>
  <si>
    <t>7.B24012399870110</t>
  </si>
  <si>
    <t>GARLIC CHILI SOY SAUCE 310G X 24 BOT/CAR</t>
  </si>
  <si>
    <t>7.B2401239987011001</t>
  </si>
  <si>
    <t>GARLIC CHILI SOY SAUCE 310G</t>
  </si>
  <si>
    <t>NƯỚC TƯƠNG TỎI ỚT TƯƠI 310G</t>
  </si>
  <si>
    <t>7.523991748050141</t>
  </si>
  <si>
    <t>RED SATELLITE - LOW ASH (25KG)</t>
  </si>
  <si>
    <t>BỘT MÌ HIỆU VỆ TINH ĐỎ - ĐỘ TRO THẤP (25KG)</t>
  </si>
  <si>
    <t>7.523991748060141</t>
  </si>
  <si>
    <t>RED SATELLITE - LOW ASH (40KG)</t>
  </si>
  <si>
    <t>BỘT MÌ HIỆU VỆ TINH ĐỎ - ĐỘ TRO THẤP (40KG)</t>
  </si>
  <si>
    <t>7.70539</t>
  </si>
  <si>
    <t>CAPRYLIC CAPRIC ACID C810, DRUM 180KGS</t>
  </si>
  <si>
    <t>HỖN HỢP AXIT BÉO CAPRYLIC CAPRIC ACID C810, PHUY 180KG</t>
  </si>
  <si>
    <t>7.B24022399880199</t>
  </si>
  <si>
    <t>CHILI SAUCE 470G X 24 BOT/CAR</t>
  </si>
  <si>
    <t>TƯƠNG ỚT 470G X 24 CHAI/THÙNG</t>
  </si>
  <si>
    <t>V51.000.072</t>
  </si>
  <si>
    <t>GIFT CARD 10.000.000 VNĐ</t>
  </si>
  <si>
    <t>THẺ QUÀ TẶNG 10.000.000 VNĐ</t>
  </si>
  <si>
    <t>V51.000.073</t>
  </si>
  <si>
    <t>GIFT CARD 5.000.000 VNĐ</t>
  </si>
  <si>
    <t>THẺ QUÀ TẶNG 5.000.000 VNĐ</t>
  </si>
  <si>
    <t>6.457224C</t>
  </si>
  <si>
    <t>DOUBLE DEWAXING RBD CANOLA OIL IV105-126</t>
  </si>
  <si>
    <t>DẦU HẠT CẢI TINH LUYỆN TRONG XE BỒN</t>
  </si>
  <si>
    <t>7.B2508549944920504</t>
  </si>
  <si>
    <t xml:space="preserve">PORK BOUILLON GRANULE 850G X 10 PACK ON PACK 10 BOT NAM DUONG CONDENSED SOY SAUCE 280ML </t>
  </si>
  <si>
    <t>THỰC PHẨM BỔ SUNG HẠT NÊM 4 TRONG 1 - VỊ HEO 850G X 10 GÓI ĐÓNG KÈM 10 CHAI THỰC PHẨM BỔ SUNG NƯỚC TƯƠNG NAM DƯƠNG ĐẬM ĐẶC 280ML</t>
  </si>
  <si>
    <t>7.B250854994492050401</t>
  </si>
  <si>
    <t>PORK BOUILLON GRANULE 850G ON PACK 1 BOT NAM DUONG CONDENSED SOY SAUCE 280ML</t>
  </si>
  <si>
    <t>THỰC PHẨM BỔ SUNG HẠT NÊM 4 TRONG 1 - VỊ HEO 850G ĐÓNG KÈM 01 CHAI THỰC PHẨM BỔ SUNG NƯỚC TƯƠNG NAM DƯƠNG ĐẬM ĐẶC 280ML</t>
  </si>
  <si>
    <t>7.B2401239968011001TD</t>
  </si>
  <si>
    <t>7.B2402239918013101TD</t>
  </si>
  <si>
    <t>SUPER TASTY CHILI SAUCE 250G</t>
  </si>
  <si>
    <t>V51.00A.017</t>
  </si>
  <si>
    <t>X BANNER STANDEE FOR HORECA EGG NOODLE 60X160 CM</t>
  </si>
  <si>
    <t>STANDEE CHÂN ĐỨNG CHỮ X MÌ TRỨNG CHO HORECA 60X160 CM</t>
  </si>
  <si>
    <t>7.5239977990514</t>
  </si>
  <si>
    <t>GREEN KEY 111-25-BISCAFUN</t>
  </si>
  <si>
    <t>7.5239977990544</t>
  </si>
  <si>
    <t>GREEN KEY 111-25-HAI CHAU</t>
  </si>
  <si>
    <t>7.5239977990596</t>
  </si>
  <si>
    <t>GREEN KEY 111-25-SANTA</t>
  </si>
  <si>
    <t>7.5239977990542</t>
  </si>
  <si>
    <t>GREEN KEY 111-25-TRANG AN</t>
  </si>
  <si>
    <t>V51.600.051</t>
  </si>
  <si>
    <t>ONPACK PROMOTION DANGLER SIMPLY, NEPTUNE</t>
  </si>
  <si>
    <t>TẤM QUẢNG CÁO TREO TRẦN SIMPLY, NEPTUNE</t>
  </si>
  <si>
    <t>V56.000.003</t>
  </si>
  <si>
    <t>DESKTOP LNV THINKCENTER M720S: INTEL CORE I3-8100, RAM 8GB, HDD 500GB, KEYBOARD, MOUSE, POWER SUPPLY, W10P6(10SUS0QH0N)</t>
  </si>
  <si>
    <t>MÁY TÍNH ĐỂ BÀN LNV THINKCENTER M720S: INTEL CORE I3-8100, RAM 8GB, HDD 500GB, KEYBOARD, MOUSE, POWER SUPPLY, W10P6(10SUS0QH0N)</t>
  </si>
  <si>
    <t>V56.000.004</t>
  </si>
  <si>
    <t>MONITOR LCD LENOVO T2054P-19.5" (VGA+HDMI+DP)</t>
  </si>
  <si>
    <t>MÀN HÌNH LCD LENOVO T2054P-19.5" MONITOR (VGA+HDMI+DP)</t>
  </si>
  <si>
    <t>V56.000.005</t>
  </si>
  <si>
    <t>MOBILE MOUSE RAPOO-M200-SILENT</t>
  </si>
  <si>
    <t>CHUỘT KHÔNG DÂY RAPOO-M200-SILENT</t>
  </si>
  <si>
    <t>V56.000.006</t>
  </si>
  <si>
    <t>LAPTOP LNV THINKPAD L490 INTEL CORE I5-8265U (1.6GHZ, 6MB), 14.0", RAM 8GB, SSD 512GB, ADAPTER, W10P6 (20Q6S2MM00)</t>
  </si>
  <si>
    <t>MÁY TÍNH XÁCH TAY LNV THINKPAD L490 INTEL CORE I5-8265U (1.6GHZ, 6MB), 14.0", RAM 8GB, SSD 512GB, ADAPTER, W10P6 (20Q6S2MM00)</t>
  </si>
  <si>
    <t>V56.000.007</t>
  </si>
  <si>
    <t>LAPTOP LNV THINKPAD X390 INTEL CORE I5-8265U, 13.3", RAM 8GB, 512GB SSD, ADAPTER, W10P6 (20Q1S49W01)</t>
  </si>
  <si>
    <t>MÁY TÍNH XÁCH TAY LNV THINKPAD X390 INTEL CORE I5-8265U, 13.3", RAM 8GB, 512GB SSD, ADAPTER, W10P6 (20Q1S49W01)</t>
  </si>
  <si>
    <t>7.B2402239967A199</t>
  </si>
  <si>
    <t>MR THINH CHILI SAUCE 10G X 1200 PAC/CAR</t>
  </si>
  <si>
    <t>TƯƠNG ỚT MR THỊNH 10G X 1200 GÓI</t>
  </si>
  <si>
    <t>7.B2402239967A19901</t>
  </si>
  <si>
    <t>MR THINH CHILI SAUCE 10G</t>
  </si>
  <si>
    <t>TƯƠNG ỚT MR THỊNH 10G</t>
  </si>
  <si>
    <t>7.B2407239967A116</t>
  </si>
  <si>
    <t>MR THINH TOMATO SAUCE 10G X 1200 PAC/CAR</t>
  </si>
  <si>
    <t>TƯƠNG CÀ MR THỊNH 10G X 1200 GÓI</t>
  </si>
  <si>
    <t>7.B2407239967A11601</t>
  </si>
  <si>
    <t xml:space="preserve">MR THINH TOMATO SAUCE 10G </t>
  </si>
  <si>
    <t>TƯƠNG CÀ MR THỊNH 10G</t>
  </si>
  <si>
    <t>7.523990899030101</t>
  </si>
  <si>
    <t>MEIZAN-5KG</t>
  </si>
  <si>
    <t>BỘT MÌ NHÃN HIỆU "MEIZAN" 5KG</t>
  </si>
  <si>
    <t>V39.015.704</t>
  </si>
  <si>
    <t>MEIZAN GOLD APRON</t>
  </si>
  <si>
    <t>TẠP DỀ MEIZAN GOLD</t>
  </si>
  <si>
    <t>V51.00A.018</t>
  </si>
  <si>
    <t>WINDOW FRAME 01</t>
  </si>
  <si>
    <t>KHUNG TRƯNG BÀY SẢN PHẨM - CƠ CẤU 1</t>
  </si>
  <si>
    <t>V51.00A.019</t>
  </si>
  <si>
    <t>WINDOW FRAME 02</t>
  </si>
  <si>
    <t>KHUNG TRƯNG BÀY SẢN PHẨM - CƠ CẤU 2</t>
  </si>
  <si>
    <t>V51.00A.020</t>
  </si>
  <si>
    <t>WINDOW FRAME 03-04</t>
  </si>
  <si>
    <t>KHUNG TRƯNG BÀY SẢN PHẨM - CƠ CẤU 3 VÀ 4</t>
  </si>
  <si>
    <t>7.C35015599030127</t>
  </si>
  <si>
    <t>DISHWASHING LIQUID POWER100 LEMON FOR HORECA, 5 KG X 4 JRG IN CARTON</t>
  </si>
  <si>
    <t>NƯỚC RỬA CHÉN POWER100 HƯƠNG CHANH HORECA, LOẠI 5KG X 4 CAN TRONG THÙNG CARTON</t>
  </si>
  <si>
    <t>7.C3501559903012701</t>
  </si>
  <si>
    <t>DISHWASHING LIQUID POWER100 LEMON FOR HORECA, 5 KG</t>
  </si>
  <si>
    <t>NƯỚC RỬA CHÉN POWER100 HƯƠNG CHANH HORECA, LOẠI 5KG</t>
  </si>
  <si>
    <t>7.70540</t>
  </si>
  <si>
    <t>ETHYLENE BIS STEARAMIDE SUNLUBE EBS DA</t>
  </si>
  <si>
    <t>ETHYLENE BIS STEARAMIDE SUNLUBE EBS DA-SÁP NHÂN TẠO DẠNG BỘT; BAO 25KG</t>
  </si>
  <si>
    <t>V51.049.010</t>
  </si>
  <si>
    <t>7.5239905990101</t>
  </si>
  <si>
    <t>COMPASS-0.5KG*20 (10KG)</t>
  </si>
  <si>
    <t>BỘT MÌ ĐA DỤNG LA BÀN (0.5KG*20 GÓI/BAO)</t>
  </si>
  <si>
    <t>7.5239905990201</t>
  </si>
  <si>
    <t>COMPASS-1KG*10 (10KG)</t>
  </si>
  <si>
    <t>BỘT MÌ ĐA DỤNG LA BÀN (1KG*10 GÓI/BAO)</t>
  </si>
  <si>
    <t>7.523990599010101</t>
  </si>
  <si>
    <t>COMPASS-0.5KG</t>
  </si>
  <si>
    <t>BỘT MÌ ĐA DỤNG LA BÀN (0.5KG)</t>
  </si>
  <si>
    <t>7.523990599020101</t>
  </si>
  <si>
    <t>COMPASS-1KG</t>
  </si>
  <si>
    <t>BỘT MÌ ĐA DỤNG LA BÀN (1KG)</t>
  </si>
  <si>
    <t>V51.047.016</t>
  </si>
  <si>
    <t>7.D37011099020124</t>
  </si>
  <si>
    <t>WHITE COMPOUND SLW-38022X-109CI, BLOCK (1KG X 30 PCS), 30KG</t>
  </si>
  <si>
    <t>NGUYÊN LIỆU THỰC PHẨM SÔ-CÔ-LA TRẮNG SLW-38022X (1KG X 30), 30KG/THÙNG</t>
  </si>
  <si>
    <t>V51.048.015</t>
  </si>
  <si>
    <t>TASTE NORTH SOY SAUCE 1.96L</t>
  </si>
  <si>
    <t>V39.000.050</t>
  </si>
  <si>
    <t>T-SHIRT MEIZAN SBO</t>
  </si>
  <si>
    <t>V51.048.014</t>
  </si>
  <si>
    <t>PREMIUM SOY SAUCE 95ML</t>
  </si>
  <si>
    <t>V39.00A.002</t>
  </si>
  <si>
    <t>APRON WITH BRONZE DRUM PATTERN</t>
  </si>
  <si>
    <t>TẠP DỀ VỚI HỌA TIẾT TRỐNG ĐỒNG</t>
  </si>
  <si>
    <t>7.1060120830609010</t>
  </si>
  <si>
    <t>MEIZAN SHORTENING 33 IN BIB@18KG</t>
  </si>
  <si>
    <t>SHORTENING 33 NHÃN HIỆU MEIZAN</t>
  </si>
  <si>
    <t>7.A319908997701</t>
  </si>
  <si>
    <t>MEIZAN CRISPY FRYING MIX 150G X 60 BAG</t>
  </si>
  <si>
    <t>7.A31990899770117</t>
  </si>
  <si>
    <t>MEIZAN SEASONED CRISPY FRYING MIX 150G X 60 BAG</t>
  </si>
  <si>
    <t>7.A320108997901</t>
  </si>
  <si>
    <t>MEIZAN PREMIUM EGG NOODLE 500G X 12 BAG</t>
  </si>
  <si>
    <t>7.A33020899890118</t>
  </si>
  <si>
    <t>MEIZAN PREMIUM MACARONI - SPIRAL 300G X 12 PACK</t>
  </si>
  <si>
    <t>7.A33030899460119</t>
  </si>
  <si>
    <t>MEIZAN PREMIUM RICE MACARONI 200G - ELBOW X 24 BAG</t>
  </si>
  <si>
    <t>7.A320108999101</t>
  </si>
  <si>
    <t>MEIZAN PREMIUM EGG NOODLE 250G X 24 BAG</t>
  </si>
  <si>
    <t>7.A330208994601</t>
  </si>
  <si>
    <t>MEIZAN PREMIUM MACARONI 400G X 12 BAG</t>
  </si>
  <si>
    <t>7.A330208999001</t>
  </si>
  <si>
    <t>MEIZAN PREMIUM MACARONI 200G X 24 BAG</t>
  </si>
  <si>
    <t>7.A33020899460119</t>
  </si>
  <si>
    <t>MEIZAN PREMIUM MACARONI - ELBOW 400G X 12 BAG</t>
  </si>
  <si>
    <t>7.A33020899900119</t>
  </si>
  <si>
    <t>MEIZAN PREMIUM MACARONI - ELBOW 200G X 24 BAG</t>
  </si>
  <si>
    <t>7.70541</t>
  </si>
  <si>
    <t>GENAGEN CAB 0200, DRUM 200KGS</t>
  </si>
  <si>
    <t>CHẤT HOẠT ĐỘNG BỀ MẶT GENAGEN CAB 0200, PHUY 200KG</t>
  </si>
  <si>
    <t>7.70542</t>
  </si>
  <si>
    <t>CASTOR OIL FIRST SPECIAL GRADE, DRUM 200KGS</t>
  </si>
  <si>
    <t>DẦU THẦU DẦU LOẠI ĐẶC BIỆT - CASTOR OIL FIRST SPECIAL GRADE, PHUY 200KG</t>
  </si>
  <si>
    <t>V51.000.074</t>
  </si>
  <si>
    <t>RED WINE - BSP R7 NERO DAVOLA 75CL+LY-19</t>
  </si>
  <si>
    <t>RƯỢU VANG ĐỎ - BSP R7 NERO DAVOLA 75CL+LY-19</t>
  </si>
  <si>
    <t>V51.000.075</t>
  </si>
  <si>
    <t>PRODUCTS BROCHURE</t>
  </si>
  <si>
    <t>V51.000.076</t>
  </si>
  <si>
    <t>DANGLER POWER100</t>
  </si>
  <si>
    <t>TẤM QUẢNG CÁO TREO TRẦN POWER100</t>
  </si>
  <si>
    <t>V39.000.051</t>
  </si>
  <si>
    <t>SHELF TALKER POWER100</t>
  </si>
  <si>
    <t>KHAY QUẢNG CÁO L POWER100</t>
  </si>
  <si>
    <t>V39.000.052</t>
  </si>
  <si>
    <t>RAINCOAT POWER100</t>
  </si>
  <si>
    <t>ÁO MƯA POWER100</t>
  </si>
  <si>
    <t>7.1110000207008010TD</t>
  </si>
  <si>
    <t>REFINED HYDROGENATED PALM KERNEL OLEIN (BESSCOTE 3840)</t>
  </si>
  <si>
    <t>DẦU OLEIN NHÂN CỌ HYDRO HÓA, TINH LUYỆN NHÃN HIỆU BESSCOTE 3840 TRONG THÙNG CARTON 20KG</t>
  </si>
  <si>
    <t>7.70543</t>
  </si>
  <si>
    <t>WILFARIN CC-0810 (CAPRYLIC/CAPRIC ACID/MCFA/MEDIUM CHAIN FATTY ACID), DRUM 180KGS</t>
  </si>
  <si>
    <t>HỖN HỢP AXIT BÉO MẠCH NGẮN WILFARIN CC-0810 (CAPRYLIC/CAPRIC ACID/MCFA/MEDIUM CHAIN FATTY ACID), PHUY 180KGS</t>
  </si>
  <si>
    <t>7.70544</t>
  </si>
  <si>
    <t>DISTILLED TOPPED PALM KERNEL FATTY ACID (DK1218)/ RSPO MB, 850KG IBC TANK</t>
  </si>
  <si>
    <t>AXÍT BÉO TỪ NHÂN CỌ ĐÃ QUA TINH CHẾ DISTILLED TOPPED PALM KERNEL FATTY ACID (DK1218)/RSPO MB, IBC TANK 850KG</t>
  </si>
  <si>
    <t>V51.000.077</t>
  </si>
  <si>
    <t>MEDICAL FACE MASK 4 LAYERS (50PCS/BOX)</t>
  </si>
  <si>
    <t>KHẨU TRANG Y TẾ 4 LỚP (50 CHIẾC/HỘP)</t>
  </si>
  <si>
    <t>V51.000.078</t>
  </si>
  <si>
    <t>DRY HAND WASH (90ML)</t>
  </si>
  <si>
    <t>NƯỚC RỬA TAY KHÔ (90ML)</t>
  </si>
  <si>
    <t>V39.00A.003</t>
  </si>
  <si>
    <t>RAINCOAT A</t>
  </si>
  <si>
    <t>ÁO MƯA CHỮ A</t>
  </si>
  <si>
    <t>V51.00A.021</t>
  </si>
  <si>
    <t>CHILLI SAUCE DISPLAY SHELF</t>
  </si>
  <si>
    <t>KỆ CARTON ĐỰNG TƯƠNG ỚT</t>
  </si>
  <si>
    <t>V56.000.008</t>
  </si>
  <si>
    <t>CABLE HDMI UGREEN 1.5M 10128</t>
  </si>
  <si>
    <t>CÁP HDMI 1.5M UGREEN 10128</t>
  </si>
  <si>
    <t>V56.000.009</t>
  </si>
  <si>
    <t xml:space="preserve">CABLE HDMI TO VGA </t>
  </si>
  <si>
    <t>CÁP HDMI TO VGA</t>
  </si>
  <si>
    <t>V56.000.010</t>
  </si>
  <si>
    <t>MOUSE LOGITECH M105 NON WIRELESS</t>
  </si>
  <si>
    <t>CHUỘT LOGITECH M105 CÓ DÂY</t>
  </si>
  <si>
    <t>V56.000.011</t>
  </si>
  <si>
    <t>CABLE RS232 TO RJ45 1.2M</t>
  </si>
  <si>
    <t>DÂY CHUYỂN ĐỔI RS232 TO RJ45 1.2M</t>
  </si>
  <si>
    <t>V56.000.012</t>
  </si>
  <si>
    <t>CABLE E67USB -&gt; COM 9 + COM 25 UNITEK Y 105A</t>
  </si>
  <si>
    <t>DÂY USB -&gt; COM 9 + COM 25 UNITEK Y 105A</t>
  </si>
  <si>
    <t>V15.000.014</t>
  </si>
  <si>
    <t>IP PHONE PANASONIC KX-HDV130</t>
  </si>
  <si>
    <t>ĐIỆN THOẠI IP PHONE PANASONIC KX-HDV130</t>
  </si>
  <si>
    <t>V10.000.003</t>
  </si>
  <si>
    <t>DOCKING ORICO 6619US3</t>
  </si>
  <si>
    <t>DOCK ĐỌC Ổ CỨNG ORICO 6619US3</t>
  </si>
  <si>
    <t>V56.000.013</t>
  </si>
  <si>
    <t>NODE AMP RJ45 100 UNIT</t>
  </si>
  <si>
    <t>HỘP ĐẦU MẠNG AMP RJ45</t>
  </si>
  <si>
    <t>V56.000.014</t>
  </si>
  <si>
    <t>BOX FOR NETWORK TESTING CT-168 AZONE</t>
  </si>
  <si>
    <t>HỘP TEST CÁP MẠNG CT-168 AZONE</t>
  </si>
  <si>
    <t>V56.000.015</t>
  </si>
  <si>
    <t>NETWORK NIPPERS GOLDENLINK</t>
  </si>
  <si>
    <t>KỀM BẤM MẠNG GOLDENLINK</t>
  </si>
  <si>
    <t>V56.000.016</t>
  </si>
  <si>
    <t>KEYBOARD DELL KB216B NON WIRELESS</t>
  </si>
  <si>
    <t>KEYBOARD DELL KB216B CÓ DÂY</t>
  </si>
  <si>
    <t>V56.000.017</t>
  </si>
  <si>
    <t>SSD 250GB SEAGATE 2.5INCH</t>
  </si>
  <si>
    <t>Ổ CỨNG SSD 250GB SEAGATE 2.5INCH</t>
  </si>
  <si>
    <t>V10.000.004</t>
  </si>
  <si>
    <t>ADAPTER LAPTOP LENOVO E470</t>
  </si>
  <si>
    <t>SẠC LAPTOP E470 ĐẦU VÀNG VUÔNG</t>
  </si>
  <si>
    <t>V56.000.018</t>
  </si>
  <si>
    <t>COMMSCOPE AMP CAT 5E UTP</t>
  </si>
  <si>
    <t>THÙNG CÁP MẠNG AMP CAT 5E UTP 300M</t>
  </si>
  <si>
    <t>V56.000.019</t>
  </si>
  <si>
    <t>USB 3.0 16GB KINGSTON DT100G3</t>
  </si>
  <si>
    <t>Ổ CỨNG DI ĐỘNG CỔNG USB 3.0 DUNG LƯỢNG 16GB HIỆU KINGSTON</t>
  </si>
  <si>
    <t>V51.000.079</t>
  </si>
  <si>
    <t>NOTEBOOK POWER100</t>
  </si>
  <si>
    <t>SỔ TAY POWER100</t>
  </si>
  <si>
    <t>V51.000.080</t>
  </si>
  <si>
    <t>HAND UMBRELLA POWER100</t>
  </si>
  <si>
    <t>DÙ CẦM TAY POWER100</t>
  </si>
  <si>
    <t>7.D3701109902012401</t>
  </si>
  <si>
    <t>WHITE COMPOUND SLW-38022X-109CI</t>
  </si>
  <si>
    <t>V51.046.019</t>
  </si>
  <si>
    <t>V51.000.081</t>
  </si>
  <si>
    <t>SHELF TALKER POWER100 (SHORT TYPE 40CM)</t>
  </si>
  <si>
    <t>KHAY SẮT QUẢNG CÁO L POWER100 (LOẠI NGẮN 40CM)</t>
  </si>
  <si>
    <t>V51.000.082</t>
  </si>
  <si>
    <t>SHELF TALKER POWER100 (LONG TYPE 80CM)</t>
  </si>
  <si>
    <t>KHAY SẮT QUẢNG CÁO L POWER100 (LOẠI DÀI 80CM)</t>
  </si>
  <si>
    <t>7.70545</t>
  </si>
  <si>
    <t xml:space="preserve">PALM WAX WILMAX 1200; IN CARTON 20KG </t>
  </si>
  <si>
    <t>SÁP CỌ WILMAX 1200, THÙNG 20KG</t>
  </si>
  <si>
    <t>7.70546</t>
  </si>
  <si>
    <t>STEARIC ACID (WILFARIN SA-1804); IN BAG 25KG</t>
  </si>
  <si>
    <t>7.70547</t>
  </si>
  <si>
    <t>STEARIC ACID  38% (WILFARIN SA1838); IN BAG 25KG</t>
  </si>
  <si>
    <t>7.70548</t>
  </si>
  <si>
    <t>SOAP NOODLE 80-20 (WILFARIN SN-8020); IN BAG 25KG</t>
  </si>
  <si>
    <t>6.70538</t>
  </si>
  <si>
    <t>REFINED GLYCERINE WILFARIN USP 99.7%; IN STEEL DRUM 250KG</t>
  </si>
  <si>
    <t>7.70549</t>
  </si>
  <si>
    <t>STEARIC ACID  65% (WILFARIN SA1865); IN BAG 25KG</t>
  </si>
  <si>
    <t>7.70550</t>
  </si>
  <si>
    <t>METHYL ESTER SULFONATE FLAKES (WILFAMES C16 FR); IN BAG 25KG</t>
  </si>
  <si>
    <t>7.70551</t>
  </si>
  <si>
    <t>FATTY ALCOHOL 1698; IN BAG 25KG</t>
  </si>
  <si>
    <t>RƯỢU CETYL 1698; BAO 25KG</t>
  </si>
  <si>
    <t>6.70539</t>
  </si>
  <si>
    <t>REFINED GLYCERINE 99.7% (USP GRADE); IN FLEXIBAG</t>
  </si>
  <si>
    <t>GLYXERIN- USP 99.7% (USP GRADE) ; TÚI FLEXIBAG</t>
  </si>
  <si>
    <t>6.70540</t>
  </si>
  <si>
    <t>YELLOW GLYCERINE; IN FLEXIBAG</t>
  </si>
  <si>
    <t>GLYXERIN MÀU VÀNG ; TÚI FLEXIBAG</t>
  </si>
  <si>
    <t>7.B24072399010116</t>
  </si>
  <si>
    <t>TOMATO SAUCE 500G X 12 BOT/CAR</t>
  </si>
  <si>
    <t>7.B2407239901011601</t>
  </si>
  <si>
    <t>TOMATO SAUCE 500G</t>
  </si>
  <si>
    <t>TƯƠNG CÀ 500G</t>
  </si>
  <si>
    <t>7.101071281805A60</t>
  </si>
  <si>
    <t>CAILAN ROL IV 56 1L X 12POUCH</t>
  </si>
  <si>
    <t>7.101071281800A60</t>
  </si>
  <si>
    <t>CAILAN ROL IV 56 IN POUCH @1L</t>
  </si>
  <si>
    <t>7.101089591200D60</t>
  </si>
  <si>
    <t>SATELLITE ROL-C IN JRG@ 25KG /RSPO MB</t>
  </si>
  <si>
    <t>DẦU OLEIN CỌ TINH LUYỆN - C NHÃN HIỆU SATELLITE (RSPO/MB) TRONG CAN NHỰA 25KG</t>
  </si>
  <si>
    <t>V39.000.053</t>
  </si>
  <si>
    <t>TULIP RUBBER GLOVES</t>
  </si>
  <si>
    <t>GĂNG TAY CAO SU TULIP</t>
  </si>
  <si>
    <t>V39.000.054</t>
  </si>
  <si>
    <t>MEADOW FRESH NECK T-SHIRT-BLUE</t>
  </si>
  <si>
    <t>ÁO THUN CÓ CỔ MEADOW FRESH-MÀU XANH</t>
  </si>
  <si>
    <t>V51.000.083</t>
  </si>
  <si>
    <t>MEADOW FRESH WOBBLER</t>
  </si>
  <si>
    <t>CON LẮC QUẢNG CÁO MEADOW FRESH</t>
  </si>
  <si>
    <t>7.B24106333810199</t>
  </si>
  <si>
    <t>MAYONNAISE SIMPLY FOR PROFESSIONAL CHEFS 2.5KG X 4 PAIL/CAR</t>
  </si>
  <si>
    <t>MAYONNAISE SIMPLY FOR PROFESSIONAL CHEFS 2.5KG X 4 XÔ/THÙNG</t>
  </si>
  <si>
    <t>7.B2410633381019901</t>
  </si>
  <si>
    <t>MAYONNAISE SIMPLY FOR PROFESSIONAL CHEFS 2.5KG</t>
  </si>
  <si>
    <t>7.70552</t>
  </si>
  <si>
    <t>ERCAWAX CS30 V/FD; IN BAG 20KG</t>
  </si>
  <si>
    <t>CHẤT HỮU CƠ HOẠT ĐỘNG BỀ MẶT DẠNG KHÔNG PHÂN LY ERCAWAX CS30 V/FD; BAO 20KG</t>
  </si>
  <si>
    <t>V39.000.055</t>
  </si>
  <si>
    <t>MEADOW FRESH NECK T-SHIR-WHITE</t>
  </si>
  <si>
    <t>ÁO THUN CÓ CỔ MEADOW FRESH-MÀU TRẮNG</t>
  </si>
  <si>
    <t>7.101000792200D30</t>
  </si>
  <si>
    <t>RBD PALM OLEIN FLEXIBLEBAG@20MT(TTP/LC1)</t>
  </si>
  <si>
    <t>DẦU OLEIN CỌ TINH LUYỆN TRONG TÚI FLEXIBAG (TTP/LC1)</t>
  </si>
  <si>
    <t>7.C3501559949A227</t>
  </si>
  <si>
    <t>DISHWASHING LIQUID POWER100 LEMON, 3,8KG X 4 JRG IN CARTON, MEGA MARKET</t>
  </si>
  <si>
    <t>NƯỚC RỬA CHÉN POWER100 HƯƠNG CHANH, LOẠI 3,8KG X 4 CAN TRONG THÙNG CARTON, MEGA MARKET</t>
  </si>
  <si>
    <t>7.C3501559949A22701</t>
  </si>
  <si>
    <t>DISHWASHING LIQUID POWER100 LEMON, 3,8KG, MEGA MARKET</t>
  </si>
  <si>
    <t>NƯỚC RỬA CHÉN POWER100 HƯƠNG CHANH, LOẠI 3,8KG, MEGA MARKET</t>
  </si>
  <si>
    <t>7.5239922990532</t>
  </si>
  <si>
    <t>BLUE COMPASS-25-ASIA</t>
  </si>
  <si>
    <t>BỘT MÌ THÔNG DỤNG LA BÀN XANH (25KG)</t>
  </si>
  <si>
    <t>V51.000.084</t>
  </si>
  <si>
    <t>ANTIBACTERIAL CLOTH MASK</t>
  </si>
  <si>
    <t>KHẨU TRANG VẢI KHÁNG KHUẨN</t>
  </si>
  <si>
    <t>7.B24012361390142</t>
  </si>
  <si>
    <t>FERMENTED SOY SAUCE 280ML X 24 BOT</t>
  </si>
  <si>
    <t>7.B2401236139014201</t>
  </si>
  <si>
    <t>FERMENTED SOY SAUCE 280ML</t>
  </si>
  <si>
    <t>NƯỚC TƯƠNG NAM DƯƠNG ĐẬU NÀNH LÊN MEN TỰ NHIÊN 280ML</t>
  </si>
  <si>
    <t>7.B24012361370142</t>
  </si>
  <si>
    <t>FERMENTED SOY SAUCE 500ML X 24 BOT</t>
  </si>
  <si>
    <t>7.B2401236137014201</t>
  </si>
  <si>
    <t>FERMENTED SOY SAUCE 500ML</t>
  </si>
  <si>
    <t>NƯỚC TƯƠNG NAM DƯƠNG ĐẬU NÀNH LÊN MEN TỰ NHIÊN 500ML</t>
  </si>
  <si>
    <t>V74.000.003</t>
  </si>
  <si>
    <t>WILMAR CLEAR BAG WITH DECAL</t>
  </si>
  <si>
    <t>BÌA NÚT DÁN ĐỀ CAN WILMAR</t>
  </si>
  <si>
    <t>7.458051B51700000</t>
  </si>
  <si>
    <t>CO-MEIZAN RBDSFO IN BOTTLE @1L(0.91KG)</t>
  </si>
  <si>
    <t>7.C35015599920139</t>
  </si>
  <si>
    <t>FLOOR CLEANER POWER100 NATURAL FLOWER, 990 G X 12 BOTTLES</t>
  </si>
  <si>
    <t>NƯỚC LAU SÀN POWER100 HƯƠNG HOA THIÊN NHIÊN, LOẠI 990G X 12 CHAI TRONG THÙNG CARTON</t>
  </si>
  <si>
    <t>7.C3501559992013901</t>
  </si>
  <si>
    <t>FLOOR CLEANER POWER100 NATURAL FLOWER, 990G</t>
  </si>
  <si>
    <t>NƯỚC LAU SÀN POWER100 HƯƠNG HOA THIÊN NHIÊN, LOẠI 990G</t>
  </si>
  <si>
    <t>7.C35015599920140</t>
  </si>
  <si>
    <t xml:space="preserve">FLOOR CLEANER POWER100 LEMONGRASS, 990 G X 12 BOTTLES </t>
  </si>
  <si>
    <t>NƯỚC LAU SÀN POWER100 HƯƠNG CHANH SẢ, LOẠI 990G X 12 CHAI TRONG THÙNG CARTON</t>
  </si>
  <si>
    <t>7.C3501559992014001</t>
  </si>
  <si>
    <t>FLOOR CLEANER POWER100 LEMONGRASS, 990 G</t>
  </si>
  <si>
    <t>NƯỚC LAU SÀN POWER100 HƯƠNG CHANH SẢ, LOẠI 990G</t>
  </si>
  <si>
    <t>7.B24062362180199</t>
  </si>
  <si>
    <t>BLACK SAUCE 250G X 24 BOT</t>
  </si>
  <si>
    <t>TƯƠNG ĐEN 250G X 24 CHAI</t>
  </si>
  <si>
    <t>7.B2406236218019901</t>
  </si>
  <si>
    <t>BLACK SAUCE 250G</t>
  </si>
  <si>
    <t>TƯƠNG ĐEN 250G</t>
  </si>
  <si>
    <t>7.B2406236201019901</t>
  </si>
  <si>
    <t>BLACK SAUCE 500G</t>
  </si>
  <si>
    <t>TƯƠNG ĐEN 500G</t>
  </si>
  <si>
    <t>V51.00A.022</t>
  </si>
  <si>
    <t>WOOD SPICE STAND</t>
  </si>
  <si>
    <t>KHAY GỖ ĐỰNG GIA VỊ</t>
  </si>
  <si>
    <t>7.B24062362010199</t>
  </si>
  <si>
    <t>BLACK SAUCE 500G X 12 BOT</t>
  </si>
  <si>
    <t>7.131084031705E10</t>
  </si>
  <si>
    <t>BLEND OIL CO-MEIZAN GOLD S 1L X 12 BTL</t>
  </si>
  <si>
    <t>7.131084031700E10</t>
  </si>
  <si>
    <t>BLEND OIL CO-MEIZAN GOLD S IN BOTTLE @1L</t>
  </si>
  <si>
    <t>7.131084041700E10</t>
  </si>
  <si>
    <t>BLEND OIL CO-MEIZAN GOLD S IN BOTTLE @2L</t>
  </si>
  <si>
    <t>7.131084041704E10</t>
  </si>
  <si>
    <t>BLEND OIL CO-MEIZAN GOLD S 2L X 6 BTL</t>
  </si>
  <si>
    <t>7.131084061700E10</t>
  </si>
  <si>
    <t>BLEND OIL CO-MEIZAN GOLD S IN BOTTLE @5L</t>
  </si>
  <si>
    <t>7.131084061703E10</t>
  </si>
  <si>
    <t>BLEND OIL CO-MEIZAN GOLD S 5L X 4 BTL</t>
  </si>
  <si>
    <t>7.131084121700E10</t>
  </si>
  <si>
    <t>BLEND OIL CO-MEIZAN GOLD S IN BOTTLE @0.4L</t>
  </si>
  <si>
    <t>7.131084121712E10</t>
  </si>
  <si>
    <t>BLEND OIL CO-MEIZAN GOLD S 0.4L X 20 BTL</t>
  </si>
  <si>
    <t>7.460050030105030zz</t>
  </si>
  <si>
    <t>7.101041570901D30</t>
  </si>
  <si>
    <t>RBD PALM OLEIN IN BIB @18KG (TTP/LC1)</t>
  </si>
  <si>
    <t>DẦU OLEIN CỌ TINH LUYỆN NHÃN HIỆU SATELLITE TRONG TÚI BIB 18KG (TTP/LC1)</t>
  </si>
  <si>
    <t>REFINED VEGETABLE OIL ORCHID 0.88L</t>
  </si>
  <si>
    <t>7.C35025599610139</t>
  </si>
  <si>
    <t>FLOOR CLEANER POWER100 NATURAL FLOWER, 300G X 36 BOTTLES  IN CARTON</t>
  </si>
  <si>
    <t>NƯỚC LAU SÀN POWER100 HƯƠNG HOA THIÊN NHIÊN, LOẠI 300G X 36 CHAI TRONG THÙNG CARTON</t>
  </si>
  <si>
    <t>7.C35025599610140</t>
  </si>
  <si>
    <t>FLOOR CLEANER POWER100 LEMONGRASS, 300G X 36 BOTTLES  IN CARTON</t>
  </si>
  <si>
    <t>NƯỚC LAU SÀN POWER100 HƯƠNG CHANH SẢ, LOẠI 300G X 36 CHAI TRONG THÙNG CARTON</t>
  </si>
  <si>
    <t>7.C3502559961013901</t>
  </si>
  <si>
    <t xml:space="preserve">FLOOR CLEANER POWER100 NATURAL FLOWER, 300G </t>
  </si>
  <si>
    <t>NƯỚC LAU SÀN POWER100 HƯƠNG HOA THIÊN NHIÊN, LOẠI 300G</t>
  </si>
  <si>
    <t>FLOOR CLEANER POWER100 NATURAL FLOWER, 300G</t>
  </si>
  <si>
    <t>7.C3502559961014001</t>
  </si>
  <si>
    <t xml:space="preserve">FLOOR CLEANER POWER100 LEMONGRASS, 300G </t>
  </si>
  <si>
    <t>NƯỚC LAU SÀN POWER100 HƯƠNG CHANH SẢ, LOẠI 300G</t>
  </si>
  <si>
    <t>7.134011099020199</t>
  </si>
  <si>
    <t>169484 GFIG PUFF PASTRY MARGARINE MEDIUM IN CARTON 10KG</t>
  </si>
  <si>
    <t>BƠ LÁ PUFF PASTRY MEDIUM 169484 GFIG TRONG THÙNG CARTON 10KG</t>
  </si>
  <si>
    <t>V56.000.020</t>
  </si>
  <si>
    <t>PRINTER KIM EPSON LQ 310</t>
  </si>
  <si>
    <t>MÁY IN KIM EPSON LQ 310</t>
  </si>
  <si>
    <t>V56.000.021</t>
  </si>
  <si>
    <t>PRINTER HP MFP M130FN</t>
  </si>
  <si>
    <t>MÁY IN HP MFP M130FN</t>
  </si>
  <si>
    <t>V56.000.022</t>
  </si>
  <si>
    <t>PRINTER HP LASER JET PRO MFP M28A</t>
  </si>
  <si>
    <t>MÁY IN HP LASER JET PRO MFP M28A</t>
  </si>
  <si>
    <t>7.131060061703790</t>
  </si>
  <si>
    <t>CO-ORCHID S  5L X 4 BTL</t>
  </si>
  <si>
    <t>7.131060061700790</t>
  </si>
  <si>
    <t>7.131060041704790</t>
  </si>
  <si>
    <t>CO-ORCHID S  2L X 6 BTL</t>
  </si>
  <si>
    <t>DẦU THỰC VẬT TINH LUYỆN NHÃN HIỆU ORCHID 2L</t>
  </si>
  <si>
    <t>7.131060041700790</t>
  </si>
  <si>
    <t>7.131060031705790</t>
  </si>
  <si>
    <t>CO-ORCHID S  1L X 12 BTL</t>
  </si>
  <si>
    <t>DẦU THỰC VẬT TINH LUYỆN NHÃN HIỆU ORCHID 1L</t>
  </si>
  <si>
    <t>7.131060031700790</t>
  </si>
  <si>
    <t>V51.00A.023</t>
  </si>
  <si>
    <t>SOY SAUCE HANGER</t>
  </si>
  <si>
    <t>HANGER TREO 6 CHAI NƯỚC TƯƠNG</t>
  </si>
  <si>
    <t>V51.00A.024</t>
  </si>
  <si>
    <t>SOY SAUCE DISPLAY SHELF</t>
  </si>
  <si>
    <t>KỆ TRƯNG BÀY NƯỚC TƯƠNG</t>
  </si>
  <si>
    <t>6.70541</t>
  </si>
  <si>
    <t>GENAGEN CAB UQS - H 0200, DRUM 200KGS</t>
  </si>
  <si>
    <t>CHẤT HOẠT ĐỘNG BỀ MẶT GENAGEN CAB UQS - H 0200, PHUY 200KG</t>
  </si>
  <si>
    <t>V51.00A.025</t>
  </si>
  <si>
    <t>TOPBOARD WITH PLASTIC BOXES (79 CM X 29.5 CM)</t>
  </si>
  <si>
    <t>VỈ TREO HỘC NHỰA (79 CM X 29.5 CM)</t>
  </si>
  <si>
    <t>V51.00A.026</t>
  </si>
  <si>
    <t>PLASTIC BASKET 708</t>
  </si>
  <si>
    <t>RỔ NHỰA 708</t>
  </si>
  <si>
    <t>V39.000.056</t>
  </si>
  <si>
    <t>V39.000.057</t>
  </si>
  <si>
    <t>7.1070120295108010</t>
  </si>
  <si>
    <t>MEIZAN BOS (ORANGE) IN PEGAG@20KG</t>
  </si>
  <si>
    <t>DẦU BƠ THAY THẾ NHÃN HIỆU MEIZAN (NHÃN MÀU CAM) TRONG THÙNG CARTON 20KG</t>
  </si>
  <si>
    <t>7.B24022399451299</t>
  </si>
  <si>
    <t>CHILLI SAUCE HORECA LAO 470G X 24 BOT</t>
  </si>
  <si>
    <t>TƯƠNG ỚT HORECA LÀO 470G X 24 CHAI</t>
  </si>
  <si>
    <t>7.B2402239945129901</t>
  </si>
  <si>
    <t>CHILLI SAUCE HORECA LAO 470G</t>
  </si>
  <si>
    <t>TƯƠNG ỚT HORECA LÀO 470G</t>
  </si>
  <si>
    <t>7.134011099040199</t>
  </si>
  <si>
    <t>7.131086591200G70</t>
  </si>
  <si>
    <t>SATELLITE(RED LABEL)VEG OIL IN JRG @25KG</t>
  </si>
  <si>
    <t>DẦU THỰC VẬT TINH LUYỆN NHÃN HIỆU SATELLITE (NHÃN MÀU ĐỎ) TRONG CAN NHỰA 25KG</t>
  </si>
  <si>
    <t>7.B24012399651201</t>
  </si>
  <si>
    <t>SOYA SOY SAUCE LAO 470ML X 24 BOT</t>
  </si>
  <si>
    <t>NƯỚC CHẤM SOYA LÀO 470ML X 24 CHAI</t>
  </si>
  <si>
    <t>7.B2401239965120101</t>
  </si>
  <si>
    <t>SOYA SOY SAUCE LAO 470ML</t>
  </si>
  <si>
    <t>NƯỚC CHẤM SOYA LÀO 470ML</t>
  </si>
  <si>
    <t>7.B24012399805904</t>
  </si>
  <si>
    <t>PREMIUM SOY SAUCE CAMBODIA 95ML X 24 BOT</t>
  </si>
  <si>
    <t>NƯỚC TƯƠNG THƯỢNG HẠNG CAMBODIA 95ML X 24 CHAI</t>
  </si>
  <si>
    <t>7.B2401239980590401</t>
  </si>
  <si>
    <t>PREMIUM SOY SAUCE CAMBODIA 95ML</t>
  </si>
  <si>
    <t>NƯỚC TƯƠNG THƯỢNG HẠNG CAMBODIA 95ML</t>
  </si>
  <si>
    <t>V51.00A.027</t>
  </si>
  <si>
    <t>PP BREAD CART 0,6M X 1,1M</t>
  </si>
  <si>
    <t>PP DÁN XE BÁNH MÌ 0,6M X 1,1M</t>
  </si>
  <si>
    <t>V51.00A.028</t>
  </si>
  <si>
    <t>PP BREAD CART 0,6M X 0,6M</t>
  </si>
  <si>
    <t>PP DÁN BÊN HÔNG XE BÁNH MÌ 0,6M X 0,6M</t>
  </si>
  <si>
    <t>7.52399079905A3</t>
  </si>
  <si>
    <t>GREEN KEY-25-ORION</t>
  </si>
  <si>
    <t>BỘT MÌ THƯỢNG HẠNG "CHÌA KHÓA XANH LÁ" (25KG)</t>
  </si>
  <si>
    <t>7.B24012302370101</t>
  </si>
  <si>
    <t>HANG VIET SOYA SAUCE 500ML X 24 BOT/CAR</t>
  </si>
  <si>
    <t>7.B2401230237010101</t>
  </si>
  <si>
    <t>HANG VIET SOYA SAUCE 500ML</t>
  </si>
  <si>
    <t>NƯỚC CHẤM ĐẬU NÀNH HÀNG VIỆT 500ML</t>
  </si>
  <si>
    <t>7.B24012302650101</t>
  </si>
  <si>
    <t xml:space="preserve"> HANG VIET SAVING SOYA SAUCE 470ML X 24 BOT/CAR</t>
  </si>
  <si>
    <t>NƯỚC CHẤM ĐẬU NÀNH HÀNG VIỆT TIẾT KIỆM 470ML X 24 CHAI/THÙNG</t>
  </si>
  <si>
    <t>7.B2401230265010101</t>
  </si>
  <si>
    <t xml:space="preserve"> HANG VIET SAVING SOYA SAUCE 470ML</t>
  </si>
  <si>
    <t>NƯỚC CHẤM ĐẬU NÀNH HÀNG VIỆT TIẾT KIỆM 470ML</t>
  </si>
  <si>
    <t>7.131005570801G80</t>
  </si>
  <si>
    <t>MEIZAN 75%RPO+25ROL1008 PEBAG @18KG</t>
  </si>
  <si>
    <t>DẦU CHUYÊN DỤNG NHÃN HIỆU MEIZAN 18KG</t>
  </si>
  <si>
    <t>7.5239907630501</t>
  </si>
  <si>
    <t>GREEN KEY 333-25</t>
  </si>
  <si>
    <t>BỘT MÌ CHUYÊN DỤNG "CHÌA KHÓA XANH LÁ -333" (25KG)</t>
  </si>
  <si>
    <t>V51.000.085</t>
  </si>
  <si>
    <t>MEADOW FRESH DECAL MINI BOOTH</t>
  </si>
  <si>
    <t>DECAL KỆ BÁN HÀNG MEADOW FRESH</t>
  </si>
  <si>
    <t>V39.000.058</t>
  </si>
  <si>
    <t>MEADOW FRESH PAPER CUP</t>
  </si>
  <si>
    <t>LY GIẤY MEADOW FRESH</t>
  </si>
  <si>
    <t>V51.000.086</t>
  </si>
  <si>
    <t>MEADOW FRESH BALLOON</t>
  </si>
  <si>
    <t>BONG BÓNG MEADOW FRESH</t>
  </si>
  <si>
    <t>V51.000.087</t>
  </si>
  <si>
    <t>MEADOW FRESH LEAFLET A5</t>
  </si>
  <si>
    <t>TỜ RƠI A5 MEADOW FRESH</t>
  </si>
  <si>
    <t>V51.000.088</t>
  </si>
  <si>
    <t>MEIZAN PREMIUM NANG THOM RICE</t>
  </si>
  <si>
    <t>MEIZAN GẠO NGON HẢO HẠNG NÀNG THƠM 5KG</t>
  </si>
  <si>
    <t>7.131078031700E10TD</t>
  </si>
  <si>
    <t>7.131078041700E10TD</t>
  </si>
  <si>
    <t>7.B24012361489143</t>
  </si>
  <si>
    <t>SUPER SAVING HORECA SOYA SAUCE 4,5L X 4 BOT/CAR</t>
  </si>
  <si>
    <t>NƯỚC CHẤM ĐẬU NÀNH HORECA SIÊU TIẾT KIỆM 4,5L X 4 CHAI/THÙNG</t>
  </si>
  <si>
    <t>7.B2401236148914301</t>
  </si>
  <si>
    <t>SUPER SAVING HORECA SOYA SAUCE 4,5L</t>
  </si>
  <si>
    <t>NƯỚC CHẤM ĐẬU NÀNH HORECA SIÊU TIẾT KIỆM 4,5L</t>
  </si>
  <si>
    <t>7.5239912650501</t>
  </si>
  <si>
    <t>TAN HUE VIEN - PINK (25KG)</t>
  </si>
  <si>
    <t>BỘT MÌ HIỆU TÂN HUÊ VIÊN-HỒNG (25KG)</t>
  </si>
  <si>
    <t xml:space="preserve">TAN HUE VIEN - PINK (25KG)_x000D_
</t>
  </si>
  <si>
    <t>7.5239907660501</t>
  </si>
  <si>
    <t>TAN HUE VIEN - GREEN (25KG)</t>
  </si>
  <si>
    <t>BỘT MÌ HIỆU TÂN HUÊ VIÊN-XANH LÁ (25KG)</t>
  </si>
  <si>
    <t xml:space="preserve">TAN HUE VIEN - GREEN (25KG)_x000D_
</t>
  </si>
  <si>
    <t>7.5239907660601</t>
  </si>
  <si>
    <t>TAN HUE VIEN - GREEN (40KG)</t>
  </si>
  <si>
    <t>BỘT MÌ HIỆU TÂN HUÊ VIÊN-XANH LÁ (40KG)</t>
  </si>
  <si>
    <t xml:space="preserve">TAN HUE VIEN - GREEN (40KG)_x000D_
</t>
  </si>
  <si>
    <t>7.5239912650601</t>
  </si>
  <si>
    <t>TAN HUE VIEN - PINK (40KG)</t>
  </si>
  <si>
    <t>BỘT MÌ HIỆU TÂN HUÊ VIÊN-HỒNG (40KG)</t>
  </si>
  <si>
    <t xml:space="preserve">TAN HUE VIEN - PINK (40KG)_x000D_
</t>
  </si>
  <si>
    <t>V51.00A.029</t>
  </si>
  <si>
    <t>FOOTBALL STANDEE</t>
  </si>
  <si>
    <t>STANDEE CẦU THỦ</t>
  </si>
  <si>
    <t>7.5239907990512</t>
  </si>
  <si>
    <t>GREEN KEY LAOS-25</t>
  </si>
  <si>
    <t>BỘT MÌ THƯỢNG HẠNG CHÌA KHÓA XANH LÁ (TIẾNG LÀO) (25KG)</t>
  </si>
  <si>
    <t>7.101159570901030</t>
  </si>
  <si>
    <t>CO-ORCHID IN BIB @18KG</t>
  </si>
  <si>
    <t>DẦU THỰC VẬT TINH LUYỆN NHÃN HIỆU ORCHID 18KG BIB</t>
  </si>
  <si>
    <t>7.5239937670601</t>
  </si>
  <si>
    <t>ORANGE KING SHRIMP (40KG)</t>
  </si>
  <si>
    <t>BỘT MÌ - NGUYÊN LIỆU LÀM THỨC ĂN THỦY SẢN HIỆU “TÔM VUA CAM” (40KG)</t>
  </si>
  <si>
    <t xml:space="preserve">ORANGE KING SHRIMP (40KG)_x000D_
</t>
  </si>
  <si>
    <t>7.5239907990699</t>
  </si>
  <si>
    <t xml:space="preserve">GREEN KEY - KINH DO MDLZ 40KG </t>
  </si>
  <si>
    <t>BỘT MÌ HIỆU CHÌA KHÓA XANH LÁ 40KG (BỘT MÌ SOFT)</t>
  </si>
  <si>
    <t xml:space="preserve">GREEN KEY - KINH DO MDLZ 40KG _x000D_
</t>
  </si>
  <si>
    <t>7.5239914990699</t>
  </si>
  <si>
    <t xml:space="preserve">RED COMPASS - KINH DO MDLZ 40KG </t>
  </si>
  <si>
    <t>BỘT MÌ HIỆU LA BÀN ĐỎ 40KG (BỘT MÌ MEDIUM)</t>
  </si>
  <si>
    <t xml:space="preserve">RED COMPASS - KINH DO MDLZ 40KG _x000D_
</t>
  </si>
  <si>
    <t>7.B25080899020105</t>
  </si>
  <si>
    <t>MEIZAN PORK BOUILLON GRANULE 1KG X 10 PAC/CAR</t>
  </si>
  <si>
    <t>7.B2508089902010501</t>
  </si>
  <si>
    <t>MEIZAN PORK BOUILLON GRANULE 1KG</t>
  </si>
  <si>
    <t>HẠT NÊM MEIZAN THỊT, XƯƠNG ỐNG, TỦY, CÀ RỐT – VỊ HEO 1KG</t>
  </si>
  <si>
    <t>7.B25080899030105</t>
  </si>
  <si>
    <t>MEIZAN PORK BOUILLON GRANULE 5KG X 03 PAC/CAR</t>
  </si>
  <si>
    <t>HẠT NÊM MEIZAN THỊT, XƯƠNG ỐNG, TỦY, CÀ RỐT – VỊ HEO 5KG X 03 GÓI/THÙNG</t>
  </si>
  <si>
    <t>7.B2508089903010501</t>
  </si>
  <si>
    <t>MEIZAN PORK BOUILLON GRANULE 5KG</t>
  </si>
  <si>
    <t>HẠT NÊM MEIZAN THỊT, XƯƠNG ỐNG, TỦY, CÀ RỐT – VỊ HEO 5KG</t>
  </si>
  <si>
    <t>V51.00A.030</t>
  </si>
  <si>
    <t>SALAD DRESSING CARTON</t>
  </si>
  <si>
    <t>KỆ CARTON DẦU GIẤM</t>
  </si>
  <si>
    <t>V51.00A.031</t>
  </si>
  <si>
    <t>OYSTER SAUCE CARTON</t>
  </si>
  <si>
    <t>KỆ CARTON DẦU HÀO</t>
  </si>
  <si>
    <t>V51.00A.032</t>
  </si>
  <si>
    <t>MARKET BANNER</t>
  </si>
  <si>
    <t>BANNER CHỢ</t>
  </si>
  <si>
    <t>V51.00A.033</t>
  </si>
  <si>
    <t>STATION BANNER</t>
  </si>
  <si>
    <t>BANNER TRẠM XE</t>
  </si>
  <si>
    <t>7.B24012361369199</t>
  </si>
  <si>
    <t>HORECA SOYA SAUCE 1,96L X 6 BOT/CAR</t>
  </si>
  <si>
    <t>NƯỚC CHẤM ĐẬU NÀNH HORECA 1.96L X 6 CHAI/THÙNG</t>
  </si>
  <si>
    <t>7.B2401236136919901</t>
  </si>
  <si>
    <t>HORECA SOYA SAUCE 1,96L</t>
  </si>
  <si>
    <t>NƯỚC CHẤM ĐẬU NÀNH HORECA 1.96L</t>
  </si>
  <si>
    <t>7.B24106333819999</t>
  </si>
  <si>
    <t>MAYONNAISE 2,5KG X 4 PAIL/CAR</t>
  </si>
  <si>
    <t>MAYONNAISE 2,5KG X 4 XÔ/THÙNG</t>
  </si>
  <si>
    <t>7.B2410633381999901</t>
  </si>
  <si>
    <t>MAYONNAISE 2,5KG</t>
  </si>
  <si>
    <t>V51.106.007</t>
  </si>
  <si>
    <t>MEIZAN UMBRELLA (WITHOUT SOLE)</t>
  </si>
  <si>
    <t>DÙ MEIZAN (KHÔNG CHÂN)</t>
  </si>
  <si>
    <t>V51.153.027</t>
  </si>
  <si>
    <t>OLIVOILA CANVAS BAG</t>
  </si>
  <si>
    <t>TÚI CANVAS NHÃN OLIVOILA</t>
  </si>
  <si>
    <t>6.1312154</t>
  </si>
  <si>
    <t>MIX VEGETABLE OIL(95%ROL IV58-61+5%NSBO)</t>
  </si>
  <si>
    <t>DẦU ĂN HỖN HỢP TRONG XE BỒN</t>
  </si>
  <si>
    <t>V51.048.020</t>
  </si>
  <si>
    <t>HANG VIET SOYA BEAN SAUCE 500ML</t>
  </si>
  <si>
    <t>7.460050B91700030</t>
  </si>
  <si>
    <t>SIMPLY RBDRBO IN BOTTLE @2L</t>
  </si>
  <si>
    <t>6.70542</t>
  </si>
  <si>
    <t>WILMAR CAB - COCAMIDOPROPYL BETAINE; IBC TANK 1000KG</t>
  </si>
  <si>
    <t>CHẤT HOẠT ĐỘNG BỀ MẶT WILMAR CAB - COCAMIDOPROPYL BETAINE; IBC TANK 1000KG</t>
  </si>
  <si>
    <t>7.101089570901900</t>
  </si>
  <si>
    <t>SATELLITE-OL1008 + BHT + BHA BIB @18KG</t>
  </si>
  <si>
    <t>DẦU OLEIN CỌ TINH LUYỆN - C NHÃN HIỆU SATELLITE 18KG</t>
  </si>
  <si>
    <t>7.8340351993401</t>
  </si>
  <si>
    <t>GOLDEN CROWN SHORTENING BOS 18KG IN PAIL</t>
  </si>
  <si>
    <t>DẦU BƠ THAY THẾ NHÃN HIỆU GOLDEN CROWN TRONG THÙNG NHỰA 18KG</t>
  </si>
  <si>
    <t>7.B24022399939143</t>
  </si>
  <si>
    <t>SUPER SAVING HORECA CHILI SAUCE 4,3KG X 4 BOT/CAR</t>
  </si>
  <si>
    <t>TƯƠNG ỚT HORECA SIÊU TIẾT KIỆM 4,3KG X 4 CHAI/THÙNG</t>
  </si>
  <si>
    <t>7.B2402239993914301</t>
  </si>
  <si>
    <t>SUPER SAVING HORECA CHILI SAUCE 4,3KG</t>
  </si>
  <si>
    <t>TƯƠNG ỚT HORECA SIÊU TIẾT KIỆM 4,3KG</t>
  </si>
  <si>
    <t>7.A31990899020129</t>
  </si>
  <si>
    <t>MEIZAN ALL-PURPOSE TAPIOCA STARCH 1KG X 10 BAG</t>
  </si>
  <si>
    <t>7.A3199089902012901</t>
  </si>
  <si>
    <t>MEIZAN ALL-PURPOSE TAPIOCA STARCH 1KG</t>
  </si>
  <si>
    <t>800.010.001</t>
  </si>
  <si>
    <t>FACE ID SPEED FACE H5</t>
  </si>
  <si>
    <t>THIẾT BỊ NHẬN DIỆN KHUÔN MẶT SPEED FACE H5</t>
  </si>
  <si>
    <t>7.D37011099050124</t>
  </si>
  <si>
    <t>WHITE CHOCOLATE BUTTONS RCW-3704B-240, 25KG</t>
  </si>
  <si>
    <t>NGUYÊN LIỆU THỰC PHẨM SÔ-CÔ-LA TRẮNG RCW-3704B, 25KG/THÙNG</t>
  </si>
  <si>
    <t xml:space="preserve">WHITE CHOCOLATE BUTTONS RCW-3704B-240, 25KG_x000D_
</t>
  </si>
  <si>
    <t>7.D37011099050125</t>
  </si>
  <si>
    <t>DARK CHOCOLATE BUTTONS RCD-3881A-240, 25KG</t>
  </si>
  <si>
    <t>NGUYÊN LIỆU THỰC PHẨM SÔ-CÔ-LA ĐEN RCD-3881A, 25KG/THÙNG</t>
  </si>
  <si>
    <t xml:space="preserve">DARK CHOCOLATE BUTTONS RCD-3881A-240, 25KG_x000D_
</t>
  </si>
  <si>
    <t>7.D37011099050130</t>
  </si>
  <si>
    <t>TWIN CHOCOLATE COMPOUND SLT-2506-254, CHIPS 8800 CTS/KG, 25KG</t>
  </si>
  <si>
    <t>NGUYÊN LIỆU THỰC PHẨM SÔ-CÔ-LA HAI MÀU SLT-2506, CHIPS 8800 CTS/KG, 25KG/THÙNG</t>
  </si>
  <si>
    <t>7.D37011099020125</t>
  </si>
  <si>
    <t>DARK CHOCOLATE COMPOUND SLD-3100B-106CI, BLOCK (1KG X 10PCS), 10KG</t>
  </si>
  <si>
    <t>NGUYÊN LIỆU THỰC PHẨM SÔ-CÔ-LA ĐEN SLD-3100B, BLOCK (1KG X 10), 10KG/THÙNG</t>
  </si>
  <si>
    <t>7.B2406236218019901TD</t>
  </si>
  <si>
    <t>7.B24062362180199TD</t>
  </si>
  <si>
    <t>7.B2401236139014201TD</t>
  </si>
  <si>
    <t>7.C3503559976A244</t>
  </si>
  <si>
    <t>MINT SCENT GLASS CLEANER POWER100, 580ML X 2 X 6 BOTTLES IN CARTON</t>
  </si>
  <si>
    <t>NƯỚC LAU KÍNH HƯƠNG BẠC HÀ, NHÃN HIỆU POWER100 LOẠI 580ML X 2 X 6 CHAI TRONG THÙNG CARTON</t>
  </si>
  <si>
    <t>7.C3503559976A24401</t>
  </si>
  <si>
    <t>MINT SCENT GLASS CLEANER POWER100, 580ML X 2 BOTTLES</t>
  </si>
  <si>
    <t>NƯỚC LAU KÍNH HƯƠNG BẠC HÀ, NHÃN HIỆU POWER100 LOẠI 580ML X 2 CHAI</t>
  </si>
  <si>
    <t>V51.600.087</t>
  </si>
  <si>
    <t>SIMPLY BANNER (5M X 1.2M)</t>
  </si>
  <si>
    <t>BĂNG RÔN SIMPLY (5M X 1.2M)</t>
  </si>
  <si>
    <t>800.010.003</t>
  </si>
  <si>
    <t>LCD DELL 23 INCH P2319H</t>
  </si>
  <si>
    <t>MÀN HÌNH DELL 23 INCH P2319H</t>
  </si>
  <si>
    <t>7.5239902680599</t>
  </si>
  <si>
    <t>PREMIUM WHEAT FLOUR BLUE KEY - 111 (25KG)</t>
  </si>
  <si>
    <t>BỘT MÌ THƯỢNG HẠNG HIỆU CHÌA KHÓA XANH - 111 (25KG)</t>
  </si>
  <si>
    <t>7.5239902680699</t>
  </si>
  <si>
    <t>PREMIUM WHEAT FLOUR BLUE KEY - 111 (40KG)</t>
  </si>
  <si>
    <t>BỘT MÌ THƯỢNG HẠNG HIỆU CHÌA KHÓA XANH - 111 (40KG)</t>
  </si>
  <si>
    <t>800.056.001</t>
  </si>
  <si>
    <t>RAM LAPTOP KINGSTON DDR3L 8GB</t>
  </si>
  <si>
    <t>BỘ NHỚ DDR3L 8GB CHO LAPTOP</t>
  </si>
  <si>
    <t>800.056.002</t>
  </si>
  <si>
    <t>RAM LAPTOP KINGSTON DDR4 8GB</t>
  </si>
  <si>
    <t>BỘ NHỚ DDR4 8GB CHO LAPTOP</t>
  </si>
  <si>
    <t>800.056.003</t>
  </si>
  <si>
    <t>SEAGATE SSD 250GB SATA</t>
  </si>
  <si>
    <t>Ổ CỨNG SSD 250 GB SATA</t>
  </si>
  <si>
    <t>800.056.004</t>
  </si>
  <si>
    <t>SEAGATE SSD 512GB SATA</t>
  </si>
  <si>
    <t>Ổ CỨNG SSD 512 GB SATA</t>
  </si>
  <si>
    <t>800.056.005</t>
  </si>
  <si>
    <t>NAS SYNOLOGY DS918, 4 BAY, RAM 4GB</t>
  </si>
  <si>
    <t>THIẾT BỊ LƯU TRỮ NAS HIỆU SYNOLOGY, MẪU DS918, 4 KHAY Ổ CỨNG</t>
  </si>
  <si>
    <t>800.056.006</t>
  </si>
  <si>
    <t>HDD SEAGATE IRONWOLF 4TB 3.5 INCH ST4000VN007 (SATA III 64MB CACHE 5900RPM)</t>
  </si>
  <si>
    <t>Ổ CỨNG CHO NAS HIỆU SEAGATE IRONWOLF DUNG LƯỢNG 4TB 3.5 INCH</t>
  </si>
  <si>
    <t>7.70553</t>
  </si>
  <si>
    <t>DISTILLED MONOGLYCERIDE (DMG-CF01); IN BAG 25KG</t>
  </si>
  <si>
    <t>MONOGLYCERID CHƯNG CẤT (DMG-CF01); BAO 25KG</t>
  </si>
  <si>
    <t>800.056.007</t>
  </si>
  <si>
    <t>HDD SEAGATE IRONWOLF 4TB 3.5 INCH ST4000VN008(SATA III 64MB CACHE 5900RPM)</t>
  </si>
  <si>
    <t>7.B2410633381A499</t>
  </si>
  <si>
    <t>MAYONNAISE  (GREEN LABEL) 2.5KG X 4 PAIL/CAR</t>
  </si>
  <si>
    <t>MAYONNAISE (GREEN LABEL) 2.5KG X 4 XÔ/THÙNG</t>
  </si>
  <si>
    <t>7.B2410633381A49901</t>
  </si>
  <si>
    <t>MAYONNAISE (GREEN LABEL) 2.5KG</t>
  </si>
  <si>
    <t>7.B25085499940105</t>
  </si>
  <si>
    <t>PORK BOUILLON GRANULE 380G X 20 PAC/CAR</t>
  </si>
  <si>
    <t>7.B2508549994010501</t>
  </si>
  <si>
    <t>7.B25085499950105</t>
  </si>
  <si>
    <t>PORK BOUILLON GRANULE 850G X 10 PAC/CAR</t>
  </si>
  <si>
    <t>7.B2508549995010501</t>
  </si>
  <si>
    <t>HẠT NÊM 4 TRONG 1 VỊ HEO 380G</t>
  </si>
  <si>
    <t>HẠT NÊM 4 TRONG 1 VỊ HEO 850G</t>
  </si>
  <si>
    <t>7.B250854999401051</t>
  </si>
  <si>
    <t>PORK BOUILLON GRANULE 380G X 20 PAC ON PACK 20 PAC NEPTUNE GOLD 0.25L/ CAR</t>
  </si>
  <si>
    <t>HẠT NÊM 4 TRONG 1 - VỊ HEO 380G X 20 GÓI ĐÓNG KÈM 20 CHAI DẦU ĂN THƯỢNG HẠNG NHÃN HIỆU NEPTUNE GOLD 0.25L / THÙNG</t>
  </si>
  <si>
    <t>7.B25085499940105101</t>
  </si>
  <si>
    <t>PORK BOUILLON GRANULE 380G X 01 PAC ON PACK 01 PAC NEPTUNE GOLD 0.25L</t>
  </si>
  <si>
    <t>HẠT NÊM 4 TRONG 1 - VỊ HEO 380G ĐÓNG KÈM 01 CHAI DẦU ĂN THƯỢNG HẠNG NHÃN HIỆU NEPTUNE GOLD 0.25L</t>
  </si>
  <si>
    <t>7.B2508549994010510</t>
  </si>
  <si>
    <t>PORK BOUILLON GRANULE 380G X 20 PAC ON PACK 20 PAC NEPTUNE LIGHT 0.25L/ CAR</t>
  </si>
  <si>
    <t>HẠT NÊM 4 TRONG 1 - VỊ HEO 380G X 20 GÓI ĐÓNG KÈM 20 CHAI DẦU ĂN THƯỢNG HẠNG NHÃN HIỆU NEPTUNE LIGHT 0.25L / THÙNG</t>
  </si>
  <si>
    <t>7.B250854999401051001</t>
  </si>
  <si>
    <t>PORK BOUILLON GRANULE 380G X 01 PAC ON PACK 01 PAC NEPTUNE LIGHT 0.25L</t>
  </si>
  <si>
    <t>HẠT NÊM 4 TRONG 1 - VỊ HEO 380G ĐÓNG KÈM 01 CHAI DẦU ĂN THƯỢNG HẠNG NHÃN HIỆU NEPTUNE LIGHT 0.25L</t>
  </si>
  <si>
    <t>7.B2508549995010502</t>
  </si>
  <si>
    <t>PORK BOUILLON GRANULE 850G X 10 PAC ON PACK 10 PAC NEPTUNE GOLD 0.4L/CAR</t>
  </si>
  <si>
    <t>HẠT NÊM 4 TRONG 1 - VỊ HEO 850G X 10 GÓI ĐÓNG KÈM 10 CHAI DẦU ĂN THƯỢNG HẠNG NHÃN HIỆU NEPTUNE GOLD 0.4L/THÙNG</t>
  </si>
  <si>
    <t>7.B250854999501050201</t>
  </si>
  <si>
    <t>PORK BOUILLON GRANULE 850G X 01 PAC ON PACK 01 PAC NEPTUNE GOLD 0.4L</t>
  </si>
  <si>
    <t>HẠT NÊM 4 TRONG 1 - VỊ HEO 850G ĐÓNG KÈM 01 CHAI DẦU ĂN THƯỢNG HẠNG NHÃN HIỆU NEPTUNE GOLD 0.4L</t>
  </si>
  <si>
    <t>7.B2508549995010511</t>
  </si>
  <si>
    <t>PORK BOUILLON GRANULE 850G X 10 PAC ON PACK 10 PAC NEPTUNE LIGHT 0.4L/CAR</t>
  </si>
  <si>
    <t>HẠT NÊM 4 TRONG 1 - VỊ HEO 850G X 10 GÓI ĐÓNG KÈM 10 CHAI DẦU ĂN THƯỢNG HẠNG NHÃN HIỆU NEPTUNE LIGHT 0.4L/THÙNG</t>
  </si>
  <si>
    <t>7.B250854999501051101</t>
  </si>
  <si>
    <t>PORK BOUILLON GRANULE 850G X 01 PAC ON PACK 01 PAC NEPTUNE LIGHT 0.4L</t>
  </si>
  <si>
    <t>HẠT NÊM 4 TRONG 1 - VỊ HEO 850GĐÓNG KÈM 01 CHAI DẦU ĂN THƯỢNG HẠNG NHÃN HIỆU NEPTUNE LIGHT 0.4L</t>
  </si>
  <si>
    <t>7.5239979990301</t>
  </si>
  <si>
    <t>SAMPLE-5-RED SATELLITE</t>
  </si>
  <si>
    <t>BỘT MÌ THƯỢNG HẠNG VỆ TINH ĐỎ (5KG)</t>
  </si>
  <si>
    <t>6.70543</t>
  </si>
  <si>
    <t>CATIONIC SURFACTANT DODIGEN 226-H 0200; IN STEEL DRUM 200KG</t>
  </si>
  <si>
    <t>CHẤT HOẠT ĐỘNG BỀ MẶT DODIGEN 226-H 0200; PHUY THÉP 200KG</t>
  </si>
  <si>
    <t>7.70554</t>
  </si>
  <si>
    <t>STEARIC ACID SA1810; IN BAG 25KG</t>
  </si>
  <si>
    <t>AXIT STEARIC SA1810; BAO 25KG</t>
  </si>
  <si>
    <t>7.B25085499430105</t>
  </si>
  <si>
    <t>HẠT NÊM 4 TRONG 1 - VỊ HEO 50G X 120 GÓI/THÙNG</t>
  </si>
  <si>
    <t>7.B2508549943010501</t>
  </si>
  <si>
    <t>HẠT NÊM 4 TRONG 1 - VỊ HEO 50G</t>
  </si>
  <si>
    <t>7.C35025599925939</t>
  </si>
  <si>
    <t>FLOOR CLEANER POWER100 NATURAL FLOWER, 990G X 12 BOTTLES IN CARTON, EXPORT TO CAMBODIA</t>
  </si>
  <si>
    <t>NƯỚC LAU SÀN POWER100 HƯƠNG HOA THIÊN NHIÊN, LOẠI 990G X 12 CHAI TRONG THÙNG CARTON, XK CAMPUCHIA</t>
  </si>
  <si>
    <t>7.C3502559992593901</t>
  </si>
  <si>
    <t>FLOOR CLEANER POWER100 NATURAL FLOWER, EXPORT TO CAMBODIA</t>
  </si>
  <si>
    <t>NƯỚC LAU SÀN POWER100 HƯƠNG HOA THIÊN NHIÊN, LOẠI 990G, XK CAMPUCHIA</t>
  </si>
  <si>
    <t>7.C35025599925940</t>
  </si>
  <si>
    <t>FLOOR CLEANER POWER100 LEMONGRASS, 990G X 12 BOTTLES IN CARTON, EXPORT TO CAMBODIA</t>
  </si>
  <si>
    <t>NƯỚC LAU SÀN POWER100 HƯƠNG CHANH SẢ, LOẠI 990G X 12 CHAI TRONG THÙNG CARTON, XK CAMPUCHIA</t>
  </si>
  <si>
    <t>7.C3502559992594001</t>
  </si>
  <si>
    <t>FLOOR CLEANER POWER100 LEMONGRASS, 990G, EXPORT TO CAMBODIA</t>
  </si>
  <si>
    <t>NƯỚC LAU SÀN POWER100 HƯƠNG CHANH SẢ, LOẠI 990G, XK CAMPUCHIA</t>
  </si>
  <si>
    <t>7.C35025599495939</t>
  </si>
  <si>
    <t>FLOOR CLEANER POWER100 NATURAL FLOWER, 3,8KG X 4 JRG IN CARTON, XK CAMBODIA</t>
  </si>
  <si>
    <t>NƯỚC LAU SÀN POWER100 HƯƠNG HOA THIÊN NHIÊN, LOẠI 3,8KG X 4 CAN TRONG THÙNG CARTON, XK CAMPUCHIA</t>
  </si>
  <si>
    <t>7.C3502559949593901</t>
  </si>
  <si>
    <t>FLOOR CLEANER POWER100 NATURAL FLOWER, 3,8KG, XK CAMBODIA</t>
  </si>
  <si>
    <t>NƯỚC LAU SÀN POWER100 HƯƠNG HOA THIÊN NHIÊN, LOẠI 3,8KG, XK CAMPUCHIA</t>
  </si>
  <si>
    <t>7.C35025599495940</t>
  </si>
  <si>
    <t>FLOOR CLEANER POWER100 LEMONGRASS, 3,8KG X 4 JRG IN CARTON, XK CAMBODIA</t>
  </si>
  <si>
    <t>NƯỚC LAU SÀN POWER100 HƯƠNG CHANH SẢ, LOẠI 3,8KG X 4 CAN TRONG THÙNG CARTON, XK CAMPUCHIA</t>
  </si>
  <si>
    <t>7.C3502559949594001</t>
  </si>
  <si>
    <t>FLOOR CLEANER POWER100 LEMONGRASS, 3,8KG, XK CAMBODIA</t>
  </si>
  <si>
    <t>NƯỚC LAU SÀN POWER100 HƯƠNG CHANH SẢ, LOẠI 3,8KG, XK CAMPUCHIA</t>
  </si>
  <si>
    <t>7.C35025599500139</t>
  </si>
  <si>
    <t>FLOOR CLEANER POWER100 NATURAL FLOWER, 9,5KG X 2 JRG IN CARTON</t>
  </si>
  <si>
    <t>NƯỚC LAU SÀN POWER100 HƯƠNG HOA THIÊN NHIÊN, LOẠI 9,5KG X 2 CAN TRONG THÙNG CARTON</t>
  </si>
  <si>
    <t>7.C3502559950013901</t>
  </si>
  <si>
    <t>FLOOR CLEANER POWER100 NATURAL FLOWER, 9,5KG</t>
  </si>
  <si>
    <t>NƯỚC LAU SÀN POWER100 HƯƠNG HOA THIÊN NHIÊN, LOẠI 9,5KG</t>
  </si>
  <si>
    <t>7.C35025599500140</t>
  </si>
  <si>
    <t>FLOOR CLEANER POWER100 LEMONGRASS, 9,5KG X 2 JRG IN CARTON</t>
  </si>
  <si>
    <t>NƯỚC LAU SÀN POWER100 HƯƠNG CHANH SẢ, LOẠI 9,5KG X 2 CAN TRONG THÙNG CARTON</t>
  </si>
  <si>
    <t>7.C3502559950014001</t>
  </si>
  <si>
    <t>FLOOR CLEANER POWER100 LEMONGRASS, 9,5KG</t>
  </si>
  <si>
    <t>NƯỚC LAU SÀN POWER100 HƯƠNG CHANH SẢ, LOẠI 9,5KG</t>
  </si>
  <si>
    <t>7.C35015599491227</t>
  </si>
  <si>
    <t>DISHWASHING LIQUID POWER100 LEMON, 3,8KG X 4 JRG IN CARTON, EXPORT TO LAOS</t>
  </si>
  <si>
    <t>NƯỚC RỬA CHÉN POWER100 HƯƠNG CHANH, LOẠI 3,8KG X 4 CAN TRONG THÙNG CARTON, XK LÀO</t>
  </si>
  <si>
    <t>7.C3501559949122701</t>
  </si>
  <si>
    <t>DISHWASHING LIQUID POWER100 LEMON, 3,8KG, EXPORT TO LAOS</t>
  </si>
  <si>
    <t>NƯỚC RỬA CHÉN POWER100 HƯƠNG CHANH, LOẠI 3,8KG, XK LÀO</t>
  </si>
  <si>
    <t>7.B24022399670199</t>
  </si>
  <si>
    <t>CHILLI SAUCE 10G X 1200 PAC/CA</t>
  </si>
  <si>
    <t>TƯƠNG ỚT 10G X 1200 GÓI/ THÙNG</t>
  </si>
  <si>
    <t>7.B2402239967019901</t>
  </si>
  <si>
    <t>CHILLI SAUCE 10G</t>
  </si>
  <si>
    <t>TƯƠNG ỚT 10G</t>
  </si>
  <si>
    <t>7.52399059901A5</t>
  </si>
  <si>
    <t>COMPASS-0.5KG*20 (10KG/CAR)</t>
  </si>
  <si>
    <t>BỘT MÌ ĐA DỤNG CAO CẤP LA BÀN (0.5KG*20 GÓI/THÙNG)</t>
  </si>
  <si>
    <t>7.52399059902A5</t>
  </si>
  <si>
    <t>COMPASS-1KG*10 (10KG/CAR)</t>
  </si>
  <si>
    <t>BỘT MÌ ĐA DỤNG CAO CẤP LA BÀN (1KG*10 GÓI/THÙNG)</t>
  </si>
  <si>
    <t>V51.048.017</t>
  </si>
  <si>
    <t>7.A31990899180145</t>
  </si>
  <si>
    <t>MEIZAN BREAD CRUMBS 250G X 24 BAG</t>
  </si>
  <si>
    <t>BỘT CHIÊN XÙ MEIZAN 250G X 24 GÓI</t>
  </si>
  <si>
    <t>7.A3199089918014501</t>
  </si>
  <si>
    <t>MEIZAN BREAD CRUMBS 250G</t>
  </si>
  <si>
    <t>BỘT CHIÊN XÙ MEIZAN 250G</t>
  </si>
  <si>
    <t>7.131087121712H10</t>
  </si>
  <si>
    <t>CO-NEPTUNE LIGHT 400ML X 20 BTL</t>
  </si>
  <si>
    <t>DẦU ĂN THƯỢNG HẠNG NHÃN HIỆU NEPTUNE LIGHT 400ML</t>
  </si>
  <si>
    <t>7.131087041700H10</t>
  </si>
  <si>
    <t>7.131087061700H10</t>
  </si>
  <si>
    <t>7.131087011720H10</t>
  </si>
  <si>
    <t>CO-NEPTUNE LIGHT 250ML X 30 BTL</t>
  </si>
  <si>
    <t>DẦU ĂN THƯỢNG HẠNG NHÃN HIỆU NEPTUNE LIGHT 250ML</t>
  </si>
  <si>
    <t>V39.015.710</t>
  </si>
  <si>
    <t>MEIZAN ICE BOX 5L</t>
  </si>
  <si>
    <t>XÔ ĐÁ MEIZAN 5L</t>
  </si>
  <si>
    <t>V51.600.099</t>
  </si>
  <si>
    <t>MEIZAN TABLE MARGARINE POSTER(0.5MX0.5M)</t>
  </si>
  <si>
    <t>ÁP PHÍCH BƠ THỰC VẬT MEIZAN (0.5M X 0.5M)</t>
  </si>
  <si>
    <t>V51.600.098</t>
  </si>
  <si>
    <t>MEIZAN TABLE MARGARINE POSTER(0.5M X 1M)</t>
  </si>
  <si>
    <t>ÁP PHÍCH BƠ THỰC VẬT MEIZAN (0.5M X 1M)</t>
  </si>
  <si>
    <t>7.B24022399969143</t>
  </si>
  <si>
    <t>SAVING HORECA CHILI SAUCE 4,2KG X 4 BOT/CAR</t>
  </si>
  <si>
    <t>TƯƠNG ỚT HORECA SIÊU TIẾT KIỆM 4,2KG X 4 CHAI/THÙNG</t>
  </si>
  <si>
    <t>7.B2402239996914301</t>
  </si>
  <si>
    <t>SAVING HORECA CHILI SAUCE 4,2KG</t>
  </si>
  <si>
    <t>TƯƠNG ỚT HORECA SIÊU TIẾT KIỆM 4,2KG</t>
  </si>
  <si>
    <t>800.056.009</t>
  </si>
  <si>
    <t>LAPTOP LENOVO THINKPAD E14</t>
  </si>
  <si>
    <t>MÁY TÍNH XÁCH TAY LENOVO THINKPAD E14</t>
  </si>
  <si>
    <t>800.056.010</t>
  </si>
  <si>
    <t>LAPTOP LENOVO THINKPAD X390</t>
  </si>
  <si>
    <t>MÁY TÍNH XÁCH TAY LENOVO THINKPAD X390</t>
  </si>
  <si>
    <t>800.010.004</t>
  </si>
  <si>
    <t xml:space="preserve"> PHOTOCOPY MACHINE APEOSPORT 2560</t>
  </si>
  <si>
    <t>MÁY PHOTOCOPY APEOSPORT 2560</t>
  </si>
  <si>
    <t>V51.000.089</t>
  </si>
  <si>
    <t>THIEN KIM TAY DO RICE IN PLASTIC PAC 5KG</t>
  </si>
  <si>
    <t>GẠO THIÊN KIM ĐẶC SẢN TÂY ĐÔ ĐÓNG TRONG TÚI NHỰA 5KG</t>
  </si>
  <si>
    <t>V51.061.018</t>
  </si>
  <si>
    <t>HAND NOTE SIMPLY 8CM X 15CM</t>
  </si>
  <si>
    <t>SỔ TAY SIMPLY 8CM X 15 CM</t>
  </si>
  <si>
    <t>V51.600.095</t>
  </si>
  <si>
    <t>KIDDY SHELF (31 X 30)</t>
  </si>
  <si>
    <t>KỆ KIDDY (31 X30)</t>
  </si>
  <si>
    <t>7.C35025599970144</t>
  </si>
  <si>
    <t>GLASS CLEANER POWER100 MINT SCENT, 3,8L X 4 JRG IN CARTON</t>
  </si>
  <si>
    <t>NƯỚC LAU KÍNH POWER100 HƯƠNG BẠC HÀ, LOẠI 3,8L X 4 CAN TRONG THÙNG CARTON</t>
  </si>
  <si>
    <t>7.C3502559997014401</t>
  </si>
  <si>
    <t>GLASS CLEANER POWER100 MINT SCENT, 3,8L</t>
  </si>
  <si>
    <t>NƯỚC LAU KÍNH POWER100 HƯƠNG BẠC HÀ, LOẠI 3,8L</t>
  </si>
  <si>
    <t>7.A320108990201</t>
  </si>
  <si>
    <t>MEIZAN PREMIUM EGG NOODLE 1KG X 8 BAG</t>
  </si>
  <si>
    <t>MÌ TRỨNG CAO CẤP MEIZAN 1KG X 8 GÓI</t>
  </si>
  <si>
    <t>7.A32010899020101</t>
  </si>
  <si>
    <t>MEIZAN PREMIUM EGG NOODLE 1KG</t>
  </si>
  <si>
    <t>MÌ TRỨNG CAO CẤP MEIZAN 1KG</t>
  </si>
  <si>
    <t>V51.048.019</t>
  </si>
  <si>
    <t>7.5239905990297</t>
  </si>
  <si>
    <t>COMPASS PREMIUM ALL-PURPOSE FLOUR (1KG)</t>
  </si>
  <si>
    <t>BỘT MÌ ĐA DỤNG CAO CẤP HIỆU LA BÀN (1KG)</t>
  </si>
  <si>
    <t>7.5239905990197</t>
  </si>
  <si>
    <t>COMPASS PREMIUM ALL-PURPOSE FLOUR (0.5KG)</t>
  </si>
  <si>
    <t>BỘT MÌ ĐA DỤNG CAO CẤP HIỆU LA BÀN (0.5KG)</t>
  </si>
  <si>
    <t>7.52399083902AA</t>
  </si>
  <si>
    <t>MEIZAN HI-RATIO CAKE FLOUR (1KG)</t>
  </si>
  <si>
    <t>BỘT MÌ CHUYÊN DỤNG CHO BÁNH BÔNG LAN HIỆU MEIZAN (1KG)</t>
  </si>
  <si>
    <t>7.52399083802A6</t>
  </si>
  <si>
    <t>MEIZAN UNBLEACHED BREAD FLOUR (1KG)</t>
  </si>
  <si>
    <t>BỘT MÌ CHUYÊN DỤNG CHO BÁNH MÌ HIỆU MEIZAN (1KG)</t>
  </si>
  <si>
    <t>7.B2508549994010504</t>
  </si>
  <si>
    <t>PORK BOUILLON GRANULE 380G X 20 PACK ON PACK 20 BOT NAM DUONG CONDENSED SOY SAUCE 280ML</t>
  </si>
  <si>
    <t>HẠT NÊM 4 TRONG 1 - VỊ HEO 380G X 20 GÓI ĐÓNG KÈM  20 CHAI THỰC PHẨM BỔ SUNG NƯỚC TƯƠNG NAM DƯƠNG ĐẬM ĐẶC 280ML/THÙNG</t>
  </si>
  <si>
    <t>7.B250854999401050401</t>
  </si>
  <si>
    <t>PORK BOUILLON GRANULE 380G X 01 PACK ON PACK 01 BOT NAM DUONG CONDENSED SOY SAUCE 280ML</t>
  </si>
  <si>
    <t>HẠT NÊM 4 TRONG 1 - VỊ HEO 380G ĐÓNG KÈM 01 CHAI THỰC PHẨM BỔ SUNG NƯỚC TƯƠNG NAM DƯƠNG ĐẬM ĐẶC 280ML</t>
  </si>
  <si>
    <t>V39.00A.004</t>
  </si>
  <si>
    <t>"3 THẬT"  CHILLI SAUCE T-SHIRTS</t>
  </si>
  <si>
    <t>ÁO THUN TƯƠNG ỚT 3 THẬT</t>
  </si>
  <si>
    <t>V39.00A.005</t>
  </si>
  <si>
    <t xml:space="preserve"> T-SHIRTS</t>
  </si>
  <si>
    <t>V51.00A.034</t>
  </si>
  <si>
    <t>"3 THẬT" CHILLI SAUCE CARTON RACK</t>
  </si>
  <si>
    <t>KỆ CARTON TƯƠNG ỚT 3 THẬT</t>
  </si>
  <si>
    <t>7.131005580801H20</t>
  </si>
  <si>
    <t>MEIZAN CREAMING FAT IN PE BAG @20KG</t>
  </si>
  <si>
    <t>CHẤT BÉO KEM BÁNH HIỆU MEIZAN(NHÃN MÀU XANH)20KG</t>
  </si>
  <si>
    <t>7.458052261200000</t>
  </si>
  <si>
    <t>SATELLITE RBD SUNFLOWER OIL IN JRG @25KG</t>
  </si>
  <si>
    <t>DẦU HƯỚNG DƯƠNG TINH LUYỆN NHÃN HIỆU SATELLITE 25KG</t>
  </si>
  <si>
    <t>V78.000.035</t>
  </si>
  <si>
    <t>TYPE 6: SHIRT, TROUSERS FOR MALE</t>
  </si>
  <si>
    <t>MẪU 6: ÁO SƠ MI, QUẦN ÂU NAM</t>
  </si>
  <si>
    <t>6.70544</t>
  </si>
  <si>
    <t>CASTOR OIL PALE PRESSED GRADE IN  DRUM 200KG</t>
  </si>
  <si>
    <t>DẦU THẦU DẦU - CASTOR OIL PALE PRESSED GRADE ĐÓNG TRONG PHUY 200KG</t>
  </si>
  <si>
    <t>7.70555</t>
  </si>
  <si>
    <t>MIZULAN L128-40 BRAND MES(METHYL ESTER SULFONATE) IN GLASS BOTLE  0.5KG</t>
  </si>
  <si>
    <t>CHẤT HOẠT ĐỘNG BỀ MẶT MES(METHYL ESTER SULFONATE) NHÃN HIỆU MIZULAN L128-40 ĐÓNG TRONG CHAI THỦY TINH 0.5KG</t>
  </si>
  <si>
    <t>7.D37011099AA25</t>
  </si>
  <si>
    <t>DARK CHOCOLATE COMPOUND SLD-3100B-116T, NAKED BLOCK 2.5KG IN CARTON 25KG</t>
  </si>
  <si>
    <t>SÔ-CÔ-LA ĐEN SLD-3100B-116T NAKED BLOCK 2.5KG ĐÓNG TRONG THÙNG CARTON 25KG</t>
  </si>
  <si>
    <t>7.D37011099AA46</t>
  </si>
  <si>
    <t>MILK CHOCOLATE COMPOUND SLM-3101B-116T, NAKED BLOCK 2.5KG IN CARTON 25KG</t>
  </si>
  <si>
    <t>SÔ-CÔ-LA SỮA SLM-3101B-116T, NAKED BLOCK 2.5KG ĐÓNG TRONG THÙNG CARTON 25KG</t>
  </si>
  <si>
    <t>V51.00A.035</t>
  </si>
  <si>
    <t>GRANULE ONPACK BAG (28.5X39.5) VER 2</t>
  </si>
  <si>
    <t>TÚI KHUYẾN MÃI HẠT NÊM (28.5X39.5) VER 2</t>
  </si>
  <si>
    <t>V51.00A.036</t>
  </si>
  <si>
    <t>GRANULE ONPACK BAG (26X32) VER 2</t>
  </si>
  <si>
    <t>TÚI KHUYẾN MÃI HẠT NÊM (26X32) VER 2</t>
  </si>
  <si>
    <t>V39.00A.006</t>
  </si>
  <si>
    <t>TISSUE PLASTIC BOX</t>
  </si>
  <si>
    <t>HỘP NHỰA ĐỰNG GIẤY</t>
  </si>
  <si>
    <t>7.131087011700H10</t>
  </si>
  <si>
    <t>CO-NEPTUNE LIGHT IN BOTTLE@250ML</t>
  </si>
  <si>
    <t>7.131087121700H10</t>
  </si>
  <si>
    <t>CO-NEPTUNE LIGHT IN BOTTLE @400ML</t>
  </si>
  <si>
    <t>CO-NEPTUNE LIGHT IN BOTTLE@1L</t>
  </si>
  <si>
    <t>CO-NEPTUNE LIGHT IN BOTTLE@2L</t>
  </si>
  <si>
    <t>CO-NEPTUNE LIGHT IN BOTTLE@5L</t>
  </si>
  <si>
    <t>V51.048.021</t>
  </si>
  <si>
    <t>OYSTER SAUCE 270GR</t>
  </si>
  <si>
    <t>DẦU HÀO 270GR</t>
  </si>
  <si>
    <t>7.70556</t>
  </si>
  <si>
    <t>ERCAMULS LF 65 IN PLASTIC BOTTLE 1KG</t>
  </si>
  <si>
    <t>CHẤT NHŨ HÓA ERCAMULS LF 65 ĐÓNG TRONG CHAI NHỰA 1KG</t>
  </si>
  <si>
    <t>7.70557</t>
  </si>
  <si>
    <t>ERCAPEG 6000 DS IN PLASTIC BOTTLE 1KG</t>
  </si>
  <si>
    <t>CHẤT DƯỠNG ẨM ERCAPEG 6000 DS ĐÓNG TRONG CHAI NHỰA 1KG</t>
  </si>
  <si>
    <t>7.70558</t>
  </si>
  <si>
    <t>ERCAREL AB IN PLASTIC BOTTLE 1KG</t>
  </si>
  <si>
    <t>CHẤT LÀM MỀM DA ERCAREL AB ĐÓNG TRONG CHAI NHỰA 1KG</t>
  </si>
  <si>
    <t>7.70559</t>
  </si>
  <si>
    <t>ERCAREL DCA IN PLASTIC BOTTLE 1KG</t>
  </si>
  <si>
    <t>CHẤT LÀM MỀM DA ERCAREL DCA ĐÓNG TRONG CHAI NHỰA 1KG</t>
  </si>
  <si>
    <t>7.70560</t>
  </si>
  <si>
    <t>ERCATENS PGO IN PLASTIC BOTTLE 1KG</t>
  </si>
  <si>
    <t>CHẤT HOẠT ĐỘNG BỀ MẶT ERCATENS PGO ĐÓNG TRONG CHAI NHỰA 1KG</t>
  </si>
  <si>
    <t>7.70561</t>
  </si>
  <si>
    <t>ERCAREL SHO IN PLASTIC BOTTLE 1KG</t>
  </si>
  <si>
    <t>CHẤT LÀM MỀM DA ERCAREL SHO ĐÓNG TRONG CHAI NHỰA 1KG</t>
  </si>
  <si>
    <t>7.70562</t>
  </si>
  <si>
    <t>ERCAMULS LF 3 IN PLASTIC BOTTLE 1KG</t>
  </si>
  <si>
    <t>CHẤT NHŨ HÓA ERCAMULS LF 3 ĐÓNG TRONG CHAI NHỰA 1KG</t>
  </si>
  <si>
    <t>6.52399029803</t>
  </si>
  <si>
    <t>BLUE KEY NOODLE 37.5KG</t>
  </si>
  <si>
    <t>BỘT MÌ HIỆU CHÌA KHÓA XANH MÌ SỢI (37,5KG)</t>
  </si>
  <si>
    <t>V51.901.071</t>
  </si>
  <si>
    <t>MEIZAN STANDEE FRAME (1.7M X 0.6M)</t>
  </si>
  <si>
    <t>KHUNG PHƯỚN ĐỨNG MEIZAN (1,7M X 0,6M)</t>
  </si>
  <si>
    <t>V51.600.100</t>
  </si>
  <si>
    <t>ARTWORK MEIZAN MARGARINE FOR STANDEE 1.6M X 0.6M</t>
  </si>
  <si>
    <t>TẤM HÌNH ẢNH BƠ MEIZAN 1,6M X 0,6M</t>
  </si>
  <si>
    <t>V51.600.101</t>
  </si>
  <si>
    <t>ARTWORK MEIZAN SSO FOR STANDEE 1,6MX0,6</t>
  </si>
  <si>
    <t>TẤM HÌNH ẢNH DẦU MÈ MEIZAN 1,6M X 0,6M</t>
  </si>
  <si>
    <t>V51.000.090</t>
  </si>
  <si>
    <t>MEADOW FRESH DISPLAY SHELF</t>
  </si>
  <si>
    <t>KỆ GIẤY TRƯNG BÀY MEADOW FRESH</t>
  </si>
  <si>
    <t>V51.000.091</t>
  </si>
  <si>
    <t>MEADOW FRESH SHELF-TALKER</t>
  </si>
  <si>
    <t>TẤM QUẢNG CÁO MEADOW FRESH DÁN TRÊN KỆ BÁN HÀNG</t>
  </si>
  <si>
    <t>6.70545</t>
  </si>
  <si>
    <t>WILMAR CAB - COCAMIDOPROPYL BETAINE IN DRUM 200KG</t>
  </si>
  <si>
    <t>CHẤT HOẠT ĐỘNG BỀ MẶT WILMAR CAB - COCAMIDOPROPYL BETAINE ĐÓNG TRONG PHUY 200KG</t>
  </si>
  <si>
    <t>7.A3199089933A7</t>
  </si>
  <si>
    <t>MEIZAN CENTRAL VIETNAM PANCAKE MIX 400G X 12 BAG</t>
  </si>
  <si>
    <t>BỘT BÁNH XÈO MIỀN TRUNG MEIZAN 400G X 12 GÓI</t>
  </si>
  <si>
    <t>7.A3199089933A701</t>
  </si>
  <si>
    <t>MEIZAN CENTRAL VIETNAM PANCAKE MIX 400G</t>
  </si>
  <si>
    <t>BỘT BÁNH XÈO MIỀN TRUNG MEIZAN 400G</t>
  </si>
  <si>
    <t>7.A320580990101</t>
  </si>
  <si>
    <t>OLIVOILÀ SPAGHETTI N.5 500G X 24 BAG</t>
  </si>
  <si>
    <t>7.A32058099010101</t>
  </si>
  <si>
    <t>OLIVOILÀ SPAGHETTI N.5 500G/ PAC</t>
  </si>
  <si>
    <t>MÌ SPAGHETTI OLIVOILÀ N.5 500G/ GÓI</t>
  </si>
  <si>
    <t>7.A320580997701</t>
  </si>
  <si>
    <t>OLIVOILÀ SPAGHETTI N.5 500G X 18 BOX</t>
  </si>
  <si>
    <t>7.A32058099770101</t>
  </si>
  <si>
    <t>OLIVOILÀ SPAGHETTI N.5 500G/ BOX</t>
  </si>
  <si>
    <t>MÌ SPAGHETTI OLIVOILÀ N.5 500G/ HỘP</t>
  </si>
  <si>
    <t>V51.000.092</t>
  </si>
  <si>
    <t>OYSTER SAUCE IN PLASTIC BOTTLE 270G</t>
  </si>
  <si>
    <t>DẦU HÀO ĐÓNG TRONG CHAI NHỰA 270G</t>
  </si>
  <si>
    <t>V51.000.093</t>
  </si>
  <si>
    <t>NEPTUNE ST24 SPECIALTY RICE IN PLASTIC BAG 5KG</t>
  </si>
  <si>
    <t>NEPTUNE GẠO THƠM ĐẶC SẢN ST24 ĐÓNG TRONG TÚI NHỰA 5KG</t>
  </si>
  <si>
    <t>7.101159591200A60</t>
  </si>
  <si>
    <t>ORCHID ROL IV 56 IN JERRYCAN @25KG</t>
  </si>
  <si>
    <t>DẦU THỰC VẬT TINH LUYỆN NHÃN HIỆU ORCHID 25KG</t>
  </si>
  <si>
    <t>7.1340210999901</t>
  </si>
  <si>
    <t>SHORTENING EMULSIFIER CME PUMP IN STEEL PAIL 12KG</t>
  </si>
  <si>
    <t>CHẤT NHŨ HÓA SHORTENING EMULSIFIER CME PUMP TRONG THÙNG THÉP 12KG</t>
  </si>
  <si>
    <t>V86.00A.001</t>
  </si>
  <si>
    <t>CARTON MEIZAN 0.5 KG</t>
  </si>
  <si>
    <t>THÙNG CARTON MEIZAN 0.5KG</t>
  </si>
  <si>
    <t>V86.00A.002</t>
  </si>
  <si>
    <t>CARTON MEIZAN 1 KG</t>
  </si>
  <si>
    <t>THÙNG CARTON MEIZAN 1KG</t>
  </si>
  <si>
    <t>7.B25085499830105</t>
  </si>
  <si>
    <t>PORK BOUILLON GRANULE 350G X 24 PAC/CAR</t>
  </si>
  <si>
    <t>HẠT NÊM 4 TRONG 1 - VỊ HEO 350G X 24 GÓI/THÙNG</t>
  </si>
  <si>
    <t>7.B2508549983010501</t>
  </si>
  <si>
    <t>HẠT NÊM 4 TRONG 1 - VỊ HEO 350G</t>
  </si>
  <si>
    <t>6.70546</t>
  </si>
  <si>
    <t>WILFARIN REFINED GLYCERINE 99.7% IN STEEL DRUM 250KG</t>
  </si>
  <si>
    <t>WILFARIN GLYXERIN TINH KHIẾT 99,7% ĐÓNG TRONG PHUY THÉP 250KG</t>
  </si>
  <si>
    <t>7.B25085499080105</t>
  </si>
  <si>
    <t>PORK BOUILLON GRANULE 150G X 36 PAC/CAR</t>
  </si>
  <si>
    <t>HẠT NÊM 4 TRONG 1 - VỊ HEO 150G X 36 GÓI/THÙNG</t>
  </si>
  <si>
    <t>7.B2508549908010501</t>
  </si>
  <si>
    <t>HẠT NÊM 4 TRONG 1 - VỊ HEO 150G</t>
  </si>
  <si>
    <t>7.B2508542442010610</t>
  </si>
  <si>
    <t>MUSHROOM BOUILLON GRANULE 380G X 20 PAC ON PACK 20 BOT NEPTUNE LIGHT 0.25L/CAR</t>
  </si>
  <si>
    <t>HẠT NÊM TAM BẢO VỊ NẤM 380G X 20 GÓI ĐÓNG KÈM 20 CHAI DẦU ĂN THƯỢNG HẠNG NHÃN HIỆU NEPTUNE LIGHT 0.25L / THÙNG</t>
  </si>
  <si>
    <t>7.B250854244201061001</t>
  </si>
  <si>
    <t>MUSHROOM BOUILLON GRANULE 850G  ON PACK 01 BOT NEPTUNE LIGHT 0.25L</t>
  </si>
  <si>
    <t>HẠT NÊM TAM BẢO VỊ NẤM 380G ĐÓNG KÈM 01 CHAI DẦU ĂN THƯỢNG HẠNG NHÃN HIỆU NEPTUNE LIGHT 0.25L</t>
  </si>
  <si>
    <t>7.B2508549932010501</t>
  </si>
  <si>
    <t>PORK BOUILLON GRANULE 200G</t>
  </si>
  <si>
    <t>HẠT NÊM 4 TRONG 1 - VỊ HEO 200G</t>
  </si>
  <si>
    <t>7.B24106399A0014712</t>
  </si>
  <si>
    <t>ROASTED FLAVORED RICE MAYONNAISE 230G X 24 BOT ONPACK 24 SET OF TWO PEELERS</t>
  </si>
  <si>
    <t>MAYONNAISE HƯƠNG GẠO RANG 230G X 24 CHAI ĐÓNG KÈM 24 BỘ DAO BÀO</t>
  </si>
  <si>
    <t>7.B24106399A001471201</t>
  </si>
  <si>
    <t>ROASTED FLAVORED RICE MAYONNAISE 230G ONPACK 01 SET OF TWO PEELERS</t>
  </si>
  <si>
    <t>MAYONNAISE HƯƠNG GẠO RANG 230G ĐÓNG KÈM 01 BỘ DAO BÀO</t>
  </si>
  <si>
    <t>7.B24106399A0014812</t>
  </si>
  <si>
    <t>MAYONNAISE (DIPPING AND MIXING) 230G X 24 BOT ONPACK 24  SET OF TWO PEELERS</t>
  </si>
  <si>
    <t>MAYONNAISE (CHẤM VÀ TRỘN ĐỀU NGON) 230G X 24 CHAI ĐÓNG KÈM 24 BỘ DAO BÀO</t>
  </si>
  <si>
    <t>7.B24106399A001481201</t>
  </si>
  <si>
    <t>MAYONNAISE (DIPPING AND MIXING) 230G  ONPACK 01 SET OF TWO PEELERS</t>
  </si>
  <si>
    <t>MAYONNAISE (CHẤM VÀ TRỘN ĐỀU NGON) 230G ĐÓNG KÈM 01 BỘ DAO BÀO</t>
  </si>
  <si>
    <t>V51.600.102</t>
  </si>
  <si>
    <t>NEPTUNE LIGHT BANNER 5M X 1.2 M</t>
  </si>
  <si>
    <t>BĂNG RÔN NEPTUNE LIGHT (5M X 1.2M)</t>
  </si>
  <si>
    <t>V51.153.028</t>
  </si>
  <si>
    <t>NEPTUNE LIGHT TRANSPARENT TOTE BAG</t>
  </si>
  <si>
    <t>TÚI TOTE TRONG SUỐT NEPTUNE LIGHT</t>
  </si>
  <si>
    <t>7.1070123101852250TD</t>
  </si>
  <si>
    <t>7.131078041704E10TD</t>
  </si>
  <si>
    <t>7.B24012399379213TD</t>
  </si>
  <si>
    <t>V51.046.022</t>
  </si>
  <si>
    <t>PORK BOUILLON GRANULE 50G(WITHOUT CANXI)</t>
  </si>
  <si>
    <t>V51.046.024</t>
  </si>
  <si>
    <t>PORK BOUILLON GRANULE350G(WITHOUT CANXI)</t>
  </si>
  <si>
    <t>V34.303.014</t>
  </si>
  <si>
    <t>NEPTUNE LIGHT HELMETS</t>
  </si>
  <si>
    <t>MŨ BẢO HIỂM NEPTUNE LIGHT</t>
  </si>
  <si>
    <t>V39.013.056</t>
  </si>
  <si>
    <t>NEPTUNE LIGHT T-SHIRT</t>
  </si>
  <si>
    <t>ÁO THUN NEPTUNE LIGHT</t>
  </si>
  <si>
    <t>7.D3701109902AA24</t>
  </si>
  <si>
    <t>WHITE COMPOUND SLW-3200B, BLOCK 1KG,  IN CARTON 10KG</t>
  </si>
  <si>
    <t>SÔ-CÔ-LA TRẮNG SLW-3200B, BLOCK 1KG, ĐÓNG TRONG THÙNG CARTON 10KG</t>
  </si>
  <si>
    <t>7.E3801789985AA32</t>
  </si>
  <si>
    <t>MEADOW FRESH FULL CREAM UHT MILK INTL 1LX12</t>
  </si>
  <si>
    <t>SỮA TƯƠI TIỆT TRÙNG NGUYÊN KEM NHÃN HIỆU MEADOW FRESH (INTL) 1LX12</t>
  </si>
  <si>
    <t>7.E3801789985AA3201</t>
  </si>
  <si>
    <t>MEADOW FRESH FULL CREAM UHT MILK INTL 1L</t>
  </si>
  <si>
    <t>SỮA TƯƠI TIỆT TRÙNG NGUYÊN KEM NHÃN HIỆU MEADOW FRESH (INTL) 1L</t>
  </si>
  <si>
    <t>7.C35045599A10144</t>
  </si>
  <si>
    <t>POWER100 TOILET CLEANER MINT SCENT, 900ML X 12 BOTTLES IN CARTON</t>
  </si>
  <si>
    <t>NƯỚC TẨY BỒN CẦU VÀ NHÀ TẮM POWER100 HƯƠNG BẠC HÀ, LOẠI 900ML X 12 CHAI TRONG THÙNG CARTON</t>
  </si>
  <si>
    <t>7.C35045599A1014401</t>
  </si>
  <si>
    <t>POWER100 TOILET CLEANER MINT SCENT, 900ML</t>
  </si>
  <si>
    <t>NƯỚC TẨY BỒN CẦU VÀ NHÀ TẮM POWER100 HƯƠNG BẠC HÀ, LOẠI 900ML</t>
  </si>
  <si>
    <t>7.C35015599505927</t>
  </si>
  <si>
    <t>POWER100 DISHWASHING LIQUID LEMON, 9,5 KG X 2 JRG IN CARTON, EXPORT TO CAMBODIA</t>
  </si>
  <si>
    <t>NƯỚC RỬA CHÉN POWER100 HƯƠNG CHANH, LOẠI 9,5 KG X 2 CAN TRONG THÙNG CARTON, XK CAMPUCHIA</t>
  </si>
  <si>
    <t>7.C3501559950592701</t>
  </si>
  <si>
    <t>POWER100 DISHWASHING LIQUID LEMON, 9,5 KG, EXPORT TO CAMBODIA</t>
  </si>
  <si>
    <t>NƯỚC RỬA CHÉN POWER100 HƯƠNG CHANH, LOẠI 9,5 KG, XK CAMPUCHIA</t>
  </si>
  <si>
    <t>V51.600.094</t>
  </si>
  <si>
    <t>SIMPLY _PEELER</t>
  </si>
  <si>
    <t>DAO BÀO (THIẾT KẾ TIẾNG VIỆT)</t>
  </si>
  <si>
    <t>087.001.001</t>
  </si>
  <si>
    <t>W+ DMSSFA</t>
  </si>
  <si>
    <t>W+ DMSSFA-ROOT PRODUCT</t>
  </si>
  <si>
    <t>087.001.002</t>
  </si>
  <si>
    <t>W+ DMSSFA (GHANA WAL)</t>
  </si>
  <si>
    <t>W+ DMSSFA - GHANA WAL</t>
  </si>
  <si>
    <t>087.001.003</t>
  </si>
  <si>
    <t>W+ DMSSFA (ZA)</t>
  </si>
  <si>
    <t>W+ DMSSFA - SOUTH AFRICA</t>
  </si>
  <si>
    <t>087.101.001</t>
  </si>
  <si>
    <t>WAREHOUSE MANAGEMENT SYSTEM (WMS)</t>
  </si>
  <si>
    <t>087.101.002</t>
  </si>
  <si>
    <t>WAREHOUSE MANAGEMENT SYSTEM (WMS) (CLFQN)</t>
  </si>
  <si>
    <t>7.70563</t>
  </si>
  <si>
    <t>VEGETABLE FAT WILMAX 1050 PACKING IN 20KG CARTON</t>
  </si>
  <si>
    <t>CHẤT BÉO THỰC VẬT WILMAX 1050 ĐÓNG TRONG THÙNG CARTON 20KG</t>
  </si>
  <si>
    <t>V51.050.025</t>
  </si>
  <si>
    <t>OLIVOILA SPAGHETTI N.5 500G/BOX</t>
  </si>
  <si>
    <t>V51.600.103</t>
  </si>
  <si>
    <t>NEPTUNE LIGHT WINDOW FRAME 80CM</t>
  </si>
  <si>
    <t>THANH WINDOW FRAME 80CM (THANH TRƯNG BÀY 80CM "NEPTUNE LIGHT")</t>
  </si>
  <si>
    <t>V51.600.104</t>
  </si>
  <si>
    <t>NEPTUNE LIGHT WINDOW FRAME 120CM</t>
  </si>
  <si>
    <t>THANH WINDOW FRAME 120CM (THANH TRUNG BÀY 120CM " NEPTUNE LIGHT")</t>
  </si>
  <si>
    <t>V51.600.105</t>
  </si>
  <si>
    <t>NEPTUNE LIGHT WINDOW FRAME 160CM</t>
  </si>
  <si>
    <t>THANH WINDOW FRAME 160CM (THANH TRƯNG BÀY 160CM "NEPTUNE LIGHT")</t>
  </si>
  <si>
    <t>V51.600.106</t>
  </si>
  <si>
    <t>NEPTUNE LIGHT BOTTLE MOCKUP FOR WF</t>
  </si>
  <si>
    <t>MOCKUP CHAI DẦU CHO WF (MÔ HÌNH CHAI DẦU "NEPTUNE LIGHT")</t>
  </si>
  <si>
    <t>V51.601.003</t>
  </si>
  <si>
    <t>NEPTUNE LIGHT LOGO MOCKUP FOR WF</t>
  </si>
  <si>
    <t>MOCKUP LOGO ÔNG VUA CHO WF (MÔ HÌNH LOGO "NEPTUNE")</t>
  </si>
  <si>
    <t>V51.046.023</t>
  </si>
  <si>
    <t>PORK BOUILLON GRANULE150G(WITHOUT CANXI)</t>
  </si>
  <si>
    <t>V51.00A.037</t>
  </si>
  <si>
    <t>CHILLI SAUCE DISPLAY IRON SHELF</t>
  </si>
  <si>
    <t>KỆ TRƯNG BÀY TƯƠNG ỚT</t>
  </si>
  <si>
    <t>7.52399269998A8</t>
  </si>
  <si>
    <t>BLUE KEY PAU THO PHAT 37.5KG</t>
  </si>
  <si>
    <t>BỘT MÌ HIỆU CKX BÁNH BAO THỌ PHÁT (37,5KG)</t>
  </si>
  <si>
    <t>V78.000.036</t>
  </si>
  <si>
    <t>WILMAR WINDBREAKER JACKET</t>
  </si>
  <si>
    <t>ÁO KHOÁC GIÓ WILMAR</t>
  </si>
  <si>
    <t>V78.000.037</t>
  </si>
  <si>
    <t>WILMAR WINTER JACKET</t>
  </si>
  <si>
    <t>ÁO KHOÁC MÙA ĐÔNG WILMAR</t>
  </si>
  <si>
    <t>7.C35015599A20127</t>
  </si>
  <si>
    <t>POWER100 DISHWASHING LIQUID LEMON, 2,7 KG X 4 POUCHES IN CARTON</t>
  </si>
  <si>
    <t>NƯỚC RỬA CHÉN POWER100 HƯƠNG CHANH, LOẠI 2,7 KG X 4 TÚI TRONG THÙNG CARTON</t>
  </si>
  <si>
    <t>7.C35015599A2012701</t>
  </si>
  <si>
    <t xml:space="preserve">POWER100 DISHWASHING LIQUID LEMON, 2,7 KG_x000D_
</t>
  </si>
  <si>
    <t>NƯỚC RỬA CHÉN POWER100 HƯƠNG CHANH, LOẠI 2,7 KG</t>
  </si>
  <si>
    <t>POWER100 DISHWASHING LIQUID LEMON, 2,7 KG</t>
  </si>
  <si>
    <t>6.70547</t>
  </si>
  <si>
    <t>WILFARIN REFINED GLYCERINE 99.7% IN FLEXIBAG</t>
  </si>
  <si>
    <t>PHỤ GIA THỰC PHẨM GLYXERIN TINH KHIẾT 99,7% - WILFARIN, ĐÓNG TRONG TÚI FLEXIBAG</t>
  </si>
  <si>
    <t>V51.901.073</t>
  </si>
  <si>
    <t>KIDDY COMBO 2 MEALS SET</t>
  </si>
  <si>
    <t>BỘ 2 DỤNG CỤ ĂN DẶM KIDDY</t>
  </si>
  <si>
    <t>V51.000.094</t>
  </si>
  <si>
    <t>THIEN KIM JASMINE RICE IN PLASTIC PAC 5KG</t>
  </si>
  <si>
    <t>GẠO THIÊN KIM HƯƠNG LÀI ĐÓNG TRONG TÚI NHỰA 5KG</t>
  </si>
  <si>
    <t>V51.000.095</t>
  </si>
  <si>
    <t>THIEN KIM A RICE IN PLASTIC PAC 5KG</t>
  </si>
  <si>
    <t>GẠO THIÊN KIM A ĐÓNG TRONG TÚI NHỰA 5KG</t>
  </si>
  <si>
    <t>7.B2401230237010101TD</t>
  </si>
  <si>
    <t>7.52399079905A9</t>
  </si>
  <si>
    <t>GREEN KEY CLASSIC 25KG</t>
  </si>
  <si>
    <t>BỘT MÌ HIỆU CHÌA KHÓA XANH LÁ (25KG)</t>
  </si>
  <si>
    <t>7.52399159905A9</t>
  </si>
  <si>
    <t>RED KEY CLASSIC 25KG</t>
  </si>
  <si>
    <t>BỘT MÌ HIỆU CHÌA KHÓA ĐỎ (25KG)</t>
  </si>
  <si>
    <t>7.52399129905A9</t>
  </si>
  <si>
    <t>PINK KEY CLASSIC 25KG</t>
  </si>
  <si>
    <t>BỘT MÌ HIỆU CHÌA KHÓA HỒNG (25KG)</t>
  </si>
  <si>
    <t>7.52399799905A9</t>
  </si>
  <si>
    <t>RED SATELLITE CLASSIC 25KG</t>
  </si>
  <si>
    <t>V51.901.074</t>
  </si>
  <si>
    <t>KIDDY COMBO 3 MEALS SET</t>
  </si>
  <si>
    <t>BỘ 3 DỤNG CỤ ĂN DẶM KIDDY</t>
  </si>
  <si>
    <t>6.1312046</t>
  </si>
  <si>
    <t>BLEND [70 RSBO : 30 ROL 1005]</t>
  </si>
  <si>
    <t>NGUYÊN LIỆU THỰC PHẨM DẦU THỰC VẬT TINH LUYỆN</t>
  </si>
  <si>
    <t>7.1070120895509010</t>
  </si>
  <si>
    <t>MEIZANLIQUIDBUTTEROILALTERNATIVEBIB@18KG</t>
  </si>
  <si>
    <t>DẦU BƠ THAY THẾ DẠNG LỎNG NHÃN HIỆU MEIZAN 18KG</t>
  </si>
  <si>
    <t>V39.000.059</t>
  </si>
  <si>
    <t>7.1340310992901</t>
  </si>
  <si>
    <t>REFINED HYDROGENATED PALM KERNEL OLEIN (BESSCOTE 3840) IN CARTON 20KG</t>
  </si>
  <si>
    <t>DẦU OLEIN NHÂN CỌ HYDRO HÓA, TINH LUYỆN (BESSCOTE 3840) ĐÓNG TRONG THÙNG CARTON 20KG</t>
  </si>
  <si>
    <t>7.1340308992901</t>
  </si>
  <si>
    <t>MEIZAN BRAND REFINED HYDROGENATED PALM KERNEL OLEIN-WIFIL 400 IN CARTON 20KG</t>
  </si>
  <si>
    <t>DẦU OLEIN NHÂN CỌ HYDRO HÓA, TINH LUYỆN WILFIL 400 NHÃN HIỆU MEIZAN ĐÓNG TRONG THÙNG CARTON 20KG</t>
  </si>
  <si>
    <t>V51.046.021</t>
  </si>
  <si>
    <t>HẠT NÊM 4 TRONG 1 – VỊ HEO 200GR</t>
  </si>
  <si>
    <t>7.B25085499320105</t>
  </si>
  <si>
    <t>PORK BOUILLON GRANULE 200G X 120 PAC/CAR</t>
  </si>
  <si>
    <t>HẠT NÊM 4 TRONG 1 - VỊ HEO 200G X 120 GÓI/THÙNG</t>
  </si>
  <si>
    <t>7.B24106399A00147</t>
  </si>
  <si>
    <t>ROASTED FLAVORED RICE MAYONNAISE 230G X 24 BOT/ CAR</t>
  </si>
  <si>
    <t>7.B24106399A0014701</t>
  </si>
  <si>
    <t>ROASTED FLAVORED RICE MAYONNAISE 230G</t>
  </si>
  <si>
    <t>MAYONNAISE HƯƠNG GẠO RANG 230G</t>
  </si>
  <si>
    <t>7.B24106399A00148</t>
  </si>
  <si>
    <t>MAYONNAISE (DIPPING AND MIXING) 230G X 24 BOT/CAR</t>
  </si>
  <si>
    <t>7.B24106399A0014801</t>
  </si>
  <si>
    <t>MAYONNAISE (DIPPING AND MIXING) 230G</t>
  </si>
  <si>
    <t>MAYONNAISE (CHẤM VÀ TRỘN ĐỀU NGON) 230G</t>
  </si>
  <si>
    <t>6.1212B11</t>
  </si>
  <si>
    <t>RBD PALM OLEIN (TTP)</t>
  </si>
  <si>
    <t>DẦU OLEIN CỌ TRONG XE BỒN (TTP)</t>
  </si>
  <si>
    <t>V51.600.200</t>
  </si>
  <si>
    <t>DIEM 10 WINDOW FRAME 120CM</t>
  </si>
  <si>
    <t>THANH WINDOW FRAME 120CM (THANH TRƯNG BÀY 120CM "ĐIỂM 10")</t>
  </si>
  <si>
    <t>V51.600.201</t>
  </si>
  <si>
    <t>DIEM 10 WINDOW FRAME 160CM</t>
  </si>
  <si>
    <t>THANH WINDOW FRAME 160CM (THANH TRƯNG BÀY 160CM "ĐIỂM 10")</t>
  </si>
  <si>
    <t>7.101041792200E60</t>
  </si>
  <si>
    <t>RE-REFINED PALM OLEIN(TTP) FLEXIBAG@20MT</t>
  </si>
  <si>
    <t>DẦU OLEIN CỌ TINH LUYỆN TRONG TÚI FLEXIBAG (TTP)</t>
  </si>
  <si>
    <t>6.1212B12</t>
  </si>
  <si>
    <t>RE-REFINED PALM OLEIN (TTP)</t>
  </si>
  <si>
    <t>DẦU OLEIN CỌ TINH LUYỆN TRONG XE BỒN (TTP)</t>
  </si>
  <si>
    <t>7.C35015599540149</t>
  </si>
  <si>
    <t>POWER100 DISHWASHING LIQUID GREEN TEA, 1,5 KG X 8 JRG IN CARTON</t>
  </si>
  <si>
    <t>NƯỚC RỬA CHÉN POWER100 TRÀ XANH, LOẠI 1,5 KG X 8 CAN TRONG THÙNG CARTON</t>
  </si>
  <si>
    <t>7.C3501559954014901</t>
  </si>
  <si>
    <t>POWER100 DISHWASHING LIQUID GREEN TEA, 1,5 KG</t>
  </si>
  <si>
    <t>NƯỚC RỬA CHÉN POWER100 TRÀ XANH, LOẠI 1,5 KG</t>
  </si>
  <si>
    <t>7.C3501559928014913</t>
  </si>
  <si>
    <t>POWER100 DISHWASHING LIQUID GREEN TEA, 3,8 KG X 4 JRG IN CARTON, ON PACK 4 BOTTLES POWER100 DISHWASHING LIQUID GREEN TEA 200 G</t>
  </si>
  <si>
    <t>NƯỚC RỬA CHÉN POWER100 TRÀ XANH, LOẠI 3,8 KG X 4 CAN TRONG THÙNG CARTON, ĐÓNG KÈM 4 CHAI NƯỚC RỬA CHÉN POWER100 TRÀ XANH 200 G</t>
  </si>
  <si>
    <t>7.C350155992801491301</t>
  </si>
  <si>
    <t>POWER100 DISHWASHING LIQUID GREEN TEA, 3,8 KG, ON PACK 1 BOTTLES POWER100 DISHWASHING LIQUID GREEN TEA 200 G</t>
  </si>
  <si>
    <t>NƯỚC RỬA CHÉN POWER100 TRÀ XANH, LOẠI 3,8 KG, ĐÓNG KÈM 1 CHAI NƯỚC RỬA CHÉN POWER100 TRÀ XANH 200 G</t>
  </si>
  <si>
    <t>7.52399059901A501</t>
  </si>
  <si>
    <t>COMPASS-0.5KG (PAC)</t>
  </si>
  <si>
    <t>BỘT MÌ ĐA DỤNG CAO CẤP LA BÀN (0.5KG/GÓI)</t>
  </si>
  <si>
    <t>7.52399059902A501</t>
  </si>
  <si>
    <t>COMPASS-1KG (PAC)</t>
  </si>
  <si>
    <t>BỘT MÌ ĐA DỤNG CAO CẤP LA BÀN (1KG/GÓI)</t>
  </si>
  <si>
    <t>7.131087286002H10</t>
  </si>
  <si>
    <t>NEPTUNE LIGHT TET GIFT PACK 1L X 2 BTL</t>
  </si>
  <si>
    <t>DẦU ĂN THƯỢNG HẠNG NHÃN HIỆU NEPTUNE LIGHT 1L (2 CHAI/ HỘP)</t>
  </si>
  <si>
    <t>7.131087286014H10</t>
  </si>
  <si>
    <t>NEPTUNE LIGHT TET GIFT PACK 1L X 8BTL</t>
  </si>
  <si>
    <t>DẦU ĂN THƯỢNG HẠNG HIỆU NEPTUNE LIGHT 1L (8 CHAI/ THÙNG) - ĐÓNG KÈM 4 GÓI HẠT NÊM 4 TRONG 1 - VỊ HEO 200G/ THÙNG</t>
  </si>
  <si>
    <t>V39.00A.007</t>
  </si>
  <si>
    <t>SIMPLY T-SHIRTS </t>
  </si>
  <si>
    <t>V51.00A.038</t>
  </si>
  <si>
    <t>SIMPLY HANGER</t>
  </si>
  <si>
    <t>HANGER SIMPLY</t>
  </si>
  <si>
    <t>7.101089570901F00</t>
  </si>
  <si>
    <t>SATELLITE RPS+BHT IN BIB @18KG</t>
  </si>
  <si>
    <t>DẦU STEARIN CỌ TINH LUYỆN - B NHÃN HIỆU SATELLITE</t>
  </si>
  <si>
    <t>7.101089570901E90</t>
  </si>
  <si>
    <t>SATELLITE RPS+BHA+BHT IN BIB @18KG</t>
  </si>
  <si>
    <t>DẦU STEARIN CỌ TINH LUYỆN - A NHÃN HIỆU SATELLITE</t>
  </si>
  <si>
    <t>7.D3701109905AA50</t>
  </si>
  <si>
    <t>DARK CHOCOLATE RCD-4273A-240, BUTTONS IN CARTON 25KG</t>
  </si>
  <si>
    <t>SÔ-CÔ-LA ĐEN RCD-4273A-240, BUTTONS ĐÓNG TRONG THÙNG CARTON 25KG</t>
  </si>
  <si>
    <t>V51.000.096</t>
  </si>
  <si>
    <t>ECO FRESH MASK</t>
  </si>
  <si>
    <t>KHẨU TRANG ECO FRESH</t>
  </si>
  <si>
    <t>V51.000.097</t>
  </si>
  <si>
    <t>WILMAR GOLD 99.99% LOGO (10+/-0.1) ONE TENTH OF A TAEL OF GOLD/ PC</t>
  </si>
  <si>
    <t>LOGO WILMAR VÀNG 99,99% (10+/-0,1) CHỈ/ CÁI</t>
  </si>
  <si>
    <t>7.B2508549995010504</t>
  </si>
  <si>
    <t>PORK BOUILLON GRANULE 850G X 10 PACK ON PACK 10 BOT NAM DUONG CONDENSED SOY SAUCE 280ML</t>
  </si>
  <si>
    <t>HẠT NÊM 4 TRONG 1 - VỊ HEO 850G X 10 GÓI ĐÓNG KÈM 10 CHAI THỰC PHẨM BỔ SUNG NƯỚC TƯƠNG NAM DƯƠNG ĐẬM ĐẶC 280ML</t>
  </si>
  <si>
    <t>7.B250854999501050401</t>
  </si>
  <si>
    <t>PORK BOUILLON GRANULE 850G X 01 PACK ON PACK 01 BOT NAM DUONG CONDENSED SOY SAUCE 280ML</t>
  </si>
  <si>
    <t>HẠT NÊM 4 TRONG 1 - VỊ HEO 850G ĐÓNG KÈM 01 CHAI THỰC PHẨM BỔ SUNG NƯỚC TƯƠNG NAM DƯƠNG ĐẬM ĐẶC 280ML</t>
  </si>
  <si>
    <t>7.70564</t>
  </si>
  <si>
    <t xml:space="preserve">HYDROGENATED COCONUT OIL IN 20KG CARTONS </t>
  </si>
  <si>
    <t>DẦU DỪA ĐÃ HYDRO HÓA ĐÓNG TRONG THÙNG CARTON 20KG</t>
  </si>
  <si>
    <t>7.B2401236137014214</t>
  </si>
  <si>
    <t>COMBO FERMENTED SOY SAUCE 500ML X 2 BOT ON PACK 01 BOT TOMATO SAUCE 265G X 12 SET/CAR</t>
  </si>
  <si>
    <t>COMBO 2 CHAI NƯỚC TƯƠNG NAM DƯƠNG ĐẬU NÀNH LÊN MEN TỰ NHIÊN 500ML ĐÓNG KÈM 1 CHAI TƯƠNG CÀ 265G X 12 BỘ/THÙNG</t>
  </si>
  <si>
    <t>7.B240123613701421401</t>
  </si>
  <si>
    <t>COMBO FERMENTED SOY SAUCE 500ML X 2 BOT ON PACK 01 BOT TOMATO SAUCE 265G</t>
  </si>
  <si>
    <t>COMBO 2 CHAI NƯỚC TƯƠNG NAM DƯƠNG ĐẬU NÀNH LÊN MEN TỰ NHIÊN 500ML ĐÓNG KÈM 1 CHAI TƯƠNG CÀ 265G</t>
  </si>
  <si>
    <t>CO-ORCHID S  BTL@1L</t>
  </si>
  <si>
    <t>7.5239904490555</t>
  </si>
  <si>
    <t>BROWN COMPASS 111-25-BAO HUNG</t>
  </si>
  <si>
    <t>BỘT MÌ THÔNG DỤNG LA BÀN NÂU - 111 (25KG)</t>
  </si>
  <si>
    <t>7.131069041700A00TD</t>
  </si>
  <si>
    <t>7.A32010899180101TD</t>
  </si>
  <si>
    <t>7.A33020899320101TD</t>
  </si>
  <si>
    <t>7.70565</t>
  </si>
  <si>
    <t>RBD COCOUNT OIL PACKING IN JERRYCAN 18KG</t>
  </si>
  <si>
    <t>DẦU DỪA TINH LUYỆN ĐÓNG TRONG THÙNG NHỰA 18KG</t>
  </si>
  <si>
    <t>7.70566</t>
  </si>
  <si>
    <t>NON-IONIC POLYOL: AEO-9, AEO-7,AEO-5 IN PLASTIC BAG 4.3KG</t>
  </si>
  <si>
    <t>CHẤT HOẠT ĐỘNG BỀ MẶT NON-IONIC POLYOL: AEO-9, AEO-7,AEO-5 ĐÓNG TRONG TÚI NHỰA 4.3KG</t>
  </si>
  <si>
    <t>7.70567</t>
  </si>
  <si>
    <t>DISTILLED MONOGLYCERIDE CF01 IN BAG 2KG</t>
  </si>
  <si>
    <t>MONOGLYCERID CHƯNG CẤT CF01 ĐÓNG TRONG TÚI 2KG</t>
  </si>
  <si>
    <t>7.70568</t>
  </si>
  <si>
    <t xml:space="preserve">MEGA - ENERGY IN PLASTIC BAG 1KG </t>
  </si>
  <si>
    <t>MEGA - ENERGY ĐÓNG TRONG TÚI NHỰA 1KG</t>
  </si>
  <si>
    <t>7.70569</t>
  </si>
  <si>
    <t>SOAP NOODLE KSN9900-V IN PLASTIC BAG 3KG</t>
  </si>
  <si>
    <t>PHÔI XÀ PHÒNG KSN9900-V ĐÓNG TRONG TÚI NHỰA 3KG</t>
  </si>
  <si>
    <t>7.70570</t>
  </si>
  <si>
    <t>WILMAX 1203 IN BAG 5KG</t>
  </si>
  <si>
    <t>CHẤT BÉO THỰC VẬT WILMAX 1203 ĐÓNG TRONG TÚI 5KG</t>
  </si>
  <si>
    <t>7.B25085499010105</t>
  </si>
  <si>
    <t>PORK BOUILLON GRANULE 500G X 24 PAC/CAR</t>
  </si>
  <si>
    <t>HẠT NÊM 4 TRONG 1 - VỊ HEO 500G X 24 GÓI/THÙNG</t>
  </si>
  <si>
    <t>7.B2508549901010501</t>
  </si>
  <si>
    <t>PORK BOUILLON GRANULE 500G</t>
  </si>
  <si>
    <t>HẠT NÊM 4 TRONG 1 - VỊ HEO 500G</t>
  </si>
  <si>
    <t>7.131000792200D80</t>
  </si>
  <si>
    <t>MIXED STEARIN IN FLEXIBAG @20MT</t>
  </si>
  <si>
    <t>DẦU STEARIN HỖN HỢP</t>
  </si>
  <si>
    <t>V51.102.026</t>
  </si>
  <si>
    <t>FLOOR CLEANER POWER NATURAL FLOWER 990G</t>
  </si>
  <si>
    <t>NƯỚC LAU SÀN POWER100 HƯƠNG HOA THIÊN NHIÊN LOẠI 990G</t>
  </si>
  <si>
    <t>7.5239907990515</t>
  </si>
  <si>
    <t>GREEN KEY - PDS 25KG</t>
  </si>
  <si>
    <t>BỘT MÌ HIỆU CHÌA KHÓA XANH LÁ 25KG</t>
  </si>
  <si>
    <t>7.52399079905AA</t>
  </si>
  <si>
    <t>GREEN KEY 25KG</t>
  </si>
  <si>
    <t>6.70548</t>
  </si>
  <si>
    <t>FATTY ALCOHOL ETHOXYLATE 9 MOL IN DRUM 200KG</t>
  </si>
  <si>
    <t>CHẤT HOẠT ĐỘNG BỀ MẶT AEO-9 MOL ĐÓNG TRONG PHUY 200KG</t>
  </si>
  <si>
    <t>6.1213201</t>
  </si>
  <si>
    <t>REFINED SOFT STEARIN</t>
  </si>
  <si>
    <t>6.1212B00</t>
  </si>
  <si>
    <t>REFINED PALM OLEIN IV 56-57 MAX</t>
  </si>
  <si>
    <t>6.1212A93</t>
  </si>
  <si>
    <t>RBD PALM OLEIN IV58 (LOOSE OIL VEG)</t>
  </si>
  <si>
    <t>7.131087286014H10TD</t>
  </si>
  <si>
    <t>7.B24012361A30142</t>
  </si>
  <si>
    <t>FERMENTED SOY SAUCE 710ML X 12 BOT/CAR</t>
  </si>
  <si>
    <t>7.B24012361A3014201</t>
  </si>
  <si>
    <t>FERMENTED SOY SAUCE 710ML</t>
  </si>
  <si>
    <t>NƯỚC TƯƠNG NAM DƯƠNG ĐẬU NÀNH LÊN MEN TỰ NHIÊN 710ML</t>
  </si>
  <si>
    <t>6.4606500</t>
  </si>
  <si>
    <t>MIXED STEARIN(RICE+PO FROM DEW PROCESS)</t>
  </si>
  <si>
    <t>7.131000752700D80</t>
  </si>
  <si>
    <t>MIXED STEARIN IN USED DRUM @185KG</t>
  </si>
  <si>
    <t>STEARIN HỖN HỢP TRONG PHUY 185KG</t>
  </si>
  <si>
    <t>7.52399079905B0</t>
  </si>
  <si>
    <t>GREEN KEY - TSP 25KG</t>
  </si>
  <si>
    <t>7.70571</t>
  </si>
  <si>
    <t>SOAP NOODLE 8020 HIGH FFA 1-2% IN BAG 25KG</t>
  </si>
  <si>
    <t>PHÔI XÀ PHÒNG 8020 HIGH FFA 1-2% ĐÓNG TRONG TÚI 25KG</t>
  </si>
  <si>
    <t>7.B2402239918019901TD</t>
  </si>
  <si>
    <t>7.70572</t>
  </si>
  <si>
    <t>WILFARIN STEARIC ACID 38% (SA-1838 EXTRA) IN PAPER BAG 25KG</t>
  </si>
  <si>
    <t>AXIT STEARIC 38% (WILFARIN SA-1838 EXTRA) ĐÓNG TRONG BAO GIẤY 25KG</t>
  </si>
  <si>
    <t>7.52399719906AA</t>
  </si>
  <si>
    <t>BLUE VI VI 40KG</t>
  </si>
  <si>
    <t>BỘT MÌ HIỆU VI VI XANH 40KG</t>
  </si>
  <si>
    <t>7.52399729906AA</t>
  </si>
  <si>
    <t>GREEN VI VI 40KG</t>
  </si>
  <si>
    <t>BỘT MÌ HIỆU VI VI XANH LÁ 40KG</t>
  </si>
  <si>
    <t>7.52399739906AA</t>
  </si>
  <si>
    <t>RED VI VI 40KG</t>
  </si>
  <si>
    <t>BỘT MÌ HIỆU VI VI ĐỎ 40KG</t>
  </si>
  <si>
    <t>7.5239981990601</t>
  </si>
  <si>
    <t>DUC LE 40KG</t>
  </si>
  <si>
    <t>BỘT MÌ HIỆU ĐỨC LỆ 40KG</t>
  </si>
  <si>
    <t>7.5239907690601</t>
  </si>
  <si>
    <t>GREEN KEY - BANH LE 25KG</t>
  </si>
  <si>
    <t>BỘT MÌ HIỆU CHÌA KHOÁ XANH LÁ - BÁNH LỄ 25KG</t>
  </si>
  <si>
    <t>7.C35055599760151</t>
  </si>
  <si>
    <t>POWER100 KITCHEN CLEANER ORANGE SCENT, 580ML X 12 BOTTLES IN CARTON</t>
  </si>
  <si>
    <t>NƯỚC LAU BẾP POWER100 HƯƠNG CAM, LOẠI 580ML X 12 CHAI TRONG THÙNG CARTON</t>
  </si>
  <si>
    <t>7.C3505559976015101</t>
  </si>
  <si>
    <t>POWER100 KITCHEN CLEANER ORANGE SCENT, 580ML</t>
  </si>
  <si>
    <t>NƯỚC LAU BẾP POWER100 HƯƠNG CAM, LOẠI 580ML</t>
  </si>
  <si>
    <t>7.1340408992901</t>
  </si>
  <si>
    <t>MEIZAN BRAND DOUBLE REFINED COCONUT OIL IN BIB BAG 20KG</t>
  </si>
  <si>
    <t>DẦU DỪA TINH LUYỆN NHÃN HIỆU MEIZAN TRONG TÚI NHỰA 20KG</t>
  </si>
  <si>
    <t>7.52399373606AA</t>
  </si>
  <si>
    <t>BROWN KING SHRIMP 40KG</t>
  </si>
  <si>
    <t>BỘT MÌ HIỆU TÔM VUA NÂU 40KG</t>
  </si>
  <si>
    <t>7.52399389907AA</t>
  </si>
  <si>
    <t>POLLARD 50KG</t>
  </si>
  <si>
    <t>CÁM MÌ HIỆU POLLARD 50KG</t>
  </si>
  <si>
    <t>V51.000.098</t>
  </si>
  <si>
    <t>COOPMART VOUCHER 200.000VND VALUE WITH VAT</t>
  </si>
  <si>
    <t>PHIẾU MUA HÀNG COOPMART 200,000VND SAU VAT</t>
  </si>
  <si>
    <t>7.52399149906B1</t>
  </si>
  <si>
    <t>RED COMPASS 40 MASAN</t>
  </si>
  <si>
    <t>BỘT MÌ HIỆU LA BÀN ĐỎ (40KG)</t>
  </si>
  <si>
    <t>7.52399049906B1</t>
  </si>
  <si>
    <t>BROWN COMPASS 40 MASAN</t>
  </si>
  <si>
    <t>BỘT MÌ HIỆU LA BÀN NÂU (40KG)</t>
  </si>
  <si>
    <t>7.A31990899040129</t>
  </si>
  <si>
    <t>MEIZAN ALL-PURPOSE TAPIOCA STARCH 10KG</t>
  </si>
  <si>
    <t>7.B25080899040105</t>
  </si>
  <si>
    <t>MEIZAN PORK BOUILLON GRANULE 10KG X 2 PAC/BAG</t>
  </si>
  <si>
    <t>HẠT NÊM MEIZAN THỊT, XƯƠNG ỐNG, TỦY, CÀ RỐT – VỊ HEO 10KG X 2 TÚI/BAO</t>
  </si>
  <si>
    <t>7.B2508089904010501</t>
  </si>
  <si>
    <t>MEIZAN PORK BOUILLON GRANULE 10KG</t>
  </si>
  <si>
    <t>HẠT NÊM MEIZAN THỊT, XƯƠNG ỐNG, TỦY, CÀ RỐT – VỊ HEO 10KG</t>
  </si>
  <si>
    <t>6.70549</t>
  </si>
  <si>
    <t>SODIUM LAURYL ETHER SULFATE IN HDPE DRUM 165KG</t>
  </si>
  <si>
    <t>CHẤT HOẠT ĐỘNG BỀ MẶT - SODIUM LAURYL ETHER SULFATE ĐÓNG TRONG PHUY HDPE 165KG</t>
  </si>
  <si>
    <t>V51.00A.039</t>
  </si>
  <si>
    <t>3-TIER IRON DISPLAY RACK</t>
  </si>
  <si>
    <t>KỆ SẮT BA TẦNG TRƯNG BÀY SẢN PHẦM</t>
  </si>
  <si>
    <t>V51.00A.040</t>
  </si>
  <si>
    <t>WINDOWFRAME -01</t>
  </si>
  <si>
    <t>KHUNG TRƯNG BÀY MỨC 1</t>
  </si>
  <si>
    <t>V51.00A.041</t>
  </si>
  <si>
    <t>WINDOWFRAME -02 NORTH</t>
  </si>
  <si>
    <t>KHUNG TRƯNG BÀY MỨC 2 - MIỀN BẮC</t>
  </si>
  <si>
    <t>V51.00A.042</t>
  </si>
  <si>
    <t>WINDOWFRAME -02 SOUTH</t>
  </si>
  <si>
    <t>KHUNG TRƯNG BÀY MỨC 2 - MIỀN NAM</t>
  </si>
  <si>
    <t>V51.00A.043</t>
  </si>
  <si>
    <t>WINDOWFRAME -03</t>
  </si>
  <si>
    <t>KHUNG TRƯNG BÀY MỨC 3</t>
  </si>
  <si>
    <t>6.1231002</t>
  </si>
  <si>
    <t>7.A319910992901TD</t>
  </si>
  <si>
    <t>SOYBEAN POWDER IN PAPER PAG 20KG</t>
  </si>
  <si>
    <t>BỘT ĐẬU NÀNH ĐÓNG TRONG BAO GIẤY 20KG</t>
  </si>
  <si>
    <t>V39.000.060</t>
  </si>
  <si>
    <t>MEADOW FRESH APRON</t>
  </si>
  <si>
    <t>TẠP DỀ MEADOW FRESH</t>
  </si>
  <si>
    <t>V39.000.061</t>
  </si>
  <si>
    <t>MEADOW FRESH TRAY</t>
  </si>
  <si>
    <t>KHAY MEADOW FRESH</t>
  </si>
  <si>
    <t>V51.000.099</t>
  </si>
  <si>
    <t xml:space="preserve">MEADOW FRESH MICA TABLE TENT CARD_x000D_
</t>
  </si>
  <si>
    <t>BẢNG THÔNG BÁO MICA ĐỂ BÀN MEADOW FRESH</t>
  </si>
  <si>
    <t>MEADOW FRESH MICA TABLE TENT CARD</t>
  </si>
  <si>
    <t>V51.000.100</t>
  </si>
  <si>
    <t>MEADOW FRESH CRAYON PAINTING SET</t>
  </si>
  <si>
    <t>BỘ TRANH TÔ CHÌ MÀU MEADOW FRESH</t>
  </si>
  <si>
    <t>V51.000.101</t>
  </si>
  <si>
    <t>MEADOW FRESH FUNNY PENCIL</t>
  </si>
  <si>
    <t>BÚT CHÌ ĐẦU THÚ MEADOW FRESH</t>
  </si>
  <si>
    <t>7.131087031705H10TD</t>
  </si>
  <si>
    <t>7.B24106333020199</t>
  </si>
  <si>
    <t>MAYONNAISE 1KG X 12 BOX/CAR</t>
  </si>
  <si>
    <t>7.B2410633302019901</t>
  </si>
  <si>
    <t>MAYONNAISE 1KG</t>
  </si>
  <si>
    <t>7.52399129905B2</t>
  </si>
  <si>
    <t>PINK KEY - VFK 25KG</t>
  </si>
  <si>
    <t>BỘT MÌ HIỆU CHÌA KHÓA HỒNG 25KG</t>
  </si>
  <si>
    <t>7.52399079905B3</t>
  </si>
  <si>
    <t>GREEN KEY - ORION 25KG</t>
  </si>
  <si>
    <t>7.C35015599A4012801</t>
  </si>
  <si>
    <t>POWER100 DISHWASHING LIQUID NATURAL, 250ML</t>
  </si>
  <si>
    <t>NƯỚC RỬA CHÉN POWER100 NATURAL, LOẠI 250ML</t>
  </si>
  <si>
    <t>V51.000.102</t>
  </si>
  <si>
    <t>POWER100 MOCKUP BOTTLE, 830ML</t>
  </si>
  <si>
    <t>CHAI NHỰA MOCKUP POWER100 NATURAL, LOẠI 830ML</t>
  </si>
  <si>
    <t>7.B24028299670199</t>
  </si>
  <si>
    <t>SACHET CHILI 10G (TPC) X 1.200 PAC / CARTON</t>
  </si>
  <si>
    <t>TƯƠNG ỚT THE PIZZA COMPANY 10G X 1.200 GÓI / THÙNG</t>
  </si>
  <si>
    <t>7.B2402829967019901</t>
  </si>
  <si>
    <t>SACHET CHILI 10G (TPC)</t>
  </si>
  <si>
    <t>TƯƠNG ỚT THE PIZZA COMPANY 10G</t>
  </si>
  <si>
    <t>7.B2407829967011601</t>
  </si>
  <si>
    <t>SACHET KETCHUP 10G (TPC)</t>
  </si>
  <si>
    <t>TƯƠNG CÀ THE PIZZA COMPANY 10G</t>
  </si>
  <si>
    <t>7.B24078299670116</t>
  </si>
  <si>
    <t>SACHET KETCHUP 10G (TPC) X 1.200 PAC / CARTON</t>
  </si>
  <si>
    <t>TƯƠNG CÀ THE PIZZA COMPANY 10G X 1.200 GÓI / THÙNG</t>
  </si>
  <si>
    <t>7.B24078299160116</t>
  </si>
  <si>
    <t>KETCHUP 265G (TPC) X 24 BOTTLES / CARTON</t>
  </si>
  <si>
    <t>TƯƠNG CÀ THE PIZZA COMPANY 265G X 24 CHAI / THÙNG</t>
  </si>
  <si>
    <t>7.B2407829916011601</t>
  </si>
  <si>
    <t>KETCHUP 265G (TPC)</t>
  </si>
  <si>
    <t>TƯƠNG CÀ THE PIZZA COMPANY 265G</t>
  </si>
  <si>
    <t>7.B24028299180199</t>
  </si>
  <si>
    <t>CHILI SAUCE 250G (TPC) X 24 BOTTLES / CARTON</t>
  </si>
  <si>
    <t>TƯƠNG ỚT THE PIZZA COMPANY 250G X 24 CHAI / THÙNG</t>
  </si>
  <si>
    <t>7.B2402829918019901</t>
  </si>
  <si>
    <t>CHILI SAUCE 250G (TPC)</t>
  </si>
  <si>
    <t>TƯƠNG ỚT THE PIZZA COMPANY 250G</t>
  </si>
  <si>
    <t>7.A31998399A501TD</t>
  </si>
  <si>
    <t>WW CAKE IN A CUP DOUBLE CHOC 6X220G</t>
  </si>
  <si>
    <t>BỘT LÀM BÁNH HƯƠNG VỊ SÔ-CÔ-LA THƯƠNG HIỆU WHITE WINGS 6X220G</t>
  </si>
  <si>
    <t>7.A319983991801TD</t>
  </si>
  <si>
    <t>WW DONUT BITES 6X250G</t>
  </si>
  <si>
    <t>BỘT LÀM BÁNH DONUT THƯƠNG HIỆU WHITE WINGS 6X250G</t>
  </si>
  <si>
    <t>7.A310684996101TD</t>
  </si>
  <si>
    <t>KREAM CORNFLOUR 6X300G SFP</t>
  </si>
  <si>
    <t>BỘT BẮP THƯƠNG HIỆU KREAM 6X300G</t>
  </si>
  <si>
    <t>7.A310685996101TD</t>
  </si>
  <si>
    <t>FIELDERS CORNFLOUR 6X300G</t>
  </si>
  <si>
    <t>BỘT BẮP THƯƠNG HIỆU FIELDERS 6X300G</t>
  </si>
  <si>
    <t>7.A31998399A601TD</t>
  </si>
  <si>
    <t>WW BROWNIE CHOC CHUNK 4X475G</t>
  </si>
  <si>
    <t>BỘT LÀM BÁNH BROWNIE SÔ-CÔ-LA THƯƠNG HIỆU WHITE WINGS 4X475G</t>
  </si>
  <si>
    <t>7.A31998399A701TD</t>
  </si>
  <si>
    <t>WW CHOCOLATE CHIP COOKIE 4X485G</t>
  </si>
  <si>
    <t>BỘT LÀM BÁNH COOKIE SÔ-CÔ-LA THƯƠNG HIỆU WHITE WINGS 4X485G</t>
  </si>
  <si>
    <t>7.A31998399A801TD</t>
  </si>
  <si>
    <t>WW CUP CAKES CHOCOLATE 4X410G</t>
  </si>
  <si>
    <t>BỘT LÀM BÁNH HƯƠNG VỊ SÔ-CÔ-LA THƯƠNG HIỆU WHITE WINGS 4X410G</t>
  </si>
  <si>
    <t>7.A319983995701TD</t>
  </si>
  <si>
    <t>WW MUFFINS TRIPLE CHOC 4X550G</t>
  </si>
  <si>
    <t>BỘT LÀM BÁNH MUFFINS SÔ-CÔ-LA THƯƠNG HIỆU WHITE WINGS 4X550G</t>
  </si>
  <si>
    <t>7.A319983998301TD</t>
  </si>
  <si>
    <t>SHAKER PANCAKES ORIGINAL 6X350G</t>
  </si>
  <si>
    <t>BỘT LÀM BÁNH PANCAKES VỊ TRUYỀN THỐNG 6X350G</t>
  </si>
  <si>
    <t>7.A31998399A901TD</t>
  </si>
  <si>
    <t>PAVLOVA MAGIC 6X125G</t>
  </si>
  <si>
    <t>BỘT LÀM BÁNH PAVLOVA MAGIC 6X125G</t>
  </si>
  <si>
    <t>7.A310686996101TD</t>
  </si>
  <si>
    <t>YLC CORNFLOUR 12X300G</t>
  </si>
  <si>
    <t>BỘT BẮP THƯƠNG HIỆU YLC 12X300G</t>
  </si>
  <si>
    <t>7.A310683996101TD</t>
  </si>
  <si>
    <t>WW CORNFLOUR 12X300G</t>
  </si>
  <si>
    <t>BỘT BẮP THƯƠNG HIỆU WHITE WINGS 12X300G</t>
  </si>
  <si>
    <t>7.A31998399B001TD</t>
  </si>
  <si>
    <t>WW H/BURGER HELPER12X110G</t>
  </si>
  <si>
    <t>BỘT LÀM BÁNH HAMBURGER THƯƠNG HIỆU WHITE WINGS 12X110G</t>
  </si>
  <si>
    <t>7.A31998399B101TD</t>
  </si>
  <si>
    <t>WW CAKE IN A CUP DOUB CHOC SACHET 12X55G</t>
  </si>
  <si>
    <t>BỘT LÀM BÁNH HƯƠNG VỊ SÔ-CÔ-LA THƯƠNG HIỆU WHITE WINGS 12X55G</t>
  </si>
  <si>
    <t>7.A31998399A001TD</t>
  </si>
  <si>
    <t>WW CHOC PROFITEROLE 4X230G</t>
  </si>
  <si>
    <t>BỘT LÀM BÁNH KẸP KEM HƯƠNG VỊ SÔ-CÔ-LA THƯƠNG HIỆU WHITE WINGS 4X230G</t>
  </si>
  <si>
    <t>7.A31998799B201TD</t>
  </si>
  <si>
    <t>EDMONDS DOUBLE CHOC FUDGE BROWNIES 4X560</t>
  </si>
  <si>
    <t>BỘT LÀM BÁNH BROWNIE SÔ-CÔ-LA THƯƠNG HIỆU EDMONS 4X560G</t>
  </si>
  <si>
    <t>7.A31998799A701TD</t>
  </si>
  <si>
    <t>EDM CHOCOLATE CHIP COOKIE 4X485G</t>
  </si>
  <si>
    <t>BỘT LÀM BÁNH COOKIE SÔ-CÔ-LA THƯƠNG HIỆU EDMONS 4X485G</t>
  </si>
  <si>
    <t>7.A319987996101TD</t>
  </si>
  <si>
    <t>EDM CUSTARD POWDER 12X300G</t>
  </si>
  <si>
    <t>BỘT LÀM BÁNH CUSTARD THƯƠNG HIỆU EDMONDS 12X300G</t>
  </si>
  <si>
    <t>7.A310783996901TD</t>
  </si>
  <si>
    <t>WW GLUTEN FREE SELF RAISING FLOUR 5X750G</t>
  </si>
  <si>
    <t>BỘT NỞ HỖ TRỢ LÀM BÁNH GLUTEN FREE THƯƠNG HIỆU WHITE WINGS 5X750G</t>
  </si>
  <si>
    <t>7.A310787993301TD</t>
  </si>
  <si>
    <t>EDM BAKING POWDER STR 24X400G</t>
  </si>
  <si>
    <t>BỘT NỞ HỖ TRỢ LÀM BÁNH THƯƠNG HIỆU EDMONS 24X400G</t>
  </si>
  <si>
    <t>7.A3199087004B4</t>
  </si>
  <si>
    <t>MEIZAN TEMPURA FLOUR AK 10KG</t>
  </si>
  <si>
    <t>BỘT TEMPURA MEIZAN 10KG</t>
  </si>
  <si>
    <t>7.52399799905C7</t>
  </si>
  <si>
    <t>RED SATELLITE - HN 25KG</t>
  </si>
  <si>
    <t>BỘT MÌ HIỆU VỆ TINH ĐỎ 25KG</t>
  </si>
  <si>
    <t>7.52399079905B5</t>
  </si>
  <si>
    <t>GREEN KEY - NISSHIN 25KG</t>
  </si>
  <si>
    <t>7.52399079905B6</t>
  </si>
  <si>
    <t>GREEN KEY - REBISCO 25KG</t>
  </si>
  <si>
    <t>7.52399079905C6</t>
  </si>
  <si>
    <t>GREEN KEY - KIDO 25KG</t>
  </si>
  <si>
    <t>7.5239907990567</t>
  </si>
  <si>
    <t>GREEN KEY - BIBICA 25KG</t>
  </si>
  <si>
    <t>7.52399079905C8</t>
  </si>
  <si>
    <t>GREEN KEY - HCM 25KG</t>
  </si>
  <si>
    <t>7.B2508549994010501TD</t>
  </si>
  <si>
    <t>HO2TD010400</t>
  </si>
  <si>
    <t>7.52399129905B7</t>
  </si>
  <si>
    <t>PINK KEY - LWW 25KG</t>
  </si>
  <si>
    <t>7.52399229905B8</t>
  </si>
  <si>
    <t>BLUE COMPASS -KFC 25KG</t>
  </si>
  <si>
    <t>BỘT MÌ HIỆU LA BÀN XANH 25KG</t>
  </si>
  <si>
    <t>7.52399229905B9</t>
  </si>
  <si>
    <t>BLUE COMPASS -AFI 25KG</t>
  </si>
  <si>
    <t>7.5239922990567</t>
  </si>
  <si>
    <t>BLUE COMPASS - BIBICA 25KG</t>
  </si>
  <si>
    <t>7.5239922990632</t>
  </si>
  <si>
    <t>BLUE COMPASS - ASIA 40KG</t>
  </si>
  <si>
    <t>BỘT MÌ HIỆU LA BÀN XANH 40KG</t>
  </si>
  <si>
    <t>7.52399229906C0</t>
  </si>
  <si>
    <t>BLUE COMPASS - BT 40KG</t>
  </si>
  <si>
    <t>7.5239904990601</t>
  </si>
  <si>
    <t>BROWN COMPASS 40KG</t>
  </si>
  <si>
    <t>BỘT MÌ HIỆU LA BÀN NÂU 40KG</t>
  </si>
  <si>
    <t>7.52399149906C0</t>
  </si>
  <si>
    <t>RED COMPASS - BT 40KG</t>
  </si>
  <si>
    <t>BỘT MÌ HIỆU LA BÀN ĐỎ 40KG</t>
  </si>
  <si>
    <t>7.5239904990564</t>
  </si>
  <si>
    <t>BROWN COMPASS - AJI 25KG</t>
  </si>
  <si>
    <t>BỘT MÌ HIỆU LA BÀN NÂU 25KG</t>
  </si>
  <si>
    <t>7.5239904990586</t>
  </si>
  <si>
    <t>BROWN COMPASS - PN 25KG</t>
  </si>
  <si>
    <t>7.5239914990636</t>
  </si>
  <si>
    <t>RED COMPASS - MASAN 40KG</t>
  </si>
  <si>
    <t>7.52399799905B6</t>
  </si>
  <si>
    <t xml:space="preserve">RED SATELLITE - REBISCO 25KG_x000D_
</t>
  </si>
  <si>
    <t>RED SATELLITE - REBISCO 25KG</t>
  </si>
  <si>
    <t>7.5239988990514</t>
  </si>
  <si>
    <t>GREEN SATELLITE BISCAFUN 25KG</t>
  </si>
  <si>
    <t>BỘT MÌ HIỆU VỆ TINH XANH LÁ 25KG</t>
  </si>
  <si>
    <t>7.52399889905C3</t>
  </si>
  <si>
    <t>GREEN SATELLITE BISCAFUN KVC 25KG</t>
  </si>
  <si>
    <t>7.5239979990550</t>
  </si>
  <si>
    <t>RED SATELLITE - JOLLIBEE 25KG</t>
  </si>
  <si>
    <t>7.52399153405B2</t>
  </si>
  <si>
    <t>RED KEY NOODLE - VFK 25KG</t>
  </si>
  <si>
    <t>BỘT MÌ HIỆU CHÌA KHÓA ĐỎ MÌ SỢI 25KG</t>
  </si>
  <si>
    <t>7.52399153405C1</t>
  </si>
  <si>
    <t>RED KEY NOODLE - VINAMILK 25KG</t>
  </si>
  <si>
    <t>7.52399153405B9</t>
  </si>
  <si>
    <t>RED KEY NOODLE - AFI 25KG</t>
  </si>
  <si>
    <t>7.52399259905C2</t>
  </si>
  <si>
    <t>BLUE KEY NOODLE -SUMIMOTO 25KG</t>
  </si>
  <si>
    <t>BỘT MÌ HIỆU CKX MÌ SỢI 25KG</t>
  </si>
  <si>
    <t>7.52399269905B7</t>
  </si>
  <si>
    <t>BLUE KEY PAU - LWW 25KG</t>
  </si>
  <si>
    <t>BỘT MÌ HIỆU CKX BÁNH BAO 25KG</t>
  </si>
  <si>
    <t>7.52399269905B5</t>
  </si>
  <si>
    <t>BLUE KEY PAU - NISSHIN 25KG</t>
  </si>
  <si>
    <t>7.52399159905B9</t>
  </si>
  <si>
    <t>RED KEY -AFI 25KG</t>
  </si>
  <si>
    <t>BỘT MÌ HIỆU CHÌA KHÓA ĐỎ 25KG</t>
  </si>
  <si>
    <t>7.5239916990510</t>
  </si>
  <si>
    <t>RED PEN - POULTRY 25KG</t>
  </si>
  <si>
    <t>BỘT MÌ HIỆU CÂY VIẾT ĐỎ 25KG</t>
  </si>
  <si>
    <t>7.5239949990501</t>
  </si>
  <si>
    <t>SEMOLINA 25KG</t>
  </si>
  <si>
    <t>BỘT MÌ HIỆU SEMOLINA 25KG</t>
  </si>
  <si>
    <t>7.52399099905B2</t>
  </si>
  <si>
    <t>MS-1 - VFK 25KG</t>
  </si>
  <si>
    <t>BỘT MÌ HIỆU MS-1 25KG</t>
  </si>
  <si>
    <t>7.5239931990501</t>
  </si>
  <si>
    <t>BỘT MÌ HIỆU BCR-1 25KG</t>
  </si>
  <si>
    <t>7.52399319905B5</t>
  </si>
  <si>
    <t>BCR-1 NISSHIN 25KG</t>
  </si>
  <si>
    <t>7.52399449905C5</t>
  </si>
  <si>
    <t>SOFT WHEAT FLOUR LWW-1 25KG</t>
  </si>
  <si>
    <t>BỘT MÌ HIỆU SOFT WHEAT FLOUR LWW-1 25KG</t>
  </si>
  <si>
    <t>7.5239909990693</t>
  </si>
  <si>
    <t>MS-1 - VIFON 40KG</t>
  </si>
  <si>
    <t>BỘT MÌ HIỆU MS-1 40KG</t>
  </si>
  <si>
    <t>7.5239909990601</t>
  </si>
  <si>
    <t>MS-1 40KG</t>
  </si>
  <si>
    <t>7.5239935990501</t>
  </si>
  <si>
    <t>CAKE FLOUR LWW-2 25KG</t>
  </si>
  <si>
    <t>BỘT MÌ HIỆU CAKE FLOUR LWW-2 25KG</t>
  </si>
  <si>
    <t>7.52399369905C4</t>
  </si>
  <si>
    <t>HARD WHEAT FLOUR LWW-3 25KG</t>
  </si>
  <si>
    <t>BỘT MÌ HIỆU HARD WHEAT FLOUR LWW-3 25KG</t>
  </si>
  <si>
    <t>6.52399079902B3</t>
  </si>
  <si>
    <t>GREEN KEY - ORION BULK</t>
  </si>
  <si>
    <t>BỘT MÌ HIỆU CHÌA KHÓA XANH LÁ BULK</t>
  </si>
  <si>
    <t>6.5239907990299</t>
  </si>
  <si>
    <t>GREEN KEY - KINH DO MDLZ BULK</t>
  </si>
  <si>
    <t>BỘT MÌ HIỆU CHÌA KHÓA XANH LÁ (BỘT MÌ SOFT) BULK</t>
  </si>
  <si>
    <t>6.52399401902AA</t>
  </si>
  <si>
    <t>VFM-2 IN-BULK</t>
  </si>
  <si>
    <t>BỘT MÌ HIỆU VFM-2 BULK</t>
  </si>
  <si>
    <t>6.52399402002AA</t>
  </si>
  <si>
    <t>VFM-4 IN-BULK</t>
  </si>
  <si>
    <t>BỘT MÌ HIỆU VFM-4 BULK</t>
  </si>
  <si>
    <t>6.52399449902C5</t>
  </si>
  <si>
    <t>SOFT WHEAT FLOUR LWW-1</t>
  </si>
  <si>
    <t>BỘT MÌ HIỆU SOFT WHEAT FLOUR LWW-1 BULK</t>
  </si>
  <si>
    <t>V51.000.103</t>
  </si>
  <si>
    <t>TET GIFT BASKET 2021-KCN-08 WMCLV</t>
  </si>
  <si>
    <t>GIỎ QUÀ TẾT 2021-KCN-08 WILMAR MARKETING CLV</t>
  </si>
  <si>
    <t>V51.000.104</t>
  </si>
  <si>
    <t>BIG SIZE COOP ENVIRONENTAL BAGS</t>
  </si>
  <si>
    <t>TÚI MÔI TRƯỜNG COOPMART LỚN</t>
  </si>
  <si>
    <t>7.131087031700H10TD</t>
  </si>
  <si>
    <t>7.C35015599321227</t>
  </si>
  <si>
    <t>POWER100 DISHWASHING LIQUID LEMON, 200G X 50 BOTTLES IN CARTON, EXPORT TO LAOS</t>
  </si>
  <si>
    <t>NƯỚC RỬA CHÉN POWER100 HƯƠNG CHANH, LOẠI 200G X 50 CHAI TRONG THÙNG CARTON, XK LÀO</t>
  </si>
  <si>
    <t>7.C3501559932122701</t>
  </si>
  <si>
    <t>POWER100 DISHWASHING LIQUID LEMON, EXPORT TO LAOS</t>
  </si>
  <si>
    <t>NƯỚC RỬA CHÉN POWER100 HƯƠNG CHANH, LOẠI 200G, XK LÀO</t>
  </si>
  <si>
    <t>6.1212A42</t>
  </si>
  <si>
    <t>REFINED OL1008/RSPO MB</t>
  </si>
  <si>
    <t>6.70550</t>
  </si>
  <si>
    <t>YELLOW GLYCERINE IN IBC TANK 1250KG</t>
  </si>
  <si>
    <t>GLYXERIN MÀU VÀNG ĐÓNG TRONG BỒN NHỰA IBC 1250KG</t>
  </si>
  <si>
    <t>7.E3801789985C932</t>
  </si>
  <si>
    <t>SỮA TƯƠI TIỆT TRÙNG NGUYÊN KEM NHÃN HIỆU MEADOW FRESH 1LX12 HỘP ĐÓNG TRONG THÙNG CARTON</t>
  </si>
  <si>
    <t>7.E3801789985C93201</t>
  </si>
  <si>
    <t>MEADOW FRESH UHT FULL CREAM PURE MILK 1L</t>
  </si>
  <si>
    <t>7.E3801789985C933</t>
  </si>
  <si>
    <t>SỮA TƯƠI TIỆT TRÙNG TÁCH BÉO NHÃN HIỆU MEADOW FRESH 1LX12 HỘP ĐÓNG TRONG THÙNG CARTON</t>
  </si>
  <si>
    <t>7.E3801789985C93301</t>
  </si>
  <si>
    <t>MEADOW FRESH UHT SKIMMED PURE MILK 1L</t>
  </si>
  <si>
    <t>7.E3801789985C935</t>
  </si>
  <si>
    <t>SỮA TƯƠI TIỆT TRÙNG ÍT BÉO NHÃN HIỆU MEADOW FRESH 1LX12 HỘP ĐÓNG TRONG THÙNG CARTON</t>
  </si>
  <si>
    <t>7.E3801789985C93501</t>
  </si>
  <si>
    <t>MEADOW FRESH UHT LOW FAT PURE MILK 1L</t>
  </si>
  <si>
    <t>7.E3801789985C938</t>
  </si>
  <si>
    <t>MEADOW FRESH UHT CALCI MAX MILK 1LX12 TUB IN CARTON</t>
  </si>
  <si>
    <t>SỮA TƯƠI TIỆT TRÙNG GIÀU CANXI ÍT BÉO NHÃN HIỆU MEADOW FRESH 1LX12 HỘP ĐÓNG TRONG THÙNG CARTON</t>
  </si>
  <si>
    <t>7.E3801789985C93801</t>
  </si>
  <si>
    <t>MEADOW FRESH UHT CALCI MAX MILK 1L</t>
  </si>
  <si>
    <t>7.E3801789913C938</t>
  </si>
  <si>
    <t>MEADOW FRESH UHT CALCI MAX MILK 200MLX3X8 TUB IN CARTON</t>
  </si>
  <si>
    <t>SỮA TƯƠI TIỆT TRÙNG GIÀU CANXI ÍT BÉO NHÃN HIỆU MEADOW FRESH 200MLX3X8 HỘP ĐÓNG TRONG THÙNG CARTON</t>
  </si>
  <si>
    <t>7.E3801789913C93801</t>
  </si>
  <si>
    <t>MEADOW FRESH UHT CALCI MAX MILK 200ML</t>
  </si>
  <si>
    <t>7.E3801789913C932</t>
  </si>
  <si>
    <t>MEADOW FRESH UHT FULL CREAM PURE MILK 200MLX3X8 TUB IN CARTON</t>
  </si>
  <si>
    <t>SỮA TƯƠI TIỆT TRÙNG NGUYÊN KEM NHÃN HIỆU MEADOW FRESH 200MLX3X8 HỘP ĐÓNG TRONG THÙNG CARTON</t>
  </si>
  <si>
    <t>7.E3801789913C93201</t>
  </si>
  <si>
    <t>7.E3801789913C935</t>
  </si>
  <si>
    <t>SỮA TƯƠI TIỆT TRÙNG ÍT BÉO NHÃN HIỆU MEADOW FRESH 200MLX3X8 HỘP ĐÓNG TRONG THÙNG CARTON</t>
  </si>
  <si>
    <t>7.E3801789913C93501</t>
  </si>
  <si>
    <t>MEADOW FRESH UHT LOW FAT PURE MILK 200ML</t>
  </si>
  <si>
    <t>7.E3801789913C936</t>
  </si>
  <si>
    <t>MEADOW FRESH UHT STRAWBERRY MILK 200MLX3X8 TUB IN CARTON</t>
  </si>
  <si>
    <t>SỮA TIỆT TRÙNG HƯƠNG DÂU NHÃN HIỆU MEADOW FRESH 200MLX3X8 HỘP ĐÓNG TRONG THÙNG CARTON</t>
  </si>
  <si>
    <t>7.E3801789913C93601</t>
  </si>
  <si>
    <t>MEADOW FRESH UHT STRAWBERRY MILK 200ML</t>
  </si>
  <si>
    <t>7.E3801789913C937</t>
  </si>
  <si>
    <t>MEADOW FRESH UHT CHOCO CHOC MILK 200MLX3X8 TUB IN CARTON</t>
  </si>
  <si>
    <t>SỮA TIỆT TRÙNG HƯƠNG SÔ-CÔ-LA NHÃN HIỆU MEADOW FRESH 200MLX3X8 HỘP ĐÓNG TRONG THÙNG CARTON</t>
  </si>
  <si>
    <t>7.E3801789913C93701</t>
  </si>
  <si>
    <t>MEADOW FRESH UHT CHOCO CHOC MILK 200ML</t>
  </si>
  <si>
    <t>7.B24012361B30142</t>
  </si>
  <si>
    <t>NAM DUONG FERMENTED SOY SAUCE 1.98L X 6 BOT/CAR</t>
  </si>
  <si>
    <t>NƯỚC TƯƠNG NAM DƯƠNG ĐẬU NÀNH LÊN MEN TỰ NHIÊN 1.98L X 6 CHAI/THÙNG</t>
  </si>
  <si>
    <t>7.B24012361B3014201</t>
  </si>
  <si>
    <t>NAM DUONG FERMENTED SOY SAUCE 1.98L</t>
  </si>
  <si>
    <t>NƯỚC TƯƠNG NAM DƯƠNG ĐẬU NÀNH LÊN MEN TỰ NHIÊN 1.98L</t>
  </si>
  <si>
    <t>7.52399373506D0</t>
  </si>
  <si>
    <t>SF-3 40KG</t>
  </si>
  <si>
    <t>BỘT MÌ HIỆU SF-3 40KG</t>
  </si>
  <si>
    <t>7.52399376706D0</t>
  </si>
  <si>
    <t>ORANGE KING SHRIMP 40KG</t>
  </si>
  <si>
    <t>BỘT MÌ HIỆU TÔM VUA CAM 40KG</t>
  </si>
  <si>
    <t>7.52399377106D0</t>
  </si>
  <si>
    <t>PINK KING SHRIMP 40KG</t>
  </si>
  <si>
    <t>BỘT MÌ HIỆU TÔM VUA HỒNG 40KG</t>
  </si>
  <si>
    <t>7.52399371406D0</t>
  </si>
  <si>
    <t>BLUE KING SHRIMP 40KG</t>
  </si>
  <si>
    <t>BỘT MÌ HIỆU TÔM VUA XANH 40KG</t>
  </si>
  <si>
    <t>7.52399371606D0</t>
  </si>
  <si>
    <t>RED KING SHRIMP 40KG</t>
  </si>
  <si>
    <t>BỘT MÌ HIỆU TÔM VUA ĐỎ 40KG</t>
  </si>
  <si>
    <t>7.52399373706D0</t>
  </si>
  <si>
    <t>PURPLE KING SHRIMP 40KG</t>
  </si>
  <si>
    <t>BỘT MÌ HIỆU TÔM VUA TÍM 40KG</t>
  </si>
  <si>
    <t>V51.000.105</t>
  </si>
  <si>
    <t>3M SUPPER CLEAN SCRUB SPONGE 71X95MM PACK 12</t>
  </si>
  <si>
    <t>3M CƯỚC CỌ RỬA SIÊU SẠCH CÓ MÚT 71X95MM – VỈ 12</t>
  </si>
  <si>
    <t>V51.000.106</t>
  </si>
  <si>
    <t>3M MICROFIBER CLEANING CLOTH 1 PIECE</t>
  </si>
  <si>
    <t>3M KHĂN LAU MICROFIBER 30X30CM GÓI 1</t>
  </si>
  <si>
    <t>V51.000.107</t>
  </si>
  <si>
    <t>DISH WASHING NET CLOTH</t>
  </si>
  <si>
    <t>MIẾNG RỬA CHÉN</t>
  </si>
  <si>
    <t>V51.000.108</t>
  </si>
  <si>
    <t>POWER100 IRON SHELF</t>
  </si>
  <si>
    <t>7.C35015572331227</t>
  </si>
  <si>
    <t>POWER100 SAVING DISHWASHING LIQUID LEMON, 400G X 24 BOTTLES IN CARTON, EXPORTING TO CAMBODIA</t>
  </si>
  <si>
    <t>NƯỚC RỬA CHÉN POWER100 TIẾT KIỆM HƯƠNG CHANH, LOẠI 400G X 24 CHAI TRONG THÙNG CARTON, XK CAMPUCHIA</t>
  </si>
  <si>
    <t>7.C3501557233122701</t>
  </si>
  <si>
    <t>POWER100 SAVING DISHWASHING LIQUID LEMON 400G, EXPORTING TO CAMBODIA</t>
  </si>
  <si>
    <t>NƯỚC RỬA CHÉN POWER100 TIẾT KIỆM HƯƠNG CHANH, LOẠI 400G, XK CAMPUCHIA</t>
  </si>
  <si>
    <t>7.C35015572821227</t>
  </si>
  <si>
    <t>POWER100 SAVING DISHWASHING LIQUID LEMON, 800G X 12 BOTTLES IN CARTON, EXPORTING TO CAMBODIA</t>
  </si>
  <si>
    <t>NƯỚC RỬA CHÉN POWER100 TIẾT KIỆM HƯƠNG CHANH, LOẠI 800G X 12 CHAI TRONG THÙNG CARTON, XK CAMPUCHIA</t>
  </si>
  <si>
    <t>7.C3501557282122701</t>
  </si>
  <si>
    <t>POWER100 SAVING DISHWASHING LIQUID LEMON 800G, EXPORTING TO CAMBODIA</t>
  </si>
  <si>
    <t>NƯỚC RỬA CHÉN POWER100 TIẾT KIỆM HƯƠNG CHANH, LOẠI 800G, XK CAMPUCHIA</t>
  </si>
  <si>
    <t>7.101041792200040</t>
  </si>
  <si>
    <t>RPO IV 50-55 MP 33-39 FLEXIBAG@20MT</t>
  </si>
  <si>
    <t>DẦU CỌ TINH LUYỆN TRONG TÚI FLEXIBAG</t>
  </si>
  <si>
    <t>V51.000.109</t>
  </si>
  <si>
    <t>7.C35015599541252</t>
  </si>
  <si>
    <t>POWER100 DISWASHING LIQUID LEMON, 1,5KG X 8 SQUARE JRG IN CARTON, EXPORT TO LAOS</t>
  </si>
  <si>
    <t>NƯỚC RỬA CHÉN POWER100 HƯƠNG CHANH, LOẠI 1,5KG X 8 CAN VUÔNG, XK LÀO</t>
  </si>
  <si>
    <t>7.C3501559954125201</t>
  </si>
  <si>
    <t>POWER100 DISWASHING LIQUID LEMON 1,5KG, EXPORT TO LAOS</t>
  </si>
  <si>
    <t>NƯỚC RỬA CHÉN POWER100 HƯƠNG CHANH, LOẠI 1,5KG CAN VUÔNG, XK LÀO</t>
  </si>
  <si>
    <t>V51.046.025</t>
  </si>
  <si>
    <t>7.52399129905B0</t>
  </si>
  <si>
    <t>PINK KEY - TSP 25KG</t>
  </si>
  <si>
    <t>6.70551</t>
  </si>
  <si>
    <t>WILFARIN REFINED GLYCERINE 99.7% IN HPDE DRUM 250KG</t>
  </si>
  <si>
    <t>WILFARIN GLYXERIN TINH KHIẾT 99,7% ĐÓNG TRONG PHUY NHỰA 250KG</t>
  </si>
  <si>
    <t>7.52399224506A6</t>
  </si>
  <si>
    <t>BLUE COMPASS - 999 KT 40KG</t>
  </si>
  <si>
    <t>BỘT MÌ HIỆU LA BÀN XANH - 999 40KG</t>
  </si>
  <si>
    <t>7.5239922990557</t>
  </si>
  <si>
    <t>BLUE COMPASS - AT 25KG</t>
  </si>
  <si>
    <t>7.52399229905A7</t>
  </si>
  <si>
    <t>BLUE COMPASS - MT 25KG</t>
  </si>
  <si>
    <t>7.52399149905A7</t>
  </si>
  <si>
    <t>RED COMPASS - MT 25KG</t>
  </si>
  <si>
    <t>BỘT MÌ HIỆU LA BÀN ĐỎ 25KG</t>
  </si>
  <si>
    <t>7.52399099906D1</t>
  </si>
  <si>
    <t>MS-1 - BANH VANG 40KG</t>
  </si>
  <si>
    <t>7.52399169905D1</t>
  </si>
  <si>
    <t>RED PEN - BANH VANG 25KG</t>
  </si>
  <si>
    <t>7.52399371606D2</t>
  </si>
  <si>
    <t>RED KING SHRIMP - AGRODER 40KG</t>
  </si>
  <si>
    <t>7.52399371606D3</t>
  </si>
  <si>
    <t>RED KING SHRIMP - GROBEST 40KG</t>
  </si>
  <si>
    <t>7.52399371606D4</t>
  </si>
  <si>
    <t>RED KING SHRIMP - GROWMAX 40KG</t>
  </si>
  <si>
    <t>7.52399224306D0</t>
  </si>
  <si>
    <t>BLUE COMPASS - 666 40KG</t>
  </si>
  <si>
    <t>BỘT MÌ HIỆU LA BÀN XANH - 666 40KG</t>
  </si>
  <si>
    <t>7.52399224406D0</t>
  </si>
  <si>
    <t>BLUE COMPASS - 888 40KG</t>
  </si>
  <si>
    <t>BỘT MÌ HIỆU LA BÀN XANH - 888 40KG</t>
  </si>
  <si>
    <t>7.52399224506D0</t>
  </si>
  <si>
    <t>BLUE COMPASS - 999 40KG</t>
  </si>
  <si>
    <t>7.5239915990553</t>
  </si>
  <si>
    <t>RED KEY (KA) 25KG</t>
  </si>
  <si>
    <t>7.52399159905D0</t>
  </si>
  <si>
    <t>RED KEY 25KG</t>
  </si>
  <si>
    <t>7.52399159906D0</t>
  </si>
  <si>
    <t>RED KEY 40KG</t>
  </si>
  <si>
    <t>BỘT MÌ HIỆU CHÌA KHÓA ĐỎ 40KG</t>
  </si>
  <si>
    <t>7.52399224206D0</t>
  </si>
  <si>
    <t>BLUE COMPASS - 555 40KG</t>
  </si>
  <si>
    <t>BỘT MÌ HIỆU LA BÀN XANH - 555 40KG</t>
  </si>
  <si>
    <t>7.52399224106D0</t>
  </si>
  <si>
    <t>BLUE COMPASS - 333 40KG</t>
  </si>
  <si>
    <t>BỘT MÌ HIỆU LA BÀN XANH - 333 40KG</t>
  </si>
  <si>
    <t>7.52399224006D0</t>
  </si>
  <si>
    <t>BLUE COMPASS - 111 40KG</t>
  </si>
  <si>
    <t>BỘT MÌ HIỆU LA BÀN XANH - 111 40KG</t>
  </si>
  <si>
    <t>7.52399229906D0</t>
  </si>
  <si>
    <t>BLUE COMPASS 40KG</t>
  </si>
  <si>
    <t>7.52399229905D0</t>
  </si>
  <si>
    <t>BLUE COMPASS 25KG</t>
  </si>
  <si>
    <t>7.52399269998D5</t>
  </si>
  <si>
    <t>BỘT MÌ HIỆU CKX BÁNH BAO THỌ PHÁT 37.5KG</t>
  </si>
  <si>
    <t>7.52399269905D0</t>
  </si>
  <si>
    <t>BLUE KEY PAU 25KG</t>
  </si>
  <si>
    <t>7.52399029906D0</t>
  </si>
  <si>
    <t>BLUE KEY 40KG</t>
  </si>
  <si>
    <t>BỘT MÌ HIỆU CHÌA KHÓA XANH 40KG</t>
  </si>
  <si>
    <t>7.52399029905D0</t>
  </si>
  <si>
    <t>BLUE KEY 25KG</t>
  </si>
  <si>
    <t>BỘT MÌ HIỆU CHÌA KHÓA XANH 25KG</t>
  </si>
  <si>
    <t>7.52399157306D0</t>
  </si>
  <si>
    <t>RED KEY SP 40KG</t>
  </si>
  <si>
    <t>BỘT MÌ HIỆU CHÌA KHÓA ĐỎ SP 40KG</t>
  </si>
  <si>
    <t>7.52399049905D0</t>
  </si>
  <si>
    <t>BROWN COMPASS 25KG</t>
  </si>
  <si>
    <t>7.52399149905D0</t>
  </si>
  <si>
    <t>RED COMPASS 25KG</t>
  </si>
  <si>
    <t>7.52399149906D0</t>
  </si>
  <si>
    <t>RED COMPASS 40KG</t>
  </si>
  <si>
    <t>7.52399259905D0</t>
  </si>
  <si>
    <t>BLUE KEY NOODLE 25KG</t>
  </si>
  <si>
    <t>7.52399119905D0</t>
  </si>
  <si>
    <t>ORANGE KEY 25KG</t>
  </si>
  <si>
    <t>BỘT MÌ HIỆU CHÌA KHÓA CAM 25KG</t>
  </si>
  <si>
    <t>7.52399119906D0</t>
  </si>
  <si>
    <t>ORANGE KEY 40KG</t>
  </si>
  <si>
    <t>BỘT MÌ HIỆU CHÌA KHÓA CAM 40KG</t>
  </si>
  <si>
    <t>7.52399129905D0</t>
  </si>
  <si>
    <t>PINK KEY 25KG</t>
  </si>
  <si>
    <t>7.52399889905D0</t>
  </si>
  <si>
    <t>GREEN SATELLITE 25KG</t>
  </si>
  <si>
    <t xml:space="preserve">GREEN SATELLITE 25KG_x000D_
</t>
  </si>
  <si>
    <t>7.52399371406D6</t>
  </si>
  <si>
    <t>BLUE KING SHRIMP (S) 40KG</t>
  </si>
  <si>
    <t>7.52399371606D7</t>
  </si>
  <si>
    <t>RED KING SHRIMP SJ 40KG</t>
  </si>
  <si>
    <t>7.52399371606D8</t>
  </si>
  <si>
    <t>RED KING SHRIMP - NGOCLONG 40KG</t>
  </si>
  <si>
    <t>7.52399373606D9</t>
  </si>
  <si>
    <t>BROWN KING SHRIMP (24) 40KG</t>
  </si>
  <si>
    <t>7.52399373606E1</t>
  </si>
  <si>
    <t>BROWN KING SHRIMP - GHP (24) 40KG</t>
  </si>
  <si>
    <t>7.52399373606E2</t>
  </si>
  <si>
    <t>BROWN KING SHRIMP(S )- GHP (24) 40KG</t>
  </si>
  <si>
    <t>7.52399373606E0</t>
  </si>
  <si>
    <t>BROWN KING SHRIMP (26) 40KG</t>
  </si>
  <si>
    <t>7.70573</t>
  </si>
  <si>
    <t>FATTY ALCOHOL 1698 IN PAPER BAG 25KG</t>
  </si>
  <si>
    <t>CHẤT HOẠT ĐỘNG BỀ MẶT FATTY ALCOHOL 1698 ĐÓNG TRONG BAO GIẤY 25KG</t>
  </si>
  <si>
    <t>7.B2402239920E304</t>
  </si>
  <si>
    <t>TPC HORECA PREMIUM CHILI SAUCE 2.1KG X 6 BOTTLES / CARTON</t>
  </si>
  <si>
    <t>TƯƠNG ỚT HORECA PREMIUM TPC 2.1KG X 6 CHAI / THÙNG</t>
  </si>
  <si>
    <t>7.B2402239920E30401</t>
  </si>
  <si>
    <t>TPC HORECA PREMIUM CHILI SAUCE 2.1KG</t>
  </si>
  <si>
    <t>TƯƠNG ỚT HORECA PREMIUM TPC 2.1KG</t>
  </si>
  <si>
    <t>7.B2407239935E316</t>
  </si>
  <si>
    <t>TPC HORECA KETCHUP 2.2KG X 6 BOTTLES / CARTON</t>
  </si>
  <si>
    <t>TƯƠNG CÀ HORECA TPC 2.2KG X 6 CHAI / THÙNG</t>
  </si>
  <si>
    <t>7.B2407239935E31601</t>
  </si>
  <si>
    <t>TPC HORECA KETCHUP 2.2KG</t>
  </si>
  <si>
    <t>TƯƠNG CÀ HORECA TPC 2.2KG</t>
  </si>
  <si>
    <t>7.70574</t>
  </si>
  <si>
    <t>WILFARIN STEARIC ACID SA1860 IN PLASTIC BAG 25KG</t>
  </si>
  <si>
    <t>AXIT STEARIC - WILFARIN SA1860 ĐÓNG TRONG TÚI NHỰA 25KG</t>
  </si>
  <si>
    <t>7.101159591200C20</t>
  </si>
  <si>
    <t>ORCHID ROL IV 58 IN JERRYCAN @25KG</t>
  </si>
  <si>
    <t>V51.00A.044</t>
  </si>
  <si>
    <t>WOODEN TRAY FOR SPICES 170X140X170MM</t>
  </si>
  <si>
    <t>KHAY GỖ ĐỰNG GIA VỊ 170X140X170MM</t>
  </si>
  <si>
    <t>6.1441001</t>
  </si>
  <si>
    <t>MIXED VEGETABLE ACID OIL</t>
  </si>
  <si>
    <t>DẦU A-XÍT THỰC VẬT HỖN HỢP</t>
  </si>
  <si>
    <t>V51.00A.045</t>
  </si>
  <si>
    <t>CHILLI SAUCE STANDEE</t>
  </si>
  <si>
    <t>PHƯỚN ĐỨNG TƯƠNG ỚT</t>
  </si>
  <si>
    <t>V51.00A.046</t>
  </si>
  <si>
    <t xml:space="preserve">NDFC STICKER </t>
  </si>
  <si>
    <t>HÌNH ẢNH DÁN BÀN NDFC</t>
  </si>
  <si>
    <t>V51.00A.047</t>
  </si>
  <si>
    <t>NDFC TABLE FRAME</t>
  </si>
  <si>
    <t>KHUNG BÀN NDFC</t>
  </si>
  <si>
    <t>087.002.001</t>
  </si>
  <si>
    <t>W+ EOS</t>
  </si>
  <si>
    <t>W+ EOS - ROOT PRODUCT</t>
  </si>
  <si>
    <t>V39.00A.008</t>
  </si>
  <si>
    <t>SET OF GLASSES</t>
  </si>
  <si>
    <t>BỘ LY THỦY TINH</t>
  </si>
  <si>
    <t>V39.00A.009</t>
  </si>
  <si>
    <t>V51.00A.048</t>
  </si>
  <si>
    <t>CHILLI SAUCE DISPLAY RACK</t>
  </si>
  <si>
    <t>KỆ CARTON TƯƠNG ỚT</t>
  </si>
  <si>
    <t>V51.00A.049</t>
  </si>
  <si>
    <t>SALAD DRESSING  RACK</t>
  </si>
  <si>
    <t>KỆ DẦU GIẤM</t>
  </si>
  <si>
    <t>V51.00A.050</t>
  </si>
  <si>
    <t>OYSTER SAUCE RACK</t>
  </si>
  <si>
    <t>KỆ DẦU HÀO</t>
  </si>
  <si>
    <t>V51.000.110</t>
  </si>
  <si>
    <t>MEADOW FRESH IRON DISPLAY SHELF</t>
  </si>
  <si>
    <t>KỆ SẮT TRƯNG BÀY MEADOW FRESH</t>
  </si>
  <si>
    <t>7.C35015572330127</t>
  </si>
  <si>
    <t>POWER100 SAVING DISHWASHING LIQUID LEMON, 400G X 24 BOTTLES IN CARTON</t>
  </si>
  <si>
    <t>NƯỚC RỬA CHÉN POWER100 TIẾT KIỆM HƯƠNG CHANH, LOẠI 400G X 24 CHAI TRONG THÙNG CARTON</t>
  </si>
  <si>
    <t>7.C3501557233012701</t>
  </si>
  <si>
    <t>POWER100 SAVING DISHWASHING LIQUID LEMON, 400G</t>
  </si>
  <si>
    <t>NƯỚC RỬA CHÉN POWER100 TIẾT KIỆM HƯƠNG CHANH, LOẠI 400G</t>
  </si>
  <si>
    <t>7.C35015572690127</t>
  </si>
  <si>
    <t>POWER100 SAVING DISHWASHING LIQUID LEMON, 750G X 16 BOTTLES IN CARTON</t>
  </si>
  <si>
    <t>NƯỚC RỬA CHÉN POWER100 TIẾT KIỆM HƯƠNG CHANH, LOẠI 750G X 16 CHAI TRONG THÙNG CARTON</t>
  </si>
  <si>
    <t>7.C3501557269012701</t>
  </si>
  <si>
    <t>POWER100 SAVING DISHWASHING LIQUID LEMON, 750G</t>
  </si>
  <si>
    <t>NƯỚC RỬA CHÉN POWER100 TIẾT KIỆM HƯƠNG CHANH, LOẠI 750G</t>
  </si>
  <si>
    <t>7.52399153405E4</t>
  </si>
  <si>
    <t>RED KEY NOODLE - HL 25KG</t>
  </si>
  <si>
    <t>7.70575</t>
  </si>
  <si>
    <t xml:space="preserve"> SUNLUBE EBS DA IN BAG 5KG</t>
  </si>
  <si>
    <t>SÁP NHÂN TẠO SUNLUBE EBS DA ĐÓNG TRONG TÚI 5KG</t>
  </si>
  <si>
    <t>V51.00A.051</t>
  </si>
  <si>
    <t>PLASTIC BASKET 708 NEW AW</t>
  </si>
  <si>
    <t>RỔ NHỰA 708 NEW AW</t>
  </si>
  <si>
    <t>7.70576</t>
  </si>
  <si>
    <t>METHYL ESTER SULPHONATE POWDER (WILFAMES C16 - PR10) IN BAG 25KG</t>
  </si>
  <si>
    <t>CHẤT HOẠT ĐỘNG BỀ MẶT DẠNG ANION - WILFAMES C16 - PR10 ĐÓNG TRONG BAO 25KG</t>
  </si>
  <si>
    <t>7.70577</t>
  </si>
  <si>
    <t xml:space="preserve">METHYL ESTER SULPHONATE (MES) PASTE 28% IN BAG 2KG </t>
  </si>
  <si>
    <t>CHẤT HOẠT ĐỘNG BỀ MẶT DẠNG ANION ĐÓNG TRONG BAO 2KG</t>
  </si>
  <si>
    <t>7.52399145506D0</t>
  </si>
  <si>
    <t>RED COMPASS - 111 40KG</t>
  </si>
  <si>
    <t>BỘT MÌ HIỆU LA BÀN ĐỎ - 111 40KG</t>
  </si>
  <si>
    <t>7.52399145706D0</t>
  </si>
  <si>
    <t>RED COMPASS - 555 40KG</t>
  </si>
  <si>
    <t>BỘT MÌ HIỆU LA BÀN ĐỎ - 555 40KG</t>
  </si>
  <si>
    <t>7.52399145806D0</t>
  </si>
  <si>
    <t>RED COMPASS - 666 40KG</t>
  </si>
  <si>
    <t>BỘT MÌ HIỆU LA BÀN ĐỎ - 666 40KG</t>
  </si>
  <si>
    <t>7.52399145906D0</t>
  </si>
  <si>
    <t>RED COMPASS - 888 40KG</t>
  </si>
  <si>
    <t>BỘT MÌ HIỆU LA BÀN ĐỎ - 888 40KG</t>
  </si>
  <si>
    <t>7.52399146006D0</t>
  </si>
  <si>
    <t>RED COMPASS - 999 40KG</t>
  </si>
  <si>
    <t>BỘT MÌ HIỆU LA BÀN ĐỎ - 999 40KG</t>
  </si>
  <si>
    <t>7.52399045406D0</t>
  </si>
  <si>
    <t>BROWN COMPASS - 999 40KG</t>
  </si>
  <si>
    <t>BỘT MÌ HIỆU LA BÀN NÂU - 999 40KG</t>
  </si>
  <si>
    <t>7.52399045306D0</t>
  </si>
  <si>
    <t>BROWN COMPASS - 888 40KG</t>
  </si>
  <si>
    <t>BỘT MÌ HIỆU LA BÀN NÂU - 888 40KG</t>
  </si>
  <si>
    <t>7.52399045206D0</t>
  </si>
  <si>
    <t>BROWN COMPASS - 666 40KG</t>
  </si>
  <si>
    <t>BỘT MÌ HIỆU LA BÀN NÂU - 666 40KG</t>
  </si>
  <si>
    <t>7.52399045106D0</t>
  </si>
  <si>
    <t>BROWN COMPASS - 555 40KG</t>
  </si>
  <si>
    <t>BỘT MÌ HIỆU LA BÀN NÂU - 555 40KG</t>
  </si>
  <si>
    <t>7.52399045006D0</t>
  </si>
  <si>
    <t>BROWN COMPASS - 333 40KG</t>
  </si>
  <si>
    <t>BỘT MÌ HIỆU LA BÀN NÂU - 333 40KG</t>
  </si>
  <si>
    <t>7.52399896605D0</t>
  </si>
  <si>
    <t>TAN HUE VIEN - GREEN 25KG</t>
  </si>
  <si>
    <t>BỘT MÌ HIỆU TÂN HUÊ VIÊN - XANH LÁ 25KG</t>
  </si>
  <si>
    <t>7.52399896505D0</t>
  </si>
  <si>
    <t>TAN HUE VIEN - PINK 25KG</t>
  </si>
  <si>
    <t>BỘT MÌ HIỆU TÂN HUÊ VIÊN - HỒNG 25KG</t>
  </si>
  <si>
    <t>7.52399749905D0</t>
  </si>
  <si>
    <t>RED PEGASUS 25KG</t>
  </si>
  <si>
    <t>BỘT MÌ HIỆU THIÊN MÃ ĐỎ 25KG</t>
  </si>
  <si>
    <t>7.52399174805E5</t>
  </si>
  <si>
    <t>7.52399079905E5</t>
  </si>
  <si>
    <t>7.52399129905E5</t>
  </si>
  <si>
    <t>7.52399159905E5</t>
  </si>
  <si>
    <t>7.52399153405D0</t>
  </si>
  <si>
    <t>RED KEY NOODLE 25KG</t>
  </si>
  <si>
    <t>7.52399159906E6</t>
  </si>
  <si>
    <t>RED KEY-KHV 40KG</t>
  </si>
  <si>
    <t>7.52399689906D0</t>
  </si>
  <si>
    <t>BỘT MÌ HIỆU CHÌA KHÓA VÀNG 40KG</t>
  </si>
  <si>
    <t>7.52399026805D0</t>
  </si>
  <si>
    <t>BLUE KEY - 111 25KG</t>
  </si>
  <si>
    <t>BỘT MÌ HIỆU CHÌA KHÓA XANH - 111 25KG</t>
  </si>
  <si>
    <t>7.52399174805D0</t>
  </si>
  <si>
    <t>RED SATELLITE 25KG</t>
  </si>
  <si>
    <t>7.52399177405D0</t>
  </si>
  <si>
    <t>PINK SATELLITE 25KG</t>
  </si>
  <si>
    <t>BỘT MÌ HIỆU VỆ TINH HỒNG 25KG</t>
  </si>
  <si>
    <t>7.52399177505D0</t>
  </si>
  <si>
    <t>RED SATELLITE - LOW ASH 25KG</t>
  </si>
  <si>
    <t>BỘT MÌ HIỆU VỆ TINH ĐỎ - ĐỘ TRO THẤP 25KG</t>
  </si>
  <si>
    <t>7.E3801789985C932RT</t>
  </si>
  <si>
    <t>7.E3801789985C93201RT</t>
  </si>
  <si>
    <t>7.E3801789985C933RT</t>
  </si>
  <si>
    <t>7.E3801789985C93301RT</t>
  </si>
  <si>
    <t>7.E3801789985C935RT</t>
  </si>
  <si>
    <t>7.E3801789985C93501RT</t>
  </si>
  <si>
    <t>7.E3801789985C938RT</t>
  </si>
  <si>
    <t>7.E3801789985C93801RT</t>
  </si>
  <si>
    <t>7.E3801789913C938RT</t>
  </si>
  <si>
    <t>7.E3801789913C93801RT</t>
  </si>
  <si>
    <t>7.E3801789913C932RT</t>
  </si>
  <si>
    <t>7.E3801789913C93201RT</t>
  </si>
  <si>
    <t>7.E3801789913C935RT</t>
  </si>
  <si>
    <t>7.E3801789913C93501RT</t>
  </si>
  <si>
    <t>7.E3801789913C936RT</t>
  </si>
  <si>
    <t>7.E3801789913C93601RT</t>
  </si>
  <si>
    <t>7.E3801789913C937RT</t>
  </si>
  <si>
    <t>7.E3801789913C93701RT</t>
  </si>
  <si>
    <t>7.131087F11700H10</t>
  </si>
  <si>
    <t>CO-NEPTUNE LIGHT IN BOTTLE@9.8L</t>
  </si>
  <si>
    <t>DẦU ĂN THƯỢNG HẠNG NHÃN HIỆU NEPTUNE LIGHT 9,8L</t>
  </si>
  <si>
    <t>7.70578</t>
  </si>
  <si>
    <t>MIZULAN FL-80 BRAND MES(METHYL ESTER SULFONATE) IN PLASTIC BOX 5KG</t>
  </si>
  <si>
    <t>CHẤT HOẠT ĐỘNG BỀ MẶT DẠNG ANION MES (METHYL ESTER SULFONATE) NHÃN HIỆU MIZULAN FL-80 ĐÓNG TRONG THÙNG NHỰA 5KG</t>
  </si>
  <si>
    <t>7.70579</t>
  </si>
  <si>
    <t>MIZULAN  P-81F BRAND MES(METHYL ESTER SULFONATE) IN PLASTIC BOX 5KG</t>
  </si>
  <si>
    <t>CHẤT HOẠT ĐỘNG BỀ MẶT DẠNG ANION MES (METHYL ESTER SULFONATE) NHÃN HIỆU MIZULAN P-81F ĐÓNG TRONG THÙNG NHỰA 5KG</t>
  </si>
  <si>
    <t>7.70580</t>
  </si>
  <si>
    <t>MIZULAN  P-82 BRAND MES(METHYL ESTER SULFONATE) IN PLASTIC BOX 5KG</t>
  </si>
  <si>
    <t>CHẤT HOẠT ĐỘNG BỀ MẶT DẠNG ANION MES (METHYL ESTER SULFONATE) NHÃN HIỆU MIZULAN P-82 ĐÓNG TRONG THÙNG NHỰA 5KG</t>
  </si>
  <si>
    <t>V58.007.002</t>
  </si>
  <si>
    <t>BIB BAG 18KG, WITH CAP</t>
  </si>
  <si>
    <t>TÚI BIB 18 KG CÓ NẮP</t>
  </si>
  <si>
    <t>V86.01001134002</t>
  </si>
  <si>
    <t>CARTON 18KG, NO PRINT</t>
  </si>
  <si>
    <t>7.5239917480515</t>
  </si>
  <si>
    <t>RED SATELLITE - PDS 25KG</t>
  </si>
  <si>
    <t>7.131036030105A80</t>
  </si>
  <si>
    <t>ORCHID EXPORT 1L X 12 BTL</t>
  </si>
  <si>
    <t>7.B24012399370101TD</t>
  </si>
  <si>
    <t>7.A320108999101TD</t>
  </si>
  <si>
    <t>7.131060031705790TD</t>
  </si>
  <si>
    <t>V39.015.713</t>
  </si>
  <si>
    <t>NEPTUNE LIGHT APRON</t>
  </si>
  <si>
    <t>TẠP DỀ NEPTUNE LIGHT</t>
  </si>
  <si>
    <t>V51.600.205</t>
  </si>
  <si>
    <t>SHELFTALKER NEPTUNE LIGHT</t>
  </si>
  <si>
    <t>KHAY SẮT QUẢNG CÁO L NEPTUNE LIGHT</t>
  </si>
  <si>
    <t>V51.600.206</t>
  </si>
  <si>
    <t>NEPTUNE LIGHT BANNER (4M X 0.8M)</t>
  </si>
  <si>
    <t>BĂNG RÔN NEPTUNE LIGHT (4M X 0.8M)</t>
  </si>
  <si>
    <t>V51.000.111</t>
  </si>
  <si>
    <t>HAND SANITIZER</t>
  </si>
  <si>
    <t>DUNG DỊCH SÁT KHUẨN TAY</t>
  </si>
  <si>
    <t>V51.000.112</t>
  </si>
  <si>
    <t>MEDICAL MASK</t>
  </si>
  <si>
    <t>KHẨU TRANG Y TẾ</t>
  </si>
  <si>
    <t>V52.000.008</t>
  </si>
  <si>
    <t>TROLLEY POWER100 70X115X50CM</t>
  </si>
  <si>
    <t>XE ĐẨY POWER100 70X115X50CM</t>
  </si>
  <si>
    <t>V51.000.113</t>
  </si>
  <si>
    <t>TROLLEY ARTWORK POWER100 70X60CM</t>
  </si>
  <si>
    <t>TẤM HÌNH ẢNH XE ĐẨY POWER100 70X60CM</t>
  </si>
  <si>
    <t>7.52399059901D0</t>
  </si>
  <si>
    <t>COMPASS 0.5KG</t>
  </si>
  <si>
    <t>7.52399059902D0</t>
  </si>
  <si>
    <t>COMPASS 1KG</t>
  </si>
  <si>
    <t>7.52399089901D0</t>
  </si>
  <si>
    <t>MEIZAN 0.5KG</t>
  </si>
  <si>
    <t>BỘT MÌ HIỆU "MEIZAN" (0.5KG*20 GÓI/THÙNG)</t>
  </si>
  <si>
    <t>7.52399089902D0</t>
  </si>
  <si>
    <t>MEIZAN 1KG</t>
  </si>
  <si>
    <t>BỘT MÌ HIỆU "MEIZAN" (1KG*10 GÓI/THÙNG)</t>
  </si>
  <si>
    <t>7.52399083802D0</t>
  </si>
  <si>
    <t>MEIZAN BREAD 1KG (1KG *10 PAC/CAR)</t>
  </si>
  <si>
    <t>7.52399083902D0</t>
  </si>
  <si>
    <t>MEIZAN CAKE 1KG</t>
  </si>
  <si>
    <t>7.52399229906E4</t>
  </si>
  <si>
    <t>BLUE COMPASS - HL 40KG</t>
  </si>
  <si>
    <t>7.C35015572B40127</t>
  </si>
  <si>
    <t>POWER100 SAVING DISHWASHING LIQUID LEMON, 3,5KG X 4 JRG IN CARTON</t>
  </si>
  <si>
    <t>NƯỚC RỬA CHÉN POWER100 TIẾT KIỆM HƯƠNG CHANH, LOẠI 3,5KG X 4 CAN TRONG THÙNG CARTON</t>
  </si>
  <si>
    <t>7.C35015572B4012701</t>
  </si>
  <si>
    <t>POWER100 SAVING DISHWASHING LIQUID LEMON, 3,5KG</t>
  </si>
  <si>
    <t>NƯỚC RỬA CHÉN POWER100 TIẾT KIỆM HƯƠNG CHANH, LOẠI 3,5KG</t>
  </si>
  <si>
    <t>6.70552</t>
  </si>
  <si>
    <t>WILFARIN REFINED GLYCERINE 99.7% RSPO MB IN STEEL DRUM 250KG</t>
  </si>
  <si>
    <t>PHỤ GIA THỰC PHẨM GLYXERIN TINH KHIẾT 99,7% - WILFARIN, RSPO MB PHUY THÉP 250KG</t>
  </si>
  <si>
    <t>7.52399019905D0</t>
  </si>
  <si>
    <t>ACE - 1 25KG</t>
  </si>
  <si>
    <t>BỘT MÌ HIỆU ACE-1 25KG</t>
  </si>
  <si>
    <t>7.5239922990615</t>
  </si>
  <si>
    <t>BLUE COMPASS - PDS 40KG</t>
  </si>
  <si>
    <t>7.5239904990615</t>
  </si>
  <si>
    <t>BROWN COMPASS - PDS 40KG</t>
  </si>
  <si>
    <t>7.5239904990515</t>
  </si>
  <si>
    <t>BROWN COMPASS - PDS 25KG</t>
  </si>
  <si>
    <t>6.1221221</t>
  </si>
  <si>
    <t>DOUBLE REFINED HPKO MP38-42</t>
  </si>
  <si>
    <t>DẦU NHÂN CỌ HYDRO HÓA, TINH LUYỆN - WILKOTE 380</t>
  </si>
  <si>
    <t>6.4572400</t>
  </si>
  <si>
    <t>RE-REFINED BLEACHED DEODORIZED CANOLAOIL</t>
  </si>
  <si>
    <t>NGUYÊN LIỆU THỰC PHẨM DẦU HẠT CẢI TINH LUYỆN</t>
  </si>
  <si>
    <t>6.70553</t>
  </si>
  <si>
    <t>WILFARIN REFINED GLYCERINE 99.7% IN BOTTLE 1KG</t>
  </si>
  <si>
    <t>WILFARIN GLYXERIN TINH KHIẾT 99,7% ĐÓNG TRONG CHAI 1KG</t>
  </si>
  <si>
    <t>6.458A86K</t>
  </si>
  <si>
    <t>RE-PROCESS DOUBLE DEWAXING RBD SFO</t>
  </si>
  <si>
    <t>7.B2508549995010510</t>
  </si>
  <si>
    <t>PORK BOUILLON GRANULE 850G X 10 PAC ON PACK 10 BOT NEPTUNE LIGHT 0.25L/CAR</t>
  </si>
  <si>
    <t>HẠT NÊM 4 TRONG 1 - VỊ HEO 850G X 10 GÓI ĐÓNG KÈM 10 CHAI DẦU ĂN THƯỢNG HẠNG NHÃN HIỆU NEPTUNE LIGHT 0.25L/THÙNG</t>
  </si>
  <si>
    <t>7.B250854999501051001</t>
  </si>
  <si>
    <t xml:space="preserve">PORK BOUILLON GRANULE 850G ON PACK 01 BOT NEPTUNE LIGHT 0.25L </t>
  </si>
  <si>
    <t>HẠT NÊM 4 TRONG 1 - VỊ HEO 850G ĐÓNG KÈM 01 CHAI DẦU ĂN THƯỢNG HẠNG NHÃN HIỆU NEPTUNE LIGHT 0.25L</t>
  </si>
  <si>
    <t>7.B24012361A3014215</t>
  </si>
  <si>
    <t>FERMENTED SOY SAUCE 710ML X 12 BOT ON PACK  OYSTER SAUCE 270G X 12 BOT/CAR</t>
  </si>
  <si>
    <t>NƯỚC TƯƠNG NAM DƯƠNG ĐẬU NÀNH LÊN MEN TỰ NHIÊN 710ML X 12 CHAI ĐÓNG KÈM 12 CHAI DẦU HÀO 270G/THÙNG</t>
  </si>
  <si>
    <t>7.B24012361A301421501</t>
  </si>
  <si>
    <t xml:space="preserve">FERMENTED SOY SAUCE 710ML ON PACK 01 BOT OYSTER SAUCE 270G </t>
  </si>
  <si>
    <t>NƯỚC TƯƠNG NAM DƯƠNG ĐẬU NÀNH LÊN MEN TỰ NHIÊN 710ML ĐÓNG KÈM 01 CHAI DẦU HÀO 270G</t>
  </si>
  <si>
    <t>7.106012023450801</t>
  </si>
  <si>
    <t>MEIZAN BAKING FAT IN PE BAG@20KG</t>
  </si>
  <si>
    <t>CHẤT BÉO BÁNH NƯỚNG NHÃN HIỆU MEIZAN(BAO BÌ MÀU XANH LÁ)TRONG THÙNG 20KG</t>
  </si>
  <si>
    <t>7.106012023440801</t>
  </si>
  <si>
    <t>MEIZAN BAKING FAT +BHA+BHT PE BAG@20KG</t>
  </si>
  <si>
    <t>CHẤT BÉO BÁNH NƯỚNG NHÃN HIỆU MEIZAN (BAO BÌ MÀU ĐỎ) TRONG THÙNG 20KG</t>
  </si>
  <si>
    <t>7.52399259905E7</t>
  </si>
  <si>
    <t xml:space="preserve">BLUE KEY N - SUMIMOTO KVC 25KG_x000D_
</t>
  </si>
  <si>
    <t>7.52399139904E8</t>
  </si>
  <si>
    <t xml:space="preserve">PIZZA 10KG - PIZZA HUT_x000D_
</t>
  </si>
  <si>
    <t>BỘT MÌ HIỆU PIZZA 10KG</t>
  </si>
  <si>
    <t>7.70581</t>
  </si>
  <si>
    <t>ERCAWAX LM 7 V/FD IN PLASTIC BOTTLE 1KG</t>
  </si>
  <si>
    <t>CHẤT NHŨ HÓA ERCAWAX LM 7 V/FD ĐÓNG TRONG CHAI NHỰA 1KG</t>
  </si>
  <si>
    <t>7.70582</t>
  </si>
  <si>
    <t>ERCAREL OS V MB/CU-RSPO-SCC 832637 IN PLASTIC BOTTLE 0.5KG</t>
  </si>
  <si>
    <t>CHẤT LÀM MỀM DA ERCAREL OS V MB/CU-RSPO-SCC 832637 ĐÓNG TRONG CHAI NHỰA 0.5KG</t>
  </si>
  <si>
    <t>7.70583</t>
  </si>
  <si>
    <t>ERCAREL CSO V IN PLASTIC BOTTLE 0.5KG</t>
  </si>
  <si>
    <t>CHẤT LÀM MỀM DA ERCAREL CSO V ĐÓNG TRONG CHAI NHỰA 0.5KG</t>
  </si>
  <si>
    <t>7.70584</t>
  </si>
  <si>
    <t>ERCAREL CSN V IN PLASTIC BOTTLE 0.5KG</t>
  </si>
  <si>
    <t>CHẤT LÀM MỀM DA ERCAREL CSN V ĐÓNG TRONG CHAI NHỰA 0.5KG</t>
  </si>
  <si>
    <t>7.70585</t>
  </si>
  <si>
    <t>ERCASOL 13 LH IN PLASTIC BOTTLE 0.5KG</t>
  </si>
  <si>
    <t>CHẤT HÒA TAN DẦU ERCASOL 13 LH ĐÓNG TRONG CHAI NHỰA 0.5KG</t>
  </si>
  <si>
    <t>7.5239917760515</t>
  </si>
  <si>
    <t>GREEN SATELLITE PDS 25KG</t>
  </si>
  <si>
    <t>7.1340190996401</t>
  </si>
  <si>
    <t>PILOT PASTRY MARGARINE PIECES MEDIUM IN CARTON 15KG</t>
  </si>
  <si>
    <t>BƠ THỰC VẬT PASTRY PIECES MEDIUM NHÃN HIỆU PILOT ĐÓNG TRONG THÙNG CARTON 15KG</t>
  </si>
  <si>
    <t>6.1340210990001</t>
  </si>
  <si>
    <t>SHORTENING EMUL CME PUMP IBC 730KG/MB IN CARTON</t>
  </si>
  <si>
    <t>SHORTENING EMUL CME PUMP IBC ĐÓNG TRONG THÙNG CARTON 730KG</t>
  </si>
  <si>
    <t>7.70586</t>
  </si>
  <si>
    <t>GENAMINOX LO IN PLASTIC BOTTLE 1KG</t>
  </si>
  <si>
    <t>CHẤT HOẠT ĐỘNG BỀ MẶT GENAMINOX LO ĐÓNG TRONG CHAI NHỰA 1KG</t>
  </si>
  <si>
    <t>7.C35015572827227</t>
  </si>
  <si>
    <t>POWER100 SAVING DISHWASHING LIQUID LEMON, 800G X 12 BOTTLES IN CARTON, EXPORTING TO LAOS</t>
  </si>
  <si>
    <t>NƯỚC RỬA CHÉN POWER100 TIẾT KIỆM HƯƠNG CHANH, LOẠI 800G X 12 CHAI TRONG THÙNG CARTON, XK LÀO</t>
  </si>
  <si>
    <t>7.C3501557282722701</t>
  </si>
  <si>
    <t>POWER100 SAVING DISHWASHING LIQUID LEMON, 800G, EXPORTING TO LAOS</t>
  </si>
  <si>
    <t>NƯỚC RỬA CHÉN POWER100 TIẾT KIỆM HƯƠNG CHANH, LOẠI 800G, XK LÀO</t>
  </si>
  <si>
    <t>6.1212B35</t>
  </si>
  <si>
    <t>RBDOL 1008 LOW GE</t>
  </si>
  <si>
    <t>DẦU OLEIN CỌ TINH LUYỆN (LOW GE) TRONG XE BỒN</t>
  </si>
  <si>
    <t>6.1213516</t>
  </si>
  <si>
    <t>RBD PALM STEARIN(LOW GE)</t>
  </si>
  <si>
    <t>DẦU STEARIN CỌ TINH LUYỆN (LOW GE) TRONG XE BỒN</t>
  </si>
  <si>
    <t>7.B2402289945012601TD</t>
  </si>
  <si>
    <t>6.1212B39</t>
  </si>
  <si>
    <t>RBD PALM OLEIN IV 56 LOW GE 1.0 MAX PPM</t>
  </si>
  <si>
    <t>6.1212B38</t>
  </si>
  <si>
    <t>RBD PALM OLEIN IV 60 LOW GE 1.0 MAX PPM</t>
  </si>
  <si>
    <t>7.131078011725H50</t>
  </si>
  <si>
    <t>CO-MEIZAN GOLD 0.25L X 36 BTL</t>
  </si>
  <si>
    <t>7.131010120106H80</t>
  </si>
  <si>
    <t>CAI LAN S 0.4L X 24BTL</t>
  </si>
  <si>
    <t>7.131009120106H90</t>
  </si>
  <si>
    <t>CAI LAN 0.4L X 24BTL</t>
  </si>
  <si>
    <t>7.52399139904D0</t>
  </si>
  <si>
    <t>PIZZA 10KG</t>
  </si>
  <si>
    <t>BỘT MÌ HIỆU PIZZA (10KG)</t>
  </si>
  <si>
    <t>7.B2508549942010516</t>
  </si>
  <si>
    <t>PORK BOUILLON GRANULE 380G X 20 PACK ON PACK 20 BOT FERMENTED SOY SAUCE 280ML / CAR</t>
  </si>
  <si>
    <t>HẠT NÊM 4 TRONG 1 - VỊ HEO 380G X 20 GÓI ĐÓNG KÈM  20 CHAI NƯỚC TƯƠNG NAM DƯƠNG ĐẬU NÀNH LÊN MEN TỰ NHIÊN 280ML / THÙNG</t>
  </si>
  <si>
    <t>7.B250854994201051601</t>
  </si>
  <si>
    <t>PORK BOUILLON GRANULE 380G  ON PACK 01 BOT FERMENTED SOY SAUCE 280ML</t>
  </si>
  <si>
    <t>HẠT NÊM 4 TRONG 1 - VỊ HEO 380G ĐÓNG KÈM  01 CHAI NƯỚC TƯƠNG NAM DƯƠNG ĐẬU NÀNH LÊN MEN TỰ NHIÊN 280ML</t>
  </si>
  <si>
    <t>7.B2508542442010616</t>
  </si>
  <si>
    <t>MUSHROOM BOUILLON GRANULE 380G X 20 PACK ON PACK 20 BOT FERMENTED SOY SAUCE 280ML / CAR</t>
  </si>
  <si>
    <t>HẠT NÊM TAM BẢO VỊ NẤM 380G X 20 GÓI ĐÓNG KÈM 20 CHAI NƯỚC TƯƠNG NAM DƯƠNG ĐẬU NÀNH LÊN MEN TỰ NHIÊN 280ML / THÙNG</t>
  </si>
  <si>
    <t>7.B250854244201061601</t>
  </si>
  <si>
    <t>MUSHROOM BOUILLON GRANULE 380G ON PACK 01 BOT FERMENTED SOY SAUCE 280ML</t>
  </si>
  <si>
    <t>HẠT NÊM TAM BẢO VỊ NẤM 380G ĐÓNG KÈM 01 CHAI NƯỚC TƯƠNG NAM DƯƠNG ĐẬU NÀNH LÊN MEN TỰ NHIÊN 280ML</t>
  </si>
  <si>
    <t>7.70587</t>
  </si>
  <si>
    <t>WILMAX 5100 HYDROGENATED SHEA OLEIN IN BAG 5KG</t>
  </si>
  <si>
    <t>WILMAX 5100 DẦU OLEIN HẠT MỠ HYDRO HÓA ĐÓNG TRONG TÚI 5KG</t>
  </si>
  <si>
    <t>7.D37011099050153</t>
  </si>
  <si>
    <t>DARK CHOCOLATE COMPOUND SLD–2501-254, CHIPS 8800 CTS/KG IN CARTON 25KG</t>
  </si>
  <si>
    <t>SÔ-CÔ-LA ĐEN SLD–2501-254, CHIPS 8800 CTS/KG, ĐÓNG TRONG THÙNG CARTON 25KG</t>
  </si>
  <si>
    <t>7.D37011099050154</t>
  </si>
  <si>
    <t>WHITE COMPOUND SLW–2502-254, CHIPS 8800 CTS/KG IN CARTON 25KG</t>
  </si>
  <si>
    <t>SÔ-CÔ-LA TRẮNG SLW–2502-254, CHIPS 8800 CTS/KG, ĐÓNG TRONG THÙNG CARTON 25KG</t>
  </si>
  <si>
    <t>7.D37011099040153</t>
  </si>
  <si>
    <t>DARK CHOCOLATE COMPOUND SLD-3100B-106CI, BLOCK 1KG, IN CARTON 10KG</t>
  </si>
  <si>
    <t>SÔ-CÔ-LA ĐEN SLD-3100B-106CI, BLOCK 1KG, ĐÓNG TRONG THÙNG CARTON 10KG</t>
  </si>
  <si>
    <t>7.D37011099040154</t>
  </si>
  <si>
    <t>DARK CHOCOLATE COMPOUND ILD–52009N-055, 5KG X 2BAGS, IN CARTON 10KG</t>
  </si>
  <si>
    <t>SÔ-CÔ-LA ĐEN ILD–52009N-055, 5KG X 2BAGS, ĐÓNG TRONG THÙNG CARTON 10KG</t>
  </si>
  <si>
    <t>7.B2508089902010501TD</t>
  </si>
  <si>
    <t>7.1070140215908010</t>
  </si>
  <si>
    <t>SATELLITE PREMIUM BAKERY MGR PE BAG@20KG</t>
  </si>
  <si>
    <t>BƠ THƠM CAO CẤP NHÃN HIỆU SATELLITE TRONG THÙNG 20KG</t>
  </si>
  <si>
    <t>6.1212B40</t>
  </si>
  <si>
    <t>RBD PALM OLEIN IV 58 LOW GE</t>
  </si>
  <si>
    <t>6.1212B41</t>
  </si>
  <si>
    <t>RBD PALM OLEIN IV 56 LOW GE</t>
  </si>
  <si>
    <t>7.70588</t>
  </si>
  <si>
    <t>VEGETABLE FAT WILMAX 1050 RSPO MB PACKING IN 20KG CARTON</t>
  </si>
  <si>
    <t>CHẤT BÉO THỰC VẬT WILMAX 1050 RSPO MB ĐÓNG TRONG THÙNG CARTON 20KG</t>
  </si>
  <si>
    <t>6.70589</t>
  </si>
  <si>
    <t>SODIUM LAURETH 2 SULFATE IN JERRY CAN 5KG</t>
  </si>
  <si>
    <t>CHẤT HOẠT ĐỘNG BỀ MẶT - SODIUM LAURETH 2 SULFATE ĐÓNG TRONG CAN 5KG</t>
  </si>
  <si>
    <t>7.52399A6990601</t>
  </si>
  <si>
    <t>FLOUR 26 40KG</t>
  </si>
  <si>
    <t>BỘT MÌ 26 40KG</t>
  </si>
  <si>
    <t>7.52399A7990601</t>
  </si>
  <si>
    <t>FLOUR 28 40KG</t>
  </si>
  <si>
    <t>BỘT MÌ 28 40KG</t>
  </si>
  <si>
    <t>7.B24012361370142TD</t>
  </si>
  <si>
    <t>7.B24022399180131TD</t>
  </si>
  <si>
    <t>7.B24022399180199TD</t>
  </si>
  <si>
    <t>V51.000.114</t>
  </si>
  <si>
    <t xml:space="preserve">MULTI-COLORS SILICONE DRYING </t>
  </si>
  <si>
    <t>CÂY VÉT BỘT BẰNG SILICON NHIỀU MÀU</t>
  </si>
  <si>
    <t>V51.000.115</t>
  </si>
  <si>
    <t>DOUGH ROLLER</t>
  </si>
  <si>
    <t>CÂY LĂN BỘT</t>
  </si>
  <si>
    <t>V51.046.028</t>
  </si>
  <si>
    <t>7.52399149905F7</t>
  </si>
  <si>
    <t>RED COMPASS - KINH DO 25KG (NON FE&amp;ZN)</t>
  </si>
  <si>
    <t>7.52399079905F7</t>
  </si>
  <si>
    <t>GREEN KEY- KINH DO 25KG (NON FE&amp;ZN)</t>
  </si>
  <si>
    <t>6.5239924170001</t>
  </si>
  <si>
    <t>VFMW-2</t>
  </si>
  <si>
    <t>BỘT MÌ HIỆU VFMW-2</t>
  </si>
  <si>
    <t>6.5239924180001</t>
  </si>
  <si>
    <t>VFMW-4</t>
  </si>
  <si>
    <t>BỘT MÌ HIỆU VFMW-4</t>
  </si>
  <si>
    <t>6.52399241700F8</t>
  </si>
  <si>
    <t>VFMW-2 (NON FE&amp;ZN)</t>
  </si>
  <si>
    <t>6.52399241800F8</t>
  </si>
  <si>
    <t>VFMW-4 (NON FE&amp;ZN)</t>
  </si>
  <si>
    <t>7.52399259905F9</t>
  </si>
  <si>
    <t>BLUE KEY NOODLE - MASAN 25KG (NON FE&amp;ZN)</t>
  </si>
  <si>
    <t>BỘT MÌ HIỆU CHÌA KHÓA XANH MÌ SỢI 25KG</t>
  </si>
  <si>
    <t>7.52399B19903A0</t>
  </si>
  <si>
    <t>SAMPLE BLUE KEY PAU SP 5KG</t>
  </si>
  <si>
    <t>BỘT MÌ HIỆU CHÌA KHÓA XANH BÁNH BAO SP 5KG</t>
  </si>
  <si>
    <t>7.52399119903A0</t>
  </si>
  <si>
    <t>SAMPLE ORANGE KEY 5KG</t>
  </si>
  <si>
    <t>BỘT MÌ HIỆU CHÌA KHÓA CAM 5KG</t>
  </si>
  <si>
    <t>7.458052790901180</t>
  </si>
  <si>
    <t>SATELLITE RSFO+TOCOPHEROL IN BIB @18KG</t>
  </si>
  <si>
    <t>DẦU HƯỚNG DƯƠNG - A NHÃN HIỆU SATELLITE TRONG THÙNG 18KG</t>
  </si>
  <si>
    <t>7.5239919990501</t>
  </si>
  <si>
    <t>RED KEY SP 25KG</t>
  </si>
  <si>
    <t>BỘT MÌ HIỆU CHÌA KHÓA ĐỎ SP 25KG</t>
  </si>
  <si>
    <t>7.52399269905AA</t>
  </si>
  <si>
    <t>BLUE KEY PAU 25 KG</t>
  </si>
  <si>
    <t>BỘT MÌ HIỆU CHÌA KHÓA XANH BÁNH BAO 25KG</t>
  </si>
  <si>
    <t>7.5239926990533</t>
  </si>
  <si>
    <t>BLUE KEY PAU PHU MY 25KG</t>
  </si>
  <si>
    <t>7.52399B1990501</t>
  </si>
  <si>
    <t>BLUE KEY PAU SP 25KG</t>
  </si>
  <si>
    <t>BỘT MÌ HIỆU CHÌA KHÓA XANH BÁNH BAO SP 25KG</t>
  </si>
  <si>
    <t>7.5239925990501</t>
  </si>
  <si>
    <t>BLUE KEY NOODLE 25 KG</t>
  </si>
  <si>
    <t>7.5239927990501</t>
  </si>
  <si>
    <t>GREEN KEY SP 25KG</t>
  </si>
  <si>
    <t>BỘT MÌ HIỆU CHÌA KHÓA XANH LÁ SP 25KG</t>
  </si>
  <si>
    <t>7.5239927990543</t>
  </si>
  <si>
    <t>GREEN KEY SP DIAMOND 25KG</t>
  </si>
  <si>
    <t>7.5239916990501</t>
  </si>
  <si>
    <t>RED PEN 25KG</t>
  </si>
  <si>
    <t>7.52399349905D0</t>
  </si>
  <si>
    <t>ACE 25KG</t>
  </si>
  <si>
    <t>BỘT MÌ HIỆU ACE 25KG</t>
  </si>
  <si>
    <t>7.52399169905G0</t>
  </si>
  <si>
    <t>RED PEN LAOS 25KG</t>
  </si>
  <si>
    <t>BỘT MÌ HIỆU CÂY VIẾT ĐỎ (TIẾNG LÀO) 25KG</t>
  </si>
  <si>
    <t>7.52399119405G0</t>
  </si>
  <si>
    <t>ORANGE KEY LAOS 111 25KG</t>
  </si>
  <si>
    <t>BỘT MÌ HIỆU CHÌA KHÓA CAM - 111 (TIẾNG LÀO) 25KG</t>
  </si>
  <si>
    <t>7.52399119905G0</t>
  </si>
  <si>
    <t>ORANGE KEY LAOS 25KG</t>
  </si>
  <si>
    <t>BỘT MÌ HIỆU CHÌA KHÓA CAM (TIẾNG LÀO) 25KG</t>
  </si>
  <si>
    <t>7.52399079905G0</t>
  </si>
  <si>
    <t>GREEN KEY LAOS 25KG</t>
  </si>
  <si>
    <t>BỘT MÌ HIỆU CHÌA KHÓA XANH LÁ (TIẾNG LÀO) 25KG</t>
  </si>
  <si>
    <t>7.52399149905G0</t>
  </si>
  <si>
    <t>RED COMPASS LAOS 25KG</t>
  </si>
  <si>
    <t>BỘT MÌ HIỆU LA BÀN ĐỎ (TIẾNG LÀO) 25KG</t>
  </si>
  <si>
    <t>7.52399159905G0</t>
  </si>
  <si>
    <t>RED KEY LAOS 25KG</t>
  </si>
  <si>
    <t>BỘT MÌ HIỆU CHÌA KHÓA ĐỎ (TIẾNG LÀO) 25KG</t>
  </si>
  <si>
    <t>7.5239904990534</t>
  </si>
  <si>
    <t>BROWN COMPASS HANOI FOOD 25KG</t>
  </si>
  <si>
    <t>7.B24012302370101TD</t>
  </si>
  <si>
    <t>7.B25080899020105TD</t>
  </si>
  <si>
    <t>7.B25085424420106TD</t>
  </si>
  <si>
    <t>MUSHROOM BOUILLON GRANULE 380G X 20 PAC/CARTON (LNS)</t>
  </si>
  <si>
    <t>HẠT NÊM TAM BẢO VỊ NẤM 380G X 20 GÓI/THÙNG</t>
  </si>
  <si>
    <t>7.52399044905G1</t>
  </si>
  <si>
    <t>BROWN COMPASS 111 BAOHUNG 25KG</t>
  </si>
  <si>
    <t>BỘT MÌ HIỆU LA BÀN NÂU -111 25KG</t>
  </si>
  <si>
    <t>7.52399689905D0</t>
  </si>
  <si>
    <t>BỘT MÌ HIỆU CHÌA KHOÁ VÀNG 25KG</t>
  </si>
  <si>
    <t>7.52399259903A0</t>
  </si>
  <si>
    <t>SAMPLE BLUE KEY NOODLE 5KG</t>
  </si>
  <si>
    <t>BỘT MÌ HIỆU CHÌA KHÓA XANH MÌ SỢI 5KG</t>
  </si>
  <si>
    <t>7.52399269903A0</t>
  </si>
  <si>
    <t>SAMPLE BLUE KEY PAU 5KG</t>
  </si>
  <si>
    <t>BỘT MÌ HIỆU CHÌA KHÓA XANH BÁNH BAO 5KG</t>
  </si>
  <si>
    <t>7.52399229903A0</t>
  </si>
  <si>
    <t>SAMPLE BLUE COMPASS 5KG</t>
  </si>
  <si>
    <t>BỘT MÌ HIỆU LA BÀN XANH 5KG</t>
  </si>
  <si>
    <t>7.52399049903A0</t>
  </si>
  <si>
    <t>SAMPLE BROWN COMPASS 5KG</t>
  </si>
  <si>
    <t>BỘT MÌ HIỆU LA BÀN NÂU 5KG</t>
  </si>
  <si>
    <t>7.52399079903A0</t>
  </si>
  <si>
    <t>SAMPLE GREEN KEY 5KG</t>
  </si>
  <si>
    <t>BỘT MÌ HIỆU CHÌA KHÓA XANH LÁ 5KG</t>
  </si>
  <si>
    <t>7.52399279903A0</t>
  </si>
  <si>
    <t>SAMPLE GREEN KEY SP 5KG</t>
  </si>
  <si>
    <t>BỘT MÌ HIỆU CHÌA KHÓA XANH LÁ SP 5KG</t>
  </si>
  <si>
    <t>7.52399129903A0</t>
  </si>
  <si>
    <t>SAMPLE PINK KEY 5KG</t>
  </si>
  <si>
    <t>BỘT MÌ HIỆU CHÌA KHÓA HỒNG 5KG</t>
  </si>
  <si>
    <t>7.52399169903A0</t>
  </si>
  <si>
    <t>SAMPLE RED PEN 5KG</t>
  </si>
  <si>
    <t>BỘT MÌ HIỆU CÂY VIẾT ĐỎ 5KG</t>
  </si>
  <si>
    <t>7.52399159903A0</t>
  </si>
  <si>
    <t>SAMPLE RED KEY 5KG</t>
  </si>
  <si>
    <t>BỘT MÌ HIỆU CHÌA KHÓA ĐỎ 5KG</t>
  </si>
  <si>
    <t>7.52399199903A0</t>
  </si>
  <si>
    <t>SAMPLE RED KEY SP 5KG</t>
  </si>
  <si>
    <t>BỘT MÌ HIỆU CHÌA KHÓA ĐỎ SP 5KG</t>
  </si>
  <si>
    <t>7.52399149903A0</t>
  </si>
  <si>
    <t>SAMPLE RED COMPASS 5KG</t>
  </si>
  <si>
    <t>BỘT MÌ HIỆU LA BÀN ĐỎ 5KG</t>
  </si>
  <si>
    <t>7.52399799903A0</t>
  </si>
  <si>
    <t>SAMPLE RED SATELLITE 5KG</t>
  </si>
  <si>
    <t>BỘT MÌ HIỆU VỆ TINH ĐỎ 5KG</t>
  </si>
  <si>
    <t>7.B2508549995010516</t>
  </si>
  <si>
    <t>PORK BOUILLON GRANULE 850G X 10 PACK ON PACK 20 BOT FERMENTED SOY SAUCE 280ML / CAR</t>
  </si>
  <si>
    <t>HẠT NÊM 4 TRONG 1 - VỊ HEO 850G X 10 GÓI ĐÓNG KÈM 10 CHAI NƯỚC TƯƠNG NAM DƯƠNG ĐẬU NÀNH LÊN MEN TỰ NHIÊN 280ML / THÙNG</t>
  </si>
  <si>
    <t>7.B250854999501051601</t>
  </si>
  <si>
    <t>PORK BOUILLON GRANULE 850G ONPACK 01 BOT FERMENTED SOY SAUCE 280ML</t>
  </si>
  <si>
    <t>HẠT NÊM 4 TRONG 1 - VỊ HEO 850G ĐÓNG KÈM 01 CHAI NƯỚC TƯƠNG NAM DƯƠNG ĐẬU NÀNH LÊN MEN TỰ NHIÊN 280ML</t>
  </si>
  <si>
    <t>7.52399B19905D0</t>
  </si>
  <si>
    <t>BỘT MÌ HIỆU CKX BÁNH BAO SP 25KG</t>
  </si>
  <si>
    <t>7.52399269905G2</t>
  </si>
  <si>
    <t>7.52399044905D0</t>
  </si>
  <si>
    <t>BROWN COMPASS 111 25KG</t>
  </si>
  <si>
    <t>BỘT MÌ HIỆU LA BÀN NÂU - 111 25KG</t>
  </si>
  <si>
    <t>7.5239927990542</t>
  </si>
  <si>
    <t>GREEN KEY SP TRANG AN 25KG</t>
  </si>
  <si>
    <t>7.A31990899080117TD</t>
  </si>
  <si>
    <t>7.52399229905G3</t>
  </si>
  <si>
    <t>BLUE COMPASS MICOEM 25KG</t>
  </si>
  <si>
    <t>7.52399149905G3</t>
  </si>
  <si>
    <t>RED COMPASS MICOEM 25KG</t>
  </si>
  <si>
    <t>7.A3199089908011701TD</t>
  </si>
  <si>
    <t>7.52399179905F7</t>
  </si>
  <si>
    <t>SATELLITE KINH DO 25KG (NON FE&amp;ZN)</t>
  </si>
  <si>
    <t>BỘT MÌ HIỆU VỆ TINH 25KG</t>
  </si>
  <si>
    <t>7.52399229905G5</t>
  </si>
  <si>
    <t>BLUE COMPASS VIFON 25KG</t>
  </si>
  <si>
    <t>7.52399079905G1</t>
  </si>
  <si>
    <t>GREEN KEY BAO HUNG 25KG</t>
  </si>
  <si>
    <t>7.52399079905G6</t>
  </si>
  <si>
    <t>GREEN KEY PHAM NGUYEN 25KG</t>
  </si>
  <si>
    <t>7.70589</t>
  </si>
  <si>
    <t>WILFARIN CA-0899 IN BOTTLE 1KG</t>
  </si>
  <si>
    <t>WILFARIN CA-0899 ĐÓNG TRONG CHAI 1KG</t>
  </si>
  <si>
    <t>7.52399079905G7</t>
  </si>
  <si>
    <t>GREEN KEY ORION 25KG</t>
  </si>
  <si>
    <t xml:space="preserve">GREEN KEY ORION 25KG_x000D_
</t>
  </si>
  <si>
    <t>7.52399799905G8</t>
  </si>
  <si>
    <t>RED SATELLITE HUU NGHI 25KG</t>
  </si>
  <si>
    <t>6.52399401900F8</t>
  </si>
  <si>
    <t>VFM-2 IN-BULK (NON FE&amp;ZN)</t>
  </si>
  <si>
    <t>BỘT MÌ HIỆU VFM-2</t>
  </si>
  <si>
    <t>6.52399402000F8</t>
  </si>
  <si>
    <t>VFM-4 IN-BULK (NON FE&amp;ZN)</t>
  </si>
  <si>
    <t>BỘT MÌ HIỆU VFM-4</t>
  </si>
  <si>
    <t>7.52399159905B5</t>
  </si>
  <si>
    <t>RED KEY - NISSHIN 25KG</t>
  </si>
  <si>
    <t>7.52399319905C2</t>
  </si>
  <si>
    <t>BCR-1 SUMIMOTO 25KG</t>
  </si>
  <si>
    <t>7.5239915810572</t>
  </si>
  <si>
    <t>RED KEY -MB 25KG</t>
  </si>
  <si>
    <t xml:space="preserve">RED KEY -MB 25KG_x000D_
</t>
  </si>
  <si>
    <t>7.5239919860572</t>
  </si>
  <si>
    <t>RED KEY SPMB 25KG</t>
  </si>
  <si>
    <t>7.5239911810572</t>
  </si>
  <si>
    <t>ORANGE KEY - MB 25KG</t>
  </si>
  <si>
    <t>7.5239934810572</t>
  </si>
  <si>
    <t>ACE - MB 25KG</t>
  </si>
  <si>
    <t xml:space="preserve">ACE - MB 25KG_x000D_
</t>
  </si>
  <si>
    <t>7.5239925810572</t>
  </si>
  <si>
    <t>BLUE KEY NOODLE - MB 25KG</t>
  </si>
  <si>
    <t xml:space="preserve">BLUE KEY NOODLE - MB 25KG_x000D_
</t>
  </si>
  <si>
    <t>7.5239926810572</t>
  </si>
  <si>
    <t>BLUE KEY PAU - MB 25KG</t>
  </si>
  <si>
    <t>7.52399149906G4</t>
  </si>
  <si>
    <t>RED COMPASS - MASAN MB 40KG</t>
  </si>
  <si>
    <t xml:space="preserve">RED COMPASS - MASAN MB 40KG_x000D_
</t>
  </si>
  <si>
    <t>7.131078061703E10TD</t>
  </si>
  <si>
    <t>7.B25080899330105</t>
  </si>
  <si>
    <t>MEIZAN PORK BOUILLON GRANULE 400G X 24 PAC/CAR</t>
  </si>
  <si>
    <t>7.B2508089933010501</t>
  </si>
  <si>
    <t>MEIZAN PORK BOUILLON GRANULE 400G</t>
  </si>
  <si>
    <t>HẠT NÊM MEIZAN THỊT, XƯƠNG ỐNG, TUỶ, CÀ RỐT- VỊ HEO 400 G</t>
  </si>
  <si>
    <t>7.52399049906B0</t>
  </si>
  <si>
    <t>BROWN COMPASS - TSP 40KG</t>
  </si>
  <si>
    <t>7.52399076303A0</t>
  </si>
  <si>
    <t>GREEN KEY 333-5</t>
  </si>
  <si>
    <t>BỘT MÌ CHUYÊN DỤNG "CHÌA KHÓA XANH LÁ -333" (5KG)</t>
  </si>
  <si>
    <t>7.5239914990567</t>
  </si>
  <si>
    <t>RED COMPASS BIBICA 25KG</t>
  </si>
  <si>
    <t>7.52399049905G6</t>
  </si>
  <si>
    <t>BROWN COMPASS PHAM NGUYEN 25KG</t>
  </si>
  <si>
    <t>7.52399045005D0</t>
  </si>
  <si>
    <t>BROWN COMPASS 333 25KG</t>
  </si>
  <si>
    <t>BỘT MÌ HIỆU LA BÀN NÂU - 333 25KG</t>
  </si>
  <si>
    <t>7.52399045105D0</t>
  </si>
  <si>
    <t>BROWN COMPASS 555 25KG</t>
  </si>
  <si>
    <t>BỘT MÌ HIỆU LA BÀN NÂU - 555 25KG</t>
  </si>
  <si>
    <t>7.52399045405D0</t>
  </si>
  <si>
    <t>BROWN COMPASS 999 25KG</t>
  </si>
  <si>
    <t>BỘT MÌ HIỆU LA BÀN NÂU - 999 25KG</t>
  </si>
  <si>
    <t>7.52399779905G9</t>
  </si>
  <si>
    <t>GREEN KEY 111 BISCAFUN 25KG</t>
  </si>
  <si>
    <t>BỘT MÌ HIỆU CHÌA KHÓA XANH LÁ - 111 25KG</t>
  </si>
  <si>
    <t>7.52399779905H1</t>
  </si>
  <si>
    <t>GREEN KEY 111 BISCAFUN 25KG (NON FE&amp;ZN)</t>
  </si>
  <si>
    <t>7.52399779905H2</t>
  </si>
  <si>
    <t>GREEN KEY 111 TRANG AN 25KG</t>
  </si>
  <si>
    <t>6.1221219</t>
  </si>
  <si>
    <t>RHPKO MP 38-42 FFA 0.1</t>
  </si>
  <si>
    <t>DẦU NHÂN CỌ HYDRO HÓA, TINH LUYỆN - WILKOTE 380 TRONG XE BỒN</t>
  </si>
  <si>
    <t>7.70590</t>
  </si>
  <si>
    <t>FATTY ALCOHOL 1618 IN PAPER BAG 25KG</t>
  </si>
  <si>
    <t>CHẤT HOẠT ĐỘNG BỀ MẶT FATTY ALCOHOL 1618 ĐÓNG TRONG BAO GIẤY 25KG</t>
  </si>
  <si>
    <t>7.70591</t>
  </si>
  <si>
    <t>ERCAWAX HCO 40 V/FD IN PLASTIC BOTTLE 1KG</t>
  </si>
  <si>
    <t>CHẤT NHŨ HÓA ERCAWAX HCO 40 V/FD ĐÓNG TRONG CHAI NHỰA 1KG</t>
  </si>
  <si>
    <t>7.52399229905H3</t>
  </si>
  <si>
    <t>BLUE COMPASS ASIA 25KG</t>
  </si>
  <si>
    <t>7.52399229905G8</t>
  </si>
  <si>
    <t>BLUE COMPASS HUU NGHI 25KG</t>
  </si>
  <si>
    <t>7.70592</t>
  </si>
  <si>
    <t>MIZULAN P-81F BRAND MES(METHYL ESTER SULFONATE) IN BAG 25KG</t>
  </si>
  <si>
    <t>CHẤT HOẠT ĐỘNG BỀ MẶT DẠNG ANION MES (METHYL ESTER SULFONATE) NHÃN HIỆU MIZULAN P-81F ĐÓNG TRONG BAO 25KG</t>
  </si>
  <si>
    <t>V51.000.116</t>
  </si>
  <si>
    <t>HANGER</t>
  </si>
  <si>
    <t>MÓC TREO</t>
  </si>
  <si>
    <t>7.52399083902D001</t>
  </si>
  <si>
    <t>MEIZAN CAKE 1KG (PAC)</t>
  </si>
  <si>
    <t>BỘT MÌ HIỆU MEIZAN BÁNH BÔNG LAN 1KG (GÓI)</t>
  </si>
  <si>
    <t>7.52399059901D001</t>
  </si>
  <si>
    <t>COMPASS 0.5KG (PAC)</t>
  </si>
  <si>
    <t>BỘT MÌ ĐA DỤNG HIỆU LA BÀN 0.5KG (GÓI)</t>
  </si>
  <si>
    <t>7.52399083802D001</t>
  </si>
  <si>
    <t>MEIZAN BREAD 1KG (PAC)</t>
  </si>
  <si>
    <t>BỘT MÌ HIỆU MEIZAN BÁNH MÌ 1KG (GÓI)</t>
  </si>
  <si>
    <t>7.5289938880701</t>
  </si>
  <si>
    <t>7.5239908990201</t>
  </si>
  <si>
    <t>MEIZAN 1KG - TOLLING</t>
  </si>
  <si>
    <t>BỘT MÌ ĐA DỤNG CAO CẤP HIỆU MEIZAN(1KG*10GÓI/THÙNG)</t>
  </si>
  <si>
    <t>V74.000.004</t>
  </si>
  <si>
    <t>POWER100 DISHWASHING SAVING 400G STAMP</t>
  </si>
  <si>
    <t>TEM PHỤ NƯỚC RỬA CHÉN TIẾT KIỆM POWER100 400G</t>
  </si>
  <si>
    <t>7.7075833028170000</t>
  </si>
  <si>
    <t>POWER100 DISHWASHINGLIQUIDLEMON BTL@200G</t>
  </si>
  <si>
    <t>NƯỚC RỬA CHÉN POWER100 HƯƠNG CHANH 200G</t>
  </si>
  <si>
    <t>HO1AC031100</t>
  </si>
  <si>
    <t>7.707583302817000O</t>
  </si>
  <si>
    <t>POWER100 DWL LEMON 200G*50BTL</t>
  </si>
  <si>
    <t>NƯỚC RỬA CHÉN POWER100 HƯƠNG CHANH 200G*50</t>
  </si>
  <si>
    <t>7.7075836028174000</t>
  </si>
  <si>
    <t>POWER100 SAVING DWL LEMON BTL @800G</t>
  </si>
  <si>
    <t>NƯỚC RỬA CHÉN POWER100 TIẾT KIỆM HƯƠNG CHANH 800G</t>
  </si>
  <si>
    <t>7.7075836028174002</t>
  </si>
  <si>
    <t>POWER100 SAVING DWL LEMON 800G*12BTL</t>
  </si>
  <si>
    <t>NƯỚC RỬA CHÉN POWER100 TIẾT KIỆM HƯƠNG CHANH 800G*12</t>
  </si>
  <si>
    <t>7.7075836528174000</t>
  </si>
  <si>
    <t>POWER100 SAVING DWL LEMON BTL@3.5KG</t>
  </si>
  <si>
    <t>NƯỚC RỬA CHÉN POWER100 TIẾT KIỆM HƯƠNG CHANH 3.5KG</t>
  </si>
  <si>
    <t>7.7075839428170000</t>
  </si>
  <si>
    <t>POWER100 DISHWASHLIQUIDLEMON BTL@1.5KG</t>
  </si>
  <si>
    <t>NƯỚC RỬA CHÉN POWER100 HƯƠNG CHANH 1.5KG</t>
  </si>
  <si>
    <t>7.707583942817000K</t>
  </si>
  <si>
    <t>POWER100 DWL LEMON 1.5KG*8BTL</t>
  </si>
  <si>
    <t>NƯỚC RỬA CHÉN POWER100 HƯƠNG CHANH 1.5KG*8</t>
  </si>
  <si>
    <t>7.7075839481170000</t>
  </si>
  <si>
    <t>POWER100 DWL LEMON BTL SQ @1.5KG</t>
  </si>
  <si>
    <t>NƯỚC RỬA CHÉN POWER100 HƯƠNG CHANH 1.5KG CAN VUÔNG LÀO</t>
  </si>
  <si>
    <t>7.707583948117000K</t>
  </si>
  <si>
    <t>POWER100 DWL LEMON 1.5KG*8BTL SQ</t>
  </si>
  <si>
    <t>NƯỚC RỬA CHÉN POWER100 HƯƠNG CHANH 1.5KG*8 CAN VUÔNG LÀO</t>
  </si>
  <si>
    <t>7.707583B728173000</t>
  </si>
  <si>
    <t>POWER100HORECA DWL LEMON BTL@5KG</t>
  </si>
  <si>
    <t>NƯỚC RỬA CHÉN POWER100 HORECA HƯƠNG CHANH 5.0KG</t>
  </si>
  <si>
    <t>7.707583B72817300H</t>
  </si>
  <si>
    <t>POWER100 HORECA DWL LEMON 5KG*4BTL</t>
  </si>
  <si>
    <t>NƯỚC RỬA CHÉN POWER100 HORECA HƯƠNG CHANH 5.0KG*4</t>
  </si>
  <si>
    <t>7.707583E928170000</t>
  </si>
  <si>
    <t>POWER100 DISHWASHINGLIQUIDLEMON BTL@750G</t>
  </si>
  <si>
    <t>NƯỚC RỬA CHÉN POWER100 HƯƠNG CHANH 750G</t>
  </si>
  <si>
    <t>7.707583E92817000N</t>
  </si>
  <si>
    <t>POWER100 DWL LEMON 750G*16BTL</t>
  </si>
  <si>
    <t>NƯỚC RỬA CHÉN POWER100 HƯƠNG CHANH 750G*16</t>
  </si>
  <si>
    <t>7.707583E928174000</t>
  </si>
  <si>
    <t>POWER100 SAVING DWL LEMON BTL @750G</t>
  </si>
  <si>
    <t>NƯỚC RỬA CHÉN POWER100 TIẾT KIỆM HƯƠNG CHANH 750G</t>
  </si>
  <si>
    <t>POWER100 SAVING DWL LEMON 750G*16BTL</t>
  </si>
  <si>
    <t>NƯỚC RỬA CHÉN POWER100 TIẾT KIỆM HƯƠNG CHANH 750G*16</t>
  </si>
  <si>
    <t>7.707583F628170000</t>
  </si>
  <si>
    <t>POWER100 DISHWASHINGLIQUIDLEMON BTL@400G</t>
  </si>
  <si>
    <t>NƯỚC RỬA CHÉN POWER100 HƯƠNG CHANH 400G</t>
  </si>
  <si>
    <t>7.707583F62817000A</t>
  </si>
  <si>
    <t>POWER100 DWL LEMON 400G*24BTL</t>
  </si>
  <si>
    <t>NƯỚC RỬA CHÉN POWER100 HƯƠNG CHANH 400G*24</t>
  </si>
  <si>
    <t>7.707583F628174000</t>
  </si>
  <si>
    <t>POWER100 SAVING DWL LEMON BTL @400G</t>
  </si>
  <si>
    <t>NƯỚC RỬA CHÉN POWER100 TIẾT KIỆM HƯƠNG CHANH 400G</t>
  </si>
  <si>
    <t>POWER100 SAVING DWL LEMON 400G*24BTL</t>
  </si>
  <si>
    <t>NƯỚC RỬA CHÉN POWER100 TIẾT KIỆM HƯƠNG CHANH 400G*24</t>
  </si>
  <si>
    <t>7.707583M228170000</t>
  </si>
  <si>
    <t>POWER100 DISHWASHLIQUIDLEMON BTL@3.8KG</t>
  </si>
  <si>
    <t>NƯỚC RỬA CHÉN POWER100 HƯƠNG CHANH 3.8KG</t>
  </si>
  <si>
    <t>7.707583M22817000H</t>
  </si>
  <si>
    <t>POWER100 DWL LEMON 3.8KG*4BTL</t>
  </si>
  <si>
    <t>NƯỚC RỬA CHÉN POWER100 HƯƠNG CHANH 3.8KG*4</t>
  </si>
  <si>
    <t>7.707583M328170000</t>
  </si>
  <si>
    <t>POWER100 DISHWASHLIQUIDLEMON BTL@9.5KG</t>
  </si>
  <si>
    <t>NƯỚC RỬA CHÉN POWER100 HƯƠNG CHANH 9.5KG</t>
  </si>
  <si>
    <t>7.707583M32817000X</t>
  </si>
  <si>
    <t xml:space="preserve">POWER100 DWL LEMON 9.5KG*2BTL </t>
  </si>
  <si>
    <t>NƯỚC RỬA CHÉN POWER100 HƯƠNG CHANH 9.5KG*2</t>
  </si>
  <si>
    <t>7.707583M628170000</t>
  </si>
  <si>
    <t>POWER100 DWL LEMON BTL @2.7KG</t>
  </si>
  <si>
    <t>NƯỚC RỬA CHÉN POWER100 HƯƠNG CHANH 2.7KG</t>
  </si>
  <si>
    <t>7.707583M62817000H</t>
  </si>
  <si>
    <t>POWER100 DWL LEMON 2.7KG*4BTL</t>
  </si>
  <si>
    <t>NƯỚC RỬA CHÉN POWER100 HƯƠNG CHANH 2.7KG*4</t>
  </si>
  <si>
    <t>7.707585A528170000</t>
  </si>
  <si>
    <t>POWER100 DISHWASHLIQUIDNATURAL BTL@750ML</t>
  </si>
  <si>
    <t>NƯỚC RỬA CHÉN POWER100 NATURAL 750ML</t>
  </si>
  <si>
    <t>7.707585A528170002</t>
  </si>
  <si>
    <t>POWER100 DWL NATUR 750ML*12BTL</t>
  </si>
  <si>
    <t>NƯỚC RỬA CHÉN POWER100 NATURAL 750ML*12</t>
  </si>
  <si>
    <t>7.7075869428170000</t>
  </si>
  <si>
    <t>POWER100 DWL GREENTEA BTL @1.5KG</t>
  </si>
  <si>
    <t>NƯỚC RỬA CHÉN POWER100 HƯƠNG TRÀ XANH 1.5KG</t>
  </si>
  <si>
    <t>7.707586942817000K</t>
  </si>
  <si>
    <t>POWER100 DWL GREENTEA 1.5KG*8BTL</t>
  </si>
  <si>
    <t>NƯỚC RỬA CHÉN POWER100 HƯƠNG TRÀ XANH 1.5KG*8</t>
  </si>
  <si>
    <t>7.707586E428170000</t>
  </si>
  <si>
    <t>POWER100 DWL GREEN TEA BTL@3.8KG + 200G</t>
  </si>
  <si>
    <t>NƯỚC RỬA CHÉN POWER100 HƯƠNG TRÀ XANH 3.8KG+200G</t>
  </si>
  <si>
    <t>7.707586E42817000H</t>
  </si>
  <si>
    <t>POWER100 DWL GREEN TEA 3.8KG+200G*4BTL</t>
  </si>
  <si>
    <t>NƯỚC RỬA CHÉN POWER100 HƯƠNG TRÀ XANH 3.8KG+200G*4</t>
  </si>
  <si>
    <t>7.707586N328170000</t>
  </si>
  <si>
    <t xml:space="preserve">POWER100 DWL GREEN TEA BTL @1.4KG_x000D_
</t>
  </si>
  <si>
    <t>NƯỚC RỬA CHÉN POWER100 HƯƠNG TRÀ XANH 1.4KG</t>
  </si>
  <si>
    <t>POWER100 DWL GREEN TEA BTL @1.4KG</t>
  </si>
  <si>
    <t>7.707586N428170000</t>
  </si>
  <si>
    <t>POWER100 DWL GREENTEA BTL@3.6KG</t>
  </si>
  <si>
    <t>NƯỚC RỬA CHÉN POWER100 HƯƠNG TRÀ XANH 3.6KG</t>
  </si>
  <si>
    <t>7.707586N42817000H</t>
  </si>
  <si>
    <t>POWER100 DWL GREENTEA 3.6KG*4BTL</t>
  </si>
  <si>
    <t>NƯỚC RỬA CHÉN POWER100 HƯƠNG TRÀ XANH 3.6KG*4</t>
  </si>
  <si>
    <t>7.707587M128170000</t>
  </si>
  <si>
    <t>POWER100 GLASS CLEANER MINT BTL@580ML</t>
  </si>
  <si>
    <t>NƯỚC LAU KÍNH POWER100 HƯƠNG BẠC HÀ 580ML</t>
  </si>
  <si>
    <t>7.707587M128170002</t>
  </si>
  <si>
    <t>POWER100 GLASS CLEANER MINT 580ML*12BTL</t>
  </si>
  <si>
    <t>NƯỚC LAU KÍNH POWER100 HƯƠNG BẠC HÀ 580ML*12</t>
  </si>
  <si>
    <t>7.707587M12817000A</t>
  </si>
  <si>
    <t xml:space="preserve">POWER100 GLASS CLEANER MINT 580ML*24BTL </t>
  </si>
  <si>
    <t>NƯỚC LAU KÍNH POWER100 HƯƠNG BẠC HÀ 580ML*24</t>
  </si>
  <si>
    <t>7.707587M12817000X</t>
  </si>
  <si>
    <t>POWER100 GLASS CLEANER MINT 580ML*2BTL</t>
  </si>
  <si>
    <t>NƯỚC LAU KÍNH POWER100 HƯƠNG BẠC HÀ 580ML*2</t>
  </si>
  <si>
    <t>7.707587N228170000</t>
  </si>
  <si>
    <t>POWER100 GLASS CLEANER MINT BOTTLE @3.8L</t>
  </si>
  <si>
    <t>NƯỚC LAU KÍNH POWER100 HƯƠNG BẠC HÀ 3.8L</t>
  </si>
  <si>
    <t>7.707587N22817000H</t>
  </si>
  <si>
    <t>POWER100 GLASS CLEANER MINT 3.8L*4BTL</t>
  </si>
  <si>
    <t>NƯỚC LAU KÍNH POWER100 HƯƠNG BẠC HÀ 3.8L*4</t>
  </si>
  <si>
    <t>7.7075888128170000</t>
  </si>
  <si>
    <t>POWER100 FLOOR CLEANER FLORAL BTL@300G</t>
  </si>
  <si>
    <t>NƯỚC LAU SÀN POWER100 HƯƠNG HOA THIÊN NHIÊN 300G</t>
  </si>
  <si>
    <t>7.7075888128170005</t>
  </si>
  <si>
    <t>POWER100 FLOOR CLEANER FLORAL 300G*36BTL</t>
  </si>
  <si>
    <t>NƯỚC LAU SÀN POWER100 HƯƠNG HOA THIÊN NHIÊN 300G*36</t>
  </si>
  <si>
    <t>7.707588M228170000</t>
  </si>
  <si>
    <t>POWER100 FLOOR CLEANER FLORAL BTL@3.8KG</t>
  </si>
  <si>
    <t>NƯỚC LAU SÀN POWER100 HƯƠNG HOA THIÊN NHIÊN 3.8KG</t>
  </si>
  <si>
    <t>7.707588M22817000H</t>
  </si>
  <si>
    <t>POWER100 FLOOR CLEANER FLORAL 3.8KG*4BTL</t>
  </si>
  <si>
    <t>NƯỚC LAU SÀN POWER100 HƯƠNG HOA THIÊN NHIÊN 3.8KG*4</t>
  </si>
  <si>
    <t>7.707588M328170000</t>
  </si>
  <si>
    <t>POWER100 FLOOR CLEANER FLORAL BTL@9.5KG</t>
  </si>
  <si>
    <t>NƯỚC LAU SÀN POWER100 HƯƠNG HOA THIÊN NHIÊN 9.5KG</t>
  </si>
  <si>
    <t>7.707588M32817000X</t>
  </si>
  <si>
    <t>POWER100 FLOOR CLEANER FLORAL 9.5KG*2BTL</t>
  </si>
  <si>
    <t>NƯỚC LAU SÀN POWER100 HƯƠNG HOA THIÊN NHIÊN 9.5KG*2</t>
  </si>
  <si>
    <t>7.707588M428170000</t>
  </si>
  <si>
    <t>POWER100 FLOOR CLEANER FLORAL BTL@990G</t>
  </si>
  <si>
    <t>NƯỚC LAU SÀN POWER100 HƯƠNG HOA THIÊN NHIÊN 990G</t>
  </si>
  <si>
    <t>7.707588M428170002</t>
  </si>
  <si>
    <t>POWER100 FLOOR CLEANER FLORAL 990G*12BTL</t>
  </si>
  <si>
    <t>NƯỚC LAU SÀN POWER100 HƯƠNG HOA THIÊN NHIÊN 990G*12</t>
  </si>
  <si>
    <t>7.7075898128170000</t>
  </si>
  <si>
    <t>POWER100 FLOORCLEANERLEMONGRASS BTL@300G</t>
  </si>
  <si>
    <t>NƯỚC LAU SÀN POWER100 HƯƠNG CHANH SẢ 300G</t>
  </si>
  <si>
    <t>7.7075898128170005</t>
  </si>
  <si>
    <t>POWER100 FC LEMONGRASS 300G*36BTL</t>
  </si>
  <si>
    <t>NƯỚC LAU SÀN POWER100 HƯƠNG CHANH SẢ 300G*36</t>
  </si>
  <si>
    <t>7.707589M228170000</t>
  </si>
  <si>
    <t>POWER100 FLOORCLEAN LEMONGRASS BTL@3.8KG</t>
  </si>
  <si>
    <t>NƯỚC LAU SÀN POWER100 HƯƠNG CHANH SẢ 3.8KG</t>
  </si>
  <si>
    <t>7.52399059902D001</t>
  </si>
  <si>
    <t>COMPASS 1 KG (PAC)</t>
  </si>
  <si>
    <t>BỘT MÌ ĐA DỤNG HIỆU LA BÀN 1KG (GÓI)</t>
  </si>
  <si>
    <t>7.707589M22817000H</t>
  </si>
  <si>
    <t>POWER100 FC LEMONGRASS 3.8KG*4BTL</t>
  </si>
  <si>
    <t>NƯỚC LAU SÀN POWER100 HƯƠNG CHANH SẢ 3.8KG*4</t>
  </si>
  <si>
    <t>7.707589M328170000</t>
  </si>
  <si>
    <t>POWER100 FLOORCLEANERLEMONGRAS BTL@9.5KG</t>
  </si>
  <si>
    <t>NƯỚC LAU SÀN POWER100 HƯƠNG CHANH SẢ 9.5KG</t>
  </si>
  <si>
    <t>7.707589M32817000X</t>
  </si>
  <si>
    <t>POWER100 FC LEMONGRASS 9.5KG*2BTL</t>
  </si>
  <si>
    <t>NƯỚC LAU SÀN POWER100 HƯƠNG CHANH SẢ 9.5KG*2</t>
  </si>
  <si>
    <t>7.707589M428170000</t>
  </si>
  <si>
    <t>POWER100 FLOORCLEANERLEMONGRASS BTL@990G</t>
  </si>
  <si>
    <t>NƯỚC LAU SÀN POWER100 HƯƠNG CHANH SẢ 990G</t>
  </si>
  <si>
    <t>7.707589M428170002</t>
  </si>
  <si>
    <t>POWER100 FC LEMONGRASS 990G*12BTL</t>
  </si>
  <si>
    <t>NƯỚC LAU SÀN POWER100 HƯƠNG CHANH SẢ 990G*12</t>
  </si>
  <si>
    <t>7.707590M128170000</t>
  </si>
  <si>
    <t>POWER100 KITCHENCLEANER ORANGE BTL@580ML</t>
  </si>
  <si>
    <t>NƯỚC LAU BẾP POWER100 HƯƠNG CAM 580ML</t>
  </si>
  <si>
    <t>7.707590M12817000A</t>
  </si>
  <si>
    <t>POWER100KITCHENCLEANERORANGE 580ML*24BTL</t>
  </si>
  <si>
    <t>NƯỚC LAU BẾP POWER100 HƯƠNG CAM 580ML*24</t>
  </si>
  <si>
    <t>7.707591M328170000</t>
  </si>
  <si>
    <t>POWER100 TOILET CLEANER MINT BTL@900ML</t>
  </si>
  <si>
    <t>NƯỚC TẨY BỒN CẦU VÀ NHÀ TẮM POWER100 HƯƠNG BẠC HÀ 900ML</t>
  </si>
  <si>
    <t>7.707590M128170002</t>
  </si>
  <si>
    <t>POWER100KITCHENCLEANERORANGE 580ML*12BTL</t>
  </si>
  <si>
    <t>NƯỚC LAU BẾP POWER100 HƯƠNG CAM 580ML*12</t>
  </si>
  <si>
    <t>7.B24012399480199</t>
  </si>
  <si>
    <t>UP SOY SAUCE 4.5 LITRES X 4 BOTTLES / CARTON</t>
  </si>
  <si>
    <t>NƯỚC TƯƠNG UP 4.5 LÍT X 4 CHAI / THÙNG</t>
  </si>
  <si>
    <t>7.B2401239948019901</t>
  </si>
  <si>
    <t>UP SOY SAUCE 4.5 LITRES</t>
  </si>
  <si>
    <t>NƯỚC TƯƠNG UP 4.5 LÍT</t>
  </si>
  <si>
    <t>7.52399089901D001</t>
  </si>
  <si>
    <t>MEIZAN 0.5KG (PAC)</t>
  </si>
  <si>
    <t>BỘT MÌ HIỆU MEIZAN 0.5KG (GÓI)</t>
  </si>
  <si>
    <t>7.52399089902D001</t>
  </si>
  <si>
    <t>MEIZAN 1KG (PAC)</t>
  </si>
  <si>
    <t>BỘT MÌ HIỆU MEIZAN 1KG (GÓI)</t>
  </si>
  <si>
    <t>7.523990899020101</t>
  </si>
  <si>
    <t>MEIZAN 1KG - TOLLING (PAC)</t>
  </si>
  <si>
    <t>BỘT MÌ ĐA DỤNG CAO CẤP HIỆU MEIZAN 1KG (GÓI)</t>
  </si>
  <si>
    <t>7.707583M637170000</t>
  </si>
  <si>
    <t>POWER100 DWL LEMON POUCH@2.7KG</t>
  </si>
  <si>
    <t>7.707583M63717000H</t>
  </si>
  <si>
    <t>POWER100 DWL LEMON 2.7KG*4PCH</t>
  </si>
  <si>
    <t>6.1212A72</t>
  </si>
  <si>
    <t>RBDOL8 (FFA 0.2MAX)</t>
  </si>
  <si>
    <t>OLEIN DẦU CỌ TINH LUYỆN - NGUYÊN LIỆU SẢN XUẤT THỨC ĂN CHĂN NUÔI</t>
  </si>
  <si>
    <t>6.1212073</t>
  </si>
  <si>
    <t>REFINED PALM OLEIN IV 56 CP 7</t>
  </si>
  <si>
    <t>V15.000.015</t>
  </si>
  <si>
    <t>TABLET SAMSUNG GALAXY S6 LITE</t>
  </si>
  <si>
    <t>MÁY TÍNH BẢNG SAMSUNG GALAXY TAB S6 LITE</t>
  </si>
  <si>
    <t>V58.000.004</t>
  </si>
  <si>
    <t>IRON DRUM COVER</t>
  </si>
  <si>
    <t>NẮP THÙNG BẰNG SẮT</t>
  </si>
  <si>
    <t>V51.303.018</t>
  </si>
  <si>
    <t>SIMPLY POLY MASK</t>
  </si>
  <si>
    <t>KHẨU TRANG VẢI SIMPLY</t>
  </si>
  <si>
    <t>7.707583N328170000</t>
  </si>
  <si>
    <t>POWER100 SAVING DWL LEMON BTL @1.4KG</t>
  </si>
  <si>
    <t>NƯỚC RỬA CHÉN POWER100 TIẾT KIỆM HƯƠNG CHANH 1.4KG</t>
  </si>
  <si>
    <t>POWER100 SAVING DWL LEMON@1.4KG*8BTL</t>
  </si>
  <si>
    <t>NƯỚC RỬA CHÉN POWER100 TIẾT KIỆM HƯƠNG CHANH 1.4KG*8</t>
  </si>
  <si>
    <t>7.5239925990536</t>
  </si>
  <si>
    <t>BLUE KEY NOODLE -MASAN 25KG</t>
  </si>
  <si>
    <t>7.5239914990601</t>
  </si>
  <si>
    <t>RED COMPASS 40KG - TOLLING</t>
  </si>
  <si>
    <t>7.5239914990501</t>
  </si>
  <si>
    <t>RED COMPASS 25KG - TOLLING</t>
  </si>
  <si>
    <t>V51.041.012</t>
  </si>
  <si>
    <t>7.52399229906H6</t>
  </si>
  <si>
    <t>BLUE COMPASS - VIFON 40KG (NON FE&amp;ZN)</t>
  </si>
  <si>
    <t>V51.000.117</t>
  </si>
  <si>
    <t>UNPRINTED PAPER BAG</t>
  </si>
  <si>
    <t>BAO GIẤY TRƠN RỖNG</t>
  </si>
  <si>
    <t>V51.000.118</t>
  </si>
  <si>
    <t>STICKER LABEL WILFARIN SN-7030</t>
  </si>
  <si>
    <t>NHÃN DÁN WILFARIN SN-7030</t>
  </si>
  <si>
    <t>V51.000.119</t>
  </si>
  <si>
    <t>HDPE PLASTIC BAG</t>
  </si>
  <si>
    <t>TÚI NHỰA TỰ HỦY SINH HỌC (TÚI NHỰA HDPE)</t>
  </si>
  <si>
    <t>F07.514.018</t>
  </si>
  <si>
    <t>MAURIPAN YEAST</t>
  </si>
  <si>
    <t>PHỤ GIA THỰC PHẨM MEN KHÔ DÙNG LIỀN MAURIPAN - BIỂU TƯỢNG CĂNG-GU-RU MÀU ĐỎ</t>
  </si>
  <si>
    <t>7.52899389907H4</t>
  </si>
  <si>
    <t>POLLARD 50KG - TOLLING</t>
  </si>
  <si>
    <t>7.B24072399020116</t>
  </si>
  <si>
    <t>TOMATO SAUCE 1KG  X 10 PACK / CARTON</t>
  </si>
  <si>
    <t>TƯƠNG CÀ 1KG  X 10 GÓI / THÙNG</t>
  </si>
  <si>
    <t>7.B2407239902011601</t>
  </si>
  <si>
    <t>TOMATO SAUCE 1KG</t>
  </si>
  <si>
    <t>TƯƠNG CÀ 1KG</t>
  </si>
  <si>
    <t>7.52399089901H701</t>
  </si>
  <si>
    <t>MEIZAN 0.5 KG (PAC)</t>
  </si>
  <si>
    <t>BỘT MÌ ĐA DỤNG CAO CẤP HIỆU MEIZAN 0.5KG (GÓI)</t>
  </si>
  <si>
    <t>7.52399089902H7</t>
  </si>
  <si>
    <t>MEIZAN 1 KG</t>
  </si>
  <si>
    <t>7.52399089902H701</t>
  </si>
  <si>
    <t>MEIZAN 1 KG (PAC)</t>
  </si>
  <si>
    <t>7.52399089903H7</t>
  </si>
  <si>
    <t>MEIZAN 5 KG</t>
  </si>
  <si>
    <t>BỘT MÌ ĐA DỤNG CAO CẤP HIỆU MEIZAN (5KG*6 GÓI/BAO)</t>
  </si>
  <si>
    <t>7.52399089903H701</t>
  </si>
  <si>
    <t>MEIZAN 5 KG (PAC)</t>
  </si>
  <si>
    <t>BỘT MÌ ĐA DỤNG CAO CẤP HIỆU MEIZAN 5KG (GÓI)</t>
  </si>
  <si>
    <t>7.52399089901H7</t>
  </si>
  <si>
    <t>MEIZAN 0.5 KG</t>
  </si>
  <si>
    <t>7.1060122134908010</t>
  </si>
  <si>
    <t>MEIZAN VEGETABLE SHORTENING PEBAG@14.5KG</t>
  </si>
  <si>
    <t>SHORTENING THỰC VẬT - MEIZAN TRONG THÙNG CARTON 14,5KG</t>
  </si>
  <si>
    <t>V51.000.120</t>
  </si>
  <si>
    <t>WMCLV POLY MASK</t>
  </si>
  <si>
    <t>KHẨU TRANG VẢI WMCLV</t>
  </si>
  <si>
    <t>V51.000.121</t>
  </si>
  <si>
    <t>WILMAR GOLD 99.99% LOGO (2+/-0.1) ONE TENTH OF A TAEL OF GOLD/ PC</t>
  </si>
  <si>
    <t>LOGO WILMAR VÀNG 99,99% (2+/-0,1) CHỈ/ CÁI</t>
  </si>
  <si>
    <t>7.52399089901AA</t>
  </si>
  <si>
    <t>MEIZAN-0.5</t>
  </si>
  <si>
    <t>7.52399089901AA01</t>
  </si>
  <si>
    <t>MEIZAN-0.5 (PAC)</t>
  </si>
  <si>
    <t>7.52399089902AA</t>
  </si>
  <si>
    <t>MEIZAN-1</t>
  </si>
  <si>
    <t>7.52399089902AA01</t>
  </si>
  <si>
    <t>MEIZAN-1 (PAC)</t>
  </si>
  <si>
    <t>6.F3902B299000156</t>
  </si>
  <si>
    <t>RED STANDARD GRADE MURIATE OF POTASH (MOP) POWDER; IN BULK</t>
  </si>
  <si>
    <t>PHÂN BÓN KALI CLORUA AGRIFERT (KCL) DẠNG BỘT; HÀNG XÁ; XUẤT XỨ CANADA</t>
  </si>
  <si>
    <t>HO1TD031600</t>
  </si>
  <si>
    <t>7.F3902B299070156</t>
  </si>
  <si>
    <t>RED STANDARD GRADE MURIATE OF POTASH (MOP) POWDER, IN 50KG PP/PE BAG</t>
  </si>
  <si>
    <t>PHÂN BÓN KALI CLORUA AGRIFERT (KCL) DẠNG BỘT ĐÓNG TRONG BAO PP/PE 50KG; XUẤT XỨ CANADA</t>
  </si>
  <si>
    <t>6.F3902B299000157</t>
  </si>
  <si>
    <t>RED GRANULAR GRADE MURIATE OF POTASH (MOP) GRANNULAR; IN BULK</t>
  </si>
  <si>
    <t>PHÂN BÓN KALI CLORUA AGRIFERT (KCL) DẠNG HẠT; HÀNG XÁ; XUẤT XỨ CANADA</t>
  </si>
  <si>
    <t>7.52399083802A658</t>
  </si>
  <si>
    <t>MEIZAN BREAD+MAURIPAN YEAST (1KG* 10 GÓI/THÙNG)</t>
  </si>
  <si>
    <t>BỘT MÌ CHUYÊN DỤNG CHO BÁNH MÌ HIỆU MEIZAN (1KG*10 GÓI/THÙNG) - ĐÓNG KÈM 10 GÓI PHỤ GIA THỰC PHẨM MEN KHÔ DÙNG LIỀN MAURIPAN - BIỂU TƯỢNG CĂNG-GU-RU MÀU ĐỎ/THÙNG</t>
  </si>
  <si>
    <t>6.523991099H559</t>
  </si>
  <si>
    <t>F1-UKR 11.5</t>
  </si>
  <si>
    <t>BỘT MÌ DẠNG XÁ UKR</t>
  </si>
  <si>
    <t>6.523991099H560</t>
  </si>
  <si>
    <t>F1-BFW</t>
  </si>
  <si>
    <t>BỘT MÌ DẠNG XÁ BFW</t>
  </si>
  <si>
    <t>6.523991099H561</t>
  </si>
  <si>
    <t>F1-ROM</t>
  </si>
  <si>
    <t>BỘT MÌ DẠNG XÁ ROM</t>
  </si>
  <si>
    <t>F07514018</t>
  </si>
  <si>
    <t>7.5239925990572</t>
  </si>
  <si>
    <t>BLUE KEY NOODLE - TL 25KG</t>
  </si>
  <si>
    <t>WHEAT FLOUR: BLUE KEY NOODLE - TL 25KG</t>
  </si>
  <si>
    <t>7.5239937160672</t>
  </si>
  <si>
    <t>RED KING SHRIMP - TL 40KG</t>
  </si>
  <si>
    <t>WHEAT FLOUR (FOR ANIMAL FEED): RED KING SHRIMP 40KG</t>
  </si>
  <si>
    <t>7.5239926990572</t>
  </si>
  <si>
    <t>BLUE KEY PAU - CPC 25KG</t>
  </si>
  <si>
    <t>WHEAT FLOUR: BLUE KEY PAU 25KG</t>
  </si>
  <si>
    <t>7.5239993990272</t>
  </si>
  <si>
    <t>ELLIE UNBLEACHED ALL PURPOSE FLOUR 10KG</t>
  </si>
  <si>
    <t>WHEAT FLOUR: ELLIE UNBLEACHED ALL PURPOSE FLOUR (1KG*10 GÓI/THÙNG)</t>
  </si>
  <si>
    <t>7.52399149906AA</t>
  </si>
  <si>
    <t>RED COMPASS - MCC 40KG</t>
  </si>
  <si>
    <t>7.52399083802A65801</t>
  </si>
  <si>
    <t>MEIZAN BREAD+MAURIPAN YEAST 1KG (PAC)</t>
  </si>
  <si>
    <t>BỘT MÌ CHUYÊN DỤNG CHO BÁNH MÌ HIỆU MEIZAN-ĐÓNG KÈM GÓI PHỤ GIA THỰC PHẨM MEN KHÔ DÙNG LIỀN MAURIPAN - BIỂU TƯỢNG CĂNG-GU-RU MÀU ĐỎ 1KG (GÓI)</t>
  </si>
  <si>
    <t>6.5239907990199</t>
  </si>
  <si>
    <t>GREEN KEY- BULK</t>
  </si>
  <si>
    <t>BỘT MÌ HIỆU CHÌA KHÓA XANH LÁ</t>
  </si>
  <si>
    <t>7.70593</t>
  </si>
  <si>
    <t>FATTY ALCOHOL 1214 IN PLASTIC BOTTLE 1KG</t>
  </si>
  <si>
    <t>CHẤT HOẠT ĐỘNG BỀ MẶT FATTY ALCOHOL 1214 ĐÓNG TRONG CHAI NHỰA 1KG</t>
  </si>
  <si>
    <t>7.70594</t>
  </si>
  <si>
    <t>ERCAWAX CS30 V/FD IN PLASTIC BOTTLE 0.5KG</t>
  </si>
  <si>
    <t>CHẤT HỮU CƠ HOẠT ĐỘNG BỀ MẶT DẠNG KHÔNG PHÂN LY ERCAWAX CS30 V/FD ĐÓNG TRONG CHAI NHỰA 0.5KG</t>
  </si>
  <si>
    <t>7.5239922990572</t>
  </si>
  <si>
    <t>BLUE COMPASS - CPC 25kg</t>
  </si>
  <si>
    <t>7.B2508549995010501TD</t>
  </si>
  <si>
    <t>7.460050B91700030TD</t>
  </si>
  <si>
    <t>7.6269854990301</t>
  </si>
  <si>
    <t>NEPTUNE ST25 SPECIALTY RICE IN PLASTIC BAG 5KG</t>
  </si>
  <si>
    <t>NEPTUNE GẠO THƠM ĐẶC SẢN ST25 ĐÓNG TRONG TÚI NHỰA 5KG</t>
  </si>
  <si>
    <t>6.F39021099000156</t>
  </si>
  <si>
    <t>RED STANDARD GRADE MURIATE OF POTASH (MOP)/ KALI (KCL)/ WMCLV MURIATE OF POTASH 61; IN BULK</t>
  </si>
  <si>
    <t>WMCLV MURIATE OF POTASH 61 (PHÂN BÓN KALI CLORUA) DẠNG BỘT, HÀNG XÁ; XUẤT XỨ CANADA</t>
  </si>
  <si>
    <t>6.F39021099000157</t>
  </si>
  <si>
    <t>RED GRANULAR GRADE MURIATE OF POTASH (MOP)/ KALI (KCL)/ WMCLV MURIATE OF POTASH 61; IN BULK</t>
  </si>
  <si>
    <t>WMCLV MURIATE OF POTASH 61 (PHÂN BÓN KALI CLORUA) DẠNG HẠT, HÀNG XÁ; XUẤT XỨ CANADA</t>
  </si>
  <si>
    <t>7.F39021099070156</t>
  </si>
  <si>
    <t>RED STANDARD GRADE MURIATE OF POTASH (MOP)/ KALI (KCL)/ WMCLV MURIATE OF POTASH 61; IN 50KG PP/PE BAG</t>
  </si>
  <si>
    <t>WMCLV MURIATE OF POTASH 61 (PHÂN BÓN KALI CLORUA) DẠNG BỘT, ĐÓNG TRONG BAO PP/PE 50KG; XUẤT XỨ CANADA</t>
  </si>
  <si>
    <t>7.F39021099070157</t>
  </si>
  <si>
    <t>RED GRANULAR GRADE MURIATE OF POTASH (MOP)/ KALI (KCL)/ WMCLV MURIATE OF POTASH 61; IN 50 KG PP/PE BAG</t>
  </si>
  <si>
    <t>WMCLV MURIATE OF POTASH 61 (PHÂN BÓN KALI CLORUA) DẠNG HẠT, ĐÓNG TRONG BAO PP/PE 50KG; XUẤT XỨ CANADA</t>
  </si>
  <si>
    <t>7.52399109981A0</t>
  </si>
  <si>
    <t>SAMPLE 2.5kg</t>
  </si>
  <si>
    <t>HÀNG MẪU 2,5KG</t>
  </si>
  <si>
    <t>7.52399109904A0</t>
  </si>
  <si>
    <t>SAMPLE 10kg</t>
  </si>
  <si>
    <t>HÀNG MẪU 10KG</t>
  </si>
  <si>
    <t>7.52399229906F8</t>
  </si>
  <si>
    <t>7.52399079906F9</t>
  </si>
  <si>
    <t>GREEN KEY - MASAN 40kg (NON FE&amp;ZN)</t>
  </si>
  <si>
    <t>BỘT MÌ HIỆU CHÌA KHÓA XANH LÁ 40KG</t>
  </si>
  <si>
    <t>7.70595</t>
  </si>
  <si>
    <t>MIZULAN FL-80 BRAND MES (METHYL ESTER SULFONATE) IN PLASTIC BOTTLE 3KG</t>
  </si>
  <si>
    <t>CHẤT HOẠT ĐỘNG BỀ MẶT DẠNG ANION MES (METHYL ESTER SULFONATE) NHÃN HIỆU MIZULAN FL-80 ĐÓNG TRONG CHAI NHỰA 3KG</t>
  </si>
  <si>
    <t>V51.000.122</t>
  </si>
  <si>
    <t>PP BAG PRINTED KALI MIENG SIZE 50 KG</t>
  </si>
  <si>
    <t>BAO PP IN KALI MIỂNG LOẠI ĐỰNG 50 KG</t>
  </si>
  <si>
    <t>7.B2409239918E399</t>
  </si>
  <si>
    <t>TPC SALAD DRESSING 250G X 24 BOT / CAR</t>
  </si>
  <si>
    <t>SỐT DẦU DẤM TRỘN SALAD TPC 250G X 24 CHAI/THÙNG</t>
  </si>
  <si>
    <t>7.B2409239918E39901</t>
  </si>
  <si>
    <t>TPC SALAD DRESSING 250G</t>
  </si>
  <si>
    <t>SỐT DẦU DẤM TRỘN SALAD TPC 250G</t>
  </si>
  <si>
    <t>7.70596</t>
  </si>
  <si>
    <t>ERCAWAX HCO 40 V/FD IN DRUM 110KG</t>
  </si>
  <si>
    <t>CHẤT HỮU CƠ HOẠT ĐỘNG BỀ MẶT DẠNG KHÔNG PHÂN LY ERCAWAX HCO 40 V/FD ĐÓNG TRONG PHUY 110KG</t>
  </si>
  <si>
    <t>7.70597</t>
  </si>
  <si>
    <t>ERCAWAX CS 25 V/FD MB IN BAG 20KG</t>
  </si>
  <si>
    <t>CHẤT HỮU CƠ HOẠT ĐỘNG BỀ MẶT DẠNG KHÔNG PHÂN LY ERCAWAX CS 25 V/FD MB ĐÓNG BAO 20KG</t>
  </si>
  <si>
    <t>V51.041.013</t>
  </si>
  <si>
    <t>SIMPLY FRAGRANT BROWN RICE 1KG</t>
  </si>
  <si>
    <t>SIMPLY GẠO LỨT THƠM ST25 1KG</t>
  </si>
  <si>
    <t>7.B24012302370162</t>
  </si>
  <si>
    <t>HANG VIET THANH VI SOY SAUCE 500ML X 24 BOT/CAR</t>
  </si>
  <si>
    <t>7.B2401230237016201</t>
  </si>
  <si>
    <t>HANG VIET THANH VI SOY SAUCE 500ML</t>
  </si>
  <si>
    <t>NƯỚC CHẤM ĐẬU NÀNH HÀNG VIỆT THANH VỊ 500 ML</t>
  </si>
  <si>
    <t>7.70598</t>
  </si>
  <si>
    <t>LAURIC ACID 99% - WILFARIN LA1299 IN BAG 5KG</t>
  </si>
  <si>
    <t>AXIT LAURIC 99% - WILFARIN LA1299 ĐÓNG TRONG BAO 5KG</t>
  </si>
  <si>
    <t>7.70599</t>
  </si>
  <si>
    <t>MYRISTIC ACID 99% - WILFARIN MA1499 IN BAG 5KG</t>
  </si>
  <si>
    <t>AXIT MYRISTIC 99% - WILFARIN MA1499 ĐÓNG TRONG BAO 5KG</t>
  </si>
  <si>
    <t>7.705A0</t>
  </si>
  <si>
    <t>FATTY ALCOHOL 1618 IN BAG 5KG</t>
  </si>
  <si>
    <t>HỢP CHẤT FATTY ALCOHOL 1618 ĐÓNG TRONG BAO 5KG</t>
  </si>
  <si>
    <t>7.705A1</t>
  </si>
  <si>
    <t>FATTY ALCOHOL 1698 IN BAG 5KG</t>
  </si>
  <si>
    <t>HỢP CHẤT FATTY ALCOHOL 1698 ĐÓNG TRONG BAO 5KG</t>
  </si>
  <si>
    <t>7.705A2</t>
  </si>
  <si>
    <t>ISOPROPYL MYRISTATE (IPM) RSPO MB IN BAG 1KG</t>
  </si>
  <si>
    <t>CHẤT LÀM MỀM ISOPROPYL MYRISTATE (IPM) RSPO MB ĐÓNG TRONG BAO 1KG</t>
  </si>
  <si>
    <t>7.705A3</t>
  </si>
  <si>
    <t>GLYCEROL MONOSTEARATE IN BAG 1KG</t>
  </si>
  <si>
    <t>CHẤT NHŨ HÓA GLYCEROL MONOSTEARATE ĐÓNG TRONG BAO 1KG</t>
  </si>
  <si>
    <t>7.705A4</t>
  </si>
  <si>
    <t>GLYCEROL MONOSTEARATE IN BAG 2KG</t>
  </si>
  <si>
    <t>CHẤT NHŨ HÓA GLYCEROL MONOSTEARATE ĐÓNG TRONG BAO 2KG</t>
  </si>
  <si>
    <t>6.457304D</t>
  </si>
  <si>
    <t>TRIPLE REFINED CANOLA OIL IV 110</t>
  </si>
  <si>
    <t>6.70554</t>
  </si>
  <si>
    <t>WILFARIN REFINED GLYCERINE 99.7% IN DRUM 250KG</t>
  </si>
  <si>
    <t>7.705A5</t>
  </si>
  <si>
    <t>STEARIC ACID (WILFARIN SA1860) IN BAG 25KG</t>
  </si>
  <si>
    <t>AXIT STEARIC - WILFARIN SA1860 ĐÓNG TRONG BAO 25KG</t>
  </si>
  <si>
    <t>6.1212069</t>
  </si>
  <si>
    <t>REFINED PALM OLEIN IV 56/RSPO MB</t>
  </si>
  <si>
    <t>7.52399149906H8</t>
  </si>
  <si>
    <t>RED COMPASS - MASAN XK 40KG</t>
  </si>
  <si>
    <t>V51.000.123</t>
  </si>
  <si>
    <t>PP BAG PRINTED KALI BOT SIZE 50 KG</t>
  </si>
  <si>
    <t>BAO PP IN KALI BỘT LOẠI ĐỰNG 50 KG</t>
  </si>
  <si>
    <t>V51.000.124</t>
  </si>
  <si>
    <t>PP BAG PRINTED KALI HAT SIZE 50 KG</t>
  </si>
  <si>
    <t>BAO PP IN KALI HẠT LOẠI ĐỰNG 50 KG</t>
  </si>
  <si>
    <t>7.A3199089902H964</t>
  </si>
  <si>
    <t>MEIZAN CHIFFON CAKE MIX 1KG X 10 PACK</t>
  </si>
  <si>
    <t>BỘT TRỘN SẴN BÁNH BÔNG LAN CHIFFON MEIZAN 1KG X 10 GÓI</t>
  </si>
  <si>
    <t>7.A3199089902H965</t>
  </si>
  <si>
    <t>MEIZAN BANANA CAKE MIX 1KG X 10 PACK</t>
  </si>
  <si>
    <t>BỘT TRỘN SẴN BÁNH CAKE CHUỐI MEIZAN 1KG X 10 GÓI</t>
  </si>
  <si>
    <t>7.A3199089902I137</t>
  </si>
  <si>
    <t>MEIZAN CHOCOLATE MUFFIN MIX 1KG X 10 PACK</t>
  </si>
  <si>
    <t>BỘT TRỘN SẴN BÁNH MUFFIN CHOCOLATE MEIZAN 1KG X 10 GÓI</t>
  </si>
  <si>
    <t>7.A3199089902I163</t>
  </si>
  <si>
    <t>MEIZAN VANILLA MUFFIN MIX 1KG X 10 PACK</t>
  </si>
  <si>
    <t>BỘT TRỘN SẴN BÁNH MUFFIN VANI MEIZAN 1KG X 10 GÓI</t>
  </si>
  <si>
    <t>7.A3199089902H96401</t>
  </si>
  <si>
    <t>MEIZAN CHIFFON CAKE MIX 1KG</t>
  </si>
  <si>
    <t>BỘT TRỘN SẴN BÁNH BÔNG LAN CHIFFON MEIZAN 1KG</t>
  </si>
  <si>
    <t>7.A3199089902H96501</t>
  </si>
  <si>
    <t>MEIZAN BANANA CAKE MIX 1KG</t>
  </si>
  <si>
    <t>BỘT TRỘN SẴN BÁNH CAKE CHUỐI MEIZAN 1KG</t>
  </si>
  <si>
    <t>7.A3199089902I13701</t>
  </si>
  <si>
    <t>MEIZAN CHOCOLATE MUFFIN MIX 1KG</t>
  </si>
  <si>
    <t>BỘT TRỘN SẴN BÁNH MUFFIN CHOCOLATE MEIZAN 1KG</t>
  </si>
  <si>
    <t>7.A3199089902I16301</t>
  </si>
  <si>
    <t>MEIZAN VANILLA MUFFIN MIX 1KG</t>
  </si>
  <si>
    <t>BỘT TRỘN SẴN BÁNH MUFFIN VANI MEIZAN 1KG</t>
  </si>
  <si>
    <t>7.705A6</t>
  </si>
  <si>
    <t>WILFARES ESA 70 BRAND SODIUM LAURETH SULFATE IN PLASTIC BOTTLE 1KG</t>
  </si>
  <si>
    <t>CHẤT HOẠT ĐỘNG BỀ MẶT SODIUM LAURETH SULFATE NHÃN HIỆU WILFARES ESA 70 ĐÓNG TRONG CHAI NHỰA 1KG</t>
  </si>
  <si>
    <t>7.B2402239967B899</t>
  </si>
  <si>
    <t>SACHET CHILI 10G (KFC) X 1.200 PACK / CAR</t>
  </si>
  <si>
    <t>TƯƠNG ỚT GÓI 10G (KFC) X 1.200 GÓI / THÙNG</t>
  </si>
  <si>
    <t>7.B2402239967B89901</t>
  </si>
  <si>
    <t>SACHET CHILI 10G (KFC)</t>
  </si>
  <si>
    <t>TƯƠNG ỚT GÓI 10G (KFC)</t>
  </si>
  <si>
    <t>7.A3199089904I2</t>
  </si>
  <si>
    <t>BC MEIZAN CHICKEN FRYING FLOUR 10KG</t>
  </si>
  <si>
    <t>7.52399076303I3</t>
  </si>
  <si>
    <t>SAMPLE GREEN KEY 333 5KG</t>
  </si>
  <si>
    <t>BỘT MÌ HIỆU CHÌA KHÓA XANH LÁ - 333 5KG</t>
  </si>
  <si>
    <t>7.705A7</t>
  </si>
  <si>
    <t>DISTILLED TOPPED COCONUT FATTY ACID IN BOTTLE 3 KG</t>
  </si>
  <si>
    <t>AXIT BÉO DỪA CHƯNG CẤT ĐÓNG CHAI 3KG</t>
  </si>
  <si>
    <t>7.705A8</t>
  </si>
  <si>
    <t>GLYCEROL MONOSTEARATE (GMS 60%) IN BAG 25KG</t>
  </si>
  <si>
    <t>CHẤT NHŨ HÓA GLYCEROL MONOSTEARATE (GMS 60%) ĐÓNG TRONG BAO 25KG</t>
  </si>
  <si>
    <t>7.B24022399B80166</t>
  </si>
  <si>
    <t>NAM DUONG HOT CHILI SAUCE 255G X 12 BOT/CAR</t>
  </si>
  <si>
    <t>TƯƠNG ỚT NAM DƯƠNG CAY VỪA 255G X 12 CHAI/THÙNG</t>
  </si>
  <si>
    <t>7.B24022399B8016601</t>
  </si>
  <si>
    <t>NAM DUONG HOT CHILI SAUCE 255G</t>
  </si>
  <si>
    <t>TƯƠNG ỚT NAM DƯƠNG CAY VỪA 255G</t>
  </si>
  <si>
    <t>7.B24022399730166</t>
  </si>
  <si>
    <t>NAM DUONG HOT CHILI SAUCE 255G X 24 BOT/CAR</t>
  </si>
  <si>
    <t>7.B24022399670166</t>
  </si>
  <si>
    <t>NAM DƯƠNG SACHET CHILI 10G X 800 PACK / CARTON</t>
  </si>
  <si>
    <t>7.B2402239967016601</t>
  </si>
  <si>
    <t>NAM DƯƠNG SACHET CHILI 10G</t>
  </si>
  <si>
    <t>TƯƠNG ỚT NAM DƯƠNG CAY VỪA 10G</t>
  </si>
  <si>
    <t>6.457204C</t>
  </si>
  <si>
    <t>RBD CANOLA OIL IV 105-126</t>
  </si>
  <si>
    <t>7.52399049905I4</t>
  </si>
  <si>
    <t>BROWN COMPASS - AJI XT 25KG</t>
  </si>
  <si>
    <t>7.B24072399670116</t>
  </si>
  <si>
    <t>KETCHUP 10G X 800 PACK / CARTON</t>
  </si>
  <si>
    <t>7.B2407239967011601</t>
  </si>
  <si>
    <t>KETCHUP 10G</t>
  </si>
  <si>
    <t>TƯƠNG CÀ 10G</t>
  </si>
  <si>
    <t>V78.000.038</t>
  </si>
  <si>
    <t>REFLECTIVE TOP</t>
  </si>
  <si>
    <t>ÁO PHẢN QUANG</t>
  </si>
  <si>
    <t>V78.000.039</t>
  </si>
  <si>
    <t>SAFETY SHOES</t>
  </si>
  <si>
    <t>GIÀY BẢO HỘ LAO ĐỘNG</t>
  </si>
  <si>
    <t>V34.000.004</t>
  </si>
  <si>
    <t>SAFETY HELMET</t>
  </si>
  <si>
    <t>MŨ BẢO HỘ LAO ĐỘNG</t>
  </si>
  <si>
    <t>7.705A9</t>
  </si>
  <si>
    <t>MIZULAN FL-80 BRAND MES (METHYL ESTER SULFONATE) FLAKES; BAG 25KG</t>
  </si>
  <si>
    <t>CHẤT HOẠT ĐỘNG BỀ MẶT DẠNG ANION MES (METHYL ESTER SULFONATE) FLAKES NHÃN HIỆU MIZULAN FL-80 ĐÓNG TRONG BAO 25KG</t>
  </si>
  <si>
    <t>V51.901.078</t>
  </si>
  <si>
    <t>SCREW 2CM FOR WF</t>
  </si>
  <si>
    <t>VÍT 2 CM ĐÓNG THANH TRƯNG BÀY</t>
  </si>
  <si>
    <t>V51.600.212</t>
  </si>
  <si>
    <t>NEPTUNE LIGHT WINDOW FRAME 160CM WITH SLOGAN</t>
  </si>
  <si>
    <t>THANH WINDOW FRAME 160CM CÓ SLOGAN</t>
  </si>
  <si>
    <t>V51.600.211</t>
  </si>
  <si>
    <t>NEPTUNE LIGHT WINDOW FRAME 120CM WITH SLOGAN</t>
  </si>
  <si>
    <t>THANH WINDOW FRAME 120CM CÓ SLOGAN</t>
  </si>
  <si>
    <t>V51.303.019</t>
  </si>
  <si>
    <t>KF94 FACE MASKS (10PCS/BOX)</t>
  </si>
  <si>
    <t>KHẨU TRANG KF94(10 CÁI/HỘP)</t>
  </si>
  <si>
    <t>7.705B0</t>
  </si>
  <si>
    <t>LAURIC ACID 99% - WILFARIN LA1299 IN BAG 3KG</t>
  </si>
  <si>
    <t>AXIT LAURIC 99% - WILFARIN LA1299 ĐÓNG BAO 3KG</t>
  </si>
  <si>
    <t>V51.600.216</t>
  </si>
  <si>
    <t>SIMPLY WINDOW FRAME 160CM</t>
  </si>
  <si>
    <t>THANH TRƯNG BÀY 160CM SIMPLY</t>
  </si>
  <si>
    <t>V51.600.217</t>
  </si>
  <si>
    <t>SIMPLY WINDOW FRAME 160CM WITH SLOGAN</t>
  </si>
  <si>
    <t>THANH TRƯNG BÀY 160CM CÓ CÂU KHẨU HIỆU SIMPLY</t>
  </si>
  <si>
    <t>V51.600.214</t>
  </si>
  <si>
    <t>SIMPLY WINDOW FRAME 120CM</t>
  </si>
  <si>
    <t>THANH TRƯNG BÀY 120CM SIMPLY</t>
  </si>
  <si>
    <t>V51.600.215</t>
  </si>
  <si>
    <t>SIMPLY WINDOW FRAME 120CM WITH SLOGAN</t>
  </si>
  <si>
    <t>THANH TRƯNG BÀY 120CM CÓ CÂU KHẨU HIỆU SIMPLY</t>
  </si>
  <si>
    <t>V51.600.213</t>
  </si>
  <si>
    <t>SIMPLY WINDOW FRAME 80CM</t>
  </si>
  <si>
    <t>THANH TRƯNG BÀY 80CM SIMPLY</t>
  </si>
  <si>
    <t>V51.601.004</t>
  </si>
  <si>
    <t>SIMPLY BOTTLE MOCKUP FOR WF</t>
  </si>
  <si>
    <t>MÔ HÌNH CHAI DẦU SIMPLY</t>
  </si>
  <si>
    <t>V51.601.005</t>
  </si>
  <si>
    <t>SIMPLY LOGO MOCKUP FOR WF</t>
  </si>
  <si>
    <t>MÔ HÌNH LÔ GÔ SIMPLY</t>
  </si>
  <si>
    <t>7.705B1</t>
  </si>
  <si>
    <t>GENAGEN CAB IN BOX 10KG</t>
  </si>
  <si>
    <t>CHẤT HOẠT ĐỘNG BỀ MẶT GENAGEN CAB ĐÓNG THÙNG 10KG</t>
  </si>
  <si>
    <t>7.705B2</t>
  </si>
  <si>
    <t>ISOPROPYL MYRISTATE (IPM); DRUM 180KG</t>
  </si>
  <si>
    <t>ESTE CỦA AXIT MYRISTIC-ISOPROPYL MYRISTATE (IPM); PHUY 180KG</t>
  </si>
  <si>
    <t>7.52399159905I5</t>
  </si>
  <si>
    <t>RED KEY - PAS 25KG</t>
  </si>
  <si>
    <t>V39.013.408</t>
  </si>
  <si>
    <t>POWER100 T-SHIRT (BLUE)</t>
  </si>
  <si>
    <t>ÁO THUN POWER100 XANH</t>
  </si>
  <si>
    <t>V39.013.407</t>
  </si>
  <si>
    <t>POWER100 T-SHIRT (WHITE)</t>
  </si>
  <si>
    <t>ÁO THUN POWER100 TRẮNG</t>
  </si>
  <si>
    <t>V51.600.218</t>
  </si>
  <si>
    <t>AW POWER100 IRON-SHELF</t>
  </si>
  <si>
    <t>HÌNH ẢNH KỆ SẮT POWER 100</t>
  </si>
  <si>
    <t>7.5239917990512</t>
  </si>
  <si>
    <t>SATELLITE LAOS 25KG</t>
  </si>
  <si>
    <t>BỘT MÌ HIỆU VỆ TINH (TIẾNG LÀO) 25KG</t>
  </si>
  <si>
    <t>7.52399149905I6</t>
  </si>
  <si>
    <t>RED COMPASS PALDO 25KG</t>
  </si>
  <si>
    <t>7.52399049905I6</t>
  </si>
  <si>
    <t>BROWN COMPASS PALDO 25KG</t>
  </si>
  <si>
    <t>7.705B3</t>
  </si>
  <si>
    <t>MES (METHYL ESTER SULFONATE) FLAKES IN BOX 2KG</t>
  </si>
  <si>
    <t>CHẤT HOẠT ĐỘNG BỀ MẶT DẠNG ANION ĐÓNG TRONG HỘP 2KG</t>
  </si>
  <si>
    <t>7.B2407239902B816</t>
  </si>
  <si>
    <t>BAG KETCHUP 1KG ( KFC)  X 10 PAC/ CAR</t>
  </si>
  <si>
    <t>TƯƠNG CÀ TÚI 1KG X 10 GÓI / THÙNG</t>
  </si>
  <si>
    <t>7.B2407239902B81601</t>
  </si>
  <si>
    <t>BAG KETCHUP 1KG ( KFC)</t>
  </si>
  <si>
    <t>TƯƠNG CÀ TÚI 1KG</t>
  </si>
  <si>
    <t>7.B2407239967B816</t>
  </si>
  <si>
    <t>SACHET KETCHUP 10G ( KFC)  X 1200 PAC/ CARTON</t>
  </si>
  <si>
    <t>TƯƠNG CÀ TÚI 10G X 1200 GÓI / THÙNG</t>
  </si>
  <si>
    <t>7.B2407239967B81601</t>
  </si>
  <si>
    <t>SACHET KETCHUP 10G ( KFC)</t>
  </si>
  <si>
    <t>TƯƠNG CÀ TÚI 10G</t>
  </si>
  <si>
    <t>V51.000.125</t>
  </si>
  <si>
    <t>WHITE EMPTY PP BAG OF KALI POWDER ROYAL BRAND SIZE 50 KG</t>
  </si>
  <si>
    <t>VỎ BAO PP TRẮNG PHÂN BÓN KALI BỘT HIỆU HOÀNG GIA LOẠI 50KG</t>
  </si>
  <si>
    <t>V51.000.126</t>
  </si>
  <si>
    <t>WHITE EMPTY PP BAG OF KALI GRANULAR ROYAL BRAND SIZE 50 KG</t>
  </si>
  <si>
    <t>VỎ BAO PP TRẮNG PHÂN BÓN KALI HẠT HIỆU HOÀNG GIA LOẠI 50KG</t>
  </si>
  <si>
    <t>7.101089591200030</t>
  </si>
  <si>
    <t>SATTELITE ROL CP10 IN JERRYCAN@25KG</t>
  </si>
  <si>
    <t>DẦU OLEIN CỌ TINH LUYỆN NHÃN HIỆU SATELLITE TRONG CAN NHỰA 25KG</t>
  </si>
  <si>
    <t>6.523991099H571</t>
  </si>
  <si>
    <t>FLOUR 1-ANW9.5</t>
  </si>
  <si>
    <t>BỘT MÌ DẠNG XÁ ANW9.5</t>
  </si>
  <si>
    <t>6.523991099H57117</t>
  </si>
  <si>
    <t>FLOUR 1-ANW9.5 LOW ASH</t>
  </si>
  <si>
    <t>BỘT MÌ DẠNG XÁ ANW9.5 LOW ASH</t>
  </si>
  <si>
    <t>6.523991099H572</t>
  </si>
  <si>
    <t>FLOUR 1-BZF</t>
  </si>
  <si>
    <t>BỘT MÌ DẠNG XÁ BZF</t>
  </si>
  <si>
    <t>6.523991099H573</t>
  </si>
  <si>
    <t>FLOUR 1-IMW11.5</t>
  </si>
  <si>
    <t>BỘT MÌ DẠNG XÁ IMW11.5</t>
  </si>
  <si>
    <t>6.523991099H574</t>
  </si>
  <si>
    <t>FLOUR 1-AH9 12</t>
  </si>
  <si>
    <t>BỘT MÌ DẠNG XÁ AH9 12</t>
  </si>
  <si>
    <t>6.523991099H575</t>
  </si>
  <si>
    <t>FLOUR 1-AH9 11.5</t>
  </si>
  <si>
    <t>BỘT MÌ DẠNG XÁ AH9 11.5</t>
  </si>
  <si>
    <t>6.523991099H57118</t>
  </si>
  <si>
    <t>FLOUR 1-ANW9.5 LOW ASH HIRATIO</t>
  </si>
  <si>
    <t>BỘT MÌ DẠNG XÁ ANW9.5 LOW ASH HIRATIO</t>
  </si>
  <si>
    <t>7.52399089901H701TD</t>
  </si>
  <si>
    <t>7.B2402239933010301TD</t>
  </si>
  <si>
    <t>7.A3199089908012101TD</t>
  </si>
  <si>
    <t>7.B24106399A0014701TD</t>
  </si>
  <si>
    <t>7.A32058099010101TD</t>
  </si>
  <si>
    <t>7.5239941990565</t>
  </si>
  <si>
    <t>AP 25KG</t>
  </si>
  <si>
    <t>BỘT MÌ HIỆU AP 25KG</t>
  </si>
  <si>
    <t>V58.000.005</t>
  </si>
  <si>
    <t>WILMAR LACQUER TEA BOX</t>
  </si>
  <si>
    <t>HỘP TRÀ SƠN MÀI WILMAR</t>
  </si>
  <si>
    <t>7.52399A2990501</t>
  </si>
  <si>
    <t>PREMIUM SK BREAD FLOUR 25KG</t>
  </si>
  <si>
    <t>6.70555</t>
  </si>
  <si>
    <t>STEARIC ACID SA1810; IN PLASTIC BAG 600KG</t>
  </si>
  <si>
    <t>AXIT STEARIC SA1810; BAO NHỰA 600KG</t>
  </si>
  <si>
    <t>6.70556</t>
  </si>
  <si>
    <t>GENAGEN CAB UQS-H 1050, IBC PLASTIC TANK 1050KG</t>
  </si>
  <si>
    <t>CHẤT HOẠT ĐỘNG BỀ MẶT GENAGEN CAB UQS - H 1050, BỒN NHỰA IBC 1050KG</t>
  </si>
  <si>
    <t>V51.600.219</t>
  </si>
  <si>
    <t>AW POWER100 MINI BOOTH</t>
  </si>
  <si>
    <t>HÌNH ẢNH XE ĐẨY POWER 100</t>
  </si>
  <si>
    <t>7.B25080899B90105</t>
  </si>
  <si>
    <t>MEIZAN PORK BOUILLON GRANULE 1,8KG X 6 PAC/CAR</t>
  </si>
  <si>
    <t>7.B25080899B9010501</t>
  </si>
  <si>
    <t>MEIZAN PORK BOUILLON GRANULE 1,8KG</t>
  </si>
  <si>
    <t>HẠT NÊM MEIZAN THỊT, XƯƠNG ỐNG, TỦY, CÀ RỐT – VỊ HEO 1,8 KG</t>
  </si>
  <si>
    <t>7.705B4</t>
  </si>
  <si>
    <t>YELLOW GLYCERINE IN CARTON 2KG</t>
  </si>
  <si>
    <t>YELLOW GLYCERINE ĐÓNG TRONG THÙNG CARTON 2KG</t>
  </si>
  <si>
    <t>F07514001</t>
  </si>
  <si>
    <t>RED T-SHIRT</t>
  </si>
  <si>
    <t>ÁO THUN CỔ TRỤ MÀU ĐỎ</t>
  </si>
  <si>
    <t>F07514008</t>
  </si>
  <si>
    <t>BLUE T-SHIRT</t>
  </si>
  <si>
    <t>ÁO THUN CỔ TRỤ MÀU XANH DƯƠNG</t>
  </si>
  <si>
    <t>7.B24022399B8016601TD</t>
  </si>
  <si>
    <t>7.52399779903A0</t>
  </si>
  <si>
    <t>SAMPLE GREEN KEY 111 5KG</t>
  </si>
  <si>
    <t>BỘT MÌ HIỆU CHÌA KHÓA XANH LÁ - 111 5KG</t>
  </si>
  <si>
    <t>7.52399269905I7</t>
  </si>
  <si>
    <t>BLUE KEY PAU PM 25KG</t>
  </si>
  <si>
    <t>BỘT MÌ HIỆU CHÌA KHÓA XANH BÁNH BAO PM 25KG</t>
  </si>
  <si>
    <t>7.B2508549901010501TD</t>
  </si>
  <si>
    <t>7.A330208999001TD</t>
  </si>
  <si>
    <t>7.B24022399B80166TD</t>
  </si>
  <si>
    <t>7.B24012399599213TD</t>
  </si>
  <si>
    <t>V51.00A.052</t>
  </si>
  <si>
    <t>SPICE RACK</t>
  </si>
  <si>
    <t>GIÁ TREO HẠT NÊM</t>
  </si>
  <si>
    <t>7.1070140896333000</t>
  </si>
  <si>
    <t>SATELLITE BOS MP 44 PLASTIC BUCKET @18KG</t>
  </si>
  <si>
    <t>DẦU BƠ THAY THẾ NHÃN HIỆU SATELLITE (NHÃN MÀU XANH) TRONG XÔ NHỰA 18KG</t>
  </si>
  <si>
    <t>7.705B5</t>
  </si>
  <si>
    <t>DISTILLED MONOGLYCERIDE (CF01) IN PLASTIC BAG 5KG</t>
  </si>
  <si>
    <t>DISTILLED MONOGLYCERIDE (CF01) ĐÓNG TRONG BAO NHỰA 5KG</t>
  </si>
  <si>
    <t>7.475056171700020</t>
  </si>
  <si>
    <t>CO-OLIVOILA POMACE OLIVE OIL BTL@750ML</t>
  </si>
  <si>
    <t>7.705B6</t>
  </si>
  <si>
    <t>MEIZAN BRAND – WILMAX KT220504 IN PLASTIC BAG 5KG</t>
  </si>
  <si>
    <t>CHẤT BÉO THỰC VẬT WILMAX KT220504, NHÃN HIỆU MEIZAN ĐÓNG TRONG BAO NHỰA 5KG</t>
  </si>
  <si>
    <t>7.705B7</t>
  </si>
  <si>
    <t>DIMER ACID BIODA-80 IN BOTTLE 1KG</t>
  </si>
  <si>
    <t>AXIT DIMER BIODA-80 ĐÓNG CHAI 1KG</t>
  </si>
  <si>
    <t>7.705B8</t>
  </si>
  <si>
    <t>MEDIUM CHAIN TRIGLYCERIDE (MCT) IN BOTTLE 1KG</t>
  </si>
  <si>
    <t>HỖN HỢP CÁC ESTE CỦA AXIT BÉO MẠCH TRUNG BÌNH ĐÓNG CHAI 1KG</t>
  </si>
  <si>
    <t>V51.000.127</t>
  </si>
  <si>
    <t>PRINTING HP LASERJET</t>
  </si>
  <si>
    <t>MÁY IN ĐA CHỨC NĂNG HP LASERJET</t>
  </si>
  <si>
    <t>V51.000.128</t>
  </si>
  <si>
    <t>SAMSUNG GALAXY TAB A7 LITE</t>
  </si>
  <si>
    <t>MÁY TÍNH BẢNG SAMSUNG GALAXY TAB A7 LITE</t>
  </si>
  <si>
    <t>7.B242302209199</t>
  </si>
  <si>
    <t>CHILLI SAUCE HORECA HANG VIET 2,1KG X 6 BOT/CAR</t>
  </si>
  <si>
    <t>7.B24230220919901</t>
  </si>
  <si>
    <t>7.B242302969199</t>
  </si>
  <si>
    <t>CHILLI SAUCE HORECA HANG VIET 4,2KG X 4 BOT/CAR</t>
  </si>
  <si>
    <t>7.B24230296919901</t>
  </si>
  <si>
    <t>CHILLI SAUCE HORECA HANG VIET 2,1KG</t>
  </si>
  <si>
    <t>TƯƠNG ỚT HÀNG VIỆT HORECA 2,1KG</t>
  </si>
  <si>
    <t>CHILLI SAUCE HORECA HANG VIET 4,2KG</t>
  </si>
  <si>
    <t>TƯƠNG ỚT HÀNG VIỆT HORECA 4,2KG</t>
  </si>
  <si>
    <t>6.70557</t>
  </si>
  <si>
    <t>OLEIC ACID 7075 IN STEEL DRUM 180KG</t>
  </si>
  <si>
    <t>AXIT OLEIC 7075; PHUY SẮT 180KG</t>
  </si>
  <si>
    <t>7.B24012302489101</t>
  </si>
  <si>
    <t>SAUCE SOY HANG VIET HORECA 4,5L X 4 BOT/ CAR</t>
  </si>
  <si>
    <t>NƯỚC CHẤM ĐẬU NÀNH HÀNG VIỆT HORECA 4.5L X 4 CHAI/THÙNG</t>
  </si>
  <si>
    <t>7.B2401230248910101</t>
  </si>
  <si>
    <t>SAUCE SOY HANG VIET HORECA 4,5L</t>
  </si>
  <si>
    <t>NƯỚC CHẤM ĐẬU NÀNH HÀNG VIỆT HORECA 4.5L</t>
  </si>
  <si>
    <t>7.7075836537174000</t>
  </si>
  <si>
    <t>7.52399079905I8</t>
  </si>
  <si>
    <t>GREEN KEY - IMANAKA 25KG (NON FE&amp;ZN)</t>
  </si>
  <si>
    <t>7.705B9</t>
  </si>
  <si>
    <t>DISTILLED TOPPED PALM KERNEL FATTY ACID (FA-1218), PLASTIC BOTTLE 1KG</t>
  </si>
  <si>
    <t>AXIT BÉO NHÂN CỌ CHƯNG CẤT WILFARIN FA-1218, CHAI NHỰA 1KG</t>
  </si>
  <si>
    <t>6.458843P</t>
  </si>
  <si>
    <t>DOUBLE DEWAXING RBD SUNFLOWER OIL</t>
  </si>
  <si>
    <t>V51.000.129</t>
  </si>
  <si>
    <t>HIKING BACKPACK 10L NH100 - GREY/LIGHT BROWN</t>
  </si>
  <si>
    <t>BALO DÃ NGOẠI 10L NH100 - XÁM/NÂU NHẠT</t>
  </si>
  <si>
    <t>V51.000.130</t>
  </si>
  <si>
    <t>HIKING BACKPACK  10L</t>
  </si>
  <si>
    <t>BALO ĐI BỘ NH100 10L</t>
  </si>
  <si>
    <t>V51.000.131</t>
  </si>
  <si>
    <t>BUM BAG 2L TRAVEL 100 - BLACK</t>
  </si>
  <si>
    <t>TÚI ĐEO HÔNG DU LỊCH 2L GỌN NHẸ TRAVEL 100 - ĐEN</t>
  </si>
  <si>
    <t>V51.000.132</t>
  </si>
  <si>
    <t>BUM BAG 2L TRAVEL 100 - PURPLE</t>
  </si>
  <si>
    <t>TÚI ĐEO HÔNG DU LỊCH 2L GỌN NHẸ TRAVEL 100 - TÍM</t>
  </si>
  <si>
    <t>V51.000.133</t>
  </si>
  <si>
    <t>HIKING 10L BACKPACK ARPENAZ NH100 - GREEN/FLOWER PATTERN</t>
  </si>
  <si>
    <t>BALO DÃ NGOẠI ARPENAZ NH100 10L - XANH/HỌA TIẾT HOA</t>
  </si>
  <si>
    <t>V51.000.134</t>
  </si>
  <si>
    <t>HIKING 10L BACKPACK ARPENAZ NH100 - KHAKI</t>
  </si>
  <si>
    <t>BALO DÃ NGOẠI ARPENAZ NH100 10L - KHAKI</t>
  </si>
  <si>
    <t>7.F3902B399070156</t>
  </si>
  <si>
    <t>RED STANDARD GRADE MURIATE OF POTASH (MOP)/ KALI (KCL)/WMCLV MURIATE OF POTASH 61, KALI POWDER; IN 50KG PP/PE BAG ROYAL BRAND; CANADA ORIGIN</t>
  </si>
  <si>
    <t>WMCLV MURIATE OF POTASH 61 (PHÂN BÓN KALI CLORUA) DẠNG BỘT, ĐÓNG TRONG BAO PP/PE 50KG NHÃN HIỆU HOÀNG GIA; XUẤT XỨ CANADA</t>
  </si>
  <si>
    <t>7.F3902B399070157</t>
  </si>
  <si>
    <t>RED GRANULAR GRADE MURIATE OF POTASH (MOP)/ KALI (KCL), KALI GRANULAR/WMCLV MURIATE OF POTASH 61, KALI GRANULAR; IN 50 KG PP/PE BAG ROYAL BRAND; CANADA ORIGIN</t>
  </si>
  <si>
    <t>WMCLV MURIATE OF POTASH 61 (PHÂN BÓN KALI CLORUA) DẠNG HẠT, ĐÓNG TRONG BAO PP/PE 50KG NHÃN HIỆU HOÀNG GIA; XUẤT XỨ CANADA</t>
  </si>
  <si>
    <t>7.131011121706I50</t>
  </si>
  <si>
    <t>CAI LAN A 0.4L X 24BTL</t>
  </si>
  <si>
    <t>V39.000.062</t>
  </si>
  <si>
    <t>PANASONIC AIR CONDITIONER INVERTER</t>
  </si>
  <si>
    <t>ĐIỀU HÒA PANASONIC INVERTER</t>
  </si>
  <si>
    <t>6.1213519</t>
  </si>
  <si>
    <t>REFINED PALM STEARIN LOW GE</t>
  </si>
  <si>
    <t>V51.048.024</t>
  </si>
  <si>
    <t>7.5239904490301</t>
  </si>
  <si>
    <t>SAMPLE BROWN COMPASS 111 5KG</t>
  </si>
  <si>
    <t>BỘT MÌ HIỆU LA BÀN NÂU - 111 5KG</t>
  </si>
  <si>
    <t>7.705C0</t>
  </si>
  <si>
    <t>MIZULAN FL-80 BRAND MES(METHYL ESTER SULFONATE) IN PLASTIC BAG 5KG</t>
  </si>
  <si>
    <t>CHẤT HOẠT ĐỘNG BỀ MẶT DẠNG ANION MES (METHYL ESTER SULFONATE) NHÃN HIỆU MIZULAN FL-80 ĐÓNG TRONG BAO NHỰA 5KG</t>
  </si>
  <si>
    <t>7.B24022399200166</t>
  </si>
  <si>
    <t>NAM DUONG HOT CHILI SAUCE 2.1KG X 6 BOT/CAR</t>
  </si>
  <si>
    <t>7.B2402239920016601</t>
  </si>
  <si>
    <t>NAM DUONG HOT CHILI SAUCE 2.1KG</t>
  </si>
  <si>
    <t>TƯƠNG ỚT NAM DƯƠNG CAY VỪA 2.1KG</t>
  </si>
  <si>
    <t>V51.049.015</t>
  </si>
  <si>
    <t>7.52399089901G0</t>
  </si>
  <si>
    <t>MEIZAN - LAO 0.5KG</t>
  </si>
  <si>
    <t>7.52399089901G001</t>
  </si>
  <si>
    <t>MEIZAN - LAO 0.5KG (PAC)</t>
  </si>
  <si>
    <t>7.5239908990212</t>
  </si>
  <si>
    <t>MEIZAN - LAO 1KG</t>
  </si>
  <si>
    <t>7.523990899021201</t>
  </si>
  <si>
    <t>MEIZAN - LAO 1KG (PAC)</t>
  </si>
  <si>
    <t>7.5239908990259</t>
  </si>
  <si>
    <t>MEIZAN - CPC 1KG</t>
  </si>
  <si>
    <t>7.523990899025901</t>
  </si>
  <si>
    <t>MEIZAN - CPC 1KG (PAC)</t>
  </si>
  <si>
    <t>V51.000.135</t>
  </si>
  <si>
    <t>VIETTEL CARD WITH 100.000 VND</t>
  </si>
  <si>
    <t>THẺ ĐIỆN THOẠI VIETTEL MỆNH GIÁ 100.000 ĐỒNG</t>
  </si>
  <si>
    <t>V51.000.136</t>
  </si>
  <si>
    <t>VIETTEL CARD WITH 200.000 VND</t>
  </si>
  <si>
    <t>THẺ ĐIỆN THOẠI VIETTEL MỆNH GIÁ 200.000 ĐỒNG</t>
  </si>
  <si>
    <t>6.1221222</t>
  </si>
  <si>
    <t>RHPKO IV 1 MP 38</t>
  </si>
  <si>
    <t>7.706102013201200</t>
  </si>
  <si>
    <t>WILFARIN REFINED GLYCERINE 99.7% IN JERRY CAN 25KG</t>
  </si>
  <si>
    <t>PHỤ GIA THỰC PHẨM GLYCERIN TINH KHIẾT 99,7%- WILFARIN ĐÓNG TRONG CAN 25KG</t>
  </si>
  <si>
    <t>7.52399079905F9</t>
  </si>
  <si>
    <t>GREEN KEY - MASAN 25KG (NON FE&amp;ZN)</t>
  </si>
  <si>
    <t>7.101000792200H60</t>
  </si>
  <si>
    <t>RBD PALM OLEIN FLEXIBLEBAG@20MT(LC)</t>
  </si>
  <si>
    <t>DẦU OLEIN CỌ TINH LUYỆN TRONG TÚI FLEXIBAG(LC)</t>
  </si>
  <si>
    <t>7.705C1</t>
  </si>
  <si>
    <t>FATTY ALCOHOL FAL-1618 IN PLASTIC BAG 2KG</t>
  </si>
  <si>
    <t>HỢP CHẤT FATTY ALCOHOL FAL-1618 ĐÓNG TRONG TÚI NHỰA 2KG</t>
  </si>
  <si>
    <t>V51.00A.053</t>
  </si>
  <si>
    <t>PP BREAD CART 110CM X 60CM</t>
  </si>
  <si>
    <t>DECAL DÁN XE BÁNH MÌ KÍCH THƯỚC 110CM X 60CM</t>
  </si>
  <si>
    <t>V51.00A.054</t>
  </si>
  <si>
    <t>PP BREAD CART 100CM X 50CM</t>
  </si>
  <si>
    <t>DECAL DÁN XE BÁNH MÌ KÍCH THƯỚC 100CM X 50CM</t>
  </si>
  <si>
    <t>7.B24072399B80116</t>
  </si>
  <si>
    <t>NAM DUONG TOMATO SAUCE 255G X 12 BOT/ CAR</t>
  </si>
  <si>
    <t>TƯƠNG CÀ NAM DƯƠNG 255G X 12 CHAI/ THÙNG</t>
  </si>
  <si>
    <t>7.B24072399B8011601</t>
  </si>
  <si>
    <t>NAM DUONG TOMATO SAUCE 255G</t>
  </si>
  <si>
    <t>TƯƠNG CÀ NAM DƯƠNG 255G</t>
  </si>
  <si>
    <t>7.B24072399730116</t>
  </si>
  <si>
    <t>NAM DUONG TOMATO SAUCE 255G X 24 BOT/ CAR</t>
  </si>
  <si>
    <t>7.B24072399200116</t>
  </si>
  <si>
    <t>NAM DUONG TOMATO SAUCE 2.1KG X 6 BOT/ CAR</t>
  </si>
  <si>
    <t>TƯƠNG CÀ NAM DƯƠNG 2.1KG X 6 CHAI/ THÙNG</t>
  </si>
  <si>
    <t>7.B2407239920011601</t>
  </si>
  <si>
    <t>NAM DUONG TOMATO SAUCE 2.1KG</t>
  </si>
  <si>
    <t>TƯƠNG CÀ NAM DƯƠNG 2.1KG</t>
  </si>
  <si>
    <t>V78.000.040</t>
  </si>
  <si>
    <t>ROYAL LOGO T-SHIRT - BLUE/YELLOW</t>
  </si>
  <si>
    <t>ÁO THUN CÓ CỔ LOGO HOÀNG GIA - MÀU XANH/ VÀNG</t>
  </si>
  <si>
    <t>7.52399149905E4</t>
  </si>
  <si>
    <t>RED COMPASS - HL 25KG</t>
  </si>
  <si>
    <t>6.1221218</t>
  </si>
  <si>
    <t>REFINED HYDROGENATED PALM KERNEL OIL 42</t>
  </si>
  <si>
    <t>DẦU NHÂN CỌ HYDRO HÓA, TINH LUYỆN 42 TRONG XE BỒN</t>
  </si>
  <si>
    <t>7.705C2</t>
  </si>
  <si>
    <t>REFINED HYDROGENATED SOYA OIL 42 IN CARTON 20KG</t>
  </si>
  <si>
    <t>REFINED HYDROGENATED SOYA OIL 42 ĐÓNG TRONG THÙNG CARTON 20KG</t>
  </si>
  <si>
    <t>7.105001182200020</t>
  </si>
  <si>
    <t>MIXED VEGETABLE FAD FLEXIBAG@20MT</t>
  </si>
  <si>
    <t>HỖN HỢP AXIT BÉO THỰC VẬT NGƯNG TỤ</t>
  </si>
  <si>
    <t>V51.106.012</t>
  </si>
  <si>
    <t>POWER100 UMBRELLA</t>
  </si>
  <si>
    <t>7.E3801789985I93201</t>
  </si>
  <si>
    <t>MEADOW FRESH UHT FULL CREAM MILK 1L, NEW ZEALAND ORIGIN</t>
  </si>
  <si>
    <t>SỮA TƯƠI TIỆT TRÙNG NGUYÊN KEM NHÃN HIỆU MEADOW FRESH 1L, XUẤT XỨ NEW ZEALAND</t>
  </si>
  <si>
    <t>7.E3801789985I93501</t>
  </si>
  <si>
    <t>MEADOW FRESH UHT LOW FAT MILK 1L, NEW ZEALAND ORIGIN</t>
  </si>
  <si>
    <t>SỮA TƯƠI TIỆT TRÙNG ÍT BÉO NHÃN HIỆU MEADOW FRESH 1L, XUẤT XỨ NEW ZEALAND</t>
  </si>
  <si>
    <t>7.E3801789985I93801</t>
  </si>
  <si>
    <t>MEADOW FRESH UHT LOW FAT CALCI MILK 1L, NEW ZEALAND ORIGIN</t>
  </si>
  <si>
    <t>SỮA TIỆT TRÙNG GIÀU CANXI ÍT BÉO NHÃN HIỆU MEADOW FRESH 1L, XUẤT XỨ NEW ZEALAND</t>
  </si>
  <si>
    <t>V51.061.019</t>
  </si>
  <si>
    <t>HANDNOTE NEPTUNE LIGHT</t>
  </si>
  <si>
    <t>SỔ TAY NEPTUNE LIGHT</t>
  </si>
  <si>
    <t>7.705C3</t>
  </si>
  <si>
    <t>LAURIC ACID 99% (WILFARIN LA-1299) BEADS; BAG 25KG</t>
  </si>
  <si>
    <t>AXIT LAURIC 99% - WILFARIN LA1299 DẠNG HẠT; BAO 25KG</t>
  </si>
  <si>
    <t>V51.000.137</t>
  </si>
  <si>
    <t>HANOI BEER 24 CANS x 330ML</t>
  </si>
  <si>
    <t>BIA HÀ NỘI THÙNG 24 LON x 330ML</t>
  </si>
  <si>
    <t>V51.000.138</t>
  </si>
  <si>
    <t>7.A33021499040120</t>
  </si>
  <si>
    <t>RED COMPASS MACARONI - LONG TUBE 10KG</t>
  </si>
  <si>
    <t>7.A3199089902J199</t>
  </si>
  <si>
    <t>MEIZAN GRAIN BREAD MIX 1KG X 10 PACK</t>
  </si>
  <si>
    <t>BỘT TRỘN SẴN BÁNH MÌ NGŨ CỐC MEIZAN 1KG X 10 GÓI</t>
  </si>
  <si>
    <t>7.A3199089902J19901</t>
  </si>
  <si>
    <t>MEIZAN GRAIN BREAD MIX 1KG</t>
  </si>
  <si>
    <t>BỘT TRỘN SẴN BÁNH MÌ NGŨ CỐC MEIZAN 1KG</t>
  </si>
  <si>
    <t>V78.000.041</t>
  </si>
  <si>
    <t>V39.000.063</t>
  </si>
  <si>
    <t>GLOVES</t>
  </si>
  <si>
    <t>V51.000.139</t>
  </si>
  <si>
    <t>DOUGH CUTTER</t>
  </si>
  <si>
    <t>V51.00A.055</t>
  </si>
  <si>
    <t>MEIZAN BOUILLON GRANULE POSTER</t>
  </si>
  <si>
    <t>ÁP PHÍCH HẠT NÊM MEIZAN</t>
  </si>
  <si>
    <t>7.705C4</t>
  </si>
  <si>
    <t>POLYAMIDE CURING AGENT IN BOTTLE 1KG</t>
  </si>
  <si>
    <t>POLYAMIDE CURING AGENT ĐÓNG TRONG LỌ 1KG</t>
  </si>
  <si>
    <t>7.1340551993401</t>
  </si>
  <si>
    <t>GOLDEN CROWN SOFT BUTTER OIL SUBSTITUTE IN PAIL 18KG</t>
  </si>
  <si>
    <t>DẦU BƠ THAY THẾ NHÃN HIỆU GOLDEN CROWN ĐÓNG TRONG THÙNG NHỰA 18KG</t>
  </si>
  <si>
    <t>7.52399083802F101</t>
  </si>
  <si>
    <t>BỘT MÌ CHUYÊN DỤNG CHO BÁNH MÌ HIỆU MEIZAN 1KG (GÓI)</t>
  </si>
  <si>
    <t>6.70558</t>
  </si>
  <si>
    <t>MEDIUM CHAIN FATTY ACID (MCFA); DRUM 180KG</t>
  </si>
  <si>
    <t>AXIT BÉO MẠCH TRUNG BÌNH (MCFA); PHUY NHỰA HDPE 180KG</t>
  </si>
  <si>
    <t>7.705C5</t>
  </si>
  <si>
    <t>UNIFY 270 IN BOTTLE 4KG</t>
  </si>
  <si>
    <t>UNIFY 270 - CHẤT TẠO MÀNG CHO SƠN ĐÓNG TRONG LỌ 4KG</t>
  </si>
  <si>
    <t>7.705C6</t>
  </si>
  <si>
    <t>ELEVANCE CLEAN 1200 IN BOTTLE 4KG</t>
  </si>
  <si>
    <t>ELEVANCE CLEAN 1200 - CHẤT TẨY RỬA DẦU MỠ ĐÓNG TRONG LỌ 4KG</t>
  </si>
  <si>
    <t>7.705C7</t>
  </si>
  <si>
    <t>MIZULAN FL-80 BRAND MES(METHYL ESTER SULFONATE) IN BAG 2KG</t>
  </si>
  <si>
    <t>CHẤT HOẠT ĐỘNG BỀ MẶT DẠNG ANION MES (METHYL ESTER SULFONATE) NHÃN HIỆU MIZULAN FL-80 ĐÓNG TRONG BAO 2KG</t>
  </si>
  <si>
    <t>7.52399779905AA</t>
  </si>
  <si>
    <t>GREEN KEY 111 25KG</t>
  </si>
  <si>
    <t>V51.000.140</t>
  </si>
  <si>
    <t>LEAFLET FOR FERTILIZER SALES PROMOTION</t>
  </si>
  <si>
    <t>LEAFLET CHƯƠNG TRÌNH KHUYẾN MÃI BÁN HÀNG PHÂN BÓN</t>
  </si>
  <si>
    <t>V51.000.141</t>
  </si>
  <si>
    <t>POSTER FOR FERTILIZER SALES PROMOTION</t>
  </si>
  <si>
    <t>POSTER CHƯƠNG TRÌNH KHUYẾN MÃI BÁN HÀNG PHÂN BÓN</t>
  </si>
  <si>
    <t>7.B24072399350116</t>
  </si>
  <si>
    <t>NAM DUONG TOMATO SAUCE 2.2G X 6 BOT/ CAR</t>
  </si>
  <si>
    <t>7.B2407239935011601</t>
  </si>
  <si>
    <t>NAM DUONG TOMATO SAUCE 2.2G</t>
  </si>
  <si>
    <t>TƯƠNG CÀ NAM DƯƠNG 2.2KG</t>
  </si>
  <si>
    <t>V51.000.142</t>
  </si>
  <si>
    <t>T-SHIRT POLO</t>
  </si>
  <si>
    <t>ÁO THUN POLO</t>
  </si>
  <si>
    <t>7.A33020899320179</t>
  </si>
  <si>
    <t>MEIZAN PREMIUM MACARONI – STELLINE 200G X 24 PACKS</t>
  </si>
  <si>
    <t>7.A3302089932017901</t>
  </si>
  <si>
    <t>MEIZAN PREMIUM MACARONI – STELLINE 200G</t>
  </si>
  <si>
    <t>NUI CAO CẤP MEIZAN - HÌNH SAO 200G</t>
  </si>
  <si>
    <t>7.A33030899460120</t>
  </si>
  <si>
    <t>MEIZAN PREMIUM RICE MACARONI – LONG TUBE 400G X 12 PACKS</t>
  </si>
  <si>
    <t>7.A319908994601</t>
  </si>
  <si>
    <t>VIETNAMESE PANCAKE MIX 400G X 12 BAG</t>
  </si>
  <si>
    <t>7.A31990899040180</t>
  </si>
  <si>
    <t>CHICKEN FRIED COATING MIX 10KG</t>
  </si>
  <si>
    <t>7.A31990899020180</t>
  </si>
  <si>
    <t>CHICKEN FRIED COATING MIX 1KG X 10 PACKS</t>
  </si>
  <si>
    <t>BỘT GÀ RÁN MEIZAN 1KG X 10 GÓI</t>
  </si>
  <si>
    <t>7.A3199089902018001</t>
  </si>
  <si>
    <t>CHICKEN FRIED COATING MIX 1KG</t>
  </si>
  <si>
    <t>BỘT GÀ RÁN MEIZAN 1KG</t>
  </si>
  <si>
    <t>7.52399049905J2</t>
  </si>
  <si>
    <t>BROWN COMPASS - STF 25KG</t>
  </si>
  <si>
    <t>V51.000.143</t>
  </si>
  <si>
    <t>MOBIFONE CARD WITH 50.000 VND</t>
  </si>
  <si>
    <t>THẺ ĐIỆN THOẠI MOBIFONE MỆNH GIÁ 50.000 ĐỒNG</t>
  </si>
  <si>
    <t>V51.000.144</t>
  </si>
  <si>
    <t>MOBIFONE CARD WITH 100.000 VND</t>
  </si>
  <si>
    <t>THẺ ĐIỆN THOẠI MOBIFONE MỆNH GIÁ 100.000 ĐỒNG</t>
  </si>
  <si>
    <t>V51.000.145</t>
  </si>
  <si>
    <t>MOBIFONE CARD WITH 200.000 VND</t>
  </si>
  <si>
    <t>THẺ ĐIỆN THOẠI MOBIFONE MỆNH GIÁ 200.000 ĐỒNG</t>
  </si>
  <si>
    <t>V78.000.042</t>
  </si>
  <si>
    <t>YELLOW LONG SLEEVE SHIRT LOGO HORECA FOR MAN</t>
  </si>
  <si>
    <t>ÁO SƠ MI DÀI TAY NAM MÀU VÀNG LOGO HORECA</t>
  </si>
  <si>
    <t>V78.000.043</t>
  </si>
  <si>
    <t>YELLOW LONG SLEEVE SHIRT LOGO HORECA FOR WOMEN</t>
  </si>
  <si>
    <t>ÁO SƠ MI DÀI TAY NỮ MÀU VÀNG LOGO HORECA</t>
  </si>
  <si>
    <t>7.E3801789985I93301</t>
  </si>
  <si>
    <t>MEADOW FRESH UHT SKIMMED MILK 1L, NEW ZEALAND ORIGIN</t>
  </si>
  <si>
    <t>SỮA TƯƠI TIỆT TRÙNG TÁCH BÉO NHÃN HIỆU MEADOW FRESH 1L, XUẤT XỨ NEW ZEALAND</t>
  </si>
  <si>
    <t>V51.050.029</t>
  </si>
  <si>
    <t>7.52399029906D0TD</t>
  </si>
  <si>
    <t>7.52399159906D0TD</t>
  </si>
  <si>
    <t>7.1070120892033009TD</t>
  </si>
  <si>
    <t>7.52399174805J3</t>
  </si>
  <si>
    <t>RED SATELLITE LIBRA 25KG</t>
  </si>
  <si>
    <t>V51.600.231</t>
  </si>
  <si>
    <t>NEPTUNE LIGHT TET EMPTY BOX 2 x 1L</t>
  </si>
  <si>
    <t>VỎ HỘP QUÀ TẾT NEPTUNE LIGHT 2 x 1L</t>
  </si>
  <si>
    <t>7.1060120336008010</t>
  </si>
  <si>
    <t>MEIZAN CHOCOFAT MP 39-43 IV 50 IN PEBAG 25KG</t>
  </si>
  <si>
    <t>7.G4001B499C1019901</t>
  </si>
  <si>
    <t>TWINKLE ENGLISH BREAKFAST TEA 1,8 G X 20 IN CARTON</t>
  </si>
  <si>
    <t>TRÀ TWINKLE ENGLISH BREAKFAST 1,8 G X 20</t>
  </si>
  <si>
    <t>7.G4001B499C00181</t>
  </si>
  <si>
    <t>TWINKLE OOLONG TEA 1,5 G X 20 X 12 IN CARTON</t>
  </si>
  <si>
    <t>TRÀ TWINKLE Ô LONG THƯỢNG HẠNG 1,5 G X 20 X 12 HỘP ĐÓNG TRONG THÙNG CARTON</t>
  </si>
  <si>
    <t>7.G4001B499C0018101</t>
  </si>
  <si>
    <t>TWINKLE OOLONG TEA 1,5 G X 20 IN CARTON</t>
  </si>
  <si>
    <t>TRÀ TWINKLE Ô LONG THƯỢNG HẠNG 1,5 G X 20</t>
  </si>
  <si>
    <t>TWINKLE CHAMOMILE 1,5 G X 20 X 12 IN CARTON</t>
  </si>
  <si>
    <t>TRÀ TWINKLE THẢO MỘC HOA CÚC 1,5 G X 20 X 12 HỘP ĐÓNG TRONG THÙNG CARTON</t>
  </si>
  <si>
    <t>7.G4001B499C0018201</t>
  </si>
  <si>
    <t>TWINKLE CHAMOMILE 1,5 G X 20 IN CARTON</t>
  </si>
  <si>
    <t>TRÀ TWINKLE THẢO MỘC HOA CÚC 1,5 G X 20</t>
  </si>
  <si>
    <t>7.G4001B499C1018301</t>
  </si>
  <si>
    <t>TWINKLE EARL GREY 1,8 G X 20 IN CARTON</t>
  </si>
  <si>
    <t>TRÀ TWINKLE EARL GREY 1,8 G X 20</t>
  </si>
  <si>
    <t>TWINKLE PEACH 1,8 G X 20 X 12 IN CARTON</t>
  </si>
  <si>
    <t>TRÀ TWINKLE HƯƠNG ĐÀO 1,8 G X 20 X 12 HỘP ĐÓNG TRONG THÙNG CARTON</t>
  </si>
  <si>
    <t>7.G4001B499C1018401</t>
  </si>
  <si>
    <t>TWINKLE PEACH 1,8 G X 20 IN CARTON</t>
  </si>
  <si>
    <t>TRÀ TWINKLE HƯƠNG ĐÀO 1,8 G X 20</t>
  </si>
  <si>
    <t>7.G4001B499C10185</t>
  </si>
  <si>
    <t>TWINKLE GINGER 1,8 G X 20 X 12 IN CARTON</t>
  </si>
  <si>
    <t>7.G4001B499C1018501</t>
  </si>
  <si>
    <t>TWINKLE GINGER 1,8 G X 20 IN CARTON</t>
  </si>
  <si>
    <t>TRÀ TWINKLE HƯƠNG GỪNG 1,8 G X 20</t>
  </si>
  <si>
    <t>7.G4001B499C00186</t>
  </si>
  <si>
    <t>TWINKLE JASMINE GREEN TEA 1,5 G X 20 X 12 IN CARTON</t>
  </si>
  <si>
    <t>TRÀ XANH TWINKLE HOA NHÀI 1,5 G X 20 X 12 HỘP ĐÓNG TRONG THÙNG CARTON</t>
  </si>
  <si>
    <t>7.G4001B499C0018601</t>
  </si>
  <si>
    <t>TWINKLE JASMINE GREEN TEA 1,5 G X 20 IN CARTON</t>
  </si>
  <si>
    <t>TRÀ XANH TWINKLE HOA NHÀI 1,5 G X 20</t>
  </si>
  <si>
    <t>7.G4001B499C10136</t>
  </si>
  <si>
    <t>TWINKLE STRAWBERRY 1,8 G X 20 X 12 IN CARTON</t>
  </si>
  <si>
    <t>7.G4001B499C1013601</t>
  </si>
  <si>
    <t>TWINKLE STRAWBERRY 1,8 G X 20 IN CARTON</t>
  </si>
  <si>
    <t>TRÀ TWINKLE HƯƠNG DÂU 1,8 G X 20</t>
  </si>
  <si>
    <t>7.52399177505J4</t>
  </si>
  <si>
    <t>RED SATELLITE - LOW ASH HAIDILAO 25KG</t>
  </si>
  <si>
    <t>7.52399119906J5</t>
  </si>
  <si>
    <t>ORANGE KEY - CLH 40KG</t>
  </si>
  <si>
    <t>7.G4001B599430186</t>
  </si>
  <si>
    <t>VINATEA JASMINE FLAVORED TEA (TEA BAG) 50G 2G X 25 BAGS X 50 BOXES IN CARTON</t>
  </si>
  <si>
    <t>TRÀ VINATEA HƯƠNG LÀI (TÚI LỌC) 50G 2G X 25 TÚI LỌC X 50 HỘP ĐÓNG TRONG THÙNG CARTON</t>
  </si>
  <si>
    <t>7.G4001B59943018601</t>
  </si>
  <si>
    <t>VINATEA JASMINE FLAVORED TEA (TEA BAG) 50G</t>
  </si>
  <si>
    <t>TRÀ VINATEA HƯƠNG LÀI (TÚI LỌC) 50G</t>
  </si>
  <si>
    <t>7.G4001B599020187</t>
  </si>
  <si>
    <t>TRÀ VINATEA HỒNG TRÀ TÚI 1KG X 5 TÚI ĐÓNG TRONG THÙNG CARTON</t>
  </si>
  <si>
    <t>7.G4001B59902018701</t>
  </si>
  <si>
    <t>VINATEA RED TEA 1KG</t>
  </si>
  <si>
    <t>TRÀ VINATEA HỒNG TRÀ TÚI 1KG</t>
  </si>
  <si>
    <t>7.G4001B599430199</t>
  </si>
  <si>
    <t>VINATEA BLACK TEA (TEA BAG) 50G 2G X 25 BAGS X 50 BOXES IN CARTON</t>
  </si>
  <si>
    <t>TRÀ VINATEA ĐEN HẢO HẠNG HỘP VÀNG (TÚI LỌC) 50G 2G X 25 TÚI LỌC X 50 HỘP ĐÓNG TRONG THÙNG CARTON</t>
  </si>
  <si>
    <t>7.G4001B59943019901</t>
  </si>
  <si>
    <t>VINATEA BLACK TEA (TEA BAG) 50G</t>
  </si>
  <si>
    <t>TRÀ VINATEA ĐEN HẢO HẠNG HỘP VÀNG (TÚI LỌC) 50G</t>
  </si>
  <si>
    <t>7.G4001B599430181</t>
  </si>
  <si>
    <t>VINATEA OOLONG TEA (TEA BAG) 50G 2G X 25 BAGS X 50 BOXES IN CARTON</t>
  </si>
  <si>
    <t>TRÀ VINATEA Ô LONG (TÚI LỌC) 50G 2G X 25 TÚI LỌC X 50 HỘP ĐÓNG TRONG THÙNG CARTON</t>
  </si>
  <si>
    <t>7.G4001B59943018101</t>
  </si>
  <si>
    <t>VINATEA OOLONG TEA (TEA BAG) 50G</t>
  </si>
  <si>
    <t>TRÀ VINATEA Ô LONG (TÚI LỌC) 50G</t>
  </si>
  <si>
    <t>7.G4001B59543019901</t>
  </si>
  <si>
    <t>VINATEA THAI NGUYEN GREEN TEA (TEA BAG) 50G</t>
  </si>
  <si>
    <t>TRÀ VINATEA THÁI NGUYÊN (TÚI LỌC) 50G</t>
  </si>
  <si>
    <t>7.G4001B599430136</t>
  </si>
  <si>
    <t>VINATEA STRAWBERRY FLAVORED TEA (TEA BAG) 50G 2G X 25 BAGS X 36 BOXES IN CARTON</t>
  </si>
  <si>
    <t>TRÀ VINATEA HƯƠNG DÂU (TÚI LỌC) 50G 2G X 25 TÚI LỌC X 36 HỘP ĐÓNG TRONG THÙNG CARTON</t>
  </si>
  <si>
    <t>7.G4001B59943013601</t>
  </si>
  <si>
    <t>VINATEA STRAWBERRY FLAVORED TEA (TEA BAG) 50G</t>
  </si>
  <si>
    <t>TRÀ VINATEA HƯƠNG DÂU (TÚI LỌC) 50G</t>
  </si>
  <si>
    <t>7.G4001B599430184</t>
  </si>
  <si>
    <t>VINATEA PEACH FLAVORED TEA (TEA BAG) 50G 2G X 25 BAGS X 36 BOXES IN CARTON</t>
  </si>
  <si>
    <t>TRÀ VINATEA HƯƠNG ĐÀO (TÚI LỌC) 50G 2G X 25 TÚI LỌC X 36 HỘP ĐÓNG TRONG THÙNG CARTON</t>
  </si>
  <si>
    <t>7.G4001B59943018401</t>
  </si>
  <si>
    <t>VINATEA PEACH FLAVORED TEA (TEA BAG) 50G</t>
  </si>
  <si>
    <t>TRÀ VINATEA HƯƠNG ĐÀO (TÚI LỌC) 50G</t>
  </si>
  <si>
    <t>7.G4001B595600199</t>
  </si>
  <si>
    <t>VINATEA THAI NGUYEN LOOSE LEAF TEA VACUUM BAG 100G X 72 BAGS IN CARTON</t>
  </si>
  <si>
    <t>TRÀ VINATEA THÁI NGUYÊN SỢI RỜI TÚI HCK XANH 100G X 72 GÓI ĐÓNG TRONG THÙNG CARTON</t>
  </si>
  <si>
    <t>7.G4001B59560019901</t>
  </si>
  <si>
    <t>VINATEA THAI NGUYEN LOOSE LEAF TEA VACUUM BAG 100G</t>
  </si>
  <si>
    <t>TRÀ VINATEA THÁI NGUYÊN SỢI RỜI TÚI HCK XANH 100G</t>
  </si>
  <si>
    <t>7.G4001B599C2018801</t>
  </si>
  <si>
    <t>VINATEA CHAMOMILE TEA ++ (TEA BAG) 40G</t>
  </si>
  <si>
    <t>TRÀ VINATEA HOA CÚC MẬT ++ (TÚI LỌC) 40G</t>
  </si>
  <si>
    <t>V51.00A.056</t>
  </si>
  <si>
    <t>DESKTOP MICA NOTICEBOARD</t>
  </si>
  <si>
    <t>BẢNG THÔNG BÁO MICA ĐỂ BÀN</t>
  </si>
  <si>
    <t>7.705C8</t>
  </si>
  <si>
    <t>GENAGEN CAB IN BAG 1KG</t>
  </si>
  <si>
    <t>CHẤT HOẠT ĐỘNG BỀ MẶT GENAGEN CAB ĐÓNG TRONG BAO 1KG</t>
  </si>
  <si>
    <t>7.705C9</t>
  </si>
  <si>
    <t>GENAGEN CAB UQS IN BAG 1KG</t>
  </si>
  <si>
    <t>CHẤT HOẠT ĐỘNG BỀ MẶT GENAGEN CAB UQS ĐÓNG TRONG BAO 1KG</t>
  </si>
  <si>
    <t>7.1140120203208010</t>
  </si>
  <si>
    <t>MEIZAN CBR WILLARINE 890 LT PE BAG @20KG</t>
  </si>
  <si>
    <t>CHẤT BÉO THỰC VẬT THAY THẾ BƠ CACAO - WILLARINE 890 LT - NHÃN HIỆU MEIZAN 20KG</t>
  </si>
  <si>
    <t>V39.00A.010</t>
  </si>
  <si>
    <t>APRON VFM</t>
  </si>
  <si>
    <t>POWER100 SAVING DWL LEMON POUCH @3.5KG</t>
  </si>
  <si>
    <t>NƯỚC RỬA CHÉN POWER100 TIẾT KIỆM HƯƠNG CHANH 3.5KG TÚI</t>
  </si>
  <si>
    <t>V51.00A.057</t>
  </si>
  <si>
    <t>RATTAN PLASTIC HAMPER (30CM*20CM)</t>
  </si>
  <si>
    <t>GIỎ NHỰA GIẢ MÂY (30CM*20CM)</t>
  </si>
  <si>
    <t>V51.00A.058</t>
  </si>
  <si>
    <t>CELLOPHANE PAPER (80CM*100CM)</t>
  </si>
  <si>
    <t>GIẤY BÓNG KIẾNG (80CM*100CM)</t>
  </si>
  <si>
    <t>V51.00A.059</t>
  </si>
  <si>
    <t>BOW TIE (5CM*30CM-45CM,RED)</t>
  </si>
  <si>
    <t>NƠ (BẢN 5CM, DÀI TỪ 30 TỚI 45CM, MÀU ĐỎ)</t>
  </si>
  <si>
    <t>V51.00A.060</t>
  </si>
  <si>
    <t>STICKER WITH SIMPLY/NEPTUNE LOGO</t>
  </si>
  <si>
    <t>STICKER DÁN CÓ LOGO CÔNG TY SIMPLY/NEPTUNE</t>
  </si>
  <si>
    <t>V58.00A.001</t>
  </si>
  <si>
    <t>DOUBLE-SIDED FOAM TAPE (2.4CM)</t>
  </si>
  <si>
    <t>BĂNG KEO XỐP 2 MẶT BẢN 2.4CM</t>
  </si>
  <si>
    <t>V58.00A.002</t>
  </si>
  <si>
    <t>TRANSPARENT TAPE (2-2.5CM)</t>
  </si>
  <si>
    <t>BĂNG KEO TRONG BẢN 2-2.5CM</t>
  </si>
  <si>
    <t>7.52399045005J6</t>
  </si>
  <si>
    <t>BROWN COMPASS 333 CONG TUYEN 25KG</t>
  </si>
  <si>
    <t>7.52399045005J7</t>
  </si>
  <si>
    <t>BROWN COMPASS 333 BIM BIM 25KG</t>
  </si>
  <si>
    <t>7.B25089499030105</t>
  </si>
  <si>
    <t>ORCHID PORK BOUILLON GRANULE 5KG X 3 PAC/CAR</t>
  </si>
  <si>
    <t>HẠT NÊM ORCHID VỊ HEO 5KG X 3 TÚI/ THÙNG</t>
  </si>
  <si>
    <t>7.B2508949903010501</t>
  </si>
  <si>
    <t>7.B25089499040105</t>
  </si>
  <si>
    <t>ORCHID PORK BOUILLON GRANULE 10KG X 2 PAC/BAG</t>
  </si>
  <si>
    <t>HẠT NÊM ORCHID VỊ HEO 10KG  X 2 TÚI/ BAO</t>
  </si>
  <si>
    <t>7.B2508949904010501</t>
  </si>
  <si>
    <t>ORCHID PORK BOUILLON GRANULE 5KG</t>
  </si>
  <si>
    <t>HẠT NÊM ORCHID VỊ HEO 5KG</t>
  </si>
  <si>
    <t>ORCHID PORK BOUILLON GRANULE 10KG</t>
  </si>
  <si>
    <t>HẠT NÊM ORCHID VỊ HEO 10KG</t>
  </si>
  <si>
    <t>V51.000.146</t>
  </si>
  <si>
    <t>DH FOODS BROCHURE A4</t>
  </si>
  <si>
    <t>TỜ RƠI GIỚI THIỆU DH FOODS A4</t>
  </si>
  <si>
    <t>V51.000.147</t>
  </si>
  <si>
    <t>DH FOODS BROCHURE A5</t>
  </si>
  <si>
    <t>TỜ RƠI GIỚI THIỆU DH FOODS A5</t>
  </si>
  <si>
    <t>V51.000.148</t>
  </si>
  <si>
    <t>VINATEA BROCHURE, SIZE A4</t>
  </si>
  <si>
    <t>TỜ THÔNG TIN TRÀ VINATEA, KHỔ A4</t>
  </si>
  <si>
    <t>V51.000.149</t>
  </si>
  <si>
    <t>VINATEA LEAFLET, SIZE A5</t>
  </si>
  <si>
    <t>TỜ RƠI THÔNG TIN TRÀ VINATEA, KHỔ A5</t>
  </si>
  <si>
    <t>V51.000.150</t>
  </si>
  <si>
    <t>TWINKLE TEA BROCHURE, SIZE A4</t>
  </si>
  <si>
    <t>TỜ THÔNG TIN TRÀ TWINKLE, KHỔ A4</t>
  </si>
  <si>
    <t>V51.000.151</t>
  </si>
  <si>
    <t>TWINKLE TEA LEAFLET, SIZE A5</t>
  </si>
  <si>
    <t>TỜ RƠI THÔNG TIN TRÀ TWINKLE, KHỔ A5</t>
  </si>
  <si>
    <t>7.92511B699B0018901</t>
  </si>
  <si>
    <t>TAY NINH SHRIMP SALT 110G</t>
  </si>
  <si>
    <t>MUỐI TÔM TÂY NINH 110G</t>
  </si>
  <si>
    <t>7.92512B699C30190</t>
  </si>
  <si>
    <t>LIME LEAF PEPPER SALT 120G X 24 PCS IN CARTON</t>
  </si>
  <si>
    <t>MUỐI TIÊU LÁ CHANH 120G X 24 HŨ ĐÓNG TRONG THÙNG CARTON</t>
  </si>
  <si>
    <t>7.92512B699C3019001</t>
  </si>
  <si>
    <t>LIME LEAF PEPPER SALT 120G</t>
  </si>
  <si>
    <t>MUỐI TIÊU LÁ CHANH 120G</t>
  </si>
  <si>
    <t>7.92413B69932019101</t>
  </si>
  <si>
    <t>NHA TRANG LIME GREEN - CHILI SAUCE 200G</t>
  </si>
  <si>
    <t>MUỐI ỚT CHANH NHA TRANG 200G</t>
  </si>
  <si>
    <t>7.92414B699320199</t>
  </si>
  <si>
    <t>BBQ MARINATING SAUCE 200G X 24 PCS IN CARTON</t>
  </si>
  <si>
    <t>SỐT ƯỚP THỊT BBQ 200G X 24 CHAI ĐÓNG TRONG THÙNG CARTON</t>
  </si>
  <si>
    <t>7.92414B69932019901</t>
  </si>
  <si>
    <t>BBQ MARINATING SAUCE 200G</t>
  </si>
  <si>
    <t>SỐT ƯỚP THỊT BBQ 200G</t>
  </si>
  <si>
    <t>7.92515B699C40192</t>
  </si>
  <si>
    <t>NATURAL HA NOI BEEF PHO SPICE 24G X 48 PCS IN CARTON</t>
  </si>
  <si>
    <t>NATURAL GIA VỊ NẤU PHỞ BÒ HÀ NỘI 24G X 48 GÓI ĐÓNG TRONG THÙNG CARTON</t>
  </si>
  <si>
    <t>7.92515B699C4019201</t>
  </si>
  <si>
    <t>NATURAL HA NOI BEEF PHO SPICE 24G</t>
  </si>
  <si>
    <t xml:space="preserve">NATURAL GIA VỊ NẤU PHỞ BÒ HÀ NỘI 24G </t>
  </si>
  <si>
    <t>7.92516B699C50199</t>
  </si>
  <si>
    <t>NATURAL BUN BO HUE SPICE 25G X 48 PCS IN CARTON</t>
  </si>
  <si>
    <t>NATURAL GIA VỊ NẤU BÚN BÒ HUẾ 25G X 48 GÓI ĐÓNG TRONG THÙNG CARTON</t>
  </si>
  <si>
    <t>7.92516B699C5019901</t>
  </si>
  <si>
    <t>NATURAL BUN BO HUE SPICE 25G</t>
  </si>
  <si>
    <t>NATURAL GIA VỊ NẤU BÚN BÒ HUẾ 25G</t>
  </si>
  <si>
    <t>7.92517B699C60193</t>
  </si>
  <si>
    <t>NATURAL PHU QUOC WHOLE WHITE PEPPERCORN CERAMIC GRINDER 45G X 24 PCS IN CARTON</t>
  </si>
  <si>
    <t>NATURAL TIÊU SỌ HẠT PHÚ QUỐC - CỐI XAY TIÊU CERAMIC 45G X 24 HŨ ĐÓNG TRONG THÙNG CARTON</t>
  </si>
  <si>
    <t>7.92517B699C6019301</t>
  </si>
  <si>
    <t>NATURAL PHU QUOC WHOLE WHITE PEPPERCORN CERAMIC GRINDER 45G</t>
  </si>
  <si>
    <t>NATURAL TIÊU SỌ HẠT PHÚ QUỐC - CỐI XAY TIÊU CERAMIC 45G</t>
  </si>
  <si>
    <t>7.92517B699020194</t>
  </si>
  <si>
    <t>NATURAL WHOLE BLACK PEPPERCORN 1KG X 6 PCS IN CARTON</t>
  </si>
  <si>
    <t>NATURAL TIÊU ĐEN HẠT 1KG X 6 GÓI ĐÓNG TRONG THÙNG CARTON</t>
  </si>
  <si>
    <t>7.92517B69902019401</t>
  </si>
  <si>
    <t>NATURAL WHOLE BLACK PEPPERCORN 1KG</t>
  </si>
  <si>
    <t>NATURAL TIÊU ĐEN HẠT 1KG</t>
  </si>
  <si>
    <t>7.92518B699020195</t>
  </si>
  <si>
    <t>NATURAL GROUND BLACK PEPPER 1KG X 6 PCS IN CARTON</t>
  </si>
  <si>
    <t>NATURAL TIÊU ĐEN XAY 1KG X 6 GÓI ĐÓNG TRONG THÙNG CARTON</t>
  </si>
  <si>
    <t>7.92518B69902019501</t>
  </si>
  <si>
    <t>NATURAL GROUND BLACK PEPPER 1KG</t>
  </si>
  <si>
    <t>NATURAL TIÊU ĐEN XAY 1KG</t>
  </si>
  <si>
    <t>V51.600.236</t>
  </si>
  <si>
    <t>RATTAN PLASTIC HAMPER (30*20CM)</t>
  </si>
  <si>
    <t>GIỎ NHỰA GIẢ MÂY</t>
  </si>
  <si>
    <t>V51.600.237</t>
  </si>
  <si>
    <t>GIẤY BÓNG KIẾNG</t>
  </si>
  <si>
    <t>V51.600.238</t>
  </si>
  <si>
    <t>BOW TIE (5CM*30CM-45CM, RED)</t>
  </si>
  <si>
    <t>NƠ TO</t>
  </si>
  <si>
    <t>V51.600.239</t>
  </si>
  <si>
    <t>STICKER DÁN CÓ LOGO CÔNG TY</t>
  </si>
  <si>
    <t>V51.600.240</t>
  </si>
  <si>
    <t>BĂNG KEO XỐP 2 MAT855 BẢN 2.4CM</t>
  </si>
  <si>
    <t>V51.600.241</t>
  </si>
  <si>
    <t>7.B24072399B8011601TD</t>
  </si>
  <si>
    <t>7.A33021499040118</t>
  </si>
  <si>
    <t>RED COMPASS MACARONI – SPIRAL 10KG</t>
  </si>
  <si>
    <t>NUI LA BÀN ĐỎ - HÌNH XOẮN 10KG</t>
  </si>
  <si>
    <t>7.A33021499040119</t>
  </si>
  <si>
    <t>RED COMPASS MACARONI – ELBOW 10KG</t>
  </si>
  <si>
    <t>7.A31990899020117</t>
  </si>
  <si>
    <t>MEIZAN SEASONED CHICKEN FRIED COATING MIX 1KG X 10 PACKS</t>
  </si>
  <si>
    <t>BỘT GÀ RÁN CÓ GIA VỊ MEIZAN 1KG X 10 GÓI</t>
  </si>
  <si>
    <t>7.A31990899040117</t>
  </si>
  <si>
    <t>MEIZAN SEASONED CHICKEN FRIED COATING MIX 10KG</t>
  </si>
  <si>
    <t>BỘT GÀ RÁN CÓ GIA VỊ MEIZAN 10KG</t>
  </si>
  <si>
    <t>7.A3199089902011701</t>
  </si>
  <si>
    <t>MEIZAN SEASONED CHICKEN FRIED COATING MIX 1KG</t>
  </si>
  <si>
    <t>BỘT GÀ RÁN CÓ GIA VỊ MEIZAN 1KG</t>
  </si>
  <si>
    <t>7.B24072399730116TD</t>
  </si>
  <si>
    <t>V39.000.064</t>
  </si>
  <si>
    <t>VINATEA T-SHIRT</t>
  </si>
  <si>
    <t>ÁO THUN TRÀ VINATEA</t>
  </si>
  <si>
    <t>V39.000.065</t>
  </si>
  <si>
    <t>TWINKLE TEA T-SHIRT</t>
  </si>
  <si>
    <t>ÁO THUN TRÀ TWINKLE</t>
  </si>
  <si>
    <t>V51.000.152</t>
  </si>
  <si>
    <t>TWINKLE TEA SAMPLE PACK</t>
  </si>
  <si>
    <t>TÚI ĐỰNG SẢN PHẨM MẪU TRÀ TWINKLE</t>
  </si>
  <si>
    <t>7.52399049906E4</t>
  </si>
  <si>
    <t>BROWN COMPASS - HL 40KG</t>
  </si>
  <si>
    <t>V51.00A.061</t>
  </si>
  <si>
    <t>CO-ORCHID S  BTL@5L</t>
  </si>
  <si>
    <t>CO-ORCHID S  BTL@2L</t>
  </si>
  <si>
    <t>V51.053.005</t>
  </si>
  <si>
    <t>7.E38017899A4A096</t>
  </si>
  <si>
    <t>MEADOW FRESH WALKING COW FULL CREAM UHT MILK 4% 250MLX24</t>
  </si>
  <si>
    <t>SỮA TIỆT TRÙNG NGUYÊN KEM HIỆU MEADOW FRESH WALKING COW; ĐÓNG GÓI 250ML X24 HỘP</t>
  </si>
  <si>
    <t>7.E38017899A4A097</t>
  </si>
  <si>
    <t>MEADOW FRESH ELIXIR FULL CREAM CN UHT MILK 250MLX24</t>
  </si>
  <si>
    <t>SỮA TIỆT TRÙNG NGUYÊN KEM HIỆU MEADOW FRESH ELIXIR, ĐÓNG GÓI 250ML X24 HỘP</t>
  </si>
  <si>
    <t>7.E3801789913A098</t>
  </si>
  <si>
    <t>MEADOW FRESH GOLDEN WALKING COW NO DHA SAM 200MLX30</t>
  </si>
  <si>
    <t>SỮA TIỆT TRÙNG NGUYÊN KEM KHÔNG CHỨA DHA HIỆU MEADOW FRESH GOLDEN WALKING COW, ĐÓNG GÓI 200ML X30 HỘP</t>
  </si>
  <si>
    <t>7.E38017899A4A099</t>
  </si>
  <si>
    <t>MEADOW FRESH LOW FAT HI CAL 4G PROTEIN UHT MILK CN 250MLX24</t>
  </si>
  <si>
    <t>SỮA TIỆT TRÙNG ÍT BÉO, GIÀU CANXI VÀ PROTEIN HIỆU MEADOW FRESH, ĐÓNG GÓI 250ML X24 HỘP</t>
  </si>
  <si>
    <t>7.705D0</t>
  </si>
  <si>
    <t>HRPS - REFINED HYDROGENATED PALM STEARIN IN BAG 2.5KG</t>
  </si>
  <si>
    <t>DẦU THỰC VẬT LÀM TỪ QUẢ CỌ DẦU, ĐÃ QUA HYDRO HÓA, DẠNG HẠT ĐÓNG TRONG BAO 2.5KG</t>
  </si>
  <si>
    <t>7.5239908990201TD</t>
  </si>
  <si>
    <t>MEIZAN PREMIUM ALL-PURPOSE FLOUR 1KG</t>
  </si>
  <si>
    <t>BỘT MÌ ĐA DỤNG CAO CẤP HIỆU MEIZAN 1KG</t>
  </si>
  <si>
    <t>7.A31990899080101TD</t>
  </si>
  <si>
    <t>CRISPY DOUGH "MEIZAN" 150GR</t>
  </si>
  <si>
    <t>7.B2508089933010501TD</t>
  </si>
  <si>
    <t>MEIZAN SEASONING SEEDS MEAT, BONES, MARROW, CARROT - PORK FLAVOR 400G</t>
  </si>
  <si>
    <t>HẠT NÊM MEIZAN THỊT, XƯƠNG ỐNG, TỦY, CÀ RỐT - VỊ HEO  400G</t>
  </si>
  <si>
    <t>7.B2403239986019901TD</t>
  </si>
  <si>
    <t>NAM DUONG OYSTER OIL 270G</t>
  </si>
  <si>
    <t>DẦU HÀO NAM DƯƠNG 270G</t>
  </si>
  <si>
    <t>7.B2508542442010601TD</t>
  </si>
  <si>
    <t>MUSHROOM BOUILLON GRANULE 380G (LNS)</t>
  </si>
  <si>
    <t>7.B24106399A0014801TD</t>
  </si>
  <si>
    <t>MAYONNAISE (DIP AND MIX WELL) 230G</t>
  </si>
  <si>
    <t>XỐT MAYONNAISE (CHẤM VÀ TRỘN ĐỀU NGON) 230G</t>
  </si>
  <si>
    <t>V51.000.153</t>
  </si>
  <si>
    <t>MEIZAN WAXED STICKY RICE 1KG</t>
  </si>
  <si>
    <t>MEIZAN NẾP SÁP 1KG</t>
  </si>
  <si>
    <t>V51.000.154</t>
  </si>
  <si>
    <t>SPECIALTY FRAGRANT RICE ST25 NEPTUNE 1KG</t>
  </si>
  <si>
    <t>GẠO THƠM ĐẶC SẢN ST25 NEPTUNE 1KG</t>
  </si>
  <si>
    <t>7.B2401239939921301TD</t>
  </si>
  <si>
    <t>FOOD SUPPLEMENTARY NAM DUONG SOYDY FULL 280ML</t>
  </si>
  <si>
    <t>7.13101003170003TD</t>
  </si>
  <si>
    <t>CAI LAN REFINED VEGETABLE OIL 1L</t>
  </si>
  <si>
    <t>DẦU THỰC VẬT TINH LUYỆN HIỆU CÁI LÂN 1L</t>
  </si>
  <si>
    <t>7.7075839428170000TD</t>
  </si>
  <si>
    <t>DISHWASHING LIQUID POWER100 LEMON FLAVOR 1.5KG</t>
  </si>
  <si>
    <t>NƯỚC RỬA CHÉN POWER100 HƯƠNG CHANH LOẠI 1.5KG</t>
  </si>
  <si>
    <t>7.131087061700H10TD</t>
  </si>
  <si>
    <t>V51.000.155</t>
  </si>
  <si>
    <t>CRYSTAL TROPHY WITH WILMAR LOGO IN 24K GOLD (1 TAEL)</t>
  </si>
  <si>
    <t>KỶ NIỆM CHƯƠNG PHA LÊ KÈM LOGO WILMAR BẰNG VÀNG 24K (1 LƯỢNG)</t>
  </si>
  <si>
    <t>V51.000.156</t>
  </si>
  <si>
    <t>CRYSTAL TROPHY WITH WILMAR LOGO IN 24K GOLD (2 MACE)</t>
  </si>
  <si>
    <t>KỶ NIỆM CHƯƠNG PHA LÊ KÈM LOGO WILMAR BẰNG VÀNG 24K (2 CHỈ)</t>
  </si>
  <si>
    <t>7.705D1</t>
  </si>
  <si>
    <t>MIXED SOAP POWDER IN BAG 1KG</t>
  </si>
  <si>
    <t>MIXED SOAP POWDER- PHÔI XÀ PHÒNG, NGUYÊN LIỆU SẢN XUẤT SẢN PHẨM CHĂM SÓC CÁ NHÂN ĐÓNG TRONG BAO 1KG</t>
  </si>
  <si>
    <t>7.705D2</t>
  </si>
  <si>
    <t>SOAP NOODLES 80-20 (WILFARIN SN-8020) IN BAG 1KG</t>
  </si>
  <si>
    <t>PHÔI XÀ PHÒNG - NGUYÊN LIỆU SX SP CHĂM SÓC CÁ NHÂN ĐÓNG TRONG BAO 1KG</t>
  </si>
  <si>
    <t>7.705D3</t>
  </si>
  <si>
    <t>LAURIC ACID 99% (WILFARIN LA-1299) IN BAG 1KG</t>
  </si>
  <si>
    <t>AXIT LAURIC 99% - NGUYÊN LIỆU SẢN XUẤT NƯỚC RỬA TAY ĐÓNG TRONG BAO 1KG</t>
  </si>
  <si>
    <t>7.705D4</t>
  </si>
  <si>
    <t>MYRISTIC ACID 99% (WILFARIN MA-1499) IN BAG 1KG</t>
  </si>
  <si>
    <t>AXIT MYRISTIC 99% NGUYÊN LIỆU SX SP CHĂM SÓC CÁ NHÂN ĐÓNG TRONG BAO 1KG</t>
  </si>
  <si>
    <t>7.705D5</t>
  </si>
  <si>
    <t>FATTY ALCOHOL 1698 (FAL-1698) IN BAG 1KG</t>
  </si>
  <si>
    <t>HỢP CHẤT FATTY ALCOHOL 1698 - NGUYÊN LIỆU SX SP CHĂM SÓC CÁ NHÂN ĐÓNG TRONG BAO 1KG</t>
  </si>
  <si>
    <t>7.705D6</t>
  </si>
  <si>
    <t>FATTY ALCOHOL 1618 (FAL-1618) IN BAG 1KG</t>
  </si>
  <si>
    <t>HỢP CHẤT FATTY ALCOHOL 1618 - NGUYÊN LIỆU SX SP CHĂM SÓC TÓC ĐÓNG TRONG BAO 1KG</t>
  </si>
  <si>
    <t>V51.00A.062</t>
  </si>
  <si>
    <t>TET GIFT BASKET</t>
  </si>
  <si>
    <t>GIỎ QUÀ TẾT</t>
  </si>
  <si>
    <t>6.1213059</t>
  </si>
  <si>
    <t>REFINED PALM STEARIN /RSPO MB</t>
  </si>
  <si>
    <t>7.52399799906J8</t>
  </si>
  <si>
    <t>RED SATELLITE - MDLZ 40KG</t>
  </si>
  <si>
    <t>BỘT MÌ HIỆU VỆ TINH ĐỎ 40KG  (BOT MI HARD - FORTIFICATION</t>
  </si>
  <si>
    <t>7.52399149906J9</t>
  </si>
  <si>
    <t>RED COMPASS - MDLZ 40KG (NON FE&amp;ZN)</t>
  </si>
  <si>
    <t>BỘT MÌ HIỆU LA BÀN ĐỎ 40KG (BOT MI MEDIUM - NON FORTIFICATION)</t>
  </si>
  <si>
    <t>7.52399A79906J8</t>
  </si>
  <si>
    <t>FLOUR 28 - MDLZ 40KG</t>
  </si>
  <si>
    <t>BỘT MÌ 28 40KG (BOT MI MEDIUM)</t>
  </si>
  <si>
    <t>V39.000.066</t>
  </si>
  <si>
    <t>WILMAR'S SHORT-SLEEVED T-SHIRT (FEMALE)</t>
  </si>
  <si>
    <t>ÁO THUN WILMAR NGẮN TAY (ÁO NỮ)</t>
  </si>
  <si>
    <t>7.131087061703H10TD</t>
  </si>
  <si>
    <t>V51.000.157</t>
  </si>
  <si>
    <t>CANVAS BAG</t>
  </si>
  <si>
    <t>TÚI VẢI ĐỰNG QUÀ</t>
  </si>
  <si>
    <t>V39.000.067</t>
  </si>
  <si>
    <t>RED POLO T-SHIRT</t>
  </si>
  <si>
    <t>ÁO THUN MÀU ĐỎ</t>
  </si>
  <si>
    <t>7.707658N428170000</t>
  </si>
  <si>
    <t>POWER100 GREEN DWL GRAPEFRUIT BTL@3.6KG</t>
  </si>
  <si>
    <t>NƯỚC RỬA CHÉN POWER100 GREEN TINH DẦU BƯỞI TÂY 3.6KG</t>
  </si>
  <si>
    <t>7.707658N42817000H</t>
  </si>
  <si>
    <t>POWER100 GREEN DWL GRAPEFRUIT 3.6KG*4BTL</t>
  </si>
  <si>
    <t>NƯỚC RỬA CHÉN POWER100 GREEN TINH DẦU BƯỞI TÂY 3.6KG*4</t>
  </si>
  <si>
    <t>7.707658E928170000</t>
  </si>
  <si>
    <t>POWER100 GREEN DWL GRAPEFRUIT BTL@750G</t>
  </si>
  <si>
    <t>NƯỚC RỬA CHÉN POWER100 GREEN TINH DẦU BƯỞI TÂY 750G</t>
  </si>
  <si>
    <t>7.707658E92817000N</t>
  </si>
  <si>
    <t>POWER100 GREEN DWL GRAPEFRUIT 750G*16BTL</t>
  </si>
  <si>
    <t>NƯỚC RỬA CHÉN POWER100 GREEN TINH DẦU BƯỞI TÂY 750G*16</t>
  </si>
  <si>
    <t>7.705D7</t>
  </si>
  <si>
    <t>WILMAX 5100- HYDROGENATED SHEA OLEIN IN BAG 10KG</t>
  </si>
  <si>
    <t>WILMAX 5100- HYDROGENATED SHEA OLEIN (DẦU OLEIN HẠT MỠ ĐÃ HYDRO HÓA) ĐÓNG TRONG BAO 10KG</t>
  </si>
  <si>
    <t>7.705D8</t>
  </si>
  <si>
    <t>WILMAX 4700- HYDROGENATED SHEA OLEIN IN BAG 10KG</t>
  </si>
  <si>
    <t>WILMAX 4700- HYDROGENATED SHEA OLEIN (DẦU OLEIN HẠT MỠ ĐÃ HYDRO HÓA) ĐÓNG TRONG BAO 10KG</t>
  </si>
  <si>
    <t>7.705D9</t>
  </si>
  <si>
    <t>OLEIC ACID 7075 IN BAG 500GR</t>
  </si>
  <si>
    <t>AXIT OLEIC 7075 DÙNG TRONG SẢN XUẤT KEO, CAO SU ĐÓNG TRONG BAO 500GR</t>
  </si>
  <si>
    <t>7.705E0</t>
  </si>
  <si>
    <t>FATTY ALCOHOL 1898 (FAL-1898) IN BAG  1KG</t>
  </si>
  <si>
    <t>FATTY ALCOHOL 1898 (FAL-1898) - CỒN BÉO CÔNG NGHIỆP ĐÓNG TRONG BAO 1KG</t>
  </si>
  <si>
    <t>7.B24032399C70199</t>
  </si>
  <si>
    <t>HORECA OYSTER SAUCE 2.3KG X 6 BOT/CAR</t>
  </si>
  <si>
    <t>DẦU HÀO HORECA 2.3 KG X 6 CHAI/THÙNG</t>
  </si>
  <si>
    <t>7.B24032399C7019901</t>
  </si>
  <si>
    <t>HORECA OYSTER SAUCE 2.3KG</t>
  </si>
  <si>
    <t>DẦU HÀO HORECA 2.3 KG</t>
  </si>
  <si>
    <t>V51.041.017</t>
  </si>
  <si>
    <t>NEPTUNE PREMIUM RICE 2KG</t>
  </si>
  <si>
    <t>NEPTUNE GẠO THƠM THƯỢNG HẠNG 2 KG</t>
  </si>
  <si>
    <t>7.52399149905E6</t>
  </si>
  <si>
    <t>RED COMPASS - KHV 25KG</t>
  </si>
  <si>
    <t>7.92419B799C801A0</t>
  </si>
  <si>
    <t>ANCHOVY FISH SAUCE 40°N GLASS BOTTLES 510ML X 12 BOT IN CARTON</t>
  </si>
  <si>
    <t>NƯỚC MẮM NHỈ CÁ CƠM 40° ĐẠM CHAI THỦY TINH 510ML X 12 CHAI ĐÓNG TRONG THÙNG CARTON</t>
  </si>
  <si>
    <t>7.92419B799C801A001</t>
  </si>
  <si>
    <t>ANCHOVY FISH SAUCE 40°N GLASS BOTTLES 510ML</t>
  </si>
  <si>
    <t>NƯỚC MẮM NHỈ CÁ CƠM 40° ĐẠM CHAI THỦY TINH 510ML</t>
  </si>
  <si>
    <t>7.92419B799C801A1</t>
  </si>
  <si>
    <t>ANCHOVY FISH SAUCE 35°N GLASS BOTTLES 510ML X 12 BOT IN CARTON</t>
  </si>
  <si>
    <t>NƯỚC MẮM NHỈ CÁ CƠM 35° ĐẠM CHAI THỦY TINH 510ML X 12 CHAI ĐÓNG TRONG THÙNG CARTON</t>
  </si>
  <si>
    <t>7.92419B799C801A101</t>
  </si>
  <si>
    <t>ANCHOVY FISH SAUCE 35°N GLASS BOTTLES 510ML</t>
  </si>
  <si>
    <t>NƯỚC MẮM NHỈ CÁ CƠM 35° ĐẠM CHAI THỦY TINH 510ML</t>
  </si>
  <si>
    <t>7.92419B799C801A2</t>
  </si>
  <si>
    <t>ANCHOVY FISH SAUCE 25°N GLASS BOTTLES 510ML X 15 BOT IN CARTON</t>
  </si>
  <si>
    <t>NƯỚC MẮM NHỈ CÁ CƠM 25° ĐẠM CHAI THỦY TINH 510ML X 15 CHAI ĐÓNG TRONG THÙNG CARTON</t>
  </si>
  <si>
    <t>7.92419B799C801A201</t>
  </si>
  <si>
    <t>ANCHOVY FISH SAUCE 25°N GLASS BOTTLES 510ML</t>
  </si>
  <si>
    <t>NƯỚC MẮM NHỈ CÁ CƠM 25° ĐẠM CHAI THỦY TINH 510ML</t>
  </si>
  <si>
    <t>7.92419B799C901A201</t>
  </si>
  <si>
    <t>ANCHOVY FISH SAUCE 25°N PLASTIC BOTTLES 2 LITRE</t>
  </si>
  <si>
    <t>NƯỚC MẮM NHỈ CÁ CƠM 25° ĐẠM CHAI PET 2L</t>
  </si>
  <si>
    <t>7.92419B799D001A301</t>
  </si>
  <si>
    <t>ANCHOVY FISH SAUCE 12°N PLASTIC BOTTLES 5 LITRE</t>
  </si>
  <si>
    <t>NƯỚC MẮM CÁ CƠM 12° ĐẠM CHAI PET 5L</t>
  </si>
  <si>
    <t>V51.00A.063</t>
  </si>
  <si>
    <t>HANGING PLASTIC ROPE</t>
  </si>
  <si>
    <t>DÂY NHỰA TREO</t>
  </si>
  <si>
    <t>V51.000.158</t>
  </si>
  <si>
    <t>584 NHA TRANG BROCHURE A4</t>
  </si>
  <si>
    <t>TỜ RƠI GIỚI THIỆU 584 NHA TRANG A4</t>
  </si>
  <si>
    <t>V51.000.159</t>
  </si>
  <si>
    <t>584 NHA TRANG BROCHURE A5</t>
  </si>
  <si>
    <t>TỜ RƠI GIỚI THIỆU 584 NHA TRANG A5</t>
  </si>
  <si>
    <t>V51.000.160</t>
  </si>
  <si>
    <t>ELECTROMAGNETIC STOVE- ELECTROLUX ETD29MKB</t>
  </si>
  <si>
    <t>BẾP ĐIỆN TỪ ELECTROLUX ETD29MKB</t>
  </si>
  <si>
    <t>V51.000.161</t>
  </si>
  <si>
    <t>BLENDER - PHILIPS HR2041/50</t>
  </si>
  <si>
    <t>MÁY XAY SINH TỐ PHILIPS HR2041/50</t>
  </si>
  <si>
    <t>V51.000.162</t>
  </si>
  <si>
    <t>FAN - TOSHIBA F-LSA20(H)VN</t>
  </si>
  <si>
    <t>QUẠT ĐỨNG TOSHIBA F-LSA20(H)VN</t>
  </si>
  <si>
    <t>V51.000.163</t>
  </si>
  <si>
    <t>KETTLE - TOSHIBA KT-17DR1NV</t>
  </si>
  <si>
    <t>BÌNH ĐUN SIÊU TỐC TOSHIBA KT-17DR1NV</t>
  </si>
  <si>
    <t>V51.000.164</t>
  </si>
  <si>
    <t>JUICER - PANASONIC MJ68MWRA</t>
  </si>
  <si>
    <t>ÉP TRÁI CÂY PANASONIC MJ68MWRA</t>
  </si>
  <si>
    <t>V51.000.165</t>
  </si>
  <si>
    <t>CUCKOO - CRP-G1015M/MWREVNCV - RED - VOLUME 1.8L</t>
  </si>
  <si>
    <t>NỒI CUCKOO MÃ CRP-G1015M/MWREVNCV MÀU ĐỎ DUNG TÍCH 1.8L</t>
  </si>
  <si>
    <t>7.705E1</t>
  </si>
  <si>
    <t>FATTY ALCOHOL ETHOXYLATE 9 MOL IN IBC TANK 1000KG</t>
  </si>
  <si>
    <t>CHẤT HOẠT ĐỘNG BỀ MẶT AEO-9 MOL ĐÓNG TRONG IBC TANK 1000KG</t>
  </si>
  <si>
    <t>7.5239902993001</t>
  </si>
  <si>
    <t>SAMPLE BLUE KEY NOODLE 3KG</t>
  </si>
  <si>
    <t>BỘT MÌ HIỆU CHÌA KHÓA XANH MÌ SỢI 3KG</t>
  </si>
  <si>
    <t>7.52399089902K0</t>
  </si>
  <si>
    <t>MEIZAN NOODLE-DUMPLING 1KG</t>
  </si>
  <si>
    <t>BỘT MÌ CAO CẤP HIỆU MEIZAN MÌ SỢI - BÁNH BAO 1KG (1KG*10 GÓI/THÙNG)</t>
  </si>
  <si>
    <t>7.52399089902K001</t>
  </si>
  <si>
    <t>MEIZAN NOODLE-DUMPLING 1KG (PAC)</t>
  </si>
  <si>
    <t>BỘT MÌ CAO CẤP HIỆU MEIZAN MÌ SỢI - BÁNH BAO 1KG (GÓI)</t>
  </si>
  <si>
    <t>7.5239914990693</t>
  </si>
  <si>
    <t>RED COMPASS - VIFON 40KG</t>
  </si>
  <si>
    <t>7.1061590336708010</t>
  </si>
  <si>
    <t>SATELLITEGREEN SHT48-52PEBAG@25KG/RSPOMB</t>
  </si>
  <si>
    <t>SHORTENING NHÃN HIỆU SATELLITE (RSPO/MB)(NHÃN MÀU XANH LÁ)</t>
  </si>
  <si>
    <t>V51.600.244</t>
  </si>
  <si>
    <t>DANGLER MEIZAN GOLD</t>
  </si>
  <si>
    <t>TẤM TREO TRẦN MEIZAN GOLD</t>
  </si>
  <si>
    <t>V51.600.245</t>
  </si>
  <si>
    <t>HANGER MEIZAN GOLD</t>
  </si>
  <si>
    <t>KHUNG TRƯNG BÀY MEIZAN GOLD</t>
  </si>
  <si>
    <t>7.52399049905B9</t>
  </si>
  <si>
    <t>BROWN COMPASS - AFI 25KG</t>
  </si>
  <si>
    <t>V51.600.242</t>
  </si>
  <si>
    <t>DISPLAY SHELF MEIZAN GOLD (SMALL)</t>
  </si>
  <si>
    <t>KỆ SẮT NHỎ TRƯNG BÀY MEIZAN GOLD</t>
  </si>
  <si>
    <t>V51.600.243</t>
  </si>
  <si>
    <t>DISPLAY SHELF MEIZAN GOLD (LARGE)</t>
  </si>
  <si>
    <t>KỆ SẮT LỚN TRƯNG BÀY MEIZAN GOLD</t>
  </si>
  <si>
    <t>V51.600.246</t>
  </si>
  <si>
    <t>RAINCOAT MEIZAN GOLD</t>
  </si>
  <si>
    <t>ÁO MƯA MEIZAN GOLD</t>
  </si>
  <si>
    <t>V51.600.247</t>
  </si>
  <si>
    <t>TARPAULIN AWNING MEIZAN GOLD</t>
  </si>
  <si>
    <t>BẠT MÁI HIÊN MEIZAN GOLD</t>
  </si>
  <si>
    <t>7.B24012399360102</t>
  </si>
  <si>
    <t>HUONG NAM SOY SAUCE 1.96L X 6 BOT/ CAR</t>
  </si>
  <si>
    <t>NƯỚC CHẤM HƯƠNG NẤM 1.96L X 6 CHAI/THÙNG</t>
  </si>
  <si>
    <t>7.B2401239936010201</t>
  </si>
  <si>
    <t>HUONG NAM SOY SAUCE 1.96L</t>
  </si>
  <si>
    <t>NƯỚC CHẤM HƯƠNG NẤM 1.96L</t>
  </si>
  <si>
    <t>7.705E2</t>
  </si>
  <si>
    <t>FATTY ALCOHOL ETHOXYLATE 9 MOL IN CARTON 6KG</t>
  </si>
  <si>
    <t>FATTY ALCOHOL ETHOXYLATE 9 MOL- CHẤT HỮU CƠ HOẠT ĐỘNG BỀ MẶT DẠNG KHÔNG PHÂN LY (NON-IONIC) AEO-9 MOL ĐÓNG TRONG THÙNG CARTON 6KG</t>
  </si>
  <si>
    <t>6.52399269900B5</t>
  </si>
  <si>
    <t>BLUE KEY PAU - NISSHIN -BULK</t>
  </si>
  <si>
    <t>BỘT MÌ HIỆU CKX BÁNH BAO BULK</t>
  </si>
  <si>
    <t>7.705E3</t>
  </si>
  <si>
    <t>POLYAMIDE RESIN YD 8115N IN BOTTLE 5KG</t>
  </si>
  <si>
    <t>POLYAMIDE RESIN YD 8115N ĐÓNG TRONG LỌ 5KG</t>
  </si>
  <si>
    <t>7.705E4</t>
  </si>
  <si>
    <t>POLYAMIDE RESIN YD 8115A IN BOTTLE 5KG</t>
  </si>
  <si>
    <t>POLYAMIDE RESIN YD 8115A ĐÓNG TRONG LỌ 5KG</t>
  </si>
  <si>
    <t>7.131077041704D30</t>
  </si>
  <si>
    <t>HAPPY PRICE COOKING OIL 2L X 6BTL</t>
  </si>
  <si>
    <t>DẦU ĂN HAPPY PRICE 2L</t>
  </si>
  <si>
    <t>7.131077591200D40</t>
  </si>
  <si>
    <t>HAPPY PRICE COOKING OIL 25 KG</t>
  </si>
  <si>
    <t>DẦU ĂN HAPPY PRICE 25KG</t>
  </si>
  <si>
    <t>7.131077570901D40</t>
  </si>
  <si>
    <t>HAPPY PRICE COOKING OIL 18 KG</t>
  </si>
  <si>
    <t>DẦU ĂN HAPPY PRICE 18KG</t>
  </si>
  <si>
    <t>7.G4001B499C1A099</t>
  </si>
  <si>
    <t>TWINKLE ENGLISH BREAKFAST TEA 1,8 G X 100 X 10 IN CARTON - SAMPLE</t>
  </si>
  <si>
    <t>TRÀ TWINKLE ENGLISH BREAKFAST 1,8 G X 100 X 10 TÚI ĐÓNG TRONG THÙNG CARTON</t>
  </si>
  <si>
    <t>7.G4001B499C1A09901</t>
  </si>
  <si>
    <t>TWINKLE ENGLISH BREAKFAST TEA 1,8 G X 100 - SAMPLE</t>
  </si>
  <si>
    <t>TRÀ TWINKLE ENGLISH BREAKFAST 1,8 G X 100</t>
  </si>
  <si>
    <t>7.G4001B499C0A081</t>
  </si>
  <si>
    <t>TWINKLE OOLONG TEA 1,5 G X 100 X 10 IN CARTON - SAMPLE</t>
  </si>
  <si>
    <t>TRÀ TWINKLE Ô LONG THƯỢNG HẠNG 1,5 G X 100 X 10 TÚI ĐÓNG TRONG THÙNG CARTON</t>
  </si>
  <si>
    <t>7.G4001B499C0A08101</t>
  </si>
  <si>
    <t>TWINKLE OOLONG TEA 1,5 G X 100 - SAMPLE</t>
  </si>
  <si>
    <t>TRÀ TWINKLE Ô LONG THƯỢNG HẠNG 1,5 G X 100</t>
  </si>
  <si>
    <t>7.G4001B499C0A082</t>
  </si>
  <si>
    <t>TWINKLE CHAMOMILE 1,5 G X 100 X 10 IN CARTON - SAMPLE</t>
  </si>
  <si>
    <t>TRÀ TWINKLE THẢO MỘC HOA CÚC 1,5 G X 100 X 10 TÚI ĐÓNG TRONG THÙNG CARTON</t>
  </si>
  <si>
    <t>7.G4001B499C0A08201</t>
  </si>
  <si>
    <t>TWINKLE CHAMOMILE 1,5 G X 100 - SAMPLE</t>
  </si>
  <si>
    <t>TRÀ TWINKLE THẢO MỘC HOA CÚC 1,5 G X 100</t>
  </si>
  <si>
    <t>7.G4001B499C1A083</t>
  </si>
  <si>
    <t>TWINKLE EARL GREY 1,8 G X 100 X 10 IN CARTON - SAMPLE</t>
  </si>
  <si>
    <t>7.G4001B499C1A08301</t>
  </si>
  <si>
    <t>TWINKLE EARL GREY 1,8 G X 100 - SAMPLE</t>
  </si>
  <si>
    <t>TRÀ TWINKLE EARL GREY 1,8 G X 100</t>
  </si>
  <si>
    <t>7.G4001B499C1A084</t>
  </si>
  <si>
    <t>TWINKLE PEACH 1,8 G X 100 X 10 IN CARTON - SAMPLE</t>
  </si>
  <si>
    <t>TRÀ TWINKLE HƯƠNG ĐÀO 1,8 G X 100 X 10 TÚI ĐÓNG TRONG THÙNG CARTON</t>
  </si>
  <si>
    <t>7.G4001B499C1A08401</t>
  </si>
  <si>
    <t>TWINKLE PEACH 1,8 G X 100 - SAMPLE</t>
  </si>
  <si>
    <t>TRÀ TWINKLE HƯƠNG ĐÀO 1,8 G X 100</t>
  </si>
  <si>
    <t>7.G4001B499C1A085</t>
  </si>
  <si>
    <t>TWINKLE GINGER 1,8 G X 100 X 10 IN CARTON - SAMPLE</t>
  </si>
  <si>
    <t>TRÀ TWINKLE HƯƠNG GỪNG 1,8 G X 100 X 10 TÚI ĐÓNG TRONG THÙNG CARTON</t>
  </si>
  <si>
    <t>7.G4001B499C1A08501</t>
  </si>
  <si>
    <t>TWINKLE GINGER 1,8 G X 100 - SAMPLE</t>
  </si>
  <si>
    <t>TRÀ TWINKLE HƯƠNG GỪNG 1,8 G X 100</t>
  </si>
  <si>
    <t>7.G4001B499C0A086</t>
  </si>
  <si>
    <t>TWINKLE JASMINE GREEN TEA 1,5 G X 100 X 10 IN CARTON - SAMPLE</t>
  </si>
  <si>
    <t>TRÀ XANH TWINKLE HOA NHÀI 1,5 G X 100 X 10 TÚI ĐÓNG TRONG THÙNG CARTON</t>
  </si>
  <si>
    <t>7.G4001B499C0A08601</t>
  </si>
  <si>
    <t>TWINKLE JASMINE GREEN TEA 1,5 G X 100 - SAMPLE</t>
  </si>
  <si>
    <t>TRÀ XANH TWINKLE HOA NHÀI 1,5 G X 100</t>
  </si>
  <si>
    <t>7.G4001B499C1A036</t>
  </si>
  <si>
    <t>TWINKLE STRAWBERRY 1,8 G X 100 X 10 IN CARTON - SAMPLE</t>
  </si>
  <si>
    <t>TRÀ TWINKLE HƯƠNG DÂU 1,8 G X 100 X 10 TÚI ĐÓNG TRONG THÙNG CARTON</t>
  </si>
  <si>
    <t>7.G4001B499C1A03601</t>
  </si>
  <si>
    <t>TWINKLE STRAWBERRY 1,8 G X 100 - SAMPLE</t>
  </si>
  <si>
    <t>TRÀ TWINKLE HƯƠNG DÂU 1,8 G X 100</t>
  </si>
  <si>
    <t>7.B24012399370104</t>
  </si>
  <si>
    <t>PREMIUM SOYA SAUCE 500ML X 24 BOT/ CAR</t>
  </si>
  <si>
    <t>7.B2401239937010401</t>
  </si>
  <si>
    <t>PREMIUM SOYA SAUCE 500ML</t>
  </si>
  <si>
    <t>NƯỚC TƯƠNG THƯỢNG HẠNG 500ML</t>
  </si>
  <si>
    <t>7.92511B699D1018901</t>
  </si>
  <si>
    <t>TAY NINH SHRIMP SALT 60G</t>
  </si>
  <si>
    <t>MUỐI TÔM TÂY NINH 60G</t>
  </si>
  <si>
    <t>7.92512B69943019001</t>
  </si>
  <si>
    <t>LIME LEAF PEPPER SALT 50G</t>
  </si>
  <si>
    <t>MUỐI TIÊU LÁ CHANH 50G</t>
  </si>
  <si>
    <t>V51.00A.064</t>
  </si>
  <si>
    <t>MEIZAN MACARONI WOBBLER</t>
  </si>
  <si>
    <t>CON LẮC QUẢNG CÁO NUI MEIZAN</t>
  </si>
  <si>
    <t>7.705E5</t>
  </si>
  <si>
    <t>GENAGEN CAB UQS IN BOTTLE 5KG</t>
  </si>
  <si>
    <t>GENAGEN CAB UQS CHẤT HOẠT ĐỘNG BỀ MẶT ĐÓNG TRONG LỌ 5KG</t>
  </si>
  <si>
    <t>7.705E6</t>
  </si>
  <si>
    <t>GENAGEN CAB LF IN BOTTLE 4KG</t>
  </si>
  <si>
    <t>GENAGEN CAB LF CHẤT HOẠT ĐỘNG BỀ MẶT ĐÓNG TRONG LỌ 4KG</t>
  </si>
  <si>
    <t>7.52399079906H0</t>
  </si>
  <si>
    <t>GREEN KEY - LIEN HUNG 40KG</t>
  </si>
  <si>
    <t>7.705E7</t>
  </si>
  <si>
    <t>SOAP NOODLES 8020 IN BAG 2KG</t>
  </si>
  <si>
    <t>SOAP NOODLES 8020 - PHÔI XÀ PHÒNG ĐÓNG TRONG BAO 2KG</t>
  </si>
  <si>
    <t>7.705E8</t>
  </si>
  <si>
    <t>SLES (SODIUM LAURYL ETHER SULFATE) IN JRG 9KG</t>
  </si>
  <si>
    <t>SLES (SODIUM LAURYL ETHER SULFATE)-CHẤT HOẠT ĐỘNG BỀ MẶT, DẠNG ANION ĐÓNG TRONG CAN 9KG</t>
  </si>
  <si>
    <t>7.705E9</t>
  </si>
  <si>
    <t>SLES (SODIUM LAURYL ETHER SULFATE) IN JRG 3KG</t>
  </si>
  <si>
    <t>SLES (SODIUM LAURYL ETHER SULFATE)-CHẤT HOẠT ĐỘNG BỀ MẶT, DẠNG ANION ĐÓNG TRONG CAN 3KG</t>
  </si>
  <si>
    <t>7.1071520518108010</t>
  </si>
  <si>
    <t>GFIG PUFFPASTRYMARG MED 46-50 PEBAG@10KG</t>
  </si>
  <si>
    <t>BƠ LÁ PUFF PASTRY MEDIUM 169484 GFIG TRONG THÙNG 10KG</t>
  </si>
  <si>
    <t>7.707662F628170000</t>
  </si>
  <si>
    <t>POWER100 DWL LEMON ESSENTIAL OIL BTL400G</t>
  </si>
  <si>
    <t>NƯỚC RỬA CHÉN POWER100 TINH DẦU CHANH 400G</t>
  </si>
  <si>
    <t>7.707662E928170000</t>
  </si>
  <si>
    <t>POWER100 DWL LEMON ESSENTIAL OIL BTL750G</t>
  </si>
  <si>
    <t>NƯỚC RỬA CHÉN POWER100 TINH DẦU CHANH 750G</t>
  </si>
  <si>
    <t>7.707662N328170000</t>
  </si>
  <si>
    <t>POWER100 DWLLEMON ESSENTIALOIL BTL@1.4KG</t>
  </si>
  <si>
    <t>NƯỚC RỬA CHÉN POWER100 TINH DẦU CHANH 1.4KG</t>
  </si>
  <si>
    <t>7.7076626528170000</t>
  </si>
  <si>
    <t>POWER100 DWLLEMON ESSENTIALOIL BTL@3.5KG</t>
  </si>
  <si>
    <t>NƯỚC RỬA CHÉN POWER100 TINH DẦU CHANH 3.5KG</t>
  </si>
  <si>
    <t>7.7075866528170000</t>
  </si>
  <si>
    <t>POWER100 DWL GREENTEA BTL@3.5KG</t>
  </si>
  <si>
    <t>NƯỚC RỬA CHÉN POWER100 HƯƠNG TRÀ XANH 3.5KG</t>
  </si>
  <si>
    <t>V51.600.260</t>
  </si>
  <si>
    <t>KỆ SẮT POWER100</t>
  </si>
  <si>
    <t>7.707663M428170000</t>
  </si>
  <si>
    <t>POWER100 FC FLORAL ESSENTIALOIL BTL@990G</t>
  </si>
  <si>
    <t>NƯỚC LAU SÀN POWER100 TINH DẦU HOA THIÊN NHIÊN 990G</t>
  </si>
  <si>
    <t>POWER100 FCFLORAL ESSENTIALOIL990G*12BTL</t>
  </si>
  <si>
    <t>NƯỚC LAU SÀN POWER100 TINH DẦU HOA THIÊN NHIÊN 990G*12</t>
  </si>
  <si>
    <t>7.707664M428170000</t>
  </si>
  <si>
    <t>POWER100FCLEMONGRASSESSENTIALOILBTL@990G</t>
  </si>
  <si>
    <t>NƯỚC LAU SÀN POWER100 TINH DẦU CHANH SẢ 990G</t>
  </si>
  <si>
    <t>7.7076636528170000</t>
  </si>
  <si>
    <t>POWER100 FC FLORAL ESSENTIALOILBTL@3.5KG</t>
  </si>
  <si>
    <t>NƯỚC LAU SÀN POWER100 TINH DẦU HOA THIÊN NHIÊN 3.5KG</t>
  </si>
  <si>
    <t>7.7076646528170000</t>
  </si>
  <si>
    <t>POWER100 FC LG ESSENTIALOIL BTL@3.5KG</t>
  </si>
  <si>
    <t>NƯỚC LAU SÀN POWER100 TINH DẦU CHANH SẢ 3.5KG</t>
  </si>
  <si>
    <t>7.707663N528170000</t>
  </si>
  <si>
    <t>POWER100 FC FLORAL ESSENTIALOIL BTL@9KG</t>
  </si>
  <si>
    <t>NƯỚC LAU SÀN POWER100 TINH DẦU HOA THIÊN NHIÊN 9.0KG</t>
  </si>
  <si>
    <t>7.707664N528170000</t>
  </si>
  <si>
    <t>POWER100 FCLEMONGRASSESSENTIALOILBTL@9KG</t>
  </si>
  <si>
    <t>NƯỚC LAU SÀN POWER100 TINH DẦU CHANH SẢ 9.0KG</t>
  </si>
  <si>
    <t>7.707587L828170000</t>
  </si>
  <si>
    <t>POWER100 GLASS CLEANER MINT BTL@500ML</t>
  </si>
  <si>
    <t>NƯỚC LAU KÍNH POWER100 HƯƠNG BẠC HÀ 500ML</t>
  </si>
  <si>
    <t>7.B24062362B80199</t>
  </si>
  <si>
    <t>BLACK SAUCE 255G X 24 BOT/CAR</t>
  </si>
  <si>
    <t>7.B24062362B8019901</t>
  </si>
  <si>
    <t>BLACK SAUCE 255G</t>
  </si>
  <si>
    <t>TƯƠNG ĐEN 255G</t>
  </si>
  <si>
    <t>V51.000.166</t>
  </si>
  <si>
    <t>CARTON TO STORE DOCUMENT 245*320*350MM</t>
  </si>
  <si>
    <t>THÙNG CARTON CHỨA HỒ SƠ, CÓ NẮP RỜI 350*320*245MM</t>
  </si>
  <si>
    <t>7.B24022399B80103</t>
  </si>
  <si>
    <t>SPECIAL HOT CHILI SAUCE 255G X 24 BOT/CAR</t>
  </si>
  <si>
    <t>7.B24022399B8010301</t>
  </si>
  <si>
    <t>SPECIAL HOT CHILI SAUCE 255G</t>
  </si>
  <si>
    <t>TƯƠNG ỚT ĐẶC BIỆT CAY 255G</t>
  </si>
  <si>
    <t>7.B24012302D29101</t>
  </si>
  <si>
    <t>SAUCE SOY HANG VIET HORECA 4 LITERS X 4 BOT/ CAR</t>
  </si>
  <si>
    <t>7.B24012302D2910101</t>
  </si>
  <si>
    <t>SAUCE SOY HANG VIET HORECA 4 LITERS</t>
  </si>
  <si>
    <t>NƯỚC CHẤM ĐẬU NÀNH HÀNG VIỆT HORECA 4 LÍT</t>
  </si>
  <si>
    <t>V51.050.017</t>
  </si>
  <si>
    <t>7.B24100899309199</t>
  </si>
  <si>
    <t>MAYONNAISE MEIZAN HORECA 3KG X 4 PAC/CAR</t>
  </si>
  <si>
    <t>MAYONNAISE MEIZAN HORECA 3KG X 4 TÚI/ THÙNG</t>
  </si>
  <si>
    <t>7.B2410089930919901</t>
  </si>
  <si>
    <t>MAYONNAISE MEIZAN HORECA 3KG</t>
  </si>
  <si>
    <t>7.52399049905I0</t>
  </si>
  <si>
    <t>BROWN COMPASS - AFI 25KG (NON FE&amp;ZN)</t>
  </si>
  <si>
    <t>V51.000.167</t>
  </si>
  <si>
    <t>NEPTUNE ST25 PLUS SPECIALTY RICE 5KG</t>
  </si>
  <si>
    <t>NEPTUNE GẠO THƠM DẺO - ĐẶC BIỆT ST25 PLUS 5KG</t>
  </si>
  <si>
    <t>7.707658E928170000TD</t>
  </si>
  <si>
    <t>POWER100 GREEN DWL GRAPEFRUIT 750G</t>
  </si>
  <si>
    <t>7.705F0</t>
  </si>
  <si>
    <t>ISOPROPYL PALMITATE (IPP)/ RSPO MB IN BOTTLE 500GR</t>
  </si>
  <si>
    <t>ISOPROPYL PALMITATE (IPP)/ RSPO MB - NGUYÊN LIỆU SẢN XUẤT SẢN PHẨM CHĂM SÓC DA VÀ TÓC, DẠNG LỎNG ĐÓNG TRONG CHAI 500GR</t>
  </si>
  <si>
    <t>7.705F1</t>
  </si>
  <si>
    <t>ISOPROPYL MYRISTATE (IPM) IN BOTTLE 500GR</t>
  </si>
  <si>
    <t>ISOPROPYL MYRISTATE (IPM) - NGUYÊN LIỆU SẢN XUẤT SẢN PHẨM CHĂM SÓC DA VÀ TÓC, DẠNG LỎNG ĐÓNG TRONG CHAI 500GR</t>
  </si>
  <si>
    <t>7.705F2</t>
  </si>
  <si>
    <t>MEDIUM CHAIN TRIGLYCERIDE (MCT) IN BOTTLE 500GR</t>
  </si>
  <si>
    <t>MEDIUM CHAIN TRIGLYCERIDE (MCT)- HỖN HỢP CÁC ESTE CỦA AXIT BÉO MẠCH TRUNG BÌNH ĐÓNG TRONG CHAI 500GR</t>
  </si>
  <si>
    <t>V51.000.168</t>
  </si>
  <si>
    <t>MESSAGE BOARD "QUYET CHIEN 2023"</t>
  </si>
  <si>
    <t>BẢNG THÔNG ĐIỆP QUYẾT CHIẾN 2023</t>
  </si>
  <si>
    <t>V51.041.018</t>
  </si>
  <si>
    <t>NEPTUNE ST25 PLUS SPECIALTY RICE 1KG</t>
  </si>
  <si>
    <t>NEPTUNE GẠO THƠM DẺO-ĐẶC BIỆT ST25 PLUS 1KG</t>
  </si>
  <si>
    <t>7.131081061703F90</t>
  </si>
  <si>
    <t>CO-COOP HAPPY 5L X 4BTL</t>
  </si>
  <si>
    <t>DẦU THỰC VẬT TINH LUYỆN COOP HAPPY 5L</t>
  </si>
  <si>
    <t>7.131081031705F90</t>
  </si>
  <si>
    <t>CO-COOP HAPPY 1L X 12 BTL</t>
  </si>
  <si>
    <t>DẦU THỰC VẬT TINH LUYỆN COOP HAPPY 1L</t>
  </si>
  <si>
    <t>7.705F3</t>
  </si>
  <si>
    <t>OLEIC ACID 7072 IN BAG 500GR</t>
  </si>
  <si>
    <t>AXIT OLEIC 7072 DÙNG TRONG SẢN XUẤT KEO, CAO SU ĐÓNG TRONG GÓI 500GR</t>
  </si>
  <si>
    <t>7.705F4</t>
  </si>
  <si>
    <t>PALM FAT CALMAX 5155 IN BAG 5KG</t>
  </si>
  <si>
    <t>PALM FAT CALMAX 5155 - DẦU HẠT CỌ ĐÃ QUA TINH CHẾ, THỂ RẮN ĐÓNG TRONG TÚI 5KG</t>
  </si>
  <si>
    <t>7.B250894990301A4</t>
  </si>
  <si>
    <t xml:space="preserve">ORCHID PORK BOUILLON GRANULE 5KG X 3 PAC/CAR
</t>
  </si>
  <si>
    <t>7.B250894990301A401</t>
  </si>
  <si>
    <t>7.B250894990401A4</t>
  </si>
  <si>
    <t xml:space="preserve">ORCHID PORK BOUILLON GRANULE 10KG X 2 PAC/BAG
</t>
  </si>
  <si>
    <t xml:space="preserve">ORCHID PORK BOUILLON GRANULE 10KG X 2 PAC/BAG
_x000D_
</t>
  </si>
  <si>
    <t>7.B250894990401A401</t>
  </si>
  <si>
    <t>HẠT NÊM ORCHID THỊT, XƯƠNG ỐNG VÀ TỦY 10KG</t>
  </si>
  <si>
    <t xml:space="preserve">ORCHID PORK BOUILLON GRANULE 5KG
</t>
  </si>
  <si>
    <t>HẠT NÊM ORCHID THỊT, XƯƠNG ỐNG VÀ TỦY 5KG</t>
  </si>
  <si>
    <t>V51.00A.065</t>
  </si>
  <si>
    <t>PLASTIC HANGER</t>
  </si>
  <si>
    <t>DÂY TREO CHAI</t>
  </si>
  <si>
    <t>7.705F5</t>
  </si>
  <si>
    <t>REFINED GLYCERINE 99,7% IN BAG 8KG</t>
  </si>
  <si>
    <t>REFINED GLYCERINE - PHỤ GIA THỰC PHẨM WILFARIN GLYXERIN TINH KHIẾT 99,7% ĐÓNG TRONG BAO 8KG</t>
  </si>
  <si>
    <t>V51.153.035</t>
  </si>
  <si>
    <t>POWER100 WAIST BAG</t>
  </si>
  <si>
    <t>TÚI BAO TỬ POWER100</t>
  </si>
  <si>
    <t>7.52399259905J0</t>
  </si>
  <si>
    <t>BLUE KEY NOODLE - AN PHU 25KG</t>
  </si>
  <si>
    <t>7.52399259905K1</t>
  </si>
  <si>
    <t>BLUE KEY NOODLE - RB 25KG (NON FE&amp;ZN)</t>
  </si>
  <si>
    <t>7.52399129905K1</t>
  </si>
  <si>
    <t>PINK KEY - RB 25KG (NON FE&amp;ZN)</t>
  </si>
  <si>
    <t>7.52399153405K1</t>
  </si>
  <si>
    <t>RED KEY NOODLE - RB 25KG (NON FE&amp;ZN)</t>
  </si>
  <si>
    <t>7.52399799905K1</t>
  </si>
  <si>
    <t>RED SATELLITE - RB 25KG (NON FE&amp;ZN)</t>
  </si>
  <si>
    <t>7.52399099905K1</t>
  </si>
  <si>
    <t>MS-1 - RB 25KG (NON FE&amp;ZN)</t>
  </si>
  <si>
    <t>7.705F6</t>
  </si>
  <si>
    <t>SLS (SODIUM LAURYL SULFATE) IN BOTTLE 3KG</t>
  </si>
  <si>
    <t>SLS (SODIUM LAURYL SULFATE)-CHẤT HOẠT ĐỘNG BỀ MẶT, DẠNG ANION ĐÓNG TRONG CHAI 3KG</t>
  </si>
  <si>
    <t>7.B2508089902010517</t>
  </si>
  <si>
    <t>MEIZAN PORK BOUILLON GRANULE 1KG X 10 PAC ON PACK 10 PAC MUSHROOM BOUILLON GRANULE 380G / CAR</t>
  </si>
  <si>
    <t xml:space="preserve">HẠT NÊM MEIZAN THỊT, XƯƠNG ỐNG, TỦY, CÀ RỐT – VỊ HEO 1KG X 10 GÓI ĐÓNG KÈM 10 GÓI HẠT NÊM TAM BẢO VỊ NẤM 380G / THÙNG </t>
  </si>
  <si>
    <t>7.B250808990201051701</t>
  </si>
  <si>
    <t>MEIZAN PORK BOUILLON GRANULE 1KG  ON PACK 01 PAC MUSHROOM BOUILLON GRANULE 380G</t>
  </si>
  <si>
    <t>HẠT NÊM MEIZAN THỊT, XƯƠNG ỐNG, TỦY, CÀ RỐT – VỊ HEO 1KG ĐÓNG KÈM 01 GÓI HẠT NÊM TAM BẢO VỊ NẤM 380G</t>
  </si>
  <si>
    <t>7.B2508089902010518</t>
  </si>
  <si>
    <t>MEIZAN PORK BOUILLON GRANULE 1KG X 10 PAC ON PACK 10 PAC MEIZAN PORK BOUILLON GRANULE 400G / CAR</t>
  </si>
  <si>
    <t xml:space="preserve">HẠT NÊM MEIZAN THỊT, XƯƠNG ỐNG, TỦY, CÀ RỐT – VỊ HEO 1KG X 10 GÓI ĐÓNG KÈM 10 GÓI HẠT NÊM MEIZAN THỊT, XƯƠNG ỐNG, TUỶ, CÀ RỐT - VỊ HEO 400G / THÙNG </t>
  </si>
  <si>
    <t>7.B250808990201051801</t>
  </si>
  <si>
    <t>MEIZAN PORK BOUILLON GRANULE 1KG ON PACK 01 PAC MEIZAN PORK BOUILLON GRANULE 400G</t>
  </si>
  <si>
    <t>HẠT NÊM MEIZAN THỊT, XƯƠNG ỐNG, TỦY, CÀ RỐT – VỊ HEO 1KG ĐÓNG KÈM 01 GÓI HẠT NÊM MEIZAN THỊT, XƯƠNG ỐNG, TUỶ, CÀ RỐT - VỊ HEO 400G</t>
  </si>
  <si>
    <t>7.B2508549995010517</t>
  </si>
  <si>
    <t>PORK BOUILLON GRANULE 850G X 10 PAC ON PACK 10 PAC MUSHROOM BOUILLON GRANULE 380G / CAR</t>
  </si>
  <si>
    <t>HẠT NÊM 4 TRONG 1 VỊ HEO 850G X 10 GÓI ĐÓNG KÈM 10 GÓI HẠT NÊM TAM BẢO VỊ NẤM 380G / THÙNG</t>
  </si>
  <si>
    <t>7.B250854999501051701</t>
  </si>
  <si>
    <t>PORK BOUILLON GRANULE 850G ON PACK 01 PAC MUSHROOM BOUILLON GRANULE 380G</t>
  </si>
  <si>
    <t>HẠT NÊM 4 TRONG 1 VỊ HEO 850G ĐÓNG KÈM 01 GÓI HẠT NÊM TAM BẢO VỊ NẤM 380G</t>
  </si>
  <si>
    <t>7.B2508089902010519</t>
  </si>
  <si>
    <t>PORK BOUILLON GRANULE 850G X 10 PAC ON PACK 10 PAC PORK BOUILLON GRANULE 500G / CAR</t>
  </si>
  <si>
    <t>HẠT NÊM 4 TRONG 1 VỊ HEO 850G X 10 GÓI ĐÓNG KÈM 10 GÓI HẠT NÊM 4 TRONG 1 - VỊ HEO 500G / THÙNG</t>
  </si>
  <si>
    <t>7.B250808990201051901</t>
  </si>
  <si>
    <t>PORK BOUILLON GRANULE 850G ON PACK 01 PAC PORK BOUILLON GRANULE 500G</t>
  </si>
  <si>
    <t>HẠT NÊM 4 TRONG 1 VỊ HEO 850G ĐÓNG KÈM 01 GÓI HẠT NÊM 4 TRONG 1 - VỊ HEO 500G</t>
  </si>
  <si>
    <t>V51.000.169</t>
  </si>
  <si>
    <t>PRIZE BOARD LUCKY DRAW WCM</t>
  </si>
  <si>
    <t>BẢNG TRAO THƯỞNG LUCKY DRAW WCM</t>
  </si>
  <si>
    <t>V51.000.170</t>
  </si>
  <si>
    <t>LEAFLET LUCKY DRAW WCM</t>
  </si>
  <si>
    <t>TỜ RƠI LUCKY DRAW WCM</t>
  </si>
  <si>
    <t>V51.000.171</t>
  </si>
  <si>
    <t>NECKTAG LUCKY DRAW WCM</t>
  </si>
  <si>
    <t>V51.000.172</t>
  </si>
  <si>
    <t>STANDEE LUCKY DRAW WCM</t>
  </si>
  <si>
    <t>7.B24012361A3014220</t>
  </si>
  <si>
    <t>FERMENTED SOYA SAUCE 710ML X 12 BOT ONPACK 12 BOT NAM DUONG CONDENSED SOYA SAUCE 280ML / CAR</t>
  </si>
  <si>
    <t>NƯỚC TƯƠNG NAM DƯƠNG ĐẬU NÀNH LÊN MEN TỰ NHIÊN 710ML X 12 CHAI ĐÓNG KÈM 12 CHAI THỰC PHẨM BỔ SUNG NƯỚC TƯƠNG NAM DƯƠNG ĐẬM ĐẶC 280ML / THÙNG</t>
  </si>
  <si>
    <t>7.B24012361A301422001</t>
  </si>
  <si>
    <t>FERMENTED SOYA SAUCE 710ML ONPACK 01 BOT NAM DUONG CONDENSED SOYA SAUCE 280ML</t>
  </si>
  <si>
    <t>NƯỚC TƯƠNG NAM DƯƠNG ĐẬU NÀNH LÊN MEN TỰ NHIÊN 710ML ĐÓNG KÈM 01 CHAI THỰC PHẨM BỔ SUNG NƯỚC TƯƠNG NAM DƯƠNG ĐẬM ĐẶC 280ML</t>
  </si>
  <si>
    <t>7.B2401239937010421</t>
  </si>
  <si>
    <t>PREMIUM SOYA SAUCE 500ML X 24 BOT ONPACK 24 BOT PREMIUM SOYA SAUCE 210ML / CAR</t>
  </si>
  <si>
    <t>NƯỚC TƯƠNG THƯỢNG HẠNG 500ML X 24 CHAI ĐÓNG KÈM 24 CHAI NƯỚC TƯƠNG THƯỢNG HẠNG 210ML / THÙNG</t>
  </si>
  <si>
    <t>7.B240123993701042101</t>
  </si>
  <si>
    <t>PREMIUM SOYA SAUCE 500ML ONPACK 01 BOT PREMIUM SOYA SAUCE 210ML</t>
  </si>
  <si>
    <t>NƯỚC TƯƠNG THƯỢNG HẠNG 500ML ĐÓNG KÈM 01 CHAI NƯỚC TƯƠNG THƯỢNG HẠNG 210ML</t>
  </si>
  <si>
    <t>7.E3801789985K23201</t>
  </si>
  <si>
    <t>MEADOW FRESH UHT FULL CREAM MILK NO CAP 1L</t>
  </si>
  <si>
    <t>SỮA TƯƠI TIỆT TRÙNG NGUYÊN KEM KHÔNG NẮP NHÃN HIỆU MEADOW FRESH 1L</t>
  </si>
  <si>
    <t>7.92419B799D301A0</t>
  </si>
  <si>
    <t>ANCHOVY FISH SAUCE 40°N PET BOTTLES 50ML X 100 BOT IN CARTON</t>
  </si>
  <si>
    <t>NƯỚC MẮM NHỈ CÁ CƠM 40° ĐẠM CHAI PET 50ML X 100 CHAI ĐÓNG TRONG THÙNG CARTON</t>
  </si>
  <si>
    <t>7.92419B799D301A001</t>
  </si>
  <si>
    <t>ANCHOVY FISH SAUCE 40°N PET BOTTLES 50ML</t>
  </si>
  <si>
    <t>NƯỚC MẮM NHỈ CÁ CƠM 40° ĐẠM CHAI PET 50ML</t>
  </si>
  <si>
    <t>7.92419B799D301A2</t>
  </si>
  <si>
    <t>ANCHOVY FISH SAUCE 25°N PET BOTTLES 50ML X 100 BOT IN CARTON</t>
  </si>
  <si>
    <t>NƯỚC MẮM NHỈ CÁ CƠM 25° ĐẠM CHAI PET 50ML X 100 CHAI ĐÓNG TRONG THÙNG CARTON</t>
  </si>
  <si>
    <t>7.92419B799D301A201</t>
  </si>
  <si>
    <t>ANCHOVY FISH SAUCE 25°N PET BOTTLES 50ML</t>
  </si>
  <si>
    <t>NƯỚC MẮM NHỈ CÁ CƠM 25° ĐẠM CHAI PET 50ML</t>
  </si>
  <si>
    <t>7.A320108990101A5</t>
  </si>
  <si>
    <t>MEIZAN PREMIUM EGG NOODLE - THIN ROUND STRING 500G X 12 PACKS</t>
  </si>
  <si>
    <t>7.A320108990101A501</t>
  </si>
  <si>
    <t>MEIZAN PREMIUM EGG NOODLE - THIN ROUND STRING 500G</t>
  </si>
  <si>
    <t>MÌ TRỨNG CAO CẤP MEIZAN - SỢI NHỎ 500G</t>
  </si>
  <si>
    <t>7.705F7</t>
  </si>
  <si>
    <t>FATTY ALCOHOL POLYOXYMETHYLENE ETHER AEO-7  IN BOTTLE 1KG</t>
  </si>
  <si>
    <t>FATTY ALCOHOL POLYOXYMETHYLENE ETHER AEO-7 - CHẤT HỮU CƠ HOẠT ĐỘNG BỀ MẶT DẠNG KHÔNG PHÂN LY AEO-7 ĐÓNG TRONG CHAI 1KG</t>
  </si>
  <si>
    <t>7.52399229905K3</t>
  </si>
  <si>
    <t>BLUE COMPASS - MESA 25KG</t>
  </si>
  <si>
    <t>7.705F8</t>
  </si>
  <si>
    <t>MEDIUM CHAIN FATTY ACID (MCFA) IN JERRY CAN 3.5KG</t>
  </si>
  <si>
    <t>MEDIUM CHAIN FATTY ACID (MCFA) -HỖN HỢP AXIT BÉO MẠCH TRUNG BÌNH TÁCH TỪ DẦU NHÂN CỌ, BỔ SUNG HỖN HỢP AXIT BÉO MẠCH TRUNG BÌNH TRONG THỨC ĂN CHO LỢN,GIA CẦM ĐÓNG TRONG CAN 3.5KG</t>
  </si>
  <si>
    <t>7.458050051700000TD</t>
  </si>
  <si>
    <t>SIMPLY PURE SUNFLOWER OIL 2L</t>
  </si>
  <si>
    <t xml:space="preserve">SIMPLY PURE SUNFLOWER OIL 2L_x000D_
</t>
  </si>
  <si>
    <t>V39.000.068</t>
  </si>
  <si>
    <t>WCLV UNIFORM SHIRT FOR MALE (GREEN)</t>
  </si>
  <si>
    <t>ÁO ĐỒNG PHỤC WCLV NAM (MÀU XANH)</t>
  </si>
  <si>
    <t>V39.000.069</t>
  </si>
  <si>
    <t>WCLV UNIFORM SHIRT FOR FEMALE (GREEN)</t>
  </si>
  <si>
    <t>ÁO ĐỒNG PHỤC WCLV NỮ (MÀU XANH)</t>
  </si>
  <si>
    <t>V51.600.257</t>
  </si>
  <si>
    <t>WEANING BOWL SET</t>
  </si>
  <si>
    <t>BỘ DỤNG CỤ ĂN DẶM CHO TRẺ EM</t>
  </si>
  <si>
    <t>7.52399419905K4</t>
  </si>
  <si>
    <t>AP SF34 25KG</t>
  </si>
  <si>
    <t>V51.050.031</t>
  </si>
  <si>
    <t>NUI CAO CẤP MEIZAN-HÌNH SAO 200G</t>
  </si>
  <si>
    <t>7.101041792201C50</t>
  </si>
  <si>
    <t>RBD PALM OLEIN IV58 IN FLEXIBAG@20MT</t>
  </si>
  <si>
    <t>DẦU OLEIN CỌ TINH LUYỆN TRONG TÚI FLEXIBAG</t>
  </si>
  <si>
    <t>V51.153.036</t>
  </si>
  <si>
    <t>JUTE BAG</t>
  </si>
  <si>
    <t>TÚI VẢI ĐAY</t>
  </si>
  <si>
    <t>7.B24012399D20199</t>
  </si>
  <si>
    <t>UP SOY SAUCE 4 LITRES X 4 BOTTLES / CARTON</t>
  </si>
  <si>
    <t>NƯỚC TƯƠNG UP 4 LÍT X 4 CHAI/ THÙNG</t>
  </si>
  <si>
    <t>7.B24012399D2019901</t>
  </si>
  <si>
    <t>UP SOY SAUCE 4 LITRES</t>
  </si>
  <si>
    <t>NƯỚC TƯƠNG UP 4 LÍT</t>
  </si>
  <si>
    <t xml:space="preserve">UP SOY SAUCE 4 LITRES_x000D_
</t>
  </si>
  <si>
    <t>7.B24019499D40199</t>
  </si>
  <si>
    <t>HYDROLYZED VEGETABLE PROTEIN (HVP-2.4N) X 29 LITRES / JRG</t>
  </si>
  <si>
    <t>NGUYÊN LIỆU THỰC PHẨM: CỐT NƯỚC TƯƠNG (HVP-2.4N) X 29 LÍT / CAN</t>
  </si>
  <si>
    <t>V51.000.173</t>
  </si>
  <si>
    <t>DHFOODS HANGER (9 BOXES_27X68)</t>
  </si>
  <si>
    <t>VỈ NHỰA DHFOODS (LOẠI 9 HỘC_27X68)</t>
  </si>
  <si>
    <t>V51.000.174</t>
  </si>
  <si>
    <t>DHFOODS HOOK</t>
  </si>
  <si>
    <t>MÓC TREO DHFOODS</t>
  </si>
  <si>
    <t>7.5239904490512</t>
  </si>
  <si>
    <t>BROWN COMPASS 111 LAOS 25KG</t>
  </si>
  <si>
    <t>BỘT MÌ HIỆU LA BÀN NÂU - 111 (TIẾNG LÀO) 25KG</t>
  </si>
  <si>
    <t>V51.600.261</t>
  </si>
  <si>
    <t>POWER100 GREEN IRON SHELF</t>
  </si>
  <si>
    <t>KỆ SẮT POWER100 GREEN</t>
  </si>
  <si>
    <t>V51.600.264</t>
  </si>
  <si>
    <t>POWER100 ICOOL 6 ICE BOTTLE</t>
  </si>
  <si>
    <t>BÌNH ĐÁ POWER100 ICOOL 6</t>
  </si>
  <si>
    <t>7.5239933990601</t>
  </si>
  <si>
    <t>BỘT MÌ HIỆU SA-3 40KG</t>
  </si>
  <si>
    <t>7.52399089601K5</t>
  </si>
  <si>
    <t>MEIZAN INSTANT DRY YEAST - YELLOW LABEL 500GR</t>
  </si>
  <si>
    <t>MEN KHÔ DÙNG LIỀN HIỆU MEIZAN- NHÃN VÀNG (500G*20 GÓI/THÙNG)</t>
  </si>
  <si>
    <t>7.52399089601K501</t>
  </si>
  <si>
    <t>MEN KHÔ DÙNG LIỀN HIỆU MEIZAN- NHÃN VÀNG 500GR (GÓI)</t>
  </si>
  <si>
    <t>7.52399089701K5</t>
  </si>
  <si>
    <t>MEIZAN INSTANT DRY YEAST - RED LABEL 500GR</t>
  </si>
  <si>
    <t>MEN KHÔ DÙNG LIỀN HIỆU MEIZAN- NHÃN ĐỎ (500G*20 GÓI/THÙNG)</t>
  </si>
  <si>
    <t>7.52399089701K501</t>
  </si>
  <si>
    <t>MEN KHÔ DÙNG LIỀN HIỆU MEIZAN- NHÃN ĐỎ 500G (GÓI)</t>
  </si>
  <si>
    <t>7.705F9</t>
  </si>
  <si>
    <t>MEDIUM CHAIN TRIGLYCERIDE (MCT 6040) IN BOTTLE 1KG</t>
  </si>
  <si>
    <t>MCT 6040-HỖN HỢP CÁC ESTE CỦA AXIT BÉO MẠCH TRUNG BÌNH ĐÓNG TRONG CHAI 1KG</t>
  </si>
  <si>
    <t>7.705G0</t>
  </si>
  <si>
    <t>MEDIUM CHAIN TRIGLYCERIDE (MCT 7030) IN BOTTLE 1KG</t>
  </si>
  <si>
    <t>MCT 7030-HỖN HỢP CÁC ESTE CỦA AXIT BÉO MẠCH TRUNG BÌNH ĐÓNG TRONG CHAI 1KG</t>
  </si>
  <si>
    <t>7.458051B51700000TD</t>
  </si>
  <si>
    <t>MEIZAN SUNFLOWER OIL 1L</t>
  </si>
  <si>
    <t>V51.00A.066</t>
  </si>
  <si>
    <t>VIETNAMESE PANCAKE MIX 400G X 12 PAC</t>
  </si>
  <si>
    <t>V51.00A.067</t>
  </si>
  <si>
    <t>MEIZAN PREMIUM MACARONI 200G X 24 PAC</t>
  </si>
  <si>
    <t>V51.047.022</t>
  </si>
  <si>
    <t>7.52399149906K6</t>
  </si>
  <si>
    <t>RED COMPASS - THIEN HUONG 40KG (NON FE&amp;ZN)</t>
  </si>
  <si>
    <t>V51.000.175</t>
  </si>
  <si>
    <t>99.99% GOLD RING</t>
  </si>
  <si>
    <t>NHẪN VÀNG 99,99% LOẠI 1 CHỈ</t>
  </si>
  <si>
    <t>7.52399079905K7</t>
  </si>
  <si>
    <t>GREEN KEY - HCM 25KG (NON FE&amp;ZN)</t>
  </si>
  <si>
    <t>7.705G1</t>
  </si>
  <si>
    <t>GENAGEN CAB UQS 0200, DRUM 200KGS</t>
  </si>
  <si>
    <t>CHẤT HOẠT ĐỘNG BỀ MẶT GENAGEN CAB UQS 0200, PHUY 200KG</t>
  </si>
  <si>
    <t>6.52299R711</t>
  </si>
  <si>
    <t>NOODLE FLOUR (PROTEIN 10%,ASH 0.55%)</t>
  </si>
  <si>
    <t>6.52299R712</t>
  </si>
  <si>
    <t>NOODLE FLOUR (PROTEIN 10%,ASH 0.6%)</t>
  </si>
  <si>
    <t>7.706102173201200TD</t>
  </si>
  <si>
    <t>7.B24012399370104TD</t>
  </si>
  <si>
    <t>7.B2401239937010401TD</t>
  </si>
  <si>
    <t>7.B251108990501</t>
  </si>
  <si>
    <t>MONOSODIUM GLUTAMATE 25KG</t>
  </si>
  <si>
    <t>BỘT NGỌT 25KG</t>
  </si>
  <si>
    <t>V39.00A.011</t>
  </si>
  <si>
    <t>UNIFORM T-SHIRT FOR STAFF</t>
  </si>
  <si>
    <t>ÁO THUN ĐỒNG PHỤC NHÂN VIÊN CHUYÊN TRÁCH</t>
  </si>
  <si>
    <t>V51.00A.069</t>
  </si>
  <si>
    <t>DHFOODS AW FOR SAMPLING BOOTH (4 PCS/SET)</t>
  </si>
  <si>
    <t>BẢNG IN TRANG TRÍ XE SAMPLING DHFOODS (4 TẤM/BỘ)</t>
  </si>
  <si>
    <t>V51.00A.070</t>
  </si>
  <si>
    <t>DHFOODS AW FOR SAMPLING COUNTER (3 PCS/SET)</t>
  </si>
  <si>
    <t>BẢNG IN TRANG TRÍ BÀN SAMPLING DHFOODS (3 TẤM/BỘ)</t>
  </si>
  <si>
    <t>V51.00A.068</t>
  </si>
  <si>
    <t>DHFOODS CARTON DISPLAY TRAY</t>
  </si>
  <si>
    <t>KỆ GIẤY TRƯNG BÀY DHFOODS</t>
  </si>
  <si>
    <t>7.705G2</t>
  </si>
  <si>
    <t>HYDROGENATED PALM FATTY ACIDS - MEGA-ENERGY IN BAG 25KG</t>
  </si>
  <si>
    <t>AXIT BÉO ĐÃ HYDRO HÓA- MEGA-ENERGY TRONG TÚI 25KG</t>
  </si>
  <si>
    <t>7.707658O828170000</t>
  </si>
  <si>
    <t>POWER100 GREEN DWL GRAPE BTL @3.6KG+750G</t>
  </si>
  <si>
    <t>NƯỚC RỬA CHÉN POWER100 GREEN TINH DẦU BƯỞI TÂY 3.6KG KÈM NƯỚC RỬA CHÉN POWER100 GREEN TINH DẦU BƯỞI TÂY 750G</t>
  </si>
  <si>
    <t>7.707658O82817000H</t>
  </si>
  <si>
    <t>POWER100 GREEN DWLGRAPE(3.6KG+750G)*4BTL</t>
  </si>
  <si>
    <t>NƯỚC RỬA CHÉN POWER100 GREEN TINH DẦU BƯỞI TÂY 3.6KG*4 KÈM NƯỚC RỬA CHÉN POWER100 GREEN TINH DẦU BƯỞI TÂY 750G</t>
  </si>
  <si>
    <t>7.707658O928170000</t>
  </si>
  <si>
    <t>POWER100 GREEN DWL GRAPE BTL @750G+750G</t>
  </si>
  <si>
    <t>NƯỚC RỬA CHÉN POWER100 GREEN TINH DẦU BƯỞI TÂY 750G KÈM NƯỚC RỬA CHÉN POWER100 GREEN TINH DẦU BƯỞI TÂY 750G</t>
  </si>
  <si>
    <t>7.705G3</t>
  </si>
  <si>
    <t>DISTILLED MONOGLYCERIDE IN BAG 25KG</t>
  </si>
  <si>
    <t>DISTILLED MONOGLYCERIDE - LÀM CHẤT NHŨ HÓA, CHẤT CHỐNG TẠO BỌT, CHẤT LÀM BÓNG, CHẤT ỔN ĐỊNH DÙNG CHO THỰC PHẨM ĐÓNG TRONG BAO 25KG</t>
  </si>
  <si>
    <t>7.52899389930A0</t>
  </si>
  <si>
    <t>SAMPLE POLLARD 3KG</t>
  </si>
  <si>
    <t>CÁM MÌ HIỆU POLLARD 3KG</t>
  </si>
  <si>
    <t>7.52899389903A0</t>
  </si>
  <si>
    <t>SAMPLE POLLARD 5KG</t>
  </si>
  <si>
    <t>CÁM MÌ HIỆU POLLARD 5KG</t>
  </si>
  <si>
    <t>7.52399419930A0</t>
  </si>
  <si>
    <t>SAMPLE AP 3KG</t>
  </si>
  <si>
    <t>BỘT MÌ HIỆU AP 3KG</t>
  </si>
  <si>
    <t>7.52399419903A0</t>
  </si>
  <si>
    <t>SAMPLE AP 5KG</t>
  </si>
  <si>
    <t>BỘT MÌ HIỆU AP 5KG</t>
  </si>
  <si>
    <t>7.705G4</t>
  </si>
  <si>
    <t>SODIUM LAURYL SULPHATE IN BAG 25KG</t>
  </si>
  <si>
    <t>7.B24012399D50104</t>
  </si>
  <si>
    <t>PREMIUM SOY SAUCE 210ML X 24 BOT / CAR</t>
  </si>
  <si>
    <t>7.706102451701200</t>
  </si>
  <si>
    <t>WILFARIN REFINED GLYCERINE 99.7 FXB@20MT</t>
  </si>
  <si>
    <t>6.7064046</t>
  </si>
  <si>
    <t>WILFARIN REFINED GLYCERINE 99.7%</t>
  </si>
  <si>
    <t>PHỤ GIA THỰC PHẨM GLYXERIN TINH KHIẾT 99,7% - WILFARIN</t>
  </si>
  <si>
    <t>HO1AC031000</t>
  </si>
  <si>
    <t>7.G4001B598320199</t>
  </si>
  <si>
    <t>VINATEA VIET FLAVOR 200G</t>
  </si>
  <si>
    <t>TRÀ VINATEA HƯƠNG VIỆT 200G</t>
  </si>
  <si>
    <t>7.5239917480518</t>
  </si>
  <si>
    <t>RED SATELLITE KINH DO 25KG</t>
  </si>
  <si>
    <t>7.G4001B59933018601</t>
  </si>
  <si>
    <t>7.G4001B599D60186</t>
  </si>
  <si>
    <t>VINATEA JASMINE FLAVORED TEA 70G X 50 BAGS IN CARTON</t>
  </si>
  <si>
    <t>TRÀ VINATEA HƯƠNG NHÀI 70G X 50 TÚI ĐÓNG TRONG THÙNG CARTON</t>
  </si>
  <si>
    <t>7.G4001B599D6018601</t>
  </si>
  <si>
    <t>7.1070123103608250</t>
  </si>
  <si>
    <t>MEIZAN MARGARINE VN SAMPLE 200GR X 36</t>
  </si>
  <si>
    <t>BƠ THỰC VẬT NHÃN HIỆU MEIZAN 200G HÀNG MẪU</t>
  </si>
  <si>
    <t>7.1070123203628050</t>
  </si>
  <si>
    <t>MEIZANMARGARINEVNSAMPLE 800GX12ROUNDTUBE</t>
  </si>
  <si>
    <t>BƠ THỰC VẬT NHÃN HIỆU MEIZAN 800G HÀNG MẪU</t>
  </si>
  <si>
    <t>VINATEA JASMINE FLAVORED TEA 400G</t>
  </si>
  <si>
    <t>TRÀ VINATEA HƯƠNG NHÀI 400G</t>
  </si>
  <si>
    <t>VINATEA JASMINE FLAVORED TEA 70G</t>
  </si>
  <si>
    <t>TRÀ VINATEA HƯƠNG NHÀI 70G</t>
  </si>
  <si>
    <t>7.5220680907U1901</t>
  </si>
  <si>
    <t>BROWN COMPASS CAKE FL BT PPBAG@40KG</t>
  </si>
  <si>
    <t>7.52399049905K8</t>
  </si>
  <si>
    <t>BROWN COMPASS - BIBICA 25KG (NON FE&amp;ZN)</t>
  </si>
  <si>
    <t>7.B24022302820199</t>
  </si>
  <si>
    <t>HANG VIET CHILI SAUCE 800G X 12 BOT/ CAR</t>
  </si>
  <si>
    <t>7.B2402230282019901</t>
  </si>
  <si>
    <t>HANG VIET CHILI SAUCE 800G</t>
  </si>
  <si>
    <t>TƯƠNG ỚT HÀNG VIỆT 800G</t>
  </si>
  <si>
    <t>V51.000.176</t>
  </si>
  <si>
    <t>WHITE EMPTY PP BAG PRINTED KALI POWDER MATERIAL FOR PRODUCTION, SIZE 50 KG</t>
  </si>
  <si>
    <t>BAO PP TRẮNG IN KALI BỘT NGUYÊN LIỆU CHO SẢN XUẤT, LOẠI 50 KG</t>
  </si>
  <si>
    <t>V51.000.177</t>
  </si>
  <si>
    <t>WHITE EMPTY PP BAG PRINTED KALI GRANULAR MATERIAL FOR PRODUCTION, SIZE 50 KG</t>
  </si>
  <si>
    <t>BAO PP TRẮNG IN KALI HẠT NGUYÊN LIỆU CHO SẢN XUẤT, LOẠI 50 KG</t>
  </si>
  <si>
    <t>6.7064003</t>
  </si>
  <si>
    <t>REFINED GLYCERINE 99.7% MIN</t>
  </si>
  <si>
    <t>PHỤ GIA THỰC PHẨM GLYXERIN TINH KHIẾT 99,7%</t>
  </si>
  <si>
    <t>7.522068022281901</t>
  </si>
  <si>
    <t>BROWNCOMPASS COOKIESFL BIBICA PPBAG@25KG</t>
  </si>
  <si>
    <t>7.92414B699D70199</t>
  </si>
  <si>
    <t>BBQ SAUCE FOR GRILLED MEAT 65G x 120 PCS IN CARTON</t>
  </si>
  <si>
    <t>SỐT ƯỚP THỊT NƯỚNG 65G x 120 GÓI ĐÓNG TRONG THÙNG CARTON</t>
  </si>
  <si>
    <t>7.92414B699D7019901</t>
  </si>
  <si>
    <t>7.92419B7998501A201</t>
  </si>
  <si>
    <t>ANCHOVY FISH SAUCE 25°N PLASTIC BOTTLES 1L</t>
  </si>
  <si>
    <t>NƯỚC MẮM NHỈ CÁ CƠM 25° ĐẠM CHAI PET 1L</t>
  </si>
  <si>
    <t>7.92419B7998501A301</t>
  </si>
  <si>
    <t>ANCHOVY FISH SAUCE 12°N PLASTIC BOTTLES 1L</t>
  </si>
  <si>
    <t>NƯỚC MẮM CÁ CƠM 12° ĐẠM CHAI PET 1L</t>
  </si>
  <si>
    <t>7.F3902B39907K956</t>
  </si>
  <si>
    <t>RED STANDARD GRADE MURIATE OF POTASH (MOP)/ KALI (KCL)/WMCLV MURIATE OF POTASH 61 PACKED IN 50KG PP/PE BAG, USED FOR PRODUCTION MATERIAL; CANADA ORIGIN</t>
  </si>
  <si>
    <t>WMCLV MURIATE OF POTASH 61 (PHÂN BÓN KALI CLORUA) DẠNG BỘT, ĐÓNG TRONG BAO PP/PE 50KG DÙNG LÀM NGUYÊN LIỆU SẢN XUẤT; XUẤT XỨ CANADA</t>
  </si>
  <si>
    <t>7.F3902B39907K957</t>
  </si>
  <si>
    <t>RED GRANULAR GRADE MURIATE OF POTASH (MOP)/ KALI (KCL)/WMCLV MURIATE OF POTASH 61 PACKED IN 50KG PP/PE BAG, USED FOR PRODUCTION MATERIAL; CANADA ORIGIN</t>
  </si>
  <si>
    <t>WMCLV MURIATE OF POTASH 61 (PHÂN BÓN KALI CLORUA) DẠNG HẠT, ĐÓNG TRONG BAO PP/PE 50KG DÙNG LÀM NGUYÊN LIỆU SẢN XUẤT; XUẤT XỨ CANADA</t>
  </si>
  <si>
    <t>V51.000.178</t>
  </si>
  <si>
    <t>OPP TAPE, LOGO WMCLV, 46.5MM</t>
  </si>
  <si>
    <t>BĂNG KEO, LOGO WILMAR CLV, 46.5MM</t>
  </si>
  <si>
    <t>7.A3308089932011901</t>
  </si>
  <si>
    <t>MEIZAN PREMIUM VEGETABLE MACARONI - ELBOW 200G</t>
  </si>
  <si>
    <t>NUI RAU CỦ CAO CẤP MEIZAN - CHỮ "C" 200G</t>
  </si>
  <si>
    <t>7.A33080899320119</t>
  </si>
  <si>
    <t>MEIZAN PREMIUM VEGETABLE MACARONI - ELBOW 200G X 24 PAC</t>
  </si>
  <si>
    <t>7.B24078299B80116</t>
  </si>
  <si>
    <t>THE PIZZA COMPANY TOMATO SAUCE 255G X 24 BOT / CAR</t>
  </si>
  <si>
    <t>TƯƠNG CÀ THE PIZZA COMPANY 255G X 24 CHAI / THÙNG</t>
  </si>
  <si>
    <t>7.B24078299B8011601</t>
  </si>
  <si>
    <t>THE PIZZA COMPANY TOMATO SAUCE 255G</t>
  </si>
  <si>
    <t>TƯƠNG CÀ THE PIZZA COMPANY 255G</t>
  </si>
  <si>
    <t>7.B24028299B80199</t>
  </si>
  <si>
    <t>THE PIZZA COMPANY CHILI SAUCE 255G X 24 BOT / CAR</t>
  </si>
  <si>
    <t>TƯƠNG ỚT THE PIZZA COMPANY 255G X 24 CHAI / THÙNG</t>
  </si>
  <si>
    <t>7.B24028299B8019901</t>
  </si>
  <si>
    <t>THE PIZZA COMPANY CHILI SAUCE 255G</t>
  </si>
  <si>
    <t>TƯƠNG ỚT THE PIZZA COMPANY 255G</t>
  </si>
  <si>
    <t>BBQ SAUCE FOR GRILLED MEAT 65G</t>
  </si>
  <si>
    <t>SỐT ƯỚP THỊT NƯỚNG 65G</t>
  </si>
  <si>
    <t>V51.000.179</t>
  </si>
  <si>
    <t>PHUC NGUYET PREMIUM MOON CAKE 1KG (PN)</t>
  </si>
  <si>
    <t>BÁNH TRUNG THU CAO CẤP PHÚC NGUYỆT 1KG (PN)</t>
  </si>
  <si>
    <t>V34.000.005</t>
  </si>
  <si>
    <t>ROYAL LOGO HELMET, IN WHITE COLOR WITH RED-GREEN STRIPES</t>
  </si>
  <si>
    <t>NÓN BẢO HIỂM LOGO HOÀNG GIA, MÀU TRẮNG CÓ SỌC XANH ĐỎ</t>
  </si>
  <si>
    <t>V51.600.265</t>
  </si>
  <si>
    <t>PREMIUM SILK SCARF OLIVOILA (65X65)CM</t>
  </si>
  <si>
    <t>KHĂN LỤA CAO CẤP OLIVOILÀ (65X65)CM</t>
  </si>
  <si>
    <t>7.G4001B599470181</t>
  </si>
  <si>
    <t>VINATEA OOLONG TEA 80G X 22 PAPER TUBE BOXES IN CARTON</t>
  </si>
  <si>
    <t>TRÀ OOLONG HIỆU VINATEA, LOẠI 80G X 22 LON GIẤY ĐÓNG TRONG THÙNG CARTON</t>
  </si>
  <si>
    <t>7.G4001B59947018101</t>
  </si>
  <si>
    <t>VINATEA OOLONG TEA 80G</t>
  </si>
  <si>
    <t>TRÀ OOLONG HIỆU VINATEA, LOẠI 80G</t>
  </si>
  <si>
    <t>7.089062120111101</t>
  </si>
  <si>
    <t>7.089062120091201</t>
  </si>
  <si>
    <t>7.G4001B599470186</t>
  </si>
  <si>
    <t>VINATEA JASMINE FLAVORED TEA 80G X 22 PAPER TUBE BOXES IN CARTON</t>
  </si>
  <si>
    <t>TRÀ HƯƠNG NHÀI HIỆU VINATEA, LOẠI 80G X 22 LON GIẤY ĐÓNG TRONG THÙNG CARTON</t>
  </si>
  <si>
    <t>7.G4001B59947018601</t>
  </si>
  <si>
    <t>VINATEA JASMINE FLAVORED TEA 80G</t>
  </si>
  <si>
    <t>TRÀ HƯƠNG NHÀI HIỆU VINATEA, LOẠI 80G</t>
  </si>
  <si>
    <t>7.G4001B5994701A6</t>
  </si>
  <si>
    <t>VINATEA LOTUS FLAVORED TEA 80G X 22 PAPER TUBE BOXES IN CARTON</t>
  </si>
  <si>
    <t>TRÀ HƯƠNG SEN HIỆU VINATEA, LOẠI 80G X 22 LON GIẤY ĐÓNG TRONG THÙNG CARTON</t>
  </si>
  <si>
    <t>7.G4001B5994701A601</t>
  </si>
  <si>
    <t>VINATEA LOTUS FLAVORED TEA 80G</t>
  </si>
  <si>
    <t>TRÀ HƯƠNG SEN HIỆU VINATEA, LOẠI 80G</t>
  </si>
  <si>
    <t>7.G4001B5994701A7</t>
  </si>
  <si>
    <t>VINATEA CHAMOMILE TEA 80G X 22 PAPER TUBE BOXES IN CARTON</t>
  </si>
  <si>
    <t>TRÀ HOA CÚC MẬT HIỆU VINATEA, LOẠI 80G X 22 LON GIẤY ĐÓNG TRONG THÙNG CARTON</t>
  </si>
  <si>
    <t>7.G4001B5994701A701</t>
  </si>
  <si>
    <t>VINATEA CHAMOMILE TEA 80G</t>
  </si>
  <si>
    <t>TRÀ HOA CÚC MẬT HIỆU VINATEA, LOẠI 80G</t>
  </si>
  <si>
    <t>V51.064.005</t>
  </si>
  <si>
    <t>POWER100 LEAFLET A5</t>
  </si>
  <si>
    <t>TỜ RƠI A5 POWER100</t>
  </si>
  <si>
    <t>V51.901.083</t>
  </si>
  <si>
    <t>STANDEE POWER100</t>
  </si>
  <si>
    <t>KHUNG QUẢNG CÁO (STANDEE) POWER100</t>
  </si>
  <si>
    <t>7.5221230005L0000</t>
  </si>
  <si>
    <t>GREENKEY CAKEFL KINH DO MDLZ PRO7.5-8.5%</t>
  </si>
  <si>
    <t>6.1213004</t>
  </si>
  <si>
    <t>DOUBLE REFINED PALM STEARIN</t>
  </si>
  <si>
    <t>CHẤT BÉO CỌ CALMAX 5155</t>
  </si>
  <si>
    <t>6.1213521</t>
  </si>
  <si>
    <t>PALM FAT CALMAX MP 51-55 / RSPO MB</t>
  </si>
  <si>
    <t>CHẤT BÉO CỌ CALMAX 5155 RSPO MB</t>
  </si>
  <si>
    <t>CO-OLIVOILA POMACE OLIVE OIL 5LX3BTL</t>
  </si>
  <si>
    <t>7.475056081701020</t>
  </si>
  <si>
    <t>CO-OLIVOILA POMACE OLIVE OIL IN BOT @5L</t>
  </si>
  <si>
    <t>7.101041590801H70</t>
  </si>
  <si>
    <t>PALM FAT CALMAX 5155 IN PE BAG @25KG</t>
  </si>
  <si>
    <t>CHẤT BÉO CỌ CALMAX 5155 25KG</t>
  </si>
  <si>
    <t>7.101041590801H80</t>
  </si>
  <si>
    <t>PALM FAT CALMAX 5155 PE BAG@25KG/RSPO MB</t>
  </si>
  <si>
    <t>CHẤT BÉO CỌ CALMAX 5155 RSPO MB 25KG</t>
  </si>
  <si>
    <t>7.707704N228170000</t>
  </si>
  <si>
    <t>POWER100MULTIPPSGLASSCLEANERMINTBTL@3.8L</t>
  </si>
  <si>
    <t>NƯỚC LAU KÍNH ĐA NĂNG POWER100 HƯƠNG BẠC HÀ 3.8L</t>
  </si>
  <si>
    <t>POWER100MULTIPPGLASSCLEANERMINT3.8L*4BTL</t>
  </si>
  <si>
    <t>NƯỚC LAU KÍNH ĐA NĂNG POWER100 HƯƠNG BẠC HÀ 3.8L*4</t>
  </si>
  <si>
    <t>V51.00A.071</t>
  </si>
  <si>
    <t>GREEN HANGING PLASTIC ROPE</t>
  </si>
  <si>
    <t>DÂY NHỰA TREO MÀU XANH LÁ</t>
  </si>
  <si>
    <t>7.705G5</t>
  </si>
  <si>
    <t>SWING NOODLE 9010 IN BAG 4KG</t>
  </si>
  <si>
    <t>SWING NOODLE 9010- PHÔI XÀ PHÒNG, NGUYÊN LIỆU TRONG SẢN XUẤT XÀ BÔNG CỤC ĐÓNG TRONG BAO 4KG</t>
  </si>
  <si>
    <t>V51.052.003</t>
  </si>
  <si>
    <t>GRANULE NEPTUNE 200G</t>
  </si>
  <si>
    <t>7.52211207B952710</t>
  </si>
  <si>
    <t>MEIZAN NOODLE-PAU FL W/BENZOYL 1KG*10BAG</t>
  </si>
  <si>
    <t>7.52211207B952701</t>
  </si>
  <si>
    <t>7.522145071362701</t>
  </si>
  <si>
    <t>7.522145291362701</t>
  </si>
  <si>
    <t>7.5221540205D1901</t>
  </si>
  <si>
    <t>GREENSATELLITE CAKEFL W/FE,ZN PPBAG@25KG</t>
  </si>
  <si>
    <t>BỘT MÌ VỆ TINH XANH LÁ</t>
  </si>
  <si>
    <t>7.522068020901901</t>
  </si>
  <si>
    <t>BROWNCOMPASS MULTIPURPOSE 9% PPBAG@25KG</t>
  </si>
  <si>
    <t>BỘT MÌ LA BÀN NÂU 25KG</t>
  </si>
  <si>
    <t>7.522185001320000</t>
  </si>
  <si>
    <t>LWW-1 SOFT WHEAT FL PRO11.5-12.8% FE&amp;ZN</t>
  </si>
  <si>
    <t>7.52213709A931901</t>
  </si>
  <si>
    <t>RED COMPASS NOODLEFL MASAN XK PPBAG@40KG</t>
  </si>
  <si>
    <t>7.5221230205J1901</t>
  </si>
  <si>
    <t>GREENKEYCAKEFLIMANAKA ASH0.45%PPBAG@25KG</t>
  </si>
  <si>
    <t>7.5221230207G1901</t>
  </si>
  <si>
    <t>GREENKEYCAKEFL BIBICA 8.3-9.3%PPBAG@25KG</t>
  </si>
  <si>
    <t>7.52213602B071901</t>
  </si>
  <si>
    <t>REDSATELLITE BREADFL JOLLIBEE PPBAG@25KG</t>
  </si>
  <si>
    <t>7.522123020561901</t>
  </si>
  <si>
    <t>GREEN KEY CAKE FLOUR PRO 7% PPBAG@25KG</t>
  </si>
  <si>
    <t>7.522134021621901</t>
  </si>
  <si>
    <t>BLUECOMPASSFRIEDCHICKENFL KFC PPBAG@25KG</t>
  </si>
  <si>
    <t>7.5221540205P1901</t>
  </si>
  <si>
    <t>GREENSATELLITECAKEFLBISCAFUNKVC BAG@25KG</t>
  </si>
  <si>
    <t>7.5221230206U0601</t>
  </si>
  <si>
    <t>GREENKEYCAKEFLNISSHIN 8.2-9.2PPRBAG@25KG</t>
  </si>
  <si>
    <t>7.5221230207F1901</t>
  </si>
  <si>
    <t>GREENKEY CAKEFL HCM PRO7.8-8.3PPBAG@25KG</t>
  </si>
  <si>
    <t>7.522123090531901</t>
  </si>
  <si>
    <t>GREENKEYCAKEFLLIENHUNG ASH0.55PPBAG@40KG</t>
  </si>
  <si>
    <t>7.522068092221901</t>
  </si>
  <si>
    <t>BROWNCOMPASSGENERALFL PDS 9-12PPBAG@40KG</t>
  </si>
  <si>
    <t>BỘT MÌ LA BÀN NÂU 40KG</t>
  </si>
  <si>
    <t>7.52215802B291901</t>
  </si>
  <si>
    <t>MS-1 BREAD FL VFK PRO10-10.9% PPBAG@25KG</t>
  </si>
  <si>
    <t>7.52216102B081901</t>
  </si>
  <si>
    <t>PINK KEY BREAD FL VFK PRO 13% PPBAG@25KG</t>
  </si>
  <si>
    <t>7.52207102B681901</t>
  </si>
  <si>
    <t>RED KEY NOODLEFL VFK PRO11-12%PPBAG@25KG</t>
  </si>
  <si>
    <t>7.5221230206Q1901</t>
  </si>
  <si>
    <t>GREENKEY CAKEFL HCM FE,ZN PPBAG@25KG</t>
  </si>
  <si>
    <t>7.52218709B571901</t>
  </si>
  <si>
    <t>28 NOODLE FL 10-10.7% W/FE,ZN PPBAG@40KG</t>
  </si>
  <si>
    <t>7.52218309A321901</t>
  </si>
  <si>
    <t>26 NOODLE FLOUR PRO 9-12% PPBAG@40KG</t>
  </si>
  <si>
    <t>7.52214202A790601</t>
  </si>
  <si>
    <t>BCR-1 BREADFL NISSHIN ASH0.38PPRBAG@25KG</t>
  </si>
  <si>
    <t>7.522114020470601</t>
  </si>
  <si>
    <t>BLUEKEYPAUFL NISSHIN 9.5-10.5PPRBAG@25KG</t>
  </si>
  <si>
    <t>7.52213709B621901</t>
  </si>
  <si>
    <t>REDCOMPASSNOODLEFL BT 10-12%FEZNBAG@40KG</t>
  </si>
  <si>
    <t>7.52213409A921901</t>
  </si>
  <si>
    <t>BLUECOMPASS NOODLEFL BT FE&amp;ZN PPBAG@40KG</t>
  </si>
  <si>
    <t>7.52206702B741901</t>
  </si>
  <si>
    <t>RED PEN BREADFL POULTRY FE&amp;ZN PPBAG@25KG</t>
  </si>
  <si>
    <t>7.52213709B651901</t>
  </si>
  <si>
    <t>REDCOMPASSNOODLEFL MASAN 10-11PPBAG@40KG</t>
  </si>
  <si>
    <t>7.52211402A291901</t>
  </si>
  <si>
    <t>BLUE KEY NOODLE FL MASAN PRO9%PPBAG@25KG</t>
  </si>
  <si>
    <t>7.52213409A821901</t>
  </si>
  <si>
    <t>BLUECOMPASS NOODLEFL VIFON 0.7PPBAG@40KG</t>
  </si>
  <si>
    <t>7.522114000470000</t>
  </si>
  <si>
    <t>BLUE KEY PAU FLOUR NISSHIN PRO 9.5-10.5%</t>
  </si>
  <si>
    <t>7.522161021451901</t>
  </si>
  <si>
    <t>PINK KEY SNACK FL LWW W/FE&amp;ZN PPBAG@25KG</t>
  </si>
  <si>
    <t>7.52213602B431901</t>
  </si>
  <si>
    <t>REDSATELLITEBREADFL RB ASH0.52PPBAG@25KG</t>
  </si>
  <si>
    <t>7.52207102B611901</t>
  </si>
  <si>
    <t>REDKEY NOODLEFL VINAMILK 11-12PPBAG@25KG</t>
  </si>
  <si>
    <t>7.52214202A260601</t>
  </si>
  <si>
    <t>BCR-1 BREAD FLOUR ASH0.42% PAPERBAG@25KG</t>
  </si>
  <si>
    <t>7.52206702A591901</t>
  </si>
  <si>
    <t>RED PEN BREAD FLOUR W/FE&amp;ZN PPBAG@25KG</t>
  </si>
  <si>
    <t>7.522001020941901</t>
  </si>
  <si>
    <t>PLAIN FLOUR IN PP BAG @25KG</t>
  </si>
  <si>
    <t>7.52213602A611901</t>
  </si>
  <si>
    <t>REDSATELLITE BREADFL REBISCO PPBAG@25KG</t>
  </si>
  <si>
    <t>7.522068021641901</t>
  </si>
  <si>
    <t>BROWNCOMPASSPREMIXFL AJI XT FUMIBAG@25KG</t>
  </si>
  <si>
    <t>7.5221230205O1901</t>
  </si>
  <si>
    <t>GREENKEYCAKEFL REBISCO PRO8.5%PPBAG@25KG</t>
  </si>
  <si>
    <t>7.5221230205M1901</t>
  </si>
  <si>
    <t>GREENKEY CAKEFL MASAN ASH0.45%PPBAG@25KG</t>
  </si>
  <si>
    <t>7.5221840205U1901</t>
  </si>
  <si>
    <t>LWW-3 HARD WHEAT FL 12.5-13.5%PPBAG@25KG</t>
  </si>
  <si>
    <t>7.522187091441901</t>
  </si>
  <si>
    <t>28 NOODLE FL MDLZ 10.5% FE&amp;ZN PPBAG@40KG</t>
  </si>
  <si>
    <t>7.522068021751901</t>
  </si>
  <si>
    <t>BROWNCOMPASS MULTIPURPOSE 333 PPBAG@25KG</t>
  </si>
  <si>
    <t>MEIZAN NOODLE-PAU FL W/BENZOYL PEBAG@1KG</t>
  </si>
  <si>
    <t>COMPASS MULTIPURPOSE FLOUR PEBAG @0.5KG</t>
  </si>
  <si>
    <t>COMPASS MULTIPURPOSE FLOUR PEBAG @1KG</t>
  </si>
  <si>
    <t>7.522138021341901</t>
  </si>
  <si>
    <t>ACE GLUESSTICKFLOUR PRO8% IN PPBAG@25KG</t>
  </si>
  <si>
    <t>BỘT MÌ CÔNG NGHIỆP ACE 25KG</t>
  </si>
  <si>
    <t>7.522179023291901</t>
  </si>
  <si>
    <t>AP FEED FLOUR 12.5-13.5% PPBAG@25KG</t>
  </si>
  <si>
    <t>7.52206702B901901</t>
  </si>
  <si>
    <t>REDPEN BREAD FLOUR LAOS PRO11%PPBAG@25KG</t>
  </si>
  <si>
    <t>7.52206702B851901</t>
  </si>
  <si>
    <t>RED PEN BREAD FL W/VIT,FE,ZN PPBAG@25KG</t>
  </si>
  <si>
    <t>7.52206701B891901</t>
  </si>
  <si>
    <t>RED PEN BREAD FLOUR W/VIT PPBAG@5KG</t>
  </si>
  <si>
    <t>7.52215902B911901</t>
  </si>
  <si>
    <t>ORANGE KEY BREAD FL LAOS 111 PPBAG@25KG</t>
  </si>
  <si>
    <t>7.52215902B771901</t>
  </si>
  <si>
    <t>ORANGEKEY BREAD FL LAO 11-14% PPBAG@25KG</t>
  </si>
  <si>
    <t>7.52215902A631901</t>
  </si>
  <si>
    <t>ORANGEKEY BREADFL W/FE,ZN,VIT PPBAG@25KG</t>
  </si>
  <si>
    <t>BỘT MÌ CHÌA KHÓA CAM 25KG</t>
  </si>
  <si>
    <t>7.522159010092701</t>
  </si>
  <si>
    <t>ORANGE KEY BREAD FLOUR 11.5% PEBAG@5KG</t>
  </si>
  <si>
    <t>BỘT MÌ CHÌA KHÓA CAM 5KG</t>
  </si>
  <si>
    <t>7.52207102B791901</t>
  </si>
  <si>
    <t>RED KEY BREAD FL LAOS W/VIT PPBAG@25KG</t>
  </si>
  <si>
    <t>7.52207102B041901</t>
  </si>
  <si>
    <t>RED KEY BREAD FL KA W/ENZYMES PPBAG@25KG</t>
  </si>
  <si>
    <t>7.52207102A691901</t>
  </si>
  <si>
    <t>REDKEY BREAD FLOUR PRO 11-13% PPBAG@25KG</t>
  </si>
  <si>
    <t>7.52207101B242701</t>
  </si>
  <si>
    <t>RED KEY BREAD FLOUR PRO11-13% PEBAG@5KG</t>
  </si>
  <si>
    <t>7.52207102B801901</t>
  </si>
  <si>
    <t>REDKEY BREADFL SP W/FE,ZN,BNZ PPBAG@25KG</t>
  </si>
  <si>
    <t>7.52207101C122701</t>
  </si>
  <si>
    <t>RED KEY BREAD FLOUR SP W/BNZ PEBAG@5KG</t>
  </si>
  <si>
    <t>7.52216102A651901</t>
  </si>
  <si>
    <t>PINK KEY BREADFLOUR W/BENZOYL PPBAG@25KG</t>
  </si>
  <si>
    <t>7.5221610106D2701</t>
  </si>
  <si>
    <t>PINK KEY VEGETARIAN FL PRO14% PEBAG@5KG</t>
  </si>
  <si>
    <t>7.5221140207I1901</t>
  </si>
  <si>
    <t>BLUE KEY PAU FL W/FE,ZN,BNZ PPBAG@25KG</t>
  </si>
  <si>
    <t>7.5221140105X2701</t>
  </si>
  <si>
    <t>BLUEKEY PAU FLOUR 9% W/ENZYME PEBAG@5KG</t>
  </si>
  <si>
    <t>7.5221140207J1901</t>
  </si>
  <si>
    <t>BLUEKEY PAUFLOUR PM W/ENZYM,FE,ZN @25KG</t>
  </si>
  <si>
    <t>7.5221140205Y1901</t>
  </si>
  <si>
    <t>BLUEKEY PAU FLOUR SP W/ENZYME PPBAG@25KG</t>
  </si>
  <si>
    <t>7.5221140105Y2701</t>
  </si>
  <si>
    <t>BLUEKEY PAU FL SP 9.2%W/ENZYME PEBAG@5KG</t>
  </si>
  <si>
    <t>7.5221230206G1901</t>
  </si>
  <si>
    <t>GREENKEY CAKEFL 111BISCAFUN W/FE&amp;ZN@25KG</t>
  </si>
  <si>
    <t>7.5221230207T1901</t>
  </si>
  <si>
    <t>GREENKEY CAKEFL 111BISCAFUN 9% PPBG@25KG</t>
  </si>
  <si>
    <t>7.5221230207C1901</t>
  </si>
  <si>
    <t>GREEN KEY CAKE FLOUR 111 PPBAG@25KG</t>
  </si>
  <si>
    <t>7.5221230206H1901</t>
  </si>
  <si>
    <t>GREEN KEY CAKE FL 111 TRANGAN PPBAG@25KG</t>
  </si>
  <si>
    <t>7.5221230207O1901</t>
  </si>
  <si>
    <t>GREEN KEY CAKE FLOUR LAOS PPBAG@25KG</t>
  </si>
  <si>
    <t>7.5221230206C1901</t>
  </si>
  <si>
    <t>GREENKEY CAKE FL PHAM NGUYEN PPBAG@25KG</t>
  </si>
  <si>
    <t>7.5221230205B0601</t>
  </si>
  <si>
    <t>GREENKEY CAKEFL ORION 8-8.3%PAPERBG@25KG</t>
  </si>
  <si>
    <t>7.5221230207S1901</t>
  </si>
  <si>
    <t>GREEN KEY CAKE FLOUR BAOHUNG PPBAG@25KG</t>
  </si>
  <si>
    <t>7.5221230106B2701</t>
  </si>
  <si>
    <t>GREEN KEY CAKE FLOUR PRO 7.2% PEBAG@5KG</t>
  </si>
  <si>
    <t>7.5221230207P1901</t>
  </si>
  <si>
    <t>GREENKEY CAKE FLOUR SPTRANGAN PPBAG@25KG</t>
  </si>
  <si>
    <t>BỘT MÌ CHÌA KHÓA XANH LÁ SP 25KG</t>
  </si>
  <si>
    <t>7.5221230206J1901</t>
  </si>
  <si>
    <t>GREEN KEY CAKE FLOUR SP PPBAG@25KG</t>
  </si>
  <si>
    <t>7.5221230206K1901</t>
  </si>
  <si>
    <t>GREENKEY CAKEFLOUR SP DIAMOND PPBAG@25KG</t>
  </si>
  <si>
    <t>7.5221230106J2701</t>
  </si>
  <si>
    <t>GREENKEY CAKE FLOUR SP 7.5-9.5%PEBAG@5KG</t>
  </si>
  <si>
    <t>7.52211402C101901</t>
  </si>
  <si>
    <t>BLUE KEY NOODLE FL MASAN PPBAG@25KG</t>
  </si>
  <si>
    <t>BỘT MÌ CKX MÌ SỢI 25KG</t>
  </si>
  <si>
    <t>7.52211402C131901</t>
  </si>
  <si>
    <t xml:space="preserve">BLUEKEY NOODLE FL W/FE,ZN,BNZ PPBAG@25KG_x000D_
</t>
  </si>
  <si>
    <t>7.52211402B251901</t>
  </si>
  <si>
    <t xml:space="preserve">BLUE KEY NOODLE FLOUR AN PHU PPBAG@25KG_x000D_
</t>
  </si>
  <si>
    <t>7.52211401B972701</t>
  </si>
  <si>
    <t xml:space="preserve">BLUE KEY NOODLE FL W/BENZOYL PEBAG@5KG_x000D_
</t>
  </si>
  <si>
    <t>BỘT MÌ CKX MÌ SỢI 5KG</t>
  </si>
  <si>
    <t>7.52213709C071901</t>
  </si>
  <si>
    <t>RED COMPASS NOODLE FL MASAN PPBAG@40KG</t>
  </si>
  <si>
    <t>BỘT MÌ LA BÀN ĐỎ (40KG)</t>
  </si>
  <si>
    <t>7.52213702A251901</t>
  </si>
  <si>
    <t>RED COMPASS BREAD FLOUR LAOS PPBAG@25KG</t>
  </si>
  <si>
    <t>7.52213702B711901</t>
  </si>
  <si>
    <t>RED COMPASS NOODLE FL MICOEM PPBAG@25KG</t>
  </si>
  <si>
    <t>7.5221370206I1901</t>
  </si>
  <si>
    <t>RED COMPASS MOONCAKEFL BIBICA PPBAG@25KG</t>
  </si>
  <si>
    <t>7.52213702B311901</t>
  </si>
  <si>
    <t>REDCOMPASS BREAD FL W/ENZ,VIT PPBAG@25KG</t>
  </si>
  <si>
    <t>7.52213709B201901</t>
  </si>
  <si>
    <t>RED COMPASS NOODLE FL PALDO PPBAG@25KG</t>
  </si>
  <si>
    <t>7.522137012142701</t>
  </si>
  <si>
    <t>RED COMPASS MULTIPURPOSE FL PEBAG@5KG</t>
  </si>
  <si>
    <t>7.522068022121901</t>
  </si>
  <si>
    <t>BROWNCOMPASS MULTIPURPOSE 111 LAOS @25KG</t>
  </si>
  <si>
    <t>7.522068021361901</t>
  </si>
  <si>
    <t>BROWNCOMPASS MULTIPURPOSE 111 PPBAG@25KG</t>
  </si>
  <si>
    <t>BỘT MÌ LA BÀN NÂU - 111 25KG</t>
  </si>
  <si>
    <t>7.522068011362701</t>
  </si>
  <si>
    <t>BROWNCOMPASS MULTIPURPOSE 111 PEBAG@5KG</t>
  </si>
  <si>
    <t>BỘT MÌ LA BÀN NÂU - 111 5KG</t>
  </si>
  <si>
    <t>7.522068022101901</t>
  </si>
  <si>
    <t>BROWNCOMPASS MULTIPURPOSE 333BIMBIM@25KG</t>
  </si>
  <si>
    <t>7.5220680207L1901</t>
  </si>
  <si>
    <t>BROWNCOMPASS CRACKERFL 333CONGTUYEN@25KG</t>
  </si>
  <si>
    <t>7.522068021981901</t>
  </si>
  <si>
    <t>BROWNCOMPASS MULTIPURPOSE 555 PPBAG@25KG</t>
  </si>
  <si>
    <t>7.522068022131901</t>
  </si>
  <si>
    <t>BROWNCOMPASS MULTIPURPOSE 999 PPBAG@25KG</t>
  </si>
  <si>
    <t>7.52206809B691901</t>
  </si>
  <si>
    <t>BROWN COMPASS NOODLE FL MASAN PPBAG@40KG</t>
  </si>
  <si>
    <t>BỘT MÌ LA BÀN NÂU (40KG)</t>
  </si>
  <si>
    <t>7.5220680207K1901</t>
  </si>
  <si>
    <t>BROWNCOMPASS CRACKERFL 111 BAOHUNG @25KG</t>
  </si>
  <si>
    <t>BỘT MÌ LA BÀN NÂU -111 25KG</t>
  </si>
  <si>
    <t>7.522068022001901</t>
  </si>
  <si>
    <t>BROWNCOMPASSMULTIPURPOSE PHAMNGUYEN@25KG</t>
  </si>
  <si>
    <t>7.52206802B261901</t>
  </si>
  <si>
    <t>BROWN COMPASS NOODLE FL HANOI FOOD@25KG</t>
  </si>
  <si>
    <t>7.522068012262701</t>
  </si>
  <si>
    <t>BROWNCOMPASS MULTIPURPOSE 9.2% PEBAG@5KG</t>
  </si>
  <si>
    <t>7.52213402C111901</t>
  </si>
  <si>
    <t>BLUE COMPASS NOODLE FL MICOEM PPBAG@25KG</t>
  </si>
  <si>
    <t>7.52213402C081901</t>
  </si>
  <si>
    <t>BLUE COMPASS NOODLE FL VIFON PPBAG@25KG</t>
  </si>
  <si>
    <t>7.522134022191901</t>
  </si>
  <si>
    <t>BLUECOMPASS FRIEDCHICKNFL KFC PPBAG@25KG</t>
  </si>
  <si>
    <t>7.52213402A271901</t>
  </si>
  <si>
    <t>BLUECOMPASS BREADFLW/FE,ZN,BNZPPBAG@25KG</t>
  </si>
  <si>
    <t>7.52213402B981901</t>
  </si>
  <si>
    <t>BLUE COMPASS TIPO FL HUU NGHI PPBAG@25KG</t>
  </si>
  <si>
    <t>7.52213409B481901</t>
  </si>
  <si>
    <t>BLUECOMPASS NOODLEFL FE,ZN,BNZPPBAG@40KG</t>
  </si>
  <si>
    <t>7.522134011742701</t>
  </si>
  <si>
    <t>BLUE COMPASS MULTIPURPOSEFL9.2%PEBAG@5KG</t>
  </si>
  <si>
    <t>7.522186050510601</t>
  </si>
  <si>
    <t>PIZZA WHEAT FLOUR PIZZA HUT PAPERBG@10KG</t>
  </si>
  <si>
    <t>7.52218002B861901</t>
  </si>
  <si>
    <t>SATELLITE BREAD FLOUR LAOS PPBAG@25KG</t>
  </si>
  <si>
    <t>7.52218002B511901</t>
  </si>
  <si>
    <t>SATELLITE BREADFLOUR KINHDO PPBAG@25KG</t>
  </si>
  <si>
    <t>7.52213602B841901</t>
  </si>
  <si>
    <t>RED SATELLITE SANDWICH FL HUU NGHI@25KG</t>
  </si>
  <si>
    <t>7.52213602B921901</t>
  </si>
  <si>
    <t>RED SATELLITE BREAD FL LIBRA PPBAG@25KG</t>
  </si>
  <si>
    <t>7.52213602C141901</t>
  </si>
  <si>
    <t>REDSATELLITE BREAD FL KINH DO PPBAG@25KG</t>
  </si>
  <si>
    <t>7.52213602B371901</t>
  </si>
  <si>
    <t>REDSATELLITE BREADFL W/VIT,ENZ PPBG@25KG</t>
  </si>
  <si>
    <t>BỘT MÌ VỆ TINH ĐỎ 25KG</t>
  </si>
  <si>
    <t>7.52213601B882701</t>
  </si>
  <si>
    <t>REDSATELLITE BREADFL W/BNZ,VIT PEBAG@5KG</t>
  </si>
  <si>
    <t>6.52299R724</t>
  </si>
  <si>
    <t>NOODLE FLOUR VF2 ASH 0.55% W/FE&amp;ZN</t>
  </si>
  <si>
    <t>BỘT MÌ VFMW-2</t>
  </si>
  <si>
    <t>6.52299R725</t>
  </si>
  <si>
    <t>NOODLE FLOUR VF4 ASH 0.6% W/FE&amp;ZN</t>
  </si>
  <si>
    <t>BỘT MÌ VFMW-4</t>
  </si>
  <si>
    <t>7.522112012262701</t>
  </si>
  <si>
    <t>MEIZAN MULTIPURPOSE W/FE&amp;ZN PEBAG@5KG</t>
  </si>
  <si>
    <t>7.522112012292787</t>
  </si>
  <si>
    <t>MEIZAN MULTIPURPOSE FL 8.5% 5KG X 6BAG</t>
  </si>
  <si>
    <t>7.522112012072501</t>
  </si>
  <si>
    <t>7.522134021591901</t>
  </si>
  <si>
    <t>BLUE COMPASS GENERAL FL AFI PPBAG@25KG</t>
  </si>
  <si>
    <t>7.522068021721901</t>
  </si>
  <si>
    <t>BROWNCOMPASS MULTIPURPOSE AFI 9FEZN@25KG</t>
  </si>
  <si>
    <t>7.522068021931901</t>
  </si>
  <si>
    <t>BROWNCOMPASS COOKIESFL STF 9.7-10.9@25KG</t>
  </si>
  <si>
    <t>7.522137092161901</t>
  </si>
  <si>
    <t>REDCOMPASSCOOKIESFL MDLZ 10.5-11.5%@40KG</t>
  </si>
  <si>
    <t>7.522068021631901</t>
  </si>
  <si>
    <t>BROWNCOMPASS PREMIXFL AJI FE,ZNPPBG@25KG</t>
  </si>
  <si>
    <t>7.52207102B030601</t>
  </si>
  <si>
    <t>RED KEY BREADFL NISSHIN 11.2%PPRBAG@25KG</t>
  </si>
  <si>
    <t>7.5221230005B0000</t>
  </si>
  <si>
    <t>GREEN KEY CAKE FL ORION PRO8-8.3%ASH0.4%</t>
  </si>
  <si>
    <t>7.522068021651901</t>
  </si>
  <si>
    <t>BROWNCOMPASSCOOKIESFL PN 9.5-10.5BG@25KG</t>
  </si>
  <si>
    <t>7.5221230205N0601</t>
  </si>
  <si>
    <t>GREENKEY CAKEFL PDS PRO11% PAPERBAG@25KG</t>
  </si>
  <si>
    <t>7.522134091601901</t>
  </si>
  <si>
    <t>BLUE COMPASS GENERAL FL ASIA PPBAG@40KG</t>
  </si>
  <si>
    <t>7.52213609B161901</t>
  </si>
  <si>
    <t>REDSATELLITEBREADFL MDLZ 12-14.5BAG@40KG</t>
  </si>
  <si>
    <t>7.52213709C041901</t>
  </si>
  <si>
    <t>REDCOMPASSBREADFL THIEN HUONG PPBAG@40KG</t>
  </si>
  <si>
    <t>7.522001021471901</t>
  </si>
  <si>
    <t>SEMOLINA FLOUR IN PP BAG@25KG</t>
  </si>
  <si>
    <t>7.52213709C061901</t>
  </si>
  <si>
    <t>REDCOMPASSNOODLEFL VIFON 10.5%PPBAG@40KG</t>
  </si>
  <si>
    <t>7.5221230905L1901</t>
  </si>
  <si>
    <t>GREENKEY CAKEFL KINH DO MDLZ PPBAG @40KG</t>
  </si>
  <si>
    <t>7.5221230205S1901</t>
  </si>
  <si>
    <t>GREEN KEY CAKE FL KIDO 8-10% PPBAG@25KG</t>
  </si>
  <si>
    <t>7.522157020491901</t>
  </si>
  <si>
    <t>LWW-2 CRACKER FLOUR IN PPBAG@25KG</t>
  </si>
  <si>
    <t>7.522185021321901</t>
  </si>
  <si>
    <t>LWW-1 SOFT WHEAT FL W/FE&amp;ZN PPBAG@25KG</t>
  </si>
  <si>
    <t>7.52214202C010601</t>
  </si>
  <si>
    <t>BCR-1 BREADFLSUMIMOTO 12.5%PAPERBAG@25KG</t>
  </si>
  <si>
    <t>7.52211402A301901</t>
  </si>
  <si>
    <t>BLUEKEY NOODLEFL SUMIMOTO KVC PPBAG@25KG</t>
  </si>
  <si>
    <t>7.522134022051901</t>
  </si>
  <si>
    <t>BLUE COMPASS MULTIFL BIBICA W/FE&amp;ZN@25KG</t>
  </si>
  <si>
    <t>7.522068091551901</t>
  </si>
  <si>
    <t>BROWNCOMPASS GENERALFL FL 333 FE&amp;ZN@40KG</t>
  </si>
  <si>
    <t>7.52213602A621901</t>
  </si>
  <si>
    <t>REDSATELLITE BREADFL HN ASH0.56%BAG@25KG</t>
  </si>
  <si>
    <t>7.522071021461901</t>
  </si>
  <si>
    <t>RED KEY GENERAL FL AFI  10.5% PPBAG@25KG</t>
  </si>
  <si>
    <t>7.522068021821901</t>
  </si>
  <si>
    <t>BROWNCOMPASS PREMIXFL AFI FEZNPPBAG@25KG</t>
  </si>
  <si>
    <t>7.52211402C051901</t>
  </si>
  <si>
    <t>BLUE KEY NOODLE FLOUR RB 9-12%PPBAG@25KG</t>
  </si>
  <si>
    <t>7.52216102A431901</t>
  </si>
  <si>
    <t>PINKKEY BREADFL RB 13MIN0.5MAXPPBAG@25KG</t>
  </si>
  <si>
    <t>7.52207102B641901</t>
  </si>
  <si>
    <t>RED KEY NOODLE FL RB PRO11-13%PPBAG@25KG</t>
  </si>
  <si>
    <t>7.52215802B381901</t>
  </si>
  <si>
    <t>MS-1 BREAD FLOUR RB 10.8-11.5%PPBAG@25KG</t>
  </si>
  <si>
    <t>7.52213602B471901</t>
  </si>
  <si>
    <t>REDSATELLITE BREAD FL PDS ENZ PPBAG@25KG</t>
  </si>
  <si>
    <t>7.52213409A511901</t>
  </si>
  <si>
    <t>BLUECOMPASSNOODLEFL PDS FEZNBNZPBAG@40KG</t>
  </si>
  <si>
    <t>7.5221140205R1901</t>
  </si>
  <si>
    <t>BLUE KEY PAU FL KIDO PRO8-11% PPBAG@25KG</t>
  </si>
  <si>
    <t>7.522114020581901</t>
  </si>
  <si>
    <t>BLUE KEY PAU FL LWW PRO10-12% PPBAG@25KG</t>
  </si>
  <si>
    <t>7.52213802B111901</t>
  </si>
  <si>
    <t>ACE BREAD FLOUR 10% W/ENZYMES PPBAG@25KG</t>
  </si>
  <si>
    <t>BỘT MÌ ACE-1 25KG</t>
  </si>
  <si>
    <t>7.52213409A561901</t>
  </si>
  <si>
    <t>BLUECOMPASS BREADFL 111 FE&amp;ZN PPBAG@40KG</t>
  </si>
  <si>
    <t>BỘT MÌ LA BÀN XANH - 111 40KG</t>
  </si>
  <si>
    <t>7.52213409A571901</t>
  </si>
  <si>
    <t>BLUE COMPASS BREADFL 333 10.1%PPBAG@40KG</t>
  </si>
  <si>
    <t>7.52213409A581901</t>
  </si>
  <si>
    <t>BLUE COMPASS BREADFL 555 10.3%PPBAG@40KG</t>
  </si>
  <si>
    <t>7.52213409A531901</t>
  </si>
  <si>
    <t>BLUECOMPASS NOODLEFL 666 10.5%PPBAG@40KG</t>
  </si>
  <si>
    <t>BỘT MÌ LA BÀN XANH - 666 40KG</t>
  </si>
  <si>
    <t>7.52213409A541901</t>
  </si>
  <si>
    <t>BLUE COMPASS NOODLEFL 888 12% PPBAG@40KG</t>
  </si>
  <si>
    <t>BỘT MÌ LA BÀN XANH - 888 40KG</t>
  </si>
  <si>
    <t>7.52213409A551901</t>
  </si>
  <si>
    <t>BLUECOMPASS NOODLEFL 999 10.2%PPBAG@40KG</t>
  </si>
  <si>
    <t>7.52211402A591901</t>
  </si>
  <si>
    <t>BLUE KEY BREAD FLOUR 11-13% PPBAG@25KG</t>
  </si>
  <si>
    <t>BỘT MÌ CHÌA KHÓA XANH 25KG</t>
  </si>
  <si>
    <t>7.52211409A591901</t>
  </si>
  <si>
    <t>BLUE KEY BREAD FLOUR 11-13% PPBAG@40KG</t>
  </si>
  <si>
    <t>BỘT MÌ CHÌA KHÓA XANH 40KG</t>
  </si>
  <si>
    <t>7.522114020450601</t>
  </si>
  <si>
    <t>BLUE KEY PIAFL 111 10.5-12%PAPERBAG@25KG</t>
  </si>
  <si>
    <t>BỘT MÌ CHÌA KHÓA XANH - 111 25KG</t>
  </si>
  <si>
    <t>7.52211402A521901</t>
  </si>
  <si>
    <t>BLUE KEY NOODLE FLOUR 10-12% PPBAG @25KG</t>
  </si>
  <si>
    <t>7.5221140206L1901</t>
  </si>
  <si>
    <t>BLUE KEY PAU FL W/BNZ,FE,ZN PPBAG@25KG</t>
  </si>
  <si>
    <t>BỘT MÌ CKX BÁNH BAO 25KG</t>
  </si>
  <si>
    <t>7.522114020591901</t>
  </si>
  <si>
    <t>BLUE KEY PAU FLOUR SP PRO 10% PPBAG@25KG</t>
  </si>
  <si>
    <t>7.5221146705A1901</t>
  </si>
  <si>
    <t>BLUE KEY PAUFL PAU ThO PHAT PPBAG@37.5KG</t>
  </si>
  <si>
    <t>7.52214409A981901</t>
  </si>
  <si>
    <t>BLUE VI VI NOODLE FL W/FE&amp;ZN PPBAG@40KG</t>
  </si>
  <si>
    <t>7.522068022221901</t>
  </si>
  <si>
    <t>BROWNCOMPASSGENERALFL PDS 9-12PPBAG@25KG</t>
  </si>
  <si>
    <t>7.522068090901901</t>
  </si>
  <si>
    <t>BROWNCOMPASS MULTIPURPOSE 9% PPBAG@40KG</t>
  </si>
  <si>
    <t>7.522068091541901</t>
  </si>
  <si>
    <t>BROWNCOMPASS GENERALFL 111 9-12%BAG@40KG</t>
  </si>
  <si>
    <t>BỘT MÌ HIỆU LA BÀN NÂU - 111 40KG</t>
  </si>
  <si>
    <t>7.522068091841901</t>
  </si>
  <si>
    <t>BROWNCOMPASSMULTIPURPOSE 555 VITBNZ@40KG</t>
  </si>
  <si>
    <t>BỘT MÌ LA BÀN NÂU - 555 40KG</t>
  </si>
  <si>
    <t>7.522068091851901</t>
  </si>
  <si>
    <t>BROWNCOMPASS MULTIPURPOSEFL 666 BNZ@40KG</t>
  </si>
  <si>
    <t>7.522068091871901</t>
  </si>
  <si>
    <t>BROWNCOMPASS MULTIPURPOSE 888 FE&amp;ZN@40KG</t>
  </si>
  <si>
    <t>BỘT MÌ LA BÀN NÂU - 888 40KG</t>
  </si>
  <si>
    <t>7.522068091861901</t>
  </si>
  <si>
    <t>BROWNCOMPASS MULTIPURPOSE 999 W/VIT@40KG</t>
  </si>
  <si>
    <t>7.52214909A281901</t>
  </si>
  <si>
    <t>DUC LE NOODLE FLOUR PRO 9-12% PPBAG@40KG</t>
  </si>
  <si>
    <t>7.52215509A341901</t>
  </si>
  <si>
    <t>GREEN VIVI BREAD FL W/ENZYME PPBAG@40KG</t>
  </si>
  <si>
    <t>7.52211207B502701</t>
  </si>
  <si>
    <t>7.5221120705D2701</t>
  </si>
  <si>
    <t>7.52215909A631901</t>
  </si>
  <si>
    <t>ORANGEKEY BREADFL W/FE,ZN,VIT PPBAG@40KG</t>
  </si>
  <si>
    <t>7.52216202A361901</t>
  </si>
  <si>
    <t>PINKSATELLITE BREAD FL 13-20% PPBAG@25KG</t>
  </si>
  <si>
    <t>7.52213709B311901</t>
  </si>
  <si>
    <t>REDCOMPASS BREAD FL W/ENZ,VIT PPBAG@40KG</t>
  </si>
  <si>
    <t>7.52213709B331901</t>
  </si>
  <si>
    <t>REDCOMPASS BREADFL 111 ENZYME PPBAG@40KG</t>
  </si>
  <si>
    <t>BỘT MÌ LA BÀN ĐỎ - 111 40KG</t>
  </si>
  <si>
    <t>7.52213709B341901</t>
  </si>
  <si>
    <t>REDCOMPASS BREADFL 333 FE&amp;ZN PPBAG@40KG</t>
  </si>
  <si>
    <t>BỘT MÌ HIỆU LA BÀN ĐỎ - 333 40KG</t>
  </si>
  <si>
    <t>7.52213709B351901</t>
  </si>
  <si>
    <t>REDCOMPASS BREAD FL 555 PPBAG@40KG</t>
  </si>
  <si>
    <t>7.52213709B361901</t>
  </si>
  <si>
    <t>REDCOMPASS BREADFL 666 0.7%BNZPPBAG@40KG</t>
  </si>
  <si>
    <t>7.52213709B131901</t>
  </si>
  <si>
    <t>REDCOMPASSBREADFL 888 ASH0.57%PPBAG@40KG</t>
  </si>
  <si>
    <t>7.52213709A681901</t>
  </si>
  <si>
    <t>REDCOMPASSBREADFL 999 ASH0.59%PPBAG@40KG</t>
  </si>
  <si>
    <t>BỘT MÌ LA BÀN ĐỎ - 999 40KG</t>
  </si>
  <si>
    <t>7.52207109A691901</t>
  </si>
  <si>
    <t>REDKEY BREAD FLOUR PRO 11-13% PPBAG@40KG</t>
  </si>
  <si>
    <t>7.52216602A631901</t>
  </si>
  <si>
    <t>REDPEGASUS BREADFLW/FE,ZN,VIT PPBAG@25KG</t>
  </si>
  <si>
    <t>7.52216709A721901</t>
  </si>
  <si>
    <t>RED VIVI BREAD FL W/FE,ZN,ENZ PPBAG@40KG</t>
  </si>
  <si>
    <t>7.5221720205F0601</t>
  </si>
  <si>
    <t>TANHUEVIENCAKEFL GREEN FE,ZN PPRBAG@25KG</t>
  </si>
  <si>
    <t>7.52217302A390601</t>
  </si>
  <si>
    <t>TANHUEVIENBREADFL PINK FE,ZN PPRBAG@25KG</t>
  </si>
  <si>
    <t>7.522001551481901</t>
  </si>
  <si>
    <t>WHOLEMEAL  FLOUR IN PP BAG @15KG</t>
  </si>
  <si>
    <t>7.52217702A751901</t>
  </si>
  <si>
    <t>YELLOWKEY BREADFL W/FE,ZN,VIT PPBAG@25KG</t>
  </si>
  <si>
    <t>BỘT MÌ CHÌA KHÓA VÀNG 25KG</t>
  </si>
  <si>
    <t>7.52217709A751901</t>
  </si>
  <si>
    <t>YELLOWKEY BREADFL W/FE,ZN,VIT PPBAG@40KG</t>
  </si>
  <si>
    <t>BỘT MÌ CHÌA KHÓA VÀNG 40KG</t>
  </si>
  <si>
    <t>7.522112292032701</t>
  </si>
  <si>
    <t>7.522112072032701</t>
  </si>
  <si>
    <t>7.522001070941901</t>
  </si>
  <si>
    <t>PLAIN FLOUR IN PP BAG @1KG</t>
  </si>
  <si>
    <t>7.522001010941901</t>
  </si>
  <si>
    <t>PLAIN FLOUR IN PP BAG @5KG</t>
  </si>
  <si>
    <t>7.522001360941901</t>
  </si>
  <si>
    <t>PLAIN FLOUR IN PP BAG @2KG</t>
  </si>
  <si>
    <t>7.522001630941901</t>
  </si>
  <si>
    <t>PLAIN FLOUR IN PP BAG @3KG</t>
  </si>
  <si>
    <t>7.522001090941901</t>
  </si>
  <si>
    <t>PLAIN FLOUR IN PP BAG @40KG</t>
  </si>
  <si>
    <t>7.52213409B531901</t>
  </si>
  <si>
    <t>BLUECOMPASS NOODLEFL HL FE,ZN,BNZ @40KG</t>
  </si>
  <si>
    <t>7.522134021401901</t>
  </si>
  <si>
    <t>BLUECOMPASSFRIEDFL MESA FEZNBNZPPBG@25KG</t>
  </si>
  <si>
    <t>BỘT MÌ LA BÀN XANH 25KG</t>
  </si>
  <si>
    <t>7.522068091681901</t>
  </si>
  <si>
    <t>BROWNCOMPASS GENERALFL 333 PDS FEZN@40KG</t>
  </si>
  <si>
    <t>7.52206809A901901</t>
  </si>
  <si>
    <t>ROWNCOMPASS NOODLEFL HL FE,ZNPPBAG@40KG</t>
  </si>
  <si>
    <t>7.522068091431901</t>
  </si>
  <si>
    <t>BROWNCOMPASS COOKIESFL TSP 9% PPBAG@40KG</t>
  </si>
  <si>
    <t>7.5221230206O1901</t>
  </si>
  <si>
    <t>GREEN KEY CAKE FL TSP ASH0.63%PPBAG@25KG</t>
  </si>
  <si>
    <t>7.52218109A601901</t>
  </si>
  <si>
    <t>SA-3 BREADFL PRO10.4% W/FE,ZN PPBAG@40KG</t>
  </si>
  <si>
    <t>BỘT MÌ SA-3 40KG</t>
  </si>
  <si>
    <t>7.5221540206T1901</t>
  </si>
  <si>
    <t>GREENSATELLITECAKEFL PDS 7.5-8PPBAG@25KG</t>
  </si>
  <si>
    <t>BỘT MÌ VỆ TINH XANH LÁ 25KG</t>
  </si>
  <si>
    <t>7.52215909B181901</t>
  </si>
  <si>
    <t>ORANGEKEY NOODLE FL CLH PPBAG@40KG</t>
  </si>
  <si>
    <t>7.522161021501901</t>
  </si>
  <si>
    <t>PINK KEY CHACHAY FLOUR TSP PPBAG@25KG</t>
  </si>
  <si>
    <t>7.52213702B391901</t>
  </si>
  <si>
    <t>REDCOMPASS BREADFL HL ASH0.65%PPBAG@25KG</t>
  </si>
  <si>
    <t>7.52213702B451901</t>
  </si>
  <si>
    <t>REDCOMPASS BREADFL KHV ASH0.62PPBAG@25KG</t>
  </si>
  <si>
    <t>7.52207109A481901</t>
  </si>
  <si>
    <t>REDKEY BREAD FL KHV PRO 11% PPBAG@40KG</t>
  </si>
  <si>
    <t>7.52207102A451901</t>
  </si>
  <si>
    <t>RED KEY NOODLE FL HL ASH0.45%PPBAG@25KG</t>
  </si>
  <si>
    <t>7.52207109B761901</t>
  </si>
  <si>
    <t>RED KEY BREADFL SP PRO13ASH0.6PPBAG@40KG</t>
  </si>
  <si>
    <t>BỘT MÌ CHÌA KHÓA ĐỎ SP 40KG</t>
  </si>
  <si>
    <t>7.52206702B051901</t>
  </si>
  <si>
    <t>REDPENBREADFL BANH VANG FE&amp;ZN PPBAG@25KG</t>
  </si>
  <si>
    <t>MEIZAN MULTIPURPOSEFL W/FE&amp;ZN PEBAG@500G</t>
  </si>
  <si>
    <t>MEIZAN MULTIPURPOSE FL W/FE&amp;ZN PEBAG@1KG</t>
  </si>
  <si>
    <t>MEIZAN BREADFL 13-14% W/VIT PEBAG@1KG</t>
  </si>
  <si>
    <t>MEIZAN CAKE FLOUR W/FE&amp;ZN PEBAG@1KG</t>
  </si>
  <si>
    <t>7.52207102C031901</t>
  </si>
  <si>
    <t>REDKEY BREADFL PAS PRO11ASH0.6PPBAG@25KG</t>
  </si>
  <si>
    <t>7.522001143011901</t>
  </si>
  <si>
    <t>BRAN POLLARD IN PP BAG @50KG</t>
  </si>
  <si>
    <t>7.522168093131901</t>
  </si>
  <si>
    <t>SF-3 FEED FLOUR PRO 9.5% PPBAG@40KG</t>
  </si>
  <si>
    <t>7.522182093261901</t>
  </si>
  <si>
    <t>BROWNKINGSHRIMP AQUAFEEDFL24 10-11%@40KG</t>
  </si>
  <si>
    <t>7.522164093161901</t>
  </si>
  <si>
    <t>PURPLEKINGSHRIMP AQUAFEEDFL11%PPBAG@40KG</t>
  </si>
  <si>
    <t>7.522143093141901</t>
  </si>
  <si>
    <t>BLUEKINGSHRIMP AQUAFEED W/BNZ PPBAG@40KG</t>
  </si>
  <si>
    <t>7.52213602A471901</t>
  </si>
  <si>
    <t>REDSATELLITE BREADFL LOW ASH PPBAG@25KG</t>
  </si>
  <si>
    <t>V51.060.007</t>
  </si>
  <si>
    <t>NEPTUNE TET BLOC CALENDAR 2024</t>
  </si>
  <si>
    <t>LỊCH BLOC NEPTUNE TẾT 2024</t>
  </si>
  <si>
    <t>7.52213602B101901</t>
  </si>
  <si>
    <t>REDSATELLITE BREADFL HADILAO BAG@25KG</t>
  </si>
  <si>
    <t>V51.901.082</t>
  </si>
  <si>
    <t>VIETTEL CARD WITH 10.000 VND</t>
  </si>
  <si>
    <t>THẺ CÀO VIETTEL MỆNH GIÁ 10.000 ĐỒNG</t>
  </si>
  <si>
    <t>7.B25085499D80105</t>
  </si>
  <si>
    <t>PORK BOUILLON GRANULE 200G X 160 PAC/ CAR</t>
  </si>
  <si>
    <t>HẠT NÊM 4 TRONG 1 VỊ HEO 200G X 160 GÓI/ THÙNG</t>
  </si>
  <si>
    <t>7.7076660132188000</t>
  </si>
  <si>
    <t>HORECA SPECIALIZED DWL IN JERRYCAN @25KG</t>
  </si>
  <si>
    <t>NƯỚC RỬA CHÉN CHUYÊN DỤNG HORECA CAN 25KG</t>
  </si>
  <si>
    <t>7.705G6</t>
  </si>
  <si>
    <t>STEARIC ACID SA1810 IN BAG 3KG</t>
  </si>
  <si>
    <t>STEARIC ACID SA1810 - AXIT STEARIC THƯƠNG PHẨM, DÙNG SẢN XUẤT NHỰA, CAO SU, NẾN, DẠNG RẮN ĐÓNG TRONG BAO 3KG</t>
  </si>
  <si>
    <t>V51.000.180</t>
  </si>
  <si>
    <t>BLOC NEPTUNE TET CALENDAR 2024</t>
  </si>
  <si>
    <t>N04.0017001.00006</t>
  </si>
  <si>
    <t>APRON,COTTON,PC</t>
  </si>
  <si>
    <t>TẠP DỀ CHÌA KHÓA CAM</t>
  </si>
  <si>
    <t>N04.0017005.00027</t>
  </si>
  <si>
    <t>KNIFE,PLASTIC,400 X 420 X 580 MM</t>
  </si>
  <si>
    <t>DAO CẮT BỘT</t>
  </si>
  <si>
    <t>N04.0017015.00004</t>
  </si>
  <si>
    <t>ROLLING PIN,23 X 2.5 CM,12 CM,PVC</t>
  </si>
  <si>
    <t>N04.0017016.00062</t>
  </si>
  <si>
    <t>KITCHEN UTENSILS,SPATULA</t>
  </si>
  <si>
    <t>CÂY VÉT BỘT</t>
  </si>
  <si>
    <t>N04.0019026.00166</t>
  </si>
  <si>
    <t>UNIFORM,POLO SHIRT,SHORT SLEEVE,RED KEY</t>
  </si>
  <si>
    <t>ÁO THUN CAO CẤP</t>
  </si>
  <si>
    <t>N04.0019026.00167</t>
  </si>
  <si>
    <t>UNIFORM,POLO SHIRT,SHORT SLEEVE,GREEN KEY</t>
  </si>
  <si>
    <t>N11.0003008.00318</t>
  </si>
  <si>
    <t>HAND GLOVE,COTTON</t>
  </si>
  <si>
    <t>BAO TAY LÀM BÁNH</t>
  </si>
  <si>
    <t>7.92419B799D901A0</t>
  </si>
  <si>
    <t>584 NHA TRANG ANCHOVY FISH SAUCE 40°N GIFT PACK OF 02 GLASS BOTTLES 510ML X 3 PCS IN CARTON</t>
  </si>
  <si>
    <t>NƯỚC MẮM NHỈ CÁ CƠM 40° ĐẠM HIỆU 584 NHA TRANG HỘP 2 CHAI THỦY TINH 510ML X 3 HỘP ĐÓNG TRONG THÙNG CARTON</t>
  </si>
  <si>
    <t>7.92419B799D901A001</t>
  </si>
  <si>
    <t>584 NHA TRANG ANCHOVY FISH SAUCE 40°N GIFT PACK OF 02 GLASS BOTTLES 510ML</t>
  </si>
  <si>
    <t>NƯỚC MẮM NHỈ CÁ CƠM 40° ĐẠM HIỆU 584 NHA TRANG HỘP 2 CHAI THỦY TINH 510ML</t>
  </si>
  <si>
    <t>7.92419B799D901A1</t>
  </si>
  <si>
    <t>584 NHA TRANG ANCHOVY FISH SAUCE 35°N GIFT PACK OF 02 GLASS BOTTLES 510ML X 3 PCS IN CARTON</t>
  </si>
  <si>
    <t>NƯỚC MẮM NHỈ CÁ CƠM 35° ĐẠM HIỆU 584 NHA TRANG HỘP 2 CHAI THỦY TINH 510ML X 3 HỘP ĐÓNG TRONG THÙNG CARTON</t>
  </si>
  <si>
    <t>7.92419B799D901A101</t>
  </si>
  <si>
    <t>584 NHA TRANG ANCHOVY FISH SAUCE 35°N GIFT PACK OF 02 GLASS BOTTLES 510ML</t>
  </si>
  <si>
    <t>NƯỚC MẮM NHỈ CÁ CƠM 35° ĐẠM HIỆU 584 NHA TRANG HỘP 2 CHAI THỦY TINH 510ML</t>
  </si>
  <si>
    <t>7.52215902B301901</t>
  </si>
  <si>
    <t>ORANGE KEY BREAD FL CPC W/VIT PPBAG@25KG</t>
  </si>
  <si>
    <t>7.705G7</t>
  </si>
  <si>
    <t>(WILMAX 5110) RBD HYDROGENATED SHEA OLEIN IN BAG 10KG</t>
  </si>
  <si>
    <t>(WILMAX 5110) RBD HYDROGENATED SHEA OLEIN - DẦU OLEIN HẠT MỠ ĐÃ HYDRO HÓA, DÙNG TRONG SẢN XUẤT NẾN ĐÓNG TRONG BAO 10KG</t>
  </si>
  <si>
    <t>V58.014.002</t>
  </si>
  <si>
    <t>OPP TAPE 48MM X 80M, WITH LOGO</t>
  </si>
  <si>
    <t>BĂNG KEO OPP TRONG IN LOGO, 48MM X 80M</t>
  </si>
  <si>
    <t>N09.0007005.01489</t>
  </si>
  <si>
    <t>CARTON,CAI LAN,COOKING OIL,1 X 18KG,340</t>
  </si>
  <si>
    <t>THÙNG 2 MÀU - CÁI LÂN 18KG BIB</t>
  </si>
  <si>
    <t>N09.0007005.01465</t>
  </si>
  <si>
    <t>CARTON,ORCHID,COOKING OIL,1 X 18KG,340 X</t>
  </si>
  <si>
    <t>THÙNG 2 MÀU - ORCHID 18KG BIB</t>
  </si>
  <si>
    <t>V51.000.181</t>
  </si>
  <si>
    <t>SHRINK WRAPPING 100CM X 80CM</t>
  </si>
  <si>
    <t>MÀNG CO 100CM X 80CM</t>
  </si>
  <si>
    <t>V51.000.182</t>
  </si>
  <si>
    <t>RECTANGULAR BASKET</t>
  </si>
  <si>
    <t>RỔ CHỮ NHẬT CẠP TỰ NHIÊN</t>
  </si>
  <si>
    <t>V51.000.183</t>
  </si>
  <si>
    <t>RED SMALL FLOWER BOW 74 X 5CM</t>
  </si>
  <si>
    <t>NƠ HOA BÉ MÀU ĐỎ 74 X 5CM</t>
  </si>
  <si>
    <t>7.B2401236137014201TD</t>
  </si>
  <si>
    <t>NƯỚC TƯƠNG ĐẬU NÀNH LÊN MEN NAM DƯƠNG 500ML</t>
  </si>
  <si>
    <t>7.705G8</t>
  </si>
  <si>
    <t>STEARIC ACID SA1892 (WILFARIN SA-1892) IN BAG 5KG</t>
  </si>
  <si>
    <t>AXIT STEARIC WILFARIN SA-1892 ĐÓNG TRONG BAO 5KG</t>
  </si>
  <si>
    <t>7.705G9</t>
  </si>
  <si>
    <t>STEARIC ACID SA1843 (WILFARIN SA-1843) IN BAG 5KG</t>
  </si>
  <si>
    <t>AXIT STEARIC WILFARIN SA-1843 ĐÓNG TRONG BAO 5KG</t>
  </si>
  <si>
    <t>6.7047228</t>
  </si>
  <si>
    <t>DISHWASHING LIQUID LEMON</t>
  </si>
  <si>
    <t>NƯỚC RỬA CHÉN TINH DẦU CHANH</t>
  </si>
  <si>
    <t>7.A3199089902L099</t>
  </si>
  <si>
    <t>MEIZAN NON-DAIRY CREAMER 1KG X 10 PAC</t>
  </si>
  <si>
    <t>BỘT KEM BÉO MEIZAN 1KG X 10 GÓI</t>
  </si>
  <si>
    <t>7.A3199089902L09901</t>
  </si>
  <si>
    <t>MEIZAN NON-DAIRY CREAMER 1KG</t>
  </si>
  <si>
    <t>BỘT KEM BÉO MEIZAN 1KG</t>
  </si>
  <si>
    <t>7.G4001B499E0A02701</t>
  </si>
  <si>
    <t>TWINKLE LEMON GREEN TEA IN BAG 1.5G</t>
  </si>
  <si>
    <t>TRÀ XANH HƯƠNG CHANH HIỆU TWINKLE ĐÓNG GÓI TÚI LỌC 1.5G</t>
  </si>
  <si>
    <t>7.G4001B499E0A03601</t>
  </si>
  <si>
    <t>TWINKLE STRAWBERRY - GREEN TEA IN BAG 1.5G</t>
  </si>
  <si>
    <t>TRÀ XANH HƯƠNG DÂU HIỆU TWINKLE ĐÓNG GÓI TÚI LỌC 1.5G</t>
  </si>
  <si>
    <t>7.G4001B499E0A0A801</t>
  </si>
  <si>
    <t>TWINKLE BLUEBERRY - GREEN TEA IN BAG 1.5G</t>
  </si>
  <si>
    <t>TRÀ XANH HƯƠNG VIỆT QUẤT HIỆU TWINKLE ĐÓNG GÓI TÚI LỌC 1.5G</t>
  </si>
  <si>
    <t>7.G4001B499E0A0A901</t>
  </si>
  <si>
    <t>TWINKLE MANGO - GREEN TEA IN BAG 1.5G</t>
  </si>
  <si>
    <t>TRÀ XANH HƯƠNG XOÀI HIỆU TWINKLE ĐÓNG GÓI TÚI LỌC 1.5G</t>
  </si>
  <si>
    <t>7.G4001B499E0A0B001</t>
  </si>
  <si>
    <t>TWINKLE WILDBERRY - BLACK TEA IN BAG 1.5G</t>
  </si>
  <si>
    <t>TRÀ HƯƠNG DÂU DẠI HIỆU TWINKLE ĐÓNG GÓI TÚI LỌC 1.5G</t>
  </si>
  <si>
    <t>7.G4001B499E0A0B101</t>
  </si>
  <si>
    <t>TWINKLE ENGLISH BREAKFAST - BLACK IN BAG 1.5G</t>
  </si>
  <si>
    <t>TRÀ ĐIỂM TÂM ANH QUỐC HIỆU TWINKLE ĐÓNG GÓI TÚI LỌC 1.5G</t>
  </si>
  <si>
    <t>7.G4001B499E0A08301</t>
  </si>
  <si>
    <t>TWINKLE EARL GREY BLACK TEA - IN BAG 1.5G</t>
  </si>
  <si>
    <t>TRÀ BÁ TƯỚC HIỆU TWINKLE ĐÓNG GÓI TÚI LỌC 1.5G</t>
  </si>
  <si>
    <t>7.G4001B499E0A0B201</t>
  </si>
  <si>
    <t>TWINKLE PEACH &amp; MANGO - BLACK TEA IN BAG 1.5G</t>
  </si>
  <si>
    <t>TRÀ HƯƠNG ĐÀO XOÀI HIỆU TWINKLE ĐÓNG GÓI TÚI LỌC 1.5G</t>
  </si>
  <si>
    <t>7.G4001B499E0A08501</t>
  </si>
  <si>
    <t>TWINKLE GINGER - BLACK TEA IN BAG 1.5G</t>
  </si>
  <si>
    <t>TRÀ HƯƠNG GỪNG HIỆU TWINKLE ĐÓNG GÓI TÚI LỌC 1.5G</t>
  </si>
  <si>
    <t>7.G4001B499E0A0B301</t>
  </si>
  <si>
    <t>TWINKLE ROSEHIP &amp; HIBISCUS HERBS IN BAG 1.5G</t>
  </si>
  <si>
    <t>TRÀ HƯƠNG HOA HỒNG &amp; HOA DÂM BỤT HIỆU TWINKLE ĐÓNG GÓI TÚI LỌC 1.5G</t>
  </si>
  <si>
    <t>7.G4001B499E0A00801</t>
  </si>
  <si>
    <t>TWINKLE CHAMOMILE HERBS IN BAG 1.5G</t>
  </si>
  <si>
    <t>TRÀ THẢO MỘC HOA CÚC HIỆU TWINKLE ĐÓNG GÓI TÚI LỌC 1.5G</t>
  </si>
  <si>
    <t>7.G4001B499E0A0B401</t>
  </si>
  <si>
    <t>TWINKLE VANILLA ROOIBOS HERBS IN BAG 1.5G</t>
  </si>
  <si>
    <t>TRÀ BỤI ĐỎ HIỆU TWINKLE ĐÓNG GÓI TÚI LỌC 1.5G</t>
  </si>
  <si>
    <t>V51.000.184</t>
  </si>
  <si>
    <t>DECICATION TROPHY FOR DISTRIBUTOR</t>
  </si>
  <si>
    <t>KỶ NIỆM CHƯƠNG CỐNG HIẾN CHO NPP</t>
  </si>
  <si>
    <t>V51.000.185</t>
  </si>
  <si>
    <t>TROPHY FOR AWARDS</t>
  </si>
  <si>
    <t>KỶ NIỆM CHƯƠNG GIẢI THƯỞNG</t>
  </si>
  <si>
    <t>V51.000.186</t>
  </si>
  <si>
    <t>TROPHY FOR SALES STAFF</t>
  </si>
  <si>
    <t>KỶ NIỆM CHƯƠNG CHO NVBH</t>
  </si>
  <si>
    <t>7.705H0</t>
  </si>
  <si>
    <t>GENAGEN CAB-H 0200, DRUM 200KGS</t>
  </si>
  <si>
    <t>CHẤT HOẠT ĐỘNG BỀ MẶT GENAGEN CAB-H 0200, PHUY 200KG</t>
  </si>
  <si>
    <t>7.707705P428170000</t>
  </si>
  <si>
    <t>6.70590</t>
  </si>
  <si>
    <t>SODIUM LAURYL ETHER SULFATE IN ISO TANK</t>
  </si>
  <si>
    <t>CHẤT HOẠT ĐỘNG BỀ MẶT - SODIUM LAURYL ETHER SULFATE ĐÓNG TRONG ISO TANK</t>
  </si>
  <si>
    <t>POWER100 LDCHARMINGFRNCHPERFUMEBTL@3.4KG</t>
  </si>
  <si>
    <t>NƯỚC GIẶT XẢ POWER100 HƯƠNG NƯỚC HOA PHÁP QUYẾN RŨ 3.4KG</t>
  </si>
  <si>
    <t>7.52213402A831901</t>
  </si>
  <si>
    <t>BLUECOMPASSBREADFL CPC ASH0.57PPBAG@25KG</t>
  </si>
  <si>
    <t>7.92599B6A0E10199</t>
  </si>
  <si>
    <t>DHFOODS VAN AN KITCHEN GIFT PACK (8 SKUS + 1 TET CARD) X 5 BOXES IN CARTON</t>
  </si>
  <si>
    <t>HỘP QUÀ BẾP VẠN AN HIỆU DHFOODS (8 LOẠI SẢN PHẨM + 1 THIỆP TẾT) X 5 HỘP ĐÓNG TRONG THÙNG CARTON</t>
  </si>
  <si>
    <t>7.92599B6A0E1019901</t>
  </si>
  <si>
    <t>DHFOODS VAN AN KITCHEN GIFT PACK (8 SKUS + 1 TET CARD)</t>
  </si>
  <si>
    <t>HỘP QUÀ BẾP VẠN AN HIỆU DHFOODS (8 LOẠI SẢN PHẨM + 1 THIỆP TẾT)</t>
  </si>
  <si>
    <t>7.92599B6A1E20199</t>
  </si>
  <si>
    <t>DHFOODS VAN LOC KITCHEN GIFT PACK (12 SKUS + 1 TET CARD + 6 ANGPOWS) X 2 BOX IN CARTON</t>
  </si>
  <si>
    <t>HỘP QUÀ BẾP VẠN LỘC HIỆU DHFOODS (12 LOẠI SẢN PHẨM + 1 THIỆP TẾT + 6 BAO LÌ XÌ) X 2 HỘP ĐÓNG TRONG THÙNG CARTON</t>
  </si>
  <si>
    <t>7.92599B6A1E2019901</t>
  </si>
  <si>
    <t>DHFOODS VAN LOC KITCHEN GIFT PACK (12 SKUS + 1 TET CARD + 6 ANGPOWS)</t>
  </si>
  <si>
    <t>HỘP QUÀ BẾP VẠN LỘC HIỆU DHFOODS (12 LOẠI SẢN PHẨM + 1 THIỆP TẾT + 6 BAO LÌ XÌ)</t>
  </si>
  <si>
    <t>V39.000.070</t>
  </si>
  <si>
    <t>TEA SET 0.45 L IVORY WHITE WITH LOGO PRINTED</t>
  </si>
  <si>
    <t>BỘ TRÀ 0.45 L ANH VŨ TRẮNG NGÀ IN LOGO</t>
  </si>
  <si>
    <t>V51.000.187</t>
  </si>
  <si>
    <t>IPHONE 15 PRO MAX 256GB NATURAL TITANIUM</t>
  </si>
  <si>
    <t>ĐIỆN THOẠI IPHONE 15 PRO MAX 256GB TITAN TỰ NHIÊN</t>
  </si>
  <si>
    <t>V51.000.188</t>
  </si>
  <si>
    <t>SAMSUNG GALAXY TAB S9 FE 5G TABLET 8GB 128GB GRAY SM-X516</t>
  </si>
  <si>
    <t>MÁY TÍNH BẢNG SAMSUNG GALAXY TAB S9 FE 5G 8GB 128GB XÁM SM-X516</t>
  </si>
  <si>
    <t>7.705H1</t>
  </si>
  <si>
    <t>SLES (SODIUM LAURYL ETHER SULFATE) IN JERRY CAN 1KG</t>
  </si>
  <si>
    <t>SLES (SODIUM LAURYL ETHER SULFATE)-CHẤT HOẠT ĐỘNG BỀ MẶT, DẠNG ANION ĐÓNG TRONG CAN 1KG</t>
  </si>
  <si>
    <t>7.F390210990701B5</t>
  </si>
  <si>
    <t>NPK WMCLV 16-16-8 IN BAG 50KG</t>
  </si>
  <si>
    <t>NPK WMCLV 16-16-8 ĐÓNG TRONG BAO 50KG</t>
  </si>
  <si>
    <t>7.F390210990701B6</t>
  </si>
  <si>
    <t>NPK WMCLV 15-15-15 IN BAG 50KG</t>
  </si>
  <si>
    <t>NPK WMCLV 15-15-15 ĐÓNG TRONG BAO 50KG</t>
  </si>
  <si>
    <t>7.7042283028170000</t>
  </si>
  <si>
    <t>POWER100 LD CHARMING FRENCH PERFUME@200G</t>
  </si>
  <si>
    <t>NƯỚC GIẶT XẢ POWER100 HƯƠNG NƯỚC HOA PHÁP QUYẾN RŨ 200G</t>
  </si>
  <si>
    <t>7.704228302817000O</t>
  </si>
  <si>
    <t>POWER100 LD CHARMINGFRENCH PF 200G*50BTL</t>
  </si>
  <si>
    <t>NƯỚC GIẶT XẢ POWER100 HƯƠNG NƯỚC HOA PHÁP QUYẾN RŨ 200G*50</t>
  </si>
  <si>
    <t>N04.0018006.00276</t>
  </si>
  <si>
    <t>PROMOTIONAL STUFF,GIFT BOX</t>
  </si>
  <si>
    <t>VỎ HỘP QUÀ TẾT BIG C 2024 - HỘP QUÀ LỚN</t>
  </si>
  <si>
    <t>N04.0018006.00275</t>
  </si>
  <si>
    <t>VỎ HỘP QUÀ TẾT BIG C 2024 - HỘP QUÀ NHỎ</t>
  </si>
  <si>
    <t>V51.600.268</t>
  </si>
  <si>
    <t>DUY TAN RECTANGULAR PLASTIC BASKET 2T2</t>
  </si>
  <si>
    <t>RỔ NHỰA DUY TÂN CHỮ NHẬT 2T2</t>
  </si>
  <si>
    <t>V51.600.269</t>
  </si>
  <si>
    <t>STICKER FOR BASKET</t>
  </si>
  <si>
    <t>NHÃN DÁN RỔ</t>
  </si>
  <si>
    <t>V39.000.071</t>
  </si>
  <si>
    <t>TIVI LED SONY KD - 65X80L</t>
  </si>
  <si>
    <t>V39.000.072</t>
  </si>
  <si>
    <t>DAIKIN 2-WAY AIR CONDITIONER ATHF35XVMV</t>
  </si>
  <si>
    <t>MÁY ĐIỀU HÒA 2 CHIỀU DAIKIN ATHF35XVMV</t>
  </si>
  <si>
    <t>V39.000.073</t>
  </si>
  <si>
    <t>DAIKIN AIR CONDITIONER ATKF35XVMV</t>
  </si>
  <si>
    <t>MÁY LẠNH DAIKIN ATKF35XVMV</t>
  </si>
  <si>
    <t>7.B2508549995010522</t>
  </si>
  <si>
    <t>PORK BOUILLON GRANULE 850G X 10 PAC ON PACK 10 BOT FERMENTED SOYA SAUCE 500ML / CAR</t>
  </si>
  <si>
    <t>HẠT NÊM 4 TRONG 1 VỊ HEO 850G X 10 GÓI ĐÓNG KÈM 10 CHAI NƯỚC TƯƠNG NAM DƯƠNG ĐẬU NÀNH LÊN MEN TỰ NHIÊN 500ML / THÙNG</t>
  </si>
  <si>
    <t>7.B250854999501052201</t>
  </si>
  <si>
    <t>PORK BOUILLON GRANULE 850G ON PACK 01 BOT FERMENTED SOYA SAUCE 500ML</t>
  </si>
  <si>
    <t>HẠT NÊM 4 TRONG 1 VỊ HEO 850G ĐÓNG KÈM 01 CHAI NƯỚC TƯƠNG NAM DƯƠNG ĐẬU NÀNH LÊN MEN TỰ NHIÊN 500ML</t>
  </si>
  <si>
    <t>V51.600.267</t>
  </si>
  <si>
    <t>POWER100 SPONGE SCOURING PAD</t>
  </si>
  <si>
    <t>MIẾNG CƯỚC RỬA CHÉN POWER100</t>
  </si>
  <si>
    <t>7.A42090899610199</t>
  </si>
  <si>
    <t>MEIZAN RICE VERMICELLI 300G X 24 PACK</t>
  </si>
  <si>
    <t>7.A4209089961019901</t>
  </si>
  <si>
    <t>MEIZAN RICE VERMICELLI 300G</t>
  </si>
  <si>
    <t>BÚN TƯƠI MEIZAN 300G</t>
  </si>
  <si>
    <t>7.52218702C261901</t>
  </si>
  <si>
    <t>28 NOODLESFLPRO10.2-12GLU27.5 PPBAG@25KG</t>
  </si>
  <si>
    <t>BỘT MÌ 28 25KG</t>
  </si>
  <si>
    <t>7.705H2</t>
  </si>
  <si>
    <t>DISTILLED MONOGLYCERIDE (PRODUCT CODE : DMG-CF01)</t>
  </si>
  <si>
    <t>PHỤ GIA THỰC PHẨM MONOGLYCERID CHƯNG CẤT (DMG-CF01); BAO 25KG</t>
  </si>
  <si>
    <t>7.5221340207X1901</t>
  </si>
  <si>
    <t>BLUECOMPASS CRACKER FLOUR 555 PPBAG@25KG</t>
  </si>
  <si>
    <t>BỘT MÌ HIỆU LA BÀN XANH - 555 25KG</t>
  </si>
  <si>
    <t>7.522134022371901</t>
  </si>
  <si>
    <t>BLUECOMPASS GP FLOUR 666 LAOS PPBAG@25KG</t>
  </si>
  <si>
    <t>BỘT MÌ HIỆU LA BÀN XANH – 666 (TIẾNG LÀO) 25KG</t>
  </si>
  <si>
    <t>7.522134022381901</t>
  </si>
  <si>
    <t>BLUECOMPASS WETSNACKFLOUR 888 PPBAG@25KG</t>
  </si>
  <si>
    <t>BỘT MÌ HIỆU LA BÀN XANH - 888 25KG</t>
  </si>
  <si>
    <t>7.522134022391901</t>
  </si>
  <si>
    <t>BLUECOMPASS DRYSNACKFLOUR 333 PPBAG@25KG</t>
  </si>
  <si>
    <t>BỘT MÌ HIỆU LA BÀN XANH - 333 25KG</t>
  </si>
  <si>
    <t>V51.000.189</t>
  </si>
  <si>
    <t>BROCHURE</t>
  </si>
  <si>
    <t>CUỐN GIỚI THIỆU SẢN PHẨM</t>
  </si>
  <si>
    <t>7.B240223996701B899</t>
  </si>
  <si>
    <t>SACHET CHILI 10G (KFC) X 1.000 PCH/ CAR</t>
  </si>
  <si>
    <t>TƯƠNG ỚT TÚI 10G (KFC) X 1.000 TÚI/ THÙNG</t>
  </si>
  <si>
    <t>7.B240223996701B89901</t>
  </si>
  <si>
    <t>TƯƠNG ỚT TÚI 10G (KFC)</t>
  </si>
  <si>
    <t>7.B240723996701B899</t>
  </si>
  <si>
    <t>SACHET KETCHUP 10G (KFC) X 1.000 PCH/ CAR</t>
  </si>
  <si>
    <t>TƯƠNG CÀ TÚI 10G (KFC) X 1.000 TÚI/ THÙNG</t>
  </si>
  <si>
    <t>7.B240723996701B89901</t>
  </si>
  <si>
    <t>SACHET KETCHUP 10G (KFC)</t>
  </si>
  <si>
    <t>TƯƠNG CÀ TÚI 10G (KFC)</t>
  </si>
  <si>
    <t>7.131087286002H10TD</t>
  </si>
  <si>
    <t>DẦU ĂN THƯỢNG HẠNG HIỆU NEPTUNE LIGHT 1L (2 CHAI/ HỘP)</t>
  </si>
  <si>
    <t>7.H4101B899E301</t>
  </si>
  <si>
    <t>PASEO TOILET PAPER 3PLY 6 ROLLS X 8 PCS IN CARTON</t>
  </si>
  <si>
    <t>GIẤY VỆ SINH PASEO 6 CUỘN 3 LỚP X 8 LỐC TRONG THÙNG CARTON</t>
  </si>
  <si>
    <t>7.H4101B899E30101</t>
  </si>
  <si>
    <t>HO1TD032400</t>
  </si>
  <si>
    <t>PASEO TOILET PAPER 3PLY 6 ROLLS</t>
  </si>
  <si>
    <t>GIẤY VỆ SINH PASEO 6 CUỘN 3 LỚP</t>
  </si>
  <si>
    <t>7.H4102B8991901</t>
  </si>
  <si>
    <t>PASEO FACIAL TISSUE 2 PLY 250 SHEETS SOFT PACK X 40 PCS IN CARTON</t>
  </si>
  <si>
    <t>KHĂN GIẤY LAU MẶT PASEO 250 TỜ 2 LỚP X 40 GÓI TRONG THÙNG CARTON</t>
  </si>
  <si>
    <t>7.H4102B899190101</t>
  </si>
  <si>
    <t>PASEO FACIAL TISSUE 2 PLY 250 SHEETS SOFT PACK</t>
  </si>
  <si>
    <t>KHĂN GIẤY LAU MẶT PASEO 250 TỜ 2 LỚP</t>
  </si>
  <si>
    <t>7.H4102B999E401</t>
  </si>
  <si>
    <t>NICE FACIAL TISSUE 2 PLY 220 SHEETS SOFT PACK X 48 PCS IN CARTON</t>
  </si>
  <si>
    <t>KHĂN GIẤY LAU MẶT NICE 220 TỜ 2 LỚP X 48 GÓI TRONG THÙNG CARTON</t>
  </si>
  <si>
    <t>7.H4102B999E40101</t>
  </si>
  <si>
    <t>NICE FACIAL TISSUE 2 PLY 220 SHEETS SOFT PACK</t>
  </si>
  <si>
    <t>KHĂN GIẤY LAU MẶT NICE 220 TỜ 2 LỚP</t>
  </si>
  <si>
    <t>7.H4101B9A2E501</t>
  </si>
  <si>
    <t>NICE MEGA TOILET PAPER 2 PLY 2 38M 8 ROLLS X 12 PCS IN CARTON</t>
  </si>
  <si>
    <t>GIẤY VỆ SINH NICE MEGA 8 CUỘN 2 LỚP 38M X 12 LỐC TRONG THÙNG CARTON</t>
  </si>
  <si>
    <t>7.H4101B9A2E50101</t>
  </si>
  <si>
    <t>NICE MEGA TOILET PAPER 2 PLY 2 38M 8 ROLLS</t>
  </si>
  <si>
    <t>GIẤY VỆ SINH NICE MEGA 8 CUỘN 2 LỚP 38M</t>
  </si>
  <si>
    <t>7.H4101B999E601</t>
  </si>
  <si>
    <t>NICE TOILET PAPER 2 PLY 2 16M 8 ROLLS X 20 PCS IN CARTON</t>
  </si>
  <si>
    <t>GIẤY VỆ SINH NICE 8 CUỘN 2 LỚP 16M X 20 LỐC TRONG THÙNG CARTON</t>
  </si>
  <si>
    <t>7.H4101B999E70101</t>
  </si>
  <si>
    <t>NICE TOILET PAPER 2 PLY 2 16M 8 ROLLS</t>
  </si>
  <si>
    <t>GIẤY VỆ SINH NICE 8 CUỘN 2 LỚP 16M</t>
  </si>
  <si>
    <t>7.H4103B999E701</t>
  </si>
  <si>
    <t>NICE NAPKIN 100 SHEETS 1PLY SOFT PACK X 48 PCS IN CARTON</t>
  </si>
  <si>
    <t>KHĂN ĂN NICE 100 TỜ 1 LỚP X 48 GÓI TRONG THÙNG CARTON</t>
  </si>
  <si>
    <t>7.H4103B999E70101</t>
  </si>
  <si>
    <t>NICE NAPKIN 100 SHEETS 1PLY SOFT PACK</t>
  </si>
  <si>
    <t>KHĂN ĂN NICE 100 TỜ 1 LỚP</t>
  </si>
  <si>
    <t>6.7064024</t>
  </si>
  <si>
    <t>REFINED GLYCERINE (TECHNICAL GRADE)</t>
  </si>
  <si>
    <t>GLYXERIN TIÊU CHUẨN CÔNG NGHIỆP</t>
  </si>
  <si>
    <t>V51.000.190</t>
  </si>
  <si>
    <t>VINID GIFTCARD 50.000</t>
  </si>
  <si>
    <t>THẺ QUÀ TẶNG VINID GIFTCARD 50.000</t>
  </si>
  <si>
    <t>V51.000.191</t>
  </si>
  <si>
    <t>VINID GIFTCARD 100.000</t>
  </si>
  <si>
    <t>THẺ QUÀ TẶNG VINID GIFTCARD 100.000</t>
  </si>
  <si>
    <t>V51.000.192</t>
  </si>
  <si>
    <t>VINID GIFTCARD 300.000</t>
  </si>
  <si>
    <t>THẺ QUÀ TẶNG VINID GIFTCARD 300.000</t>
  </si>
  <si>
    <t>V51.000.193</t>
  </si>
  <si>
    <t>VINID GIFTCARD 500.000</t>
  </si>
  <si>
    <t>THẺ QUÀ TẶNG VINID GIFTCARD 500.000</t>
  </si>
  <si>
    <t>7.704228P537170000</t>
  </si>
  <si>
    <t>POWER100 LD CHARMINGFRENCH PERFUME@3.2KG</t>
  </si>
  <si>
    <t>NƯỚC GIẶT XẢ POWER100 HƯƠNG NƯỚC HOA PHÁP QUYẾN RŨ 3.2KG</t>
  </si>
  <si>
    <t>7.704228N528170000</t>
  </si>
  <si>
    <t>POWER100 LD CHARMING FRENCH PERFUME @9.0KG</t>
  </si>
  <si>
    <t>NƯỚC GIẶT XẢ POWER100 HƯƠNG NƯỚC HOA PHÁP QUYẾN RŨ 9.0KG</t>
  </si>
  <si>
    <t>V51.00A.072</t>
  </si>
  <si>
    <t>MEIZAN MACARONI - PREMIX HANGER</t>
  </si>
  <si>
    <t>MÓC TREO CÁC SẢN PHẨM NUI - BỘT (MEIZAN)</t>
  </si>
  <si>
    <t>7.705H3</t>
  </si>
  <si>
    <t>DODIGEN 2808 IN BAG 1KG</t>
  </si>
  <si>
    <t>DODIGEN 2808 - CHẤT HỮU CƠ HOẠT ĐỘNG BỀ MẶT DẠNG CATION, DÙNG CHO SẢN XUẤT NƯỚC LAU SÀN, NƯỚC RỬA CHÉN ĐÓNG BAO 1KG</t>
  </si>
  <si>
    <t>7.705H4</t>
  </si>
  <si>
    <t>DODIGEN 1711 IN BAG 1KG</t>
  </si>
  <si>
    <t>DODIGEN 1711 - CHẤT HỮU CƠ HOẠT ĐỘNG BỀ MẶT DẠNG CATION, DÙNG CHO SẢN XUẤT NƯỚC LAU SÀN, NƯỚC RỬA CHÉN ĐÓNG BAO 1KG</t>
  </si>
  <si>
    <t>7.B25085499520105</t>
  </si>
  <si>
    <t>PORK BOUILLON GRANULE 200G X 40 PAC/ CAR</t>
  </si>
  <si>
    <t>HẠT NÊM 4 TRONG 1 VỊ HEO 200G X 40 GÓI/ THÙNG</t>
  </si>
  <si>
    <t>7.705H5</t>
  </si>
  <si>
    <t>MEDIUM CHAIN TRIGLYCERIDES (WILFARESTER MCT 7030) IN FLEXIBAG</t>
  </si>
  <si>
    <t>DẦU ĂN MẠCH TRUNG BÌNH WILFARESTER MCT 7030 ĐÓNG TRONG TÚI FLEXIBAG</t>
  </si>
  <si>
    <t>7.5221230107Q2701</t>
  </si>
  <si>
    <t>GREENKEY CAKE FLOUR 111 7.5-11%PEBAG@5KG</t>
  </si>
  <si>
    <t>7.52217602C281901</t>
  </si>
  <si>
    <t>YELLOWCOMPASSBREADFLLAOSPRO10 PPBAG@25KG</t>
  </si>
  <si>
    <t>BỘT MÌ HIỆU LA BÀN VÀNG (TIẾNG LÀO) 25KG</t>
  </si>
  <si>
    <t>7.52211402C291901</t>
  </si>
  <si>
    <t>BLUE KEY NOODLEFL LAOS INS928 PPBAG@25KG</t>
  </si>
  <si>
    <t>BỘT MÌ HIỆU CHÌA KHÓA XANH MÌ SỢI (TIẾNG LÀO) 25KG</t>
  </si>
  <si>
    <t>7.52219902C301901</t>
  </si>
  <si>
    <t>ORANGECOMPASSBREADFLLAOSINS300PPBAG@25KG</t>
  </si>
  <si>
    <t>BỘT MÌ HIỆU LA BÀN CAM (TIẾNG LÀO) 25KG</t>
  </si>
  <si>
    <t>V51.000.194</t>
  </si>
  <si>
    <t>V51.000.195</t>
  </si>
  <si>
    <t>V51.000.196</t>
  </si>
  <si>
    <t>FIORINO SANGIOVESE PUGLIA WINE</t>
  </si>
  <si>
    <t>RƯỢU VANG FIORINO SANGIOVESE PUGLIA</t>
  </si>
  <si>
    <t>7.705H6</t>
  </si>
  <si>
    <t>WILFARIN REFINED GLYCERINE 99.7% (NGUYÊN LIỆU ĐƠN TRONG SẢN XUẤT THỨC ĂN CHĂN NUÔI)</t>
  </si>
  <si>
    <t>7.707663F628170000</t>
  </si>
  <si>
    <t>POWER100 FC FLORAL ESSENTIAL OIL BTL@400G</t>
  </si>
  <si>
    <t>NƯỚC LAU SÀN POWER100 TINH DẦU HOA THIÊN NHIÊN 400G</t>
  </si>
  <si>
    <t>7.707663F62817000A</t>
  </si>
  <si>
    <t>POWER100 FCFLORALESSENTIALOIL 400G*24BTL</t>
  </si>
  <si>
    <t>NƯỚC LAU SÀN POWER100 TINH DẦU HOA THIÊN NHIÊN 400G*24</t>
  </si>
  <si>
    <t>7.707664F628170000</t>
  </si>
  <si>
    <t>POWER100 FC LEMONGRASS ESSENTIALOIL@400G</t>
  </si>
  <si>
    <t>NƯỚC LAU SÀN POWER100 TINH DẦU CHANH SẢ 400G</t>
  </si>
  <si>
    <t>7.707664F62817000A</t>
  </si>
  <si>
    <t>POWER100FCLEMONGRASSESSENTIAL 400G*24BTL</t>
  </si>
  <si>
    <t>NƯỚC LAU SÀN POWER100 TINH DẦU CHANH SẢ 400G*24</t>
  </si>
  <si>
    <t>7.92514B699D701B701</t>
  </si>
  <si>
    <t>BBQ SAUCE FOR FIVE SPICE GRILLED MEAT 65G</t>
  </si>
  <si>
    <t>SỐT ƯỚP THỊT NƯỚNG NGŨ VỊ 65GR</t>
  </si>
  <si>
    <t>7.92514B699D701B7</t>
  </si>
  <si>
    <t>BBQ SAUCE FOR FIVE SPICE GRILLED MEAT 65G x 120 PCS IN CARTON</t>
  </si>
  <si>
    <t>SỐT ƯỚP THỊT NƯỚNG NGŨ VỊ 65GR X 120 GÓI ĐÓNG TRONG THÙNG CARTON</t>
  </si>
  <si>
    <t>7.92520B69943019901</t>
  </si>
  <si>
    <t>DIPPING FRUIT SALT 50G</t>
  </si>
  <si>
    <t>MUỐI CHẤM HOA QUẢ 50GR</t>
  </si>
  <si>
    <t>V74.000.005</t>
  </si>
  <si>
    <t>CLEAR BAG A4</t>
  </si>
  <si>
    <t>BÌA NÚT A4</t>
  </si>
  <si>
    <t>V51.103.805</t>
  </si>
  <si>
    <t>POWER100 SPIN MOP</t>
  </si>
  <si>
    <t>BỘ LAU NHÀ POWER100</t>
  </si>
  <si>
    <t>V51.000.197</t>
  </si>
  <si>
    <t>PACKING CARTON FOR FULL CREAM UHT MILK INTL 1LX12</t>
  </si>
  <si>
    <t>VỎ THÙNG CARTON SỮA TƯƠI TIỆT TRÙNG NGUYÊN KEM LOẠI 1LX12</t>
  </si>
  <si>
    <t>7.1070120296808010</t>
  </si>
  <si>
    <t>MEIZAN SUPERIORMGR GREEN MP33-40BAG@20KG</t>
  </si>
  <si>
    <t>BƠ THỰC VẬT CAO CẤP NHÃN HIỆU MEIZAN (NHÃN MÀU XANH LÁ) 20KG</t>
  </si>
  <si>
    <t>7.1070120296908010</t>
  </si>
  <si>
    <t>MEIZAN BOS (GREEN) MP 32-40 PEBAG@20KG</t>
  </si>
  <si>
    <t>DẦU BƠ THAY THẾ NHÃN HIỆU MEIZAN (NHÃN MÀU XANH LÁ) 20KG</t>
  </si>
  <si>
    <t>V51.000.198</t>
  </si>
  <si>
    <t>V51.000.199</t>
  </si>
  <si>
    <t>V39.000.074</t>
  </si>
  <si>
    <t>RED KEY POLO T-SHIRT</t>
  </si>
  <si>
    <t>ÁO THUN CHÌA KHÓA ĐỎ</t>
  </si>
  <si>
    <t>7.707664P537170000</t>
  </si>
  <si>
    <t>POWER100 FC LG ESSENTIALOIL POUCH@3.2KG</t>
  </si>
  <si>
    <t>NƯỚC LAU SÀN POWER100 TINH DẦU CHANH SẢ 3.2KG TÚI</t>
  </si>
  <si>
    <t>7.92419B7993701B801</t>
  </si>
  <si>
    <t>584 NHA TRANG ANCHOVY FISH SAUCE 30°N PET BOTTLES 500ML</t>
  </si>
  <si>
    <t>NƯỚC MẮM NHỈ CÁ CƠM 30° ĐẠM HIỆU 584 NHA TRANG CHAI PET 500ML</t>
  </si>
  <si>
    <t>7.92419B7993701B901</t>
  </si>
  <si>
    <t>584 NHA TRANG ANCHOVY FISH SAUCE 15°N OF PET BOTTLES 500ML</t>
  </si>
  <si>
    <t>NƯỚC MẮM CÁ CƠM 15° ĐẠM HIỆU 584 NHA TRANG CHAI PET 500ML</t>
  </si>
  <si>
    <t>7.92419B799C901B9</t>
  </si>
  <si>
    <t>585 NHA TRANG ANCHOVY FISH SAUCE 15°N OF PET BOTTLES 2L X 6 PCS IN CARTON</t>
  </si>
  <si>
    <t>NƯỚC MẮM CÁ CƠM 15° ĐẠM HIỆU 584 NHA TRANG CHAI PET 2L X 6 CHAI ĐÓNG TRONG THÙNG CARTON</t>
  </si>
  <si>
    <t>7.92419B799C901B901</t>
  </si>
  <si>
    <t>585 NHA TRANG ANCHOVY FISH SAUCE 15°N OF PET BOTTLES 2L</t>
  </si>
  <si>
    <t>NƯỚC MẮM CÁ CƠM 15° ĐẠM HIỆU 584 NHA TRANG CHAI PET 2L</t>
  </si>
  <si>
    <t>NƯỚC MẮM CÁ CƠM 15° ĐẠM HIỆU 584 NHA TRANG CHAI PET 5L X 4 CHAI ĐÓNG TRONG THÙNG CARTON</t>
  </si>
  <si>
    <t>7.92419B799D001B901</t>
  </si>
  <si>
    <t>584 NHA TRANG ANCHOVY FISH SAUCE 15°N OF PET BOTTLES 5L</t>
  </si>
  <si>
    <t>NƯỚC MẮM CÁ CƠM 15° ĐẠM HIỆU 584 NHA TRANG CHAI PET 5L</t>
  </si>
  <si>
    <t>V51.00A.073</t>
  </si>
  <si>
    <t>GIFT CARD VND 500.000</t>
  </si>
  <si>
    <t>THẺ QUÀ TẶNG 500.000 VND</t>
  </si>
  <si>
    <t>7.705H7</t>
  </si>
  <si>
    <t>MIZULAN FL-80S BRAND MES (METHYL ESTER SULPHONATE) IN BAG 3KG</t>
  </si>
  <si>
    <t>CHẤT HOẠT ĐỘNG BỀ MẶT DẠNG ANION MES (METHYL ESTER SULPHONATE) NHÃN HIỆU MIZULAN PL-80S ĐÓNG BAO 3KG</t>
  </si>
  <si>
    <t>7.705H8</t>
  </si>
  <si>
    <t>MIZULAN P-82 BRAND MES (METHYL ESTER SULPHONATE) IN BAG 3KG</t>
  </si>
  <si>
    <t>CHẤT HOẠT ĐỘNG BỀ MẶT DẠNG ANION MES (METHYL ESTER SULPHONATE) NHÃN HIỆU MIZULAN P-82 ĐÓNG BAO 3KG</t>
  </si>
  <si>
    <t>7.705H9</t>
  </si>
  <si>
    <t>METHYL ESTER SULPHONATE FLAKE REGULAR GRADE IN BAG 3KG</t>
  </si>
  <si>
    <t>CHẤT HOẠT ĐỘNG BỀ MẶT DẠNG ANION METHYL ESTER SULPHONATE FLAKE REGULAR GRADE ĐÓNG BAO 3KG</t>
  </si>
  <si>
    <t>7.705I0</t>
  </si>
  <si>
    <t>METHYL ESTER SULPHONATE C16 PR-15 IN BAG 3KG</t>
  </si>
  <si>
    <t>CHẤT HOẠT ĐỘNG BỀ MẶT DẠNG ANION METHYL ESTER SULPHONATE C16 PR-15 ĐÓNG BAO 3KG</t>
  </si>
  <si>
    <t>7.705I1</t>
  </si>
  <si>
    <t>PURE SOAP POWDER IN BAG 3KG</t>
  </si>
  <si>
    <t>PURE SOAP POWDER- PHÔI XÀ PHÒNG ĐÓNG TRONG BAO 3KG</t>
  </si>
  <si>
    <t>7.705I2</t>
  </si>
  <si>
    <t>MEIZAN BRAND-GOLDEN SWALLOW SHORTENING IN BAG 20KG</t>
  </si>
  <si>
    <t>GOLDEN SWALLOW SHORTENING NHÃN HIỆU MEIZAN ĐÓNG TRONG BAO 20KG</t>
  </si>
  <si>
    <t>V51.050.040</t>
  </si>
  <si>
    <t>MEIZAN PREMIUM EGG NOODLE - THIN ROUND</t>
  </si>
  <si>
    <t>MÌ TRỨNG CAO CẤP MEIZAN SỢI NHỎ 500G</t>
  </si>
  <si>
    <t>V51.000.200</t>
  </si>
  <si>
    <t>V51.000.201</t>
  </si>
  <si>
    <t>V51.000.202</t>
  </si>
  <si>
    <t>V51.000.203</t>
  </si>
  <si>
    <t>N04.0018006.00296</t>
  </si>
  <si>
    <t>PROMOTIONAL STUFF,GOODIE BAG,SIMPLY-POWE</t>
  </si>
  <si>
    <t>TÚI VẢI KHÔNG DỆT SIMPLY - POWER100</t>
  </si>
  <si>
    <t>N13.0009002.00032</t>
  </si>
  <si>
    <t>FOOD ADDITIVE,POWDER,MAURIPAN YEAST</t>
  </si>
  <si>
    <t>MEN KHÔ MAURI 10GR</t>
  </si>
  <si>
    <t>V39.000.075</t>
  </si>
  <si>
    <t>LG FV1410S4P WASHING MACHINE</t>
  </si>
  <si>
    <t>MÁY GIẶT LG FV1410S4P</t>
  </si>
  <si>
    <t>V39.000.076</t>
  </si>
  <si>
    <t>HITACHI RV-X15N VACUUM CLEANER ROBOT</t>
  </si>
  <si>
    <t>ROBOT HÚT BỤI HITACHI RV-X15N</t>
  </si>
  <si>
    <t>V39.000.077</t>
  </si>
  <si>
    <t>SUNHOUSE SHD6017 INFRARED KITCHEN</t>
  </si>
  <si>
    <t>BẾP HỒNG NGOẠI SUNHOUSE SHD6017</t>
  </si>
  <si>
    <t>V39.000.078</t>
  </si>
  <si>
    <t>ELMICH TRIMAX ECO EL-8002 SIZE 16,20,22 SIZE 16,20,22 STAINLESS STEEL POT, STIR-FRY POT 28CM</t>
  </si>
  <si>
    <t>BỘ NỒI INOX LIỀN KHỐI ELMICH TRIMAX ECO EL-8002 SIZE 16,20,22, LẨU XÀO 28CM</t>
  </si>
  <si>
    <t>V39.000.079</t>
  </si>
  <si>
    <t>TOSHIBA GR-RT303WE-PMV REFRIGERATOR(52)</t>
  </si>
  <si>
    <t>TỦ LẠNH TOSHIBA GR-RT303WE-PMV(52)</t>
  </si>
  <si>
    <t>V39.000.080</t>
  </si>
  <si>
    <t>DAIKIN MC30YVM7 AIR PURIFIER</t>
  </si>
  <si>
    <t>MÁY LỌC KHÔNG KHÍ DAIKIN MC30YVM7</t>
  </si>
  <si>
    <t>V39.000.081</t>
  </si>
  <si>
    <t>TOSHIBA KT-17DR1NV SUPER SPEED HEATER</t>
  </si>
  <si>
    <t>V39.000.082</t>
  </si>
  <si>
    <t>SUNHOUSE ELECTRIC HOT POT SHD4526</t>
  </si>
  <si>
    <t>LẨU ĐIỆN SUNHOUSE SHD4526</t>
  </si>
  <si>
    <t>V39.000.083</t>
  </si>
  <si>
    <t>PANASONIC MX-EX1011WRA BLENDER</t>
  </si>
  <si>
    <t>MÁY XAY SINH TỐ PANASONIC MX-EX1011WRA</t>
  </si>
  <si>
    <t>V39.000.084</t>
  </si>
  <si>
    <t>PHILIPS HAIR DRYER BHD500/00</t>
  </si>
  <si>
    <t>MÁY SẤY TÓC PHILIPS BHD500/00</t>
  </si>
  <si>
    <t>V78.000.044</t>
  </si>
  <si>
    <t>CHEF COAT</t>
  </si>
  <si>
    <t>ÁO BẾP</t>
  </si>
  <si>
    <t>7.706539031400000</t>
  </si>
  <si>
    <t>REF GLYCERINE(TECH GRADE)IN PE DRM@250KG</t>
  </si>
  <si>
    <t>GLYXERIN TIÊU CHUẨN CÔNG NGHIỆP, ĐÓNG TRONG PHUY 250KG</t>
  </si>
  <si>
    <t>V51.000.204</t>
  </si>
  <si>
    <t>NON-WOVEN FABRIC BAG PRINTED LOGO WILMAR-ROYAL</t>
  </si>
  <si>
    <t>TÚI VẢI KHÔNG DỆT IN LOGO WILMAR-ROYAL</t>
  </si>
  <si>
    <t>V51.000.205</t>
  </si>
  <si>
    <t>MEIZAN BOS IN PLASTIC BUCKET 18KG (YELLOW LABEL)</t>
  </si>
  <si>
    <t>DẦU BƠ THAY THẾ NHÃN HIỆU MEIZAN TRONG THÙNG NHỰA 18 KG (NHÃN MÀU VÀNG)</t>
  </si>
  <si>
    <t>V51.000.206</t>
  </si>
  <si>
    <t>HẠT NÊM 4 TRONG 1 VỊ HEO 200G</t>
  </si>
  <si>
    <t>V51.000.207</t>
  </si>
  <si>
    <t>DHFOODS HANGER</t>
  </si>
  <si>
    <t>VỈ NHỰA DHFOODS</t>
  </si>
  <si>
    <t>7.089062120111103TD</t>
  </si>
  <si>
    <t>7.08906212011110301TD</t>
  </si>
  <si>
    <t>MEN KHÔ DÙNG LIỀN HIỆU MEIZAN - NHÃN VÀNG 500G</t>
  </si>
  <si>
    <t>7.089062120091203TD</t>
  </si>
  <si>
    <t>7.08906212009120301TD</t>
  </si>
  <si>
    <t>MEN KHÔ DÙNG LIỀN HIỆU MEIZAN - NHÃN ĐỎ 500G</t>
  </si>
  <si>
    <t>7.705I3</t>
  </si>
  <si>
    <t>PEARLESCENT PIGMENT IN BAG 1.5KG</t>
  </si>
  <si>
    <t>PEARLESCENT PIGMENT: BỘT MÀU - PHỤ GIA CHỐNG TRƯỢT DÙNG TRONG SẢN XUẤT NHỰA ĐÓNG TRONG BAO 1.5KG</t>
  </si>
  <si>
    <t>7.705I4</t>
  </si>
  <si>
    <t>PEARLESCENT PIGMENT IN BAG 3KG</t>
  </si>
  <si>
    <t>PEARLESCENT PIGMENT: BỘT MÀU - PHỤ GIA CHỐNG TRƯỢT DÙNG TRONG SẢN XUẤT NHỰA ĐÓNG TRONG BAO 3KG</t>
  </si>
  <si>
    <t>7.B24106333E80199</t>
  </si>
  <si>
    <t>MAYONNAISE SIMPLY 3KG X 4 TUB/ CAR</t>
  </si>
  <si>
    <t>7.B24106333E8019901</t>
  </si>
  <si>
    <t>MAYONNAISE SIMPLY 3KG</t>
  </si>
  <si>
    <t>7.1070120292108010</t>
  </si>
  <si>
    <t>MEIZAN BOS MP34-38 IV48-52 PEBAG@20KG</t>
  </si>
  <si>
    <t>7.B24100833E80199</t>
  </si>
  <si>
    <t>MAYONNAISE MEIZAN 3KG X 4 TUB/ CAR</t>
  </si>
  <si>
    <t>7.B24100833E8019901</t>
  </si>
  <si>
    <t>MAYONNAISE MEIZAN 3KG</t>
  </si>
  <si>
    <t>7.705I5</t>
  </si>
  <si>
    <t>ELEVANCE CLEAN 1200 IN BOTTLE 1.2KG</t>
  </si>
  <si>
    <t>ELEVANCE CLEAN 1200 - CHẤT TẨY RỬA DẦU MỠ ĐÓNG TRONG LỌ 1.2KG</t>
  </si>
  <si>
    <t>7.705I6</t>
  </si>
  <si>
    <t>UNIFY 270 IN BOTTLE 1.2KG</t>
  </si>
  <si>
    <t>UNIFY 270 - CHẤT TẠO MÀNG CHO SƠN ĐÓNG TRONG LỌ 1.2KG</t>
  </si>
  <si>
    <t>7.705I7</t>
  </si>
  <si>
    <t>UNIFY 270 WITH FRAGRANCE IN BOTTLE 1.2KG</t>
  </si>
  <si>
    <t>UNIFY 270 WITH FRAGRANCE - CHẤT TẠO MÀNG CHO SƠN ĐÓNG TRONG LỌ 1.2KG</t>
  </si>
  <si>
    <t>N04.0022039.00093</t>
  </si>
  <si>
    <t>TEXT BOOK, SIZE:210 X 297 MM, TITLE:MEIZAN FLOUR AND YEAST CATALOG, ADDITIONAL DETAILS:36 PAGES INCLUDE COVER, COVER: 4 PAGES, C200 PAPER, TEXT BLOCK: 32PAGES,C100 PAPER, 4-COLOR PRINTING ON BOTH SIDES, STAPLE, BINDING COVER 1&lt;(&gt;&amp;&lt;)&gt;4</t>
  </si>
  <si>
    <t>CATALOGUE BỘT MÌ VÀ MEN</t>
  </si>
  <si>
    <t>TEXT BOOK,MEIZAN FLOUR AND YEAST CATALOG</t>
  </si>
  <si>
    <t>7.705I8</t>
  </si>
  <si>
    <t>ELEVANCE CLEAN 1000 IN BOTTLE 0.5KG</t>
  </si>
  <si>
    <t>ELEVANCE CLEAN 1000 - CHẤT TẨY RỬA DẦU MỠ ĐÓNG TRONG LỌ 0.5KG</t>
  </si>
  <si>
    <t>N04.0018006.00295</t>
  </si>
  <si>
    <t>PROMOTIONAL STUFF,BOOTH/STAND,MEIZAN</t>
  </si>
  <si>
    <t>BÀN (BOOTH SAMPLING) MEIZAN</t>
  </si>
  <si>
    <t>N04.0014027.00042</t>
  </si>
  <si>
    <t>CART,DISPLAY SHELF,IRON,W. 47.6 X D. 24</t>
  </si>
  <si>
    <t>KỆ SẮT MEIZAN LỚN 2 TẦNG</t>
  </si>
  <si>
    <t>N04.0018006.00294</t>
  </si>
  <si>
    <t>PROMOTIONAL STUFF,SHELF DUMP BINS DISPLA</t>
  </si>
  <si>
    <t>KỆ SẮT MEIZAN NHỎ 1 TẦNG</t>
  </si>
  <si>
    <t>N17.0117001.00277</t>
  </si>
  <si>
    <t>SCALE,WEIGH,500 G,114 X 113.5 X 2 MM,PLA</t>
  </si>
  <si>
    <t>CÂN NHƠN HÒA 500 GR</t>
  </si>
  <si>
    <t>V51.00A.074</t>
  </si>
  <si>
    <t>TUCK BOTTOM PAPER TRAY (WITH PRINTED LOGO, TAGLINE)</t>
  </si>
  <si>
    <t>KHAY GIẤY ĐÁY GÀI (CÓ IN LOGO, TAGLINE)</t>
  </si>
  <si>
    <t>7.A320108990101C0</t>
  </si>
  <si>
    <t>MEIZAN PREMIUM EGG NOODLE - FLAT STRING 500G X 12 PACKS</t>
  </si>
  <si>
    <t>7.A320108990101C001</t>
  </si>
  <si>
    <t>MEIZAN PREMIUM EGG NOODLE - FLAT STRING 500G</t>
  </si>
  <si>
    <t>MÌ TRỨNG CAO CẤP MEIZAN - SỢI DẸT 500G</t>
  </si>
  <si>
    <t>V51.000.208</t>
  </si>
  <si>
    <t>PASEO FACIAL TISSUE 2 PLY 220 SHEETS SOFT PACK X 40 PCS IN CARTON</t>
  </si>
  <si>
    <t>KHĂN GIẤY LAU MẶT PASEO 220 TỜ 2 LỚP X 40 GÓI TRONG THÙNG CARTON</t>
  </si>
  <si>
    <t>V51.000.209</t>
  </si>
  <si>
    <t>PASEO FACIAL TISSUE 2 PLY 220 SHEETS SOFT PACK</t>
  </si>
  <si>
    <t>KHĂN GIẤY LAU MẶT PASEO 220 TỜ 2 LỚP</t>
  </si>
  <si>
    <t>7.707706N328170000</t>
  </si>
  <si>
    <t>POWER100DWLCINNAMONESSENTIALOILBTL@1.4KG</t>
  </si>
  <si>
    <t>NƯỚC RỬA CHÉN POWER100 TINH DẦU QUẾ 1.4KG</t>
  </si>
  <si>
    <t>7.7077066528170000</t>
  </si>
  <si>
    <t>POWER100DWLCINNAMONESSENTIALOILBTL@3.5KG</t>
  </si>
  <si>
    <t>NƯỚC RỬA CHÉN POWER100 TINH DẦU QUẾ 3.5KG</t>
  </si>
  <si>
    <t>7.707706N32817000K</t>
  </si>
  <si>
    <t>POWER100DWLCINNAMONESENTIALOIL1.4KG*8BTL</t>
  </si>
  <si>
    <t>NƯỚC RỬA CHÉN POWER100 TINH DẦU QUẾ 1.4KG*8</t>
  </si>
  <si>
    <t>7.707706652817000H</t>
  </si>
  <si>
    <t>POWER100DWLCINNAMONESENTIALOIL3.5KG*4BTL</t>
  </si>
  <si>
    <t>NƯỚC RỬA CHÉN POWER100 TINH DẦU QUẾ 3.5KG*4</t>
  </si>
  <si>
    <t>N04.0018006.00297</t>
  </si>
  <si>
    <t>PROMOTIONAL STUFF,LEAFLET,POWER 100</t>
  </si>
  <si>
    <t>TỜ RƠI GIỚI THIỆU SẢN PHẨM POWER100</t>
  </si>
  <si>
    <t>N04.0017001.00022</t>
  </si>
  <si>
    <t>APRON,FABRIC</t>
  </si>
  <si>
    <t>N13.0007002.00030</t>
  </si>
  <si>
    <t>RICE,PREMIUM WHITE RICE</t>
  </si>
  <si>
    <t>7.A43100899C30199</t>
  </si>
  <si>
    <t>MEIZAN RICE PAPER 120G X 40 PACKS</t>
  </si>
  <si>
    <t>7.A43100899C3019901</t>
  </si>
  <si>
    <t>MEIZAN RICE PAPER 120G</t>
  </si>
  <si>
    <t>7.705J0</t>
  </si>
  <si>
    <t>FATTY ALCOHOL 1698 IN BAG 25KG</t>
  </si>
  <si>
    <t>HỢP CHẤT FATTY ALCOHOL 1698 ĐÓNG TRONG BAO 25KG</t>
  </si>
  <si>
    <t>MEIZANDRYYEASTHISUGAR YELLOWLBPEBAG@500G</t>
  </si>
  <si>
    <t>MEN KHÔ DÙNG LIỀN HIỆU MEIZAN - NHÃN VÀNG 500GR (GÓI)</t>
  </si>
  <si>
    <t>MEIZAN DRYYEASTLOWSUGAR REDLB PEBAG@500G</t>
  </si>
  <si>
    <t>MEN KHÔ DÙNG LIỀN HIỆU MEIZAN - NHÃN ĐỎ 500GR (GÓI)</t>
  </si>
  <si>
    <t>N04.0018006.00309</t>
  </si>
  <si>
    <t>PROMOTIONAL STUFF,HANGING SAMPLING TRAY,</t>
  </si>
  <si>
    <t>KHAY MẪU NƯỚC RỬA CHÉN POWER100 TREO KỆ</t>
  </si>
  <si>
    <t>N04.0023001.00319</t>
  </si>
  <si>
    <t>BANNER,180 X 80 CM,DECAL</t>
  </si>
  <si>
    <t>KHUNG TRƯNG BÀY (STANDEE) MEIZAN</t>
  </si>
  <si>
    <t>N04.0018006.00291</t>
  </si>
  <si>
    <t>PROMOTIONAL STUFF,T-SHIRT,MEIZAN</t>
  </si>
  <si>
    <t>ÁO THUN MEIZAN</t>
  </si>
  <si>
    <t>7.707658F628170000</t>
  </si>
  <si>
    <t>POWER100 GREEN DWL GRAPEFRUIT BTL@400G</t>
  </si>
  <si>
    <t>NƯỚC RỬA CHÉN POWER100 GREEN TINH DẦU BƯỞI TÂY 400G</t>
  </si>
  <si>
    <t>7.707658N328170000</t>
  </si>
  <si>
    <t>POWER100 GREEN DWL GRAPEFRUIT BTL@1.4KG</t>
  </si>
  <si>
    <t>NƯỚC RỬA CHÉN POWER100 GREEN TINH DẦU BƯỞI TÂY 1.4KG</t>
  </si>
  <si>
    <t>7.707658F62817000A</t>
  </si>
  <si>
    <t>POWER100 GREEN DWL GRAPEFRUIT 400G*24BTL</t>
  </si>
  <si>
    <t>NƯỚC RỬA CHÉN POWER100 GREEN TINH DẦU BƯỞI TÂY 400G*24</t>
  </si>
  <si>
    <t>7.707658N32817000K</t>
  </si>
  <si>
    <t>POWER100 GREEN DWL GRAPEFRUIT 1.4KG*8BTL</t>
  </si>
  <si>
    <t>NƯỚC RỬA CHÉN POWER100 GREEN TINH DẦU BƯỞI TÂY 1.4KG*8</t>
  </si>
  <si>
    <t>7.B24092399020199</t>
  </si>
  <si>
    <t>SALAD DRESSING 250G X 4 PCS/ CAR</t>
  </si>
  <si>
    <t>7.B24022399E90166</t>
  </si>
  <si>
    <t>NAM DUONG HOT CHILI SAUCE 255G X 4 PCS/ CAR</t>
  </si>
  <si>
    <t>N04.0019026.00239</t>
  </si>
  <si>
    <t>UNIFORM,POLO SHIRT,SHORT SLEEVE,POWER100</t>
  </si>
  <si>
    <t>N04.0013032.00011</t>
  </si>
  <si>
    <t>WATER JUG DISPENSER,POLYPROPYLENE</t>
  </si>
  <si>
    <t>N16.0459001.00003</t>
  </si>
  <si>
    <t>LANYARD,LANYARD,4 (IRON HOOK STRAP TOPBO</t>
  </si>
  <si>
    <t>DÂY TREO CỔ CHAI POWER100 (XANH DƯƠNG)</t>
  </si>
  <si>
    <t>7.705J1</t>
  </si>
  <si>
    <t>FATTY ALCOHOL 1618 IN BAG 25KG</t>
  </si>
  <si>
    <t>HỢP CHẤT FATTY ALCOHOL 1618 ĐÓNG TRONG BAO 25KG</t>
  </si>
  <si>
    <t>7.090026641990900</t>
  </si>
  <si>
    <t>MEIZAN VIETNAMESE PANCAKE MIX PEBAG@400G</t>
  </si>
  <si>
    <t>7.55601010670006</t>
  </si>
  <si>
    <t>MEIZAN CORN STARCH IN PLASTIC BAG @150G</t>
  </si>
  <si>
    <t>7.55601041670006</t>
  </si>
  <si>
    <t>MEIZAN CORN STARCH IN PLASTIC BAG @1KG</t>
  </si>
  <si>
    <t>MEIZAN CHICKEN FRYING FLOUR WOVENBG@10KG</t>
  </si>
  <si>
    <t>7.5221450707Y0201</t>
  </si>
  <si>
    <t>COMPASS CRISPY FRYING MIX PLASTICBAG@1KG</t>
  </si>
  <si>
    <t>7.5221125707Y0201</t>
  </si>
  <si>
    <t>MEIZAN CRISPY FRYING MIX PLASTICBAG@150G</t>
  </si>
  <si>
    <t>7.5221120707Y0201</t>
  </si>
  <si>
    <t>MEIZAN CRISPY FRYING MIX PLASTICBAG@1KG</t>
  </si>
  <si>
    <t>7.5221125707Z0201</t>
  </si>
  <si>
    <t>MEIZAN SEASONED CRISPYFRYINGMIX BAG@150G</t>
  </si>
  <si>
    <t>7.522112072510210</t>
  </si>
  <si>
    <t>MEIZAN SEASONEDCHICKNFRIEDCOATMIX 1KG*10</t>
  </si>
  <si>
    <t>BỘT GÀ RÁN MEIZAN CÓ GIA VỊ 1KG X 10 GÓI</t>
  </si>
  <si>
    <t>7.58810100202L0100</t>
  </si>
  <si>
    <t>MEIZAN NON DAIRY CREAMER PLASTICBAG@1KG</t>
  </si>
  <si>
    <t>7.58810100202L0103</t>
  </si>
  <si>
    <t>MEIZAN NON-DAIRY CREAMER 1KG X 10BAG</t>
  </si>
  <si>
    <t>7.01410705050201</t>
  </si>
  <si>
    <t>MEIZAN ALLPURPOSE TAPIOCA STARCH BAG@1KG</t>
  </si>
  <si>
    <t>7.01410721050201</t>
  </si>
  <si>
    <t>MEIZAN ALLPURP TAPIOCA STARCH BAG@400G</t>
  </si>
  <si>
    <t>7.090026542070900</t>
  </si>
  <si>
    <t>MEIZAN CHIFFON CAKE PREMIX PEBAG@1KG</t>
  </si>
  <si>
    <t>7.090026542070914</t>
  </si>
  <si>
    <t>MEIZAN CHIFFON CAKE MIX 1KG X 10BAG</t>
  </si>
  <si>
    <t>7.090026542010900</t>
  </si>
  <si>
    <t>MEIZAN BANANA CAKE MIX IN PEBAG@1KG</t>
  </si>
  <si>
    <t>7.090026542010914</t>
  </si>
  <si>
    <t>MEIZAN BANANA CAKE MIX 1KG X 10BAG</t>
  </si>
  <si>
    <t>7.090026540150900</t>
  </si>
  <si>
    <t>MEIZAN GRAIN BREAD MIX IN PEBAG@1KG</t>
  </si>
  <si>
    <t>7.090026540150914</t>
  </si>
  <si>
    <t>MEIZAN GRAIN BREAD MIX 1KG X 10PEBAG</t>
  </si>
  <si>
    <t>7.090026540520900</t>
  </si>
  <si>
    <t>MEIZAN CHOCOLATE MUFFIN MIX PEBAG@1KG</t>
  </si>
  <si>
    <t>7.090026540520914</t>
  </si>
  <si>
    <t>MEIZAN CHOCOLATE MUFFIN MIX 1KG*10BAG</t>
  </si>
  <si>
    <t>7.090026542020900</t>
  </si>
  <si>
    <t>MEIZAN VANILLA MUFFIN MIX PEBAG@1KG</t>
  </si>
  <si>
    <t>7.090026542020914</t>
  </si>
  <si>
    <t>MEIZAN VANILLA MUFFIN MIX 1KG X 10BAG</t>
  </si>
  <si>
    <t>7.522B856181401000</t>
  </si>
  <si>
    <t>7.522B856158101000</t>
  </si>
  <si>
    <t>MEIZAN PREMIUM VEG NOODLE PLASTICBG@250G</t>
  </si>
  <si>
    <t>7.522H860110765000</t>
  </si>
  <si>
    <t>7.522H860110701000</t>
  </si>
  <si>
    <t>OLIVOILA SPAGHETTI N.5 PLASTICBAG@500G</t>
  </si>
  <si>
    <t>MÌ SPAGHETTI OLIVOILÀ N.5 500G</t>
  </si>
  <si>
    <t>OLIVOILA SPAGHETTI N.5 IN BOX@500G</t>
  </si>
  <si>
    <t>7.522B856160701000</t>
  </si>
  <si>
    <t>MEIZAN THIN ROUND STRING NOODLE BAG@500G</t>
  </si>
  <si>
    <t>7.522B850641901000</t>
  </si>
  <si>
    <t>MEIZAN PREMIUM EGG NOODLE PLASTICBAG@1KG</t>
  </si>
  <si>
    <t>7.522B850641901150</t>
  </si>
  <si>
    <t>MEIZAN PREMIUM EGG NOODLE 1KG X 8BAG</t>
  </si>
  <si>
    <t>7.522B850648101000</t>
  </si>
  <si>
    <t>MEIZAN PREMIUM EGG NOODLE PLASTICBG@250G</t>
  </si>
  <si>
    <t>7.522B850640701000</t>
  </si>
  <si>
    <t>MEIZAN PREMIUM EGG NOODLE PLASTICBG@500G</t>
  </si>
  <si>
    <t>7.522H850040101000</t>
  </si>
  <si>
    <t>MEIZAN MACARONI ELBOW IN PLASTICBAG@200G</t>
  </si>
  <si>
    <t xml:space="preserve">NUI CAO CẤP MEIZAN - CHỮ "C" 200G </t>
  </si>
  <si>
    <t>7.522H850041201000</t>
  </si>
  <si>
    <t>MEIZAN MACARONI ELBOW IN PLASTICBAG@400G</t>
  </si>
  <si>
    <t>7.522H850043B01320</t>
  </si>
  <si>
    <t>MEIZAN MACARONI ELBOW PLASTIC BAG@8.5KG</t>
  </si>
  <si>
    <t>7.522H850240101000</t>
  </si>
  <si>
    <t>MEIZAN MACARONI STELLINE PLASTICBAG@200G</t>
  </si>
  <si>
    <t>7.522H850251401000</t>
  </si>
  <si>
    <t>MEIZAN MACARONI SPIRAL PLASTICBAG@300G</t>
  </si>
  <si>
    <t>7.522H850251C01320</t>
  </si>
  <si>
    <t>MEIZAN MACARONI SPIRAL PLASTIC BAG@6.5KG</t>
  </si>
  <si>
    <t>MEIZAN MACARONI LONG TUBE PLASTICBAG@8KG</t>
  </si>
  <si>
    <t>7.522H850301201000</t>
  </si>
  <si>
    <t>7.522H850260101000</t>
  </si>
  <si>
    <t>MEIZAN RICEMACARONI ELBOW PLASTICBG@200G</t>
  </si>
  <si>
    <t>7.522H850261201000</t>
  </si>
  <si>
    <t>MEIZAN RICEMACARONI ELBOW PLASTICBG@400G</t>
  </si>
  <si>
    <t>7.522H850271201000</t>
  </si>
  <si>
    <t>MEIZAN RICEMACARONI LONGTUBE BAG@400G</t>
  </si>
  <si>
    <t>7.522H850280101000</t>
  </si>
  <si>
    <t>MEIZAN VEG MACARONI ELBOW PLASTICBG@200G</t>
  </si>
  <si>
    <t>NUI RAU CỦ CAO CẤP MEIZAN - CHỮ “C” 200G</t>
  </si>
  <si>
    <t>V51.000.210</t>
  </si>
  <si>
    <t>STRING NAME TAG COVER FOR STAFF</t>
  </si>
  <si>
    <t>THẺ NHÂN VIÊN</t>
  </si>
  <si>
    <t>7.705I9</t>
  </si>
  <si>
    <t>REFINED HYDROGENATED COCONUT OIL IN 20KG CARTON</t>
  </si>
  <si>
    <t>DẦU DỪA TINH LUYỆN ĐÃ HYDRO HÓA ĐÓNG TRONG THÙNG CARTON 20KG</t>
  </si>
  <si>
    <t>7.705J2</t>
  </si>
  <si>
    <t>SHORTENING (WILMAX KT230228) IN BAG 1KG</t>
  </si>
  <si>
    <t>SHORTENING (WILMAX KT230228) ĐÓNG TRONG TÚI 1KG</t>
  </si>
  <si>
    <t>7.522176021551901</t>
  </si>
  <si>
    <t>YELLOWCOMPASS MULTIPURPOSEFL PPBAG@25KG</t>
  </si>
  <si>
    <t>BỘT MÌ LA BÀN VÀNG 25KG</t>
  </si>
  <si>
    <t>N13.0001006.00017</t>
  </si>
  <si>
    <t>TEA BAG,BLACK</t>
  </si>
  <si>
    <t>N13.0001006.00018</t>
  </si>
  <si>
    <t>TEA BAG,HERBAL</t>
  </si>
  <si>
    <t>N13.0001006.00019</t>
  </si>
  <si>
    <t>N13.0001006.00020</t>
  </si>
  <si>
    <t>TEA BAG,GREEN TEA</t>
  </si>
  <si>
    <t>V51.000.211</t>
  </si>
  <si>
    <t>N04.0018006.00292</t>
  </si>
  <si>
    <t>PROMOTIONAL STUFF,HAWKER UMBRELLA,MEIZAN</t>
  </si>
  <si>
    <t>7.52213702A561901</t>
  </si>
  <si>
    <t>RED COMPASS BREAD FL 10-12% PPBAG@25KG</t>
  </si>
  <si>
    <t>V39.00A.012</t>
  </si>
  <si>
    <t>RED COMPASS WHITE POLO T-SHIRT</t>
  </si>
  <si>
    <t>ÁO THUN MÀU TRẮNG HÌNH LA BÀN ĐỎ</t>
  </si>
  <si>
    <t>V39.00A.013</t>
  </si>
  <si>
    <t>RED COMPASS APRON</t>
  </si>
  <si>
    <t>TẠP DỀ LA BÀN ĐỎ</t>
  </si>
  <si>
    <t>V52.000.009</t>
  </si>
  <si>
    <t>TWO-WHEEL MOTORCYCLE HONDA JA386 WAVE RSX FI</t>
  </si>
  <si>
    <t>XE MÔ TÔ HAI BÁNH HONDA JA386 WAVE RSX FI</t>
  </si>
  <si>
    <t>7.705J3</t>
  </si>
  <si>
    <t>MEDIUM CHAIN TRIGLYCERIDES 6040 IN BOTTLE 1KG</t>
  </si>
  <si>
    <t>DẦU ĂN MẠCH TRUNG BÌNH 6040 ĐÓNG TRONG LỌ 1KG</t>
  </si>
  <si>
    <t>7.705J4</t>
  </si>
  <si>
    <t>MEDIUM CHAIN TRIGLYCERIDES 7030 IN BOTTLE 1KG</t>
  </si>
  <si>
    <t>DẦU ĂN MẠCH TRUNG BÌNH 7030 ĐÓNG TRONG LỌ 1KG</t>
  </si>
  <si>
    <t>7.522H860110701020</t>
  </si>
  <si>
    <t>OLIVOILA SPAGHETTI N.5 500G X 24BAG</t>
  </si>
  <si>
    <t>7.522H870050803000</t>
  </si>
  <si>
    <t>RED COMPASS MACARONIFUSILLI WOVENBG@10KG</t>
  </si>
  <si>
    <t>7.090026642000900</t>
  </si>
  <si>
    <t>MEIZAN CENTRAL VIETNAMPANCAKE PEBAG@400G</t>
  </si>
  <si>
    <t>7.090026642000913</t>
  </si>
  <si>
    <t>MEIZAN CENTRAL VIETNAMPANCAKE 400G*12BAG</t>
  </si>
  <si>
    <t>7.522112052510601</t>
  </si>
  <si>
    <t>MEIZAN SEASONEDCHICKN FRIEDCOATING @10KG</t>
  </si>
  <si>
    <t>BỘT GÀ RÁN MEIZAN CÓ GIA VỊ 10KG</t>
  </si>
  <si>
    <t>7.522B856170701000</t>
  </si>
  <si>
    <t>MEIZAN EGG NOODLE-FLAT PLASTICBAG@500G</t>
  </si>
  <si>
    <t>7.585D130830070100</t>
  </si>
  <si>
    <t>MEIZAN RICE PAPER ROLL PLASTICBAG@120G</t>
  </si>
  <si>
    <t>7.585D130830070110</t>
  </si>
  <si>
    <t>MEIZAN RICE VERMICELLI PLASTICBAG@300G</t>
  </si>
  <si>
    <t>7.522H850300101000</t>
  </si>
  <si>
    <t>MEIZAN MACARONI LONG TUBE PLASTICBG@200G</t>
  </si>
  <si>
    <t>MEIZAN MACARONI LONG TUBE PLASTICBG@400G</t>
  </si>
  <si>
    <t>7.B25080899020199</t>
  </si>
  <si>
    <t>MONOSODIUM GLUTAMATE MEIZAN 1KG x 12 PCH/ CAR</t>
  </si>
  <si>
    <t>7.B2508089902019901</t>
  </si>
  <si>
    <t>MONOSODIUM GLUTAMATE MEIZAN 1KG</t>
  </si>
  <si>
    <t>BỘT NGỌT MEIZAN 1KG</t>
  </si>
  <si>
    <t>N13.0002002.00024</t>
  </si>
  <si>
    <t>SAUCE,SOYA BEAN</t>
  </si>
  <si>
    <t>N13.0002003.00033</t>
  </si>
  <si>
    <t>SPICES,PORK FLAVOR</t>
  </si>
  <si>
    <t>HẠT NÊM NEPTUNE 4 TRONG 1 – VỊ HEO 200G</t>
  </si>
  <si>
    <t>N13.0002003.00043</t>
  </si>
  <si>
    <t>N13.0011005.00085</t>
  </si>
  <si>
    <t>FLOUR,ALL-PURPOSE TAPIOCA STARCH,12.80%,</t>
  </si>
  <si>
    <t>N13.0011005.00086</t>
  </si>
  <si>
    <t>FLOUR,FRYING MIX,8.52%,3.45%</t>
  </si>
  <si>
    <t>BỘT CHIÊN GIÒN MEIZAN ĐÃ NÊM SẴN GV 150G</t>
  </si>
  <si>
    <t>7.705J5</t>
  </si>
  <si>
    <t>GLYCEROL MONOOLEAT IN BOTTLE 0.5KG</t>
  </si>
  <si>
    <t>GLYCEROL MONOOLEAT ĐÓNG TRONG CHAI 0.5KG</t>
  </si>
  <si>
    <t>7.705J6</t>
  </si>
  <si>
    <t>METHYL OLEATE (ME 1898) IN BOTTLE 1KG</t>
  </si>
  <si>
    <t xml:space="preserve">METHYL OLEATE (ME 1898) ĐÓNG TRONG CHAI 1KG </t>
  </si>
  <si>
    <t>7.705J7</t>
  </si>
  <si>
    <t>GLYCEROL MONOOLEATE (GMO) IN DRUM 180KG</t>
  </si>
  <si>
    <t>GLYCEROL MONOOLEATE (GMO) ĐÓNG TRONG PHUY 180KG</t>
  </si>
  <si>
    <t>7.522112732350201</t>
  </si>
  <si>
    <t>MEIZAN RICE FLOUR IN PLASTICBAG@400G</t>
  </si>
  <si>
    <t>BỘT GẠO MEIZAN 400G</t>
  </si>
  <si>
    <t>7.522112732590201</t>
  </si>
  <si>
    <t>MEIZAN GLUTINOUS RICE FLOUR IN BAG@400G</t>
  </si>
  <si>
    <t>BỘT NẾP MEIZAN 400G</t>
  </si>
  <si>
    <t>7.G4001B59932019901</t>
  </si>
  <si>
    <t>7.G4001B599C20199</t>
  </si>
  <si>
    <t>VINATEA GOOD NIGHT TEA (TEA BAG) 40G 2G X 20 BAGS X 24 BOXES IN CARTON</t>
  </si>
  <si>
    <t>TRÀ GOOD NIGHT HIỆU VINATEA, LOẠI 40G 2G X 20 TÚI LỌC X 24 HỘP ĐÓNG TRONG THÙNG CARTON</t>
  </si>
  <si>
    <t>7.G4001B599C2019901</t>
  </si>
  <si>
    <t>V51.041.019</t>
  </si>
  <si>
    <t>7.G4001B599300186</t>
  </si>
  <si>
    <t>VINATEA JASMINE TEA (TEA BAG) 50G 2G X 25 BAGS X 24 BOXES IN CARTON</t>
  </si>
  <si>
    <t>TRÀ HOA NHÀI HIỆU VINATEA, LOẠI 50G 2G X 25 TÚI LỌC X 24 HỘP ĐÓNG TRONG THÙNG CARTON</t>
  </si>
  <si>
    <t>7.G4001B59930018601</t>
  </si>
  <si>
    <t>7.G4001B59983019901</t>
  </si>
  <si>
    <t>7.G4001B59903018701</t>
  </si>
  <si>
    <t>7.G4001B599010187</t>
  </si>
  <si>
    <t>VINATEA RED TEA 500G X 10 BAGS IN CARTON</t>
  </si>
  <si>
    <t>HỒNG TRÀ HIỆU VINATEA TÚI 500G X 10 TÚI ĐÓNG TRONG THÙNG CARTON</t>
  </si>
  <si>
    <t>7.G4001B59901018701</t>
  </si>
  <si>
    <t>7.B24012399390113</t>
  </si>
  <si>
    <t>NAM DUONG CONDENSED SOYA SAUCE 280ML x 24 BOT/CAR</t>
  </si>
  <si>
    <t>7.B2401239939011301</t>
  </si>
  <si>
    <t>NAM DUONG CONDENSED SOYA SAUCE 280ML</t>
  </si>
  <si>
    <t>NƯỚC TƯƠNG NAM DƯƠNG ĐẬM ĐẶC 280ML</t>
  </si>
  <si>
    <t>7.B24012399370113</t>
  </si>
  <si>
    <t>NAM DUONG CONDENSED SOYA SAUCE 500ML x 24 BOT/CAR</t>
  </si>
  <si>
    <t>7.B2401239937011301</t>
  </si>
  <si>
    <t>NAM DUONG CONDENSED SOYA SAUCE 500ML</t>
  </si>
  <si>
    <t>NƯỚC TƯƠNG NAM DƯƠNG ĐẬM ĐẶC 500ML</t>
  </si>
  <si>
    <t>VINATEA BLACK TEA (TEA BAG) 200G</t>
  </si>
  <si>
    <t>TRÀ ĐEN HẢO HẠNG HỘP VÀNG TÚI LỌC HIỆU VINATEA, LOẠI 200G</t>
  </si>
  <si>
    <t>VINATEA GOOD NIGHT TEA (TEA BAG) 40G</t>
  </si>
  <si>
    <t>TRÀ GOOD NIGHT HIỆU VINATEA, LOẠI 40G</t>
  </si>
  <si>
    <t>VINATEA JASMINE TEA (TEA BAG) 50G</t>
  </si>
  <si>
    <t>TRÀ HOA NHÀI HIỆU VINATEA, LOẠI 50G</t>
  </si>
  <si>
    <t>VINATEA PANDAN FLAVORED TEA 350G</t>
  </si>
  <si>
    <t>TRÀ HƯƠNG SÂM DỨA HIỆU VINATEA, LOẠI 350G</t>
  </si>
  <si>
    <t>HỒNG TRÀ HIỆU VINATEA TÚI 1KG</t>
  </si>
  <si>
    <t>VINATEA RED TEA 500G</t>
  </si>
  <si>
    <t>HỒNG TRÀ HIỆU VINATEA TÚI 500G</t>
  </si>
  <si>
    <t>7.707707N328170000</t>
  </si>
  <si>
    <t>POWER100 DWL SVG GREENTEA ALOE BTL@1.4KG</t>
  </si>
  <si>
    <t>NƯỚC RỬA CHÉN POWER100 TIẾT KIỆM HƯƠNG TRÀ XANH LÔ HỘI 1.4KG</t>
  </si>
  <si>
    <t>N04.0018006.00320</t>
  </si>
  <si>
    <t>KỆ SẮT 2 TẦNG POWER100</t>
  </si>
  <si>
    <t>6.70591</t>
  </si>
  <si>
    <t>DIMER ACID BIODA-80 IN DRUM 190KG</t>
  </si>
  <si>
    <t>AXIT DIMER BIODA-80 ĐÓNG TRONG PHUY 190KG</t>
  </si>
  <si>
    <t>N13.0011005.00090</t>
  </si>
  <si>
    <t>FLOUR,CRISPY FRYING MIX,&lt;=14%,&lt;=4%</t>
  </si>
  <si>
    <t>N13.0011005.00091</t>
  </si>
  <si>
    <t>BỘT CHIÊN GIÒN MEIZAN 150GR X 60 BAG</t>
  </si>
  <si>
    <t>7.475056171704020TD</t>
  </si>
  <si>
    <t>OLIVOILÀ BRAND POMACE OLIVE OIL 750ML X 6 BTL IN CARTON</t>
  </si>
  <si>
    <t>DẦU Ô-LIU POMACE NHÃN HIỆU OLIVOILÀ 750ML X 6 CHAI ĐÓNG TRONG THÙNG CARTON</t>
  </si>
  <si>
    <t>7.475056081708020TD</t>
  </si>
  <si>
    <t>V39.015.714</t>
  </si>
  <si>
    <t>MEIZAN APRON - DOMESTIC PRODUCT WITHOUT LINING</t>
  </si>
  <si>
    <t>TẠP DỀ MEIZAN - NỘI ĐỊA KHÔNG LỚP LÓT</t>
  </si>
  <si>
    <t>N04.0009001.00052</t>
  </si>
  <si>
    <t>BOWL,POLY PLASTIC,160 X 55 X 215 MM</t>
  </si>
  <si>
    <t>BỘ DỤNG CỤ ĂN DẶM KIDDY</t>
  </si>
  <si>
    <t>7.E38017899A40137</t>
  </si>
  <si>
    <t>MEADOW FRESH CHOCOLATE UHT MILK 250MLX24</t>
  </si>
  <si>
    <t>SỮA TIỆT TRÙNG HƯƠNG SÔ-CÔ-LA NHÃN HIỆU MEADOW FRESH 250ML X 24</t>
  </si>
  <si>
    <t>7.E38017899A40136</t>
  </si>
  <si>
    <t>MEADOW FRESH STRAWBERRY UHT MILK 250MLX24</t>
  </si>
  <si>
    <t>SỮA TIỆT TRÙNG HƯƠNG DÂU NHÃN HIỆU MEADOW FRESH 250ML X 24</t>
  </si>
  <si>
    <t>7.705J8</t>
  </si>
  <si>
    <t>GLYCEROL MONOSTEARATE (GMS-AF01) IN BAG 1KG</t>
  </si>
  <si>
    <t>CHẤT NHŨ HÓA GLYCEROL MONOSTEARATE (GMS-AF01) ĐÓNG TRONG TÚI 1KG</t>
  </si>
  <si>
    <t>7.5221125007Y0206</t>
  </si>
  <si>
    <t>MEIZAN CRISPY FRYING MIX 300G X 24BAG</t>
  </si>
  <si>
    <t>BỘT CHIÊN GIÒN MEIZAN 300G X 24 GÓI</t>
  </si>
  <si>
    <t>7.B25080899330199</t>
  </si>
  <si>
    <t>MONOSODIUM GLUTAMATE MEIZAN 400G x 30 PCH/ CAR</t>
  </si>
  <si>
    <t>7.B2508089933019901</t>
  </si>
  <si>
    <t>MONOSODIUM GLUTAMATE MEIZAN 400G</t>
  </si>
  <si>
    <t>BỘT NGỌT MEIZAN 400G</t>
  </si>
  <si>
    <t>7.5221125007Y0201</t>
  </si>
  <si>
    <t>MEIZAN CRISPY FRYING MIX PLASTICBAG@300G</t>
  </si>
  <si>
    <t>BỘT CHIÊN GIÒN MEIZAN 300G</t>
  </si>
  <si>
    <t>N13.0004003.00028</t>
  </si>
  <si>
    <t>CONSUMER PACK PALM OIL,COOKING OIL,1 L</t>
  </si>
  <si>
    <t>N13.0004003.00029</t>
  </si>
  <si>
    <t>7.B25085499440105</t>
  </si>
  <si>
    <t>COMBO 01 PAC PORK BOUILLON GRANULE 850G AND 01 BOT PREMIUM SOYA SAUCE 500ML AND 01 BOT SPECIAL HOT CHILI SAUCE 255G x 10 PCH/CAR</t>
  </si>
  <si>
    <t>COMBO 01 GÓI HẠT NÊM 4 TRONG 1 VỊ HEO 850G VÀ 01 CHAI NƯỚC TƯƠNG THƯỢNG HẠNG 500ML VÀ 01 CHAI TƯƠNG ỚT ĐẶC BIỆT CAY 255G x 10 TÚI/THÙNG</t>
  </si>
  <si>
    <t>7.B2508549944010501</t>
  </si>
  <si>
    <t>COMBO 01 PAC PORK BOUILLON GRANULE 850G AND 01 BOT PREMIUM SOYA SAUCE 500ML AND 01 BOT SPECIAL HOT CHILI SAUCE 255G</t>
  </si>
  <si>
    <t>COMBO 01 GÓI HẠT NÊM 4 TRONG 1 VỊ HEO 850G VÀ 01 CHAI NƯỚC TƯƠNG THƯỢNG HẠNG 500ML VÀ 01 CHAI TƯƠNG ỚT ĐẶC BIỆT CAY 255G</t>
  </si>
  <si>
    <t>7.B25111099050199</t>
  </si>
  <si>
    <t>MONOSODIUM GLUTAMATE 25KG (S)</t>
  </si>
  <si>
    <t>7.E38017899A4013701</t>
  </si>
  <si>
    <t>MEADOW FRESH CHOCOLATE UHT MILK 250ML</t>
  </si>
  <si>
    <t>SỮA TIỆT TRÙNG HƯƠNG SÔ-CÔ-LA NHÃN HIỆU MEADOW FRESH 250ML</t>
  </si>
  <si>
    <t>7.E38017899A4013601</t>
  </si>
  <si>
    <t>MEADOW FRESH STRAWBERRY UHT MILK 250ML</t>
  </si>
  <si>
    <t>SỮA TIỆT TRÙNG HƯƠNG DÂU NHÃN HIỆU MEADOW FRESH 250ML</t>
  </si>
  <si>
    <t>N04.0018001.00055</t>
  </si>
  <si>
    <t>BAG,TOTE/GOODIE,NON-WOVEN FABRIC</t>
  </si>
  <si>
    <t>TÚI VẢI SIMPLY</t>
  </si>
  <si>
    <t>N04.0022044.00217</t>
  </si>
  <si>
    <t>WRITING BOOK,80 X 150 MM,110 SHEETS</t>
  </si>
  <si>
    <t>SỔ TAY_VIETNAM</t>
  </si>
  <si>
    <t>V51.000.212</t>
  </si>
  <si>
    <t>POWER100 DWL LEMON ESSENTIAL OIL 3.5KG*4BTL</t>
  </si>
  <si>
    <t>V51.000.213</t>
  </si>
  <si>
    <t>V51.000.214</t>
  </si>
  <si>
    <t>V51.000.215</t>
  </si>
  <si>
    <t>7.707658E92817000I</t>
  </si>
  <si>
    <t>POWER100 GREEN DWL GRAPEFRUIT 750G*18BTL</t>
  </si>
  <si>
    <t>NƯỚC RỬA CHÉN POWER100 GREEN TINH DẦU BƯỞI TÂY 750G*18</t>
  </si>
  <si>
    <t>N04.0017001.00021</t>
  </si>
  <si>
    <t>APRON,POLYESTER</t>
  </si>
  <si>
    <t>N04.0023001.00358</t>
  </si>
  <si>
    <t>BANNER,TOPBOARD: W.104.4 X H.24.5 CM,POL</t>
  </si>
  <si>
    <t>HÌNH ẢNH XE ĐẨY POWER100</t>
  </si>
  <si>
    <t>V51.00A.075</t>
  </si>
  <si>
    <t>NDFC DISPLAY SHELF</t>
  </si>
  <si>
    <t>KỆ TRƯNG BÀY NDFC</t>
  </si>
  <si>
    <t>N11.0003012.00041</t>
  </si>
  <si>
    <t>RAIN COAT</t>
  </si>
  <si>
    <t>RAIN COAT, MATERIAL:PARACHUTE FABRIC, COLOR:RED AND YELLOW, ORIGIN:VIETNAM, ADDITIONAL DETAILS:MARKING : MEIZAN AND LOGO, JUST TOP WITH HOOD</t>
  </si>
  <si>
    <t>7.G4001B599E90181</t>
  </si>
  <si>
    <t>VINATEA OOLONG TEA BOX 80G X 24 PAPER BOXES IN CARTON</t>
  </si>
  <si>
    <t>TRÀ OOLONG HIỆU VINATEA, LOẠI HỘP 80G X 24 HỘP GIẤY ĐÓNG TRONG THÙNG CARTON</t>
  </si>
  <si>
    <t>7.G4001B599E9018101</t>
  </si>
  <si>
    <t>VINATEA OOLONG TEA BOX 80G</t>
  </si>
  <si>
    <t>TRÀ OOLONG HIỆU VINATEA, LOẠI HỘP 80G</t>
  </si>
  <si>
    <t>V51.00A.076</t>
  </si>
  <si>
    <t>HANGING ROPE</t>
  </si>
  <si>
    <t>7.704229302817000O</t>
  </si>
  <si>
    <t>POWER100 LD PASSION FRENCH 200G X 50BTL</t>
  </si>
  <si>
    <t>NƯỚC GIẶT XẢ POWER100 HƯƠNG NƯỚC HOA PHÁP ĐAM MÊ 200G*50</t>
  </si>
  <si>
    <t>7.7042293028170000</t>
  </si>
  <si>
    <t>POWER100 LD PASSION FRENCH BOTLE@200G</t>
  </si>
  <si>
    <t>NƯỚC GIẶT XẢ POWER100 HƯƠNG NƯỚC HOA PHÁP ĐAM MÊ 200G</t>
  </si>
  <si>
    <t>7.704229P537170000</t>
  </si>
  <si>
    <t>POWER100 LD PASSION FRENCH POUCH@3.2KG</t>
  </si>
  <si>
    <t>NƯỚC GIẶT XẢ POWER100 HƯƠNG NƯỚC HOA PHÁP ĐAM MÊ 3.2KG</t>
  </si>
  <si>
    <t>7.704229P428170000</t>
  </si>
  <si>
    <t>POWER100 LD PASSION FRENCH BOTLE@3.4KG</t>
  </si>
  <si>
    <t>NƯỚC GIẶT XẢ POWER100 HƯƠNG NƯỚC HOA PHÁP ĐAM MÊ 3.4KG</t>
  </si>
  <si>
    <t>7.704229N528170000</t>
  </si>
  <si>
    <t>POWER100 LD PASSION FRENCH BOTTLE@9.0KG</t>
  </si>
  <si>
    <t>NƯỚC GIẶT XẢ POWER100 HƯƠNG NƯỚC HOA PHÁP ĐAM MÊ 9.0KG</t>
  </si>
  <si>
    <t>V51.000.216</t>
  </si>
  <si>
    <t>BUY 1 GET 1 FREE PROMOTIONAL STICKER</t>
  </si>
  <si>
    <t>STICKER KHUYẾN MẠI MUA 1 TẶNG 1</t>
  </si>
  <si>
    <t>V51.000.217</t>
  </si>
  <si>
    <t>BUY 2 GET 1 FREE PROMOTIONAL STICKER</t>
  </si>
  <si>
    <t>STICKER KHUYẾN MẠI MUA 2 TẶNG 1</t>
  </si>
  <si>
    <t>V51.000.218</t>
  </si>
  <si>
    <t>WOBBLER DISCOUNT</t>
  </si>
  <si>
    <t>WOBBLER GIẢM GIÁ</t>
  </si>
  <si>
    <t>V51.000.219</t>
  </si>
  <si>
    <t>WOBBLER SHOCK PROMOTION</t>
  </si>
  <si>
    <t>WOBBLER KHUYẾN MẠI SỐC</t>
  </si>
  <si>
    <t>V51.000.220</t>
  </si>
  <si>
    <t>PROMOTIONAL PRICE LIST</t>
  </si>
  <si>
    <t>BẢNG GIÁ KHUYẾN MẠI</t>
  </si>
  <si>
    <t>7.522208022631901</t>
  </si>
  <si>
    <t>ACE-111 WOODGLUE FLOUR ASH 3% PPBAG@25KG</t>
  </si>
  <si>
    <t>BỘT MÌ CÔNG NGHIỆP ACE-111 (NGUYÊN LIỆU SẢN XUẤT HỒ DÁN, KEO DÁN GỖ) 25KG</t>
  </si>
  <si>
    <t>7.522209023351901</t>
  </si>
  <si>
    <t>AP-1 FEED FLOUR PROTEIN 12% PPBAG@25KG</t>
  </si>
  <si>
    <t>BỘT MÌ HIỆU AP-1 25KG</t>
  </si>
  <si>
    <t>N09.0007005.01750</t>
  </si>
  <si>
    <t>CARTON,POWER100,4 X 3.5KG,DISHWASHING LI</t>
  </si>
  <si>
    <t>THÙNG NRC POWER100 TINH DẦU CHANH 3.5KG</t>
  </si>
  <si>
    <t>7.705J9</t>
  </si>
  <si>
    <t>GLYCEROL MONOOLEATE 90 IN BOTTLE 600GR</t>
  </si>
  <si>
    <t>GLYCEROL MONOOLEATE 90 ĐÓNG TRONG CHAI 600GR</t>
  </si>
  <si>
    <t>V51.00A.077</t>
  </si>
  <si>
    <t>MEIZAN ONPACK BAG</t>
  </si>
  <si>
    <t>TÚI ONPACK MEIZAN</t>
  </si>
  <si>
    <t>N04.0009003.00022</t>
  </si>
  <si>
    <t>CUP,DRINKING &amp; EATING UTENSILS,PORCELAIN</t>
  </si>
  <si>
    <t>LY SỨ OLIVOILA</t>
  </si>
  <si>
    <t>7.5222100208E0601</t>
  </si>
  <si>
    <t>BLUESATELLITE PAUFLOUR PRO7%PAPERBG@25KG</t>
  </si>
  <si>
    <t>BỘT MÌ HIỆU VỆ TINH XANH 25KG</t>
  </si>
  <si>
    <t>N04.0017001.00023</t>
  </si>
  <si>
    <t>APRON, MATERIAL:KHAKI FABRIC 65/35, SIZE:W.70 X L.77CM (+/- 1CM), BRAND:SIMPLY</t>
  </si>
  <si>
    <t>APRON,SIMPLY,KHAKI FABRIC 65/35</t>
  </si>
  <si>
    <t>N13.0007002.00038</t>
  </si>
  <si>
    <t>RICE, TYPE:FRAGRANT, PACK SIZE:2 KG, ADDITIONAL DETAILS:PREMIUM, BRAND:NEPTUNE</t>
  </si>
  <si>
    <t>RICE,FRAGRANT</t>
  </si>
  <si>
    <t>7.B24012399370113TD</t>
  </si>
  <si>
    <t>NAM DUONG CONDENSED SOY SAUCE 500ML X 24 BOTS/CARTON (LNS)</t>
  </si>
  <si>
    <t>7.B2401239937011301TD</t>
  </si>
  <si>
    <t>NAM DUONG CONDENSED SOY SAUCE 500ML (LNS)</t>
  </si>
  <si>
    <t>7.B24022399B80103TD</t>
  </si>
  <si>
    <t>7.B24022399B8010301TD</t>
  </si>
  <si>
    <t>HOT CHILI SAUCE 255G (LNS)</t>
  </si>
  <si>
    <t>7.B24092399180199TD</t>
  </si>
  <si>
    <t>SALAD DRESSING 250G X 24 BOTS/CARTON (LNS)</t>
  </si>
  <si>
    <t>SỐT DẦU DẤM TRỘN SALAD 250G X 24 CHAI/THÙNG</t>
  </si>
  <si>
    <t>7.5221120707Y0210TD</t>
  </si>
  <si>
    <t>7.522H850301201140TD</t>
  </si>
  <si>
    <t>7.522B856160701140TD</t>
  </si>
  <si>
    <t>MEIZAN PREMIUM EGG NOODLE THIN ROUND STRING 500G X 12 PACKS</t>
  </si>
  <si>
    <t>MÌ TRỨNG CAO CẤP MEIZAN SỢI NHỎ 500GR X 12 GÓI</t>
  </si>
  <si>
    <t>7.522B856181401020TD</t>
  </si>
  <si>
    <t>MEIZAN RICE VERMICELLI 300G X 24 PAC</t>
  </si>
  <si>
    <t>V51.00A.078</t>
  </si>
  <si>
    <t>NAM DUONG WOONDEN TRAY FOR SPICES</t>
  </si>
  <si>
    <t>KHAY GỖ ĐỰNG GIA VỊ NAM DƯƠNG</t>
  </si>
  <si>
    <t>7.1070123001852230TD</t>
  </si>
  <si>
    <t>MEIZAN MARGARINE MP44MAX 80GRX60 OVALTUBE</t>
  </si>
  <si>
    <t>BƠ THỰC VẬT NHÃN HIỆU MEIZAN 80G X 60 HỘP ĐÓNG TRONG THÙNG CARTON</t>
  </si>
  <si>
    <t>7.1070123001852000TD</t>
  </si>
  <si>
    <t>N04.0018006.00307</t>
  </si>
  <si>
    <t>PROMOTIONAL STUFF, TYPE:WOBBLER, MATERIAL:COATED ART PAPER 300 GSM, SIZE:140 X 117 MM, MARKING:SIMPLY-VIETNAM, ADDITIONAL DETAILS:WITH ALUMINUM CLIPS, FILM WIRE</t>
  </si>
  <si>
    <t>WOBBLER_ VIETNAM</t>
  </si>
  <si>
    <t>PROMOTIONAL STUFF,WOBBLER,SIMPLY-VIETNAM</t>
  </si>
  <si>
    <t>7.705K0</t>
  </si>
  <si>
    <t>SODIUM LAURYL ETHER SULFATE IN BOTTLE 3KG</t>
  </si>
  <si>
    <t>SODIUM LAURYL ETHER SULFATE-CHẤT HOẠT ĐỘNG BỀ MẶT DẠNG ANION ĐÓNG TRONG CHAI 3KG</t>
  </si>
  <si>
    <t>7.705K2</t>
  </si>
  <si>
    <t>RICE BRAN WAX PACK IN BAG 2.15KG</t>
  </si>
  <si>
    <t>SÁP CÁM GẠO ĐÓNG TRONG TÚI 2.15KG</t>
  </si>
  <si>
    <t>7.705K3</t>
  </si>
  <si>
    <t>GLYCEROL TRIOLEATE (GTO) PACK IN BOTTLE 0.5KG</t>
  </si>
  <si>
    <t>GLYCEROL TRIOLEATE (GTO) ĐÓNG TRONG CHAI 0.5KG</t>
  </si>
  <si>
    <t xml:space="preserve">GLYCEROL TRIOLEATE (GTO) PACK IN BOTTLE 0.5KG_x000D_
</t>
  </si>
  <si>
    <t>7.705K4</t>
  </si>
  <si>
    <t>GENAGEN KB PACK IN BOTTLE 1KG</t>
  </si>
  <si>
    <t>CHẤT HOẠT ĐỘNG BỀ MẶT GENAGEN KB ĐÓNG TRONG CHAI 1KG</t>
  </si>
  <si>
    <t>7.705K5</t>
  </si>
  <si>
    <t>FATTY ACID AMIDE ESTER (ADWIL AID DT50) PACK IN BAG 0.5KG</t>
  </si>
  <si>
    <t>FATTY ACID AMIDE ESTER (ADWIL AID DT50) ĐÓNG TRONG TÚI 0.5KG</t>
  </si>
  <si>
    <t>FATTY ACID AMIDE ESTER (ADWIL AID DT50) PACK IN BAG 0.5KG</t>
  </si>
  <si>
    <t>7.705K6</t>
  </si>
  <si>
    <t>PENTA ADIPATE STEARATE (ADWIL LUBE 74) PACK IN BAG 0.5KG</t>
  </si>
  <si>
    <t>PENTA ADIPATE STEARATE (ADWIL LUBE 74) ĐÓNG TRONG TÚI 0.5KG</t>
  </si>
  <si>
    <t>N09.0002005.00003</t>
  </si>
  <si>
    <t>OPP TAPE PRINTED, SIZE:48 MM, LENGTH:80 M, MARKING:WITH LOGO</t>
  </si>
  <si>
    <t>OPP TAPE PRINTED,48 MM,80 M,WITH LOGO</t>
  </si>
  <si>
    <t>N09.0007005.01477</t>
  </si>
  <si>
    <t>CARTON, PRODUCT BRAND:MEIZAN GOLD, PRODUCT PACKED:COOKING OIL,CONTENT:12 X 1L, SIZE:293 X 220 X 295 MM, COLOR:BROWN, SUBSTANCE:KT175/CA150/KT175, FLUTE:A, PACKING TYPE:BOTTLE, ADDITIONAL DETAILS:EXPORT</t>
  </si>
  <si>
    <t>THÙNG 2 MÀU - MEIZAN GOLD 1LX12</t>
  </si>
  <si>
    <t>CARTON,MEIZAN GOLD,12 X 1L,COOKING OIL,E</t>
  </si>
  <si>
    <t>V51.000.221</t>
  </si>
  <si>
    <t>HAO HAO NOODLES WITH SPICY AND SOUR SHRIMP 30 HANOI BIRTHDAY 2024</t>
  </si>
  <si>
    <t>MÌ HẢO HẢO TÔM CHUA CAY 30 HÀ NỘI SINH NHẬT 2024</t>
  </si>
  <si>
    <t>V51.000.222</t>
  </si>
  <si>
    <t>HAO HAO NOODLES KOREAN KIM CHI HOT POT 30 HANOI BIRTHDAY 2024</t>
  </si>
  <si>
    <t>MÌ HẢO HẢO LẨU KIM CHI HÀN QUỐC 30 HÀ NỘI SINH NHẬT 2024</t>
  </si>
  <si>
    <t>V51.00A.079</t>
  </si>
  <si>
    <t>POSTER FOR PREMIUM SOY SAUCE FOR OFFICIAL EXPORT</t>
  </si>
  <si>
    <t>TẤM ÁP PHÍCH NƯỚC TƯƠNG THƯỢNG HẠNG XUẤT KHẨU CHÍNH NGẠCH</t>
  </si>
  <si>
    <t xml:space="preserve">POSTER FOR PREMIUM SOY SAUCE FOR OFFICIAL EXPORT_x000D_
</t>
  </si>
  <si>
    <t>V51.00A.080</t>
  </si>
  <si>
    <t>SHELFTALKER FOR PREMIUM SOY SAUCE FOR OFFICIAL EXPORT</t>
  </si>
  <si>
    <t>THANH NGANG NƯỚC TƯƠNG THƯỢNG HẠNG XUẤT KHẨU CHÍNH NGẠCH</t>
  </si>
  <si>
    <t>V51.00A.081</t>
  </si>
  <si>
    <t>WOBBLER FOR PREMIUM SOY SAUCE FOR OFFICIAL EXPORT</t>
  </si>
  <si>
    <t>MÔ HÌNH KẸP RŨ NƯỚC TƯƠNG THƯỢNG HẠNG XUẤT KHẨU CHÍNH NGẠCH</t>
  </si>
  <si>
    <t>N09.0001020.01594</t>
  </si>
  <si>
    <t>WOVEN BAG, TYPE:TUBULAR, OUTER MATERIAL:POLYPROPYLENE, OUTER SIZE:51 X 76 CM, COLOR:BLUE, TOP TYPE:OPEN MOUTH, BOTTOM TYPE:SINGLE FOLDED, OUTER WEIGHT:67 G, WOVEN:11 X 12, CAPACITY:25 KG, MARKING:WHEAT FLOUR BLUE COMPASS-333, ADDITIONAL DETAILS:PROTE</t>
  </si>
  <si>
    <t>BAO PP LA BÀN XANH 333 - 25</t>
  </si>
  <si>
    <t>WOVEN BAG,TUBULAR,51 X 76 CM,WHEAT FLOUR</t>
  </si>
  <si>
    <t>N09.0001020.01595</t>
  </si>
  <si>
    <t>WOVEN BAG, TYPE:TUBULAR, OUTER MATERIAL:POLYPROPYLENE, OUTER SIZE:51 X 76 CM, COLOR:WHITE, TOP TYPE:OPEN MOUTH, BOTTOM TYPE:SINGLE FOLDED, OUTER WEIGHT:67 G, WOVEN:11 X 12, CAPACITY:25 KG, MARKING:WHEAT FLOUR BLUE COMPASS-888, ADDITIONAL DETAILS:PROT</t>
  </si>
  <si>
    <t>N09.0007005.01490</t>
  </si>
  <si>
    <t>CARTON, PRODUCT BRAND:COMPASS, PRODUCT PACKED:ALL PURPOSE FLOUR, CONTENT:20 X 500 G, SIZE:370 X 275 X 190 MM, COLOR:BROWN, SUBSTANCE :CA125/CA125/CA125/CA125/CÁ125, FLUTE:BC, PACKING TYPE:PACK</t>
  </si>
  <si>
    <t>THÙNG CARTON LA BÀN 0.5KG</t>
  </si>
  <si>
    <t>CARTON,COMPASS,20 X 500 G,ALL PURPOSE FL</t>
  </si>
  <si>
    <t>N09.0007005.01491</t>
  </si>
  <si>
    <t>CARTON, PRODUCT BRAND:MEIZAN, PRODUCT PACKED:FLOUR, CONTENT:20 X 500 G, SIZE:364 X 269 X 181 MM, COLOR:BROWN, SUBSTANCE:KT175/CA180/KT175, FLUTE:A, PACKING TYPE:PACK, ADDITIONAL DETAILS:COLOR: BLUE</t>
  </si>
  <si>
    <t>CARTON,MEIZAN,20 X 500 G,FLOUR,COLOR: BL</t>
  </si>
  <si>
    <t>N09.0007005.01492</t>
  </si>
  <si>
    <t>CARTON, PRODUCT BRAND:COMPASS, PRODUCT PACKED:ALL PURPOSE FLOUR, CONTENT:1 KG X 10 PACKS, SIZE:329 X 229 X 226 MM, COLOR:BROWN, SUBS TANCE:KT175/CA180/KT175, FLUTE:A, PACKING TYPE:PACK</t>
  </si>
  <si>
    <t>THÙNG CARTON LA BÀN 1KG</t>
  </si>
  <si>
    <t>CARTON,COMPASS,1 KG X 10 PACKS,ALL PURPO</t>
  </si>
  <si>
    <t>N09.0007005.01493</t>
  </si>
  <si>
    <t>CARTON, PRODUCT BRAND:MEIZAN, PRODUCT PACKED:ALL PURPOSE FLOUR, CONTENT:1 KG X 10 PACKS, SIZE:329 X 229 X 226 MM, COLOR:BROWN, SUBST ANCE:KT175/CA180/KT175, FLUTE:A, PACKING TYPE:PACK, ADDITIONAL DETAILS:BLUE</t>
  </si>
  <si>
    <t>CARTON,MEIZAN,1 KG X 10 PACKS,ALL PURPOS</t>
  </si>
  <si>
    <t>7.705K7</t>
  </si>
  <si>
    <t>SOAP NOODLE 8020 IN BAG 0.2KG</t>
  </si>
  <si>
    <t>SOAP NOODLE 8020 - PHÔI XÀ PHÒNG ĐÓNG TRONG TÚI 0.2KG</t>
  </si>
  <si>
    <t>7.E38017899F0013201</t>
  </si>
  <si>
    <t>SỮA TƯƠI TIỆT TRÙNG NGUYÊN KEM NHÃN HIỆU MEADOW FRESH 200ml, XUẤT XỨ NEW ZEALAND</t>
  </si>
  <si>
    <t>7.E38017899F0013801</t>
  </si>
  <si>
    <t>MEADOW FRESH UHT LOW FAT CALCI MILK 200ML</t>
  </si>
  <si>
    <t>SỮA TIỆT TRÙNG GIÀU CANXI ÍT BÉO NHÃN HIỆU MEADOW FRESH 200ml, XUẤT XỨ NEW ZEALAND</t>
  </si>
  <si>
    <t>7.E38017899F0013501</t>
  </si>
  <si>
    <t>MEADOW FRESH UHT LOW FAT MILK 200ML</t>
  </si>
  <si>
    <t>SỮA TƯƠI TIỆT TRÙNG ÍT BÉO NHÃN HIỆU MEADOW FRESH 200ml, XUẤT XỨ NEW ZEALAND</t>
  </si>
  <si>
    <t>7.522001050941901</t>
  </si>
  <si>
    <t>PLAIN FLOUR IN PP BAG @10KG</t>
  </si>
  <si>
    <t>N09.0007005.01471</t>
  </si>
  <si>
    <t>CARTON, PRODUCT BRAND:ORCHID, PRODUCT PACKED:COOKING OIL, CONTENT:2 X 9KG, SIZE:420 X 210 X 404 MM, COLOR:BROWN, SUBSTANCE:KT175/CA150/KT175, FLUTE:A, PACKING TYPE:BOTTLE</t>
  </si>
  <si>
    <t>THÙNG 2 MÀU - ORCHID 9KG X2</t>
  </si>
  <si>
    <t>CARTON,ORCHID,2 X 9KG,COOKING OIL,BOTTLE</t>
  </si>
  <si>
    <t>N09.0007005.01455</t>
  </si>
  <si>
    <t>CARTON, PRODUCT BRAND:MEIZAN, PRODUCT PACKED:COOKING OIL, CONTENT:2 X 9.8L, SIZE:420 X 210 X 404 MM, COLOR:BROWN, SUBSTANCE:KT175/CA150/KT175, FLUTE:A, PACKING TYPE:BOTTLE</t>
  </si>
  <si>
    <t>THÙNG 2 MÀU-MEIZAN CKO 9KG X2</t>
  </si>
  <si>
    <t>CARTON,MEIZAN,2 X 9.8L,COOKING OIL,BOTTL</t>
  </si>
  <si>
    <t>N09.0003003.00810</t>
  </si>
  <si>
    <t>STICKER, MODEL:RECTANGLE, MARKING:ORCHID COOKING OIL 9KG, SIZE:190 X 130 MM, FINISHING:OPP COATED, MATERIAL:DECAL FASSON AW0416, ADDITIONAL DETAILS:LOCAL 2024</t>
  </si>
  <si>
    <t>NHÃN STK ORCHID 9KG</t>
  </si>
  <si>
    <t>STICKER,RECTANGLE,ORCHID COOKING OIL 9KG</t>
  </si>
  <si>
    <t>N09.0003003.00809</t>
  </si>
  <si>
    <t>STICKER, MODEL:RECTANGLE, MARKING:MEIZAN PREMIUM VEGETABLE OIL, SIZE:190 X 130 MM, FINISHING:OPP COATED, MATERIAL:DECAL FASSON AW0416, ADDITIONAL DETAILS:2024 VERSION, 9.8L (9 KG)</t>
  </si>
  <si>
    <t>NHÃN STK MEIZAN DẦU THỰC VẬT 9KG</t>
  </si>
  <si>
    <t>STICKER,RECTANGLE,MEIZAN PREMIUM VEGETAB</t>
  </si>
  <si>
    <t>N09.0007005.01348</t>
  </si>
  <si>
    <t xml:space="preserve">CARTON, PRODUCT BRAND:NEPTUNE, PRODUCT PACKED:COOKING OIL, CONTENT:0.4 X 24L, SIZE:330 X 220 X 240 MM, COLOR:BROWN, SUBSTANCE:KT175/CA150/KT175, FLUTE:A, PACKING TYPE:BOTTLE </t>
  </si>
  <si>
    <t>THÙNG 2 MÀU - NEPTUNE LIGHT 400ML X 24</t>
  </si>
  <si>
    <t>CARTON,NEPTUNE,0.4 X 24L,COOKING OIL,BOT</t>
  </si>
  <si>
    <t>N09.0007005.01674</t>
  </si>
  <si>
    <t>CARTON, PRODUCT BRAND:NEPTUNE LIGHT, CONTENT:6 X 2L, SIZE:358 X 236 X 278 MM, COLOR:BROWN, SUBSTANCE:KT175XCA150XKT175, FLUTE:A, PACKING TYPE:BOTTLE</t>
  </si>
  <si>
    <t>THÙNG 2 MÀU - NEPTUNE LIGHT 2L X 6</t>
  </si>
  <si>
    <t>CARTON,NEPTUNE LIGHT,6 X 2L,BOTTLE,358 X</t>
  </si>
  <si>
    <t>N09.0007005.01482</t>
  </si>
  <si>
    <t>CARTON, PRODUCT BRAND:MEIZAN GOLD, PRODUCT PACKED:COOKING OIL, CONTENT:24 X 400 ML, SIZE:329 X 220 X 225 MM, COLOR:BROWN, SUBSTANCE: KT175/CA150/KT175, FLUTE:A, PACKING TYPE:BOTTLE</t>
  </si>
  <si>
    <t>THÙNG 2 MÀU - MEIZAN GOLD 400ML X 24</t>
  </si>
  <si>
    <t>ARTON,MEIZAN GOLD,24 X 400 ML,COOKING O</t>
  </si>
  <si>
    <t>N09.0007005.01472</t>
  </si>
  <si>
    <t xml:space="preserve">CARTON, PRODUCT BRAND:CAI LAN, PRODUCT PACKED:COOKING OIL, CONTENT:24 X .4L, SIZE:350 X 232 X 225 MM, COLOR:BROWN, SUBSTANCE:KT175/CA150/KT175, FLUTE:A, PACKING TYPE:BOTTLE </t>
  </si>
  <si>
    <t>THÙNG 2 MÀU - CAI LAN 400ML X 24</t>
  </si>
  <si>
    <t>CARTON,CAI LAN,24 X 0.4L,COOKING OIL,BOT</t>
  </si>
  <si>
    <t>N09.0007005.01453</t>
  </si>
  <si>
    <t>CARTON, PRODUCT BRAND:MEIZAN, PRODUCT PACKED:SOYBEAN OIL, CONTENT:4 X 5L, SIZE:320 X 320 X 355 MM, COLOR:BROWN, SUBSTANCE:KT175/CA150/KT175, FLUTE:A, PACKING TYPE:BOTTLE</t>
  </si>
  <si>
    <t>THÙNG 2 MÀU - MEIZAN SBO 5L X 4</t>
  </si>
  <si>
    <t>CARTON,MEIZAN,4 X 5L,SOYBEAN OIL,BOTTLE</t>
  </si>
  <si>
    <t>N09.0007005.01354</t>
  </si>
  <si>
    <t>CARTON, PRODUCT BRAND:ORCHID, PRODUCT PACKED:COOKING OIL, CONTENT:4 X 5L, SIZE:320 X 320 X 355 MM, COLOR:BROWN, SUBSTANCE:KT175/CA150/KT175, FLUTE:A, PACKING TYPE:BOTTLE</t>
  </si>
  <si>
    <t>THÙNG 2 MÀU - ORCHID 5L X 4</t>
  </si>
  <si>
    <t>CARTON,ORCHID,4 X 5L,COOKING OIL,BOTTLE</t>
  </si>
  <si>
    <t>N09.0007005.01333</t>
  </si>
  <si>
    <t>CARTON, PRODUCT BRAND:SIMPLY, PRODUCT PACKED:CANOLA OIL, CONTENT:12 X 1L, SIZE:296 X 222 X 295 MM, COLOR:BROWN, SUBSTANCE:KT175/CA150/KT150, FLUTE:A, PACKING TYPE:BOTTLE</t>
  </si>
  <si>
    <t>THÙNG 2 MÀU - SIMPLY HẠT CẢI (CNO) 1LX12</t>
  </si>
  <si>
    <t>CARTON,SIMPLY,12 X 1L,CANOLA OIL,BOTTLE</t>
  </si>
  <si>
    <t>7.B24012399390113TD</t>
  </si>
  <si>
    <t>NAM DUONG CONDENSED SOY SAUCE 280ML X 24 BOT/ CAR_x000D_
NAM DUONG CONDENSED SOY SAUCE 280ML X 24 BOT/ CAR</t>
  </si>
  <si>
    <t>NAM DUONG CONDENSED SOY SAUCE 280ML X 24 BOT/ CAR</t>
  </si>
  <si>
    <t>7.B24032399860199TD</t>
  </si>
  <si>
    <t>OYSTER SAUCE 270G X 24 BOT/ CAR</t>
  </si>
  <si>
    <t>DẦU HÀO 270G X 24 CHAI/ THÙNG</t>
  </si>
  <si>
    <t>7.522H850240101020TD</t>
  </si>
  <si>
    <t>7.522H850280101020TD</t>
  </si>
  <si>
    <t>MEIZAN PREMIUM VEGETABLE MACARONI - ELBOW 200G X 24 PACKS</t>
  </si>
  <si>
    <t>7.522B856170701140TD</t>
  </si>
  <si>
    <t>7.585D130830070110TD</t>
  </si>
  <si>
    <t>MEIZAN RICE PAPER 120G X 40 PACKSMEIZAN RICE PAPER 120G X 40 PACKS_x000D_
MEIZAN RICE PAPER 120G X 40 PACKS</t>
  </si>
  <si>
    <t>BÁNH TRÁNG MEIZAN 120G X 40 GÓI</t>
  </si>
  <si>
    <t>7.522H850260101020TD</t>
  </si>
  <si>
    <t>MEIZAN PREMIUM RICE MACARONI - ELBOW 200G X 24 PACKS</t>
  </si>
  <si>
    <t>7.522B850648101020TD</t>
  </si>
  <si>
    <t>7.522H850040101020TD</t>
  </si>
  <si>
    <t>MEIZAN PREMIUM MACARONI - ELBOW 200G X 24 PACKS</t>
  </si>
  <si>
    <t>7.5221125707Z0206TD</t>
  </si>
  <si>
    <t>MEIZAN SEASONED CRISPY FRYING MIX 150G X 24 PACKS</t>
  </si>
  <si>
    <t>7.522B856158101140TD</t>
  </si>
  <si>
    <t>MEIZAN PREMIUM VEGETARIAN NOODLE 250G X 12 PACKS</t>
  </si>
  <si>
    <t>7.5221125707Y0206TD</t>
  </si>
  <si>
    <t>MEIZAN CRISPY FRYING MIX 150G X 24 PACKS</t>
  </si>
  <si>
    <t>V51.000.223</t>
  </si>
  <si>
    <t>KORENO JUMBO KIMCHI FLAVORED NOODLES</t>
  </si>
  <si>
    <t>MÌ VỊ KIM CHI KORENO JUMBO</t>
  </si>
  <si>
    <t>N09.0007005.01475</t>
  </si>
  <si>
    <t>CARTON, PRODUCT BRAND:MEIZAN GOLD, PRODUCT PACKED:COOKING OIL, CONTENT:4 X 5L, SIZE:320 X 320 X 355 MM, COLOR:BROWN, SUBSTANCE:KT175/CA150/KT175, FLUTE:A, PACKING TYPE:BOTTLE</t>
  </si>
  <si>
    <t>THÙNG 2 MÀU - MEIZAN GOLD 5L X 4</t>
  </si>
  <si>
    <t>CARTON,MEIZAN GOLD,4 X 5L,COOKING OIL,BO</t>
  </si>
  <si>
    <t>N09.0007005.01423</t>
  </si>
  <si>
    <t>CARTON, PRODUCT BRAND:ORCHID, PRODUCT PACKED:COOKING OIL, CONTENT:4 X 4.5L, SIZE:305 X 305 X 355 MM, COLOR:BROWN, SUBSTANCE:KT175/CA150/KT175, FLUTE:A, PACKING TYPE:BOTTLE</t>
  </si>
  <si>
    <t>THÙNG 2 MÀU - ORCHID 4.5L X 4</t>
  </si>
  <si>
    <t>CARTON,ORCHID,4 X 4.5L,COOKING OIL,BOTTL</t>
  </si>
  <si>
    <t>N09.0007005.01473</t>
  </si>
  <si>
    <t>CARTON, PRODUCT BRAND:CAI LAN, PRODUCT PACKED:COOKING OIL, CONTENT:4 X 5L, SIZE:320 X 320 X 355 MM, COLOR:BROWN, SUBSTANCE:KT175/CA150/KT175, FLUTE:A, PACKING TYPE:BOTTLE</t>
  </si>
  <si>
    <t>THÙNG 2 MÀU - CAI LAN 5L X 4</t>
  </si>
  <si>
    <t>CARTON,CAI LAN,4 X 5L,COOKING OIL,BOTTLE</t>
  </si>
  <si>
    <t>N09.0003003.00451</t>
  </si>
  <si>
    <t>STICKER, MODEL:RECTANGLE, MARKING:MEIZAN GOLD COOKING OIL 5 L, SIZE:165 X 121 MM, MATERIAL:PE/PP/FASCOAT</t>
  </si>
  <si>
    <t>NHÃN STK MEIZAN GOLD 5L</t>
  </si>
  <si>
    <t>STICKER,RECTANGLE,MEIZAN GOLD COOKING OI</t>
  </si>
  <si>
    <t>N09.0003003.00598</t>
  </si>
  <si>
    <t>STICKER, MODEL:RECTANGLE, MARKING:MEIZAN SBO G2 5 L, SIZE:165 X 121 MM, MATERIAL:PE/PP/FASCOAT</t>
  </si>
  <si>
    <t>NHÃN MEIZAN SBO 5L</t>
  </si>
  <si>
    <t>STICKER,RECTANGLE,MEIZAN SBO G2 5 L,165</t>
  </si>
  <si>
    <t>N09.0003003.00593</t>
  </si>
  <si>
    <t>STICKER, MODEL:RECTANGLE, MARKING:ORCHID COOKING OIL 4.5 L, SIZE:165 X 121 MM, MATERIAL:FASCOAT</t>
  </si>
  <si>
    <t>NHÃN ORCHID 4.5L</t>
  </si>
  <si>
    <t>STICKER,RECTANGLE,ORCHID COOKING OIL 4.5</t>
  </si>
  <si>
    <t>N09.0003003.00596</t>
  </si>
  <si>
    <t>STICKER, MODEL:RECTANGLE, MARKING:ORCHID COOKING OIL 5 L, SIZE:165 X 121 MM, MATERIAL:DECAL</t>
  </si>
  <si>
    <t>NHÃN ORCHID 5L</t>
  </si>
  <si>
    <t>STICKER,RECTANGLE,ORCHID COOKING OIL 5 L</t>
  </si>
  <si>
    <t>N09.0003003.00591</t>
  </si>
  <si>
    <t>STICKER, MODEL:RECTANGLE, MARKING:CAI LAN COOKING OIL 5 L, SIZE:165 X 121 MM, MATERIAL:DECAL</t>
  </si>
  <si>
    <t>NHÃN DẦU THỰC VẬT CÁI LÂN 5L</t>
  </si>
  <si>
    <t>STICKER,RECTANGLE,CAI LAN COOKING OIL 5</t>
  </si>
  <si>
    <t>7.131036I71701O30</t>
  </si>
  <si>
    <t>ORCHID PREMIUM VEGETABLE OIL IN BOT@7.5L</t>
  </si>
  <si>
    <t>DẦU THỰC VẬT HẢO HẠNG NHÃN HIỆU ORCHID 7.5L</t>
  </si>
  <si>
    <t>7.131036I71702O30</t>
  </si>
  <si>
    <t>ORCHID PREMIUM VEGETABLE OIL 7.5L X 2BOT</t>
  </si>
  <si>
    <t>7.131036I80801O40</t>
  </si>
  <si>
    <t>ORCHID PREMIUM VEGETABLE OIL PEBAG@12KG</t>
  </si>
  <si>
    <t>DẦU THỰC VẬT HẢO HẠNG NHÃN HIỆU ORCHID (KÍCH CỠ ĐÓNG GÓI LỚN) 12KG</t>
  </si>
  <si>
    <t>N04.0019026.00237</t>
  </si>
  <si>
    <t>UNIFORM, TYPE:POLO SHIRT, MODEL:SHORT SLEEVE, COLOR:BLUE, MATERIAL:POLY CROCODILE, 100% PE, MARKING:SIMPLY-VIETNAM, ADDITIONAL DETAILS:WEIGHT: 260-270 GSM, COMPANY LOGO, ON FRONT AND BACK SIDE</t>
  </si>
  <si>
    <t>ÁO THUN SIMPLY_VIỆT NAM</t>
  </si>
  <si>
    <t>UNIFORM,POLO SHIRT,SHORT SLEEVE,SIMPLY-V</t>
  </si>
  <si>
    <t>V51.000.224</t>
  </si>
  <si>
    <t>MEIZAN GOLD PREMIUM NANG THOM RICE 5KG</t>
  </si>
  <si>
    <t>GẠO NGON HẢO HẠNG NÀNG THƠM MEIZAN GOLD 5KG</t>
  </si>
  <si>
    <t>V51.000.225</t>
  </si>
  <si>
    <t>NEPTUNE GOLD LABEL PREMIUM RICE 5KG</t>
  </si>
  <si>
    <t>NEPTUNE GẠO THƠM THƯỢNG HẠNG NHÃN VÀNG 5KG</t>
  </si>
  <si>
    <t>V51.000.226</t>
  </si>
  <si>
    <t>POWER100 DISHWASHING LIQUID LEMON ESSENTIAL OIL 1.4KG X 8</t>
  </si>
  <si>
    <t>NƯỚC RỬA CHÉN POWER100 TINH DẦU CHANH 1,4KG X 8</t>
  </si>
  <si>
    <t>V51.000.227</t>
  </si>
  <si>
    <t>HẠT NÊM MEIZAN THỊT, XƯƠNG ỐNG, TUỶ, CÀ RỐT - VỊ HEO 400G X24</t>
  </si>
  <si>
    <t>V39.000.085</t>
  </si>
  <si>
    <t>HAND HOLDING FAN LOGO ROYAL</t>
  </si>
  <si>
    <t>QUẠT CẦM TAY LOGO HOÀNG GIA</t>
  </si>
  <si>
    <t>7.705K8</t>
  </si>
  <si>
    <t>FATTY ALCOHOL 1214 PACK IN BOTTLE 3KG</t>
  </si>
  <si>
    <t>FATTY ALCOHOL 1214 ĐÓNG TRONG CHAI 3KG</t>
  </si>
  <si>
    <t>7.705K9</t>
  </si>
  <si>
    <t>SODIUM LAURYL ETHER SULPHATE 1EO IN ISO TANK</t>
  </si>
  <si>
    <t>CHẤT HOẠT ĐỘNG BỀ MẶT - SODIUM LAURYL ETHER SULPHATE 1EO ĐÓNG TRONG ISO TANK</t>
  </si>
  <si>
    <t>N04.0018006.00308</t>
  </si>
  <si>
    <t>PROMOTIONAL STUFF, TYPE:HANGING SAMPLING TRAY, MATERIAL:PVC, SIZE:W. 15 X D. 8 X H. 15 CM, MARKING:POWER100, ADDITIONAL DETAILS:LIQUID DETERGENT</t>
  </si>
  <si>
    <t>KHAY ĐỰNG MẪU THỬ NƯỚC GIẶT XẢ POWER100</t>
  </si>
  <si>
    <t>N04.0018006.00302</t>
  </si>
  <si>
    <t>PROMOTIONAL STUFF, TYPE:DISPLAY SAMPLING TRAY, MATERIAL:PVC, SIZE:W. 25 X D. 8 X H. 22 CM, MARKING:POWER100</t>
  </si>
  <si>
    <t>KHAY ĐEO ĐỰNG MẪU THỬ NƯỚC GIẶT XẢ POWER100</t>
  </si>
  <si>
    <t>PROMOTIONAL STUFF,DISPLAY SAMPLING TRAY,</t>
  </si>
  <si>
    <t>7.131087036062H10</t>
  </si>
  <si>
    <t>NEPTUNE LIGHT TET GIFT 2BTL@1L X 6BOX</t>
  </si>
  <si>
    <t>DẦU ĂN THƯỢNG HẠNG NHÃN HIỆU NEPTUNE LIGHT 1L X 2 CHAI X 6 HỘP</t>
  </si>
  <si>
    <t>7.10601202425C1010</t>
  </si>
  <si>
    <t>MEIZAN CHOCOFAT 400 MP 40-43 CARTON@20KG</t>
  </si>
  <si>
    <t>CHẤT BÉO CHOCO 400 NHÃN HIỆU MEIZAN ĐÓNG TRONG THÙNG 20KG</t>
  </si>
  <si>
    <t>7.1060120242308010</t>
  </si>
  <si>
    <t>MEIZAN BAKINGFAT 33-39 PEBAG@20KG/RSPOMB</t>
  </si>
  <si>
    <t>CHẤT BÉO BÁNH NƯỚNG NHÃN HIỆU MEIZAN (BAO BÌ MÀU XANH LÁ)TRONG THÙNG 20KG(RSPO/MB)</t>
  </si>
  <si>
    <t>7.92413B69960019901</t>
  </si>
  <si>
    <t>LIME GREEN CHILI SAUCE 100G</t>
  </si>
  <si>
    <t>MUỐI ỚT CHANH 100GR</t>
  </si>
  <si>
    <t>N09.0007028.00017</t>
  </si>
  <si>
    <t>TRAY, BASE MATERIAL:IVORY 700 GSM, DIMENSION:240 X 60 MM, SHAPE:RECTANGLE</t>
  </si>
  <si>
    <t>MEIZAN SSO - KHAY TRƯNG BÀY</t>
  </si>
  <si>
    <t>TRAY,IVORY 700 GSM,240 X 60 MM,RECTANGLE</t>
  </si>
  <si>
    <t>N09.0007028.00018</t>
  </si>
  <si>
    <t>TRAY, BASE MATERIAL:IVORY 700 GSM, DIMENSION:170 X 60 MM, SHAPE:RECTANGLE</t>
  </si>
  <si>
    <t>MEIZAN TM - KHAY TRƯNG BÀY</t>
  </si>
  <si>
    <t>TRAY,IVORY 700 GSM,170 X 60 MM,RECTANGLE</t>
  </si>
  <si>
    <t>CAI LAN PREMIUM VEGETABLE OIL (BIG PACK) IN JERRYCAN @ 25KG</t>
  </si>
  <si>
    <t>CAI LAN PREMIUM VEGETABLE OIL (BIG PACK) IN BIB @ 18KG</t>
  </si>
  <si>
    <t>7.111012A2126C1010</t>
  </si>
  <si>
    <t>MEIZAN WILFIL 340 IN CARTON@11KG</t>
  </si>
  <si>
    <t>CHẾ PHẨM CHẤT BÉO LÀM BÁNH KẸO WILFIL 340 HIỆU MEIZAN 11KG - MEIZAN BRAND WILFIL 340 @ 11 KG</t>
  </si>
  <si>
    <t>7.112012A1007C1010</t>
  </si>
  <si>
    <t>MEIZAN PRIMAX CHOCO IN CARTON@8KG</t>
  </si>
  <si>
    <t>CHẾ PHẨM THAY THẾ BƠ CA CAO PRIMAX CHOCO HIỆU MEIZAN 8KG- MEIZAN BRAND PRIMAX CHOCO @ 8KG</t>
  </si>
  <si>
    <t>7.112012A1006C1010</t>
  </si>
  <si>
    <t>MEIZAN ULTRA CHOCO IN CARTON@8KG</t>
  </si>
  <si>
    <t>CHẾ PHẨM THAY THẾ BƠ CA CAO ULTRA CHOCO HIỆU MEIZAN 8KG - MEIZAN BRAND ULTRA CHOCO @ 8KG</t>
  </si>
  <si>
    <t>7.090026642810900</t>
  </si>
  <si>
    <t>MEIZAN VN PANCAKEMXLESSTURMERIC PBG@400G</t>
  </si>
  <si>
    <t>7.090026642810913</t>
  </si>
  <si>
    <t>MEIZAN VN PANCAKEMXLESSTURMERIC400G*12BG</t>
  </si>
  <si>
    <t>7.705L0</t>
  </si>
  <si>
    <t>ISOPROPYL PALMITATE (IPP) PACKING IN DRUM 180KG</t>
  </si>
  <si>
    <t>ISOPROPYL PALMITATE (IPP) ĐÓNG TRONG PHUY 180KG</t>
  </si>
  <si>
    <t>N04.0022039.00109</t>
  </si>
  <si>
    <t>TEXT BOOK, SIZE:A4, TITLE:FLOUR &lt;(&gt;&amp;&lt;)&gt; YEAST 4 LANGUAGES, ADDITIONAL DETAILS:24 PAGES INCLUDE COVER, C300 COVER, C200 PAPER, 2 SIDED PRINTING, 4 COLORS, BINDING COVER 1 &amp; 4</t>
  </si>
  <si>
    <t>CATALOGUE SẢN PHẨM (VIỆT ANH- CAM - LÀO)</t>
  </si>
  <si>
    <t>TEXT BOOK,FLOUR &amp; YEAST 4 LANGUAGES</t>
  </si>
  <si>
    <t>N04.0017016.00063</t>
  </si>
  <si>
    <t>KITCHEN UTENSILS, TYPE:BOWL SCRAPPER, SIZE:10.5 X 12 CM, MATERIAL:POLYPROPYLENE</t>
  </si>
  <si>
    <t>DAO CHIA BỘT LOGO CHÌA KHÓA ĐỎ</t>
  </si>
  <si>
    <t>KITCHEN UTENSILS,BOWL SCRAPPER</t>
  </si>
  <si>
    <t>7.7042329137170000</t>
  </si>
  <si>
    <t>POWER100 PDPASSIONFRENCHPERFUME PCH@350G</t>
  </si>
  <si>
    <t>BỘT GIẶT POWER100 HƯƠNG NƯỚC HOA PHÁP ĐAM MÊ 350G</t>
  </si>
  <si>
    <t>7.7042329137170005</t>
  </si>
  <si>
    <t>POWER100 PD PASSION FRENCH PF 350G*36PCH</t>
  </si>
  <si>
    <t>BỘT GIẶT POWER100 HƯƠNG NƯỚC HOA PHÁP ĐAM MÊ 350G*36</t>
  </si>
  <si>
    <t>7.704232D637170000</t>
  </si>
  <si>
    <t>POWER100 PDPASSIONFRENCHPERFUME PCH@110G</t>
  </si>
  <si>
    <t>BỘT GIẶT POWER100 HƯƠNG NƯỚC HOA PHÁP ĐAM MÊ 110G</t>
  </si>
  <si>
    <t>7.704232D63717001C</t>
  </si>
  <si>
    <t>POWER100 PD PASSION FRENCH PF 110G*80PCH</t>
  </si>
  <si>
    <t>BỘT GIẶT POWER100 HƯƠNG NƯỚC HOA PHÁP ĐAM MÊ 110G*80</t>
  </si>
  <si>
    <t>7.704232Q737170000</t>
  </si>
  <si>
    <t>POWER100 PD PASSION FRENCH PF PCH@3.7KG</t>
  </si>
  <si>
    <t>BỘT GIẶT POWER100 HƯƠNG NƯỚC HOA PHÁP ĐAM MÊ 3.7KG</t>
  </si>
  <si>
    <t>7.704232Q73717000H</t>
  </si>
  <si>
    <t>POWER100 PD PASSION FRENCH PF 3.7KG*4PCH</t>
  </si>
  <si>
    <t>BỘT GIẶT POWER100 HƯƠNG NƯỚC HOA PHÁP ĐAM MÊ 3.7KG*4</t>
  </si>
  <si>
    <t>7.7042335937170000</t>
  </si>
  <si>
    <t>POWER100 PD CHARMING FRENCH PF PCH@700G</t>
  </si>
  <si>
    <t>BỘT GIẶT POWER100 HƯƠNG NƯỚC HOA PHÁP QUYẾN RŨ 700G</t>
  </si>
  <si>
    <t>7.704233Q137170000</t>
  </si>
  <si>
    <t>POWER100 PD CHARMING FRENCH PF PCH@2.6KG</t>
  </si>
  <si>
    <t>BỘT GIẶT POWER100 HƯƠNG NƯỚC HOA PHÁP QUYẾN RŨ 2.6KG</t>
  </si>
  <si>
    <t>7.704233Q837170000</t>
  </si>
  <si>
    <t>POWER100 PD CHARMING FRENCH PF PCH@5.3KG</t>
  </si>
  <si>
    <t>BỘT GIẶT POWER100 HƯƠNG NƯỚC HOA PHÁP QUYẾN RŨ 5.3KG</t>
  </si>
  <si>
    <t>N04.0018006.00319</t>
  </si>
  <si>
    <t>PROMOTIONAL STUFF, TYPE:BLOCK CALENDAR, MATERIAL:COUCHE MATT PAPER, SIZE:25 X 36.5 X 3.5 CM, MARKING:NEPTUNE-VIETNAM</t>
  </si>
  <si>
    <t>BỘ LỊCH NEPTUNE TẾT 2025</t>
  </si>
  <si>
    <t>PROMOTIONAL STUFF,BLOCK CALENDAR,NEPTUNE</t>
  </si>
  <si>
    <t>N04.0019026.00271</t>
  </si>
  <si>
    <t>UNIFORM, TYPE:POLO SHIRT, MODEL:SHORT SLEEVE, COLOR:WHITE, MATERIAL:100% POLY ELASTIC FABRIC, MARKING:POWER100, ADDITIONAL DETAILS:4-WAY CROCODILE</t>
  </si>
  <si>
    <t>N04.0019026.00272</t>
  </si>
  <si>
    <t>UNIFORM, TYPE:POLO SHIRT, MODEL:SHORT SLEEVE, COLOR:WHITE, MATERIAL:100%, POLY ELASTIC FABRIC, MARKING:POWER100-CAMBODIA, ADDITIONAL DETAILS:4-WAY, CROCODILE</t>
  </si>
  <si>
    <t>ÁO THUN POWER100 TRẮNG (CAMPUCHIA)</t>
  </si>
  <si>
    <t>N04.0019026.00273</t>
  </si>
  <si>
    <t>UNIFORM, TYPE:POLO SHIRT, MODEL:SHORT SLEEVE, COLOR:BLUE, MATERIAL:100%, POLY ELASTIC FABRIC, MARKING:POWER100-CAMBODIA, ADDITIONAL DETAILS:4-WAY, CROCODILE</t>
  </si>
  <si>
    <t>ÁO THUN POWER100 XANH (CAMPUCHIA)</t>
  </si>
  <si>
    <t>7.131010031701O30</t>
  </si>
  <si>
    <t>CAILAN S [70%OL IV58+30%NBDSBO] BTL@1L</t>
  </si>
  <si>
    <t>7.131010041701O30</t>
  </si>
  <si>
    <t>CAILAN S [70%OL IV58+30%NBDSBO] BTL@2L</t>
  </si>
  <si>
    <t>7.131010061701O30</t>
  </si>
  <si>
    <t>CAILAN S [70%OL IV58+30%NBDSBO] BTL@5L</t>
  </si>
  <si>
    <t>7.131010121701O30</t>
  </si>
  <si>
    <t>CAILAN S [70%OL IV58+30%NBDSBO]BTL@400ML</t>
  </si>
  <si>
    <t>7.131010121706O30</t>
  </si>
  <si>
    <t>CAILANS[70%OL IV58+30%NBDSBO]400ML*24BTL</t>
  </si>
  <si>
    <t>7.131011031701O60</t>
  </si>
  <si>
    <t>CAILAN A [65%OL IV60+35%NBDSBO]BTL@1L</t>
  </si>
  <si>
    <t>7.131011031705O60</t>
  </si>
  <si>
    <t>CAILAN A [65%OL IV60+35%NBDSBO] 1L*12BTL</t>
  </si>
  <si>
    <t>7.131011041701O60</t>
  </si>
  <si>
    <t>CAILAN A [65%OL IV60+35%NBDSBO]BTL@2L</t>
  </si>
  <si>
    <t>7.131011041704O60</t>
  </si>
  <si>
    <t>CAILAN A [65%OL IV60+35%NBDSBO] 2L*6BTL</t>
  </si>
  <si>
    <t>7.131011061701O60</t>
  </si>
  <si>
    <t>CAILAN A [65%OL IV60+35%NBDSBO]BTL@5L</t>
  </si>
  <si>
    <t>7.131011061703O60</t>
  </si>
  <si>
    <t>CAILAN A [65%OL IV60+35%NBDSBO] 5L*4BTL</t>
  </si>
  <si>
    <t>7.131011121701O60</t>
  </si>
  <si>
    <t>CAILAN A [65%OL IV60+35%NBDSBO]BTL@400ML</t>
  </si>
  <si>
    <t>7.131011121706O60</t>
  </si>
  <si>
    <t>CAILANA[65%OL IV60+35%NBDSBO]400ML*24BTL</t>
  </si>
  <si>
    <t>7.F3902B399050156</t>
  </si>
  <si>
    <t>RED STANDARD GRADE MURIATE OF POTASH (MOP)/ KALI (KCL)/WMCLV MURIATE OF POTASH 61, KALI POWDER; IN 25KG PP/PE BAG ROYAL BRAND; CANADA ORIGIN</t>
  </si>
  <si>
    <t>WMCLV MURIATE OF POTASH 61 (PHÂN BÓN KALI CLORUA) DẠNG BỘT, ĐÓNG TRONG BAO PP/PE 25KG NHÃN HIỆU HOÀNG GIA; XUẤT XỨ CANADA</t>
  </si>
  <si>
    <t>V51.000.228</t>
  </si>
  <si>
    <t>WHITE EMPTY PP BAG OF KALI POWDER ROYAL BRAND SIZE 25 KG</t>
  </si>
  <si>
    <t>VỎ BAO PP TRẮNG PHÂN BÓN KALI BỘT HIỆU HOÀNG GIA LOẠI 25KG</t>
  </si>
  <si>
    <t>N04.0018006.00339</t>
  </si>
  <si>
    <t>PROMOTIONAL STUFF, TYPE:GIFT BOX, MATERIAL:DUPLEX PAPER, SIZE:L. 290 X W. 145 X H. 295 MM, MARKING:WILMAR</t>
  </si>
  <si>
    <t>HỘP QUÀ LOẠI LỚN</t>
  </si>
  <si>
    <t>PROMOTIONAL STUFF,GIFT BOX,WILMAR</t>
  </si>
  <si>
    <t>N04.0018006.00340</t>
  </si>
  <si>
    <t>PROMOTIONAL STUFF, TYPE:GIFT BOX, MATERIAL:DUPLEX PAPER, SIZE:L. 290 X W. 100 X H. 295 MM, MARKING:WILMAR</t>
  </si>
  <si>
    <t>HỘP QUÀ LOẠI NHỎ</t>
  </si>
  <si>
    <t>7.131009031701O90</t>
  </si>
  <si>
    <t>CAILAN PR VEGOIL(99.5OL+0.5SBO) BTL@1L</t>
  </si>
  <si>
    <t>7.131009041701O90</t>
  </si>
  <si>
    <t>CAILAN PR VEGOIL(99.5OL+0.5SBO) BTL@2L</t>
  </si>
  <si>
    <t>7.131009061701O90</t>
  </si>
  <si>
    <t>7.131009121701O90</t>
  </si>
  <si>
    <t>CAILAN PR VEGOIL(99.5OL+0.5SBO)BTL@400ML</t>
  </si>
  <si>
    <t>CAILAN PR VEGOIL(99.5OL+0.5SBO) BTL@5L</t>
  </si>
  <si>
    <t>V51.00A.082</t>
  </si>
  <si>
    <t>BIG C 2025 TET GIFT BOX - SMALL GIFT BOX</t>
  </si>
  <si>
    <t>VỎ HỘP QUÀ TẾT BIG C 2025 - HỘP QUÀ NHỎ</t>
  </si>
  <si>
    <t>V51.00A.083</t>
  </si>
  <si>
    <t>BIG C 2025 TET GIFT BOX - LARGE GIFT BOX</t>
  </si>
  <si>
    <t>VỎ HỘP QUÀ TẾT BIG C 2025 - HỘP QUÀ LỚN</t>
  </si>
  <si>
    <t>7.131010570901O40</t>
  </si>
  <si>
    <t>CAILAN S PREMVEGOIL(100%OLIV56) BIB@18KG</t>
  </si>
  <si>
    <t>N04.0025015.00001</t>
  </si>
  <si>
    <t>TELCO REFILL VOUCHER,10.000 VND,VIETTEL</t>
  </si>
  <si>
    <t>N04.0017002.00043</t>
  </si>
  <si>
    <t>FOOD BOX, SIZE:BOX 1: 178 X 124 X 80 MM, ADDITIONAL DETAILS:BOX 2: 203 X 142 X 92 MM, BOX 3: 227 X 158 X 104 MM, MATERIAL: PLASTIC</t>
  </si>
  <si>
    <t>BỘ HỘP L508 MÀU LÁ IN LOGO MEIZAN</t>
  </si>
  <si>
    <t>FOOD BOX</t>
  </si>
  <si>
    <t>7.B25080899F10199</t>
  </si>
  <si>
    <t>MONOSODIUM GLUTAMATE MEIZAN 400G X 6 BAG/ CAR (5 PCH/ BAG)</t>
  </si>
  <si>
    <t>BỘT NGỌT MEIZAN 400G X 6 BAO/ THÙNG (5 TÚI/ BAO)</t>
  </si>
  <si>
    <t>7.455051R11701010</t>
  </si>
  <si>
    <t>MEIZAN SESAME OIL IN BOTTLE @0.1L</t>
  </si>
  <si>
    <t>DẦU MÈ THƠM NHÃN HIỆU MEIZAN 100 ML</t>
  </si>
  <si>
    <t>7.705L1</t>
  </si>
  <si>
    <t>SLES (SODIUM LAURYL ETHER SULFATE) IN BOTTLE 5KG</t>
  </si>
  <si>
    <t>SLES (SODIUM LAURYL ETHER SULFATE)-CHẤT HỮU CƠ HOẠT ĐỘNG BỀ MẶT DẠNG ANION ĐÓNG TRONG CHAI 5KG</t>
  </si>
  <si>
    <t>7.1120120200608010</t>
  </si>
  <si>
    <t>MEIZAN TRHPKS CBS UCMP33.5-35.5 PBG@20KG</t>
  </si>
  <si>
    <t>CHẾ PHẨM THAY THẾ BƠ CACAO ULTRA CHOCO HIỆU MEIZAN 20KG</t>
  </si>
  <si>
    <t>7.1100120200108010</t>
  </si>
  <si>
    <t xml:space="preserve">MEIZAN TRHPKO WILKOTE 379 IN PEBAG@20KG </t>
  </si>
  <si>
    <t>CHẾ PHẨM THAY THẾ BƠ CACAO WILKOTE HIỆU MEIZAN 20KG</t>
  </si>
  <si>
    <t>7.7077076528170000</t>
  </si>
  <si>
    <t>POWER100 DWL SVG GREENTEA ALOE BTL@3.5KG</t>
  </si>
  <si>
    <t>NƯỚC RỬA CHÉN POWER100 TIẾT KIỆM HƯƠNG TRÀ XANH LÔ HỘI 3.5KG</t>
  </si>
  <si>
    <t>7.707706E928170000</t>
  </si>
  <si>
    <t>POWER100DWLCINNAMONESSENTIALOILBTL@750G</t>
  </si>
  <si>
    <t>NƯỚC RỬA CHÉN POWER100 TINH DẦU QUẾ 750G</t>
  </si>
  <si>
    <t>7.707706E92817000N</t>
  </si>
  <si>
    <t>POWER100DWLCINAMONESSENTIALOIL750G*16BTL</t>
  </si>
  <si>
    <t>NƯỚC RỬA CHÉN POWER100 TINH DẦU QUẾ 750G*16</t>
  </si>
  <si>
    <t>7.7075836528193000</t>
  </si>
  <si>
    <t>POWER100 CLEAN&amp;CLEAN DWL LEMON BTL@3.5KG</t>
  </si>
  <si>
    <t>NƯỚC RỬA CHÉN POWER100 CLEAN &amp; CLEAN HƯƠNG CHANH 3.5KG</t>
  </si>
  <si>
    <t>7.707583652819300H</t>
  </si>
  <si>
    <t>POWER100CLEAN&amp;CLEAN DWL LEMON 3.5KG*4BTL</t>
  </si>
  <si>
    <t>NƯỚC RỬA CHÉN POWER100 CLEAN &amp; CLEAN HƯƠNG CHANH 3.5KG*4</t>
  </si>
  <si>
    <t>7.7076626528193000</t>
  </si>
  <si>
    <t>POWER100CLEAN&amp;CLEAN DWLLEMONEO BTL@3.5KG</t>
  </si>
  <si>
    <t>NƯỚC RỬA CHÉN POWER100 CLEAN &amp; CLEAN TINH DẦU CHANH 3.5KG</t>
  </si>
  <si>
    <t>7.707662652819300H</t>
  </si>
  <si>
    <t>POWER100CLEAN&amp;CLEAN DWLLEMONEO3.5KG*4BTL</t>
  </si>
  <si>
    <t>NƯỚC RỬA CHÉN POWER100 CLEAN &amp; CLEAN TINH DẦU CHANH 3.5KG*4</t>
  </si>
  <si>
    <t>7.131036570901O50</t>
  </si>
  <si>
    <t>ORCHID PREMIUMVEGOIL(100%OLIV58)BIB@18KG</t>
  </si>
  <si>
    <t>DẦU THỰC VẬT HẢO HẠNG NHÃN HIỆU ORCHID (KÍCH CỠ ĐÓNG GÓI LỚN) 18KG</t>
  </si>
  <si>
    <t>V51.000.231</t>
  </si>
  <si>
    <t>SAKE CT25 PURE</t>
  </si>
  <si>
    <t>RƯỢU SAKE CT25 PURE</t>
  </si>
  <si>
    <t>7.705L2</t>
  </si>
  <si>
    <t>WILSOL SPF BOOSTER PACKING IN BAG 150GR</t>
  </si>
  <si>
    <t>WILSOL SPF BOOSTER ĐÓNG TRONG TÚI 150GR</t>
  </si>
  <si>
    <t>7.705L3</t>
  </si>
  <si>
    <t>EMERSENSE AS 946N PACKING IN BAG 1KG</t>
  </si>
  <si>
    <t>CHẤT HỮU CƠ HOẠT ĐỘNG BỀ MẶT DẠNG ANION EMERSENSE AS 946N ĐÓNG TRONG TÚI 1KG</t>
  </si>
  <si>
    <t>7.5221140208I1901</t>
  </si>
  <si>
    <t>BLUE KEY PAU FLOUR 9-12% PPBAG@25KG</t>
  </si>
  <si>
    <t>BỘT MÌ HIỆU CHÌA KHÓA XANH BÁNH BAO (TIẾNG LÀO) 25KG</t>
  </si>
  <si>
    <t>7.5221230207Q1901</t>
  </si>
  <si>
    <t>GREENKEY CAKEFLOUR111 7.5-11% PPBAG@25KG</t>
  </si>
  <si>
    <t>BỘT MÌ HIỆU CHÌA KHÓA XANH LÁ - 111 (TIẾNG LÀO) 25KG</t>
  </si>
  <si>
    <t>HO1TD012400</t>
  </si>
  <si>
    <t>7.7040800103012</t>
  </si>
  <si>
    <t>SOAP NOODLES WILFARIN 8020 @ 25 WOVEN</t>
  </si>
  <si>
    <t>PHÔI XÀ PHÒNG - WILFARIN SN8020; BAO NHỰA 25KG</t>
  </si>
  <si>
    <t>7.703301010500500</t>
  </si>
  <si>
    <t>WILFARIN SA1838 IN WOVENBAG@25KG</t>
  </si>
  <si>
    <t>AXIT STEARIC 38% - WILFARIN SA1838; BAO NHỰA 25KG</t>
  </si>
  <si>
    <t>7.703362010500000</t>
  </si>
  <si>
    <t>SA1860 BEADS IN WOVEN BAG @25KG</t>
  </si>
  <si>
    <t>AXIT STEARIC (WILFARIN SA1860); BAO NHỰA 25KG</t>
  </si>
  <si>
    <t>7.74100709030000</t>
  </si>
  <si>
    <t>SLES IN HDPE DRUM @165KG</t>
  </si>
  <si>
    <t>7.8104909119100700</t>
  </si>
  <si>
    <t>GENAGEN CAB-H IN HDPE DRUM@200KG</t>
  </si>
  <si>
    <t>CHẤT HOẠT ĐỘNG BỀ MẶT GENAGEN CAB-H 0200; PHUY 200KG</t>
  </si>
  <si>
    <t>7.8104909119100600</t>
  </si>
  <si>
    <t>GENAGEN CAB UQS-H IN HDPE DRUM@200KG</t>
  </si>
  <si>
    <t>CHẤT HOẠT ĐỘNG BỀ MẶT GENAGEN CAB UQS - H 0200; PHUY 200KG</t>
  </si>
  <si>
    <t>7.74104006050000</t>
  </si>
  <si>
    <t>SLES 1-MOL IN ISOTANK @20MT</t>
  </si>
  <si>
    <t>SODIUM LAURYL ETHER SULPHATE 1EO ĐÓNG TRONG ISOTANK</t>
  </si>
  <si>
    <t>7.131104D11701P10</t>
  </si>
  <si>
    <t>ORCHID S PR 75%ROL+25%SBO IN BTL@0.88L</t>
  </si>
  <si>
    <t>7.131104D11705P10</t>
  </si>
  <si>
    <t>ORCHID S PR 75%ROL+25%SBO 0.88L*12BTL</t>
  </si>
  <si>
    <t>7.131103D11701P20</t>
  </si>
  <si>
    <t>ORCHID PR 99.5%ROL+0.5%SBO IN BTL@0.88L</t>
  </si>
  <si>
    <t>7.131104281701P10</t>
  </si>
  <si>
    <t>ORCHID S PR 75%ROL+25%SBO IN BTL@1L</t>
  </si>
  <si>
    <t>7.131103281701P20</t>
  </si>
  <si>
    <t>ORCHID PR 99.5%ROLIV56+0.5%SBO BTL@1L</t>
  </si>
  <si>
    <t>7.131104B11701P10</t>
  </si>
  <si>
    <t>ORCHID S PR 75%ROL+25%SBO IN BTL@2L</t>
  </si>
  <si>
    <t>7.131103B11701P20</t>
  </si>
  <si>
    <t>ORCHID PR 99.5%ROLIV56+0.5%SBO BTL@2L</t>
  </si>
  <si>
    <t>7.131104A41701P10</t>
  </si>
  <si>
    <t>ORCHID S PR 75%ROL+25%SBO IN BTL@5L</t>
  </si>
  <si>
    <t>7.131103A41701P20</t>
  </si>
  <si>
    <t>ORCHID PR 99.5%ROLIV56+0.5%SBO BTL@5L</t>
  </si>
  <si>
    <t>7.131104F01701P10</t>
  </si>
  <si>
    <t>ORCHID S PR 75%ROLIV58+25%SBO BTL@4.5L</t>
  </si>
  <si>
    <t>7.131103F01701P20</t>
  </si>
  <si>
    <t>ORCHID PR 99.5%ROL+0.5%SBO IN BTL@4.5L</t>
  </si>
  <si>
    <t>7.131103E41701P20</t>
  </si>
  <si>
    <t>ORCHID PR 99.5%ROLIV56+0.5%SBO BTL@9KG</t>
  </si>
  <si>
    <t>DẦU THỰC VẬT HẢO HẠNG NHÃN HIỆU ORCHID 9KG</t>
  </si>
  <si>
    <t>7.131103E41702P20</t>
  </si>
  <si>
    <t>ORCHID PR 99.5%ROLIV56+0.5%SBO 9KG*2BTL</t>
  </si>
  <si>
    <t>N09.0007012.00081</t>
  </si>
  <si>
    <t>MINI BOX, PRODUCT BRAND:NEPTUNE, SIZE:8 X 8 X 30.5 CM, MATERIAL:PAPER (DUPLEX BOARD), PRODUCT PACKED:RICE WINE 720 ML</t>
  </si>
  <si>
    <t>HỘP ĐỰNG CHAI RƯỢU SAKE CT25 PURE</t>
  </si>
  <si>
    <t>MINI BOX,NEPTUNE,8 X 8 X 30.5 CM,PAPER (</t>
  </si>
  <si>
    <t>N13.0001004.00022</t>
  </si>
  <si>
    <t>READY DRINK BEVERAGE, TYPE:RICE WINE, VARIANT:SAKE, PACK SIZE:720 ML, ADDITIONAL DETAILS:15 VOL</t>
  </si>
  <si>
    <t>READY DRINK BEVERAGE,RICE WINE</t>
  </si>
  <si>
    <t>7.705L4</t>
  </si>
  <si>
    <t>SODIUM LAUROYL SARCOSINATE IN BOTTLE 5KG</t>
  </si>
  <si>
    <t>SODIUM LAUROYL SARCOSINATE-CHẤT HỮU CƠ HOẠT ĐỘNG BỀ MẶT DẠNG ANION ĐÓNG TRONG CHAI 5KG</t>
  </si>
  <si>
    <t>7.B24022399730166TD</t>
  </si>
  <si>
    <t>NAM DUONG MEDIUM SPICY CHILI SAUCE 255G X 24 BOTTLES/CARTON</t>
  </si>
  <si>
    <t xml:space="preserve">NAM DUONG MEDIUM SPICY CHILI SAUCE 255G X 24 BOTTLES/CARTON_x000D_
</t>
  </si>
  <si>
    <t>7.131087036062H10TD</t>
  </si>
  <si>
    <t>NEPTUNE LIGHT PREMIUM COOKING OIL 1L X 2 BOTTLES X 6 BOXES</t>
  </si>
  <si>
    <t>7.131010121706O30TD</t>
  </si>
  <si>
    <t>DẦU THỰC VẬT HẢO HẠNG NHÃN HIỆU CÁI LÂN 400ML X 24 CHAI/THÙNG</t>
  </si>
  <si>
    <t xml:space="preserve">CAILANS[70%OL IV58+30%NBDSBO]400ML*24BTL_x000D_
</t>
  </si>
  <si>
    <t>7.B25085499940105TD</t>
  </si>
  <si>
    <t xml:space="preserve">PORK BOUILLON GRANULE 380G X 20 PAC/CAR_x000D_
</t>
  </si>
  <si>
    <t>7.131010120106H80TD</t>
  </si>
  <si>
    <t>DẦU THỰC VẬT TINH LUYỆN NHÃN HIỆU CÁI LÂN 400ML X 24 CHAI/THÙNG</t>
  </si>
  <si>
    <t>V51.000.232</t>
  </si>
  <si>
    <t>EMART GIFTCARD VND100.000</t>
  </si>
  <si>
    <t>THẺ MUA HÀNG TẠI EMART TRỊ GIÁ 100.000 VNĐ</t>
  </si>
  <si>
    <t>7.707662N328170000TD</t>
  </si>
  <si>
    <t>7.704228P537170000TD</t>
  </si>
  <si>
    <t>7.701102021500000</t>
  </si>
  <si>
    <t>OLEIC ACID OA-7075 IN STEEL DRUM @180KG</t>
  </si>
  <si>
    <t>7.701930021400000</t>
  </si>
  <si>
    <t>MIXED CHAIN FATTY ACIN IN PEDRUM@180KG</t>
  </si>
  <si>
    <t>MEDIUM CHAIN FATTY ACID (MCFA); PHUY 180KG</t>
  </si>
  <si>
    <t>7.706008010100000</t>
  </si>
  <si>
    <t>GMS-60 IN PAPERBAG@25KG</t>
  </si>
  <si>
    <t>7.722301021500000</t>
  </si>
  <si>
    <t>IPM98 IN STEELDRUM@180KG</t>
  </si>
  <si>
    <t>ISOPROPYL MYRISTATE (IPM); PHUY 180KG</t>
  </si>
  <si>
    <t>7.722601021500000</t>
  </si>
  <si>
    <t>IPP 95 IN STEELDRUM@180KG</t>
  </si>
  <si>
    <t>7.723004010104800</t>
  </si>
  <si>
    <t>WILFAMES C16 FR IN PAPER BAG@25KG</t>
  </si>
  <si>
    <t>CHẤT HOẠT ĐỘNG BỀ MẶT METHYL ESTER SULPHONATE DẠNG VẢY (WILFAMES C16 ; FR); BAO 25KG</t>
  </si>
  <si>
    <t>7.74132917030000</t>
  </si>
  <si>
    <t>FAL1214 ETHOXYLATED 9-MOL HDPEDRUM@200KG</t>
  </si>
  <si>
    <t>7.8100001491003403</t>
  </si>
  <si>
    <t>DIS GLYCERIN MONO DMGCF01 CHN PPRBG@25KG</t>
  </si>
  <si>
    <t>PHỤ GIA THỰC PHẨM : MONOGLYCERID CHƯNG CẤT (DMG-CF01); BAO 25KG</t>
  </si>
  <si>
    <t>7.8100020950500101</t>
  </si>
  <si>
    <t>BIODA-80 IN STEEL DRUM @190KG</t>
  </si>
  <si>
    <t>7.522112052031901</t>
  </si>
  <si>
    <t>MEIZAN MULTIPURPOSEFL W/FE&amp;ZN PPBAG@10KG</t>
  </si>
  <si>
    <t>BỘT MÌ ĐA DỤNG CAO CẤP HIỆU MEIZAN 10KG</t>
  </si>
  <si>
    <t>N04.0019026.00274</t>
  </si>
  <si>
    <t>UNIFORM, TYPE:POLO SHIRT, MODEL:SHORT SLEEVE, COLOR:WHITE, MATERIAL:100% POLY ELASTIC FABRIC, MARKING:POWER100-LAOS, ADDITIONAL DETAILS:4-WAY CROCODILE</t>
  </si>
  <si>
    <t>ÁO THUN POWER100 TRẮNG (LÀO)</t>
  </si>
  <si>
    <t>N04.0019026.00275</t>
  </si>
  <si>
    <t>UNIFORM, TYPE:POLO SHIRT, MODEL:SHORT SLEEVE, COLOR:BLUE, MATERIAL:100% POLY ELASTIC FABRIC, MARKING:POWER100-LAOS, ADDITIONAL DETAILS:4-WAY CROCODILE</t>
  </si>
  <si>
    <t>ÁO THUN POWER100 XANH (LÀO)</t>
  </si>
  <si>
    <t>7.706042021500000</t>
  </si>
  <si>
    <t>GMO-40 IN STEEL DRUM@180KG</t>
  </si>
  <si>
    <t>V83.000.001</t>
  </si>
  <si>
    <t>PURE SAKE BOX</t>
  </si>
  <si>
    <t>HỘP ĐỰNG RƯỢU SAKE PURE</t>
  </si>
  <si>
    <t>7.585D130830080100</t>
  </si>
  <si>
    <t>7.111012A301208010</t>
  </si>
  <si>
    <t>MEIZAN TRHPKL WILFIL 340 IN PEBAG@21KG</t>
  </si>
  <si>
    <t>CHẾ PHẨM CHẤT BÉO LÀM BÁNH KẸO WILFIL 340 HIỆU MEIZAN 21KG</t>
  </si>
  <si>
    <t>7.1120000200608010</t>
  </si>
  <si>
    <t>TRHPKS CBS ULTRACHOCO 33.5-35.5 PBG@20KG</t>
  </si>
  <si>
    <t>DẦU STEARIN NHÂN CỌ HYDRO HÓA, TINH LUYỆN - ULTRA CHOCO 20KG</t>
  </si>
  <si>
    <t>7.705L5</t>
  </si>
  <si>
    <t>REFINED HYDROGENATED SHEA OLEIN (WILMAX 5110) PACK IN BAG 9KG</t>
  </si>
  <si>
    <t>DẦU OLEIN HẠT MỠ ĐÃ HYRDO HÓA WILMAX 5110 ĐÓNG TRONG TÚI 9KG</t>
  </si>
  <si>
    <t>7.705L6</t>
  </si>
  <si>
    <t>SHORTENING (SHORTENING JSS51-01JK) PACK IN BAG 9KG</t>
  </si>
  <si>
    <t>SHORTENING (SHORTENING JSS51-01JK) ĐÓNG TRONG TÚI 9KG</t>
  </si>
  <si>
    <t>7.707662652817000HTD</t>
  </si>
  <si>
    <t>7.522112292032712TD</t>
  </si>
  <si>
    <t>7.B24022399B87203</t>
  </si>
  <si>
    <t>HOT CHILI SAUCE 255G X 24 BOTS/CARTON (LNS)</t>
  </si>
  <si>
    <t>7.705L7</t>
  </si>
  <si>
    <t>WILSILK ULTRA PACK IN BOTTLE 0.09KG</t>
  </si>
  <si>
    <t>WILSILK ULTRA ĐÓNG TRONG CHAI 0.09KG</t>
  </si>
  <si>
    <t>7.705L8</t>
  </si>
  <si>
    <t>WILSILK SMOOTH PACK IN BOTTLE 0.09KG</t>
  </si>
  <si>
    <t>WILSILK SMOOTH ĐÓNG TRONG CHAI 0.09KG</t>
  </si>
  <si>
    <t>7.7042070713000000</t>
  </si>
  <si>
    <t>MIXED SOAP POWDER JUMBO BAG@750KG</t>
  </si>
  <si>
    <t>PHÔI XÀ PHÒNG DẠNG BỘT; BAO 750KG</t>
  </si>
  <si>
    <t>7.I4202109905019901</t>
  </si>
  <si>
    <t>HULLED SESAME SEED 99.97 PACKING IN 1KG PP BAG</t>
  </si>
  <si>
    <t>HẠT MÈ (VỪNG) TÁCH VỎ 99.97 ĐÓNG TRONG GÓI 1KG</t>
  </si>
  <si>
    <t>7.703301010100500</t>
  </si>
  <si>
    <t>WILFARIN SA1838 IN PAPERBAG@25KG</t>
  </si>
  <si>
    <t>AXIT STEARIC 38% - WILFARIN SA1838; BAO GIẤY 25KG</t>
  </si>
  <si>
    <t>V83.000.002</t>
  </si>
  <si>
    <t>PACKING CARTON FOR MF UHT LOW FAT CALCI MILK 200MLX24</t>
  </si>
  <si>
    <t>VỎ THÙNG CARTON SỮA TIỆT TRÙNG GIÀU CANXI ÍT BÉO LOẠI 200MLX24</t>
  </si>
  <si>
    <t>V83.000.003</t>
  </si>
  <si>
    <t>PACKING CARTON FOR MF UHT FULL CREAM MILK 200MLX24</t>
  </si>
  <si>
    <t>VỎ THÙNG CARTON SỮA TƯƠI TIỆT TRÙNG NGUYÊN KEM LOẠI 200MLX24</t>
  </si>
  <si>
    <t>V83.000.004</t>
  </si>
  <si>
    <t>PACKING CARTON FOR MF UHT LOW FAT MILK 200MLX24</t>
  </si>
  <si>
    <t>VỎ THÙNG CARTON SỮA TƯƠI TIỆT TRÙNG ÍT BÉO LOẠI 200MLX24</t>
  </si>
  <si>
    <t>7.1110120201208010</t>
  </si>
  <si>
    <t>MEIZAN TRHPKL WILFIL 340 IN PEBAG@20KG</t>
  </si>
  <si>
    <t>DẦU OLEIN NHÂN CỌ HYDRO HÓA, TINH LUYỆN WILFIL 340 NHÃN HIỆU MEIZAN ĐÓNG TRONG THÙNG 20KG</t>
  </si>
  <si>
    <t>7.7042120713000000</t>
  </si>
  <si>
    <t>PURE POWDER SOAP JUMBO BAG @750KG</t>
  </si>
  <si>
    <t>PHÔI XÀ PHÒNG NGUYÊN CHẤT DẠNG BỘT; BAO 750KG</t>
  </si>
  <si>
    <t>7.52221502A691901</t>
  </si>
  <si>
    <t>RED KEY SM BREAD FL 11-13% PPBAG@25KG</t>
  </si>
  <si>
    <t>BỘT MÌ HIỆU CHÌA KHÓA ĐỎ SM 25KG</t>
  </si>
  <si>
    <t>V51.000.233</t>
  </si>
  <si>
    <t xml:space="preserve">WILMAR GOLD 99.99% LOGO (5+/-0.1) ONE TENTH OF A TAEL OF GOLD/ PC
</t>
  </si>
  <si>
    <t>LOGO WILMAR VÀNG 99,99% (5+/-0,1) CHỈ/ CÁI</t>
  </si>
  <si>
    <t>V51.000.234</t>
  </si>
  <si>
    <t>6.1213560</t>
  </si>
  <si>
    <t>REFINED PALM STEARIN LOW GE / RSPO MB</t>
  </si>
  <si>
    <t>DẦU STEARIN CỌ TINH LUYỆN (LOW GE)(RSPO/MB) (TRONG XE BỒN)</t>
  </si>
  <si>
    <t>6.1212C47</t>
  </si>
  <si>
    <t>DOUBLE REFINED PALM OLEIN LC2.0R/RSPO MB</t>
  </si>
  <si>
    <t>DẦU OLEIN CỌ TINH LUYỆN (LC)(RSPO/MB) (TRONG XE BỒN)</t>
  </si>
  <si>
    <t>7.705L9</t>
  </si>
  <si>
    <t>ERCAWAX EGDS V PACK IN BAG 1KG</t>
  </si>
  <si>
    <t>ERCAWAX EGDS V ĐÓNG TRONG TÚI 1KG</t>
  </si>
  <si>
    <t>N16.0388003.00136</t>
  </si>
  <si>
    <t>HANGER,HANGER, TYPE:HANGER ROPE, SIZE:L. 550 X W. 22 MM, MATERIAL:HDPE</t>
  </si>
  <si>
    <t>HANGER,HANGER</t>
  </si>
  <si>
    <t>V51.000.235</t>
  </si>
  <si>
    <t>ROBOT VACUUM CLEANER (ROBOT VACUUM) DREAME</t>
  </si>
  <si>
    <t>ROBOT HÚT BỤI LAU NHÀ (ROBOT VACUUM) DREAME L10 PRIME, MODEL: RLL11GC, HIỆU: DREAME</t>
  </si>
  <si>
    <t>V51.000.236</t>
  </si>
  <si>
    <t>SAMSUNG BLUETOOTH WATCH SM-L300 (GALAXY WATCH 7 40MM)</t>
  </si>
  <si>
    <t>ĐỒNG HỒ BLUETOOTH SAMSUNG SM -L300 (GALAXY WATCH 7 40MM)</t>
  </si>
  <si>
    <t>V51.000.237</t>
  </si>
  <si>
    <t>SAMSUNG SMX110 TABLET, 64GB, SILVER</t>
  </si>
  <si>
    <t>MÁY TÍNH BẢNG SAMSUNG SMX110,64GB, BẠC</t>
  </si>
  <si>
    <t>V51.000.238</t>
  </si>
  <si>
    <t>APPLE WATCH SE 2024 GPS 40MM ALUMINUM CASE WITH MIDNIGHT SPORT BAND - GENUINE S/M BOX</t>
  </si>
  <si>
    <t>APPLE WATCH SE 2024 GPS 40MM ALUMINIUM CASE WITH MIDNIGHT SPORT BAND - S/M BOX CHÍNH HÃNG</t>
  </si>
  <si>
    <t>V51.000.239</t>
  </si>
  <si>
    <t>TOSHIBA RC-18IX1PV RICE COOKER</t>
  </si>
  <si>
    <t>NỒI CƠM ĐIỆN TOSHIBA RC-18IX1PV</t>
  </si>
  <si>
    <t>7.B251108992501C0</t>
  </si>
  <si>
    <t>MONOSODIUM GLUTAMATE MEIZAN (M) 2KG X 6 PCH/ CAR</t>
  </si>
  <si>
    <t>7.B251108992501C001</t>
  </si>
  <si>
    <t>MONOSODIUM GLUTAMATE MEIZAN (M) 2KG</t>
  </si>
  <si>
    <t>BỘT NGỌT MEIZAN (CÁNH VỪA) 2KG</t>
  </si>
  <si>
    <t>7.B251108990301C0</t>
  </si>
  <si>
    <t>MONOSODIUM GLUTAMATE MEIZAN (M) 5KG X 3 PCH/ CAR</t>
  </si>
  <si>
    <t>7.B251108990301C001</t>
  </si>
  <si>
    <t>MONOSODIUM GLUTAMATE MEIZAN (M) 5KG</t>
  </si>
  <si>
    <t>BỘT NGỌT MEIZAN (CÁNH VỪA) 5KG</t>
  </si>
  <si>
    <t>N16.0388003.00141</t>
  </si>
  <si>
    <t>HANGER,HANGER, MATERIAL:GALVANIZED STEEL, ADDITIONAL DETAILS:FOR PASTA FLOUR PRODUCT, CIRCLE DIAMETER 12 MM, HOOK LENGTH 140 MM, WIRE DIAMETER 2.7 MM</t>
  </si>
  <si>
    <t>V39.000.086</t>
  </si>
  <si>
    <t>YELLOW SHORT-SLEEVED T-SHIRT, BLUE COLLAR, BLUE EDGE</t>
  </si>
  <si>
    <t>ÁO THUN NGẮN TAY MÀU VÀNG, CỔ XANH, VIỀN XANH</t>
  </si>
  <si>
    <t>V39.000.087</t>
  </si>
  <si>
    <t>YELLOW SHORT-SLEEVED T-SHIRT, RED COLLAR, RED EDGE</t>
  </si>
  <si>
    <t>ÁO THUN NGẮN TAY MÀU VÀNG, CỔ ĐỎ, VIỀN ĐỎ</t>
  </si>
  <si>
    <t>N04.0018006.00364</t>
  </si>
  <si>
    <t>PROMOTIONAL STUFF, TYPE:BIG THREE-SIDE SEAL POUCH, MATERIAL:OPP20/CPP25, SIZE:W. 290 X L. 290 MM, ADDITIONAL DETAILS:WITH ON-PACK LID, PRINT COLOR: WHITE / NAVY BLUE, POWER100</t>
  </si>
  <si>
    <t>TÚI BA BIÊN LỚN CÓ NẮP ONPACK POWER100</t>
  </si>
  <si>
    <t>7.705M0</t>
  </si>
  <si>
    <t>MURIATE OF POTASH / WMCLV MURIATE OF POTASH 61 - SAMPLE BAG 2KG</t>
  </si>
  <si>
    <t>PHÂN BÓN KALI CLORUA / WMCLV MURIATE OF POTASH 61 - ĐÓNG TRONG TÚI 2KG</t>
  </si>
  <si>
    <t>7.522001021491901</t>
  </si>
  <si>
    <t>WHEAT GERM IN PP BAG @25KG</t>
  </si>
  <si>
    <t>MẦM LÚA MÌ 25KG</t>
  </si>
  <si>
    <t>7.B250808990201C0</t>
  </si>
  <si>
    <t>MONOSODIUM GLUTAMATE MEIZAN (M) 1KG X 12 PCH/ CAR</t>
  </si>
  <si>
    <t>7.B250808990201C001</t>
  </si>
  <si>
    <t>MONOSODIUM GLUTAMATE MEIZAN (M) 1KG</t>
  </si>
  <si>
    <t>BỘT NGỌT MEIZAN (CÁNH VỪA) 1KG</t>
  </si>
  <si>
    <t>7.B250808993301C0</t>
  </si>
  <si>
    <t>MONOSODIUM GLUTAMATE MEIZAN (M) 400G X 30 PCH/ CAR</t>
  </si>
  <si>
    <t>7.B250808993301C001</t>
  </si>
  <si>
    <t>MONOSODIUM GLUTAMATE MEIZAN (M) 400G</t>
  </si>
  <si>
    <t>BỘT NGỌT MEIZAN (CÁNH VỪA) 400G</t>
  </si>
  <si>
    <t>7.103041I22201220</t>
  </si>
  <si>
    <t>DOUBLE RCNO IV 6-11 IN FLEXIBAG@18MT</t>
  </si>
  <si>
    <t>DẦU DỪA TINH LUYỆN ĐÓNG TRONG TÚI FLEXIBAG</t>
  </si>
  <si>
    <t>7.522H860110780000</t>
  </si>
  <si>
    <t>OLIVOILA SPAGHETTI N.5 IN ZIPPERBAG@500G</t>
  </si>
  <si>
    <t>7.E38027899850199</t>
  </si>
  <si>
    <t>MEADOW FRESH WHIPPING CREAM UHT 1LX12</t>
  </si>
  <si>
    <t>KEM SỮA TIỆT TRÙNG NHÃN HIỆU MEADOW FRESH 1LX12</t>
  </si>
  <si>
    <t>7.D3701109902L12501</t>
  </si>
  <si>
    <t>7.D37011099020146</t>
  </si>
  <si>
    <t>WHITE CHOCOLATE COMPOUND PRODUCT AZD-03CPPE (1KG X 20PCS), 20KG</t>
  </si>
  <si>
    <t>NGUYÊN LIỆU THỰC PHẨM SÔ-CÔ-LA SỮA AZD-03CPPE, BLOCK 1KG, ĐÓNG TRONG THÙNG CARTON 20KG</t>
  </si>
  <si>
    <t>7.D3701109902L1C1</t>
  </si>
  <si>
    <t>CHAMBERY DARK CHOCOLATE COMPOUND CHIPS CZD-02CDEX (1KG X 10PCS), 10KG</t>
  </si>
  <si>
    <t>NGUYÊN LIỆU THỰC PHẨM SÔ-CÔ-LA ĐEN CHAMBERY DẠNG VIÊN CZD-02CDEX, TÚI 1KG, ĐÓNG TRONG THÙNG CARTON 10KG</t>
  </si>
  <si>
    <t>7.D3701109902L1C101</t>
  </si>
  <si>
    <t>7.451178031701000TD</t>
  </si>
  <si>
    <t>KOBE BUSSAN RBD SBO IN BOTTLE 1L</t>
  </si>
  <si>
    <t>DẦU ĐẬU NÀNH ĐÓNG TRONG CHAI 1L</t>
  </si>
  <si>
    <t>7.7042071613000000</t>
  </si>
  <si>
    <t>MIXED SOAP POWDER @900KG JUMBO BAG</t>
  </si>
  <si>
    <t>7.73030801010101</t>
  </si>
  <si>
    <t>FAL1618 BEADS IN PAPERBAG@25KG</t>
  </si>
  <si>
    <t>RƯỢU BÉO 1618 ; BAO 25KG</t>
  </si>
  <si>
    <t>V51.00A.084</t>
  </si>
  <si>
    <t>HANGER ROPE FOR SALAD DRESSING</t>
  </si>
  <si>
    <t>DÂY TREO CHAI DẦU DẤM</t>
  </si>
  <si>
    <t>7.92522B699D7019901</t>
  </si>
  <si>
    <t>SEA SALT WITH CHILI 65GR</t>
  </si>
  <si>
    <t>MUỐI ỚT HỘT 65GR</t>
  </si>
  <si>
    <t>7.92421B699320108</t>
  </si>
  <si>
    <t>SWEET &amp; SOUR TAMARIND SAUCE 200GR X 24 PCS IN CARTON</t>
  </si>
  <si>
    <t>SỐT ME CHUA NGỌT 200GR X 24 CHAI ĐÓNG TRONG THÙNG CARTON</t>
  </si>
  <si>
    <t>7.92421B69932010801</t>
  </si>
  <si>
    <t>SWEET &amp; SOUR TAMARIND SAUCE 200GR</t>
  </si>
  <si>
    <t>SỐT ME CHUA NGỌT 200GR</t>
  </si>
  <si>
    <t>7.707705P42817000HTD</t>
  </si>
  <si>
    <t>7.B25080899330199TD</t>
  </si>
  <si>
    <t>MONOSODIUM GLUTAMATE MEIZAN 400G X 30 PCH/ CAR</t>
  </si>
  <si>
    <t>BỘT NGỌT MEIZAN 400G X 30 TÚI/ THÙNG</t>
  </si>
  <si>
    <t>N04.0016037.00125</t>
  </si>
  <si>
    <t>SMART PHONE, MODEL:IPHONE 16 PRO MAX TITAN, ROM:256 GB, SCREEN RESOLUTION:2886 X 1320 PIXEL, SCREEN SIZE:6.9", REAR CAMERA:TRIPLE REAR CAMERA, FRONT CAMERA:SINGLE SELFIE CAMERA, BRAND:APPLE</t>
  </si>
  <si>
    <t>ĐIỆN THOẠI IPHONE 16 PRO MAX 256GB TITAN SA MẠC MYWX3VN/A</t>
  </si>
  <si>
    <t>ĐIỆN THOẠI IPHONE 16 PRO MAX 256GB TITAN</t>
  </si>
  <si>
    <t>7.089062121281201</t>
  </si>
  <si>
    <t>MEIZAN DRYYEASTLOWSUGAR BLUELB PBAG@500G</t>
  </si>
  <si>
    <t>MEN KHÔ DÙNG LIỀN HIỆU MEIZAN –NHÃN XANH DƯƠNG 500G</t>
  </si>
  <si>
    <t>V39.00A.014</t>
  </si>
  <si>
    <t>MEIZAN PLASTIC ICE BUCKET</t>
  </si>
  <si>
    <t>XÔ NHỰA ĐỰNG ĐÁ MEIZAN</t>
  </si>
  <si>
    <t>V51.000.240</t>
  </si>
  <si>
    <t>CERTIFICATE OF APPRECIATION</t>
  </si>
  <si>
    <t>BẢNG VINH DANH</t>
  </si>
  <si>
    <t>7.703005140500500</t>
  </si>
  <si>
    <t>WILFARIN SA1810 IN WOVENBAG@500KG</t>
  </si>
  <si>
    <t>AXIT STEARIC SA1810; BAO NHỰA 500KG</t>
  </si>
  <si>
    <t>7.7042349637196000</t>
  </si>
  <si>
    <t>CLEANWISE LIQUIDDETERGENT FLORAL PCH@3KG</t>
  </si>
  <si>
    <t>NƯỚC GIẶT CLEANWISE HƯƠNG HOA 3.0KG</t>
  </si>
  <si>
    <t>7.704234963719600C</t>
  </si>
  <si>
    <t>CLEANWISE LIQD DETERGENT FLORAL 3KG*6PCH</t>
  </si>
  <si>
    <t>NƯỚC GIẶT CLEANWISE HƯƠNG HOA 3.0KG*6</t>
  </si>
  <si>
    <t>BAG,W. 30 X D. 9.2 X H. 36 CM,TOTE/GOODI</t>
  </si>
  <si>
    <t>7.522208092631901</t>
  </si>
  <si>
    <t>ACE-111 WOOD GLUE FLOUR PRO9% PPBAG@40KG</t>
  </si>
  <si>
    <t>BỘT MÌ CÔNG NGHIỆP ACE - 111 40KG</t>
  </si>
  <si>
    <t>7.I420210990501C2</t>
  </si>
  <si>
    <t>HULLED SESAME SEED 99.95 PACKING IN 25KG PP BAG</t>
  </si>
  <si>
    <t>HẠT MÈ (VỪNG) TÁCH VỎ 99.95 ĐÓNG TRONG BAO 25KG</t>
  </si>
  <si>
    <t>7.I420210990501C201</t>
  </si>
  <si>
    <t>HULLED SESAME SEED 99.95 PACKING IN 1KG PP BAG</t>
  </si>
  <si>
    <t>HẠT MÈ (VỪNG) TÁCH VỎ 99.95 ĐÓNG TRONG GÓI 1KG</t>
  </si>
  <si>
    <t>V78.000.045</t>
  </si>
  <si>
    <t>ROYAL LOGO SHORT-SLEEVED T-SHIRT - IN RED</t>
  </si>
  <si>
    <t>ÁO THUN CÓ CỔ NGẮN TAY LOGO HOÀNG GIA - MÀU ĐỎ</t>
  </si>
  <si>
    <t>V78.000.046</t>
  </si>
  <si>
    <t>ROYAL LOGO LONG-SLEEVED T-SHIRT - IN BLUE</t>
  </si>
  <si>
    <t>ÁO THUN CÓ CỔ DÀI TAY LOGO HOÀNG GIA - MÀU XANH</t>
  </si>
  <si>
    <t>7.522H850041201140TD</t>
  </si>
  <si>
    <t>7.522H850041201000TD</t>
  </si>
  <si>
    <t>7.5222160208O1901</t>
  </si>
  <si>
    <t>ORANGE KEY 888 WHEAT FL 11-14%PPBAG@25KG</t>
  </si>
  <si>
    <t>BỘT MÌ HIỆU CHÌA KHÓA CAM - 888 25KG</t>
  </si>
  <si>
    <t>7.5222170208O1901</t>
  </si>
  <si>
    <t>ORANGE KEY 999 WHEAT FL 11-14%PPBAG@25KG</t>
  </si>
  <si>
    <t>BỘT MÌ HIỆU CHÌA KHÓA CAM - 999 25KG</t>
  </si>
  <si>
    <t>7.52219802C271901</t>
  </si>
  <si>
    <t>ORANGEPEN SWEETBREADFL PR10-13PPBAG@25KG</t>
  </si>
  <si>
    <t>BỘT MÌ HIỆU CÂY VIẾT CAM 25KG</t>
  </si>
  <si>
    <t>N04.0013011.00104</t>
  </si>
  <si>
    <t>HOME STORAGE CONTAINER BOX, MATERIAL:POLYPROPYLENE, CAPACITY:30 L, SIZE:L. 527 X W. 270 X H. 372 MM, ADDITIONAL DETAILS:WITH BLUE HANDLES AND, WHITE LID</t>
  </si>
  <si>
    <t>THÙNG NHỰA ĐA NĂNG POWER100</t>
  </si>
  <si>
    <t>HOME STORAGE CONTAINER BOX,POLYPROPYLENE</t>
  </si>
  <si>
    <t>N13.0011006.00015</t>
  </si>
  <si>
    <t>NOODLE,PREMIUM MACARONI</t>
  </si>
  <si>
    <t>NOODLE, TYPE:PREMIUM MACARONI, PACK SIZE:200 G, BRAND:MEIZAN</t>
  </si>
  <si>
    <t>7.704229P537170000TD</t>
  </si>
  <si>
    <t>7.52219909C491901</t>
  </si>
  <si>
    <t>ORANGECOMPASS BREAD FL 9-12% PPBAG@40KG</t>
  </si>
  <si>
    <t>BỘT MÌ HIỆU LA BÀN CAM 40KG</t>
  </si>
  <si>
    <t>7.G4001B599D601C301</t>
  </si>
  <si>
    <t>VINATEA PANDAN FLAVORED TEA 70G</t>
  </si>
  <si>
    <t>TRÀ VINATEA HƯƠNG SÂM DỨA, LOẠI 70G</t>
  </si>
  <si>
    <t>7.G4001B595F3019901</t>
  </si>
  <si>
    <t>VINATEA THAI NGUYEN LOOSE LEAF TEA BAG 100G</t>
  </si>
  <si>
    <t>TRÀ VINATEA THÁI NGUYÊN SỢI RỜI TÚI XANH, LOẠI 100G</t>
  </si>
  <si>
    <t>7.G4001B595F30199</t>
  </si>
  <si>
    <t>VINATEA THAI NGUYEN LOOSE LEAF TEA BAG 100G X 48 BAGS IN CARTON</t>
  </si>
  <si>
    <t>TRÀ VINATEA THÁI NGUYÊN SỢI RỜI TÚI XANH, LOẠI 100G X 48 GÓI ĐÓNG TRONG THÙNG CARTON</t>
  </si>
  <si>
    <t>7.707707P537170000</t>
  </si>
  <si>
    <t>POWER100 DWL SVG GREENTEA ALOE PCH@3.2KG</t>
  </si>
  <si>
    <t>NƯỚC RỬA CHÉN POWER100 TIẾT KIỆM HƯƠNG TRÀ XANH LÔ HỘI 3.2KG TÚI</t>
  </si>
  <si>
    <t>7.7077109537170000</t>
  </si>
  <si>
    <t>POWER100 NATURAL DWL ALOEVERA EO PCH@2KG</t>
  </si>
  <si>
    <t>NƯỚC RỬA CHÉN POWER100 NATURAL TINH CHẤT LÔ HỘI 2.0KG TÚI</t>
  </si>
  <si>
    <t>7.7077109628170000</t>
  </si>
  <si>
    <t>POWER100 NATURAL DWL ALOEVERA EO BTL@3KG</t>
  </si>
  <si>
    <t>NƯỚC RỬA CHÉN POWER100 NATURAL TINH CHẤT LÔ HỘI 3.0KG</t>
  </si>
  <si>
    <t>7.707710962817000H</t>
  </si>
  <si>
    <t>POWER100 NTRL DWL ALOEVERA EO 3KG*4BTL</t>
  </si>
  <si>
    <t>NƯỚC RỬA CHÉN POWER100 NATURAL TINH CHẤT LÔ HỘI 3.0KG*4</t>
  </si>
  <si>
    <t>7.707710E928170000</t>
  </si>
  <si>
    <t>POWER100 NATURALDWL ALOEVERA EO BTL@750G</t>
  </si>
  <si>
    <t>NƯỚC RỬA CHÉN POWER100 NATURAL TINH CHẤT LÔ HỘI 750G</t>
  </si>
  <si>
    <t>7.707710F628170000</t>
  </si>
  <si>
    <t>POWER100 NATURALDWL ALOEVERA EO BTL@400G</t>
  </si>
  <si>
    <t>NƯỚC RỬA CHÉN POWER100 NATURAL TINH CHẤT LÔ HỘI 400G</t>
  </si>
  <si>
    <t>7.707710N328170000</t>
  </si>
  <si>
    <t>POWER100 NTRL DWL ALOEVERA EO BTL@1.4KG</t>
  </si>
  <si>
    <t>NƯỚC RỬA CHÉN POWER100 NATURAL TINH CHẤT LÔ HỘI 1.4KG</t>
  </si>
  <si>
    <t>NƯỚC RỬA CHÉN POWER100 NATURAL TINH CHẤT LÔ HỘI 1.4KG*8</t>
  </si>
  <si>
    <t>7.7077119537170000</t>
  </si>
  <si>
    <t>POWER100 NTRL DWL GRAPEFRUIT EO PCH@2KG</t>
  </si>
  <si>
    <t>NƯỚC RỬA CHÉN POWER100 NATURAL TINH DẦU BƯỞI TÂY 2.0KG TÚI</t>
  </si>
  <si>
    <t>POWER100 NTRL DWL GRAPEFRUIT EO 2KG*6PCH</t>
  </si>
  <si>
    <t>NƯỚC RỬA CHÉN POWER100 NATURAL TINH DẦU BƯỞI TÂY 2.0KG*6 TÚI</t>
  </si>
  <si>
    <t>7.7077119628170000</t>
  </si>
  <si>
    <t>POWER100 NTRL DWL GRAPEFRUIT EO BTL@3KG</t>
  </si>
  <si>
    <t>NƯỚC RỬA CHÉN POWER100 NATURAL TINH DẦU BƯỞI TÂY 3.0KG</t>
  </si>
  <si>
    <t>7.707711E928170000</t>
  </si>
  <si>
    <t>POWER100 NTRL DWL GRAPEFRUIT EO BTL@750G</t>
  </si>
  <si>
    <t>NƯỚC RỬA CHÉN POWER100 NATURAL TINH DẦU BƯỞI TÂY 750G</t>
  </si>
  <si>
    <t>7.707711F628170000</t>
  </si>
  <si>
    <t>POWER100 NTRL DWL GRAPEFRUIT EO BTL@400G</t>
  </si>
  <si>
    <t>NƯỚC RỬA CHÉN POWER100 NATURAL TINH DẦU BƯỞI TÂY 400G</t>
  </si>
  <si>
    <t>7.707711F62817000A</t>
  </si>
  <si>
    <t>POWER100 NTRLDWLGRAPEFRUIT EO 400G*24BTL</t>
  </si>
  <si>
    <t>NƯỚC RỬA CHÉN POWER100 NATURAL TINH DẦU BƯỞI TÂY 400G*24</t>
  </si>
  <si>
    <t>7.707711N328170000</t>
  </si>
  <si>
    <t>POWER100 NTRLDWL GRAPEFRUIT EO BTL@1.4KG</t>
  </si>
  <si>
    <t>NƯỚC RỬA CHÉN POWER100 NATURAL TINH DẦU BƯỞI TÂY 1.4KG</t>
  </si>
  <si>
    <t>7.7042359137170000</t>
  </si>
  <si>
    <t>POWER100 SAVING PD 3IN1 IN POUCH@350G</t>
  </si>
  <si>
    <t>BỘT GIẶT POWER100 SAVING 3 TRONG 1 350G</t>
  </si>
  <si>
    <t>7.7042359137170005</t>
  </si>
  <si>
    <t>7.704235R737170000</t>
  </si>
  <si>
    <t>POWER100 SAVING PD 3IN1 IN POUCH@5.1KG</t>
  </si>
  <si>
    <t>BỘT GIẶT POWER100 SAVING 3 TRONG 1 5.1KG</t>
  </si>
  <si>
    <t>7.704235R73717001I</t>
  </si>
  <si>
    <t>V83.000.005</t>
  </si>
  <si>
    <t>PACKING CARTON FOR MF UHT LOW FAT CALCI MILK 1LX12</t>
  </si>
  <si>
    <t>VỎ THÙNG CARTON SỮA TIỆT TRÙNG GIÀU CANXI ÍT BÉO LOẠI 1LX12</t>
  </si>
  <si>
    <t>7.522218020140601</t>
  </si>
  <si>
    <t>ORANGE SATELLITE BREAD FLOUR 12-14%@25KG</t>
  </si>
  <si>
    <t>BỘT MÌ HIỆU VỆ TINH CAM 25KG</t>
  </si>
  <si>
    <t>7.723027010100000</t>
  </si>
  <si>
    <t>MES MIZULAN P-81F IN PAPER BAG @25KG</t>
  </si>
  <si>
    <t>CHẤT HOẠT ĐỘNG BỀ MẶT MES (METHYL ESTER SULFONATE) NHÃN HIỆU MIZULAN P-81F ; BAO 25KG</t>
  </si>
  <si>
    <t>7.101089570901N10</t>
  </si>
  <si>
    <t>SATELLITE RBD OLEIN-D IN BIB@18KG/RSPOMB</t>
  </si>
  <si>
    <t>DẦU OLEIN CỌ TINH LUYỆN - D NHÃN HIỆU SATELLITE RSPO/MB TRONG THÙNG BIB 18 KG</t>
  </si>
  <si>
    <t>7.101089570901N40</t>
  </si>
  <si>
    <t>SATELLITE RBDPO IV50-55LOWGE BIB@18KG/MB</t>
  </si>
  <si>
    <t>DẦU CỌ TINH LUYỆN HIỆU SATELLITE RSPO/MB TRONG TÚI BÓNG 18KG</t>
  </si>
  <si>
    <t>7.101089570901A80</t>
  </si>
  <si>
    <t>SATELLITE RBDOL1008 IN BIB@18KG/RSPO MB</t>
  </si>
  <si>
    <t>DẦU OLEIN TINH LUYỆN HIỆU SATELLITE RSPO/MB TRONG TÚI BÓNG 18KG</t>
  </si>
  <si>
    <t>6.F390210990001C4</t>
  </si>
  <si>
    <t>WHITE FINE STANDARD GRADE MURIATE OF POTASH (MOP)/ KALI (KCL)/ WMCLV MURIATE OF POTASH 62; IN BULK; CANADA ORIGIN</t>
  </si>
  <si>
    <t>WMCLV MURIATE OF POTASH 62 (PHÂN BÓN KALI CLORUA) DẠNG BỘT MÀU TRẮNG, HÀNG XÁ; XUẤT XỨ CANADA</t>
  </si>
  <si>
    <t>7.F3902B3990701C4</t>
  </si>
  <si>
    <t>WHITE FINE STANDARD GRADE MURIATE OF POTASH (MOP)/ KALI (KCL)/WMCLV MURIATE OF POTASH 62, KALI POWDER; IN 50KG PP/PE BAG ROYAL BRAND; CANADA ORIGIN</t>
  </si>
  <si>
    <t>WMCLV MURIATE OF POTASH 62 (PHÂN BÓN KALI CLORUA) DẠNG BỘT MÀU TRẮNG, ĐÓNG TRONG BAO PP/PE 50KG NHÃN HIỆU HOÀNG GIA; XUẤT XỨ CANADA</t>
  </si>
  <si>
    <t>7.F39021099F401C4</t>
  </si>
  <si>
    <t>WHITE FINE STANDARD GRADE MURIATE OF POTASH (MOP)/ KALI (KCL)/WMCLV MURIATE OF POTASH 62, KALI POWDER; IN 1000KG JUMBO; CANADA ORIGIN</t>
  </si>
  <si>
    <t>WMCLV MURIATE OF POTASH 62 (PHÂN BÓN KALI CLORUA) DẠNG BỘT MÀU TRẮNG, ĐÓNG TRONG BAO JUMBO 1000KG; XUẤT XỨ CANADA</t>
  </si>
  <si>
    <t>7.I4203109902A099</t>
  </si>
  <si>
    <t>PEANUT KERNEL PACKING IN 1KG PP BAG</t>
  </si>
  <si>
    <t>LẠC NHÂN SẤY KHÔ ĐÓNG TRONG TÚI 1KG</t>
  </si>
  <si>
    <t>7.701022010100000</t>
  </si>
  <si>
    <t>LA1299 BEADS IN PAPER BAG@25KG</t>
  </si>
  <si>
    <t>AXIT LAURIC 99% DẠNG HẠT (WILFARIN LA-1299); BAO 25KG</t>
  </si>
  <si>
    <t>N04.0022056.00001</t>
  </si>
  <si>
    <t>PRINTED BOARD, MATERIAL:FORMEX, SIZE:160 CM X 5.5 CM, PRINTING:OFFSET</t>
  </si>
  <si>
    <t>THANH TRƯNG BÀY NEPTUNE 1.6M</t>
  </si>
  <si>
    <t>PRINTED BOARD,FORMEX,160 CM X 5.5 CM,OFF</t>
  </si>
  <si>
    <t>N04.0022056.00002</t>
  </si>
  <si>
    <t>PRINTED BOARD, MATERIAL:FORMEX, SIZE:160 CM X 7 CM, PRINTING:OFFSET</t>
  </si>
  <si>
    <t>THANH TRƯNG BÀY 1.6M NEPTUNE &amp; KHẨU HIỆU</t>
  </si>
  <si>
    <t>PRINTED BOARD,FORMEX,160 CM X 7 CM,OFFSE</t>
  </si>
  <si>
    <t>N04.0022056.00003</t>
  </si>
  <si>
    <t>PRINTED BOARD, MATERIAL:FORMEX, SIZE:120 CM X 5.5 CM, PRINTING:OFFSET</t>
  </si>
  <si>
    <t>THANH TRƯNG BÀY NEPTUNE 1.2M</t>
  </si>
  <si>
    <t>PRINTED BOARD,FORMEX,120 CM X 5.5 CM,OFF</t>
  </si>
  <si>
    <t>N04.0022056.00005</t>
  </si>
  <si>
    <t>PRINTED BOARD, MATERIAL:FORMEX, SIZE:80 CM X 5.5 CM, PRINTING:OFFSET</t>
  </si>
  <si>
    <t>THANH TRƯNG BÀY NEPTUNE 0.8M</t>
  </si>
  <si>
    <t>PRINTED BOARD,FORMEX,80 CM X 5.5 CM,OFFS</t>
  </si>
  <si>
    <t>N04.0022056.00006</t>
  </si>
  <si>
    <t>PRINTED BOARD, MATERIAL:FORMEX, SIZE:80 CM X 7 CM, PRINTING:OFFSET</t>
  </si>
  <si>
    <t>THANH TRƯNG BÀY 0.8M NEPTUNE &amp; KHẨU HIỆU</t>
  </si>
  <si>
    <t>PRINTED BOARD,FORMEX,80 CM X 7 CM,OFFSET</t>
  </si>
  <si>
    <t>N04.0022056.00007</t>
  </si>
  <si>
    <t>PRINTED BOARD, MATERIAL:FORMEX, SIZE:26 CM X 36 CM, PRINTING:OFFSET</t>
  </si>
  <si>
    <t>PRINTED BOARD,FORMEX,26 CM X 36 CM,OFFSE</t>
  </si>
  <si>
    <t>N04.0022056.00008</t>
  </si>
  <si>
    <t>PRINTED BOARD, MATERIAL:FORMEX, SIZE:45 CM X 11.5 CM, PRINTING:OFFSET</t>
  </si>
  <si>
    <t>MÔ HÌNH CHỮ NEPTUNE</t>
  </si>
  <si>
    <t>PRINTED BOARD,FORMEX,45 CM X 11.5 CM,OFF</t>
  </si>
  <si>
    <t>N04.0022056.00009</t>
  </si>
  <si>
    <t>PRINTED BOARD, MATERIAL:FORMEX, SIZE:14 CM X 15 CM, PRINTING:OFFSET</t>
  </si>
  <si>
    <t>MÔ HÌNH ÔNG VUA NEPTUNE</t>
  </si>
  <si>
    <t>PRINTED BOARD,FORMEX,14 CM X 15 CM,OFFSE</t>
  </si>
  <si>
    <t>N16.0758010.00110</t>
  </si>
  <si>
    <t>SCREW,SELF DRILLING, DIAMETER:M5, LENGTH:20 MM, MATERIAL:GALVANIZED STEEL</t>
  </si>
  <si>
    <t>VÍT</t>
  </si>
  <si>
    <t>SCREW,SELF DRILLING,M5,20 MM,GALVANIZED</t>
  </si>
  <si>
    <t>N16.0948001.00191</t>
  </si>
  <si>
    <t>TIE,CABLE, TYPE:CABLE TIE, WIDTH:5 MM, LENGTH:400 MM, MATERIAL:NYLON</t>
  </si>
  <si>
    <t>DÂY RÚT NHỰA 400MM</t>
  </si>
  <si>
    <t>TIE,CABLE,5 MM,400 MM,NYLON</t>
  </si>
  <si>
    <t>N09.0002004.00147</t>
  </si>
  <si>
    <t>OPP TAPE, WIDTH:25 MM, THICKNESS:2 MM, LENGTH:600 M, COLOR:BLACK</t>
  </si>
  <si>
    <t>BĂNG KEO 2 MẶT</t>
  </si>
  <si>
    <t>OPP TAPE,25 MM,2 MM,600 M,BLACK</t>
  </si>
  <si>
    <t>7.101089571201N10</t>
  </si>
  <si>
    <t>SATELLITE RBD OLEIN-D IN JRG@25KG/RSPOMB</t>
  </si>
  <si>
    <t>DẦU OLEIN CỌ TINH LUYỆN - D NHÃN HIỆU SATELLITE RSPO/MB TRONG CAN 25KG</t>
  </si>
  <si>
    <t>V51.00A.085</t>
  </si>
  <si>
    <t>WHITE VERTICAL STRIP WITH RED BORDER</t>
  </si>
  <si>
    <t>THANH DỌC TRẮNG VIỀN ĐỎ</t>
  </si>
  <si>
    <t>V51.00A.086</t>
  </si>
  <si>
    <t>WHITE VERTICAL STRIP WITH BLUE BORDER</t>
  </si>
  <si>
    <t>THANH DỌC TRẮNG VIỀN XANH</t>
  </si>
  <si>
    <t>V51.00A.087</t>
  </si>
  <si>
    <t>STRIP "NAM DUONG – ORIGINAL DELICIOUS FLAVOR"</t>
  </si>
  <si>
    <t>THANH "NAM DƯƠNG – VỊ NGON NGUYÊN BẢN"</t>
  </si>
  <si>
    <t>V51.00A.088</t>
  </si>
  <si>
    <t>STRIP "MEIZAN SEASONING GRANULES"</t>
  </si>
  <si>
    <t>THANH "HẠT NÊM MEIZAN"</t>
  </si>
  <si>
    <t>V51.00A.089</t>
  </si>
  <si>
    <t>STRIP "MEAT – BONE MARROW – CARTILAGE – CARROT" AND SLOGAN</t>
  </si>
  <si>
    <t>THANH "THỊT – XƯƠNG ỐNG – TỦY – CÀ RỐT" &amp; KHẨU HIỆU</t>
  </si>
  <si>
    <t>V51.00A.090</t>
  </si>
  <si>
    <t>PREMIUM SOY SAUCE MODEL</t>
  </si>
  <si>
    <t>MÔ HÌNH NƯỚC TƯƠNG THƯỢNG HẠNG</t>
  </si>
  <si>
    <t>V51.00A.091</t>
  </si>
  <si>
    <t>FERMENTED SOY SAUCE MODEL</t>
  </si>
  <si>
    <t>MÔ HÌNH NƯỚC TƯƠNG LÊN MEN</t>
  </si>
  <si>
    <t>V51.00A.092</t>
  </si>
  <si>
    <t>MEIZAN SEASONING GRANULES MODEL</t>
  </si>
  <si>
    <t>MÔ HÌNH HẠT NÊM MEIZAN</t>
  </si>
  <si>
    <t>V51.00A.093</t>
  </si>
  <si>
    <t>MEIZAN LOGO MODEL</t>
  </si>
  <si>
    <t>MÔ HÌNH LOGO MEIZAN</t>
  </si>
  <si>
    <t>V51.00A.094</t>
  </si>
  <si>
    <t>SCREW</t>
  </si>
  <si>
    <t>V51.00A.095</t>
  </si>
  <si>
    <t>400MM PLASTIC CABLE TIES</t>
  </si>
  <si>
    <t>V51.00A.096</t>
  </si>
  <si>
    <t>DOUBLE-SIDED TAPE</t>
  </si>
  <si>
    <t>N04.0022056.00004</t>
  </si>
  <si>
    <t>PRINTED BOARD, MATERIAL:FORMEX, SIZE:120 CM X 7 CM, PRINTING:OFFSET</t>
  </si>
  <si>
    <t>THANH TRƯNG BÀY 1.2M NEPTUNE &amp; KHẨU HIỆU</t>
  </si>
  <si>
    <t>PRINTED BOARD,FORMEX,120 CM X 7 CM,OFFSE</t>
  </si>
  <si>
    <t>N04.0022056.00010</t>
  </si>
  <si>
    <t>PRINTED BOARD, MATERIAL:MICA, SIZE:80 CM X 5.5 CM, PRINTING:OFFSET</t>
  </si>
  <si>
    <t>THANH MICA TRƯNG BÀY 0.8M CÓ KHẨU HIỆU</t>
  </si>
  <si>
    <t>PRINTED BOARD,MICA,80 CM X 5.5 CM,OFFSET</t>
  </si>
  <si>
    <t>V51.000.241</t>
  </si>
  <si>
    <t>PAPER TRAY</t>
  </si>
  <si>
    <t>KHAY GIẤY</t>
  </si>
  <si>
    <t>V51.000.242</t>
  </si>
  <si>
    <t>PANDAN FLAVORED TEA HANGER</t>
  </si>
  <si>
    <t>VỈ TREO QUẢNG CÁO (HANGER TREO TRÀ SÂM DỨA)</t>
  </si>
  <si>
    <t>V51.000.243</t>
  </si>
  <si>
    <t>THAI NGUYEN LOOSE LEAF TEA HANGER</t>
  </si>
  <si>
    <t>VỈ TREO QUẢNG CÁO (HANGER TREO TRÀ THÁI NGUYÊN)</t>
  </si>
  <si>
    <t>V51.000.244</t>
  </si>
  <si>
    <t>BLACK TEA HANGER</t>
  </si>
  <si>
    <t>VỈ TREO QUẢNG CÁO (HANGER TREO TRÀ ĐEN)</t>
  </si>
  <si>
    <t>V51.000.245</t>
  </si>
  <si>
    <t>PP BAG PRINTED WHITE KALI POWDER ROYAL BRAND SIZE 50 KG</t>
  </si>
  <si>
    <t>BAO PP IN KALI BỘT TRẮNG NHÃN HIỆU HOÀNG GIA LOẠI ĐỰNG 50 KG</t>
  </si>
  <si>
    <t>N04.0018006.00377</t>
  </si>
  <si>
    <t>PROMOTIONAL STUFF, TYPE:HAWKER UMBRELLA, MATERIAL:HIFLEX, SIZE:D 2.4 M, MARKING:MEIZAN, ADDITIONAL DETAILS:YELLOW &amp; GREEN</t>
  </si>
  <si>
    <t>DÙ MEIZAN XANH LÁ</t>
  </si>
  <si>
    <t>PROMOTIONAL STUFF,HAWKER UMBRELLA,HIFLEX</t>
  </si>
  <si>
    <t>V51.000.246</t>
  </si>
  <si>
    <t>CARGO BOX 500X500X480</t>
  </si>
  <si>
    <t>THÙNG CHỞ HÀNG 500 X 500 X 480</t>
  </si>
  <si>
    <t>V51.000.247</t>
  </si>
  <si>
    <t>CARGO RACK</t>
  </si>
  <si>
    <t>BA GA CHỞ HÀNG</t>
  </si>
  <si>
    <t>N04.0019026.00355</t>
  </si>
  <si>
    <t>UNIFORM, TYPE:T-SHIRT, MODEL:SHORT SLEEVE, APPLICATION:WCLV'S STAFF, COLOR:WHITE, GREEN, MATERIAL:100% POLY 4-WAY CROCODILE, MARKING:POWER100, ADDITIONAL DETAILS:ELASTIC FABRIC</t>
  </si>
  <si>
    <t>ÁO THUN POWER100 NATURAL</t>
  </si>
  <si>
    <t>UNIFORM,T-SHIRT,SHORT SLEEVE,POWER100</t>
  </si>
  <si>
    <t>7.131078011707E10</t>
  </si>
  <si>
    <t>MEIZAN GOLD 0.25L X 48BTL</t>
  </si>
  <si>
    <t>DẦU ĂN CAO CẤP NHÃN HIỆU MEIZAN GOLD 0,25L</t>
  </si>
  <si>
    <t>6.1212C46</t>
  </si>
  <si>
    <t>REFINED OL1008 LOW GE / RSPO MB</t>
  </si>
  <si>
    <t>DẦU OLEIN CỌ TINH LUYỆN (LOW GE) RSPO/MB TRONG XE BỒN</t>
  </si>
  <si>
    <t>N04.0013002.00036</t>
  </si>
  <si>
    <t>BASKET, SIZE:46.5 X 31 X 10.5 CM, MATERIAL:PLASTIC, ADDITIONAL DETAILS:COLOR : YELLOW</t>
  </si>
  <si>
    <t>SÓNG LƯỚI NHỎ MÀU VÀNG</t>
  </si>
  <si>
    <t>BASKET,PLASTIC</t>
  </si>
  <si>
    <t>7.522223292842701</t>
  </si>
  <si>
    <t>MEIZAN GOLD MULTI FLOUR NO.11 PEBAG@500G</t>
  </si>
  <si>
    <t>BỘT MÌ ĐA DỤNG SỐ 11 MEIZAN GOLD 0.5KG (GÓI)</t>
  </si>
  <si>
    <t>7.522223292842712</t>
  </si>
  <si>
    <t>MEIZAN GOLD MULTI FLOUR NO.11 500G*20BAG</t>
  </si>
  <si>
    <t>BỘT MÌ ĐA DỤNG SỐ 11 MEIZAN GOLD (0.5KG*20 GÓI/THÙNG)</t>
  </si>
  <si>
    <t>NAMDUONG MUSHROOM SOY SAUCE 500ML*20BTL</t>
  </si>
  <si>
    <t>7.551460E6S2000180</t>
  </si>
  <si>
    <t>7.515006413217010</t>
  </si>
  <si>
    <t>7.5180061402308010</t>
  </si>
  <si>
    <t>7.58810402204R1300</t>
  </si>
  <si>
    <t>NAMDUONG MUSHROOM SOY SAUCE BOTTLE@500ML</t>
  </si>
  <si>
    <t>7.551460E4Y8000180</t>
  </si>
  <si>
    <t>NAMDUONG PREMIUM SOY SAUCE BOTTLE@210ML</t>
  </si>
  <si>
    <t>NAMDUONG SPECIAL HOT CHILISAUCE BTL@400G</t>
  </si>
  <si>
    <t>NEPTUNE MUSHROOM BOUILLON IN PEBAG@380G</t>
  </si>
  <si>
    <t>NAM DUONG SALAD DRESSING IN BOTTLE@250G</t>
  </si>
  <si>
    <t>7.5180062202408010</t>
  </si>
  <si>
    <t>NEPTUNE PORK BOUILLON GRANULE PEBAG@2KG</t>
  </si>
  <si>
    <t>7.551460F17C3M0480</t>
  </si>
  <si>
    <t>NAMDUONG NORTHERN VN SAUCE 1.96L X 6BTL</t>
  </si>
  <si>
    <t>7.551460F17C3M0180</t>
  </si>
  <si>
    <t>NAMDUONG NORTHERN VN SAUCE BOTTLE@1.96L</t>
  </si>
  <si>
    <t>7.515006130617010</t>
  </si>
  <si>
    <t>NAM DUONG CHILI SAUCE IN BOTTLE@470G</t>
  </si>
  <si>
    <t>7.58810414704Q1300</t>
  </si>
  <si>
    <t>NAM DUONG OYSTER SAUCE IN BOTTLE@615G</t>
  </si>
  <si>
    <t>7.58810402204Q1300</t>
  </si>
  <si>
    <t>NAM DUONG OYSTER SAUCE IN BOTTLE@270G</t>
  </si>
  <si>
    <t>7.551460F9S52N0180</t>
  </si>
  <si>
    <t>NAMDUONG GARLIC CHILISOYSAUCE BTL@310G</t>
  </si>
  <si>
    <t>7.5630080350030600</t>
  </si>
  <si>
    <t>NAM DUONG TOMATO SAUCE IN BOTTLE@500G</t>
  </si>
  <si>
    <t>7.551460E56C000180</t>
  </si>
  <si>
    <t>NAMDUONG FERMENTED SOYSAUCE BOTTLE@280ML</t>
  </si>
  <si>
    <t>7.551460E66C000180</t>
  </si>
  <si>
    <t>NAMDUONG FERMENTED SOYSAUCE BOTTLE@500ML</t>
  </si>
  <si>
    <t>7.551460176C7M0180</t>
  </si>
  <si>
    <t>NAM DUONG HOISIN SOYSAUCE IN BOTTLE@500G</t>
  </si>
  <si>
    <t>7.551460E67C4M0180</t>
  </si>
  <si>
    <t>NAMDUONG HANGVIET SOY SAUCE BOTTLE@500ML</t>
  </si>
  <si>
    <t>7.5180031502408010</t>
  </si>
  <si>
    <t>MEIZAN PORK BOUILLON GRANULE PEBAG@1KG</t>
  </si>
  <si>
    <t>7.5180061402408010</t>
  </si>
  <si>
    <t>7.5180061602408010</t>
  </si>
  <si>
    <t>NEPTUNE PORK BOUILLON GRANULE PEBAG@380G</t>
  </si>
  <si>
    <t>NEPTUNE PORK BOUILLON IN PEBAG@850G</t>
  </si>
  <si>
    <t>7.5180062502408320</t>
  </si>
  <si>
    <t>NEPTUNE PORK BOUILLON GRANULE 50G*120BAG</t>
  </si>
  <si>
    <t>7.5180062502408010</t>
  </si>
  <si>
    <t>NEPTUNE PORK BOUILLON GRANULE PEBAG@50G</t>
  </si>
  <si>
    <t>7.118110B419217010</t>
  </si>
  <si>
    <t>SIMPLY MAYO RICE ROASTED FLVR BTL@230G</t>
  </si>
  <si>
    <t>7.118110B418217010</t>
  </si>
  <si>
    <t>SIMPLY MULTIPURPOSE MAYONNAISE BTL@230G</t>
  </si>
  <si>
    <t>7.5180061802408060</t>
  </si>
  <si>
    <t>NEPTUNE PORK BOUILLON GRANULE 500G*24BAG</t>
  </si>
  <si>
    <t>7.5180061802408010</t>
  </si>
  <si>
    <t>NEPTUNE PORK BOUILLON GRANULE PEBAG@500G</t>
  </si>
  <si>
    <t>7.551460F26C000180</t>
  </si>
  <si>
    <t>NAMDUONG FERMENTED SOYSAUCE BOTTLE@710ML</t>
  </si>
  <si>
    <t>7.1181100903976010</t>
  </si>
  <si>
    <t>SIMPLY MAYONNAISE IN BOX@1KG</t>
  </si>
  <si>
    <t>7.5630130280221000</t>
  </si>
  <si>
    <t>THEPIZZACOMPANY TOMATOKETCHUP SACHET@10G</t>
  </si>
  <si>
    <t>THEPIZZACOMPANY TOMATOKETCHUP10G*1200SCH</t>
  </si>
  <si>
    <t>7.59800526531116</t>
  </si>
  <si>
    <t>NEPTUNE(PORKBOUILN@380G+FERMSS@280ML)*20</t>
  </si>
  <si>
    <t>7.59800826531016</t>
  </si>
  <si>
    <t>NEPTUNE PORKBG@380G+NAMDUONG FSS@280ML</t>
  </si>
  <si>
    <t>7.59800526521116</t>
  </si>
  <si>
    <t>NEPTUNE(MUSHRMBLN380+FERMENTSOYSC280)*20</t>
  </si>
  <si>
    <t>7.59800826521016</t>
  </si>
  <si>
    <t>NEPTUNE MBG@380G+NAMDUONG FERM SS@280ML</t>
  </si>
  <si>
    <t>7.5180030702408010</t>
  </si>
  <si>
    <t>MEIZAN PORK BOUILLON GRANULE PEBAG@400G</t>
  </si>
  <si>
    <t>7.551460E67C5M0180</t>
  </si>
  <si>
    <t>NAMDUONG HANGVIETTHANHVI SOY BTL@500ML</t>
  </si>
  <si>
    <t>7.515006141417010</t>
  </si>
  <si>
    <t>NAMDUONG MED SPICY CHILI SAUCE BTL@255G</t>
  </si>
  <si>
    <t>7.515006341420010</t>
  </si>
  <si>
    <t>NAMDUONG MED SPICY CHILISAUCE SACHET@10G</t>
  </si>
  <si>
    <t>7.5180032102408010</t>
  </si>
  <si>
    <t>MEIZAN PORK BOUILLON GRANULE PEBAG@1.8KG</t>
  </si>
  <si>
    <t>7.515006312917010</t>
  </si>
  <si>
    <t>7.515006302917010</t>
  </si>
  <si>
    <t>NAMDUONG HORECA HV CHILISAUCE BTL@2.1KG</t>
  </si>
  <si>
    <t>NAMDUONG HORECA HV CHILISAUCE BTL@4.2KG</t>
  </si>
  <si>
    <t>7.515006311417010</t>
  </si>
  <si>
    <t>NAMDUONG MED SPICY CHILI SAUCE BTL@2.1KG</t>
  </si>
  <si>
    <t>7.5630080190030600</t>
  </si>
  <si>
    <t>NAM DUONG TOMATO SAUCE IN BOTTLE@255G</t>
  </si>
  <si>
    <t>7.5630080260030600</t>
  </si>
  <si>
    <t>NAM DUONG TOMATO SAUCE IN BOTTLE@2.2KG</t>
  </si>
  <si>
    <t>7.551460E6Y8000180</t>
  </si>
  <si>
    <t>NAMDUONG PREMIUM SOY SAUCE BOTTLE@500ML</t>
  </si>
  <si>
    <t>7.551460F56C7M0180</t>
  </si>
  <si>
    <t>NAMDUONG HOISIN SOY SAUCE IN BOTTLE@255G</t>
  </si>
  <si>
    <t>7.515006143217010</t>
  </si>
  <si>
    <t>NAMDUONG SPECIAL HOT CHILISAUCE BTL@255G</t>
  </si>
  <si>
    <t>7.551460F37C6M0180</t>
  </si>
  <si>
    <t>NAMDUONG HANGVIETHORECA SOYSAUCE BTL@4L</t>
  </si>
  <si>
    <t>7.59800318490617</t>
  </si>
  <si>
    <t>MEIZAN PORK+MUSHROOMBOUILLN(1KG+380G)*10</t>
  </si>
  <si>
    <t>7.59800918491017</t>
  </si>
  <si>
    <t>MEIZAN PORK BG@1KG+NEPTUNE MUSHRMBG@380G</t>
  </si>
  <si>
    <t>7.59800319500617</t>
  </si>
  <si>
    <t>MEIZAN PORK BOUILLON (1KG+400G)*10PACK</t>
  </si>
  <si>
    <t>7.59800319501017</t>
  </si>
  <si>
    <t>MEIZAN PORK BOUILLON PEBAG(1KG+400G)</t>
  </si>
  <si>
    <t>7.59800524490617</t>
  </si>
  <si>
    <t>NEPTUNE(MUSHRMBLN@850G+PORKBLN@380G)*10</t>
  </si>
  <si>
    <t>7.59800524491017</t>
  </si>
  <si>
    <t>NEPTUNE PORKBOUILN850G+MUSHRMBOUILN380G</t>
  </si>
  <si>
    <t>7.59800523500617</t>
  </si>
  <si>
    <t>NEPTUNE PORKBOUILLON BAG(850G+500G)*10</t>
  </si>
  <si>
    <t>7.59800523501017</t>
  </si>
  <si>
    <t>NEPTUNE PORK BOUILLON PEBAG 850G+500G</t>
  </si>
  <si>
    <t>7.551460G5Y8000680</t>
  </si>
  <si>
    <t>NAMDUONG PREM SOYSAUCE BTL(500+210ML)*24</t>
  </si>
  <si>
    <t>7.551460G5Y8000280</t>
  </si>
  <si>
    <t>NAMDUONG PREMIUMSOYSAUCE BTL 500ML+210ML</t>
  </si>
  <si>
    <t>7.515006333017010</t>
  </si>
  <si>
    <t>NAMDUONG HANGVIET CHILISAUCE BOTTLE@800G</t>
  </si>
  <si>
    <t>7.1181109103976010</t>
  </si>
  <si>
    <t>SIMPLY MAYONNAISE IN BOX@3KG</t>
  </si>
  <si>
    <t>7.1180129103976010</t>
  </si>
  <si>
    <t>MEIZAN MAYONNAISE IN BOX @3KG</t>
  </si>
  <si>
    <t>7.5180031502508010</t>
  </si>
  <si>
    <t>MEIZAN MONOSODIUM GLUTAMAT IN PEBAG@1KG</t>
  </si>
  <si>
    <t>7.551460E5Y9000180</t>
  </si>
  <si>
    <t>NAMDUONG CONDENSED SOYSAUCE BOTTLE@280ML</t>
  </si>
  <si>
    <t>7.551460E6Y9000180</t>
  </si>
  <si>
    <t>NAMDUONG CONDENSED SOYSAUCE BOTTLE@500ML</t>
  </si>
  <si>
    <t>7.5180030702518010</t>
  </si>
  <si>
    <t>MEIZAN MONOSODIUM GLUTAMAT POUCH@400G</t>
  </si>
  <si>
    <t>7.5180030702518A70</t>
  </si>
  <si>
    <t>MEIZAN MSG 6BAG X 5PCH@400G</t>
  </si>
  <si>
    <t>7.5180032202518010</t>
  </si>
  <si>
    <t>MEIZAN MONOSODIUM GLUTAMATE POUCH@2KG</t>
  </si>
  <si>
    <t>7.5180031702518010</t>
  </si>
  <si>
    <t>MEIZAN MONOSODIUM GLUTAMATE POUCH@5KG</t>
  </si>
  <si>
    <t>7.5180031502518010</t>
  </si>
  <si>
    <t>MEIZAN MONOSODIUM GLUTAMATE POUCH@1KG</t>
  </si>
  <si>
    <t>7.5180030703418010</t>
  </si>
  <si>
    <t>MEIZAN MSG 60-MESH IN POUCH@400G</t>
  </si>
  <si>
    <t>7.522223072842701</t>
  </si>
  <si>
    <t>MEIZAN GOLD MULTI FLOUR NO.11 PEBAG@1KG</t>
  </si>
  <si>
    <t>BỘT MÌ ĐA DỤNG SỐ 11 MEIZAN GOLD 1KG (GÓI)</t>
  </si>
  <si>
    <t>7.522223072842710</t>
  </si>
  <si>
    <t>MEIZAN GOLD MULTI FLOUR NO.11 1KG*10BAG</t>
  </si>
  <si>
    <t>BỘT MÌ ĐA DỤNG SỐ 11 MEIZAN GOLD (1KG*10 GÓI/THÙNG)</t>
  </si>
  <si>
    <t>N04.0013025.00032</t>
  </si>
  <si>
    <t>TOWEL, SIZE:510 X 320 MM, ADDITIONAL DETAILS:FOR KITCHEN</t>
  </si>
  <si>
    <t>TOWEL</t>
  </si>
  <si>
    <t>N04.0023003.00007</t>
  </si>
  <si>
    <t>DISPLAY BOARD, MATERIAL:FOAM, SIZE:112 X 40 CM</t>
  </si>
  <si>
    <t>DISPLAY BOARD</t>
  </si>
  <si>
    <t>N04.0013026.00086</t>
  </si>
  <si>
    <t>TRAY, MATERIAL:RUBBER WOOD, SIZE:L. 170 X W. 140 X H. 170 MM</t>
  </si>
  <si>
    <t>TRAY,RUBBER WOOD</t>
  </si>
  <si>
    <t>N04.0018006.00383</t>
  </si>
  <si>
    <t>PROMOTIONAL STUFF, TYPE:PLACARD, MATERIAL:PAPER DECAL, SIZE:29.7 X 42 CM</t>
  </si>
  <si>
    <t>PROMOTIONAL STUFF,PLACARD,PAPER DECAL,29</t>
  </si>
  <si>
    <t>N04.0018006.00382</t>
  </si>
  <si>
    <t>PROMOTIONAL STUFF, TYPE:PLACARD, MATERIAL:ACRYLIC BOARD, SIZE:26 X 15 CM</t>
  </si>
  <si>
    <t>PROMOTIONAL STUFF,PLACARD,ACRYLIC BOARD</t>
  </si>
  <si>
    <t>N04.0017001.00036</t>
  </si>
  <si>
    <t>APRON, MATERIAL:KAKI 65/35</t>
  </si>
  <si>
    <t>APRON,KAKI 65/35</t>
  </si>
  <si>
    <t>N09.0001021.00081</t>
  </si>
  <si>
    <t>ZIPPER BAG, WIDTH (MM):330 MM, HEIGHT (MM):320 MM</t>
  </si>
  <si>
    <t>ZIPPER BAG,330 MM,320 MM</t>
  </si>
  <si>
    <t>N04.0013026.00085</t>
  </si>
  <si>
    <t>TRAY, MATERIAL:RUBBER WOOD, TYPE:SPICE</t>
  </si>
  <si>
    <t>N04.0022056.00016</t>
  </si>
  <si>
    <t>PRINTED BOARD, MATERIAL:FORMEX, SIZE:5.5CM X 80CM, PRINTING:OFFSET, MARKING:MEIZAN</t>
  </si>
  <si>
    <t>PRINTED BOARD,FORMEX,5.5CM X 80CM,OFFSET</t>
  </si>
  <si>
    <t>N04.0022056.00019</t>
  </si>
  <si>
    <t>PRINTED BOARD, MATERIAL:FORMEX, SIZE:5.5 CM X 80 CM, PRINTING:OFFSET</t>
  </si>
  <si>
    <t>PRINTED BOARD,FORMEX,5.5 CM X 80 CM,OFFS</t>
  </si>
  <si>
    <t>N04.0022056.00018</t>
  </si>
  <si>
    <t>PRINTED BOARD, MATERIAL:FORMEX, SIZE:120CM X 5.5CM, PRINTING:OFFSET, MARKING:NAMDUONG</t>
  </si>
  <si>
    <t>THANH NAM DƯƠNG – VỊ NGON NGUYÊN BẢN</t>
  </si>
  <si>
    <t>PRINTED BOARD,FORMEX,120CM X 5.5CM,OFFSE</t>
  </si>
  <si>
    <t>N04.0022056.00017</t>
  </si>
  <si>
    <t>PRINTED BOARD, MATERIAL:FORMEX, SIZE:120CM X 5.5CM, PRINTING:OFFSET, MARKING:MEIZAN</t>
  </si>
  <si>
    <t>THANH HẠT NÊM MEIZAN</t>
  </si>
  <si>
    <t>N04.0022056.00015</t>
  </si>
  <si>
    <t>PRINTED BOARD, MATERIAL:FORMEX, SIZE:7 X 120 CM, PRINTING:OFFSET, MARKING:MEIZAN</t>
  </si>
  <si>
    <t>THANH THỊT – XƯƠNG ỐNG – TỦY – CÀ RỐT &amp; KHẨU HIỆU</t>
  </si>
  <si>
    <t>PRINTED BOARD,FORMEX,7 X 120 CM,OFFSET</t>
  </si>
  <si>
    <t>N04.0022056.00011</t>
  </si>
  <si>
    <t>PRINTED BOARD, MATERIAL:FORMEX, SIZE:24.6 CM X 8.6 CM, PRINTING:OFFSET, MARKING:PREMIUM</t>
  </si>
  <si>
    <t>PRINTED BOARD,FORMEX,24.6 CM X 8.6 CM,OF</t>
  </si>
  <si>
    <t>N04.0022056.00012</t>
  </si>
  <si>
    <t>PRINTED BOARD, MATERIAL:FORMEX, SIZE:24.6 CM X 8.6 CM, PRINTING:OFFSET, MARKING:DAU NANH LEN MEN</t>
  </si>
  <si>
    <t>N04.0022056.00013</t>
  </si>
  <si>
    <t>PRINTED BOARD, MATERIAL:FORMEX, SIZE:21.6 CM X 15.6 CM, PRINTING:OFFSET, MARKING:MEIZAN</t>
  </si>
  <si>
    <t>PRINTED BOARD,FORMEX,21.6 CM X 15.6 CM,O</t>
  </si>
  <si>
    <t>N04.0022056.00014</t>
  </si>
  <si>
    <t>PRINTED BOARD, MATERIAL:FORMEX, SIZE:19.2 CM X 12.6 CM, PRINTING:OFFSET, MARKING:MEIZAN</t>
  </si>
  <si>
    <t>PRINTED BOARD,FORMEX,19.2 CM X 12.6 CM,O</t>
  </si>
  <si>
    <t>N13.0004006.00002</t>
  </si>
  <si>
    <t>SOYBEAN OIL, TYPE:COOKING OIL, ADDITIONAL DETAILS:PACK SIZE: 1L, BRAND:SIMPLY</t>
  </si>
  <si>
    <t>SOYBEAN OIL,COOKING OIL</t>
  </si>
  <si>
    <t>N13.0004006.00005</t>
  </si>
  <si>
    <t>SOYBEAN OIL, TYPE:COOKING OIL, ADDITIONAL DETAILS:1 L / BOT, 12 BOTTLES / CARTON, BRAND:SIMPLY</t>
  </si>
  <si>
    <t>7.5180061002408220</t>
  </si>
  <si>
    <t>NEPTUNE PORK BOUILLON GRANULE 200G*40BAG</t>
  </si>
  <si>
    <t>7.5180061002408010</t>
  </si>
  <si>
    <t>NEPTUNE PORK BOUILLON GRANULE PEBAG@200G</t>
  </si>
  <si>
    <t>7.59800628550918</t>
  </si>
  <si>
    <t>NAMDUONG(FERMSS@710ML+CONDENSS@280ML)*12</t>
  </si>
  <si>
    <t>7.551460F6Y8002380</t>
  </si>
  <si>
    <t>NAMDUONG PREMIUM SOY SAUCE 95ML X 60BTL</t>
  </si>
  <si>
    <t>7.551460F6Y8000180</t>
  </si>
  <si>
    <t>NAMDUONG PREMIUM SOYSAUCE IN BOTTLE@95ML</t>
  </si>
  <si>
    <t>7.551468F3S5000380</t>
  </si>
  <si>
    <t>UP SOY SAUCE 4L X 4BTL</t>
  </si>
  <si>
    <t>7.551468F3S5000180</t>
  </si>
  <si>
    <t>UP SOY SAUCE IN BOTTLE@4L</t>
  </si>
  <si>
    <t>7.551467F443540175</t>
  </si>
  <si>
    <t>ORCHID HVP-2.4N IN JERRYCAN@29L</t>
  </si>
  <si>
    <t>7.515016340620B00</t>
  </si>
  <si>
    <t>THEPIZZACOMPANY CHILI SAUCE 10G*1200SCH</t>
  </si>
  <si>
    <t>7.515016340620010</t>
  </si>
  <si>
    <t>THEPIZZACOMPANY CHILI SAUCE SACHET@10G</t>
  </si>
  <si>
    <t>7.515016140617060</t>
  </si>
  <si>
    <t>THEPIZZACOMPANY CHILI SAUCE 255G*24BTL</t>
  </si>
  <si>
    <t>7.515016140617010</t>
  </si>
  <si>
    <t>THEPIZZACOMPANY CHILI SAUCE BTL@255G</t>
  </si>
  <si>
    <t>7.5630080360031103</t>
  </si>
  <si>
    <t>NAM DUONG TOMATO SAUCE 1KG X 10PEBAG</t>
  </si>
  <si>
    <t>7.5630080360031100</t>
  </si>
  <si>
    <t>NAM DUONG TOMATO SAUCE IN PEBAG@1KG</t>
  </si>
  <si>
    <t>7.5630080280031000</t>
  </si>
  <si>
    <t>NAM DUONG TOMATO SAUCE IN SACHET@10G</t>
  </si>
  <si>
    <t>THEPIZZACOMPANY TOMATO SAUCE 255G*24BTL</t>
  </si>
  <si>
    <t>7.5630130190030600</t>
  </si>
  <si>
    <t>THEPIZZACOMPANY TOMATO SAUCE BOTTLE@255G</t>
  </si>
  <si>
    <t>7.5180032302408A50</t>
  </si>
  <si>
    <t>MEIZAN PORK BOUILLON GRANULE 10KG*2PEBAG</t>
  </si>
  <si>
    <t>7.5180032302408010</t>
  </si>
  <si>
    <t>MEIZAN PORK BOUILLON GRANULE PEBAG@10KG</t>
  </si>
  <si>
    <t>7.5180061702408080</t>
  </si>
  <si>
    <t>NEPTUNE PORK BOUILLON 5KG X 3PEBAG</t>
  </si>
  <si>
    <t>7.5180061702408010</t>
  </si>
  <si>
    <t>NEPTUNE PORK BOUILLON IN PEBAG@5KG</t>
  </si>
  <si>
    <t>7.59800527540816</t>
  </si>
  <si>
    <t>NEPTUNE(PBG@850G+PSS@500ML+SHCS@255G)*10</t>
  </si>
  <si>
    <t>7.59800827541216</t>
  </si>
  <si>
    <t>NEPTUNE PBG850G+NAMDUONG PSS0.5L+SHCS255</t>
  </si>
  <si>
    <t>7.59800530530616</t>
  </si>
  <si>
    <t>NEPTUNE(PORK BG@850G+FERM SS@280ML)*10</t>
  </si>
  <si>
    <t>7.59800530531016</t>
  </si>
  <si>
    <t>NEPTUNE PORK BG@850G+FERM SOYSAUCE@280ML</t>
  </si>
  <si>
    <t>7.59800825531016</t>
  </si>
  <si>
    <t>NEPTUNE PORK BG@850G+NAMDUONG FSS@500ML</t>
  </si>
  <si>
    <t>7.5180071702408010</t>
  </si>
  <si>
    <t>ORCHID PORK BOUILLON GRANULE PEBAG@5KG</t>
  </si>
  <si>
    <t>7.5180072302418010</t>
  </si>
  <si>
    <t>7.5180072302408010</t>
  </si>
  <si>
    <t>ORCHID PORK BOUILLON GRANULE PEBAG@10KG</t>
  </si>
  <si>
    <t>7.59800525530616</t>
  </si>
  <si>
    <t>NEPTUNE(PORKBLN@850G+FERMSOYSC@500ML)*10</t>
  </si>
  <si>
    <t>6.1213559</t>
  </si>
  <si>
    <t>DRY FRACT PALM STEARIN LOW GE / RSPO MB</t>
  </si>
  <si>
    <t>7.705M1</t>
  </si>
  <si>
    <t>MEIZAN SHORTENING (WILMAX KT250304) IN BAG 1KG</t>
  </si>
  <si>
    <t>SHORTENING (WILMAX KT250304) NHÃN HIỆU MEIZAN ĐÓNG TRONG BAO 1KG</t>
  </si>
  <si>
    <t>7.1060120244508010</t>
  </si>
  <si>
    <t>MEIZAN SHT 42 GREEN PEBAG@20KG/RSPO MB</t>
  </si>
  <si>
    <t>SHORTENING 42 NHÃN HIỆU MEIZAN (NHÃN MÀU XANH) RSPO/MB TRONG THÙNG 20KG</t>
  </si>
  <si>
    <t>7.1060120244608010</t>
  </si>
  <si>
    <t>MEIZAN SHT42 RED LABEL PEBAG@20KG/RSPOMB</t>
  </si>
  <si>
    <t>SHORTENING 42 NHÃN HIỆU MEIZAN (NHÃN MÀU ĐỎ) RSPO/MB TRONG THÙNG 20KG</t>
  </si>
  <si>
    <t>7.1070120297508010</t>
  </si>
  <si>
    <t>MEIZAN SUPERIORBOSIV55 PEBAG@20KG/RSPOMB</t>
  </si>
  <si>
    <t>DẦU BƠ THAY THẾ CAO CẤP NHÃN HIỆU MEIZAN RSPOMB TRONG THÙNG 20 KG</t>
  </si>
  <si>
    <t>V39.000.088</t>
  </si>
  <si>
    <t>VINATEA GLASS UG310</t>
  </si>
  <si>
    <t>LY THỦY TINH UG310 IN VINATEA</t>
  </si>
  <si>
    <t>7.522224026021901</t>
  </si>
  <si>
    <t>AP-2 INDUSTRIAL FLOUR PRO 8% PPBAG@25KG</t>
  </si>
  <si>
    <t>BỘT MÌ CÔNG NGHIỆP AP-2 (NGUYÊN LIỆU SẢN XUẤT HỒ DÁN, KEO DÁN GỖ) 25KG</t>
  </si>
  <si>
    <t>7.101089580801N20</t>
  </si>
  <si>
    <t>SATELLITE TEXTURIZED RBDPO @20KG/RSPO MB</t>
  </si>
  <si>
    <t>DẦU CỌ CHUYÊN DỤNG NHÃN HIỆU SATELLITE RSPO/MB TRONG THÙNG 20KG</t>
  </si>
  <si>
    <t>7.59701368D30002</t>
  </si>
  <si>
    <t>7.585D130180080100</t>
  </si>
  <si>
    <t>7.522H871130803000</t>
  </si>
  <si>
    <t>REDCOMPASS RICEMACARONILONGTUBE WOV@10KG</t>
  </si>
  <si>
    <t>NUI GẠO LA BÀN ĐỎ - ỐNG DÀI 10KG</t>
  </si>
  <si>
    <t>7.D3701C0990599C1</t>
  </si>
  <si>
    <t>SANIA DARK COMPOUND CHOCOLATE CHIPS ADD-11BD IN BAG 25KG</t>
  </si>
  <si>
    <t>NGUYÊN LIỆU THỰC PHẨM SÔ-CÔ-LA ĐEN DẠNG HẠT NHÃN HIỆU SANIA ADD-11BD, BAG 25KG, ĐÓNG TRONG BAO 25KG</t>
  </si>
  <si>
    <t>SANIA DARK COMPOUND CHOCOLATE CHIPS ADD-11BD (25KG X 1 BAG), 25KG</t>
  </si>
  <si>
    <t>CHAMBERY DARK COMPOUND CHOCOLATE LIQUID MZD-15DL (5KG X 2PCS), 10KG</t>
  </si>
  <si>
    <t>7.D370110990399C501</t>
  </si>
  <si>
    <t>CHAMBERY DARK COMPOUND CHOCOLATE LIQUID MZD-15DL IN BUCKET 5KG</t>
  </si>
  <si>
    <t>NGUYÊN LIỆU THỰC PHẨM SÔ-CÔ-LA ĐEN CHAMBERY DẠNG LỎNG MZD-15DL, XÔ 5KG</t>
  </si>
  <si>
    <t>7.58810409105B2700</t>
  </si>
  <si>
    <t>NAMDUONG OYSTER SAUCE HORECA BTL@2.3KG</t>
  </si>
  <si>
    <t>7.58810409105B2708</t>
  </si>
  <si>
    <t>NAMDUONG OYSTER SAUCE HORECA 2.3KG*6BTL</t>
  </si>
  <si>
    <t>N04.0019026.00314</t>
  </si>
  <si>
    <t>UNIFORM, TYPE:POLO SHIRT, MODEL:SHORT SLEEVE, MARKING:ORANGE KEY, ADDITIONAL DETAILS:EMBROIDERED COMPANY LOGO</t>
  </si>
  <si>
    <t>ÁO THUN CHÌA KHÓA CAM</t>
  </si>
  <si>
    <t>UNIFORM,POLO SHIRT,SHORT SLEEVE,ORANGE K</t>
  </si>
  <si>
    <t>N04.0018001.00090</t>
  </si>
  <si>
    <t>BAG,28 X 35 X 10 CM,TOTE/GOODIE,NON WOWE</t>
  </si>
  <si>
    <t>TÚI VẢI NDFC (TRẮNG)</t>
  </si>
  <si>
    <t>BAG, TYPE:TOTE/GOODIE, MATERIAL:NON WOWEN FABRIC 100GSM, SIZE:28 X 35 X 10 CM</t>
  </si>
  <si>
    <t>N09.0007005.02203</t>
  </si>
  <si>
    <t>CARTON, PRODUCT BRAND:SIMPLY, PACKING TYPE:BOTTLE, CONTENT:12 X 1L, SIZE:296 X 222 X 295MM, COLOR:BROWN, SUBSTANCE:KT175/CA150/KT125, FLUTE:A, PRODUCT PACKED:SOYBEAN OIL (SBO), ADDITIONAL DETAILS:LOCAL - VIETNAM</t>
  </si>
  <si>
    <t>THÙNG 2 MÀU - SIMPLY SBO 1L X 12</t>
  </si>
  <si>
    <t>CARTON,SIMPLY,12 X 1L,SOYBEAN OIL (SBO),</t>
  </si>
  <si>
    <t>N09.0007005.01671</t>
  </si>
  <si>
    <t>CARTON, PRODUCT BRAND:SIMPLY, PRODUCT PACKED:SOYBEAN OIL, CONTENT:6 X 2L, SIZE:358 X 236 X 278 MM, COLOR:BROWN, SUBSTANCE:KT175/CA150/KT175, FLUTE:A, PACKING TYPE:BOTTLE</t>
  </si>
  <si>
    <t>THÙNG 2 MÀU - SIMPLY SBO 2L X 6</t>
  </si>
  <si>
    <t>CARTON,SIMPLY,6 X 2L,SOYBEAN OIL,BOTTLE</t>
  </si>
  <si>
    <t>N09.0007005.01438</t>
  </si>
  <si>
    <t>CARTON, PRODUCT BRAND:SIMPLY, PACKING TYPE:BOTTLE, CONTENT:4 X 5L, SIZE:320 X 320 X 355 MM, COLOR:BROWN, SUBSTANCE:KT175/CA150/KT175, FLUTE:A, PRODUCT PACKED:SOYABEAN OIL</t>
  </si>
  <si>
    <t>THÙNG 2 MÀU - SIMPLY SBO 5L X 4</t>
  </si>
  <si>
    <t>CARTON,SIMPLY,4 X 5L,SOYABEAN OIL,BOTTLE</t>
  </si>
  <si>
    <t>N09.0007005.02173</t>
  </si>
  <si>
    <t>CARTON, PRODUCT BRAND:NEPTUNE LIGHT, PACKING TYPE:BOTTLE, CONTENT:12 X 1 L, SIZE:296 X 222 X 295 MM, COLOR:BROWN, SUBSTANCE:KT175 X CA150 X KT125, FLUTE:A, PRODUCT PACKED:PREMIUM COOKING OIL</t>
  </si>
  <si>
    <t>THÙNG 2 MÀU - NEPTUNE LIGHT 1L X 12</t>
  </si>
  <si>
    <t>CARTON,NEPTUNE LIGHT,12 X 1 L,PREMIUM CO</t>
  </si>
  <si>
    <t>N09.0007005.01342</t>
  </si>
  <si>
    <t>CARTON, PRODUCT BRAND:NEPTUNE LIGHT, PRODUCT PACKED:COOKING OIL, CONTENT:4 X 5L, SIZE:320 X 320 X 355 MM, COLOR:BROWN, SUBSTANCE:KT175/CA150/KT175, FLUTE:A, PACKING TYPE:BOTTLE, ADDITIONAL DETAILS:2 COLORS</t>
  </si>
  <si>
    <t>THÙNG 2 MÀU- NEPTUNE LIGHT 5L X 4</t>
  </si>
  <si>
    <t>CARTON,NEPTUNE LIGHT,4 X 5L,COOKING OIL</t>
  </si>
  <si>
    <t>N09.0007005.01668</t>
  </si>
  <si>
    <t>CARTON, PRODUCT BRAND:SIMPLY, PRODUCT PACKED:RICE BRAN OIL, CONTENT:6 X 2L, SIZE:358 X 236 X 278 MM, COLOR:BROWN, SUBSTANCE:KT175/CA150/KT175, FLUTE:A, PACKING TYPE:BOTTLE</t>
  </si>
  <si>
    <t>THÙNG 2 MÀU - SIMPLY DẦU GẠO LỨT 2L X 6 NỘI ĐỊA</t>
  </si>
  <si>
    <t>CARTON,SIMPLY,6 X 2L,RICE BRAN OIL,BOTTL</t>
  </si>
  <si>
    <t>7.7042296228170000</t>
  </si>
  <si>
    <t>POWER100 LD PASSION FRENCH PF BOTLE@150G</t>
  </si>
  <si>
    <t>NƯỚC GIẶT XẢ POWER100 HƯƠNG NƯỚC HOA PHÁP ĐAM MÊ 150G</t>
  </si>
  <si>
    <t>7.704229622817000O</t>
  </si>
  <si>
    <t>POWER100 LD PASSION FRENCH PF 150GX50BTL</t>
  </si>
  <si>
    <t>NƯỚC GIẶT XẢ POWER100 HƯƠNG NƯỚC HOA PHÁP ĐAM MÊ 150G*50</t>
  </si>
  <si>
    <t>N13.0001008.00018</t>
  </si>
  <si>
    <t>TEA, TYPE:BAG, VARIANT:BLACK TEA, PACK SIZE:1.8 G X 20 BAG, ADDITIONAL DETAILS:ENGLISH BREAKFAST, BRAND:TWINKLE</t>
  </si>
  <si>
    <t>TRÀ TWINKLE ENGLISH BREAKFAST 1,8Gx20</t>
  </si>
  <si>
    <t>TEA,1.8 G X 20 BAG,BAG</t>
  </si>
  <si>
    <t>7.704236E037170000</t>
  </si>
  <si>
    <t>POWER100 LD PLATONIC 8IN1 IN POUCH@2.5KG</t>
  </si>
  <si>
    <t>NƯỚC GIẶT POWER100 8 TRONG 1 HƯƠNG THUẦN KHIẾT 2.5KG TÚI</t>
  </si>
  <si>
    <t>7.704237E037170000</t>
  </si>
  <si>
    <t>POWER100 LD ELEGANT 8IN1 IN POUCH@2.5KG</t>
  </si>
  <si>
    <t>NƯỚC GIẶT POWER100 8 TRONG 1 HƯƠNG THANH LỊCH 2.5KG TÚI</t>
  </si>
  <si>
    <t>7.704D62R537170000</t>
  </si>
  <si>
    <t>POWER100 LP 3IN1 FRESH IN PCH 15G*34PODS</t>
  </si>
  <si>
    <t>VIÊN GIẶT TIỆN LỢI POWER100 3 TRONG 1 HƯƠNG TƯƠI MÁT 15G*34</t>
  </si>
  <si>
    <t>7.704D62R637170000</t>
  </si>
  <si>
    <t>POWER100 LP 3IN1 FRESH IN POUCH 15G*4POD</t>
  </si>
  <si>
    <t>VIÊN GIẶT TIỆN LỢI POWER100 3 TRONG 1 HƯƠNG TƯƠI MÁT 15G*4</t>
  </si>
  <si>
    <t>7.704D63R537170000</t>
  </si>
  <si>
    <t>POWER100 LP 3IN1 DELICATE PCH 15G*34PODS</t>
  </si>
  <si>
    <t>VIÊN GIẶT TIỆN LỢI POWER100 3 TRONG 1 HƯƠNG TINH TẾ 15G*34</t>
  </si>
  <si>
    <t>7.704D63R637170000</t>
  </si>
  <si>
    <t>POWER100 LP 3IN1 DELICATE PCH 15G*4PODS</t>
  </si>
  <si>
    <t>VIÊN GIẶT TIỆN LỢI POWER100 3 TRONG 1 HƯƠNG TINH TẾ 15G*4</t>
  </si>
  <si>
    <t>7.515006141417010TD</t>
  </si>
  <si>
    <t>7.58810402204Q1300TD</t>
  </si>
  <si>
    <t>N11.0003012.00063</t>
  </si>
  <si>
    <t>RAIN COAT, MATERIAL:PVC, COLOR:YELLOW AND GREEN, SIZE:130 X 100 CM, ORIGIN:VIETNAM, ADDITIONAL DETAILS:MARKING: MEIZAN, JUST TOP WITH HOOD, C/W LOGO</t>
  </si>
  <si>
    <t>ÁO MƯA MEIZAN XANH LÁ</t>
  </si>
  <si>
    <t>RAIN COAT,PVC,YELLOW AND GREEN,130 X 100</t>
  </si>
  <si>
    <t>CHAMBERY DARK CHOCOLATE COMPOUND BLOCK CDD-16CPEX IN BLOCK 1KG</t>
  </si>
  <si>
    <t>NGUYÊN LIỆU THỰC PHẨM SÔ-CÔ-LA ĐEN CHAMBERY DẠNG KHỐI CDD-16CPEX, ĐÓNG TRONG GÓI 1KG</t>
  </si>
  <si>
    <t>CHAMBERY DARK CHOCOLATE COMPOUND CHIPS CZD-02CDEX IN PACK 1KG</t>
  </si>
  <si>
    <t>NGUYÊN LIỆU THỰC PHẨM SÔ-CÔ-LA ĐEN CHAMBERY DẠNG VIÊN CZD-02CDEX, ĐÓNG TRONG TÚI 1KG</t>
  </si>
  <si>
    <t>N16.0388003.00151</t>
  </si>
  <si>
    <t>HANGER,HANGER, SIZE:28.8 X 45 MM, MATERIAL:PLASTIC</t>
  </si>
  <si>
    <t>VỈ DÂY TREO MEIZAN</t>
  </si>
  <si>
    <t>N04.0018006.00417</t>
  </si>
  <si>
    <t>PROMOTIONAL STUFF, TYPE:2-TIER IRON SHELF, MATERIAL:POLYPROPYLENE, SIZE:W43.5 X H15 CM; W43.5 X H6 CM, MARKING:POWER100</t>
  </si>
  <si>
    <t>HÌNH ẢNH KỆ SẮT 2 TẦNG POWER100</t>
  </si>
  <si>
    <t>PROMOTIONAL STUFF,2-TIER IRON SHELF,POLY</t>
  </si>
  <si>
    <t>7.101041H1B501290</t>
  </si>
  <si>
    <t>ROL IV 56 DOUBLE REFINED IN IBC@920KG</t>
  </si>
  <si>
    <t>DẦU OLEIN CỌ TINH LUYỆN (LC) TRONG IBC TANK GIẤY</t>
  </si>
  <si>
    <t>ORCHID PORK BOUILLON GRANULE POUCH@10KG</t>
  </si>
  <si>
    <t>6.F390210990001C6</t>
  </si>
  <si>
    <t>RED STANDARD GRADE MURIATE OF POTASH (MOP)/ KALI (KCL)/ WMCLV MURIATE OF POTASH 60; IN BULK; CANADA ORIGIN</t>
  </si>
  <si>
    <t>WMCLV MURIATE OF POTASH 60 (PHÂN BÓN KALI CLORUA) DẠNG BỘT ĐỎ TIÊU CHUẨN, HÀNG XÁ; XUẤT XỨ: CANADA</t>
  </si>
  <si>
    <t>6.F390210990001C7</t>
  </si>
  <si>
    <t>RED GRANULAR GRADE MURIATE OF POTASH (MOP)/ KALI (KCL)/ WMCLV MURIATE OF POTASH 60; IN BULK; CANADA ORIGIN</t>
  </si>
  <si>
    <t>WMCLV MURIATE OF POTASH 60 (PHÂN BÓN KALI CLORUA) DẠNG HẠT ĐỎ, HÀNG XÁ; XUẤT XỨ: CANADA</t>
  </si>
  <si>
    <t>6.F390210990001C8</t>
  </si>
  <si>
    <t>PINK GRANULAR GRADE MURIATE OF POTASH (MOP)/ KALI (KCL)/ WMCLV MURIATE OF POTASH 60; IN BULK; CANADA ORIGIN</t>
  </si>
  <si>
    <t>WMCLV MURIATE OF POTASH 60 (PHÂN BÓN KALI CLORUA) DẠNG HẠT HỒNG, HÀNG XÁ; XUẤT XỨ: CANADA</t>
  </si>
  <si>
    <t>7.F3902B3990701C6</t>
  </si>
  <si>
    <t>RED STANDARD GRADE MURIATE OF POTASH (MOP)/ KALI (KCL)/WMCLV MURIATE OF POTASH 60 PACKED IN 50KG PP/PE BAG ROYAL BRAND; CANADA ORIGIN</t>
  </si>
  <si>
    <t>WMCLV MURIATE OF POTASH 60 (PHÂN BÓN KALI CLORUA) DẠNG BỘT ĐỎ TIÊU CHUẨN, ĐÓNG TRONG BAO PP/PE 50KG NHÃN HIỆU HOÀNG GIA; XUẤT XỨ CANADA</t>
  </si>
  <si>
    <t>7.F3902B3990701C7</t>
  </si>
  <si>
    <t>RED GRANULAR GRADE MURIATE OF POTASH (MOP)/ KALI (KCL)/ WMCLV MURIATE OF POTASH 60 PACKED IN 50KG PP/PE BAG ROYAL BRAND; CANADA ORIGIN</t>
  </si>
  <si>
    <t>WMCLV MURIATE OF POTASH 60 (PHÂN BÓN KALI CLORUA) DẠNG HẠT ĐỎ, ĐÓNG TRONG BAO PP/PE 50KG NHÃN HIỆU HOÀNG GIA; XUẤT XỨ CANADA</t>
  </si>
  <si>
    <t>7.F3902B3070701C8</t>
  </si>
  <si>
    <t>PINK GRANULAR GRADE MURIATE OF POTASH (MOP)/ KALI (KCL)/ WMCLV MURIATE OF POTASH 60 PACKED IN 50KG PP/PE BAG ROYAL BRAND; CANADA ORIGIN</t>
  </si>
  <si>
    <t>WMCLV MURIATE OF POTASH 60 (PHÂN BÓN KALI CLORUA) DẠNG HẠT HỒNG, ĐÓNG TRONG BAO PP/PE 50KG NHÃN HIỆU HOÀNG GIA; XUẤT XỨ CANADA</t>
  </si>
  <si>
    <t>7.F390210990701C6</t>
  </si>
  <si>
    <t>RED STANDARD GRADE MURIATE OF POTASH (MOP)/ KALI (KCL)/WMCLV MURIATE OF POTASH 60 PACKED IN 50KG PP/PE BAG, USED FOR PRODUCTION MATERIAL; CANADA ORIGIN</t>
  </si>
  <si>
    <t>WMCLV MURIATE OF POTASH 60 (PHÂN BÓN KALI CLORUA) DẠNG BỘT ĐỎ TIÊU CHUẨN, ĐÓNG TRONG BAO PP/PE 50KG DÙNG LÀM NGUYÊN LIỆU SẢN XUẤT; XUẤT XỨ CANADA</t>
  </si>
  <si>
    <t>7.F390210990701C7</t>
  </si>
  <si>
    <t>RED GRANULAR GRADE MURIATE OF POTASH (MOP)/ KALI (KCL)/WMCLV MURIATE OF POTASH 60 PACKED IN 50KG PP/PE BAG, USED FOR PRODUCTION MATERIAL; CANADA ORIGIN</t>
  </si>
  <si>
    <t>WMCLV MURIATE OF POTASH 60 (PHÂN BÓN KALI CLORUA) DẠNG HẠT ĐỎ, ĐÓNG TRONG BAO PP/PE 50KG DÙNG LÀM NGUYÊN LIỆU SẢN XUẤT; XUẤT XỨ CANADA</t>
  </si>
  <si>
    <t>7.F39021099250156</t>
  </si>
  <si>
    <t>WHITE STANDARD MURIATE OF POTASH / WMCLV MURIATE OF POTASH 62 - SAMPLE BAG 2KG</t>
  </si>
  <si>
    <t>PHÂN BÓN KALI CLORUA DẠNG BỘT TRẮNG TIÊU CHUẨN/ WMCLV MURIATE OF POTASH 62 - ĐÓNG TRONG TÚI 2KG</t>
  </si>
  <si>
    <t>N16.0786001.00025</t>
  </si>
  <si>
    <t>SHELF,SHELF, SIZE:H.24 X W.25 CM, MATERIAL:STEEL</t>
  </si>
  <si>
    <t>KỆ DẦU DẤM VÀ DẦU HÀU NAM DƯƠNG TRƯNG BÀY TẠI CÁC HỆ THỐNG MINI MART</t>
  </si>
  <si>
    <t>SHELF,SHELF</t>
  </si>
  <si>
    <t>7.92514B6994701B701</t>
  </si>
  <si>
    <t>DHFOODS BBQ SAUCE FOR FIVE SPICE GRILLED MEAT 80GR</t>
  </si>
  <si>
    <t>XỐT GIA VỊ HOÀN CHỈNH NƯỚNG NGŨ VỊ NHÃN HIỆU DHFOODS 80GR</t>
  </si>
  <si>
    <t>7.92514B6994701C901</t>
  </si>
  <si>
    <t>DHFOODS BBQ SAUCE FOR GRILLED MEAT 80GR</t>
  </si>
  <si>
    <t>XỐT GIA VỊ HOÀN CHỈNH NƯỚNG THỊT GÓI NHÃN HIỆU DHFOODS 80GR</t>
  </si>
  <si>
    <t>7.703362010500500</t>
  </si>
  <si>
    <t>WILFARIN SA1860 BEADS IN WOVENBAG@25KG</t>
  </si>
  <si>
    <t>7.703005140400000</t>
  </si>
  <si>
    <t>SA1810 IN JUMBOBAG@500KG</t>
  </si>
  <si>
    <t>N04.0017001.00037</t>
  </si>
  <si>
    <t>APRON, MATERIAL:POLYESTER, SIZE:58.5 X 74.5CM, BRAND:MEIZAN</t>
  </si>
  <si>
    <t>TẠP DỀ MEIZAN XANH LÁ</t>
  </si>
  <si>
    <t>APRON,MEIZAN,POLYESTER</t>
  </si>
  <si>
    <t>7.704712R820170000</t>
  </si>
  <si>
    <t>POWER100 FS PF PEONYBLOSSSOM SACHET@20ML</t>
  </si>
  <si>
    <t>NƯỚC XẢ VẢI POWER100 PERFUMERY PEONY BLOSSOM 20ML</t>
  </si>
  <si>
    <t>7.707712O637170000</t>
  </si>
  <si>
    <t>POWER100 FS PF PEONYBLOSSSOM POUCH@2L</t>
  </si>
  <si>
    <t>NƯỚC XẢ VẢI POWER100 PERFUMERY PEONY BLOSSOM 2L</t>
  </si>
  <si>
    <t>7.707713O637170000</t>
  </si>
  <si>
    <t>POWER100 FS EXTRA MILKY POUCH@2L</t>
  </si>
  <si>
    <t>NƯỚC XẢ VẢI POWER100 EXTRA MILKY 2L</t>
  </si>
  <si>
    <t>7.707713R820170000</t>
  </si>
  <si>
    <t>POWER100 FS EXTRA MILKY SACHET@20ML</t>
  </si>
  <si>
    <t>NƯỚC XẢ VẢI POWER100 EXTRA MILKY 20ML</t>
  </si>
  <si>
    <t>N04.0018006.00441</t>
  </si>
  <si>
    <t>PROMOTIONAL STUFF, TYPE:GIFT BOX, MATERIAL:DUPLEX, SIZE:L310 X W135 X H293MM</t>
  </si>
  <si>
    <t>VỎ HỘP QUÀ MEIZAN TẾT 2026</t>
  </si>
  <si>
    <t>PROMOTIONAL STUFF,GIFT BOX,DUPLEX,L310 X</t>
  </si>
  <si>
    <t>7.131105031701P50</t>
  </si>
  <si>
    <t>NEPTUNE OLIVE LIGHT(RBO+EVOOCOI+) BTL@1L</t>
  </si>
  <si>
    <t>7.131105041701P50</t>
  </si>
  <si>
    <t>NEPTUNE OLIVE LIGHT(RBO+EVOOCOI+) BTL@2L</t>
  </si>
  <si>
    <t>V51.000.248</t>
  </si>
  <si>
    <t>EMPTY PP BAG PRINTED KALI RED STANDAR 60 ROYAL BRAND, SIZE 50 KG</t>
  </si>
  <si>
    <t>BAO PP IN PHÂN BÓN KALI BỘT ĐỎ TIÊU CHUẨN 60 HIỆU HOÀNG GIA, LOẠI 50 KG</t>
  </si>
  <si>
    <t>V51.000.249</t>
  </si>
  <si>
    <t>EMPTY PP BAG PRINTED KALI RED GRANULAR 60 ROYAL BRAND, SIZE 50 KG</t>
  </si>
  <si>
    <t>BAO PP IN PHÂN BÓN KALI HẠT ĐỎ 60 HIỆU HOÀNG GIA, LOẠI 50 KG</t>
  </si>
  <si>
    <t>V51.000.250</t>
  </si>
  <si>
    <t>WHITE EMPTY PP BAG PRINTED KALI STANDAR  MATERIAL FOR PRODUCTION, SIZE 50 KG</t>
  </si>
  <si>
    <t>BAO PP TRẮNG IN PHÂN BÓN KALI BỘT ĐỎ TIÊU CHUẨN 60 NGUYÊN LIỆU CHO SẢN XUẤT, LOẠI 50 KG</t>
  </si>
  <si>
    <t>V51.000.251</t>
  </si>
  <si>
    <t>BAO PP TRẮNG IN PHÂN BÓN KALI HẠT ĐỎ 60 NGUYÊN LIỆU CHO SẢN XUẤT, LOẠI 50 KG</t>
  </si>
  <si>
    <t>V51.000.252</t>
  </si>
  <si>
    <t>EMPTY BOPP BAG PRINTED KALI PINK GRANULAR 60 ROYAL BRAND, SIZE 50 KG</t>
  </si>
  <si>
    <t>BAO BOPP IN PHÂN BÓN KALI HẠT HỒNG 60 HIỆU HOÀNG GIA, LOẠI 50 KG</t>
  </si>
  <si>
    <t>7.F390210992501C6</t>
  </si>
  <si>
    <t>RED FINE STANDARD MURIATE OF POTASH / WMCLV MURIATE OF POTASH 60</t>
  </si>
  <si>
    <t>PHÂN BÓN KALI CLORUA DẠNG BỘT ĐỎ/ WMCLV MURIATE OF POTASH 60 - ĐÓNG TRONG TÚI 2KG</t>
  </si>
  <si>
    <t>RFSS POTASH SAMPLE</t>
  </si>
  <si>
    <t>7.089062121281203TD</t>
  </si>
  <si>
    <t>MEIZAN INSTANT DRY YEAST - BLUE LABEL 500GR X 20 BAG IN CARTON</t>
  </si>
  <si>
    <t>MEN KHÔ DÙNG LIỀN HIỆU MEIZAN – NHÃN XANH DƯƠNG (500G*20 GÓI/THÙNG)</t>
  </si>
  <si>
    <t>7.707710E928170000TD</t>
  </si>
  <si>
    <t>7.551477E4Y8000180</t>
  </si>
  <si>
    <t>MEGA PREMIUM SOY SAUCE IN BOTTLE@210ML</t>
  </si>
  <si>
    <t>V51.000.253</t>
  </si>
  <si>
    <t>CENTENNIAL AGED WHITE TEA IN BOX 80G</t>
  </si>
  <si>
    <t>BẠCH TRÀ TRĂM NĂM HỘP 80G</t>
  </si>
  <si>
    <t>N04.0018006.00415</t>
  </si>
  <si>
    <t>PROMOTIONAL STUFF, TYPE:HELMET, MATERIAL:VIRGIN ABS PLASTIC, SIZE:HEAD SIZE: 56-59CM, BRAND:POWER100</t>
  </si>
  <si>
    <t>NÓN BẢO HIỂM POWER100 NATURAL</t>
  </si>
  <si>
    <t>PROMOTIONAL STUFF,HELMET,VIRGIN ABS PLAS</t>
  </si>
  <si>
    <t>N04.0013025.00033</t>
  </si>
  <si>
    <t>TOWEL, TYPE:HAND, COLOR:BLUE, SIZE:30 X 50 CM, MATERIAL:MICROFIBER FABRIC, BRAND:POWER100</t>
  </si>
  <si>
    <t>KHĂN LAU BẾP POWER100</t>
  </si>
  <si>
    <t>TOWEL,HAND,BLUE,MICROFIBER FABRIC,POWER1</t>
  </si>
  <si>
    <t>7.52211402C501901</t>
  </si>
  <si>
    <t>BLUE KEY PAU FLOUR PRO 10-12% PPBAG@25KG</t>
  </si>
  <si>
    <t>BỘT MÌ CKX BÁNH BAO THỌ PHÁT 25KG</t>
  </si>
  <si>
    <t>7.58810404104Q1300</t>
  </si>
  <si>
    <t>NAM DUONG OYSTER SAUCE IN BOTTLE@2.25KG</t>
  </si>
  <si>
    <t>DẦU HÀO NAM DƯƠNG 2,25KG</t>
  </si>
  <si>
    <t>7.58810415704Q1300</t>
  </si>
  <si>
    <t>NAM DUONG OYSTER SAUCE IN BOTTLE@320G</t>
  </si>
  <si>
    <t>DẦU HÀO NAM DƯƠNG 320G</t>
  </si>
  <si>
    <t>7.58810415804Q1300</t>
  </si>
  <si>
    <t>NAM DUONG OYSTER SAUCE IN BOTTLE@810G</t>
  </si>
  <si>
    <t>DẦU HÀO NAM DƯƠNG 810G</t>
  </si>
  <si>
    <t>N04.0018006.00436</t>
  </si>
  <si>
    <t>PROMOTIONAL STUFF, TYPE:GIFT BOX, MATERIAL:C150 PAPER, SIZE:L. 29 X W.22.4 X D. 9 CM, MARKING:POWER100, ADDITIONAL DETAILS:INCLUDE 4 GIFTS, NOTEBOOK, CARD, THERMAL CUP, PEN</t>
  </si>
  <si>
    <t>HỘP QUÀ TẶNG POWER100 NĂM 2025</t>
  </si>
  <si>
    <t>PROMOTIONAL STUFF,GIFT BOX,C150 PAPER,L.</t>
  </si>
  <si>
    <t>7.722036361503600</t>
  </si>
  <si>
    <t>WILFARESTER MCT 6040 IN DRUM@190KG</t>
  </si>
  <si>
    <t>MEDIUM CHAIN TRIGLYCERIDES (WILFARESTER MCT 6040) - Hỗn hợp este của glycerol với axit caprylic và capric</t>
  </si>
  <si>
    <t>7.92514B69932019901</t>
  </si>
  <si>
    <t>DHFOODS BBQ SAUCE 200G</t>
  </si>
  <si>
    <t>XỐT BBQ NHÃN HIỆU DHFOODS 200G</t>
  </si>
  <si>
    <t>7.92521B69932010801</t>
  </si>
  <si>
    <t>DHFOODS SWEET &amp; SOUR TAMARIND SAUCE 200G</t>
  </si>
  <si>
    <t>XỐT ME CHUA NGỌT NHÃN HIỆU DHFOODS 200G</t>
  </si>
  <si>
    <t>N04.0018001.00101</t>
  </si>
  <si>
    <t>BAG, TYPE:TOTE/GOODIE, MATERIAL:CANVAS, SIZE:40 X 30 X 10 CM</t>
  </si>
  <si>
    <t>TÚI CANVAS HÀNH TRÌNH VĂN HÓA</t>
  </si>
  <si>
    <t>BAG,40 X 30 X 10 CM,TOTE/GOODIE,CANVAS</t>
  </si>
  <si>
    <t>V51.000.254</t>
  </si>
  <si>
    <t>PRODUCT KEYCHAIN</t>
  </si>
  <si>
    <t>MÓC KHÓA SẢN PHẨM</t>
  </si>
  <si>
    <t>V51.000.255</t>
  </si>
  <si>
    <t>WILMAR CLV KEYCHAIN</t>
  </si>
  <si>
    <t>MÓC KHÓA WILMAR CLV</t>
  </si>
  <si>
    <t>V51.000.256</t>
  </si>
  <si>
    <t>CULTURE ROADSHOW CANVAS BAG</t>
  </si>
  <si>
    <t>TÚI VẢI HÀNH TRÌNH VĂN HÓA</t>
  </si>
  <si>
    <t>N09.0007005.01485</t>
  </si>
  <si>
    <t>CARTON, PRODUCT BRAND:SATELLITE, PRODUCT PACKED:CKO, CONTENT:1 X 18KG, SIZE:405 X 320 X 160 MM, COLOR:BROWN, SUBSTANCE:KT175/CA150/KT125/CA150/KT175, FLUTE:BC, PACKING TYPE:BIB, ADDITIONAL DETAILS:PRO.CHEF</t>
  </si>
  <si>
    <t>THÙNG 2 MÀU - SATELLITE CKO 18KG - ĐẦU BẾP CHUYÊN NGHIỆP</t>
  </si>
  <si>
    <t>CARTON,SATELLITE,1 X 18KG,CKO,PRO.CHEF,B</t>
  </si>
  <si>
    <t>N04.0018006.00450</t>
  </si>
  <si>
    <t>PROMOTIONAL STUFF, TYPE:GIFT PACK, MATERIAL:DUPLEX, SIZE:L. 310 X W. 135 X H. 293 MM, ADDITIONAL DETAILS:COLOR: RED</t>
  </si>
  <si>
    <t>VỎ HỘP QUÀ MEIZAN TẾT 2026 CRV</t>
  </si>
  <si>
    <t>PROMOTIONAL STUFF,GIFT PACK,DUPLEX,L. 31</t>
  </si>
  <si>
    <t>N04.0022039.00123</t>
  </si>
  <si>
    <t>TEXT BOOK, SIZE:A4 (21 X 29.7 CM), TITLE:CAKE RECIPE NOTEBOOK, FORMAT:36 PAGES INCLUDING COVER., ADDITIONAL DETAILS:COVER: 2 PAGES, C300G PAPER, PRINTED 2 SIDES, LAMINATED 2 S, INSIDE: 32 PAGES, C120 PAPER, PRINTED 2 SIDES, NOT LAMINATED, SPIRAL BIND</t>
  </si>
  <si>
    <t>IN SỔ TAY CÔNG THỨC BÁNH</t>
  </si>
  <si>
    <t>TEXT BOOK,CAKE RECIPE NOTEBOOK,36 PAGES</t>
  </si>
  <si>
    <t>7.13401C19981A099</t>
  </si>
  <si>
    <t>MOTHERSCHOICE MARGSPREAD MARGARINE IN PACK 2.5KG</t>
  </si>
  <si>
    <t>BƠ THỰC VẬT MOTHERS CHOICE MARGSPREAD ĐÓNG TRONG TÚI 2.5KG</t>
  </si>
  <si>
    <t>7.13401C199F5A099</t>
  </si>
  <si>
    <t>MOTHERSCHOICE MARGSPREAD MARGARINE IN PACK 480G</t>
  </si>
  <si>
    <t>BƠ THỰC VẬT MOTHERS CHOICE MARGSPREAD ĐÓNG TRONG TÚI 480G</t>
  </si>
  <si>
    <t>7.73030701010301</t>
  </si>
  <si>
    <t>FAL1698 BEADS IN PAPERBAG@25KG</t>
  </si>
  <si>
    <t>RƯỢU BÉO 1698 ; BAO 25KG</t>
  </si>
  <si>
    <t>7.7076646528170000TD</t>
  </si>
  <si>
    <t>7.704233Q137170000TD</t>
  </si>
  <si>
    <t>7.707662E928170000TD</t>
  </si>
  <si>
    <t>7.704229P428170000TD</t>
  </si>
  <si>
    <t>N13.0001008.00001</t>
  </si>
  <si>
    <t>TEA, TYPE:BAG, VARIANT:JASMINE, PACK SIZE:1.5 G X 20, BRAND:TWINKLE</t>
  </si>
  <si>
    <t>TRÀ XANH TWINKLE HOA NHÀI 1,5GX20</t>
  </si>
  <si>
    <t>TEA,1.5 G X 20,BAG</t>
  </si>
  <si>
    <t>7.551460E66C000180TD</t>
  </si>
  <si>
    <t>7.5180031502408010TD</t>
  </si>
  <si>
    <t>7.522B850640701000TD</t>
  </si>
  <si>
    <t>MEIZAN PRAWN CRACKER IN PLASTICBAG@100G</t>
  </si>
  <si>
    <t>BÁNH PHỒNG TÔM MEIZAN 100G</t>
  </si>
  <si>
    <t>MEIZAN RICE PAPER ROLL PLASTICBAG@450G</t>
  </si>
  <si>
    <t>BÁNH TRÁNG MEIZAN 450G</t>
  </si>
  <si>
    <t>6.7031000</t>
  </si>
  <si>
    <t>STEARIC ACIDS</t>
  </si>
  <si>
    <t>AXIT STEARIC; BAO 1KG</t>
  </si>
  <si>
    <t>7.701022619200500</t>
  </si>
  <si>
    <t>WILFARIN LA1299 BEADS IN PLASTIC BAG@1KG</t>
  </si>
  <si>
    <t>LAURIC ACID 99% LA1299 (WILFARIN LA-1299); BAO 1KG</t>
  </si>
  <si>
    <t>7.701036619200500</t>
  </si>
  <si>
    <t>WILFARIN MA1499 IN PLASTIC BAG@1KG</t>
  </si>
  <si>
    <t>MYRISTIC ACID 99% MA 1499 (WILFARIN MA-1499); BAO 1KG</t>
  </si>
  <si>
    <t>7.70104B619200000</t>
  </si>
  <si>
    <t>PALMITIC ACID PA1698 IN PLASTICBAG@1KG</t>
  </si>
  <si>
    <t>PALMITIC ACID PA 1698 (AXIT PALMITIC); BAO 1KG</t>
  </si>
  <si>
    <t>7.704D666192000000</t>
  </si>
  <si>
    <t>TRANSPARENT SOAP FLAKES PLASTICBAG@1KG</t>
  </si>
  <si>
    <t>TRANSPARENT SOAP FLAKES (MÃ SẢN PHẨM: ADWIL SN TB 40); BAO 1KG</t>
  </si>
  <si>
    <t>7.720001896800000</t>
  </si>
  <si>
    <t>METHYL ESTER C1214ME PLASTICBAG@1KG</t>
  </si>
  <si>
    <t>METHYL ESTER 1214 (METHYL ESTER C12-C14); BAO 1KG</t>
  </si>
  <si>
    <t>7.721020896800000</t>
  </si>
  <si>
    <t>METHYL ESTER 1898ME PLASTICBAG@1KG</t>
  </si>
  <si>
    <t>METHYL ESTER 1898 (METHYL ESTER OLEATE); BAO 1KG</t>
  </si>
  <si>
    <t>7.723023896800000</t>
  </si>
  <si>
    <t>MES FLAKE IN PLASTIC BAG@1KG</t>
  </si>
  <si>
    <t>CHẤT HOẠT ĐỘNG BỀ MẶT METHYL ESTER SULFONATE; BAO 1KG</t>
  </si>
  <si>
    <t>7.73021989640101</t>
  </si>
  <si>
    <t>FAL1618_3070 BEADS IN PLASTIC BAG@1KG</t>
  </si>
  <si>
    <t>CỒN BÉO CETYL ALCOHOL 1618 (30:70); BAO 1KG</t>
  </si>
  <si>
    <t>7.73030189640301</t>
  </si>
  <si>
    <t>FAL1698 IN PLASTIC BAG@1KG</t>
  </si>
  <si>
    <t>CỒN BÉO CETYL ALCOHOL 1698; BAO 1KG</t>
  </si>
  <si>
    <t>7.74101237110000</t>
  </si>
  <si>
    <t>SODIUM LAUROYL SARCOSINATE BOTTLE@1KG</t>
  </si>
  <si>
    <t>SODIUM LAUROYL SARCOSINATE (LS-30PE); CHAI 1KG</t>
  </si>
  <si>
    <t>7.74104237110000</t>
  </si>
  <si>
    <t>SLS LIQUID IN BOTTLE@1KG</t>
  </si>
  <si>
    <t>CHẤT HOẠT ĐỘNG BỀ MẶT SODIUM LAURYL SULPHATE; CHAI 1KG</t>
  </si>
  <si>
    <t>7.74104537110000</t>
  </si>
  <si>
    <t>POTASSIUM COCOYL GLYCINE IN BOTTLE@1KG</t>
  </si>
  <si>
    <t>POTASSIUM COCOYLGLYCINE (CG-30KS); CHAI 1KG</t>
  </si>
  <si>
    <t>7.G4001B599F601D001</t>
  </si>
  <si>
    <t>VINATEA SPRING BUDS TEA 68G</t>
  </si>
  <si>
    <t>TRÀ VINATEA LỘC XUÂN 68G</t>
  </si>
  <si>
    <t>7.G4001B599F601D0</t>
  </si>
  <si>
    <t>VINATEA SPRING BUDS TEA 68G X 24 PAPER TUBE BOXES IN CARTON</t>
  </si>
  <si>
    <t>TRÀ VINATEA LỘC XUÂN 68G X 24 LON GIẤY ĐÓNG TRONG THÙNG CARTON</t>
  </si>
  <si>
    <t>7.451051011725000</t>
  </si>
  <si>
    <t>MEIZAN RBDSBO 250ML X 36BTL</t>
  </si>
  <si>
    <t>DẦU ĐẬU NÀNH NHÃN HIỆU MEIZAN 250ML</t>
  </si>
  <si>
    <t>7.7042070101000000</t>
  </si>
  <si>
    <t>MIXED SOAP POWDER PAPER BAG@25KG</t>
  </si>
  <si>
    <t>7.101332761301N90TD</t>
  </si>
  <si>
    <t>NEPTUNEPREMIUM ROL+ANTIOXIDANT TIN@17KG</t>
  </si>
  <si>
    <t>DẦU ĂN THỰC VẬT CAO CẤP NEPTUNE ĐÓNG TRONG THÙNG SẮT TRÁNG THIẾC 17KG</t>
  </si>
  <si>
    <t>N09.0007005.02174</t>
  </si>
  <si>
    <t>CARTON,CAI LAN,12 X 1 L,PREMIUM VEGETABL</t>
  </si>
  <si>
    <t>THÙNG 2 MÀU CÁI LÂN 1LX12</t>
  </si>
  <si>
    <t>N09.0007005.02190</t>
  </si>
  <si>
    <t>CARTON,MEIZAN GOLD,12 X 1 L,PREMIUM COOK</t>
  </si>
  <si>
    <t>THÙNG 2 MÀU - MEIZAN GOLD 1Lx12</t>
  </si>
  <si>
    <t>N09.0007005.02277</t>
  </si>
  <si>
    <t>CARTON,MEIZAN,2 L X 6,COOKING OIL,BOTTLE</t>
  </si>
  <si>
    <t>THÙNG 2 MÀU - MEIZAN GOLD 2LX6</t>
  </si>
  <si>
    <t>N09.0007005.02188</t>
  </si>
  <si>
    <t>CARTON,MEIZAN,12 X 1 L,SOYBEAN OIL,BOTTL</t>
  </si>
  <si>
    <t>THÙNG 2 MÀU - MEIZAN SBO 1Lx12</t>
  </si>
  <si>
    <t>N09.0007005.01667</t>
  </si>
  <si>
    <t>CARTON,MEIZAN,6 X 2L,SOYBEAN OIL,BOTTLE</t>
  </si>
  <si>
    <t>THÙNG 2 MÀU - MEIZAN SBO 2Lx6</t>
  </si>
  <si>
    <t>N09.0007005.02167</t>
  </si>
  <si>
    <t>CARTON,ORCHID,12 X 1 L,PREMIUM VEGETABLE</t>
  </si>
  <si>
    <t>THÙNG 2 MÀU - ORCHID 1L X 12</t>
  </si>
  <si>
    <t>N09.0007005.02863</t>
  </si>
  <si>
    <t>CARTON,ORCHID,2 L X 6,PREMIUM VEGETABLE</t>
  </si>
  <si>
    <t>THÙNG 2 MÀU - ORCHID 2L x 6</t>
  </si>
  <si>
    <t>N09.0007005.01433</t>
  </si>
  <si>
    <t>CARTON,SATELLITE,1 X 25KG,SHORTENING,RED</t>
  </si>
  <si>
    <t>THÙNG 2 MÀU - SATELLITE 25KG SHORTENING - RED</t>
  </si>
  <si>
    <t>7.707584P537170000</t>
  </si>
  <si>
    <t>POWER100 DWL SAVING LEMON POUCH@3.2KG</t>
  </si>
  <si>
    <t>NƯỚC RỬA CHÉN POWER100 TIẾT KIỆM HƯƠNG CHANH 3.2KG TÚI</t>
  </si>
  <si>
    <t>7.707662P537170000</t>
  </si>
  <si>
    <t>POWER100 DWLLEMON ESSENTIALOIL PCH@3.2KG</t>
  </si>
  <si>
    <t>NƯỚC RỬA CHÉN POWER100 TINH DẦU CHANH 3.2KG TÚI</t>
  </si>
  <si>
    <t>7.551460E6Y9000680TD</t>
  </si>
  <si>
    <t>7.551460E6Y9000180TD</t>
  </si>
  <si>
    <t>7.5180030702518200TD</t>
  </si>
  <si>
    <t>7.5180030702518010TD</t>
  </si>
  <si>
    <t>7.522B856160701000TD</t>
  </si>
  <si>
    <t>7.522H850300101020TD</t>
  </si>
  <si>
    <t>7.522H850300101000TD</t>
  </si>
  <si>
    <t>7.707583E92817400NTD</t>
  </si>
  <si>
    <t>7.707583E928174000TD</t>
  </si>
  <si>
    <t>7.707662N32817000KTD</t>
  </si>
  <si>
    <t>MEIZAN MULTI FL PRO9.5-12% IN POUCH@5KG</t>
  </si>
  <si>
    <t>7.522BA86131901000</t>
  </si>
  <si>
    <t>CAI LAIN INSTANT NOODLES PLASTICBAG@1KG</t>
  </si>
  <si>
    <t>MÌ ĂN LIỀN CÁI LÂN 1KG</t>
  </si>
  <si>
    <t>7.522BA86131901070</t>
  </si>
  <si>
    <t>CAI LAIN INSTANT NOODLES 1KG X 10BAG</t>
  </si>
  <si>
    <t>MÌ ĂN LIỀN CÁI LÂN 1KG X 10 GÓI</t>
  </si>
  <si>
    <t>7.522BA86133D01000</t>
  </si>
  <si>
    <t>CAI LAIN INSTANT NOODLES PLASTICBAG@65G</t>
  </si>
  <si>
    <t>MÌ ĂN LIỀN CÁI LÂN 65G</t>
  </si>
  <si>
    <t>7.522BA86133D01030</t>
  </si>
  <si>
    <t>CAI LAIN INSTANT NOODLES 65G X 30BAG</t>
  </si>
  <si>
    <t>MÌ ĂN LIỀN CÁI LÂN 65G X 30 GÓI</t>
  </si>
  <si>
    <t>V51.000.257</t>
  </si>
  <si>
    <t>MEIZAN TET GIFBOX 2026</t>
  </si>
  <si>
    <t>V51.000.258</t>
  </si>
  <si>
    <t>CRV MEIZAN TET GIFBOX 2026</t>
  </si>
  <si>
    <t>7.1070123022552010</t>
  </si>
  <si>
    <t>MEIZAN MARGARINE MP 39-42 OVALTUB@80G</t>
  </si>
  <si>
    <t>7.1070123122552010</t>
  </si>
  <si>
    <t>MEIZAN MARGARINE MP 39-42 OVALTUB@200G</t>
  </si>
  <si>
    <t>7.1070123222553010</t>
  </si>
  <si>
    <t>MEIZAN MARGARINE MP 39-42 RECT TUB@800G</t>
  </si>
  <si>
    <t>N09.0007005.02233</t>
  </si>
  <si>
    <t>CARTON, PRODUCT BRAND:POWER100, PACKING TYPE:JERRYCAN, CONTENT:4 X 3.5 KG, SIZE:430 X 200 X 330 MM, COLOR:BROWN, SUBSTANCE:KT175/CA1 50/KT150/CA150/KT175, FLUTE:AB, PRODUCT PACKED:DISHWASHING LIQUID, ADDITIONAL DETAILS:GREEN TEA</t>
  </si>
  <si>
    <t>THÙNG 2 MÀU - NƯỚC RỬA CHÉN POWER100 HƯƠNG TRÀ XANH – 3.5KG</t>
  </si>
  <si>
    <t>CARTON,POWER100,4 X 3.5 KG,DISHWASHING L</t>
  </si>
  <si>
    <t>N09.0007005.02231</t>
  </si>
  <si>
    <t>CARTON, PRODUCT BRAND:POWER100, PACKING TYPE:JERRYCAN, CONTENT:8 X 1.4 KG, SIZE:335 X 310 X 285 MM, COLOR:BROWN, SUBSTANCE:KT175/CA1 50/KT150/CA150/KT175, FLUTE:AB, PRODUCT PACKED:DISHWASHING LIQUID, ADDITIONAL DETAILS:GREEN TEA</t>
  </si>
  <si>
    <t>THÙNG 2 MÀU - NƯỚC RỬA CHÉN POWER100 HƯƠNG TRÀ XANH – 1.4KG</t>
  </si>
  <si>
    <t>CARTON,POWER100,8 X 1.4 KG,DISHWASHING L</t>
  </si>
  <si>
    <t>N09.0007005.02229</t>
  </si>
  <si>
    <t>CARTON, PRODUCT BRAND:POWER100, PACKING TYPE:JERRYCAN, CONTENT:8 X 1.4 KG, SIZE:335 X 310 X 285 MM, COLOR:BROWN, SUBSTANCE:KT175/CA1 50/KT150/CA150/KT175, FLUTE:AB, PRODUCT PACKED:DISHWASHING LIQUID, ADDITIONAL DETAILS:LEMON</t>
  </si>
  <si>
    <t>THÙNG 2 MÀU - NƯỚC RỬA CHÉN POWER100 TINH DẦU CHANH – 1.4 KG</t>
  </si>
  <si>
    <t>N09.0007005.02232</t>
  </si>
  <si>
    <t>CARTON, PRODUCT BRAND:POWER100, PACKING TYPE:JERRYCAN, CONTENT:4 X 3.5 KG, SIZE:430 X 200 X 330 MM, COLOR:BROWN, SUBSTANCE:KT175/CA1 50/KT150/CA150/KT175, FLUTE:AB, PRODUCT PACKED:DISHWASHING LIQUID LEMON</t>
  </si>
  <si>
    <t>THÙNG 2 MÀU - NƯỚC RỬA CHÉN POWER100 TINH DẦU CHANH 5 LỚP – 3.5 KG</t>
  </si>
  <si>
    <t>N09.0007005.02357</t>
  </si>
  <si>
    <t>CARTON, PRODUCT BRAND:POWER100, PACKING TYPE:BOTTLE, CONTENT:24 X 400 G, SIZE:391 X 225 X 238 MM, COLOR:BROWN, SUBSTANCE:KT175/CA150/KT125, FLUTE:A, PRODUCT PACKED:DISHWASHING LIQUID, ADDITIONAL DETAILS:LEMON ESSENTIAL OIL</t>
  </si>
  <si>
    <t>THÙNG 2 MÀU - NƯỚC RỬA CHÉN POWER100 TINH DẦU CHANH – 400G</t>
  </si>
  <si>
    <t>CARTON,POWER100,24 X 400 G,DISHWASHING L</t>
  </si>
  <si>
    <t>N09.0007005.02358</t>
  </si>
  <si>
    <t>CARTON, PRODUCT BRAND:POWER100, PACKING TYPE:BOTTLE, CONTENT:16 X 750 G, SIZE:381 X 235 X 278 MM, COLOR:BROWN, SUBSTANCE:KT175/CA150/KT125, FLUTE:A, PRODUCT PACKED:DISHWASHING LIQUID, ADDITIONAL DETAILS:LEMON ESSENTIAL OIL</t>
  </si>
  <si>
    <t>THÙNG 2 MÀU - NƯỚC RỬA CHÉN POWER100 TINH DẦU CHANH - 750G</t>
  </si>
  <si>
    <t>CARTON,POWER100,16 X 750 G,DISHWASHING L</t>
  </si>
  <si>
    <t>7.D3701C2990201D101</t>
  </si>
  <si>
    <t>CHAMBERY DARK CHOCOLATE COMPOUND BLOCK IN BLOCK 1KG</t>
  </si>
  <si>
    <t>NGUYÊN LIỆU THỰC PHẨM SÔ-CÔ-LA ĐEN DẠNG KHỐI NHÃN HIỆU CHAMBERY, ĐÓNG TRONG GÓI 1KG</t>
  </si>
  <si>
    <t>7.D3701C2990201C101</t>
  </si>
  <si>
    <t>CHAMBERY DARK CHOCOLATE COMPOUND CHIPS IN BAG 1KG</t>
  </si>
  <si>
    <t>NGUYÊN LIỆU THỰC PHẨM SÔ-CÔ-LA ĐEN DẠNG VIÊN NHÃN HIỆU CHAMBERY, ĐÓNG TRONG TÚI 1KG</t>
  </si>
  <si>
    <t>7.D3701C2990201C1</t>
  </si>
  <si>
    <t>CHAMBERY DARK CHOCOLATE COMPOUND CHIPS (1KG X 10PCS), 10KG</t>
  </si>
  <si>
    <t>NGUYÊN LIỆU THỰC PHẨM SÔ-CÔ-LA ĐEN DẠNG VIÊN NHÃN HIỆU CHAMBERY, TÚI 1KG, ĐÓNG TRONG THÙNG CARTON 10KG</t>
  </si>
  <si>
    <t>7.D3701C29902012401</t>
  </si>
  <si>
    <t>CHAMBERY WHITE COMPOUND BLOCK IN BLOCK 1KG</t>
  </si>
  <si>
    <t>NGUYÊN LIỆU THỰC PHẨM SÔ-CÔ-LA TRẮNG DẠNG KHỐI NHÃN HIỆU CHAMBERY, ĐÓNG TRONG GÓI 1KG</t>
  </si>
  <si>
    <t>V51.000.259</t>
  </si>
  <si>
    <t>THERMOS FLASK</t>
  </si>
  <si>
    <t>BÌNH GIỮ NHIỆT</t>
  </si>
  <si>
    <t>6.451208L</t>
  </si>
  <si>
    <t>RBD SOYBEAN OIL (IFG)</t>
  </si>
  <si>
    <t>DẦU ĐẬU NÀNH TINH LUYỆN (IFG) TRONG XE BỒN</t>
  </si>
  <si>
    <t>7.522223072882701</t>
  </si>
  <si>
    <t>MEIZAN GOLD WHEAT FLOUR NO.8 PEBAG@1KG</t>
  </si>
  <si>
    <t>BỘT MÌ SỐ 8 MEIZAN GOLD 1KG (GÓI)</t>
  </si>
  <si>
    <t>7.522223072882710</t>
  </si>
  <si>
    <t>MEIZAN GOLD WHEAT FLOUR NO.8 1KG*10BAG</t>
  </si>
  <si>
    <t>BỘT MÌ SỐ 8 MEIZAN GOLD (1KG * 10GÓI/THÙNG)</t>
  </si>
  <si>
    <t>7.522223292882701</t>
  </si>
  <si>
    <t>MEIZAN GOLD WHEAT FLOUR NO.8 PEBAG@500G</t>
  </si>
  <si>
    <t>BỘT MÌ SỐ 8 MEIZAN GOLD 500G (GÓI)</t>
  </si>
  <si>
    <t>N09.0007005.02175</t>
  </si>
  <si>
    <t>CARTON, PRODUCT BRAND:CAI LAN, PACKING TYPE:BOTTLE, CONTENT:24 X 400 ML, SIZE:350 X 232 X 225 MM, COLOR:BROWN, SUBSTANCE:KT175 X CA150 X KT125, FLUTE:A, PRODUCT PACKED:PREMIUM VEGETABLE OIL</t>
  </si>
  <si>
    <t>THÙNG CAI LAN 400ML X 24</t>
  </si>
  <si>
    <t>CARTON,CAI LAN,24 X 400 ML,PREMIUM VEGET</t>
  </si>
  <si>
    <t>N09.0007005.02864</t>
  </si>
  <si>
    <t>CARTON, PRODUCT BRAND:CAI LAN, PACKING TYPE:BOTTLE, CONTENT:2 L X 6, SIZE:338 X 224 X 300 MM, COLOR:BROWN, SUBSTANCE:KT175/CA150/KT150, FLUTE:A, PRODUCT PACKED:COOKING OIL</t>
  </si>
  <si>
    <t>THÙNG 2 MÀU - CÁI LÂN 2L X 6</t>
  </si>
  <si>
    <t>CARTON,CAI LAN,2 L X 6,COOKING OIL,BOTTL</t>
  </si>
  <si>
    <t>7.522H850271201000TD</t>
  </si>
  <si>
    <t>7.707591M328170000TD</t>
  </si>
  <si>
    <t>7.7075836537174000TD</t>
  </si>
  <si>
    <t>N04.0018006.00440</t>
  </si>
  <si>
    <t>PROMOTIONAL STUFF, TYPE:SACHET HANGER, MATERIAL:DUPLEX 300 GSM PAPER, SIZE:L. 260 X W. 155 MM, MARKING:POWER100</t>
  </si>
  <si>
    <t>DÂY TREO NƯỚC XẢ VẢI POWER100</t>
  </si>
  <si>
    <t>PROMOTIONAL STUFF,SACHET HANGER,DUPLEX 3</t>
  </si>
  <si>
    <t>7.52219801C272701</t>
  </si>
  <si>
    <t>ORANGEPEN SWEETBREADFL 10-13%PEBAG@5KG</t>
  </si>
  <si>
    <t>BỘT MÌ HIỆU CÂY VIẾT CAM 5KG</t>
  </si>
  <si>
    <t>N04.0009011.00036</t>
  </si>
  <si>
    <t>BOTTLE, MATERIAL:PE, CAPACITY:1.5 L, SIZE:137 X 138 X 248, ADDITIONAL DETAILS:LOGO: MEIZAN</t>
  </si>
  <si>
    <t>BÌNH MAXCOOL 1.5L - IN LOGO MEIZAN</t>
  </si>
  <si>
    <t>BOTTLE,PE,1.5 L</t>
  </si>
  <si>
    <t>7.5221610205G0601</t>
  </si>
  <si>
    <t>PINKKEY PIA FL 10.5%W/FE&amp;ZN PAPERBG@25KG</t>
  </si>
  <si>
    <t>BỘT MÌ CHÌA KHÓA HỒNG BÁNH PÍA 25KG</t>
  </si>
  <si>
    <t>7.5221610207I1901</t>
  </si>
  <si>
    <t>PINKKEY PAU FL9.5%W/FE,ZN,BNZ PPBAG@25KG</t>
  </si>
  <si>
    <t>BỘT MÌ CHÌA KHÓA HỒNG BÁNH BAO 25KG</t>
  </si>
  <si>
    <t>7.52217809A571901</t>
  </si>
  <si>
    <t>PINKCOMPASS BREADFL10.1%FE&amp;ZN PPBAG@40KG</t>
  </si>
  <si>
    <t>BỘT MÌ LA BÀN HỒNG 40KG</t>
  </si>
  <si>
    <t>V51.000.260</t>
  </si>
  <si>
    <t>DESK CALENDAR</t>
  </si>
  <si>
    <t>LỊCH ĐỂ BÀN</t>
  </si>
  <si>
    <t>7.58810415704Q1300TD</t>
  </si>
  <si>
    <t>7.C35065599F701D201</t>
  </si>
  <si>
    <t>V39.000.089</t>
  </si>
  <si>
    <t>CAR AIR PURIFIER</t>
  </si>
  <si>
    <t>MÁY LỌC KHÔNG KHÍ PANASONIC F-GPT01A</t>
  </si>
  <si>
    <t>N09.0007005.01388</t>
  </si>
  <si>
    <t>CARTON, PRODUCT BRAND:MEIZAN CAKE, PRODUCT PACKED:FLOUR, CONTENT:10 X 1KG, SIZE:345 X 240 X 255 MM, COLOR:BROWN, SUBSTANCE:KT175/M180/KT175, FLUTE:A, PACKING TYPE:PACK</t>
  </si>
  <si>
    <t>THÙNG BỘT MÌ MEIZAN CAKE FLOUR 1KG</t>
  </si>
  <si>
    <t>CARTON,MEIZAN CAKE,10 X 1KG,FLOUR,PACK,3</t>
  </si>
  <si>
    <t>N09.0007005.01392</t>
  </si>
  <si>
    <t>CARTON, PRODUCT BRAND:COMPASS, PRODUCT PACKED:ALL PURPOSE FLOUR, CONTENT:20 X 500G, SIZE:370 X 275 X 190 MM, COLOR:BROWN, SUBSTANCE: KT175/M180/KT175, FLUTE:A, PACKING TYPE:PACK</t>
  </si>
  <si>
    <t>THÙNG BỘT MÌ ĐA DỤNG CAO CẤP LA BÀN 500G</t>
  </si>
  <si>
    <t>CARTON,COMPASS,20 X 500G,ALL PURPOSE FLO</t>
  </si>
  <si>
    <t>N09.0007005.01393</t>
  </si>
  <si>
    <t>CARTON, PRODUCT BRAND:MEIZAN, PRODUCT PACKED:PREMIUM ALL PURPOSE FLOUR, CONTENT:20 X 500G, SIZE:370 X 275 X 190 MM, COLOR:BROWN, SUB STANCE:KT175/M180/KT175, FLUTE:A, PACKING TYPE:PACK</t>
  </si>
  <si>
    <t>THÙNG BỘT MÌ ĐA DỤNG CAO CẤP MEIZAN 500G</t>
  </si>
  <si>
    <t>CARTON,MEIZAN,20 X 500G,PREMIUM ALL PURP</t>
  </si>
  <si>
    <t>N09.0007005.01394</t>
  </si>
  <si>
    <t>CARTON, PRODUCT BRAND:COMPASS, PRODUCT PACKED:ALL PURPOSE FLOUR, CONTENT:10 X 1KG, SIZE:335 X 235 X 235 MM, COLOR:BROWN, SUBSTANCE:K T175/M180/KT175, FLUTE:A, PACKING TYPE:PACK</t>
  </si>
  <si>
    <t>THÙNG BỘT MÌ ĐA DỤNG CAO CẤP LA BÀN 1KG</t>
  </si>
  <si>
    <t>CARTON,COMPASS,10 X 1KG,ALL PURPOSE FLOU</t>
  </si>
  <si>
    <t>N09.0007005.01400</t>
  </si>
  <si>
    <t>CARTON, PRODUCT BRAND:MEIZAN, PRODUCT PACKED:UNBLEACHED BREAD FLOUR, CONTENT:10 X 1KG, SIZE:335 X 240 X 240 MM, COLOR:BROWN, SUBSTAN CE:KT175/M180/KT175, FLUTE:A, PACKING TYPE:PACK</t>
  </si>
  <si>
    <t>THÙNG BỘT MÌ MEIZAN BREAD FLOUR 1KG</t>
  </si>
  <si>
    <t>CARTON,MEIZAN,10 X 1KG,UNBLEACHED BREAD</t>
  </si>
  <si>
    <t>N09.0007005.01401</t>
  </si>
  <si>
    <t>CARTON, PRODUCT BRAND:MEIZAN, PRODUCT PACKED:PREMIUM ALL PURPOSE FLOUR, CONTENT:10 X 1KG, SIZE:335 X 235 X 245 MM, COLOR:BROWN, SUBS TANCE:KT175/M180/KT175, FLUTE:A, PACKING TYPE:PACK</t>
  </si>
  <si>
    <t>THÙNG BỘT MÌ ĐA DỤNG CAO CẤP MEIZAN 1KG</t>
  </si>
  <si>
    <t>CARTON,MEIZAN,10 X 1KG,PREMIUM ALL PURPO</t>
  </si>
  <si>
    <t>N09.0007005.02890</t>
  </si>
  <si>
    <t>CARTON, PRODUCT BRAND:MEIZAN GOLD, PACKING TYPE:BAG, CONTENT:500 G X 20 BAG, SIZE:370 X 275 X 210 MM, COLOR:BROWN, SUBSTANCE:KT175/M180/KT175, FLUTE:A, PRODUCT PACKED:FLOUR NO. 8</t>
  </si>
  <si>
    <t>THÙNG BỘT MÌ SỐ 8 MEIZAN GOLD 500G</t>
  </si>
  <si>
    <t>CARTON,MEIZAN GOLD,500 G X 20 BAG,FLOUR</t>
  </si>
  <si>
    <t>7.515006143217060TD</t>
  </si>
  <si>
    <t>PROMOTIONAL STUFF,GLASS CONTAINER,GLASS,</t>
  </si>
  <si>
    <t>7.704712R82017001KTD</t>
  </si>
  <si>
    <t>7.707713R82017001KTD</t>
  </si>
  <si>
    <t>6.F390210990001D3</t>
  </si>
  <si>
    <t>RED FINE STANDARD GRADE MURIATE OF POTASH (MOP)/ KALI (KCL)/ WMCLV MURIATE OF POTASH 60; IN BULK; CANADA ORIGIN</t>
  </si>
  <si>
    <t>WMCLV MURIATE OF POTASH 60 (PHÂN BÓN KALI CLORUA) DẠNG BỘT ĐỎ MỊN, HÀNG XÁ; XUẤT XỨ: CANADA</t>
  </si>
  <si>
    <t>7.F390210990701D3</t>
  </si>
  <si>
    <t>RED FINE STANDARD GRADE MURIATE OF POTASH (MOP)/ KALI (KCL)/WMCLV MURIATE OF POTASH 60 PACKED IN 50KG PP/PE BAG, USED FOR PRODUCTION MATERIAL; CANADA ORIGIN</t>
  </si>
  <si>
    <t>WMCLV MURIATE OF POTASH 60 (PHÂN BÓN KALI CLORUA) DẠNG BỘT ĐỎ MỊN, ĐÓNG TRONG BAO PP/PE 50KG DÙNG LÀM NGUYÊN LIỆU SẢN XUẤT; XUẤT XỨ CANADA</t>
  </si>
  <si>
    <t>N04.0018001.00110</t>
  </si>
  <si>
    <t>BAG, TYPE:TOTE/GOODIE, MATERIAL:POLYESTER, PARACHUTE FABRIC, SIZE:L. 30 X H. 35 X D. 10 CM, ADDITIONAL DETAILS:ORANGE, MARKING: POWER100</t>
  </si>
  <si>
    <t>TÚI XÁCH POWER100 MÀU CAM</t>
  </si>
  <si>
    <t>BAG,L. 30 X H. 35 X D. 10 CM,TOTE/GOODIE</t>
  </si>
  <si>
    <t>N04.0018001.00111</t>
  </si>
  <si>
    <t>BAG, TYPE:TOTE/GOODIE, MATERIAL:POLYESTER, PARACHUTE FABRIC, SIZE:L. 30 X H. 35 X D. 10 CM, ADDITIONAL DETAILS:BLUE, MARKING: POWER100</t>
  </si>
  <si>
    <t>TÚI XÁCH POWER100 MÀU XANH</t>
  </si>
  <si>
    <t>7.E3803789985I93201</t>
  </si>
  <si>
    <t>SỮA TIỆT TRÙNG NGUYÊN KEM NHÃN HIỆU MEADOW FRESH 1L, XUẤT XỨ NEW ZEALAND</t>
  </si>
  <si>
    <t>7.E3803789913I93201</t>
  </si>
  <si>
    <t>MEADOW FRESH UHT FULL CREAM MILK 200ML, NEW ZEALAND ORIGIN</t>
  </si>
  <si>
    <t xml:space="preserve">SỮA TIỆT TRÙNG NGUYÊN KEM NHÃN HIỆU MEADOW FRESH 200ML, XUẤT XỨ NEW ZEALAND </t>
  </si>
  <si>
    <t>7.E3803789913I932</t>
  </si>
  <si>
    <t>MEADOW FRESH UHT FULL CREAM MILK 200MLX24, NEW ZEALAND ORIGIN</t>
  </si>
  <si>
    <t xml:space="preserve">SỮA TIỆT TRÙNG NGUYÊN KEM NHÃN HIỆU MEADOW FRESH 200MLX24, XUẤT XỨ NEW ZEALAND </t>
  </si>
  <si>
    <t>7.E3803789985K23201</t>
  </si>
  <si>
    <t>MEADOW FRESH UHT FULL CREAM MILK NO CAP 1L, NEW ZEALAND ORIGIN</t>
  </si>
  <si>
    <t xml:space="preserve">SỮA TIỆT TRÙNG NGUYÊN KEM KHÔNG NẮP NHÃN HIỆU MEADOW FRESH 1L, XUẤT XỨ NEW ZEALAND </t>
  </si>
  <si>
    <t>7.E3803789985K232</t>
  </si>
  <si>
    <t>MEADOW FRESH UHT FULL CREAM MILK NO CAP 1LX12, NEW ZEALAND ORIGIN</t>
  </si>
  <si>
    <t xml:space="preserve">SỮA TIỆT TRÙNG NGUYÊN KEM KHÔNG NẮP NHÃN HIỆU MEADOW FRESH 1Lx12, XUẤT XỨ NEW ZEALAND </t>
  </si>
  <si>
    <t>7.E3803789985I93301</t>
  </si>
  <si>
    <t>SỮA TIỆT TRÙNG TÁCH BÉO NHÃN HIỆU MEADOW FRESH 1L, XUẤT XỨ NEW ZEALAND</t>
  </si>
  <si>
    <t>7.E3803789985I933</t>
  </si>
  <si>
    <t>SỮA TIỆT TRÙNG TÁCH BÉO NHÃN HIỆU MEADOW FRESH 1Lx12, XUẤT XỨ NEW ZEALAND</t>
  </si>
  <si>
    <t>7.E3803789985I93501</t>
  </si>
  <si>
    <t>SỮA TIỆT TRÙNG ÍT BÉO NHÃN HIỆU MEADOW FRESH 1L, XUẤT XỨ NEW ZEALAND</t>
  </si>
  <si>
    <t>7.E3803789985I935</t>
  </si>
  <si>
    <t>SỮA TIỆT TRÙNG ÍT BÉO NHÃN HIỆU MEADOW FRESH 1Lx12, XUẤT XỨ NEW ZEALAND</t>
  </si>
  <si>
    <t>7.E3803789913I93501</t>
  </si>
  <si>
    <t>MEADOW FRESH LOW FAT UHT MILK 200ML, NEW ZEALAND ORIGIN</t>
  </si>
  <si>
    <t>SỮA TIỆT TRÙNG ÍT BÉO NHÃN HIỆU MEADOW FRESH 200ML, XUẤT XỨ NEW ZEALAND</t>
  </si>
  <si>
    <t>7.E3803789913I935</t>
  </si>
  <si>
    <t>MEADOW FRESH LOW FAT UHT MILK 200MLX24, NEW ZEALAND ORIGIN</t>
  </si>
  <si>
    <t>SỮA TIỆT TRÙNG ÍT BÉO NHÃN HIỆU MEADOW FRESH 200MLX24, XUẤT XỨ NEW ZEALAND</t>
  </si>
  <si>
    <t>N04.0018006.00455</t>
  </si>
  <si>
    <t>PROMOTIONAL STUFF, TYPE:PARASOL, MATERIAL:SOFT HIFLEX 3.6 ZEM, SIZE:DIAMETER: 2.1 M (± 3 CM), MARKING:POWER100, ADDITIONAL DETAILS:FOR VIET NAM</t>
  </si>
  <si>
    <t>DÙ CHE NGOÀI TRỜI POWER100</t>
  </si>
  <si>
    <t>PROMOTIONAL STUFF,PARASOL,SOFT HIFLEX 3.</t>
  </si>
  <si>
    <t>V51.000.261</t>
  </si>
  <si>
    <t>WHITE EMPTY PP BAG PRINTED KALI FINE STANDAR 60 MATERIAL FOR PRODUCTION, SIZE 50 KG</t>
  </si>
  <si>
    <t>BAO PP TRẮNG IN KALI BỘT ĐỎ MỊN 60 NGUYÊN LIỆU CHO SẢN XUẤT, LOẠI 50 KG</t>
  </si>
  <si>
    <t>V51.000.262</t>
  </si>
  <si>
    <t>CARGO BOX 450X450X400</t>
  </si>
  <si>
    <t>THÙNG CHỞ HÀNG 450 X 450 X 400</t>
  </si>
  <si>
    <t>7.92419B7993701A001</t>
  </si>
  <si>
    <t>ANCHOVY FISH SAUCE 40°N GLASS BOTTLES 500ML</t>
  </si>
  <si>
    <t>NƯỚC MẮM NHỈ CÁ CƠM 40° ĐẠM HIỆU 584 NHA TRANG CHAI THỦY TINH 500ML</t>
  </si>
  <si>
    <t>7.92419B7993701A101</t>
  </si>
  <si>
    <t>ANCHOVY FISH SAUCE 35°N GLASS BOTTLES 500ML</t>
  </si>
  <si>
    <t>NƯỚC MẮM NHỈ CÁ CƠM 35° ĐẠM HIỆU 584 NHA TRANG CHAI THỦY TINH 500ML</t>
  </si>
  <si>
    <t>7.92419B7993701A201</t>
  </si>
  <si>
    <t>ANCHOVY FISH SAUCE 25°N GLASS BOTTLES 500ML</t>
  </si>
  <si>
    <t>NƯỚC MẮM NHỈ CÁ CƠM 25° ĐẠM HIỆU 584 NHA TRANG CHAI THỦY TINH 500ML</t>
  </si>
  <si>
    <t>7.92419B799F801A001</t>
  </si>
  <si>
    <t>ANCHOVY FISH SAUCE 40°N GIFT PACK OF 02 GLASS BOTTLES 500ML</t>
  </si>
  <si>
    <t>NƯỚC MẮM NHỈ CÁ CƠM 40° ĐẠM HIỆU 584 NHA TRANG HỘP 2 CHAI THỦY TINH 500ML</t>
  </si>
  <si>
    <t>7.92419B799F801A0</t>
  </si>
  <si>
    <t>ANCHOVY FISH SAUCE 40°N GIFT PACK OF 02 GLASS BOTTLES 500ML X 3 PCS IN CARTON</t>
  </si>
  <si>
    <t>NƯỚC MẮM NHỈ CÁ CƠM 40° ĐẠM HIỆU 584 NHA TRANG HỘP 2 CHAI THỦY TINH 500ML X 3 HỘP ĐÓNG TRONG THÙNG CARTON</t>
  </si>
  <si>
    <t>7.92419B799F801A101</t>
  </si>
  <si>
    <t>ANCHOVY FISH SAUCE 35°N GIFT PACK OF 02 GLASS BOTTLES 500ML</t>
  </si>
  <si>
    <t>NƯỚC MẮM NHỈ CÁ CƠM 35° ĐẠM HIỆU 584 NHA TRANG HỘP 2 CHAI THỦY TINH 500ML</t>
  </si>
  <si>
    <t>7.92419B799F801A1</t>
  </si>
  <si>
    <t>ANCHOVY FISH SAUCE 35°N GIFT PACK OF 02 GLASS BOTTLES 500ML X 3 PCS IN CARTON</t>
  </si>
  <si>
    <t>NƯỚC MẮM NHỈ CÁ CƠM 35° ĐẠM HIỆU 584 NHA TRANG HỘP 2 CHAI THỦY TINH 500ML X 3 HỘP ĐÓNG TRONG THÙNG CARTON</t>
  </si>
  <si>
    <t>7.52213409A321901</t>
  </si>
  <si>
    <t>BLUE COMPASS NOODLEFL PRO9-12%PPBAG@40KG</t>
  </si>
  <si>
    <t>BỘT MÌ LA BÀN XANH (40KG)</t>
  </si>
  <si>
    <t>N04.0017001.00045</t>
  </si>
  <si>
    <t>APRON, MATERIAL:KAKI 65/35, SIZE:90 X 61 X 62 CM</t>
  </si>
  <si>
    <t>TẠP DỀ DẦU HÀO NAM DƯƠNG MÀU CAM</t>
  </si>
  <si>
    <t>N04.0018001.00103</t>
  </si>
  <si>
    <t>BAG, TYPE:TOTE/GOODIE, MATERIAL:PU MATERIAL, SIZE:21 CM L X 7 CM W X  12 CM H, ADDITIONAL DETAILS:LOGO: 1 COLOR, VIETNAM MARKET, BRAND:NEPTUNE</t>
  </si>
  <si>
    <t>TÚI ĐỰNG MỸ PHẨM</t>
  </si>
  <si>
    <t>BAG,21 CM L X 7 CM W X  12 CM H,NEPTUNE,</t>
  </si>
  <si>
    <t>7.8100001B8A000100</t>
  </si>
  <si>
    <t>ZINC STEARATE AV310W IN PLASTICBAG@25KG</t>
  </si>
  <si>
    <t>KẼM STEARAT AV310W; BAO NHỰA 25KG</t>
  </si>
  <si>
    <t>7.8100001B8A000200</t>
  </si>
  <si>
    <t>ZINC STEARATE AV301W IN PLASTICBAG@25KG</t>
  </si>
  <si>
    <t>KẼM STEARAT AV301W; BAO NHỰA 25KG</t>
  </si>
  <si>
    <t>7.8100001B8A000300</t>
  </si>
  <si>
    <t>ZINC STEARATE AV320 IN PLASTICBAG@25KG</t>
  </si>
  <si>
    <t>KẼM STEARAT AV320; BAO NHỰA 25KG</t>
  </si>
  <si>
    <t>7.118110B419217010TD</t>
  </si>
  <si>
    <t>7.5180061402408010TD</t>
  </si>
  <si>
    <t>V78.000.047</t>
  </si>
  <si>
    <t>SET AO DAI TET NEPTUNE</t>
  </si>
  <si>
    <t>BỘ ÁO DÀI NỮ PG</t>
  </si>
  <si>
    <t>V78.000.048</t>
  </si>
  <si>
    <t>T-SHIRT TET NEPTUNE</t>
  </si>
  <si>
    <t>ÁO THUN TẾT NEPTUNE</t>
  </si>
  <si>
    <t>N04.0019026.00393</t>
  </si>
  <si>
    <t>UNIFORM, TYPE:SHORT SLEEVE, MODEL:POLO T SHIRT, COLOR:BLUE, MATERIAL:RAYON, NYLON, MARKING:VFM LOGO AT FRONT, AT 220, BRAND:POLO</t>
  </si>
  <si>
    <t>ÁO THUN POLO BASIC</t>
  </si>
  <si>
    <t>UNIFORM,SHORT SLEEVE,POLO T SHIRT,VFM LO</t>
  </si>
  <si>
    <t>N16.0388003.00163</t>
  </si>
  <si>
    <t>HANGER,HANGER, SIZE:210 X 187 MM, ADDITIONAL DETAILS:LOAD CAPACITY : 15 KG</t>
  </si>
  <si>
    <t>7.522208012631901</t>
  </si>
  <si>
    <t xml:space="preserve">ACE-111 WOODGLUE FLOUR ASH 3% PPBAG@5KG_x000D_
</t>
  </si>
  <si>
    <t>BỘT MÌ CÔNG NGHIỆP ACE-111 (NGUYÊN LIỆU SẢN XUẤT HỒ DÁN, KEO DÁN GỖ) 5KG</t>
  </si>
  <si>
    <t>7.J4301109902019901</t>
  </si>
  <si>
    <t>GREEN MUNG BEAN IN PACK 1KG</t>
  </si>
  <si>
    <t>ĐẬU XANH HẠT ĐÓNG TRONG TÚI 1KG</t>
  </si>
  <si>
    <t>MUNG BEAN</t>
  </si>
  <si>
    <t>7.J43011099020199</t>
  </si>
  <si>
    <t>GREEN MUNG BEAN 1KG X 25 BAGS IN PP BAG</t>
  </si>
  <si>
    <t>ĐẬU XANH HẠT TÚI 1KG X 25 TÚI ĐÓNG TRONG BAO PP</t>
  </si>
  <si>
    <t>7.E3804789985I9D401</t>
  </si>
  <si>
    <t>MEADOW FRESH WHIPPING CREAM UHT 1L, NEW ZEALAND ORIGIN</t>
  </si>
  <si>
    <t>KEM SỮA ĐÁNH TIỆT TRÙNG NHÃN HIỆU MEADOW FRESH 1L XUẤT XỨ NEW ZEALAND</t>
  </si>
  <si>
    <t>7.E3804789985I9D4</t>
  </si>
  <si>
    <t>MEADOW FRESH WHIPPING CREAM UHT 1LX12, NEW ZEALAND ORIGIN</t>
  </si>
  <si>
    <t>KEM SỮA ĐÁNH TIỆT TRÙNG NHÃN HIỆU MEADOW FRESH 1LX12 XUẤT XỨ NEW ZEALAND</t>
  </si>
  <si>
    <t>7.92423C399F9A0D501</t>
  </si>
  <si>
    <t xml:space="preserve">GRANORO BOLOGNESE TOMATO SAUCE 370GR_x000D_
</t>
  </si>
  <si>
    <t>XỐT CÀ CHUA BOLOGNESE NHÃN HIỆU GRANORO 370G</t>
  </si>
  <si>
    <t>7.92423C399F9A0D601</t>
  </si>
  <si>
    <t xml:space="preserve">GRANORO TOMATO BASIL SAUCE 370GR_x000D_
</t>
  </si>
  <si>
    <t>XỐT CÀ CHUA HÚNG QUẾ NHÃN HIỆU GRANORO 370G</t>
  </si>
  <si>
    <t>V58.000.006</t>
  </si>
  <si>
    <t>LARGE-SIZED PROMOTIONAL TAPE</t>
  </si>
  <si>
    <t>BĂNG KEO KHUYẾN MÃI KHỔ LỚN</t>
  </si>
  <si>
    <t>V58.000.007</t>
  </si>
  <si>
    <t>SMALL-SIZED PROMOTIONAL TAPE</t>
  </si>
  <si>
    <t>BĂNG KEO KHUYẾN MÃI KHỔ NHỎ</t>
  </si>
  <si>
    <t>V51.000.263</t>
  </si>
  <si>
    <t>CROSSBODY BAG</t>
  </si>
  <si>
    <t>TÚI ĐEO CHÉO</t>
  </si>
  <si>
    <t>7.E380578990501D7</t>
  </si>
  <si>
    <t>MEADOW FRESH UNSALTED BUTTER IN CARTON 25KG</t>
  </si>
  <si>
    <t>BƠ LẠT NHÃN HIỆU MEADOW FRESH ĐÓNG TRONG THÙNG CARTON 25KG</t>
  </si>
  <si>
    <t>7.59801031591016</t>
  </si>
  <si>
    <t>NEPTUNE PORK BG@850G+MEIZANGOLD CO@400ML</t>
  </si>
  <si>
    <t>HẠT NÊM 4 TRONG 1 VỊ HEO 850G ĐÓNG KÈM 01 CHAI DẦU ĂN CAO CẤP NHÃN HIỆU MEIZAN GOLD 400 ML</t>
  </si>
  <si>
    <t>7.59801031590616</t>
  </si>
  <si>
    <t>(NEPTUNE PBG@850G+MEIZANGOLDCO@400ML)*10</t>
  </si>
  <si>
    <t>HẠT NÊM 4 TRONG 1 VỊ HEO 850G X 10 GÓI ĐÓNG KÈM 10 CHAI DẦU ĂN CAO CẤP NHÃN HIỆU MEIZAN GOLD 400 ML/ THÙNG</t>
  </si>
  <si>
    <t>7.J4302109902019901</t>
  </si>
  <si>
    <t>HULLED SESAME SEED 99.97% 1KG IN PACK</t>
  </si>
  <si>
    <t>HẠT MÈ (VỪNG) TÁCH VỎ 99.97% ĐÓNG TRONG GÓI 1KG</t>
  </si>
  <si>
    <t>N04.0001006.00196</t>
  </si>
  <si>
    <t>SPEAKER, TYPE:PORTABLE, ORDER TYPE:MINI SPEAKER, WATTAGE:5 W, ADDITIONAL DETAILS:CAPACITY: 350 MAH, BRAND:AMO</t>
  </si>
  <si>
    <t>LOA BLUETOOTH</t>
  </si>
  <si>
    <t>SPEAKER,AMO,PORTABLE,MINI SPEAKER</t>
  </si>
  <si>
    <t>7245-0000032</t>
  </si>
  <si>
    <t>MEIZAN RBD COCONUT OIL@ 20KG BIB CARTON</t>
  </si>
  <si>
    <t>DẦU DỪA TINH LUYỆN MEIZAN 20KG</t>
  </si>
  <si>
    <t>7.1060120202308010</t>
  </si>
  <si>
    <t>SHORTENING MEIZAN 36-39 IN PE BAG @20KG</t>
  </si>
  <si>
    <t>SHORTENING MEIZAN 36-39 MEIZAN 20KG</t>
  </si>
  <si>
    <t>7.74104034050000</t>
  </si>
  <si>
    <t>SLES 1-MOL IN ISOTANK @23MT</t>
  </si>
  <si>
    <t>N04.0017001.00047</t>
  </si>
  <si>
    <t>APRON, MATERIAL:KAKI 65/35, ADDITIONAL DETAILS:65% POLY, 35% COTT</t>
  </si>
  <si>
    <t>7.92514B6994701D801</t>
  </si>
  <si>
    <t>DHFOODS BBQ SAUCE FOR HONEY GRILLED MEAT 80GR</t>
  </si>
  <si>
    <t>XỐT GIA VỊ HOÀN CHỈNH NƯỚNG MẬT ONG NHÃN HIỆU DHFOODS 80G</t>
  </si>
  <si>
    <t>XỐT GIA VỊ HOÀN CHỈNH NƯỚNG MẬT ONG NHÃN HIỆU DHFOODS 80G X 20 X 6 HỘP ĐÓNG TRONG THÙNG CARTON</t>
  </si>
  <si>
    <t>7.92524B69947L2D901</t>
  </si>
  <si>
    <t>DHFOODS SOUP BASE FOR BEEF STEW 80GR</t>
  </si>
  <si>
    <t>XỐT GIA VỊ HOÀN CHỈNH BÒ KHO NHÃN HIỆU DHFOODS 80G</t>
  </si>
  <si>
    <t>7.92524B69947L39901</t>
  </si>
  <si>
    <t>DHFOODS VIETNAMESE BRAISING SAUCE FOR MEAT &amp; FISH 80GR</t>
  </si>
  <si>
    <t>XỐT GIA VỊ HOÀN CHỈNH KHO THỊT CÁ NHÃN HIỆU DHFOODS 80G</t>
  </si>
  <si>
    <t>7.92524B69947L3E001</t>
  </si>
  <si>
    <t>DHFOODS VIETNAMESE CARAMEL BRAISING SAUCE 80GR</t>
  </si>
  <si>
    <t>XỐT GIA VỊ HOÀN CHỈNH KHO TÀU NHÃN HIỆU DHFOODS 80G</t>
  </si>
  <si>
    <t>7.92524B69947L40801</t>
  </si>
  <si>
    <t>DHFOODS STIR-FRY SAUCE WITH SWEET &amp; SOUR TASTE 80GR</t>
  </si>
  <si>
    <t>XỐT GIA VỊ HOÀN CHỈNH XÀO CHUA NGỌT NHÃN HIỆU DHFOODS 80G</t>
  </si>
  <si>
    <t>7.92524B6996001E101</t>
  </si>
  <si>
    <t>DHFOODS CHEESE SAUCE 100GR</t>
  </si>
  <si>
    <t>XỐT PHÔ MAI NHÃN HIỆU DHFOODS 100G</t>
  </si>
  <si>
    <t>7.92524B6993201E201</t>
  </si>
  <si>
    <t>DHFOODS THAI-STYLE LEMONGRASS &amp; KUMQUAT SAUCE 200GR</t>
  </si>
  <si>
    <t>XỐT THÁI SẢ TẮC NHÃN HIỆU DHFOODS 200G</t>
  </si>
  <si>
    <t>V51.000.264</t>
  </si>
  <si>
    <t>PHILIPS 3.5 LITER AIR FRYER NA342/00</t>
  </si>
  <si>
    <t>NỒI CHIÊN KHÔNG DẦU PHILIP 3.5 LÍT NA342/00</t>
  </si>
  <si>
    <t>V51.000.265</t>
  </si>
  <si>
    <t>LG PURICARE 360 HIT AIR PURIFIER AS60GHWG0</t>
  </si>
  <si>
    <t>MÁY LỌC KHÔNG KHÍ LG PURICARE 360 HIT AS60GHWG0</t>
  </si>
  <si>
    <t>V51.000.266</t>
  </si>
  <si>
    <t>MAGIC ECO AC-307 BLADELESS FAN</t>
  </si>
  <si>
    <t>QUẠT KHÔNG CÁNH MAGIC ECO AC-307</t>
  </si>
  <si>
    <t>V51.000.267</t>
  </si>
  <si>
    <t>IPHONE 17 PRO 256GB - COSMIC ORANGE</t>
  </si>
  <si>
    <t>ĐIỆN THOẠI DI ĐỘNG IPHONE 17 PRO COSMIC ORANGE 256GB</t>
  </si>
  <si>
    <t>V51.000.268</t>
  </si>
  <si>
    <t>99.99% GOLD RING (0.5/PC)</t>
  </si>
  <si>
    <t>NHẪN VÀNG 99,99% LOẠI 5 PHÂN</t>
  </si>
  <si>
    <t>6.4607000</t>
  </si>
  <si>
    <t>DEWAXED REF BLEACH DEO RICE BRAN OIL</t>
  </si>
  <si>
    <t>7.59800827601103</t>
  </si>
  <si>
    <t>NAMDUNG+NEPTUNE BUNDLE COMBO PACK</t>
  </si>
  <si>
    <t>COMBO 01 BAO HẠT NÊM 4 TRONG 1 VỊ HEO 850G VÀ 01 CHAI NƯỚC TƯƠNG THƯỢNG HẠNG 500ML VÀ 01 CHAI TƯƠNG ỚT ĐẶC BIỆT CAY 255G VÀ 01 CHAI NƯỚC MẮM NHỈ CÁ CƠM 30° ĐẠM HIỆU 584 NHA TRANG CHAI PET 500ML</t>
  </si>
  <si>
    <t>CÔNG TY TNHH BẤT ĐỘNG SẢN SẢN XUẤT DỊCH VỤ HƯNG LONG PHÁT</t>
  </si>
  <si>
    <t>LÔ SỐ 12 ĐƯỜNG TÂN TẠO, KHU CÔNG NGHIỆP TÂN TẠO, PHƯỜNGTÂN TẠO, TP.HỒ CHÍ MINH, VIỆT NAM</t>
  </si>
  <si>
    <t>CÔNG TY TNHH HIẾN HIỆU</t>
  </si>
  <si>
    <t>SỐ 14 ĐƯỜNG QUÁN LÝ, KHU 1, ẤP HÒA BÌNH, XÃ XUÂN ĐỊNH, ĐỒNG NAI</t>
  </si>
  <si>
    <t>CÔNG TY TRÁCH NHIỆM HỮU HẠN MỘT THÀNH VIÊN NGUYÊN VẬT LIỆU SMALLFORTUNE</t>
  </si>
  <si>
    <t>LÔ L14, ĐƯỜNG SỐ 7, KHU CÔNG NGHIỆP HẢI SƠN MỞ RỘNG (GIAI ĐOẠN 3+4), XÃ ĐỨC HÒA, TỈNH TÂY NINH, VIỆT NAM</t>
  </si>
  <si>
    <t>7.101332761301C60</t>
  </si>
  <si>
    <t>V51.000.271</t>
  </si>
  <si>
    <t>DHFOODS BOTTLE HANGER</t>
  </si>
  <si>
    <t>DÂY TREO CHAI DHFOODS</t>
  </si>
  <si>
    <t>SỮA TIỆT TRÙNG NGUYÊN KEM NHÃN HIỆU MEADOW FRESH 200MLX24, XUẤT XỨ NEW ZEALAND</t>
  </si>
  <si>
    <t>7.92419B79937L6A2</t>
  </si>
  <si>
    <t>ANCHOVY FISH SAUCE 25°N PET BOTTLES 500ML X 6 BOT IN CARTON</t>
  </si>
  <si>
    <t>NƯỚC MẮM NHỈ CÁ CƠM 25° ĐẠM CHAI PET 500ML X 6 CHAI ĐÓNG TRONG THÙNG CARTON</t>
  </si>
  <si>
    <t>7.92419B79937L6E5</t>
  </si>
  <si>
    <t>VI NGON FISH SAUCE PET BOTTLES 500ML X 6 BOT IN CARTON</t>
  </si>
  <si>
    <t>NƯỚC MẮM VỊ NGON CHAI PET 500ML X 6 CHAI ĐÓNG TRONG THÙNG CARTON</t>
  </si>
  <si>
    <t>UN</t>
  </si>
  <si>
    <t>17/6A Phan Huy Ích, Phường An Hội Tây, Thành phố Hồ Chí Minh, Viêt Nam</t>
  </si>
  <si>
    <t>CÔNG TY CỔ PHẦN THỰC PHẨM TP2</t>
  </si>
  <si>
    <t>Thực Phẩm TP2</t>
  </si>
  <si>
    <t>CÔNG TY TNHH VIỆT HỮU</t>
  </si>
  <si>
    <t>600E/7 TRẦN ĐẠI NGHĨA, KP7, PHƯỜNG TÂN TẠO, BÌNH TÂN, THÀNH PHỐ HỒ CHÍ MINH</t>
  </si>
  <si>
    <t>Việt Hữu</t>
  </si>
  <si>
    <t>EB Dĩ An</t>
  </si>
  <si>
    <t>Số TM8, đường GS01, KĐT thương mại dịch vụ Quảng Trường Xanh, Phường Đông Hòa, Thành phố Hồ Chí Minh, Việt Nam</t>
  </si>
  <si>
    <t>Coop kho vệ tinh 810</t>
  </si>
  <si>
    <t>KHO VỆ TINH BÌNH DƯƠNG, LÔ MN ĐƯỜNG SỐ 10, KCN SÓNG THẦN, P. DĨ AN, TP. DĨ AN, T. BÌNH DƯƠNG.</t>
  </si>
  <si>
    <t>CÔNG TY TNHH DỊCH VỤ THƯƠNG MẠI SẢN XUẤT TRÍ ĐỨC</t>
  </si>
  <si>
    <t xml:space="preserve">336/1 HỒ VĂN TẮNG, ẤP 6, XÃ TÂN THẠNH ĐÔNG, HUYỆN CỦ CHI, TP.HCM </t>
  </si>
  <si>
    <t>Đức Trí</t>
  </si>
  <si>
    <t>Hồ Chí Minh - Phú Hòa Đông</t>
  </si>
  <si>
    <t>Thành phố Hồ Chí Minh - Tân Tạo</t>
  </si>
  <si>
    <t>Thành phố Hồ Chí Minh - Phú Thuận</t>
  </si>
  <si>
    <t>64 TRƯƠNG PHƯỚC PHAN, PHƯỜNG BÌNH TRỊ ĐÔNG, TP. HỒ CHÍ MINH, VIỆT NAM</t>
  </si>
  <si>
    <t>Lâm Đồng - Hàm Thắng</t>
  </si>
  <si>
    <t>MCC trực tiếp</t>
  </si>
  <si>
    <t>NDFC trực tiếp</t>
  </si>
  <si>
    <t>N04.0018006.00515</t>
  </si>
  <si>
    <t>N04.0017001.00027</t>
  </si>
  <si>
    <t>DÂY TREO DẦU MÈ MEIZAN</t>
  </si>
  <si>
    <t>APRON, MATERIAL:POLYESTER, BRAND:MEIZAN</t>
  </si>
  <si>
    <t>7.707705962817000H</t>
  </si>
  <si>
    <t>NƯỚC GIẶT XẢ POWER100 HƯƠNG NƯỚC HOA PHÁP QUYẾN RŨ 3.0KG*4-LAO</t>
  </si>
  <si>
    <t>POWER100 LDCHARMINGFRENCHPERFUME3KG*4BTL-LAO</t>
  </si>
  <si>
    <t>CÔNG TY TNHH THIÊN NGỌC PHÚ</t>
  </si>
  <si>
    <t>TỔ 1, KHU PHỐ 3, PHƯỜNG BÌNH LỘC, THÀNH PHỐ ĐỒNG NAI, VIỆT NAM</t>
  </si>
  <si>
    <t>Thiên Ngọc Phú</t>
  </si>
  <si>
    <t>N04.0018006.00477</t>
  </si>
  <si>
    <t>KỆ SẮT TRƯNG BÀY GIẶT XẢ POWER100</t>
  </si>
  <si>
    <t>NƯỚC GIẶT XẢ POWER100 HƯƠNG NƯỚC HOA PHÁP QUYẾN RŨ 3.0KG*4 TÚI</t>
  </si>
  <si>
    <t>NƯỚC GIẶT XẢ POWER100 HƯƠNG NƯỚC HOA PHÁP ĐAM MÊ 3.0KG*4 (XK)</t>
  </si>
  <si>
    <t>NƯỚC GIẶT XẢ POWER100 HƯƠNG NƯỚC HOA PHÁP ĐAM MÊ 3.0KG*4 TÚI</t>
  </si>
  <si>
    <t>POWER100 LD CHARMING FRENCH PF 3KG*4PCH</t>
  </si>
  <si>
    <t>POWER100 LD PASSION FRENCH 3KG X 4BTL (XK)</t>
  </si>
  <si>
    <t>POWER100 LD PASSION FRENCH PF 3KG*4PCH</t>
  </si>
  <si>
    <t>7.704228963717000H</t>
  </si>
  <si>
    <t>7.704229962817000H</t>
  </si>
  <si>
    <t>7.704229963717000H</t>
  </si>
  <si>
    <t>CÔNG TY TNHH LỘC THIÊN HƯNG PHÁT</t>
  </si>
  <si>
    <t>H227, TỔ 16, KHU PHỐ 2A, PHƯỜNG TRẢNG DÀI, TỈNH ĐỒNG NAI, VIỆT NAM</t>
  </si>
  <si>
    <t>Lộc Thiên Hưng Phát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</si>
</sst>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28" x14ac:knownFonts="1">
    <font>
      <sz val="11"/>
      <color theme="1"/>
      <name val="Calibri"/>
      <family val="2"/>
      <scheme val="minor"/>
    </font>
    <font>
      <sz val="11"/>
      <color theme="1"/>
      <name val="Calibri"/>
      <family val="2"/>
      <scheme val="minor"/>
    </font>
    <font>
      <sz val="11"/>
      <color theme="1"/>
      <name val="Times New Roman"/>
      <family val="1"/>
    </font>
    <font>
      <sz val="11"/>
      <color rgb="FF000000"/>
      <name val="Times New Roman"/>
      <family val="1"/>
    </font>
    <font>
      <sz val="11"/>
      <color rgb="FFFF0000"/>
      <name val="Times New Roman"/>
      <family val="1"/>
    </font>
    <font>
      <sz val="8.25"/>
      <color rgb="FF000000"/>
      <name val="Tahoma"/>
      <family val="2"/>
    </font>
    <font>
      <b/>
      <sz val="8.25"/>
      <color rgb="FF000000"/>
      <name val="Tahoma"/>
      <family val="2"/>
    </font>
    <font>
      <sz val="10"/>
      <name val="Arial"/>
      <family val="2"/>
    </font>
    <font>
      <sz val="8.25"/>
      <color rgb="FFFF0000"/>
      <name val="Tahoma"/>
      <family val="2"/>
    </font>
    <font>
      <sz val="11"/>
      <color rgb="FFFF0000"/>
      <name val="Calibri"/>
      <family val="2"/>
      <scheme val="minor"/>
    </font>
    <font>
      <b/>
      <sz val="9"/>
      <name val="Times New Roman"/>
      <family val="1"/>
    </font>
    <font>
      <b/>
      <sz val="9"/>
      <color rgb="FF000000"/>
      <name val="Times New Roman"/>
      <family val="1"/>
    </font>
    <font>
      <sz val="8.25"/>
      <color rgb="FF000000"/>
      <name val="Tahoma"/>
      <family val="2"/>
    </font>
    <font>
      <b/>
      <sz val="11"/>
      <color rgb="FFFF0000"/>
      <name val="Times New Roman"/>
      <family val="1"/>
    </font>
    <font>
      <sz val="11"/>
      <name val="Times New Roman"/>
      <family val="1"/>
    </font>
    <font>
      <sz val="8.25"/>
      <color rgb="FF000000"/>
      <name val="Tahoma"/>
      <family val="2"/>
    </font>
    <font>
      <sz val="8.25"/>
      <color rgb="FF000000"/>
      <name val="Tahoma"/>
      <family val="2"/>
    </font>
    <font>
      <sz val="8.25"/>
      <color rgb="FF000000"/>
      <name val="Tahoma"/>
      <family val="2"/>
    </font>
    <font>
      <sz val="8.25"/>
      <color rgb="FF000000"/>
      <name val="Tahoma"/>
      <family val="2"/>
    </font>
    <font>
      <sz val="8.25"/>
      <color rgb="FF000000"/>
      <name val="Tahoma"/>
      <family val="2"/>
    </font>
    <font>
      <sz val="8.25"/>
      <color rgb="FF000000"/>
      <name val="Tahoma"/>
      <family val="2"/>
    </font>
    <font>
      <sz val="8.25"/>
      <name val="Tahoma"/>
      <family val="2"/>
    </font>
    <font>
      <sz val="11"/>
      <name val="Calibri"/>
      <family val="2"/>
      <scheme val="minor"/>
    </font>
    <font>
      <b/>
      <sz val="8"/>
      <name val="Times New Roman"/>
      <family val="1"/>
    </font>
    <font>
      <sz val="12"/>
      <color theme="1"/>
      <name val="Times New Roman"/>
      <family val="1"/>
    </font>
    <font>
      <sz val="8.25"/>
      <color rgb="FF000000"/>
      <name val="Times New Roman"/>
      <family val="1"/>
    </font>
    <font>
      <sz val="8.25"/>
      <color rgb="FFFF0000"/>
      <name val="Times New Roman"/>
      <family val="1"/>
    </font>
    <font>
      <sz val="8.25"/>
      <color rgb="FF000000"/>
      <name val="Arial"/>
      <family val="2"/>
    </font>
  </fonts>
  <fills count="14">
    <fill>
      <patternFill patternType="none"/>
    </fill>
    <fill>
      <patternFill patternType="gray125"/>
    </fill>
    <fill>
      <patternFill patternType="solid">
        <fgColor rgb="FFFFFFFF"/>
      </patternFill>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FFFF"/>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D3D3D3"/>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auto="1"/>
      </top>
      <bottom style="hair">
        <color indexed="64"/>
      </bottom>
      <diagonal/>
    </border>
    <border>
      <left style="thin">
        <color rgb="FFA9A9A9"/>
      </left>
      <right style="thin">
        <color rgb="FFA9A9A9"/>
      </right>
      <top style="thin">
        <color rgb="FFA9A9A9"/>
      </top>
      <bottom style="thin">
        <color rgb="FFA9A9A9"/>
      </bottom>
      <diagonal/>
    </border>
    <border>
      <left style="thin">
        <color indexed="64"/>
      </left>
      <right style="thin">
        <color indexed="64"/>
      </right>
      <top/>
      <bottom/>
      <diagonal/>
    </border>
    <border>
      <left style="thin">
        <color rgb="FFA9A9A9"/>
      </left>
      <right style="thin">
        <color rgb="FFA9A9A9"/>
      </right>
      <top/>
      <bottom/>
      <diagonal/>
    </border>
  </borders>
  <cellStyleXfs count="5">
    <xf numFmtId="0" fontId="0" fillId="0" borderId="0"/>
    <xf numFmtId="0" fontId="7" fillId="0" borderId="0"/>
    <xf numFmtId="0" fontId="1" fillId="0" borderId="0"/>
    <xf numFmtId="0" fontId="1" fillId="0" borderId="0"/>
    <xf numFmtId="0" fontId="7" fillId="0" borderId="0"/>
  </cellStyleXfs>
  <cellXfs count="113">
    <xf numFmtId="0" fontId="0" fillId="0" borderId="0" xfId="0"/>
    <xf numFmtId="49" fontId="3" fillId="2" borderId="1" xfId="0" applyNumberFormat="1" applyFont="1" applyFill="1" applyBorder="1" applyAlignment="1">
      <alignment horizontal="left" vertical="center"/>
    </xf>
    <xf numFmtId="49" fontId="3" fillId="0" borderId="1" xfId="0" applyNumberFormat="1" applyFont="1" applyBorder="1" applyAlignment="1">
      <alignment horizontal="left" vertical="center"/>
    </xf>
    <xf numFmtId="49" fontId="3" fillId="0" borderId="3" xfId="0" applyNumberFormat="1" applyFont="1" applyBorder="1" applyAlignment="1">
      <alignment horizontal="left" vertical="center"/>
    </xf>
    <xf numFmtId="0" fontId="2" fillId="0" borderId="1" xfId="0" applyFont="1" applyBorder="1" applyAlignment="1">
      <alignment vertical="center"/>
    </xf>
    <xf numFmtId="0" fontId="2" fillId="0" borderId="1" xfId="0" applyFont="1" applyBorder="1"/>
    <xf numFmtId="49" fontId="3" fillId="2" borderId="3" xfId="0" applyNumberFormat="1" applyFont="1" applyFill="1" applyBorder="1" applyAlignment="1">
      <alignment horizontal="left" vertical="center"/>
    </xf>
    <xf numFmtId="49" fontId="3" fillId="4" borderId="1" xfId="0" applyNumberFormat="1" applyFont="1" applyFill="1" applyBorder="1" applyAlignment="1">
      <alignment horizontal="left" vertical="center"/>
    </xf>
    <xf numFmtId="49" fontId="5" fillId="2" borderId="4" xfId="0" applyNumberFormat="1" applyFont="1" applyFill="1" applyBorder="1" applyAlignment="1">
      <alignment horizontal="left" vertical="center"/>
    </xf>
    <xf numFmtId="0" fontId="2" fillId="0" borderId="0" xfId="0" applyFont="1"/>
    <xf numFmtId="49" fontId="10" fillId="3" borderId="2" xfId="0" applyNumberFormat="1" applyFont="1" applyFill="1" applyBorder="1" applyAlignment="1">
      <alignment horizontal="center" vertical="center"/>
    </xf>
    <xf numFmtId="49" fontId="11" fillId="3" borderId="2" xfId="0" applyNumberFormat="1" applyFont="1" applyFill="1" applyBorder="1" applyAlignment="1">
      <alignment horizontal="center" vertical="center"/>
    </xf>
    <xf numFmtId="0" fontId="9" fillId="0" borderId="0" xfId="0" applyFont="1"/>
    <xf numFmtId="49" fontId="4" fillId="0" borderId="1" xfId="0" applyNumberFormat="1" applyFont="1" applyBorder="1" applyAlignment="1">
      <alignment horizontal="left" vertical="center"/>
    </xf>
    <xf numFmtId="49" fontId="12" fillId="2" borderId="4" xfId="0" applyNumberFormat="1" applyFont="1" applyFill="1" applyBorder="1" applyAlignment="1">
      <alignment horizontal="left" vertical="center"/>
    </xf>
    <xf numFmtId="49" fontId="13" fillId="0" borderId="1" xfId="0" applyNumberFormat="1" applyFont="1" applyBorder="1" applyAlignment="1">
      <alignment horizontal="left" vertical="center"/>
    </xf>
    <xf numFmtId="49" fontId="3" fillId="2" borderId="4" xfId="0" applyNumberFormat="1" applyFont="1" applyFill="1" applyBorder="1" applyAlignment="1">
      <alignment horizontal="left" vertical="center"/>
    </xf>
    <xf numFmtId="49" fontId="3" fillId="0" borderId="4" xfId="0" applyNumberFormat="1" applyFont="1" applyBorder="1" applyAlignment="1">
      <alignment horizontal="left" vertical="center"/>
    </xf>
    <xf numFmtId="49" fontId="14" fillId="0" borderId="4" xfId="0" applyNumberFormat="1" applyFont="1" applyBorder="1" applyAlignment="1">
      <alignment horizontal="left" vertical="center"/>
    </xf>
    <xf numFmtId="49" fontId="2" fillId="0" borderId="4" xfId="0" applyNumberFormat="1" applyFont="1" applyBorder="1" applyAlignment="1">
      <alignment horizontal="left" vertical="center"/>
    </xf>
    <xf numFmtId="49" fontId="2" fillId="0" borderId="3" xfId="0" applyNumberFormat="1" applyFont="1" applyBorder="1" applyAlignment="1">
      <alignment horizontal="left" vertical="top"/>
    </xf>
    <xf numFmtId="49" fontId="2" fillId="0" borderId="3" xfId="0" applyNumberFormat="1" applyFont="1" applyBorder="1" applyAlignment="1">
      <alignment horizontal="left" vertical="top" wrapText="1"/>
    </xf>
    <xf numFmtId="49" fontId="2" fillId="0" borderId="1" xfId="0" applyNumberFormat="1" applyFont="1" applyBorder="1" applyAlignment="1">
      <alignment horizontal="left" vertical="center"/>
    </xf>
    <xf numFmtId="0" fontId="2" fillId="0" borderId="1" xfId="0" applyFont="1" applyBorder="1" applyAlignment="1">
      <alignment horizontal="left" vertical="top"/>
    </xf>
    <xf numFmtId="49" fontId="2" fillId="0" borderId="1" xfId="0" applyNumberFormat="1" applyFont="1" applyBorder="1" applyAlignment="1">
      <alignment horizontal="left" vertical="top" wrapText="1"/>
    </xf>
    <xf numFmtId="49" fontId="2" fillId="0" borderId="1" xfId="0" applyNumberFormat="1" applyFont="1" applyBorder="1" applyAlignment="1">
      <alignment horizontal="left" vertical="top"/>
    </xf>
    <xf numFmtId="0" fontId="2" fillId="0" borderId="4" xfId="0" applyFont="1" applyBorder="1" applyAlignment="1">
      <alignment horizontal="left" vertical="center"/>
    </xf>
    <xf numFmtId="49" fontId="15" fillId="2" borderId="4" xfId="0" applyNumberFormat="1" applyFont="1" applyFill="1" applyBorder="1" applyAlignment="1">
      <alignment horizontal="left" vertical="center"/>
    </xf>
    <xf numFmtId="49" fontId="16" fillId="2" borderId="4" xfId="0" applyNumberFormat="1" applyFont="1" applyFill="1" applyBorder="1" applyAlignment="1">
      <alignment horizontal="left" vertical="center"/>
    </xf>
    <xf numFmtId="49" fontId="17" fillId="2" borderId="4" xfId="0" applyNumberFormat="1" applyFont="1" applyFill="1" applyBorder="1" applyAlignment="1">
      <alignment horizontal="left" vertical="center"/>
    </xf>
    <xf numFmtId="49" fontId="18" fillId="2" borderId="4" xfId="0" applyNumberFormat="1" applyFont="1" applyFill="1" applyBorder="1" applyAlignment="1">
      <alignment horizontal="left" vertical="center"/>
    </xf>
    <xf numFmtId="49" fontId="8" fillId="2" borderId="4" xfId="0" applyNumberFormat="1" applyFont="1" applyFill="1" applyBorder="1" applyAlignment="1">
      <alignment horizontal="left" vertical="center"/>
    </xf>
    <xf numFmtId="49" fontId="8" fillId="2" borderId="0" xfId="0" applyNumberFormat="1" applyFont="1" applyFill="1" applyAlignment="1">
      <alignment horizontal="left" vertical="center"/>
    </xf>
    <xf numFmtId="49" fontId="4" fillId="0" borderId="6" xfId="0" applyNumberFormat="1" applyFont="1" applyBorder="1" applyAlignment="1">
      <alignment horizontal="left" vertical="center"/>
    </xf>
    <xf numFmtId="49" fontId="19" fillId="2" borderId="4" xfId="0" applyNumberFormat="1" applyFont="1" applyFill="1" applyBorder="1" applyAlignment="1">
      <alignment horizontal="left" vertical="center"/>
    </xf>
    <xf numFmtId="49" fontId="19" fillId="5" borderId="4" xfId="0" applyNumberFormat="1" applyFont="1" applyFill="1" applyBorder="1" applyAlignment="1">
      <alignment horizontal="left" vertical="center"/>
    </xf>
    <xf numFmtId="49" fontId="20" fillId="2" borderId="4" xfId="0" applyNumberFormat="1" applyFont="1" applyFill="1" applyBorder="1" applyAlignment="1">
      <alignment horizontal="left" vertical="center"/>
    </xf>
    <xf numFmtId="49" fontId="5" fillId="5" borderId="4" xfId="0" applyNumberFormat="1" applyFont="1" applyFill="1" applyBorder="1" applyAlignment="1">
      <alignment horizontal="left" vertical="center"/>
    </xf>
    <xf numFmtId="49" fontId="4" fillId="0" borderId="0" xfId="0" applyNumberFormat="1" applyFont="1" applyAlignment="1">
      <alignment horizontal="left" vertical="center"/>
    </xf>
    <xf numFmtId="2" fontId="21" fillId="2" borderId="4" xfId="0" applyNumberFormat="1" applyFont="1" applyFill="1" applyBorder="1" applyAlignment="1">
      <alignment horizontal="left" vertical="center"/>
    </xf>
    <xf numFmtId="2" fontId="22" fillId="2" borderId="4" xfId="0" applyNumberFormat="1" applyFont="1" applyFill="1" applyBorder="1" applyAlignment="1">
      <alignment horizontal="left" vertical="center"/>
    </xf>
    <xf numFmtId="2" fontId="8" fillId="2" borderId="4" xfId="0" applyNumberFormat="1" applyFont="1" applyFill="1" applyBorder="1" applyAlignment="1">
      <alignment horizontal="left" vertical="center"/>
    </xf>
    <xf numFmtId="2" fontId="9" fillId="2" borderId="4" xfId="0" applyNumberFormat="1" applyFont="1" applyFill="1" applyBorder="1" applyAlignment="1">
      <alignment horizontal="left" vertical="center"/>
    </xf>
    <xf numFmtId="49" fontId="4" fillId="0" borderId="4" xfId="0" applyNumberFormat="1" applyFont="1" applyBorder="1" applyAlignment="1">
      <alignment horizontal="left" vertical="center"/>
    </xf>
    <xf numFmtId="49" fontId="5" fillId="2" borderId="0" xfId="0" applyNumberFormat="1" applyFont="1" applyFill="1" applyAlignment="1">
      <alignment horizontal="left" vertical="center"/>
    </xf>
    <xf numFmtId="49" fontId="3" fillId="6" borderId="1" xfId="0" applyNumberFormat="1" applyFont="1" applyFill="1" applyBorder="1" applyAlignment="1">
      <alignment horizontal="left" vertical="center"/>
    </xf>
    <xf numFmtId="49" fontId="23" fillId="7" borderId="2" xfId="0" applyNumberFormat="1" applyFont="1" applyFill="1" applyBorder="1" applyAlignment="1">
      <alignment horizontal="center" vertical="center" wrapText="1"/>
    </xf>
    <xf numFmtId="0" fontId="24" fillId="0" borderId="4" xfId="0" applyFont="1" applyBorder="1"/>
    <xf numFmtId="0" fontId="24" fillId="0" borderId="1" xfId="0" applyFont="1" applyBorder="1" applyAlignment="1">
      <alignment horizontal="left" vertical="center" wrapText="1"/>
    </xf>
    <xf numFmtId="0" fontId="0" fillId="5" borderId="0" xfId="0" applyFill="1"/>
    <xf numFmtId="49" fontId="16" fillId="5" borderId="4" xfId="0" applyNumberFormat="1" applyFont="1" applyFill="1" applyBorder="1" applyAlignment="1">
      <alignment horizontal="left" vertical="center"/>
    </xf>
    <xf numFmtId="49" fontId="8" fillId="5" borderId="4" xfId="0" applyNumberFormat="1" applyFont="1" applyFill="1" applyBorder="1" applyAlignment="1">
      <alignment horizontal="left" vertical="center"/>
    </xf>
    <xf numFmtId="0" fontId="9" fillId="5" borderId="0" xfId="0" applyFont="1" applyFill="1"/>
    <xf numFmtId="49" fontId="17" fillId="5" borderId="4" xfId="0" applyNumberFormat="1" applyFont="1" applyFill="1" applyBorder="1" applyAlignment="1">
      <alignment horizontal="left" vertical="center"/>
    </xf>
    <xf numFmtId="49" fontId="3" fillId="5" borderId="4" xfId="0" applyNumberFormat="1" applyFont="1" applyFill="1" applyBorder="1" applyAlignment="1">
      <alignment horizontal="left" vertical="center"/>
    </xf>
    <xf numFmtId="49" fontId="18" fillId="5" borderId="4" xfId="0" applyNumberFormat="1" applyFont="1" applyFill="1" applyBorder="1" applyAlignment="1">
      <alignment horizontal="left" vertical="center"/>
    </xf>
    <xf numFmtId="49" fontId="3" fillId="5" borderId="1" xfId="0" applyNumberFormat="1" applyFont="1" applyFill="1" applyBorder="1" applyAlignment="1">
      <alignment horizontal="left" vertical="center"/>
    </xf>
    <xf numFmtId="49" fontId="20" fillId="5" borderId="4" xfId="0" applyNumberFormat="1" applyFont="1" applyFill="1" applyBorder="1" applyAlignment="1">
      <alignment horizontal="left" vertical="center"/>
    </xf>
    <xf numFmtId="2" fontId="21" fillId="5" borderId="4" xfId="0" applyNumberFormat="1" applyFont="1" applyFill="1" applyBorder="1" applyAlignment="1">
      <alignment horizontal="left" vertical="center"/>
    </xf>
    <xf numFmtId="2" fontId="8" fillId="5" borderId="4" xfId="0" applyNumberFormat="1" applyFont="1" applyFill="1" applyBorder="1" applyAlignment="1">
      <alignment horizontal="left" vertical="center"/>
    </xf>
    <xf numFmtId="2" fontId="9" fillId="5" borderId="4" xfId="0" applyNumberFormat="1" applyFont="1" applyFill="1" applyBorder="1" applyAlignment="1">
      <alignment horizontal="left" vertical="center"/>
    </xf>
    <xf numFmtId="2" fontId="22" fillId="5" borderId="4" xfId="0" applyNumberFormat="1" applyFont="1" applyFill="1" applyBorder="1" applyAlignment="1">
      <alignment horizontal="left" vertical="center"/>
    </xf>
    <xf numFmtId="49" fontId="2" fillId="5" borderId="4" xfId="0" applyNumberFormat="1" applyFont="1" applyFill="1" applyBorder="1" applyAlignment="1">
      <alignment horizontal="left" vertical="center"/>
    </xf>
    <xf numFmtId="0" fontId="2" fillId="5" borderId="0" xfId="0" applyFont="1" applyFill="1"/>
    <xf numFmtId="0" fontId="2" fillId="0" borderId="4" xfId="0" applyFont="1" applyBorder="1"/>
    <xf numFmtId="49" fontId="4" fillId="5" borderId="4" xfId="0" applyNumberFormat="1" applyFont="1" applyFill="1" applyBorder="1" applyAlignment="1">
      <alignment horizontal="left" vertical="center"/>
    </xf>
    <xf numFmtId="2" fontId="14" fillId="5" borderId="4" xfId="0" applyNumberFormat="1" applyFont="1" applyFill="1" applyBorder="1" applyAlignment="1">
      <alignment horizontal="left" vertical="center"/>
    </xf>
    <xf numFmtId="0" fontId="4" fillId="5" borderId="0" xfId="0" applyFont="1" applyFill="1"/>
    <xf numFmtId="2" fontId="4" fillId="5" borderId="4" xfId="0" applyNumberFormat="1" applyFont="1" applyFill="1" applyBorder="1" applyAlignment="1">
      <alignment horizontal="left" vertical="center"/>
    </xf>
    <xf numFmtId="49" fontId="23" fillId="3" borderId="2" xfId="0" applyNumberFormat="1" applyFont="1" applyFill="1" applyBorder="1" applyAlignment="1">
      <alignment horizontal="center" vertical="center"/>
    </xf>
    <xf numFmtId="0" fontId="24" fillId="0" borderId="0" xfId="0" applyFont="1"/>
    <xf numFmtId="0" fontId="24" fillId="0" borderId="0" xfId="0" applyFont="1" applyAlignment="1">
      <alignment horizontal="left" vertical="center" wrapText="1"/>
    </xf>
    <xf numFmtId="0" fontId="2" fillId="0" borderId="6" xfId="0" applyFont="1" applyBorder="1"/>
    <xf numFmtId="2" fontId="5" fillId="2" borderId="4" xfId="0" applyNumberFormat="1" applyFont="1" applyFill="1" applyBorder="1" applyAlignment="1">
      <alignment horizontal="left" vertical="center"/>
    </xf>
    <xf numFmtId="49" fontId="6" fillId="9" borderId="4" xfId="0" applyNumberFormat="1" applyFont="1" applyFill="1" applyBorder="1" applyAlignment="1">
      <alignment horizontal="center" vertical="center"/>
    </xf>
    <xf numFmtId="2" fontId="6" fillId="9" borderId="4" xfId="0" applyNumberFormat="1" applyFont="1" applyFill="1" applyBorder="1" applyAlignment="1">
      <alignment horizontal="center" vertical="center"/>
    </xf>
    <xf numFmtId="0" fontId="5" fillId="2" borderId="4" xfId="0" applyFont="1" applyFill="1" applyBorder="1" applyAlignment="1">
      <alignment horizontal="right" vertical="center"/>
    </xf>
    <xf numFmtId="49" fontId="5" fillId="4" borderId="4" xfId="0" applyNumberFormat="1" applyFont="1" applyFill="1" applyBorder="1" applyAlignment="1">
      <alignment horizontal="left" vertical="center"/>
    </xf>
    <xf numFmtId="0" fontId="0" fillId="0" borderId="4" xfId="0" applyBorder="1"/>
    <xf numFmtId="2" fontId="0" fillId="0" borderId="0" xfId="0" applyNumberFormat="1"/>
    <xf numFmtId="0" fontId="13" fillId="4" borderId="0" xfId="0" applyFont="1" applyFill="1" applyAlignment="1">
      <alignment horizontal="center"/>
    </xf>
    <xf numFmtId="49" fontId="3" fillId="0" borderId="6" xfId="0" applyNumberFormat="1" applyFont="1" applyBorder="1" applyAlignment="1">
      <alignment horizontal="left" vertical="center"/>
    </xf>
    <xf numFmtId="49" fontId="23" fillId="8" borderId="5" xfId="0" applyNumberFormat="1" applyFont="1" applyFill="1" applyBorder="1" applyAlignment="1">
      <alignment horizontal="center" vertical="center"/>
    </xf>
    <xf numFmtId="49" fontId="23" fillId="3" borderId="5" xfId="0" applyNumberFormat="1" applyFont="1" applyFill="1" applyBorder="1" applyAlignment="1">
      <alignment horizontal="center" vertical="center"/>
    </xf>
    <xf numFmtId="49" fontId="23" fillId="7" borderId="5" xfId="0" applyNumberFormat="1" applyFont="1" applyFill="1" applyBorder="1" applyAlignment="1">
      <alignment horizontal="center" vertical="center" wrapText="1"/>
    </xf>
    <xf numFmtId="49" fontId="10" fillId="3" borderId="5" xfId="0" applyNumberFormat="1" applyFont="1" applyFill="1" applyBorder="1" applyAlignment="1">
      <alignment horizontal="center" vertical="center"/>
    </xf>
    <xf numFmtId="49" fontId="11" fillId="3" borderId="5" xfId="0" applyNumberFormat="1" applyFont="1" applyFill="1" applyBorder="1" applyAlignment="1">
      <alignment horizontal="center" vertical="center"/>
    </xf>
    <xf numFmtId="0" fontId="24" fillId="0" borderId="6" xfId="0" applyFont="1" applyBorder="1"/>
    <xf numFmtId="2" fontId="5" fillId="2" borderId="6" xfId="0" applyNumberFormat="1" applyFont="1" applyFill="1" applyBorder="1" applyAlignment="1">
      <alignment horizontal="left" vertical="center"/>
    </xf>
    <xf numFmtId="0" fontId="2" fillId="0" borderId="5" xfId="0" applyFont="1" applyBorder="1"/>
    <xf numFmtId="49" fontId="3" fillId="0" borderId="0" xfId="0" applyNumberFormat="1" applyFont="1" applyAlignment="1">
      <alignment horizontal="left" vertical="center"/>
    </xf>
    <xf numFmtId="49" fontId="3" fillId="2" borderId="6" xfId="0" applyNumberFormat="1" applyFont="1" applyFill="1" applyBorder="1" applyAlignment="1">
      <alignment horizontal="left" vertical="center"/>
    </xf>
    <xf numFmtId="49" fontId="3" fillId="2" borderId="0" xfId="0" applyNumberFormat="1" applyFont="1" applyFill="1" applyAlignment="1">
      <alignment horizontal="left" vertical="center"/>
    </xf>
    <xf numFmtId="49" fontId="25" fillId="2" borderId="6" xfId="0" applyNumberFormat="1" applyFont="1" applyFill="1" applyBorder="1" applyAlignment="1">
      <alignment horizontal="left" vertical="center"/>
    </xf>
    <xf numFmtId="49" fontId="3" fillId="0" borderId="5" xfId="0" applyNumberFormat="1" applyFont="1" applyBorder="1" applyAlignment="1">
      <alignment horizontal="left" vertical="center"/>
    </xf>
    <xf numFmtId="49" fontId="25" fillId="2" borderId="0" xfId="0" applyNumberFormat="1" applyFont="1" applyFill="1" applyAlignment="1">
      <alignment horizontal="left" vertical="center"/>
    </xf>
    <xf numFmtId="49" fontId="14" fillId="0" borderId="6" xfId="0" applyNumberFormat="1" applyFont="1" applyBorder="1" applyAlignment="1">
      <alignment horizontal="left" vertical="center"/>
    </xf>
    <xf numFmtId="2" fontId="4" fillId="2" borderId="6" xfId="0" applyNumberFormat="1" applyFont="1" applyFill="1" applyBorder="1" applyAlignment="1">
      <alignment horizontal="left" vertical="center"/>
    </xf>
    <xf numFmtId="2" fontId="4" fillId="2" borderId="0" xfId="0" applyNumberFormat="1" applyFont="1" applyFill="1" applyAlignment="1">
      <alignment horizontal="left" vertical="center"/>
    </xf>
    <xf numFmtId="2" fontId="14" fillId="2" borderId="0" xfId="0" applyNumberFormat="1" applyFont="1" applyFill="1" applyAlignment="1">
      <alignment horizontal="left" vertical="center"/>
    </xf>
    <xf numFmtId="0" fontId="2" fillId="10" borderId="0" xfId="0" applyFont="1" applyFill="1"/>
    <xf numFmtId="0" fontId="24" fillId="0" borderId="5" xfId="0" applyFont="1" applyBorder="1" applyAlignment="1">
      <alignment horizontal="left" vertical="center" wrapText="1"/>
    </xf>
    <xf numFmtId="49" fontId="26" fillId="2" borderId="0" xfId="0" applyNumberFormat="1" applyFont="1" applyFill="1" applyAlignment="1">
      <alignment horizontal="left" vertical="center"/>
    </xf>
    <xf numFmtId="0" fontId="5" fillId="4" borderId="4" xfId="0" applyFont="1" applyFill="1" applyBorder="1" applyAlignment="1">
      <alignment horizontal="right" vertical="center"/>
    </xf>
    <xf numFmtId="0" fontId="8" fillId="2" borderId="4" xfId="0" applyFont="1" applyFill="1" applyBorder="1" applyAlignment="1">
      <alignment horizontal="right" vertical="center"/>
    </xf>
    <xf numFmtId="164" fontId="27" fillId="2" borderId="4" xfId="0" applyNumberFormat="1" applyFont="1" applyFill="1" applyBorder="1" applyAlignment="1">
      <alignment horizontal="right" vertical="center"/>
    </xf>
    <xf numFmtId="0" fontId="5" fillId="2" borderId="4" xfId="0" applyFont="1" applyFill="1" applyBorder="1" applyAlignment="1">
      <alignment horizontal="left" vertical="center"/>
    </xf>
    <xf numFmtId="165" fontId="27" fillId="2" borderId="4" xfId="0" applyNumberFormat="1" applyFont="1" applyFill="1" applyBorder="1" applyAlignment="1">
      <alignment horizontal="right" vertical="center"/>
    </xf>
    <xf numFmtId="49" fontId="23" fillId="11" borderId="5" xfId="0" applyNumberFormat="1" applyFont="1" applyFill="1" applyBorder="1" applyAlignment="1">
      <alignment horizontal="center" vertical="center"/>
    </xf>
    <xf numFmtId="0" fontId="14" fillId="0" borderId="0" xfId="0" applyFont="1"/>
    <xf numFmtId="49" fontId="6" fillId="12" borderId="4" xfId="0" applyNumberFormat="1" applyFont="1" applyFill="1" applyBorder="1" applyAlignment="1">
      <alignment horizontal="center" vertical="center"/>
    </xf>
    <xf numFmtId="49" fontId="5" fillId="13" borderId="4" xfId="0" applyNumberFormat="1" applyFont="1" applyFill="1" applyBorder="1" applyAlignment="1">
      <alignment horizontal="left" vertical="center"/>
    </xf>
    <xf numFmtId="2" fontId="5" fillId="4" borderId="4" xfId="0" applyNumberFormat="1" applyFont="1" applyFill="1" applyBorder="1" applyAlignment="1">
      <alignment horizontal="left" vertical="center"/>
    </xf>
  </cellXfs>
  <cellStyles count="5">
    <cellStyle name="Bình thường 8" xfId="2" xr:uid="{00000000-0005-0000-0000-000000000000}"/>
    <cellStyle name="Normal" xfId="0" builtinId="0"/>
    <cellStyle name="Normal 2 5" xfId="3" xr:uid="{00000000-0005-0000-0000-000004000000}"/>
    <cellStyle name="Normal 3" xfId="1" xr:uid="{00000000-0005-0000-0000-000005000000}"/>
    <cellStyle name="Normal 4" xfId="4" xr:uid="{00000000-0005-0000-0000-000006000000}"/>
  </cellStyles>
  <dxfs count="0"/>
  <tableStyles count="0" defaultTableStyle="TableStyleMedium2" defaultPivotStyle="PivotStyleLight16"/>
  <colors>
    <mruColors>
      <color rgb="FFFFFFFF"/>
      <color rgb="FF66FFFF"/>
      <color rgb="FFCCFFFF"/>
      <color rgb="FFFFFFCC"/>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PHU%20PHAT%202024\DATA\3%20site\list%20sp%202026%20-%20CLV%20c&#7853;p%20nh&#7853;t%2016.06.2026.xlsx" TargetMode="External"/><Relationship Id="rId1" Type="http://schemas.openxmlformats.org/officeDocument/2006/relationships/externalLinkPath" Target="file:///D:\PHU%20PHAT%202024\DATA\3%20site\list%20sp%202026%20-%20CLV%20c&#7853;p%20nh&#7853;t%2016.06.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sheetName val="Sheet (2)"/>
    </sheetNames>
    <sheetDataSet>
      <sheetData sheetId="0"/>
      <sheetData sheetId="1">
        <row r="3">
          <cell r="A3" t="str">
            <v>6.1211000</v>
          </cell>
          <cell r="B3" t="str">
            <v>REFINED PALM OIL</v>
          </cell>
          <cell r="C3" t="str">
            <v>DẦU CỌ TINH LUYỆN TRONG XE BỒN</v>
          </cell>
          <cell r="D3" t="str">
            <v>RPO</v>
          </cell>
          <cell r="E3">
            <v>1</v>
          </cell>
          <cell r="F3" t="str">
            <v>Chọn</v>
          </cell>
          <cell r="G3"/>
          <cell r="H3"/>
        </row>
        <row r="4">
          <cell r="A4" t="str">
            <v>6.1211004</v>
          </cell>
          <cell r="B4" t="str">
            <v>REFINED PALM OIL OUTSPEC FFA 0.5-0.7%</v>
          </cell>
          <cell r="C4" t="str">
            <v>DẦU CỌ TINH LUYỆN TRONG XE BỒN</v>
          </cell>
          <cell r="D4" t="str">
            <v>RBDPO</v>
          </cell>
          <cell r="E4">
            <v>1</v>
          </cell>
          <cell r="F4" t="str">
            <v>Bỏ chọn</v>
          </cell>
          <cell r="G4"/>
          <cell r="H4"/>
        </row>
        <row r="5">
          <cell r="A5" t="str">
            <v>6.1211048</v>
          </cell>
          <cell r="B5" t="str">
            <v>REFINED PALM OIL FFA 0.1 IV50-55</v>
          </cell>
          <cell r="C5" t="str">
            <v>DẦU CỌ TINH LUYỆN TRONG XE BỒN</v>
          </cell>
          <cell r="D5" t="str">
            <v>RBDPOFFA0.1</v>
          </cell>
          <cell r="E5">
            <v>1</v>
          </cell>
          <cell r="F5" t="str">
            <v>Bỏ chọn</v>
          </cell>
          <cell r="G5"/>
          <cell r="H5"/>
        </row>
        <row r="6">
          <cell r="A6" t="str">
            <v>6.1212000</v>
          </cell>
          <cell r="B6" t="str">
            <v>REFINED PALM OLEIN PORAM IV 56 MIN</v>
          </cell>
          <cell r="C6" t="str">
            <v>DẦU OLEIN CỌ TINH LUYỆN TRONG XE BỒN</v>
          </cell>
          <cell r="D6" t="str">
            <v>ROL PORAM</v>
          </cell>
          <cell r="E6">
            <v>1</v>
          </cell>
          <cell r="F6" t="str">
            <v>Chọn</v>
          </cell>
          <cell r="G6"/>
          <cell r="H6"/>
        </row>
        <row r="7">
          <cell r="A7" t="str">
            <v>6.1212010</v>
          </cell>
          <cell r="B7" t="str">
            <v>REFINED SUPER OLEIN IV 61-62</v>
          </cell>
          <cell r="C7" t="str">
            <v>DẦU OLEIN CỌ TINH LUYỆN TRONG XE BỒN</v>
          </cell>
          <cell r="D7" t="str">
            <v>ROL1005</v>
          </cell>
          <cell r="E7">
            <v>1</v>
          </cell>
          <cell r="F7" t="str">
            <v>Chọn</v>
          </cell>
          <cell r="G7"/>
          <cell r="H7"/>
        </row>
        <row r="8">
          <cell r="A8" t="str">
            <v>6.1212011</v>
          </cell>
          <cell r="B8" t="str">
            <v>REFINED SUPER OLEIN IV 64</v>
          </cell>
          <cell r="C8" t="str">
            <v>DẦU CỌ OLEIN TINH LUYỆN TRONG XE BỒN</v>
          </cell>
          <cell r="D8" t="str">
            <v>ROS IV64 MAX</v>
          </cell>
          <cell r="E8">
            <v>1</v>
          </cell>
          <cell r="F8" t="str">
            <v>Bỏ chọn</v>
          </cell>
          <cell r="G8"/>
          <cell r="H8"/>
        </row>
        <row r="9">
          <cell r="A9" t="str">
            <v>6.1212012</v>
          </cell>
          <cell r="B9" t="str">
            <v>REFINED PALM OLEIN IV 58-61</v>
          </cell>
          <cell r="C9" t="str">
            <v>DẦU OLEIN CỌ TINH LUYỆN TRONG XE BỒN</v>
          </cell>
          <cell r="D9" t="str">
            <v>ROL1008REF</v>
          </cell>
          <cell r="E9">
            <v>1</v>
          </cell>
          <cell r="F9" t="str">
            <v>Chọn</v>
          </cell>
          <cell r="G9"/>
          <cell r="H9"/>
        </row>
        <row r="10">
          <cell r="A10" t="str">
            <v>6.1212014</v>
          </cell>
          <cell r="B10" t="str">
            <v>REFINED PALM OLEIN CP 8</v>
          </cell>
          <cell r="C10" t="str">
            <v>DẦU OLEIN CỌ TINH LUYỆN TRONG XE BỒN</v>
          </cell>
          <cell r="D10" t="str">
            <v>ROL1008</v>
          </cell>
          <cell r="E10">
            <v>1</v>
          </cell>
          <cell r="F10" t="str">
            <v>Chọn</v>
          </cell>
          <cell r="G10"/>
          <cell r="H10"/>
        </row>
        <row r="11">
          <cell r="A11" t="str">
            <v>6.1212033</v>
          </cell>
          <cell r="B11" t="str">
            <v>RBD OLEIN IV 60 MIN, C. TEST 1.5 HRS MIN</v>
          </cell>
          <cell r="C11" t="str">
            <v>DẦU OLEIN CỌ TINH LUYỆN TRONG XE BỒN</v>
          </cell>
          <cell r="D11" t="str">
            <v>ROL1005IP</v>
          </cell>
          <cell r="E11">
            <v>1</v>
          </cell>
          <cell r="F11" t="str">
            <v>Bỏ chọn</v>
          </cell>
          <cell r="G11"/>
          <cell r="H11"/>
        </row>
        <row r="12">
          <cell r="A12" t="str">
            <v>6.1212037</v>
          </cell>
          <cell r="B12" t="str">
            <v>REFINED PALM OLEIN CP 5 IV 60 MIN</v>
          </cell>
          <cell r="C12" t="str">
            <v>DẦU OLEIN CỌ TINH LUYỆN TRONG XE BỒN</v>
          </cell>
          <cell r="D12" t="str">
            <v>ROL1005REF</v>
          </cell>
          <cell r="E12">
            <v>1</v>
          </cell>
          <cell r="F12" t="str">
            <v>Bỏ chọn</v>
          </cell>
          <cell r="G12"/>
          <cell r="H12"/>
        </row>
        <row r="13">
          <cell r="A13" t="str">
            <v>6.1212055</v>
          </cell>
          <cell r="B13" t="str">
            <v>ROL IV 58 MIN CP 7</v>
          </cell>
          <cell r="C13" t="str">
            <v>DẦU OLEIN CỌ TINH LUYỆN TRONG XE BỒN</v>
          </cell>
          <cell r="D13" t="str">
            <v>ROL1008 IP</v>
          </cell>
          <cell r="E13">
            <v>1</v>
          </cell>
          <cell r="F13" t="str">
            <v>Chọn</v>
          </cell>
          <cell r="G13"/>
          <cell r="H13"/>
        </row>
        <row r="14">
          <cell r="A14" t="str">
            <v>6.1212058</v>
          </cell>
          <cell r="B14" t="str">
            <v>RBD OLEIN CP.6 MAX, IV 59-60</v>
          </cell>
          <cell r="C14" t="str">
            <v>DẦU OLEIN CỌ TINH LUYỆN TRONG XE BỒN</v>
          </cell>
          <cell r="D14" t="str">
            <v>ROL1006</v>
          </cell>
          <cell r="E14">
            <v>1</v>
          </cell>
          <cell r="F14" t="str">
            <v>Bỏ chọn</v>
          </cell>
          <cell r="G14"/>
          <cell r="H14"/>
        </row>
        <row r="15">
          <cell r="A15" t="str">
            <v>6.1212072</v>
          </cell>
          <cell r="B15" t="str">
            <v>REFINED PALM OLEIN IV 56 CP 5</v>
          </cell>
          <cell r="C15" t="str">
            <v>DẦU OLEIN CỌ TINH LUYỆN TRONG XE BỒN</v>
          </cell>
          <cell r="D15" t="str">
            <v>ROL1010IP</v>
          </cell>
          <cell r="E15">
            <v>1</v>
          </cell>
          <cell r="F15" t="str">
            <v>Chọn</v>
          </cell>
          <cell r="G15"/>
          <cell r="H15"/>
        </row>
        <row r="16">
          <cell r="A16" t="str">
            <v>6.1213000</v>
          </cell>
          <cell r="B16" t="str">
            <v>REFINED PALM STEARIN PORAM SPEC</v>
          </cell>
          <cell r="C16" t="str">
            <v>DẦU STEARIN CỌ TINH LUYỆN TRONG XE BỒN</v>
          </cell>
          <cell r="D16" t="str">
            <v>RST1</v>
          </cell>
          <cell r="E16">
            <v>1</v>
          </cell>
          <cell r="F16" t="str">
            <v>Chọn</v>
          </cell>
          <cell r="G16"/>
          <cell r="H16"/>
        </row>
        <row r="17">
          <cell r="A17" t="str">
            <v>6.1213011</v>
          </cell>
          <cell r="B17" t="str">
            <v>REFINED PALM STEARIN OUT SPEC FFA &gt; 0.2%</v>
          </cell>
          <cell r="C17" t="str">
            <v>DẦU STEARIN CỌ TINH LUYỆN TRONG XE BỒN</v>
          </cell>
          <cell r="D17" t="str">
            <v>RST2</v>
          </cell>
          <cell r="E17">
            <v>1</v>
          </cell>
          <cell r="F17" t="str">
            <v>Bỏ chọn</v>
          </cell>
          <cell r="G17"/>
          <cell r="H17"/>
        </row>
        <row r="18">
          <cell r="A18" t="str">
            <v>6.1213012</v>
          </cell>
          <cell r="B18" t="str">
            <v>SOFT STEARIN SMP 44-50</v>
          </cell>
          <cell r="C18" t="str">
            <v>DẦU STEARIN CỌ TINH LUYỆN DẠNG XÁ</v>
          </cell>
          <cell r="D18" t="str">
            <v>RSTMP44-50IP</v>
          </cell>
          <cell r="E18">
            <v>1</v>
          </cell>
          <cell r="F18" t="str">
            <v>Bỏ chọn</v>
          </cell>
          <cell r="G18"/>
          <cell r="H18"/>
        </row>
        <row r="19">
          <cell r="A19" t="str">
            <v>6.1213066</v>
          </cell>
          <cell r="B19" t="str">
            <v>REFINED PALM STEARIN FFA0.15</v>
          </cell>
          <cell r="C19" t="str">
            <v>DẦU STEARIN CỌ TINH LUYỆN TRONG XE BỒN</v>
          </cell>
          <cell r="D19" t="str">
            <v>RSTMP44-50REF</v>
          </cell>
          <cell r="E19">
            <v>1</v>
          </cell>
          <cell r="F19" t="str">
            <v>Chọn</v>
          </cell>
          <cell r="G19"/>
          <cell r="H19"/>
        </row>
        <row r="20">
          <cell r="A20" t="str">
            <v>6.1213208</v>
          </cell>
          <cell r="B20" t="str">
            <v>RHPS MP 59, IV 0.63</v>
          </cell>
          <cell r="C20" t="str">
            <v>DẦU STEARIN CỌ HYDRO HÓA, TINH CHẾ</v>
          </cell>
          <cell r="D20" t="str">
            <v>RHPS</v>
          </cell>
          <cell r="E20">
            <v>1</v>
          </cell>
          <cell r="F20" t="str">
            <v>Chọn</v>
          </cell>
          <cell r="G20"/>
          <cell r="H20"/>
        </row>
        <row r="21">
          <cell r="A21" t="str">
            <v>6.1221000</v>
          </cell>
          <cell r="B21" t="str">
            <v>REFINED PALM KERNEL OIL</v>
          </cell>
          <cell r="C21" t="str">
            <v>DẦU NHÂN CỌ TINH LUYỆN TRONG THÙNG PHUY MỚI 190 KG</v>
          </cell>
          <cell r="D21" t="str">
            <v>RPK OIL</v>
          </cell>
          <cell r="E21">
            <v>1</v>
          </cell>
          <cell r="F21" t="str">
            <v>Chọn</v>
          </cell>
          <cell r="G21"/>
          <cell r="H21"/>
        </row>
        <row r="22">
          <cell r="A22" t="str">
            <v>6.1222000</v>
          </cell>
          <cell r="B22" t="str">
            <v>REFINED PALM KERNEL OLEIN</v>
          </cell>
          <cell r="C22" t="str">
            <v>DẦU OLEIN NHÂN CỌ TINH LUYỆN</v>
          </cell>
          <cell r="D22" t="str">
            <v>RPK OLEIN</v>
          </cell>
          <cell r="E22">
            <v>1</v>
          </cell>
          <cell r="F22" t="str">
            <v>Bỏ chọn</v>
          </cell>
          <cell r="G22"/>
          <cell r="H22"/>
        </row>
        <row r="23">
          <cell r="A23" t="str">
            <v>6.1222115</v>
          </cell>
          <cell r="B23" t="str">
            <v>HPKOL IV 5MAX SMPT 38-42</v>
          </cell>
          <cell r="C23" t="str">
            <v>DẦU OLEIN NHÂN CỌ ĐÃ ĐƯỢC TINH LUYỆN VÀ HYDRO HÓA</v>
          </cell>
          <cell r="D23" t="str">
            <v>HPKOL IV5MAX 38-42</v>
          </cell>
          <cell r="E23">
            <v>1</v>
          </cell>
          <cell r="F23" t="str">
            <v>Bỏ chọn</v>
          </cell>
          <cell r="G23"/>
          <cell r="H23"/>
        </row>
        <row r="24">
          <cell r="A24" t="str">
            <v>6.1231000</v>
          </cell>
          <cell r="B24" t="str">
            <v>REFINED COCONUT OIL</v>
          </cell>
          <cell r="C24" t="str">
            <v>DẦU DỪA TINH LUYỆN TRONG XE BỒN</v>
          </cell>
          <cell r="D24" t="str">
            <v>RCCN</v>
          </cell>
          <cell r="E24">
            <v>1</v>
          </cell>
          <cell r="F24" t="str">
            <v>Bỏ chọn</v>
          </cell>
          <cell r="G24"/>
          <cell r="H24"/>
        </row>
        <row r="25">
          <cell r="A25" t="str">
            <v>6.1231200</v>
          </cell>
          <cell r="B25" t="str">
            <v>REFINED HYDRO COCONUT OIL</v>
          </cell>
          <cell r="C25" t="str">
            <v>DẦU DỪA TINH LUYỆN VÀ HYDRO</v>
          </cell>
          <cell r="D25" t="str">
            <v>RHCNO</v>
          </cell>
          <cell r="E25">
            <v>1</v>
          </cell>
          <cell r="F25" t="str">
            <v>Bỏ chọn</v>
          </cell>
          <cell r="G25"/>
          <cell r="H25"/>
        </row>
        <row r="26">
          <cell r="A26" t="str">
            <v>6.1322101</v>
          </cell>
          <cell r="B26" t="str">
            <v>REFINED IE OLEIN</v>
          </cell>
          <cell r="C26" t="str">
            <v>DẦU CỌ TINH LUYỆN (NHẬP KHẨU/XUẤT KHẨU)</v>
          </cell>
          <cell r="D26" t="str">
            <v>REFIEOL</v>
          </cell>
          <cell r="E26">
            <v>1</v>
          </cell>
          <cell r="F26" t="str">
            <v>Bỏ chọn</v>
          </cell>
          <cell r="G26"/>
          <cell r="H26"/>
        </row>
        <row r="27">
          <cell r="A27" t="str">
            <v>6.1411000</v>
          </cell>
          <cell r="B27" t="str">
            <v>PALM FATTY ACID DISTILLATE</v>
          </cell>
          <cell r="C27" t="str">
            <v>DẦU AXIT BÉO CHƯNG CẤT TRONG XE BỒN</v>
          </cell>
          <cell r="D27" t="str">
            <v>PFAD</v>
          </cell>
          <cell r="E27">
            <v>1</v>
          </cell>
          <cell r="F27" t="str">
            <v>Chọn</v>
          </cell>
          <cell r="G27"/>
          <cell r="H27"/>
        </row>
        <row r="28">
          <cell r="A28" t="str">
            <v>6.1712305</v>
          </cell>
          <cell r="B28" t="str">
            <v>NEUROMEGA 100% SALMON OIL</v>
          </cell>
          <cell r="C28" t="str">
            <v>DẦU CÁ HỒI 100% NEUROMEGA</v>
          </cell>
          <cell r="D28" t="str">
            <v>SALMON OIL</v>
          </cell>
          <cell r="E28">
            <v>1</v>
          </cell>
          <cell r="F28" t="str">
            <v>Bỏ chọn</v>
          </cell>
          <cell r="G28"/>
          <cell r="H28"/>
        </row>
        <row r="29">
          <cell r="A29" t="str">
            <v>6.4510100</v>
          </cell>
          <cell r="B29" t="str">
            <v>CRUDE SOYA BEAN OIL</v>
          </cell>
          <cell r="C29" t="str">
            <v>DẦU ĐẬU NÀNH THÔ</v>
          </cell>
          <cell r="D29" t="str">
            <v>CSBO</v>
          </cell>
          <cell r="E29">
            <v>1</v>
          </cell>
          <cell r="F29" t="str">
            <v>Bỏ chọn</v>
          </cell>
          <cell r="G29"/>
          <cell r="H29"/>
        </row>
        <row r="30">
          <cell r="A30" t="str">
            <v>6.4510200</v>
          </cell>
          <cell r="B30" t="str">
            <v>CRUDE DEGUMMED SOYA BEAN OIL</v>
          </cell>
          <cell r="C30" t="str">
            <v>DẦU ĐẬU NÀNH THÔ TRONG XE BỒN</v>
          </cell>
          <cell r="D30" t="str">
            <v>DSBO</v>
          </cell>
          <cell r="E30">
            <v>1</v>
          </cell>
          <cell r="F30" t="str">
            <v>Bỏ chọn</v>
          </cell>
          <cell r="G30"/>
          <cell r="H30"/>
        </row>
        <row r="31">
          <cell r="A31" t="str">
            <v>6.4510500</v>
          </cell>
          <cell r="B31" t="str">
            <v>NEUTRALISED SOYA BEAN OIL</v>
          </cell>
          <cell r="C31" t="str">
            <v>DẦU ĐẬU NÀNH TRUNG HÒA TRONG XE BỒN</v>
          </cell>
          <cell r="D31" t="str">
            <v>NSBO</v>
          </cell>
          <cell r="E31">
            <v>1</v>
          </cell>
          <cell r="F31" t="str">
            <v>Chọn</v>
          </cell>
          <cell r="G31"/>
          <cell r="H31"/>
        </row>
        <row r="32">
          <cell r="A32" t="str">
            <v>6.4510700</v>
          </cell>
          <cell r="B32" t="str">
            <v>NBD SOYA BEAN OIL</v>
          </cell>
          <cell r="C32" t="str">
            <v>DẦU ĐẬU NÀNH TINH LUYỆN TRONG XE BỒN</v>
          </cell>
          <cell r="D32" t="str">
            <v>NBDSBO</v>
          </cell>
          <cell r="E32">
            <v>1</v>
          </cell>
          <cell r="F32" t="str">
            <v>Chọn</v>
          </cell>
          <cell r="G32"/>
          <cell r="H32"/>
        </row>
        <row r="33">
          <cell r="A33" t="str">
            <v>6.4510800</v>
          </cell>
          <cell r="B33" t="str">
            <v>SOYA BEAN FATTY ACID</v>
          </cell>
          <cell r="C33" t="str">
            <v>DẦU AXIT BÉO ĐẬU NÀNH ĐÃ CHƯNG CẤT</v>
          </cell>
          <cell r="D33" t="str">
            <v>SBFAD</v>
          </cell>
          <cell r="E33">
            <v>1</v>
          </cell>
          <cell r="F33" t="str">
            <v>Bỏ chọn</v>
          </cell>
          <cell r="G33"/>
          <cell r="H33"/>
        </row>
        <row r="34">
          <cell r="A34" t="str">
            <v>6.4511000</v>
          </cell>
          <cell r="B34" t="str">
            <v>SOYABEAN OIL GUM</v>
          </cell>
          <cell r="C34" t="str">
            <v>KEO DẦU ĐẬU NÀNH</v>
          </cell>
          <cell r="D34" t="str">
            <v>SBO GUM</v>
          </cell>
          <cell r="E34">
            <v>1</v>
          </cell>
          <cell r="F34" t="str">
            <v>Bỏ chọn</v>
          </cell>
          <cell r="G34"/>
          <cell r="H34"/>
        </row>
        <row r="35">
          <cell r="A35" t="str">
            <v>6.4511700</v>
          </cell>
          <cell r="B35" t="str">
            <v>SOYA BEAN ACID OIL (SBAO)</v>
          </cell>
          <cell r="C35" t="str">
            <v>DẦU AXIT</v>
          </cell>
          <cell r="D35" t="str">
            <v>SBAO</v>
          </cell>
          <cell r="E35">
            <v>1</v>
          </cell>
          <cell r="F35" t="str">
            <v>Chọn</v>
          </cell>
          <cell r="G35"/>
          <cell r="H35"/>
        </row>
        <row r="36">
          <cell r="A36" t="str">
            <v>6.4520500</v>
          </cell>
          <cell r="B36" t="str">
            <v>CENTRIFUGED NEUTRALIZED RAPESEED OIL</v>
          </cell>
          <cell r="C36" t="str">
            <v>DẦU HẠT CẢI TRUNG HÒA</v>
          </cell>
          <cell r="D36" t="str">
            <v>NRSO</v>
          </cell>
          <cell r="E36">
            <v>1</v>
          </cell>
          <cell r="F36" t="str">
            <v>Bỏ chọn</v>
          </cell>
          <cell r="G36"/>
          <cell r="H36"/>
        </row>
        <row r="37">
          <cell r="A37" t="str">
            <v>6.4522000</v>
          </cell>
          <cell r="B37" t="str">
            <v>REFINED RAPESEED OIL</v>
          </cell>
          <cell r="C37" t="str">
            <v>DẦU HẠT CẢI TINH CHẾ</v>
          </cell>
          <cell r="D37" t="str">
            <v>RRSO</v>
          </cell>
          <cell r="E37">
            <v>1</v>
          </cell>
          <cell r="F37" t="str">
            <v>Bỏ chọn</v>
          </cell>
          <cell r="G37"/>
          <cell r="H37"/>
        </row>
        <row r="38">
          <cell r="A38" t="str">
            <v>6.4530100</v>
          </cell>
          <cell r="B38" t="str">
            <v>CRUDE GROUNDNUT OIL &lt;CGNO&gt;</v>
          </cell>
          <cell r="C38" t="str">
            <v>DẦU ĐẬU PHỘNG THÔ TRONG THÙNG PHUY 190 KG</v>
          </cell>
          <cell r="D38" t="str">
            <v>CGNO</v>
          </cell>
          <cell r="E38">
            <v>1</v>
          </cell>
          <cell r="F38" t="str">
            <v>Bỏ chọn</v>
          </cell>
          <cell r="G38"/>
          <cell r="H38"/>
        </row>
        <row r="39">
          <cell r="A39" t="str">
            <v>6.4580500</v>
          </cell>
          <cell r="B39" t="str">
            <v>CENTRIFUGED NEUTRALIZED SUNFLOWER OIL</v>
          </cell>
          <cell r="C39" t="str">
            <v>DẦU HƯỚNG DƯƠNG TRUNG HÒA</v>
          </cell>
          <cell r="D39" t="str">
            <v>NSFO</v>
          </cell>
          <cell r="E39">
            <v>1</v>
          </cell>
          <cell r="F39" t="str">
            <v>Bỏ chọn</v>
          </cell>
          <cell r="G39"/>
          <cell r="H39"/>
        </row>
        <row r="40">
          <cell r="A40" t="str">
            <v>6.4582000</v>
          </cell>
          <cell r="B40" t="str">
            <v>RBD SUNFLOWER OIL</v>
          </cell>
          <cell r="C40" t="str">
            <v>DẦU HƯỚNG DƯƠNG TINH LUYỆN</v>
          </cell>
          <cell r="D40" t="str">
            <v>RBDSFO</v>
          </cell>
          <cell r="E40">
            <v>1</v>
          </cell>
          <cell r="F40" t="str">
            <v>Chọn</v>
          </cell>
          <cell r="G40"/>
          <cell r="H40"/>
        </row>
        <row r="41">
          <cell r="A41" t="str">
            <v>6.4600100</v>
          </cell>
          <cell r="B41" t="str">
            <v>CRUDE RICE BRAN OIL</v>
          </cell>
          <cell r="C41" t="str">
            <v>DẦU CÁM GẠO THÔ</v>
          </cell>
          <cell r="D41" t="str">
            <v>CRBO</v>
          </cell>
          <cell r="E41">
            <v>1</v>
          </cell>
          <cell r="F41" t="str">
            <v>Bỏ chọn</v>
          </cell>
          <cell r="G41"/>
          <cell r="H41"/>
        </row>
        <row r="42">
          <cell r="A42" t="str">
            <v>6.4600200</v>
          </cell>
          <cell r="B42" t="str">
            <v>DEGUMMED RICE BRAN OIL</v>
          </cell>
          <cell r="C42" t="str">
            <v>DẦU CÁM GẠO ĐÃ KHỬ KEO</v>
          </cell>
          <cell r="D42" t="str">
            <v>DGRBO</v>
          </cell>
          <cell r="E42">
            <v>1</v>
          </cell>
          <cell r="F42" t="str">
            <v>Bỏ chọn</v>
          </cell>
          <cell r="G42"/>
          <cell r="H42"/>
        </row>
        <row r="43">
          <cell r="A43" t="str">
            <v>6.4600500</v>
          </cell>
          <cell r="B43" t="str">
            <v>NEUTRALIZE RICE BRAN OIL</v>
          </cell>
          <cell r="C43" t="str">
            <v>DGDW NRBO</v>
          </cell>
          <cell r="D43" t="str">
            <v>DGDWNRBO</v>
          </cell>
          <cell r="E43">
            <v>1</v>
          </cell>
          <cell r="F43" t="str">
            <v>Bỏ chọn</v>
          </cell>
          <cell r="G43"/>
          <cell r="H43"/>
        </row>
        <row r="44">
          <cell r="A44" t="str">
            <v>6.4600600</v>
          </cell>
          <cell r="B44" t="str">
            <v>NEUTRALIZE BLEACHED RICE BRAN OIL</v>
          </cell>
          <cell r="C44" t="str">
            <v>SEMI-REFINED RICE BRAN OIL</v>
          </cell>
          <cell r="D44" t="str">
            <v>DGDWNBRBO</v>
          </cell>
          <cell r="E44">
            <v>1</v>
          </cell>
          <cell r="F44" t="str">
            <v>Bỏ chọn</v>
          </cell>
          <cell r="G44"/>
          <cell r="H44"/>
        </row>
        <row r="45">
          <cell r="A45" t="str">
            <v>6.4601400</v>
          </cell>
          <cell r="B45" t="str">
            <v>DEG DEW DEACIDIFIED RICE BRAN OIL</v>
          </cell>
          <cell r="C45" t="str">
            <v>DẦU CÁM GẠO ĐÃ KHỬ A-XÍT, KHỬ SÁP VÀ KHỬ</v>
          </cell>
          <cell r="D45" t="str">
            <v>DGDWDARBO</v>
          </cell>
          <cell r="E45">
            <v>1</v>
          </cell>
          <cell r="F45" t="str">
            <v>Bỏ chọn</v>
          </cell>
          <cell r="G45"/>
          <cell r="H45"/>
        </row>
        <row r="46">
          <cell r="A46" t="str">
            <v>6.4601700</v>
          </cell>
          <cell r="B46" t="str">
            <v>RICE BRAN ACID OIL</v>
          </cell>
          <cell r="C46" t="str">
            <v>DẦU CÁM GẠO A-XÍT</v>
          </cell>
          <cell r="D46" t="str">
            <v>RBAO</v>
          </cell>
          <cell r="E46">
            <v>1</v>
          </cell>
          <cell r="F46" t="str">
            <v>Bỏ chọn</v>
          </cell>
          <cell r="G46"/>
          <cell r="H46"/>
        </row>
        <row r="47">
          <cell r="A47" t="str">
            <v>6.4602000</v>
          </cell>
          <cell r="B47" t="str">
            <v>RBD RICE BRAN OIL</v>
          </cell>
          <cell r="C47" t="str">
            <v>DẦU GẠO LỨT TINH LUYỆN TRONG XE BỒN</v>
          </cell>
          <cell r="D47" t="str">
            <v>DGDWDANBDRBO</v>
          </cell>
          <cell r="E47">
            <v>1</v>
          </cell>
          <cell r="F47" t="str">
            <v>Chọn</v>
          </cell>
          <cell r="G47"/>
          <cell r="H47"/>
        </row>
        <row r="48">
          <cell r="A48" t="str">
            <v>6.4604900</v>
          </cell>
          <cell r="B48" t="str">
            <v>DEG DEW DEACIDIFIED NEUTRA RICE BRAN OIL</v>
          </cell>
          <cell r="C48" t="str">
            <v>DẦU CÁM GẠO ĐÃ TRUNG HÒA, KHỬ A-XÍT, KHỬ MÙI</v>
          </cell>
          <cell r="D48" t="str">
            <v>DGDWDANRBO</v>
          </cell>
          <cell r="E48">
            <v>1</v>
          </cell>
          <cell r="F48" t="str">
            <v>Bỏ chọn</v>
          </cell>
          <cell r="G48"/>
          <cell r="H48"/>
        </row>
        <row r="49">
          <cell r="A49" t="str">
            <v>7.101007701400</v>
          </cell>
          <cell r="B49" t="str">
            <v>ROL CP:8 IN DRUM @ 190KG</v>
          </cell>
          <cell r="C49" t="str">
            <v>DẦU OLEIN CỌ TINH LUYỆN ĐÓNG, THÙNG PHUY 190KG</v>
          </cell>
          <cell r="D49" t="str">
            <v>OL1008@190KGDRM</v>
          </cell>
          <cell r="E49">
            <v>190</v>
          </cell>
          <cell r="F49" t="str">
            <v>Bỏ chọn</v>
          </cell>
          <cell r="G49"/>
          <cell r="H49"/>
        </row>
        <row r="50">
          <cell r="A50" t="str">
            <v>7.101007702700</v>
          </cell>
          <cell r="B50" t="str">
            <v>ROL CP:8 IN SECOND DRUM @ 190KG</v>
          </cell>
          <cell r="C50" t="str">
            <v>DẦU OLEIN CỌ TINH LUYỆN ĐÓNG, THÙNG PHUY CŨ 190KG</v>
          </cell>
          <cell r="D50" t="str">
            <v>OL1008@190KGUSEDRM</v>
          </cell>
          <cell r="E50">
            <v>190</v>
          </cell>
          <cell r="F50" t="str">
            <v>Bỏ chọn</v>
          </cell>
          <cell r="G50"/>
          <cell r="H50"/>
        </row>
        <row r="51">
          <cell r="A51" t="str">
            <v>7.101011701400</v>
          </cell>
          <cell r="B51" t="str">
            <v>RPO NORMAL  IN DRUM @ 190KG</v>
          </cell>
          <cell r="C51" t="str">
            <v>DẦU CỌ TINH LUYỆN ĐÓNG, THÙNG PHUY 190KG</v>
          </cell>
          <cell r="D51" t="str">
            <v>RPO@190KGDRM</v>
          </cell>
          <cell r="E51">
            <v>190</v>
          </cell>
          <cell r="F51" t="str">
            <v>Bỏ chọn</v>
          </cell>
          <cell r="G51"/>
          <cell r="H51"/>
        </row>
        <row r="52">
          <cell r="A52" t="str">
            <v>7.101011702700</v>
          </cell>
          <cell r="B52" t="str">
            <v>RPO NORMAL  IN SECOND DRUM @ 190KG</v>
          </cell>
          <cell r="C52" t="str">
            <v>DẦU CỌ TINH LUYỆN ĐÓNG, THÙNG PHUY CŨ 190KG</v>
          </cell>
          <cell r="D52" t="str">
            <v>RPO@190KGUSEDRM</v>
          </cell>
          <cell r="E52">
            <v>190</v>
          </cell>
          <cell r="F52" t="str">
            <v>Bỏ chọn</v>
          </cell>
          <cell r="G52"/>
          <cell r="H52"/>
        </row>
        <row r="53">
          <cell r="A53" t="str">
            <v>7.10107159120002</v>
          </cell>
          <cell r="B53" t="str">
            <v>CAILAN RBD OLEIN 1008  IN JRG @ 25KG</v>
          </cell>
          <cell r="C53" t="str">
            <v>DẦU OLEIN CỌ TINH LUYỆN HIỆU CÁI LÂN TRONG CAN 25KG</v>
          </cell>
          <cell r="D53" t="str">
            <v>CAOL1008@18KG</v>
          </cell>
          <cell r="E53">
            <v>25</v>
          </cell>
          <cell r="F53" t="str">
            <v>Bỏ chọn</v>
          </cell>
          <cell r="G53"/>
          <cell r="H53"/>
        </row>
        <row r="54">
          <cell r="A54" t="str">
            <v>7.10107176130002</v>
          </cell>
          <cell r="B54" t="str">
            <v>CAILAN RBD OLEIN 1008  IN TIN @17KG</v>
          </cell>
          <cell r="C54" t="str">
            <v>DẦU ĂN HIỆU CAI LAN TRONG THÙNG THIẾC 17KG</v>
          </cell>
          <cell r="D54" t="str">
            <v>COCLOL1008@17KGTIN</v>
          </cell>
          <cell r="E54">
            <v>17</v>
          </cell>
          <cell r="F54" t="str">
            <v>Bỏ chọn</v>
          </cell>
          <cell r="G54"/>
          <cell r="H54"/>
        </row>
        <row r="55">
          <cell r="A55" t="str">
            <v>7.10108957090102</v>
          </cell>
          <cell r="B55" t="str">
            <v>SATELLITE-OL1008 BIB @18KG</v>
          </cell>
          <cell r="C55" t="str">
            <v>DẦU OLEIN TINH LUYỆN HIỆU SATELLITE TRONG TÚI BÓNG 18KG</v>
          </cell>
          <cell r="D55" t="str">
            <v>COSTOL1008@18KGBIB</v>
          </cell>
          <cell r="E55">
            <v>18</v>
          </cell>
          <cell r="F55" t="str">
            <v>Chọn</v>
          </cell>
          <cell r="G55"/>
          <cell r="H55"/>
        </row>
        <row r="56">
          <cell r="A56" t="str">
            <v>7.10108957090104</v>
          </cell>
          <cell r="B56" t="str">
            <v>SATELLITE RBD PALM OIL IN BIB @18KG</v>
          </cell>
          <cell r="C56" t="str">
            <v>DẦU CỌ TINH LUYỆN HIỆU SATELLITE TRONG TÚI BÓNG 18KG</v>
          </cell>
          <cell r="D56" t="str">
            <v>CO-STRBDPO@18KGBIB</v>
          </cell>
          <cell r="E56">
            <v>18</v>
          </cell>
          <cell r="F56" t="str">
            <v>Chọn</v>
          </cell>
          <cell r="G56"/>
          <cell r="H56"/>
        </row>
        <row r="57">
          <cell r="A57" t="str">
            <v>7.10108957090105</v>
          </cell>
          <cell r="B57" t="str">
            <v>SATELLITE RBD PALM STEARIN BIB@18 KG</v>
          </cell>
          <cell r="C57" t="str">
            <v>STEARINE HIỆU SATELLITE TRONG THÙNG BIB 18KG</v>
          </cell>
          <cell r="D57" t="str">
            <v>ST-RBDST@18KGBIB</v>
          </cell>
          <cell r="E57">
            <v>18</v>
          </cell>
          <cell r="F57" t="str">
            <v>Bỏ chọn</v>
          </cell>
          <cell r="G57"/>
          <cell r="H57"/>
        </row>
        <row r="58">
          <cell r="A58" t="str">
            <v>7.101089570901410</v>
          </cell>
          <cell r="B58" t="str">
            <v>SATELLITE RPS IV 33-37 IN BIB@18KG</v>
          </cell>
          <cell r="C58" t="str">
            <v>DẦU STEARIN CỌ TINH LUYỆN TRONG THÙNG BIB 18KG</v>
          </cell>
          <cell r="D58" t="str">
            <v>SATSTBIB@18KG37</v>
          </cell>
          <cell r="E58">
            <v>18</v>
          </cell>
          <cell r="F58" t="str">
            <v>Bỏ chọn</v>
          </cell>
          <cell r="G58"/>
          <cell r="H58"/>
        </row>
        <row r="59">
          <cell r="A59" t="str">
            <v>7.101089570901500</v>
          </cell>
          <cell r="B59" t="str">
            <v>SATELLITE ROL MP20-22 IN BIB@18KG</v>
          </cell>
          <cell r="C59" t="str">
            <v>DẦU OLEIN CỌ TINH LUYỆN NHÃN HIỆU SATELL</v>
          </cell>
          <cell r="D59" t="str">
            <v>SATOLBIB@18KG22</v>
          </cell>
          <cell r="E59">
            <v>18</v>
          </cell>
          <cell r="F59" t="str">
            <v>Bỏ chọn</v>
          </cell>
          <cell r="G59"/>
          <cell r="H59"/>
        </row>
        <row r="60">
          <cell r="A60" t="str">
            <v>7.10108957120002</v>
          </cell>
          <cell r="B60" t="str">
            <v>SATELLITE-OL1008 JRG @18KG</v>
          </cell>
          <cell r="C60" t="str">
            <v>DẦU OLEIN CỌ TINH LUYỆN HIỆU SATELLITE, CAN NHỰA 18KG</v>
          </cell>
          <cell r="D60" t="str">
            <v>COSTOL1008@18KGJRG</v>
          </cell>
          <cell r="E60">
            <v>18</v>
          </cell>
          <cell r="F60" t="str">
            <v>Bỏ chọn</v>
          </cell>
          <cell r="G60"/>
          <cell r="H60"/>
        </row>
        <row r="61">
          <cell r="A61" t="str">
            <v>7.10108957120004</v>
          </cell>
          <cell r="B61" t="str">
            <v>SATELLITE-RBDPO JRG @18KG</v>
          </cell>
          <cell r="C61" t="str">
            <v>DẦU CỌ TINH LUYỆN HIỆU SATELLITE, CAN NHỰA 18KG</v>
          </cell>
          <cell r="D61" t="str">
            <v>CO-STRBDPO@18KGJRG</v>
          </cell>
          <cell r="E61">
            <v>18</v>
          </cell>
          <cell r="F61" t="str">
            <v>Bỏ chọn</v>
          </cell>
          <cell r="G61"/>
          <cell r="H61"/>
        </row>
        <row r="62">
          <cell r="A62" t="str">
            <v>7.10108957130001</v>
          </cell>
          <cell r="B62" t="str">
            <v>SATELLITE-OL1005 TIN @18KG</v>
          </cell>
          <cell r="C62" t="str">
            <v>DẦU TRÁNG KHUÔN HIỆU SATELLITE 18KG</v>
          </cell>
          <cell r="D62" t="str">
            <v>COSTOL1005@18KGTIN</v>
          </cell>
          <cell r="E62">
            <v>18</v>
          </cell>
          <cell r="F62" t="str">
            <v>Bỏ chọn</v>
          </cell>
          <cell r="G62"/>
          <cell r="H62"/>
        </row>
        <row r="63">
          <cell r="A63" t="str">
            <v>7.10108957130002</v>
          </cell>
          <cell r="B63" t="str">
            <v>SATELLITE-OL1008 TIN @18KG</v>
          </cell>
          <cell r="C63" t="str">
            <v>DẦU TRÁNG KHUÔN HIỆU SATELLITE 18KG</v>
          </cell>
          <cell r="D63" t="str">
            <v>COSTOL1008@18KGTIN</v>
          </cell>
          <cell r="E63">
            <v>18</v>
          </cell>
          <cell r="F63" t="str">
            <v>Bỏ chọn</v>
          </cell>
          <cell r="G63"/>
          <cell r="H63"/>
        </row>
        <row r="64">
          <cell r="A64" t="str">
            <v>7.10108959120002</v>
          </cell>
          <cell r="B64" t="str">
            <v>SATELLITE-OL1008 JRG @25 KG</v>
          </cell>
          <cell r="C64" t="str">
            <v>DẦU OLEIN TINH LUYỆN HIỆU SATELLITE TRONG CAN 25KG</v>
          </cell>
          <cell r="D64" t="str">
            <v>STOL08@25KGJRG</v>
          </cell>
          <cell r="E64">
            <v>25</v>
          </cell>
          <cell r="F64" t="str">
            <v>Chọn</v>
          </cell>
          <cell r="G64"/>
          <cell r="H64"/>
        </row>
        <row r="65">
          <cell r="A65" t="str">
            <v>7.101089591200500</v>
          </cell>
          <cell r="B65" t="str">
            <v>SATELLITE ROL MP20-22 IN JRG@25KG</v>
          </cell>
          <cell r="C65" t="str">
            <v>DẦU OLEIN CỌ TINH LUYỆN NHÃN HIỆU SATELLITE TRONG CAN 25KG</v>
          </cell>
          <cell r="D65" t="str">
            <v>SAT 20-22@25JRC</v>
          </cell>
          <cell r="E65">
            <v>25</v>
          </cell>
          <cell r="F65" t="str">
            <v>Chọn</v>
          </cell>
          <cell r="G65"/>
          <cell r="H65"/>
        </row>
        <row r="66">
          <cell r="A66" t="str">
            <v>7.10108970140001</v>
          </cell>
          <cell r="B66" t="str">
            <v>SATELLITE RBD OLEIN 1005, NEW DRUM 190KG</v>
          </cell>
          <cell r="C66" t="str">
            <v>DẦU OLEIN CỌ TINH LUYỆN HIỆU SATELLITE TRONG PHUY 190KG</v>
          </cell>
          <cell r="D66" t="str">
            <v>STOL1005@19OKGDRM</v>
          </cell>
          <cell r="E66">
            <v>190</v>
          </cell>
          <cell r="F66" t="str">
            <v>Bỏ chọn</v>
          </cell>
          <cell r="G66"/>
          <cell r="H66"/>
        </row>
        <row r="67">
          <cell r="A67" t="str">
            <v>7.10108970140002</v>
          </cell>
          <cell r="B67" t="str">
            <v>SATELLITE RBD OLEIN 1008, NEW DRUM 190KG</v>
          </cell>
          <cell r="C67" t="str">
            <v>DẦU OLEIN CỌ TINH LUYỆN HIỆU SATELLITE TRONG THÙNG PHUY MỚI 190KG</v>
          </cell>
          <cell r="D67" t="str">
            <v>STOL1008@190KGDRM</v>
          </cell>
          <cell r="E67">
            <v>190</v>
          </cell>
          <cell r="F67" t="str">
            <v>Bỏ chọn</v>
          </cell>
          <cell r="G67"/>
          <cell r="H67"/>
        </row>
        <row r="68">
          <cell r="A68" t="str">
            <v>7.10108970140004</v>
          </cell>
          <cell r="B68" t="str">
            <v>SATELLITE RBD PALM OIL, NEW DRUM 190KG</v>
          </cell>
          <cell r="C68" t="str">
            <v>DẦU CỌ TINH LUYỆN HIỆU SATELLITE, THÙNG PHUY 190KG</v>
          </cell>
          <cell r="D68" t="str">
            <v>STRBDPO@190KGDRM</v>
          </cell>
          <cell r="E68">
            <v>190</v>
          </cell>
          <cell r="F68" t="str">
            <v>Bỏ chọn</v>
          </cell>
          <cell r="G68"/>
          <cell r="H68"/>
        </row>
        <row r="69">
          <cell r="A69" t="str">
            <v>7.10108970270002</v>
          </cell>
          <cell r="B69" t="str">
            <v>SATELLITE RBD OLEIN 1008, 2ND DRUM 190KG</v>
          </cell>
          <cell r="C69" t="str">
            <v>DẦU CỌ TINH LUYỆN HIỆU SATELLITE, THÙNG PHUY 190KG</v>
          </cell>
          <cell r="D69" t="str">
            <v>STOL1008@190KGUSDR</v>
          </cell>
          <cell r="E69">
            <v>190</v>
          </cell>
          <cell r="F69" t="str">
            <v>Bỏ chọn</v>
          </cell>
          <cell r="G69"/>
          <cell r="H69"/>
        </row>
        <row r="70">
          <cell r="A70" t="str">
            <v>7.10300158090101</v>
          </cell>
          <cell r="B70" t="str">
            <v>RBD COCONUT OIL SANIA BIB @20 KG</v>
          </cell>
          <cell r="C70" t="str">
            <v>DẦU DỪA TINH LUYỆN HIỆU SANIA TRONG TÚI BÓNG 20KG</v>
          </cell>
          <cell r="D70" t="str">
            <v>RCONUTBIB@20KG</v>
          </cell>
          <cell r="E70">
            <v>20</v>
          </cell>
          <cell r="F70" t="str">
            <v>Bỏ chọn</v>
          </cell>
          <cell r="G70"/>
          <cell r="H70"/>
        </row>
        <row r="71">
          <cell r="A71" t="str">
            <v>7.103041C22200110</v>
          </cell>
          <cell r="B71" t="str">
            <v>DOUBLE RCNO FLEXIBAG@18000L (16MT)</v>
          </cell>
          <cell r="C71" t="str">
            <v>DẦU DỪA TINH LUYỆN TRONG TÚI NHỰA</v>
          </cell>
          <cell r="D71" t="str">
            <v>RCNO16MT@FLEX</v>
          </cell>
          <cell r="E71">
            <v>1</v>
          </cell>
          <cell r="F71" t="str">
            <v>Bỏ chọn</v>
          </cell>
          <cell r="G71"/>
          <cell r="H71"/>
        </row>
        <row r="72">
          <cell r="A72" t="str">
            <v>7.1040042008</v>
          </cell>
          <cell r="B72" t="str">
            <v>TRHPKL WILFIL 400 @ 20 KG</v>
          </cell>
          <cell r="C72" t="str">
            <v>DẦU OLEIN NHÂN CỌ ĐÃ HYDRO HÓA HIỆU WILFIL 400</v>
          </cell>
          <cell r="D72" t="str">
            <v>TRHPKL-WIL@20KG</v>
          </cell>
          <cell r="E72">
            <v>20</v>
          </cell>
          <cell r="F72" t="str">
            <v>Bỏ chọn</v>
          </cell>
          <cell r="G72"/>
          <cell r="H72"/>
        </row>
        <row r="73">
          <cell r="A73" t="str">
            <v>7.10408410400801</v>
          </cell>
          <cell r="B73" t="str">
            <v>MEIZAN BAKING FAT @ 15 KG</v>
          </cell>
          <cell r="C73" t="str">
            <v>CHẤT BÉO CHUYÊN DỤNG LÀM BÁNH HIỆU MEIZAN TRONG THÙNG 15KG</v>
          </cell>
          <cell r="D73" t="str">
            <v>MZBF@15KG</v>
          </cell>
          <cell r="E73">
            <v>15</v>
          </cell>
          <cell r="F73" t="str">
            <v>Bỏ chọn</v>
          </cell>
          <cell r="G73"/>
          <cell r="H73"/>
        </row>
        <row r="74">
          <cell r="A74" t="str">
            <v>7.10408410420801</v>
          </cell>
          <cell r="B74" t="str">
            <v>MEIZAN CREAMING FAT @ 15 KG</v>
          </cell>
          <cell r="C74" t="str">
            <v>DẦU BƠ NHÃN HIỆU MEIZAN TRONG THÙNG CARTON 15 KG</v>
          </cell>
          <cell r="D74" t="str">
            <v>MZCF@15KG</v>
          </cell>
          <cell r="E74">
            <v>15</v>
          </cell>
          <cell r="F74" t="str">
            <v>Bỏ chọn</v>
          </cell>
          <cell r="G74"/>
          <cell r="H74"/>
        </row>
        <row r="75">
          <cell r="A75" t="str">
            <v>7.10408430460801</v>
          </cell>
          <cell r="B75" t="str">
            <v>MEIZAN SHORTENING @ 25 KG</v>
          </cell>
          <cell r="C75" t="str">
            <v>SHORTENING HIỆU MEIZAN 25 KG</v>
          </cell>
          <cell r="D75" t="str">
            <v>MZSHT@25KG</v>
          </cell>
          <cell r="E75">
            <v>25</v>
          </cell>
          <cell r="F75" t="str">
            <v>Chọn</v>
          </cell>
          <cell r="G75"/>
          <cell r="H75"/>
        </row>
        <row r="76">
          <cell r="A76" t="str">
            <v>7.10408910260801</v>
          </cell>
          <cell r="B76" t="str">
            <v>SATELLITE RBD PALM OIL  36-39 @15 KG</v>
          </cell>
          <cell r="C76" t="str">
            <v>DẦU CỌ TINH LUYỆN HIỆU SATELLITE TRONG THÙNG 15KG</v>
          </cell>
          <cell r="D76" t="str">
            <v>STRBDPO36-39@15KG</v>
          </cell>
          <cell r="E76">
            <v>15</v>
          </cell>
          <cell r="F76" t="str">
            <v>Bỏ chọn</v>
          </cell>
          <cell r="G76"/>
          <cell r="H76"/>
        </row>
        <row r="77">
          <cell r="A77" t="str">
            <v>7.10408930480801</v>
          </cell>
          <cell r="B77" t="str">
            <v>SATELLITE SHORTENING  RED @ 25 KG</v>
          </cell>
          <cell r="C77" t="str">
            <v>SHORTENING HIỆU SATELLITE 25 KG</v>
          </cell>
          <cell r="D77" t="str">
            <v>STSHT@25KG</v>
          </cell>
          <cell r="E77">
            <v>25</v>
          </cell>
          <cell r="F77" t="str">
            <v>Chọn</v>
          </cell>
          <cell r="G77"/>
          <cell r="H77"/>
        </row>
        <row r="78">
          <cell r="A78" t="str">
            <v>7.1040932620</v>
          </cell>
          <cell r="B78" t="str">
            <v>TRHPKL BESSCOTE 38-40 @ 20 KG</v>
          </cell>
          <cell r="C78" t="str">
            <v>DẦU OLEIN NHÂN CỌ ĐÃ ĐƯỢC TINH LUYỆN VÀ HYDRO HÓA HIỆU BESSCOTE 38-40 TRONG THÙNG CARTON 20KG</v>
          </cell>
          <cell r="D78" t="str">
            <v>TRHPKLBCT3840@20KG</v>
          </cell>
          <cell r="E78">
            <v>20</v>
          </cell>
          <cell r="F78" t="str">
            <v>Chọn</v>
          </cell>
          <cell r="G78"/>
          <cell r="H78"/>
        </row>
        <row r="79">
          <cell r="A79" t="str">
            <v>7.10500118220008</v>
          </cell>
          <cell r="B79" t="str">
            <v>PFAD IN FLEXIBAG @ 20 MT</v>
          </cell>
          <cell r="C79" t="str">
            <v>AXÍT BÉO CHƯNG CẤT</v>
          </cell>
          <cell r="D79" t="str">
            <v>FLEX PFAD</v>
          </cell>
          <cell r="E79">
            <v>1</v>
          </cell>
          <cell r="F79" t="str">
            <v>Chọn</v>
          </cell>
          <cell r="G79"/>
          <cell r="H79"/>
        </row>
        <row r="80">
          <cell r="A80" t="str">
            <v>7.10500118220049</v>
          </cell>
          <cell r="B80" t="str">
            <v>SBFAD IN FLEXIBLE BAG @20 MT</v>
          </cell>
          <cell r="C80" t="str">
            <v>DẦU AXIT BÉO ĐẬU TƯƠNG DẠNG RỜI TRONG TÚI FLEXITANK</v>
          </cell>
          <cell r="D80" t="str">
            <v>FLEX SBFAD</v>
          </cell>
          <cell r="E80">
            <v>1</v>
          </cell>
          <cell r="F80" t="str">
            <v>Bỏ chọn</v>
          </cell>
          <cell r="G80"/>
          <cell r="H80"/>
        </row>
        <row r="81">
          <cell r="A81" t="str">
            <v>7.10500118220051</v>
          </cell>
          <cell r="B81" t="str">
            <v>MIXED VEGETABLE ACIDOIL FLEXIBAG@20MT</v>
          </cell>
          <cell r="C81" t="str">
            <v>DẦU AXÍT THỰC VẬT HỖN HỢP</v>
          </cell>
          <cell r="D81" t="str">
            <v>FLEX MVAO</v>
          </cell>
          <cell r="E81">
            <v>1</v>
          </cell>
          <cell r="F81" t="str">
            <v>Chọn</v>
          </cell>
          <cell r="G81"/>
          <cell r="H81"/>
        </row>
        <row r="82">
          <cell r="A82" t="str">
            <v>7.10500175140051</v>
          </cell>
          <cell r="B82" t="str">
            <v>MIXED VEGETABLE ACID OIL IN DRUM @185KG</v>
          </cell>
          <cell r="C82" t="str">
            <v>HÔN HOP DÂU TRÔN TRONG THÙNG PHUY 185KG</v>
          </cell>
          <cell r="D82" t="str">
            <v>MVAO@185KGUSEDRM</v>
          </cell>
          <cell r="E82">
            <v>185</v>
          </cell>
          <cell r="F82" t="str">
            <v>Bỏ chọn</v>
          </cell>
          <cell r="G82"/>
          <cell r="H82"/>
        </row>
        <row r="83">
          <cell r="A83" t="str">
            <v>7.105005752700</v>
          </cell>
          <cell r="B83" t="str">
            <v>PFAD IN SECOND DRUM @185KG</v>
          </cell>
          <cell r="C83" t="str">
            <v>DẦU AXIT BÉO CHƯNG CẤT TRONG PHUY ĐÃ QUA SỬ DỤNG (185KG/PHUY)</v>
          </cell>
          <cell r="D83" t="str">
            <v>SBFAD@185KGSCDRUM</v>
          </cell>
          <cell r="E83">
            <v>185</v>
          </cell>
          <cell r="F83" t="str">
            <v>Chọn</v>
          </cell>
          <cell r="G83"/>
          <cell r="H83"/>
        </row>
        <row r="84">
          <cell r="A84" t="str">
            <v>7.10500175270049</v>
          </cell>
          <cell r="B84" t="str">
            <v>SBFAD IN SECOND DRUM @185KG</v>
          </cell>
          <cell r="C84" t="str">
            <v>SOYABEAN FATTY ACID DISTILATE TRONG PHUY ĐÃ QUA SỬ DỤNG (185KG/PHUY)</v>
          </cell>
          <cell r="D84" t="str">
            <v>SBFAD@185KGSCDRUM</v>
          </cell>
          <cell r="E84">
            <v>185</v>
          </cell>
          <cell r="F84" t="str">
            <v>Bỏ chọn</v>
          </cell>
          <cell r="G84"/>
          <cell r="H84"/>
        </row>
        <row r="85">
          <cell r="A85" t="str">
            <v>7.105005131600</v>
          </cell>
          <cell r="B85" t="str">
            <v>PFAD IN WOVEN BAG 40KG</v>
          </cell>
          <cell r="C85" t="str">
            <v>PFAD ĐÓNG TRONG TÚI 40KG</v>
          </cell>
          <cell r="D85" t="str">
            <v>PFAD@40KGWOVEN</v>
          </cell>
          <cell r="E85">
            <v>40</v>
          </cell>
          <cell r="F85" t="str">
            <v>Bỏ chọn</v>
          </cell>
          <cell r="G85"/>
          <cell r="H85"/>
        </row>
        <row r="86">
          <cell r="A86" t="str">
            <v>7.1060000108608010</v>
          </cell>
          <cell r="B86" t="str">
            <v>LOW FAT SHORTENING MP48-52 PEBAG@15KG</v>
          </cell>
          <cell r="C86" t="str">
            <v>SHORTENING LOW FAT NHÃN HIỆU MEIZAN TRONG THÙNG 15 KG</v>
          </cell>
          <cell r="D86" t="str">
            <v>LFSHT@15KG</v>
          </cell>
          <cell r="E86">
            <v>15</v>
          </cell>
          <cell r="F86" t="str">
            <v>Bỏ chọn</v>
          </cell>
          <cell r="G86"/>
          <cell r="H86"/>
        </row>
        <row r="87">
          <cell r="A87" t="str">
            <v>7.1060003601622000</v>
          </cell>
          <cell r="B87" t="str">
            <v>RBD STEARIN MP 48-52 IN FLEXIBAG@20MT</v>
          </cell>
          <cell r="C87" t="str">
            <v>DẦU STEARIN CỌ TINH LUYỆN ĐÓNG TRONG TÚI FLEXIBAG</v>
          </cell>
          <cell r="D87" t="str">
            <v>FLEX-RBDST</v>
          </cell>
          <cell r="E87">
            <v>1</v>
          </cell>
          <cell r="F87" t="str">
            <v>Bỏ chọn</v>
          </cell>
          <cell r="G87"/>
          <cell r="H87"/>
        </row>
        <row r="88">
          <cell r="A88" t="str">
            <v>7.1060050201908010</v>
          </cell>
          <cell r="B88" t="str">
            <v>SHORTENING SANIA 47-50 IN PE BAG @20KG</v>
          </cell>
          <cell r="C88" t="str">
            <v>SHORTERNING HIỆU SANIA, LOẠI 20KG</v>
          </cell>
          <cell r="D88" t="str">
            <v>SANIA 47-50@20KG</v>
          </cell>
          <cell r="E88">
            <v>20</v>
          </cell>
          <cell r="F88" t="str">
            <v>Bỏ chọn</v>
          </cell>
          <cell r="G88"/>
          <cell r="H88"/>
        </row>
        <row r="89">
          <cell r="A89" t="str">
            <v>7.1060050209308010</v>
          </cell>
          <cell r="B89" t="str">
            <v>SANIA WILBAKE 2000 IN PE BAG@20KG</v>
          </cell>
          <cell r="C89" t="str">
            <v>DẦU ĂN HIỆU SANIA WILBAKE, LOẠI 20KG</v>
          </cell>
          <cell r="D89" t="str">
            <v>WBG2000@20KG</v>
          </cell>
          <cell r="E89">
            <v>20</v>
          </cell>
          <cell r="F89" t="str">
            <v>Bỏ chọn</v>
          </cell>
          <cell r="G89"/>
          <cell r="H89"/>
        </row>
        <row r="90">
          <cell r="A90" t="str">
            <v>7.106012010250801</v>
          </cell>
          <cell r="B90" t="str">
            <v>MEIZAN BAKING FAT 45 @15KG</v>
          </cell>
          <cell r="C90" t="str">
            <v>MEIZAN DÙNG LÀM BÁNH 15KG</v>
          </cell>
          <cell r="D90" t="str">
            <v>MZBF45@15KG</v>
          </cell>
          <cell r="E90">
            <v>15</v>
          </cell>
          <cell r="F90" t="str">
            <v>Bỏ chọn</v>
          </cell>
          <cell r="G90"/>
          <cell r="H90"/>
        </row>
        <row r="91">
          <cell r="A91" t="str">
            <v>7.1060120104708010</v>
          </cell>
          <cell r="B91" t="str">
            <v>MEIZAN SHORTENING MP42-44 PEBAG@15KG</v>
          </cell>
          <cell r="C91" t="str">
            <v>SHORTENING 42 NHÃN HIỆU MEIZAN ĐÓNG TRONG THÙNG CARTON 15KG</v>
          </cell>
          <cell r="D91" t="str">
            <v>MZSHT@15KGMP44</v>
          </cell>
          <cell r="E91">
            <v>15</v>
          </cell>
          <cell r="F91" t="str">
            <v>Bỏ chọn</v>
          </cell>
          <cell r="G91"/>
          <cell r="H91"/>
        </row>
        <row r="92">
          <cell r="A92" t="str">
            <v>7.1060120106108010</v>
          </cell>
          <cell r="B92" t="str">
            <v>SHORTENING MEIZAN 44-46@ 15 KG</v>
          </cell>
          <cell r="C92" t="str">
            <v>CHÂT BÉO NƯỚNG BÁNH HIỆU MEIZAN TRONG THÙNG 15 KG</v>
          </cell>
          <cell r="D92" t="str">
            <v>MZSHT46@15KG</v>
          </cell>
          <cell r="E92">
            <v>15</v>
          </cell>
          <cell r="F92" t="str">
            <v>Bỏ chọn</v>
          </cell>
          <cell r="G92"/>
          <cell r="H92"/>
        </row>
        <row r="93">
          <cell r="A93" t="str">
            <v>7.1060120111908010</v>
          </cell>
          <cell r="B93" t="str">
            <v>MEIZAN SHT CHOCOFAT MP37-39 PEBAG@15KG</v>
          </cell>
          <cell r="C93" t="str">
            <v>CHẤT BÉO CHOCO NHÃN HIỆU MEIZAN 15 KG</v>
          </cell>
          <cell r="D93" t="str">
            <v>MZCHOCO@15KG3739</v>
          </cell>
          <cell r="E93">
            <v>15</v>
          </cell>
          <cell r="F93" t="str">
            <v>Bỏ chọn</v>
          </cell>
          <cell r="G93"/>
          <cell r="H93"/>
        </row>
        <row r="94">
          <cell r="A94" t="str">
            <v>7.1060120305508010</v>
          </cell>
          <cell r="B94" t="str">
            <v>MEIZAN SHORTENING MP51-53 PEBAG@25KG</v>
          </cell>
          <cell r="C94" t="str">
            <v>SHORTENING 52 NHÃN HIỆU MEIZAN ĐÓNG TRONG THÙNG CARTON 25KG</v>
          </cell>
          <cell r="D94" t="str">
            <v>MZSHT@25KGMP53</v>
          </cell>
          <cell r="E94">
            <v>25</v>
          </cell>
          <cell r="F94" t="str">
            <v>Bỏ chọn</v>
          </cell>
          <cell r="G94"/>
          <cell r="H94"/>
        </row>
        <row r="95">
          <cell r="A95" t="str">
            <v>7.106014010100801</v>
          </cell>
          <cell r="B95" t="str">
            <v>SATELLITE CREAM FAT CUSTARD @ 15KG</v>
          </cell>
          <cell r="C95" t="str">
            <v>CHẤT BÉO DÙNG CHO BÁNH KEM TRƯNG HIỆU SATELLITE TRONG THÙNG CARTON 15KG</v>
          </cell>
          <cell r="D95" t="str">
            <v>STCFCUSTARD@15KG</v>
          </cell>
          <cell r="E95">
            <v>15</v>
          </cell>
          <cell r="F95" t="str">
            <v>Bỏ chọn</v>
          </cell>
          <cell r="G95"/>
          <cell r="H95"/>
        </row>
        <row r="96">
          <cell r="A96" t="str">
            <v>7.1060140309608010</v>
          </cell>
          <cell r="B96" t="str">
            <v>SATELLITE SHT MP48-50,IV44MAX PEBAG@25KG</v>
          </cell>
          <cell r="C96" t="str">
            <v>SHORTENING HIỆU SATELLITE 25 KG (NHÃN XANH)(BẢO LONG)</v>
          </cell>
          <cell r="D96" t="str">
            <v>STSHMP4850@25KG</v>
          </cell>
          <cell r="E96">
            <v>25</v>
          </cell>
          <cell r="F96" t="str">
            <v>Chọn</v>
          </cell>
          <cell r="G96"/>
          <cell r="H96"/>
        </row>
        <row r="97">
          <cell r="A97" t="str">
            <v>7.1060140314108010</v>
          </cell>
          <cell r="B97" t="str">
            <v>SATELLITE SHORTENING MP53MAX PEBAG@25KG</v>
          </cell>
          <cell r="C97" t="str">
            <v>SHORTENING NHÃN HIỆU SATELLITE (NHÃN MÀU CAM)</v>
          </cell>
          <cell r="D97" t="str">
            <v>SHTSAT@25KG</v>
          </cell>
          <cell r="E97">
            <v>25</v>
          </cell>
          <cell r="F97" t="str">
            <v>Bỏ chọn</v>
          </cell>
          <cell r="G97"/>
          <cell r="H97"/>
        </row>
        <row r="98">
          <cell r="A98" t="str">
            <v>7.1060140801309010</v>
          </cell>
          <cell r="B98" t="str">
            <v>SATELLITE ICE CREAM FAT TT IN BIB@18KG</v>
          </cell>
          <cell r="C98" t="str">
            <v>DẦU DÙNG LÀM KEM HIỆU SATELLITE ĐÓNG TRONG TÚI BÓNG 18KG</v>
          </cell>
          <cell r="D98" t="str">
            <v>STICFTT@18KGBIB</v>
          </cell>
          <cell r="E98">
            <v>18</v>
          </cell>
          <cell r="F98" t="str">
            <v>Chọn</v>
          </cell>
          <cell r="G98"/>
          <cell r="H98"/>
        </row>
        <row r="99">
          <cell r="A99" t="str">
            <v>7.1060140802333000</v>
          </cell>
          <cell r="B99" t="str">
            <v>SATELLITE TEXTURE PO PLASTICBUCKET@18KG</v>
          </cell>
          <cell r="C99" t="str">
            <v>DẦU CỌ TINH LUYỆN HIỆU SATELLITE, XÔ NHỰA LOẠI 18KG</v>
          </cell>
          <cell r="D99" t="str">
            <v>STTPO39@18KGPAI</v>
          </cell>
          <cell r="E99">
            <v>18</v>
          </cell>
          <cell r="F99" t="str">
            <v>Chọn</v>
          </cell>
          <cell r="G99"/>
          <cell r="H99"/>
        </row>
        <row r="100">
          <cell r="A100" t="str">
            <v>7.1060140809733000</v>
          </cell>
          <cell r="B100" t="str">
            <v>SATTELITE SHT BOS 37-42 PLASTICPAIL@18KG</v>
          </cell>
          <cell r="C100" t="str">
            <v>DẦU BƠ THAY THẾ HIỆU SATELLITE 18KG</v>
          </cell>
          <cell r="D100" t="str">
            <v>STBOS@18KPLBR</v>
          </cell>
          <cell r="E100">
            <v>18</v>
          </cell>
          <cell r="F100" t="str">
            <v>Bỏ chọn</v>
          </cell>
          <cell r="G100"/>
          <cell r="H100"/>
        </row>
        <row r="101">
          <cell r="A101" t="str">
            <v>7.1070050001708010</v>
          </cell>
          <cell r="B101" t="str">
            <v>SANIA WILPUFF MGR MP43-47 IN PEBAG</v>
          </cell>
          <cell r="C101" t="str">
            <v>BƠ THỰC VẬT HIỆU SANIA WILPUFF</v>
          </cell>
          <cell r="D101" t="str">
            <v>WILPUFF MGR</v>
          </cell>
          <cell r="E101">
            <v>1</v>
          </cell>
          <cell r="F101" t="str">
            <v>Bỏ chọn</v>
          </cell>
          <cell r="G101"/>
          <cell r="H101"/>
        </row>
        <row r="102">
          <cell r="A102" t="str">
            <v>7.107005090170810</v>
          </cell>
          <cell r="B102" t="str">
            <v>SANIA WILPUFF MARGARINE MP43-47 1KG X 10</v>
          </cell>
          <cell r="C102" t="str">
            <v>BƠ MARGARINE LÁ 43-47 HIỆU SANIA WILPUF TRONG THÙNG 10KG</v>
          </cell>
          <cell r="D102" t="str">
            <v>WIPUF_MAR1KGX10BAG</v>
          </cell>
          <cell r="E102">
            <v>10</v>
          </cell>
          <cell r="F102" t="str">
            <v>Bỏ chọn</v>
          </cell>
          <cell r="G102"/>
          <cell r="H102"/>
        </row>
        <row r="103">
          <cell r="A103" t="str">
            <v>7.1070120191508010</v>
          </cell>
          <cell r="B103" t="str">
            <v>MEIZAN BOS MP 44 MAX IN PEBAG@15KG</v>
          </cell>
          <cell r="C103" t="str">
            <v>DẦU BƠ THAY THẾ HIỆU MEIZAN TRONG THÙNG 15 KG</v>
          </cell>
          <cell r="D103" t="str">
            <v>MZBOS@15KG</v>
          </cell>
          <cell r="E103">
            <v>15</v>
          </cell>
          <cell r="F103" t="str">
            <v>Bỏ chọn</v>
          </cell>
          <cell r="G103"/>
          <cell r="H103"/>
        </row>
        <row r="104">
          <cell r="A104" t="str">
            <v>7.1070120401508010</v>
          </cell>
          <cell r="B104" t="str">
            <v>MEIZAN MARGARINE MP36-40 IN PEBAG@16KG</v>
          </cell>
          <cell r="C104" t="str">
            <v>MARGARINE CAO CẤP NHÃN HIỆU MEIZAN TRONG THÙNG 16 KG</v>
          </cell>
          <cell r="D104" t="str">
            <v>MZSMGR@16KG</v>
          </cell>
          <cell r="E104">
            <v>16</v>
          </cell>
          <cell r="F104" t="str">
            <v>Bỏ chọn</v>
          </cell>
          <cell r="G104"/>
          <cell r="H104"/>
        </row>
        <row r="105">
          <cell r="A105" t="str">
            <v>7.1070120401808010</v>
          </cell>
          <cell r="B105" t="str">
            <v>MEIZAN MARGARINE MP44MAX IN PEBAG@16KG</v>
          </cell>
          <cell r="C105" t="str">
            <v>BƠ THỰC VẬT ĐA DỤNG NHÃN HIỆU MEIZAN TRONG THÙNG 16KG</v>
          </cell>
          <cell r="D105" t="str">
            <v>MZMGR@16KG</v>
          </cell>
          <cell r="E105">
            <v>16</v>
          </cell>
          <cell r="F105" t="str">
            <v>Bỏ chọn</v>
          </cell>
          <cell r="G105"/>
          <cell r="H105"/>
        </row>
        <row r="106">
          <cell r="A106" t="str">
            <v>7.1070120403408010</v>
          </cell>
          <cell r="B106" t="str">
            <v>MEIZAN MARGARINE MP 42-44 IN PEBAG@16KG</v>
          </cell>
          <cell r="C106" t="str">
            <v>BƠ THỰC VẬT CAO CẤP NHÃN HIỆU MEIZAN TRONG THÙNG CARTON 16 KG ( MÀU XANH)</v>
          </cell>
          <cell r="D106" t="str">
            <v>MZSMGR@16KGB</v>
          </cell>
          <cell r="E106">
            <v>16</v>
          </cell>
          <cell r="F106" t="str">
            <v>Bỏ chọn</v>
          </cell>
          <cell r="G106"/>
          <cell r="H106"/>
        </row>
        <row r="107">
          <cell r="A107" t="str">
            <v>7.1070120803408010</v>
          </cell>
          <cell r="B107" t="str">
            <v>MEIZAN MARGARINE MP 42-44 IN PEBAG@18KG</v>
          </cell>
          <cell r="C107" t="str">
            <v>BƠ THỰC VẬT CAO CẤP HIỆU MEIZAN TRONG THÙNG 18KG (MÀU XANH )</v>
          </cell>
          <cell r="D107" t="str">
            <v>MZSMGR@18KGB</v>
          </cell>
          <cell r="E107">
            <v>18</v>
          </cell>
          <cell r="F107" t="str">
            <v>Chọn</v>
          </cell>
          <cell r="G107"/>
          <cell r="H107"/>
        </row>
        <row r="108">
          <cell r="A108" t="str">
            <v>7.107012089103300</v>
          </cell>
          <cell r="B108" t="str">
            <v>MEIZAN BOS IN PLASTIC BUCKET @ 18 KG</v>
          </cell>
          <cell r="C108" t="str">
            <v>DẦU BƠ THAY THẾ NHÃN HIỆU MEIZAN TRONG THÙNG NHỰA 18KG (TEM NÂU)</v>
          </cell>
          <cell r="D108" t="str">
            <v xml:space="preserve">MZBOS@18KGPAI </v>
          </cell>
          <cell r="E108">
            <v>18</v>
          </cell>
          <cell r="F108" t="str">
            <v>Chọn</v>
          </cell>
          <cell r="G108"/>
          <cell r="H108"/>
        </row>
        <row r="109">
          <cell r="A109" t="str">
            <v>7.1070120892033</v>
          </cell>
          <cell r="B109" t="str">
            <v>MEIZAN BOS IN PLASTIC BUCKET35-38@18KG</v>
          </cell>
          <cell r="C109" t="str">
            <v>DẦU BƠ THAY THẾ HIỆU MEIZAN, THÙNG NHỰA 18KG</v>
          </cell>
          <cell r="D109" t="str">
            <v>MZBOS@18KGPAI</v>
          </cell>
          <cell r="E109">
            <v>18</v>
          </cell>
          <cell r="F109" t="str">
            <v>Bỏ chọn</v>
          </cell>
          <cell r="G109"/>
          <cell r="H109"/>
        </row>
        <row r="110">
          <cell r="A110" t="str">
            <v>7.107012240091300</v>
          </cell>
          <cell r="B110" t="str">
            <v>MEIZAN MARGARINE @17 KG TIN</v>
          </cell>
          <cell r="C110" t="str">
            <v>SHORTERNING NHÃN HIỆU MEIZAN 25KG</v>
          </cell>
          <cell r="D110" t="str">
            <v>MZMGR@17KGTIN</v>
          </cell>
          <cell r="E110">
            <v>17</v>
          </cell>
          <cell r="F110" t="str">
            <v>Bỏ chọn</v>
          </cell>
          <cell r="G110"/>
          <cell r="H110"/>
        </row>
        <row r="111">
          <cell r="A111" t="str">
            <v>7.1070122400933009</v>
          </cell>
          <cell r="B111" t="str">
            <v>MEIZAN MARGARINE PLASTIC BUCKET@17KG P</v>
          </cell>
          <cell r="C111" t="str">
            <v>MARGARINE HIEU MEIZAN, THÙNG NHỰA 17KG</v>
          </cell>
          <cell r="D111" t="str">
            <v>MZMGR@17KGPAI</v>
          </cell>
          <cell r="E111">
            <v>17</v>
          </cell>
          <cell r="F111" t="str">
            <v>Bỏ chọn</v>
          </cell>
          <cell r="G111"/>
          <cell r="H111"/>
        </row>
        <row r="112">
          <cell r="A112" t="str">
            <v>7.107012249101300</v>
          </cell>
          <cell r="B112" t="str">
            <v>MEIZAN BOS @ TIN 17 KG</v>
          </cell>
          <cell r="C112" t="str">
            <v>BƠ THAY THẾ HIỆU MEIZAN TRONG TIN 17 KG</v>
          </cell>
          <cell r="D112" t="str">
            <v>MZBOS@17KGTIN</v>
          </cell>
          <cell r="E112">
            <v>17</v>
          </cell>
          <cell r="F112" t="str">
            <v>Bỏ chọn</v>
          </cell>
          <cell r="G112"/>
          <cell r="H112"/>
        </row>
        <row r="113">
          <cell r="A113" t="str">
            <v>7.1070123001828230</v>
          </cell>
          <cell r="B113" t="str">
            <v>MEIZAN MARGARINEMP44MAX 80GRX60ROUNDTUBE</v>
          </cell>
          <cell r="C113" t="str">
            <v>BƠ THỰC VẬT ĂN LIỀN HIỆU MEIZAN, LOẠI 80G</v>
          </cell>
          <cell r="D113" t="str">
            <v>MZMGR80GRMX60TB</v>
          </cell>
          <cell r="E113">
            <v>4.8</v>
          </cell>
          <cell r="F113" t="str">
            <v>Bỏ chọn</v>
          </cell>
          <cell r="G113"/>
          <cell r="H113"/>
        </row>
        <row r="114">
          <cell r="A114" t="str">
            <v>7.1070123001852000</v>
          </cell>
          <cell r="B114" t="str">
            <v>MEIZAN MARGARINE MP44MAX OVALTUBE@80GR</v>
          </cell>
          <cell r="C114" t="str">
            <v>BƠ THỰC VẬT NHÃN HIỆU MEIZAN 80G</v>
          </cell>
          <cell r="D114" t="str">
            <v>MZMGR80TUBOVAL</v>
          </cell>
          <cell r="E114">
            <v>0.08</v>
          </cell>
          <cell r="F114" t="str">
            <v>Chọn</v>
          </cell>
          <cell r="G114"/>
          <cell r="H114"/>
        </row>
        <row r="115">
          <cell r="A115" t="str">
            <v>7.1070123001852230</v>
          </cell>
          <cell r="B115" t="str">
            <v>MEIZAN MARGARINEMP44MAX 80GRX60 OVALTUBE</v>
          </cell>
          <cell r="C115" t="str">
            <v>BƠ THỰC VẬT NHÃN HIỆU MEIZAN 80G</v>
          </cell>
          <cell r="D115" t="str">
            <v>MZMGR80GX60OVAL</v>
          </cell>
          <cell r="E115">
            <v>4.8</v>
          </cell>
          <cell r="F115" t="str">
            <v>Chọn</v>
          </cell>
          <cell r="G115"/>
          <cell r="H115" t="str">
            <v>7.1070123001852000</v>
          </cell>
        </row>
        <row r="116">
          <cell r="A116" t="str">
            <v>7.1070123003652230</v>
          </cell>
          <cell r="B116" t="str">
            <v>MEIZAN MARGARINE VNSAMPLE 80GX60OVALTUBE</v>
          </cell>
          <cell r="C116" t="str">
            <v>BƠ THỰC VẬT NHÃN HIỆU MEIZAN 80G HÀNG MẪU</v>
          </cell>
          <cell r="D116" t="str">
            <v>MEIZAN MARGARINE VNSAMPLE 80GX60OVALTUBE</v>
          </cell>
          <cell r="E116">
            <v>4.8</v>
          </cell>
          <cell r="F116" t="str">
            <v>Chọn</v>
          </cell>
          <cell r="G116"/>
          <cell r="H116"/>
        </row>
        <row r="117">
          <cell r="A117" t="str">
            <v>7.1070123101828000</v>
          </cell>
          <cell r="B117" t="str">
            <v>MEIZAN MARGARINE MP44MAX ROUNDTUBE@200GR</v>
          </cell>
          <cell r="C117" t="str">
            <v>BƠ THỰC VẬT ĂN LIỀN HIỆU MEIZAN, LOẠI 80G</v>
          </cell>
          <cell r="D117" t="str">
            <v>MZMGR@200GRMTUBE</v>
          </cell>
          <cell r="E117">
            <v>0.2</v>
          </cell>
          <cell r="F117" t="str">
            <v>Bỏ chọn</v>
          </cell>
          <cell r="G117"/>
          <cell r="H117"/>
        </row>
        <row r="118">
          <cell r="A118" t="str">
            <v>7.1070123101828200</v>
          </cell>
          <cell r="B118" t="str">
            <v>MEIZAN MARGARINEMP44MAX200GRX30ROUNDTUBE</v>
          </cell>
          <cell r="C118" t="str">
            <v>BƠ THỰC VẬT ĂN LIỀN HIỆU MEIZAN 200G</v>
          </cell>
          <cell r="D118" t="str">
            <v>MZMGR200GRMX30TB</v>
          </cell>
          <cell r="E118">
            <v>6</v>
          </cell>
          <cell r="F118" t="str">
            <v>Bỏ chọn</v>
          </cell>
          <cell r="G118"/>
          <cell r="H118"/>
        </row>
        <row r="119">
          <cell r="A119" t="str">
            <v>7.1070123101828250</v>
          </cell>
          <cell r="B119" t="str">
            <v>MEIZAN MARGARINEMP44MAX 200GX36ROUNDTUBE</v>
          </cell>
          <cell r="C119" t="str">
            <v>BƠ THỰC VẬT ĂN LIỀN HIỆU MEIZAN 200G</v>
          </cell>
          <cell r="D119" t="str">
            <v>MZMGR200GRMX36TB</v>
          </cell>
          <cell r="E119">
            <v>7.2</v>
          </cell>
          <cell r="F119" t="str">
            <v>Bỏ chọn</v>
          </cell>
          <cell r="G119"/>
          <cell r="H119"/>
        </row>
        <row r="120">
          <cell r="A120" t="str">
            <v>7.1070123101852000</v>
          </cell>
          <cell r="B120" t="str">
            <v>MEIZAN MARGARINE MP44MAX OVALTUBE@200GR</v>
          </cell>
          <cell r="C120" t="str">
            <v>BƠ THỰC VẬT NHÃN HIỆU MEIZAN 200G</v>
          </cell>
          <cell r="D120" t="str">
            <v>MZMGR200TUBOVAL</v>
          </cell>
          <cell r="E120">
            <v>0.2</v>
          </cell>
          <cell r="F120" t="str">
            <v>Chọn</v>
          </cell>
          <cell r="G120"/>
          <cell r="H120"/>
        </row>
        <row r="121">
          <cell r="A121" t="str">
            <v>7.1070123101852250</v>
          </cell>
          <cell r="B121" t="str">
            <v>MEIZAN MARGARINEMP44MAX 200GX36 OVALTUBE</v>
          </cell>
          <cell r="C121" t="str">
            <v>BƠ THỰC VẬT NHÃN HIỆU MEIZAN 200G</v>
          </cell>
          <cell r="D121" t="str">
            <v>MZMGR200GRMX36TB</v>
          </cell>
          <cell r="E121">
            <v>7.2</v>
          </cell>
          <cell r="F121" t="str">
            <v>Chọn</v>
          </cell>
          <cell r="G121"/>
          <cell r="H121" t="str">
            <v>7.1070123101852000</v>
          </cell>
        </row>
        <row r="122">
          <cell r="A122" t="str">
            <v>7.1070123201828000</v>
          </cell>
          <cell r="B122" t="str">
            <v>MEIZAN MARGARINE MP44MAX ROUNDTUBE@800GR</v>
          </cell>
          <cell r="C122" t="str">
            <v>BƠ THỰC VẬT NHÃN HIỆU MEIZAN 800G</v>
          </cell>
          <cell r="D122" t="str">
            <v>MEIZAN MARGARINE MP44MAX ROUNDTUBE@800GR</v>
          </cell>
          <cell r="E122">
            <v>0.8</v>
          </cell>
          <cell r="F122" t="str">
            <v>Bỏ chọn</v>
          </cell>
          <cell r="G122"/>
          <cell r="H122"/>
        </row>
        <row r="123">
          <cell r="A123" t="str">
            <v>7.1070123201828050</v>
          </cell>
          <cell r="B123" t="str">
            <v>MEIZAN MARGARINE MP 44 MAX 0.8KG X 12TUB</v>
          </cell>
          <cell r="C123" t="str">
            <v>BƠ THỰC VẬT NHÃN HIỆU MEIZAN 800G</v>
          </cell>
          <cell r="D123" t="str">
            <v>MZMGR800GRMX12TB</v>
          </cell>
          <cell r="E123">
            <v>9.6</v>
          </cell>
          <cell r="F123" t="str">
            <v>Chọn</v>
          </cell>
          <cell r="G123"/>
          <cell r="H123" t="str">
            <v>7.1070123201853000</v>
          </cell>
        </row>
        <row r="124">
          <cell r="A124" t="str">
            <v>7.107014019080000</v>
          </cell>
          <cell r="B124" t="str">
            <v>SATELLITE BOS FOR COFFEE ROASTING @15KG</v>
          </cell>
          <cell r="C124" t="str">
            <v>DẦU BƠ NHÃN HIỆU SATELLITE 15KG DÙNG ĐỂ RANG CÀ-PHÊ</v>
          </cell>
          <cell r="D124" t="str">
            <v>STBOSCR@15KG</v>
          </cell>
          <cell r="E124">
            <v>15</v>
          </cell>
          <cell r="F124" t="str">
            <v>Bỏ chọn</v>
          </cell>
          <cell r="G124"/>
          <cell r="H124"/>
        </row>
        <row r="125">
          <cell r="A125" t="str">
            <v>7.1070140191508010</v>
          </cell>
          <cell r="B125" t="str">
            <v>SATELLITE BOS MP 44 MAX IN PEBAG@15KG</v>
          </cell>
          <cell r="C125" t="str">
            <v>DẦU BƠ THAY THẾ HIỆU SATELLITE TRONG THÙNG 15 KG</v>
          </cell>
          <cell r="D125" t="str">
            <v>STBOS@15KG</v>
          </cell>
          <cell r="E125">
            <v>15</v>
          </cell>
          <cell r="F125" t="str">
            <v>Bỏ chọn</v>
          </cell>
          <cell r="G125"/>
          <cell r="H125"/>
        </row>
        <row r="126">
          <cell r="A126" t="str">
            <v>7.1070140401608010</v>
          </cell>
          <cell r="B126" t="str">
            <v>SATELLITE MARGARINE MP39-43 PEBAG@16KG</v>
          </cell>
          <cell r="C126" t="str">
            <v>BƠ THƠM NHÃN HIỆU SATELLITE TRONG THÙNG 16KG</v>
          </cell>
          <cell r="D126" t="str">
            <v>STBBMGR@16KG</v>
          </cell>
          <cell r="E126">
            <v>16</v>
          </cell>
          <cell r="F126" t="str">
            <v>Bỏ chọn</v>
          </cell>
          <cell r="G126"/>
          <cell r="H126"/>
        </row>
        <row r="127">
          <cell r="A127" t="str">
            <v>7.107014080183300</v>
          </cell>
          <cell r="B127" t="str">
            <v>SATELLITE BAKERY MARGARINE IN PAIL@18KG</v>
          </cell>
          <cell r="C127" t="str">
            <v>BƠ THƠM HIỆU SATELITE, THÙNG NHỰA 18KG</v>
          </cell>
          <cell r="D127" t="str">
            <v>STBMGR@18KGPAI</v>
          </cell>
          <cell r="E127">
            <v>18</v>
          </cell>
          <cell r="F127" t="str">
            <v>Bỏ chọn</v>
          </cell>
          <cell r="G127"/>
          <cell r="H127"/>
        </row>
        <row r="128">
          <cell r="A128" t="str">
            <v>7.107014089103300</v>
          </cell>
          <cell r="B128" t="str">
            <v>SATELLITE BOS IN PLASTIC BUCKET @ 18 KG</v>
          </cell>
          <cell r="C128" t="str">
            <v>DẦU BƠ THAY THẾ HIỆU SATELLITE 18KG</v>
          </cell>
          <cell r="D128" t="str">
            <v>ST-BOS@18KGPAI</v>
          </cell>
          <cell r="E128">
            <v>18</v>
          </cell>
          <cell r="F128" t="str">
            <v>Chọn</v>
          </cell>
          <cell r="G128"/>
          <cell r="H128"/>
        </row>
        <row r="129">
          <cell r="A129" t="str">
            <v>7.107014249051300</v>
          </cell>
          <cell r="B129" t="str">
            <v>SATELLITE BOS GOLD TIN 17 KG</v>
          </cell>
          <cell r="C129" t="str">
            <v>DẦU BƠ NHÃN HIỆU SATELLITE 17KG (GOLD)</v>
          </cell>
          <cell r="D129" t="str">
            <v>ST-BOSGOLD@17KGTIN</v>
          </cell>
          <cell r="E129">
            <v>17</v>
          </cell>
          <cell r="F129" t="str">
            <v>Bỏ chọn</v>
          </cell>
          <cell r="G129"/>
          <cell r="H129"/>
        </row>
        <row r="130">
          <cell r="A130" t="str">
            <v>7.107014249101300</v>
          </cell>
          <cell r="B130" t="str">
            <v>SATELLITE BOS TIN 17 KG</v>
          </cell>
          <cell r="C130" t="str">
            <v>DẦU BƠ HIỆU SATELLITE TRONG THÙNG THIẾC</v>
          </cell>
          <cell r="D130" t="str">
            <v>ST-BOS@17KGTIN</v>
          </cell>
          <cell r="E130">
            <v>17</v>
          </cell>
          <cell r="F130" t="str">
            <v>Bỏ chọn</v>
          </cell>
          <cell r="G130"/>
          <cell r="H130"/>
        </row>
        <row r="131">
          <cell r="A131" t="str">
            <v>7.1070330192408010</v>
          </cell>
          <cell r="B131" t="str">
            <v>ORCHID BOS IV60MAX IN PE BAG@15KG</v>
          </cell>
          <cell r="C131" t="str">
            <v>DẦU BƠ THAY THẾ ĐA DỤNG NHÃN HIỆU ORCHID (NHÃN MÀU ĐỎ) 15KG</v>
          </cell>
          <cell r="D131" t="str">
            <v>ORCHID BOS @15KG</v>
          </cell>
          <cell r="E131">
            <v>15</v>
          </cell>
          <cell r="F131" t="str">
            <v>Bỏ chọn</v>
          </cell>
          <cell r="G131"/>
          <cell r="H131"/>
        </row>
        <row r="132">
          <cell r="A132" t="str">
            <v>7.107033089153300</v>
          </cell>
          <cell r="B132" t="str">
            <v>ORCHID BOS IN PLASTIC BUCKET @18 KG</v>
          </cell>
          <cell r="C132" t="str">
            <v>DẦU BƠ THAY THẾ NHÃN HIỆU ORCHIRD (NHÃN MÀU VÀNG) TRONG THÙNG NHỰA 18KG</v>
          </cell>
          <cell r="D132" t="str">
            <v>ORCHIDBOS@18KGPAI</v>
          </cell>
          <cell r="E132">
            <v>18</v>
          </cell>
          <cell r="F132" t="str">
            <v>Chọn</v>
          </cell>
          <cell r="G132"/>
          <cell r="H132"/>
        </row>
        <row r="133">
          <cell r="A133" t="str">
            <v>7.1070330891833000</v>
          </cell>
          <cell r="B133" t="str">
            <v>ORCHID BOS IN PLASTIC PAIL MP34-36@18 KG</v>
          </cell>
          <cell r="C133" t="str">
            <v>DẦU BƠ THAY THẾ ĐA DỤNG NHÃN HIỆU ORCHID TRONG THÙNG NHỰA 18 KG</v>
          </cell>
          <cell r="D133" t="str">
            <v>PINKORCBOS@18KGPAI</v>
          </cell>
          <cell r="E133">
            <v>18</v>
          </cell>
          <cell r="F133" t="str">
            <v>Chọn</v>
          </cell>
          <cell r="G133"/>
          <cell r="H133"/>
        </row>
        <row r="134">
          <cell r="A134" t="str">
            <v>7.1070332491833000</v>
          </cell>
          <cell r="B134" t="str">
            <v>ORCHID BOS IN PLASTIC PAIL MP34-36@17 KG</v>
          </cell>
          <cell r="C134" t="str">
            <v>DẦU BƠ THAY THẾ HIỆU HOA LAN (NHÃN HỒNG)</v>
          </cell>
          <cell r="D134" t="str">
            <v>ORCHIDBOS@17KGPAI</v>
          </cell>
          <cell r="E134">
            <v>17</v>
          </cell>
          <cell r="F134" t="str">
            <v>Bỏ chọn</v>
          </cell>
          <cell r="G134"/>
          <cell r="H134"/>
        </row>
        <row r="135">
          <cell r="A135" t="str">
            <v>7.114005020020000</v>
          </cell>
          <cell r="B135" t="str">
            <v>CBR SANIA WILLARINE 880 LT @ 20 KG</v>
          </cell>
          <cell r="C135" t="str">
            <v>BƠ CA CAO THAY THẾ WILLARINE 880LT 20KG HIỆU SANIA</v>
          </cell>
          <cell r="D135" t="str">
            <v>SW-HKS-OL-WIL@20KG</v>
          </cell>
          <cell r="E135">
            <v>20</v>
          </cell>
          <cell r="F135" t="str">
            <v>Bỏ chọn</v>
          </cell>
          <cell r="G135"/>
          <cell r="H135"/>
        </row>
        <row r="136">
          <cell r="A136" t="str">
            <v>7.1180123103917000</v>
          </cell>
          <cell r="B136" t="str">
            <v>MEIZAN MAYONNAISE IN BTL@200G</v>
          </cell>
          <cell r="C136" t="str">
            <v>MAYONNAISE HIỆU MEIZAN 200G</v>
          </cell>
          <cell r="D136" t="str">
            <v>MZMAYONBT@200G</v>
          </cell>
          <cell r="E136">
            <v>0.2</v>
          </cell>
          <cell r="F136" t="str">
            <v>Bỏ chọn</v>
          </cell>
          <cell r="G136"/>
          <cell r="H136"/>
        </row>
        <row r="137">
          <cell r="A137" t="str">
            <v>7.1180123103917260</v>
          </cell>
          <cell r="B137" t="str">
            <v>MEIZAN MAYONNAISE IN 200G X 50BTL</v>
          </cell>
          <cell r="C137" t="str">
            <v>MAYONNAISE HIỆU MEIZAN 200G</v>
          </cell>
          <cell r="D137" t="str">
            <v>MZMAYONBT@200G</v>
          </cell>
          <cell r="E137">
            <v>10</v>
          </cell>
          <cell r="F137" t="str">
            <v>Bỏ chọn</v>
          </cell>
          <cell r="G137"/>
          <cell r="H137"/>
        </row>
        <row r="138">
          <cell r="A138" t="str">
            <v>7.1070123201853000</v>
          </cell>
          <cell r="B138" t="str">
            <v>MEIZAN MGR MP44MAX RECTANGLETUBE@800G</v>
          </cell>
          <cell r="C138" t="str">
            <v>BƠ THỰC VẬT NHÃN HIỆU MEIZAN 800G</v>
          </cell>
          <cell r="D138" t="str">
            <v>MZMGR@800G</v>
          </cell>
          <cell r="E138">
            <v>0.8</v>
          </cell>
          <cell r="F138" t="str">
            <v>Chọn</v>
          </cell>
          <cell r="G138"/>
          <cell r="H138"/>
        </row>
        <row r="139">
          <cell r="A139" t="str">
            <v>7.107012089203300</v>
          </cell>
          <cell r="B139" t="str">
            <v>MEIZAN BOS IN PLASTIC BUCKET 35-38@18 KG</v>
          </cell>
          <cell r="C139" t="str">
            <v>DẦU BƠ THAY THẾ HIỆU MEIZAN, THÙNG NHỰA 18KG</v>
          </cell>
          <cell r="D139" t="str">
            <v>ST-BOS@18KGPAI</v>
          </cell>
          <cell r="E139">
            <v>18</v>
          </cell>
          <cell r="F139" t="str">
            <v>Bỏ chọn</v>
          </cell>
          <cell r="G139"/>
          <cell r="H139"/>
        </row>
        <row r="140">
          <cell r="A140" t="str">
            <v>7.1160000250409010</v>
          </cell>
          <cell r="B140" t="str">
            <v>RBD HYDRO COCONUT OILMP30-33 IN BIB@20KG</v>
          </cell>
          <cell r="C140" t="str">
            <v>NGUYÊN LIỆU THỰC PHẨM DẦU DỪA TINH LUYỆN VÀ HYDRO HÓA WILKRIM HIỆU SANIA</v>
          </cell>
          <cell r="D140" t="str">
            <v>RCONUTBIB@20KG</v>
          </cell>
          <cell r="E140">
            <v>20</v>
          </cell>
          <cell r="F140" t="str">
            <v>Bỏ chọn</v>
          </cell>
          <cell r="G140"/>
          <cell r="H140"/>
        </row>
        <row r="141">
          <cell r="A141" t="str">
            <v>7.1120050200608010</v>
          </cell>
          <cell r="B141" t="str">
            <v>TRHPKS SANIA ULTRA CHOCO IN PE BAG @20KG</v>
          </cell>
          <cell r="C141" t="str">
            <v>DẦU STEARIN NHÂN CỌ TINH LUYỆN VÀ HYDRO HÓA HIỆU SANIA(ULTRACHOCO)20KG</v>
          </cell>
          <cell r="D141" t="str">
            <v>TRHPKL-SANIA@20KG</v>
          </cell>
          <cell r="E141">
            <v>20</v>
          </cell>
          <cell r="F141" t="str">
            <v>Bỏ chọn</v>
          </cell>
          <cell r="G141"/>
          <cell r="H141"/>
        </row>
        <row r="142">
          <cell r="A142" t="str">
            <v>7.1100050200808010</v>
          </cell>
          <cell r="B142" t="str">
            <v>SANIA HPKO WILKOTE 380 IN PE BAG @20KG</v>
          </cell>
          <cell r="C142" t="str">
            <v>DẦU NHÂN CỌ ĐÃ ĐƯỢC TINH LUYỆN VÀ HYDRO HÓA NHÃN HIỆU SANIA WILKOTE 380</v>
          </cell>
          <cell r="D142" t="str">
            <v>HPKO-SANIA@20KG</v>
          </cell>
          <cell r="E142">
            <v>20</v>
          </cell>
          <cell r="F142" t="str">
            <v>Bỏ chọn</v>
          </cell>
          <cell r="G142"/>
          <cell r="H142"/>
        </row>
        <row r="143">
          <cell r="A143" t="str">
            <v>7.13100112011202</v>
          </cell>
          <cell r="B143" t="str">
            <v>CO-NEPTUNE 0.4L X 20 BTL</v>
          </cell>
          <cell r="C143" t="str">
            <v>DẦU ĂN HIỆU NEPTUNE 0,4L</v>
          </cell>
          <cell r="D143" t="str">
            <v>CO-NEP0.4LX20BTL</v>
          </cell>
          <cell r="E143">
            <v>7.28</v>
          </cell>
          <cell r="F143" t="str">
            <v>Bỏ chọn</v>
          </cell>
          <cell r="G143"/>
          <cell r="H143"/>
        </row>
        <row r="144">
          <cell r="A144" t="str">
            <v>7.13100201010701</v>
          </cell>
          <cell r="B144" t="str">
            <v>CO-NEPTUNE S 0.25L X 48 BTL</v>
          </cell>
          <cell r="C144" t="str">
            <v>DẦU ĂN HIỆU NEPTUNE 0.25L</v>
          </cell>
          <cell r="D144" t="str">
            <v>CO-NEPS0.25LX48BTL</v>
          </cell>
          <cell r="E144">
            <v>10.92</v>
          </cell>
          <cell r="F144" t="str">
            <v>Bỏ chọn</v>
          </cell>
          <cell r="G144"/>
          <cell r="H144"/>
        </row>
        <row r="145">
          <cell r="A145" t="str">
            <v>7.13100201170001</v>
          </cell>
          <cell r="B145" t="str">
            <v>CO-NEPTUNE S  BTL @ 0.25L</v>
          </cell>
          <cell r="C145" t="str">
            <v>DẦU ĂN HIỆU NEPTUNE 0.25L</v>
          </cell>
          <cell r="D145" t="str">
            <v>CO-NEPS@0.25LBTL</v>
          </cell>
          <cell r="E145">
            <v>0.22800000000000001</v>
          </cell>
          <cell r="F145" t="str">
            <v>Bỏ chọn</v>
          </cell>
          <cell r="G145"/>
          <cell r="H145"/>
        </row>
        <row r="146">
          <cell r="A146" t="str">
            <v>7.13100203010501</v>
          </cell>
          <cell r="B146" t="str">
            <v>CO-NEPTUNE S 1L X 12 BTL</v>
          </cell>
          <cell r="C146" t="str">
            <v>DẦU ĂN HIỆU NEPTUNE 1L</v>
          </cell>
          <cell r="D146" t="str">
            <v>CO-NEPS1LX12BTL</v>
          </cell>
          <cell r="E146">
            <v>10.92</v>
          </cell>
          <cell r="F146" t="str">
            <v>Bỏ chọn</v>
          </cell>
          <cell r="G146"/>
          <cell r="H146"/>
        </row>
        <row r="147">
          <cell r="A147" t="str">
            <v>7.13100203170001</v>
          </cell>
          <cell r="B147" t="str">
            <v>CO-NEPTUNE S  BTL @ 1L</v>
          </cell>
          <cell r="C147" t="str">
            <v>DẦU ĂN HIỆU NEPTUNE 1L</v>
          </cell>
          <cell r="D147" t="str">
            <v>CO-NEPS@1LBTL</v>
          </cell>
          <cell r="E147">
            <v>0.91</v>
          </cell>
          <cell r="F147" t="str">
            <v>Bỏ chọn</v>
          </cell>
          <cell r="G147"/>
          <cell r="H147"/>
        </row>
        <row r="148">
          <cell r="A148" t="str">
            <v>7.13100204010401</v>
          </cell>
          <cell r="B148" t="str">
            <v>CO-NEPTUNE S 2L X 6 BTL</v>
          </cell>
          <cell r="C148" t="str">
            <v>DẦU ĂN HIỆU NEPTUNE 2L</v>
          </cell>
          <cell r="D148" t="str">
            <v>CO-NEPS2LX6BTL</v>
          </cell>
          <cell r="E148">
            <v>10.92</v>
          </cell>
          <cell r="F148" t="str">
            <v>Bỏ chọn</v>
          </cell>
          <cell r="G148"/>
          <cell r="H148"/>
        </row>
        <row r="149">
          <cell r="A149" t="str">
            <v>7.13100204170001</v>
          </cell>
          <cell r="B149" t="str">
            <v>CO-NEPTUNE S  BTL @ 2L</v>
          </cell>
          <cell r="C149" t="str">
            <v>DẦU ĂN HIỆU NEPTUNE 2L</v>
          </cell>
          <cell r="D149" t="str">
            <v>CO-NEPS@2LBTL</v>
          </cell>
          <cell r="E149">
            <v>1.82</v>
          </cell>
          <cell r="F149" t="str">
            <v>Bỏ chọn</v>
          </cell>
          <cell r="G149"/>
          <cell r="H149"/>
        </row>
        <row r="150">
          <cell r="A150" t="str">
            <v>7.13100206010301</v>
          </cell>
          <cell r="B150" t="str">
            <v>CO-NEPTUNE S 5L X 4 BTL</v>
          </cell>
          <cell r="C150" t="str">
            <v>DẦU ĂN HIỆU NEPTUNE 5L</v>
          </cell>
          <cell r="D150" t="str">
            <v>CO-NEPS5LX4BTL</v>
          </cell>
          <cell r="E150">
            <v>18.2</v>
          </cell>
          <cell r="F150" t="str">
            <v>Bỏ chọn</v>
          </cell>
          <cell r="G150"/>
          <cell r="H150"/>
        </row>
        <row r="151">
          <cell r="A151" t="str">
            <v>7.13100206170001</v>
          </cell>
          <cell r="B151" t="str">
            <v>CO-NEPTUNE S BTL @ 5L</v>
          </cell>
          <cell r="C151" t="str">
            <v>DẦU ĂN HIỆU NEPTUNE 5L</v>
          </cell>
          <cell r="D151" t="str">
            <v>CO-NEPS@5LBTL</v>
          </cell>
          <cell r="E151">
            <v>4.55</v>
          </cell>
          <cell r="F151" t="str">
            <v>Bỏ chọn</v>
          </cell>
          <cell r="G151"/>
          <cell r="H151"/>
        </row>
        <row r="152">
          <cell r="A152" t="str">
            <v>7.13100212011201</v>
          </cell>
          <cell r="B152" t="str">
            <v>CO-NEPTUNE S  0.4L X 20 BTL</v>
          </cell>
          <cell r="C152" t="str">
            <v>DẦU ĂN HIỆU NEPTUNE 0,4L</v>
          </cell>
          <cell r="D152" t="str">
            <v>CO-NEPS0.4LX20BTL</v>
          </cell>
          <cell r="E152">
            <v>7.28</v>
          </cell>
          <cell r="F152" t="str">
            <v>Bỏ chọn</v>
          </cell>
          <cell r="G152"/>
          <cell r="H152"/>
        </row>
        <row r="153">
          <cell r="A153" t="str">
            <v>7.13100212012001</v>
          </cell>
          <cell r="B153" t="str">
            <v>CO-NEPTUNE S 0.4L X 30 BTL</v>
          </cell>
          <cell r="C153" t="str">
            <v>DẦU ĂN HIỆU NEPTUNE 0.40L</v>
          </cell>
          <cell r="D153" t="str">
            <v>CO-NEPS0.4LX30BTL</v>
          </cell>
          <cell r="E153">
            <v>10.92</v>
          </cell>
          <cell r="F153" t="str">
            <v>Bỏ chọn</v>
          </cell>
          <cell r="G153"/>
          <cell r="H153"/>
        </row>
        <row r="154">
          <cell r="A154" t="str">
            <v>7.13100212170001</v>
          </cell>
          <cell r="B154" t="str">
            <v>CO-NEPTUNE S  BTL @ 0.4L</v>
          </cell>
          <cell r="C154" t="str">
            <v>DẦU ĂN HIỆU NEPTUNE 0.40L</v>
          </cell>
          <cell r="D154" t="str">
            <v>CO-NEPS@0.4LBTL</v>
          </cell>
          <cell r="E154">
            <v>0.36399999999999999</v>
          </cell>
          <cell r="F154" t="str">
            <v>Bỏ chọn</v>
          </cell>
          <cell r="G154"/>
          <cell r="H154"/>
        </row>
        <row r="155">
          <cell r="A155" t="str">
            <v>7.13100301010702</v>
          </cell>
          <cell r="B155" t="str">
            <v>CO-NEPTUNE A 0.25L X 48 BTL</v>
          </cell>
          <cell r="C155" t="str">
            <v>DẦU ĂN HIỆU NEPTUNE 0.25L</v>
          </cell>
          <cell r="D155" t="str">
            <v>CO-NEPA0.25LX48BTL</v>
          </cell>
          <cell r="E155">
            <v>10.92</v>
          </cell>
          <cell r="F155" t="str">
            <v>Bỏ chọn</v>
          </cell>
          <cell r="G155"/>
          <cell r="H155"/>
        </row>
        <row r="156">
          <cell r="A156" t="str">
            <v>7.13100301170002</v>
          </cell>
          <cell r="B156" t="str">
            <v>CO-NEPTUNE A  BTL @ 0.25L</v>
          </cell>
          <cell r="C156" t="str">
            <v>DẦU ĂN HIỆU NEPTUNE 0.25L</v>
          </cell>
          <cell r="D156" t="str">
            <v>CO-NEPA@0.25LBTL</v>
          </cell>
          <cell r="E156">
            <v>0.22800000000000001</v>
          </cell>
          <cell r="F156" t="str">
            <v>Bỏ chọn</v>
          </cell>
          <cell r="G156"/>
          <cell r="H156"/>
        </row>
        <row r="157">
          <cell r="A157" t="str">
            <v>7.13100303010502</v>
          </cell>
          <cell r="B157" t="str">
            <v>CO-NEPTUNE A 1L X 12 BTL</v>
          </cell>
          <cell r="C157" t="str">
            <v>DẦU ĂN HIỆU NEPTUNE 1L</v>
          </cell>
          <cell r="D157" t="str">
            <v>CO-NEPA1LX12BTL</v>
          </cell>
          <cell r="E157">
            <v>10.92</v>
          </cell>
          <cell r="F157" t="str">
            <v>Bỏ chọn</v>
          </cell>
          <cell r="G157"/>
          <cell r="H157"/>
        </row>
        <row r="158">
          <cell r="A158" t="str">
            <v>7.13100303170002</v>
          </cell>
          <cell r="B158" t="str">
            <v>CO-NEPTUNE A  BTL @ 1L</v>
          </cell>
          <cell r="C158" t="str">
            <v>DẦU ĂN HIỆU NEPTUNE 1L</v>
          </cell>
          <cell r="D158" t="str">
            <v>CO-NEPA@1LBTL</v>
          </cell>
          <cell r="E158">
            <v>0.91</v>
          </cell>
          <cell r="F158" t="str">
            <v>Bỏ chọn</v>
          </cell>
          <cell r="G158"/>
          <cell r="H158"/>
        </row>
        <row r="159">
          <cell r="A159" t="str">
            <v>7.13100304010402</v>
          </cell>
          <cell r="B159" t="str">
            <v>CO-NEPTUNE A 2L X 6 BTL</v>
          </cell>
          <cell r="C159" t="str">
            <v>DẦU ĂN HIỆU NEPTUNE 2L</v>
          </cell>
          <cell r="D159" t="str">
            <v>CO-NEPA2LX6BTL</v>
          </cell>
          <cell r="E159">
            <v>10.92</v>
          </cell>
          <cell r="F159" t="str">
            <v>Bỏ chọn</v>
          </cell>
          <cell r="G159"/>
          <cell r="H159"/>
        </row>
        <row r="160">
          <cell r="A160" t="str">
            <v>7.13100304170002</v>
          </cell>
          <cell r="B160" t="str">
            <v>CO-NEPTUNE A  BTL @ 2L</v>
          </cell>
          <cell r="C160" t="str">
            <v>DẦU ĂN HIỆU NEPTUNE 2L</v>
          </cell>
          <cell r="D160" t="str">
            <v>CO-NEPA@2LBTL</v>
          </cell>
          <cell r="E160">
            <v>1.82</v>
          </cell>
          <cell r="F160" t="str">
            <v>Bỏ chọn</v>
          </cell>
          <cell r="G160"/>
          <cell r="H160"/>
        </row>
        <row r="161">
          <cell r="A161" t="str">
            <v>7.13100306010302</v>
          </cell>
          <cell r="B161" t="str">
            <v>CO-NEPTUNE A 5L X 4 BTL</v>
          </cell>
          <cell r="C161" t="str">
            <v>DẦU ĂN HIỆU NEPTUNE 5L</v>
          </cell>
          <cell r="D161" t="str">
            <v>CO-NEPA5LX4BTL</v>
          </cell>
          <cell r="E161">
            <v>18.2</v>
          </cell>
          <cell r="F161" t="str">
            <v>Bỏ chọn</v>
          </cell>
          <cell r="G161"/>
          <cell r="H161"/>
        </row>
        <row r="162">
          <cell r="A162" t="str">
            <v>7.13100306170002</v>
          </cell>
          <cell r="B162" t="str">
            <v>CO-NEPTUNE A  BTL @ 5L</v>
          </cell>
          <cell r="C162" t="str">
            <v>DẦU ĂN HIỆU NEPTUNE 5L</v>
          </cell>
          <cell r="D162" t="str">
            <v>CO-NEPA@5LBTL</v>
          </cell>
          <cell r="E162">
            <v>4.55</v>
          </cell>
          <cell r="F162" t="str">
            <v>Bỏ chọn</v>
          </cell>
          <cell r="G162"/>
          <cell r="H162"/>
        </row>
        <row r="163">
          <cell r="A163" t="str">
            <v>7.13100312011202</v>
          </cell>
          <cell r="B163" t="str">
            <v>CO-NEPTUNE A  0.4L X 20 BTL</v>
          </cell>
          <cell r="C163" t="str">
            <v>DẦU ĂN HIỆU NEPTUNE 0,4L</v>
          </cell>
          <cell r="D163" t="str">
            <v>CO-NEPA0.4LX20BTL</v>
          </cell>
          <cell r="E163">
            <v>7.28</v>
          </cell>
          <cell r="F163" t="str">
            <v>Bỏ chọn</v>
          </cell>
          <cell r="G163"/>
          <cell r="H163"/>
        </row>
        <row r="164">
          <cell r="A164" t="str">
            <v>7.13100312012002</v>
          </cell>
          <cell r="B164" t="str">
            <v>CO-NEPTUNE A 0.4L X 30 BTL</v>
          </cell>
          <cell r="C164" t="str">
            <v>DẦU ĂN HIỆU NEPTUNE 0.40L</v>
          </cell>
          <cell r="D164" t="str">
            <v>CO-NEPA0.4LX30BTL</v>
          </cell>
          <cell r="E164">
            <v>10.92</v>
          </cell>
          <cell r="F164" t="str">
            <v>Bỏ chọn</v>
          </cell>
          <cell r="G164"/>
          <cell r="H164"/>
        </row>
        <row r="165">
          <cell r="A165" t="str">
            <v>7.13100312170002</v>
          </cell>
          <cell r="B165" t="str">
            <v>CO-NEPTUNE A  BTL @ 0.4L</v>
          </cell>
          <cell r="C165" t="str">
            <v>DẦU ĂN HIỆU NEPTUNE 0.40L</v>
          </cell>
          <cell r="D165" t="str">
            <v>CO-NEPA@0.4LBTL</v>
          </cell>
          <cell r="E165">
            <v>0.36399999999999999</v>
          </cell>
          <cell r="F165" t="str">
            <v>Bỏ chọn</v>
          </cell>
          <cell r="G165"/>
          <cell r="H165"/>
        </row>
        <row r="166">
          <cell r="A166" t="str">
            <v>7.13100403010502</v>
          </cell>
          <cell r="B166" t="str">
            <v>CO-NEPTUNE B 1L X 12 BTL</v>
          </cell>
          <cell r="C166" t="str">
            <v>DẦU ĂN HIỆU NEPTUNE 1L</v>
          </cell>
          <cell r="D166" t="str">
            <v>CO-NEPB1LX12BTL</v>
          </cell>
          <cell r="E166">
            <v>10.92</v>
          </cell>
          <cell r="F166" t="str">
            <v>Bỏ chọn</v>
          </cell>
          <cell r="G166"/>
          <cell r="H166"/>
        </row>
        <row r="167">
          <cell r="A167" t="str">
            <v>7.13100403170002</v>
          </cell>
          <cell r="B167" t="str">
            <v>CO-NEPTUNE B  BTL @ 1L</v>
          </cell>
          <cell r="C167" t="str">
            <v>DẦU ĂN HIỆU NEPTUNE 1L</v>
          </cell>
          <cell r="D167" t="str">
            <v>CO-NEPB@1LBTL</v>
          </cell>
          <cell r="E167">
            <v>0.91</v>
          </cell>
          <cell r="F167" t="str">
            <v>Bỏ chọn</v>
          </cell>
          <cell r="G167"/>
          <cell r="H167"/>
        </row>
        <row r="168">
          <cell r="A168" t="str">
            <v>7.13100404010402</v>
          </cell>
          <cell r="B168" t="str">
            <v>CO-NEPTUNE B 2L X 6 BTL</v>
          </cell>
          <cell r="C168" t="str">
            <v>DẦU ĂN HIỆU NEPTUNE 2L</v>
          </cell>
          <cell r="D168" t="str">
            <v>CO-NEPB2LX6BTL</v>
          </cell>
          <cell r="E168">
            <v>10.92</v>
          </cell>
          <cell r="F168" t="str">
            <v>Bỏ chọn</v>
          </cell>
          <cell r="G168"/>
          <cell r="H168"/>
        </row>
        <row r="169">
          <cell r="A169" t="str">
            <v>7.13100404170002</v>
          </cell>
          <cell r="B169" t="str">
            <v>CO-NEPTUNE B  BTL @ 2L</v>
          </cell>
          <cell r="C169" t="str">
            <v>DẦU ĂN HIỆU NEPTUNE 2L</v>
          </cell>
          <cell r="D169" t="str">
            <v>CO-NEPB@2LBTL</v>
          </cell>
          <cell r="E169">
            <v>1.82</v>
          </cell>
          <cell r="F169" t="str">
            <v>Bỏ chọn</v>
          </cell>
          <cell r="G169"/>
          <cell r="H169"/>
        </row>
        <row r="170">
          <cell r="A170" t="str">
            <v>7.13100412012002</v>
          </cell>
          <cell r="B170" t="str">
            <v>CO-NEPTUNE B 0.4L X 30 BTL</v>
          </cell>
          <cell r="C170" t="str">
            <v>DẦU ĂN HIỆU NEPTUNE 0.40L</v>
          </cell>
          <cell r="D170" t="str">
            <v>CO-NEPB0.4LX30BTL</v>
          </cell>
          <cell r="E170">
            <v>10.92</v>
          </cell>
          <cell r="F170" t="str">
            <v>Bỏ chọn</v>
          </cell>
          <cell r="G170"/>
          <cell r="H170"/>
        </row>
        <row r="171">
          <cell r="A171" t="str">
            <v>7.13100501010704</v>
          </cell>
          <cell r="B171" t="str">
            <v>CO-MEIZAN 0.25L X 48 BTL</v>
          </cell>
          <cell r="C171" t="str">
            <v>DẦU ĂN HIỆU MEIZAN 0.25L</v>
          </cell>
          <cell r="D171" t="str">
            <v>CO-MZ0.25LX48BTL</v>
          </cell>
          <cell r="E171">
            <v>10.92</v>
          </cell>
          <cell r="F171" t="str">
            <v>Bỏ chọn</v>
          </cell>
          <cell r="G171"/>
          <cell r="H171"/>
        </row>
        <row r="172">
          <cell r="A172" t="str">
            <v>7.13100501170004</v>
          </cell>
          <cell r="B172" t="str">
            <v>CO-MEIZAN  BTL @  0.25L</v>
          </cell>
          <cell r="C172" t="str">
            <v>DẦU ĂN HIỆU MEIZAN 0.25L</v>
          </cell>
          <cell r="D172" t="str">
            <v>CO-MZ@0.25LBTL</v>
          </cell>
          <cell r="E172">
            <v>0.22800000000000001</v>
          </cell>
          <cell r="F172" t="str">
            <v>Bỏ chọn</v>
          </cell>
          <cell r="G172"/>
          <cell r="H172"/>
        </row>
        <row r="173">
          <cell r="A173" t="str">
            <v>7.13100503010504</v>
          </cell>
          <cell r="B173" t="str">
            <v>CO-MEIZAN 1L X 12 BTL</v>
          </cell>
          <cell r="C173" t="str">
            <v>DẦU ĂN HIỆU MEIZAN 1L</v>
          </cell>
          <cell r="D173" t="str">
            <v>CO-MZ1LX12BTL</v>
          </cell>
          <cell r="E173">
            <v>10.92</v>
          </cell>
          <cell r="F173" t="str">
            <v>Bỏ chọn</v>
          </cell>
          <cell r="G173"/>
          <cell r="H173"/>
        </row>
        <row r="174">
          <cell r="A174" t="str">
            <v>7.13100503170004</v>
          </cell>
          <cell r="B174" t="str">
            <v>CO-MEIZAN  BTL @ 1L</v>
          </cell>
          <cell r="C174" t="str">
            <v>DẦU ĂN HIỆU MEIZAN 1L</v>
          </cell>
          <cell r="D174" t="str">
            <v>CO-MZ@1LBTL</v>
          </cell>
          <cell r="E174">
            <v>0.91</v>
          </cell>
          <cell r="F174" t="str">
            <v>Bỏ chọn</v>
          </cell>
          <cell r="G174"/>
          <cell r="H174"/>
        </row>
        <row r="175">
          <cell r="A175" t="str">
            <v>7.13100504010404</v>
          </cell>
          <cell r="B175" t="str">
            <v>CO-MEIZAN  2L X 6 BTL</v>
          </cell>
          <cell r="C175" t="str">
            <v>DẦU ĂN HIỆU MEIZAN 2L</v>
          </cell>
          <cell r="D175" t="str">
            <v>CO-MZ2LX6BTL</v>
          </cell>
          <cell r="E175">
            <v>10.92</v>
          </cell>
          <cell r="F175" t="str">
            <v>Bỏ chọn</v>
          </cell>
          <cell r="G175"/>
          <cell r="H175"/>
        </row>
        <row r="176">
          <cell r="A176" t="str">
            <v>7.13100504170004</v>
          </cell>
          <cell r="B176" t="str">
            <v>CO-MEIZAN  BTL @ 2L</v>
          </cell>
          <cell r="C176" t="str">
            <v>DẦU ĂN HIỆU MEIZAN 2L</v>
          </cell>
          <cell r="D176" t="str">
            <v>CO-MZ@2LBTL</v>
          </cell>
          <cell r="E176">
            <v>1.82</v>
          </cell>
          <cell r="F176" t="str">
            <v>Bỏ chọn</v>
          </cell>
          <cell r="G176"/>
          <cell r="H176"/>
        </row>
        <row r="177">
          <cell r="A177" t="str">
            <v>7.13100506010304</v>
          </cell>
          <cell r="B177" t="str">
            <v>CO-MEIZAN 5L X 4 BTL</v>
          </cell>
          <cell r="C177" t="str">
            <v>DẦU ĂN HIỆU MEIZAN 5L</v>
          </cell>
          <cell r="D177" t="str">
            <v>CO-MZ5LX4BTL</v>
          </cell>
          <cell r="E177">
            <v>18.2</v>
          </cell>
          <cell r="F177" t="str">
            <v>Bỏ chọn</v>
          </cell>
          <cell r="G177"/>
          <cell r="H177"/>
        </row>
        <row r="178">
          <cell r="A178" t="str">
            <v>7.13100506010307</v>
          </cell>
          <cell r="B178" t="str">
            <v>CO-MEIZAN (E) 5L X 4 BTL</v>
          </cell>
          <cell r="C178" t="str">
            <v>DẦU LÀM BÁNH TRUNG THU HIỆU MEIZAN 5L</v>
          </cell>
          <cell r="D178" t="str">
            <v>CO-MZE5LX4BTL</v>
          </cell>
          <cell r="E178">
            <v>18.2</v>
          </cell>
          <cell r="F178" t="str">
            <v>Bỏ chọn</v>
          </cell>
          <cell r="G178"/>
          <cell r="H178"/>
        </row>
        <row r="179">
          <cell r="A179" t="str">
            <v>7.13100506170004</v>
          </cell>
          <cell r="B179" t="str">
            <v>CO-MEIZAN  BTL @ 5L</v>
          </cell>
          <cell r="C179" t="str">
            <v>DẦU ĂN HIỆU MEIZAN 5L</v>
          </cell>
          <cell r="D179" t="str">
            <v>CO-MZ@5LBTL</v>
          </cell>
          <cell r="E179">
            <v>4.55</v>
          </cell>
          <cell r="F179" t="str">
            <v>Bỏ chọn</v>
          </cell>
          <cell r="G179"/>
          <cell r="H179"/>
        </row>
        <row r="180">
          <cell r="A180" t="str">
            <v>7.13100506170007</v>
          </cell>
          <cell r="B180" t="str">
            <v>MEIZAN MOON CAKE OIL  BTL @ 5L</v>
          </cell>
          <cell r="C180" t="str">
            <v>DẦU LÀM BÁNH TRUNG THU HIỆU MEIZAN 5L</v>
          </cell>
          <cell r="D180" t="str">
            <v>CO-MZMCO@5LBTL</v>
          </cell>
          <cell r="E180">
            <v>4.55</v>
          </cell>
          <cell r="F180" t="str">
            <v>Bỏ chọn</v>
          </cell>
          <cell r="G180"/>
          <cell r="H180"/>
        </row>
        <row r="181">
          <cell r="A181" t="str">
            <v>7.131005111700650</v>
          </cell>
          <cell r="B181" t="str">
            <v>MEIZAN CO OL1008:NBDSBO IN BOTTLE@10L</v>
          </cell>
          <cell r="C181" t="str">
            <v>DẦU ĂN MEIZAN HỖN HỢP 10L</v>
          </cell>
          <cell r="D181" t="str">
            <v>CO-MZ10LBTL</v>
          </cell>
          <cell r="E181">
            <v>9.1</v>
          </cell>
          <cell r="F181" t="str">
            <v>Bỏ chọn</v>
          </cell>
          <cell r="G181"/>
          <cell r="H181"/>
        </row>
        <row r="182">
          <cell r="A182" t="str">
            <v>7.131005111702650</v>
          </cell>
          <cell r="B182" t="str">
            <v>MEIZAN  CO OL1008:NBDSBO 10L X 2 BTL</v>
          </cell>
          <cell r="C182" t="str">
            <v>DẦU ĂN MEIZAN HỖN HỢP 10L</v>
          </cell>
          <cell r="D182" t="str">
            <v>CO-MZ10LX2B</v>
          </cell>
          <cell r="E182">
            <v>18.2</v>
          </cell>
          <cell r="F182" t="str">
            <v>Bỏ chọn</v>
          </cell>
          <cell r="G182"/>
          <cell r="H182"/>
        </row>
        <row r="183">
          <cell r="A183" t="str">
            <v>7.13100512011204</v>
          </cell>
          <cell r="B183" t="str">
            <v>CO-MEIZAN 0.4L X 20 BTL</v>
          </cell>
          <cell r="C183" t="str">
            <v>DẦU ĂN HIỆU MEIZAN 0,4L</v>
          </cell>
          <cell r="D183" t="str">
            <v>CO-MZ0.4LX20BTL</v>
          </cell>
          <cell r="E183">
            <v>7.28</v>
          </cell>
          <cell r="F183" t="str">
            <v>Bỏ chọn</v>
          </cell>
          <cell r="G183"/>
          <cell r="H183"/>
        </row>
        <row r="184">
          <cell r="A184" t="str">
            <v>7.13100512012004</v>
          </cell>
          <cell r="B184" t="str">
            <v>CO-MEIZAN  0.4L X 30 BTL</v>
          </cell>
          <cell r="C184" t="str">
            <v>DẦU ĂN HIỆU MEIZAN 0.40L</v>
          </cell>
          <cell r="D184" t="str">
            <v>CO-MZ0.4LX30BTL</v>
          </cell>
          <cell r="E184">
            <v>10.92</v>
          </cell>
          <cell r="F184" t="str">
            <v>Bỏ chọn</v>
          </cell>
          <cell r="G184"/>
          <cell r="H184"/>
        </row>
        <row r="185">
          <cell r="A185" t="str">
            <v>7.13100512170004</v>
          </cell>
          <cell r="B185" t="str">
            <v>CO-MEIZAN   BTL @ 0.4L</v>
          </cell>
          <cell r="C185" t="str">
            <v>DẦU ĂN HIỆU MEIZAN 0.40L</v>
          </cell>
          <cell r="D185" t="str">
            <v>CO-MZ@0.4LBTL</v>
          </cell>
          <cell r="E185">
            <v>0.36399999999999999</v>
          </cell>
          <cell r="F185" t="str">
            <v>Bỏ chọn</v>
          </cell>
          <cell r="G185"/>
          <cell r="H185"/>
        </row>
        <row r="186">
          <cell r="A186" t="str">
            <v>7.13100513010104</v>
          </cell>
          <cell r="B186" t="str">
            <v>CO-MEIZAN 16L X 1 BTL</v>
          </cell>
          <cell r="C186" t="str">
            <v>DẦU ĂN HIỆU MEIZAN 16L</v>
          </cell>
          <cell r="D186" t="str">
            <v>CO-MZ16LX1BTL</v>
          </cell>
          <cell r="E186">
            <v>14.56</v>
          </cell>
          <cell r="F186" t="str">
            <v>Bỏ chọn</v>
          </cell>
          <cell r="G186"/>
          <cell r="H186"/>
        </row>
        <row r="187">
          <cell r="A187" t="str">
            <v>7.131005560801580</v>
          </cell>
          <cell r="B187" t="str">
            <v>MEIZAN CREAMING FAT @ 15 KG BLUE</v>
          </cell>
          <cell r="C187" t="str">
            <v>DẦU BƠ NHÃN HIỆU MEIZAN TRONG THÙNG CARTON 15 KG</v>
          </cell>
          <cell r="D187" t="str">
            <v>MZCF@15KGB</v>
          </cell>
          <cell r="E187">
            <v>15</v>
          </cell>
          <cell r="F187" t="str">
            <v>Bỏ chọn</v>
          </cell>
          <cell r="G187"/>
          <cell r="H187"/>
        </row>
        <row r="188">
          <cell r="A188" t="str">
            <v>7.13100557090104</v>
          </cell>
          <cell r="B188" t="str">
            <v>CO-MEIZAN BIB @18KG</v>
          </cell>
          <cell r="C188" t="str">
            <v>DẦU ĂN HIỆU MEIZAN TRONG TÚI BÓNG 18KG</v>
          </cell>
          <cell r="D188" t="str">
            <v>CO-MZ@18KGBIB</v>
          </cell>
          <cell r="E188">
            <v>18</v>
          </cell>
          <cell r="F188" t="str">
            <v>Bỏ chọn</v>
          </cell>
          <cell r="G188"/>
          <cell r="H188"/>
        </row>
        <row r="189">
          <cell r="A189" t="str">
            <v>7.13100557090107</v>
          </cell>
          <cell r="B189" t="str">
            <v>MEIZAN MOON CAKE OIL BIB @18 KG</v>
          </cell>
          <cell r="C189" t="str">
            <v>DẦU LÀM BÁNH TRUNG THU HIỆU MEIZAN, TÚI BIB 18KG</v>
          </cell>
          <cell r="D189" t="str">
            <v>CO-MZMC@18KGBIB</v>
          </cell>
          <cell r="E189">
            <v>18</v>
          </cell>
          <cell r="F189" t="str">
            <v>Bỏ chọn</v>
          </cell>
          <cell r="G189"/>
          <cell r="H189"/>
        </row>
        <row r="190">
          <cell r="A190" t="str">
            <v>7.13100601010703</v>
          </cell>
          <cell r="B190" t="str">
            <v>CO-MEIZAN S 0.25L X 48 BTL</v>
          </cell>
          <cell r="C190" t="str">
            <v>DẦU ĂN HIỆU MEIZAN 0.25L</v>
          </cell>
          <cell r="D190" t="str">
            <v>CO-MZS0.25LX48BTL</v>
          </cell>
          <cell r="E190">
            <v>10.92</v>
          </cell>
          <cell r="F190" t="str">
            <v>Bỏ chọn</v>
          </cell>
          <cell r="G190"/>
          <cell r="H190"/>
        </row>
        <row r="191">
          <cell r="A191" t="str">
            <v>7.13100601170003</v>
          </cell>
          <cell r="B191" t="str">
            <v>CO-MEIZAN S   BTL @ 0.25L</v>
          </cell>
          <cell r="C191" t="str">
            <v>DẦU ĂN HIỆU MEIZAN 0.25L</v>
          </cell>
          <cell r="D191" t="str">
            <v>CO-MZS@0.25LBTL</v>
          </cell>
          <cell r="E191">
            <v>0.22800000000000001</v>
          </cell>
          <cell r="F191" t="str">
            <v>Bỏ chọn</v>
          </cell>
          <cell r="G191"/>
          <cell r="H191"/>
        </row>
        <row r="192">
          <cell r="A192" t="str">
            <v>7.13100603010503</v>
          </cell>
          <cell r="B192" t="str">
            <v>CO-MEIZAN S 1L X 12 BTL</v>
          </cell>
          <cell r="C192" t="str">
            <v>DẦU ĂN HIỆU MEIZAN 1L</v>
          </cell>
          <cell r="D192" t="str">
            <v>CO-MZS1LX12BTL</v>
          </cell>
          <cell r="E192">
            <v>10.92</v>
          </cell>
          <cell r="F192" t="str">
            <v>Bỏ chọn</v>
          </cell>
          <cell r="G192"/>
          <cell r="H192"/>
        </row>
        <row r="193">
          <cell r="A193" t="str">
            <v>7.13100603170003</v>
          </cell>
          <cell r="B193" t="str">
            <v>CO-MEIZAN S  BTL @ 1L</v>
          </cell>
          <cell r="C193" t="str">
            <v>DẦU ĂN HIỆU MEIZAN 1L</v>
          </cell>
          <cell r="D193" t="str">
            <v>CO-MZS@1LBTL</v>
          </cell>
          <cell r="E193">
            <v>0.91</v>
          </cell>
          <cell r="F193" t="str">
            <v>Bỏ chọn</v>
          </cell>
          <cell r="G193"/>
          <cell r="H193"/>
        </row>
        <row r="194">
          <cell r="A194" t="str">
            <v>7.13100604010403</v>
          </cell>
          <cell r="B194" t="str">
            <v>CO-MEIZAN S 2L X 6 BTL</v>
          </cell>
          <cell r="C194" t="str">
            <v>DẦU ĂN HIỆU MEIZAN 2L</v>
          </cell>
          <cell r="D194" t="str">
            <v>CO-MZS2LX6BTL</v>
          </cell>
          <cell r="E194">
            <v>10.92</v>
          </cell>
          <cell r="F194" t="str">
            <v>Bỏ chọn</v>
          </cell>
          <cell r="G194"/>
          <cell r="H194"/>
        </row>
        <row r="195">
          <cell r="A195" t="str">
            <v>7.13100604170003</v>
          </cell>
          <cell r="B195" t="str">
            <v>CO-MEIZAN S  BTL @ 2L</v>
          </cell>
          <cell r="C195" t="str">
            <v>DẦU ĂN HIỆU MEIZAN 2L</v>
          </cell>
          <cell r="D195" t="str">
            <v>CO-MZS@2LBTL</v>
          </cell>
          <cell r="E195">
            <v>1.82</v>
          </cell>
          <cell r="F195" t="str">
            <v>Bỏ chọn</v>
          </cell>
          <cell r="G195"/>
          <cell r="H195"/>
        </row>
        <row r="196">
          <cell r="A196" t="str">
            <v>7.13100606010303</v>
          </cell>
          <cell r="B196" t="str">
            <v>CO-MEIZAN S 5L X 4 BTL</v>
          </cell>
          <cell r="C196" t="str">
            <v>DẦU ĂN HIỆU MEIZAN 5L</v>
          </cell>
          <cell r="D196" t="str">
            <v>CO-MZS5LX4BTL</v>
          </cell>
          <cell r="E196">
            <v>18.2</v>
          </cell>
          <cell r="F196" t="str">
            <v>Bỏ chọn</v>
          </cell>
          <cell r="G196"/>
          <cell r="H196"/>
        </row>
        <row r="197">
          <cell r="A197" t="str">
            <v>7.13100606170003</v>
          </cell>
          <cell r="B197" t="str">
            <v>CO-MEIZAN S  BTL @ 5L</v>
          </cell>
          <cell r="C197" t="str">
            <v>DẦU ĂN HIỆU MEIZAN 5L</v>
          </cell>
          <cell r="D197" t="str">
            <v>CO-MZS@5LBTL</v>
          </cell>
          <cell r="E197">
            <v>4.55</v>
          </cell>
          <cell r="F197" t="str">
            <v>Bỏ chọn</v>
          </cell>
          <cell r="G197"/>
          <cell r="H197"/>
        </row>
        <row r="198">
          <cell r="A198" t="str">
            <v>7.13100612011203</v>
          </cell>
          <cell r="B198" t="str">
            <v>CO-MEIZAN S  0.4L X 20 BTL</v>
          </cell>
          <cell r="C198" t="str">
            <v>DẦU ĂN HIỆU MEIZAN 0,4L</v>
          </cell>
          <cell r="D198" t="str">
            <v>CO-MZS0.4LX20BTL</v>
          </cell>
          <cell r="E198">
            <v>7.28</v>
          </cell>
          <cell r="F198" t="str">
            <v>Bỏ chọn</v>
          </cell>
          <cell r="G198"/>
          <cell r="H198"/>
        </row>
        <row r="199">
          <cell r="A199" t="str">
            <v>7.13100612012003</v>
          </cell>
          <cell r="B199" t="str">
            <v>CO-MEIZAN S 0.4L X 30 BTL</v>
          </cell>
          <cell r="C199" t="str">
            <v>DẦU ĂN HIỆU MEIZAN 0.40L</v>
          </cell>
          <cell r="D199" t="str">
            <v>CO-MZS0.4LX30BTL</v>
          </cell>
          <cell r="E199">
            <v>10.92</v>
          </cell>
          <cell r="F199" t="str">
            <v>Bỏ chọn</v>
          </cell>
          <cell r="G199"/>
          <cell r="H199"/>
        </row>
        <row r="200">
          <cell r="A200" t="str">
            <v>7.13100612170003</v>
          </cell>
          <cell r="B200" t="str">
            <v>CO-MEIZAN S  BTL @ 0.4L</v>
          </cell>
          <cell r="C200" t="str">
            <v>DẦU ĂN HIỆU MEIZAN 0.40L</v>
          </cell>
          <cell r="D200" t="str">
            <v>CO-MZS@0.4LBTL</v>
          </cell>
          <cell r="E200">
            <v>0.36399999999999999</v>
          </cell>
          <cell r="F200" t="str">
            <v>Bỏ chọn</v>
          </cell>
          <cell r="G200"/>
          <cell r="H200"/>
        </row>
        <row r="201">
          <cell r="A201" t="str">
            <v>7.13100613010102</v>
          </cell>
          <cell r="B201" t="str">
            <v>CO-MEIZAN S  16L X 1 BTL</v>
          </cell>
          <cell r="C201" t="str">
            <v>DẦU ĂN HIỆU MEIZAN 16L</v>
          </cell>
          <cell r="D201" t="str">
            <v>CO-MZS16LX1BTL</v>
          </cell>
          <cell r="E201">
            <v>14.56</v>
          </cell>
          <cell r="F201" t="str">
            <v>Bỏ chọn</v>
          </cell>
          <cell r="G201"/>
          <cell r="H201"/>
        </row>
        <row r="202">
          <cell r="A202" t="str">
            <v>7.13100701010704</v>
          </cell>
          <cell r="B202" t="str">
            <v>CO-MEIZAN A 0.25L X 48 BTL</v>
          </cell>
          <cell r="C202" t="str">
            <v>DẦU ĂN HIỆU MEIZAN 0.25L</v>
          </cell>
          <cell r="D202" t="str">
            <v>CO-MZA0.25LX48BTL</v>
          </cell>
          <cell r="E202">
            <v>10.92</v>
          </cell>
          <cell r="F202" t="str">
            <v>Bỏ chọn</v>
          </cell>
          <cell r="G202"/>
          <cell r="H202"/>
        </row>
        <row r="203">
          <cell r="A203" t="str">
            <v>7.13100701170004</v>
          </cell>
          <cell r="B203" t="str">
            <v>CO-MEIZAN A  BTL @ 0.25L</v>
          </cell>
          <cell r="C203" t="str">
            <v>DẦU ĂN HIỆU MEIZAN 0.25L</v>
          </cell>
          <cell r="D203" t="str">
            <v>CO-MZA@0.25LBTL</v>
          </cell>
          <cell r="E203">
            <v>0.22800000000000001</v>
          </cell>
          <cell r="F203" t="str">
            <v>Bỏ chọn</v>
          </cell>
          <cell r="G203"/>
          <cell r="H203"/>
        </row>
        <row r="204">
          <cell r="A204" t="str">
            <v>7.13100703010504</v>
          </cell>
          <cell r="B204" t="str">
            <v>CO-MEIZAN A 1L X 12 BTL</v>
          </cell>
          <cell r="C204" t="str">
            <v>DẦU ĂN HIỆU MEIZAN 1L</v>
          </cell>
          <cell r="D204" t="str">
            <v>CO-MZA1LX12BTL</v>
          </cell>
          <cell r="E204">
            <v>10.92</v>
          </cell>
          <cell r="F204" t="str">
            <v>Bỏ chọn</v>
          </cell>
          <cell r="G204"/>
          <cell r="H204"/>
        </row>
        <row r="205">
          <cell r="A205" t="str">
            <v>7.13100703170004</v>
          </cell>
          <cell r="B205" t="str">
            <v>CO-MEIZAN A  BTL @ 1L</v>
          </cell>
          <cell r="C205" t="str">
            <v>DẦU ĂN HIỆU MEIZAN 1L</v>
          </cell>
          <cell r="D205" t="str">
            <v>CO-MZA@1LBTL</v>
          </cell>
          <cell r="E205">
            <v>0.91</v>
          </cell>
          <cell r="F205" t="str">
            <v>Bỏ chọn</v>
          </cell>
          <cell r="G205"/>
          <cell r="H205"/>
        </row>
        <row r="206">
          <cell r="A206" t="str">
            <v>7.13100704010404</v>
          </cell>
          <cell r="B206" t="str">
            <v>CO-MEIZAN A 2L X 6 BTL</v>
          </cell>
          <cell r="C206" t="str">
            <v>DẦU ĂN HIỆU MEIZAN 2L</v>
          </cell>
          <cell r="D206" t="str">
            <v>CO-MZA2LX6BTL</v>
          </cell>
          <cell r="E206">
            <v>10.92</v>
          </cell>
          <cell r="F206" t="str">
            <v>Bỏ chọn</v>
          </cell>
          <cell r="G206"/>
          <cell r="H206"/>
        </row>
        <row r="207">
          <cell r="A207" t="str">
            <v>7.13100704170004</v>
          </cell>
          <cell r="B207" t="str">
            <v>CO-MEIZAN A  BTL @ 2L</v>
          </cell>
          <cell r="C207" t="str">
            <v>DẦU ĂN HIỆU MEIZAN 2L</v>
          </cell>
          <cell r="D207" t="str">
            <v>CO-MZA@2LBTL</v>
          </cell>
          <cell r="E207">
            <v>1.82</v>
          </cell>
          <cell r="F207" t="str">
            <v>Bỏ chọn</v>
          </cell>
          <cell r="G207"/>
          <cell r="H207"/>
        </row>
        <row r="208">
          <cell r="A208" t="str">
            <v>7.13100706010304</v>
          </cell>
          <cell r="B208" t="str">
            <v>CO-MEIZAN A 5L X 4 BTL</v>
          </cell>
          <cell r="C208" t="str">
            <v>DẦU ĂN HIỆU MEIZAN 5L</v>
          </cell>
          <cell r="D208" t="str">
            <v>CO-MZA5LX4BTL</v>
          </cell>
          <cell r="E208">
            <v>18.2</v>
          </cell>
          <cell r="F208" t="str">
            <v>Bỏ chọn</v>
          </cell>
          <cell r="G208"/>
          <cell r="H208"/>
        </row>
        <row r="209">
          <cell r="A209" t="str">
            <v>7.13100706170004</v>
          </cell>
          <cell r="B209" t="str">
            <v>CO-MEIZAN A  BTL @ 5L</v>
          </cell>
          <cell r="C209" t="str">
            <v>DẦU ĂN HIỆU MEIZAN 5L</v>
          </cell>
          <cell r="D209" t="str">
            <v>CO-MZA@5LBTL</v>
          </cell>
          <cell r="E209">
            <v>4.55</v>
          </cell>
          <cell r="F209" t="str">
            <v>Bỏ chọn</v>
          </cell>
          <cell r="G209"/>
          <cell r="H209"/>
        </row>
        <row r="210">
          <cell r="A210" t="str">
            <v>7.13100712011204</v>
          </cell>
          <cell r="B210" t="str">
            <v>CO-MEIZAN A 0.4L X 20 BTL</v>
          </cell>
          <cell r="C210" t="str">
            <v>DẦU ĂN HIỆU MEIZAN 0,4L</v>
          </cell>
          <cell r="D210" t="str">
            <v>CO-MZA0.4LX20BTL</v>
          </cell>
          <cell r="E210">
            <v>7.28</v>
          </cell>
          <cell r="F210" t="str">
            <v>Bỏ chọn</v>
          </cell>
          <cell r="G210"/>
          <cell r="H210"/>
        </row>
        <row r="211">
          <cell r="A211" t="str">
            <v>7.13100712012004</v>
          </cell>
          <cell r="B211" t="str">
            <v>CO-MEIZAN A 0.4L X 30 BTL</v>
          </cell>
          <cell r="C211" t="str">
            <v>DẦU ĂN HIỆU MEIZAN 0.40L</v>
          </cell>
          <cell r="D211" t="str">
            <v>CO-MZA0.4LX30BTL</v>
          </cell>
          <cell r="E211">
            <v>10.92</v>
          </cell>
          <cell r="F211" t="str">
            <v>Bỏ chọn</v>
          </cell>
          <cell r="G211"/>
          <cell r="H211"/>
        </row>
        <row r="212">
          <cell r="A212" t="str">
            <v>7.13100712170004</v>
          </cell>
          <cell r="B212" t="str">
            <v>CO-MEIZAN A  BTL @ 0.4L</v>
          </cell>
          <cell r="C212" t="str">
            <v>DẦU ĂN HIỆU MEIZAN 0.40L</v>
          </cell>
          <cell r="D212" t="str">
            <v>CO-MZA@0.4LBTL</v>
          </cell>
          <cell r="E212">
            <v>0.36399999999999999</v>
          </cell>
          <cell r="F212" t="str">
            <v>Bỏ chọn</v>
          </cell>
          <cell r="G212"/>
          <cell r="H212"/>
        </row>
        <row r="213">
          <cell r="A213" t="str">
            <v>7.13100713010104</v>
          </cell>
          <cell r="B213" t="str">
            <v>CO-MEIZAN A 16L X 1 BTL</v>
          </cell>
          <cell r="C213" t="str">
            <v>DẦU ĂN HIỆU MEIZAN 16L</v>
          </cell>
          <cell r="D213" t="str">
            <v>CO-MZA16LX1BTL</v>
          </cell>
          <cell r="E213">
            <v>14.56</v>
          </cell>
          <cell r="F213" t="str">
            <v>Bỏ chọn</v>
          </cell>
          <cell r="G213"/>
          <cell r="H213"/>
        </row>
        <row r="214">
          <cell r="A214" t="str">
            <v>7.13100801012004</v>
          </cell>
          <cell r="B214" t="str">
            <v>CO-MEIZAN B 0.25L X 30 BTL</v>
          </cell>
          <cell r="C214" t="str">
            <v>DẦU ĂN HIỆU MEIZAN 0,25L</v>
          </cell>
          <cell r="D214" t="str">
            <v>CO-MZB0.25LX30BTL</v>
          </cell>
          <cell r="E214">
            <v>6.8250000000000002</v>
          </cell>
          <cell r="F214" t="str">
            <v>Bỏ chọn</v>
          </cell>
          <cell r="G214"/>
          <cell r="H214"/>
        </row>
        <row r="215">
          <cell r="A215" t="str">
            <v>7.13100801170004</v>
          </cell>
          <cell r="B215" t="str">
            <v>CO-MEIZAN B   BTL @ 0.25L</v>
          </cell>
          <cell r="C215" t="str">
            <v>DẦU ĂN HIỆU MEIZAN 0.25L</v>
          </cell>
          <cell r="D215" t="str">
            <v>CO-MZB@0.25LBTL</v>
          </cell>
          <cell r="E215">
            <v>0.22800000000000001</v>
          </cell>
          <cell r="F215" t="str">
            <v>Bỏ chọn</v>
          </cell>
          <cell r="G215"/>
          <cell r="H215"/>
        </row>
        <row r="216">
          <cell r="A216" t="str">
            <v>7.13100806170004</v>
          </cell>
          <cell r="B216" t="str">
            <v>CO-MEIZAN B  BTL @ 5L</v>
          </cell>
          <cell r="C216" t="str">
            <v>DẦU ĂN HIỆU MEIZAN 5L</v>
          </cell>
          <cell r="D216" t="str">
            <v>CO-MZB@5LBTL</v>
          </cell>
          <cell r="E216">
            <v>4.55</v>
          </cell>
          <cell r="F216" t="str">
            <v>Bỏ chọn</v>
          </cell>
          <cell r="G216"/>
          <cell r="H216"/>
        </row>
        <row r="217">
          <cell r="A217" t="str">
            <v>7.13100901010704</v>
          </cell>
          <cell r="B217" t="str">
            <v>CO-CAI LAN  0.25L X 48 BTL</v>
          </cell>
          <cell r="C217" t="str">
            <v>DẦU ĂN HIỆU CÁI LÂN 0.25L</v>
          </cell>
          <cell r="D217" t="str">
            <v>CO-CL0.25LX48BTL</v>
          </cell>
          <cell r="E217">
            <v>10.92</v>
          </cell>
          <cell r="F217" t="str">
            <v>Bỏ chọn</v>
          </cell>
          <cell r="G217"/>
          <cell r="H217"/>
        </row>
        <row r="218">
          <cell r="A218" t="str">
            <v>7.13100901170004</v>
          </cell>
          <cell r="B218" t="str">
            <v>CO-CAI LAN  BTL @ 0.25L</v>
          </cell>
          <cell r="C218" t="str">
            <v>DẦU ĂN HIỆU CÁI LÂN 0.25L</v>
          </cell>
          <cell r="D218" t="str">
            <v>CO-CL@0.25LBTL</v>
          </cell>
          <cell r="E218">
            <v>0.22800000000000001</v>
          </cell>
          <cell r="F218" t="str">
            <v>Bỏ chọn</v>
          </cell>
          <cell r="G218"/>
          <cell r="H218"/>
        </row>
        <row r="219">
          <cell r="A219" t="str">
            <v>7.13100903010504</v>
          </cell>
          <cell r="B219" t="str">
            <v>CO-CAI LAN  1L X 12 BTL</v>
          </cell>
          <cell r="C219" t="str">
            <v>DẦU THỰC VẬT TINH LUYỆN NHÃN HIỆU CÁI LÂN 1L</v>
          </cell>
          <cell r="D219" t="str">
            <v>CO-CL1LX12BTL</v>
          </cell>
          <cell r="E219">
            <v>10.92</v>
          </cell>
          <cell r="F219" t="str">
            <v>Chọn</v>
          </cell>
          <cell r="G219"/>
          <cell r="H219" t="str">
            <v>7.13100903170004</v>
          </cell>
        </row>
        <row r="220">
          <cell r="A220" t="str">
            <v>7.13100903170004</v>
          </cell>
          <cell r="B220" t="str">
            <v>CO-CAI LAN   BTL @ 1L</v>
          </cell>
          <cell r="C220" t="str">
            <v>DẦU THỰC VẬT TINH LUYỆN NHÃN HIỆU CÁI LÂN 1L</v>
          </cell>
          <cell r="D220" t="str">
            <v>CO-CL@1LBTL</v>
          </cell>
          <cell r="E220">
            <v>0.91</v>
          </cell>
          <cell r="F220" t="str">
            <v>Chọn</v>
          </cell>
          <cell r="G220"/>
          <cell r="H220"/>
        </row>
        <row r="221">
          <cell r="A221" t="str">
            <v>7.13100904010404</v>
          </cell>
          <cell r="B221" t="str">
            <v>CO-CAI LAN  2L X 6 BTL</v>
          </cell>
          <cell r="C221" t="str">
            <v>DẦU THỰC VẬT TINH LUYỆN NHÃN HIỆU CÁI LÂN 2L</v>
          </cell>
          <cell r="D221" t="str">
            <v>CO-CL2LX6BTL</v>
          </cell>
          <cell r="E221">
            <v>10.92</v>
          </cell>
          <cell r="F221" t="str">
            <v>Chọn</v>
          </cell>
          <cell r="G221"/>
          <cell r="H221" t="str">
            <v>7.13100904170004</v>
          </cell>
        </row>
        <row r="222">
          <cell r="A222" t="str">
            <v>7.13100904170004</v>
          </cell>
          <cell r="B222" t="str">
            <v>CO-CAI LAN  BTL @ 2L</v>
          </cell>
          <cell r="C222" t="str">
            <v>DẦU THỰC VẬT TINH LUYỆN NHÃN HIỆU CÁI LÂN 2L</v>
          </cell>
          <cell r="D222" t="str">
            <v>CO-CL@2LBTL</v>
          </cell>
          <cell r="E222">
            <v>1.82</v>
          </cell>
          <cell r="F222" t="str">
            <v>Chọn</v>
          </cell>
          <cell r="G222"/>
          <cell r="H222"/>
        </row>
        <row r="223">
          <cell r="A223" t="str">
            <v>7.13100906010304</v>
          </cell>
          <cell r="B223" t="str">
            <v>CO-CAI LAN  5L X 4 BTL</v>
          </cell>
          <cell r="C223" t="str">
            <v>DẦU THỰC VẬT TINH LUYỆN NHÃN HIỆU CÁI LÂN 5L</v>
          </cell>
          <cell r="D223" t="str">
            <v>CO-CL5LX4BTL</v>
          </cell>
          <cell r="E223">
            <v>18.2</v>
          </cell>
          <cell r="F223" t="str">
            <v>Chọn</v>
          </cell>
          <cell r="G223"/>
          <cell r="H223" t="str">
            <v>7.13100906170004</v>
          </cell>
        </row>
        <row r="224">
          <cell r="A224" t="str">
            <v>7.13100906170004</v>
          </cell>
          <cell r="B224" t="str">
            <v>CO-CAI LAN  BTL @ 5L</v>
          </cell>
          <cell r="C224" t="str">
            <v>DẦU THỰC VẬT TINH LUYỆN NHÃN HIỆU CÁI LÂN 5L</v>
          </cell>
          <cell r="D224" t="str">
            <v>CO-CL@5LBTL</v>
          </cell>
          <cell r="E224">
            <v>4.55</v>
          </cell>
          <cell r="F224" t="str">
            <v>Chọn</v>
          </cell>
          <cell r="G224"/>
          <cell r="H224"/>
        </row>
        <row r="225">
          <cell r="A225" t="str">
            <v>7.13100912011204</v>
          </cell>
          <cell r="B225" t="str">
            <v>CO-CAI LAN  0.4L X 20 BTL</v>
          </cell>
          <cell r="C225" t="str">
            <v>DẦU THỰC VẬT TINH LUYỆN NHÃN HIỆU CÁI LÂN 0.4L</v>
          </cell>
          <cell r="D225" t="str">
            <v>CO-CL0.4LX20BTL</v>
          </cell>
          <cell r="E225">
            <v>7.28</v>
          </cell>
          <cell r="F225" t="str">
            <v>Bỏ chọn</v>
          </cell>
          <cell r="G225"/>
          <cell r="H225"/>
        </row>
        <row r="226">
          <cell r="A226" t="str">
            <v>7.13100912012004</v>
          </cell>
          <cell r="B226" t="str">
            <v>CO-CAI LAN  0.4L X 30 BTL</v>
          </cell>
          <cell r="C226" t="str">
            <v>DẦU ĂN HIỆU CÁI LÂN 0.40L</v>
          </cell>
          <cell r="D226" t="str">
            <v>CO-CL0.4LX30BTL</v>
          </cell>
          <cell r="E226">
            <v>10.92</v>
          </cell>
          <cell r="F226" t="str">
            <v>Bỏ chọn</v>
          </cell>
          <cell r="G226"/>
          <cell r="H226"/>
        </row>
        <row r="227">
          <cell r="A227" t="str">
            <v>7.13100912170004</v>
          </cell>
          <cell r="B227" t="str">
            <v>CO-CAI LAN   BTL @ 0.4L</v>
          </cell>
          <cell r="C227" t="str">
            <v>DẦU THỰC VẬT TINH LUYỆN NHÃN HIỆU CÁI LÂN 400 ML</v>
          </cell>
          <cell r="D227" t="str">
            <v>CO-CAI LAN   BTL @ 0.4L</v>
          </cell>
          <cell r="E227">
            <v>0.36399999999999999</v>
          </cell>
          <cell r="F227" t="str">
            <v>Bỏ chọn</v>
          </cell>
          <cell r="G227"/>
          <cell r="H227"/>
        </row>
        <row r="228">
          <cell r="A228" t="str">
            <v>7.13100913010104</v>
          </cell>
          <cell r="B228" t="str">
            <v>CO-CAI LAN  16L X 1 BTL</v>
          </cell>
          <cell r="C228" t="str">
            <v>DẦU ĂN HIỆU CÁI LÂN 16L</v>
          </cell>
          <cell r="D228" t="str">
            <v>CO-CL16LX1BTL</v>
          </cell>
          <cell r="E228">
            <v>14.56</v>
          </cell>
          <cell r="F228" t="str">
            <v>Bỏ chọn</v>
          </cell>
          <cell r="G228"/>
          <cell r="H228"/>
        </row>
        <row r="229">
          <cell r="A229" t="str">
            <v>7.13100917180004</v>
          </cell>
          <cell r="B229" t="str">
            <v>CO-CAI LAN @ 200ML-POUCH</v>
          </cell>
          <cell r="C229" t="str">
            <v>DẦU ĂN HIỆU CÁI LÂN TRONG TÚI 200ML</v>
          </cell>
          <cell r="D229" t="str">
            <v>CO-CL0.2LPX60BTL</v>
          </cell>
          <cell r="E229">
            <v>10.92</v>
          </cell>
          <cell r="F229" t="str">
            <v>Bỏ chọn</v>
          </cell>
          <cell r="G229"/>
          <cell r="H229"/>
        </row>
        <row r="230">
          <cell r="A230" t="str">
            <v>7.13100957090104</v>
          </cell>
          <cell r="B230" t="str">
            <v>CO-CAI LAN  BIB @18 KG</v>
          </cell>
          <cell r="C230" t="str">
            <v>DẦU THỰC VẬT TINH LUYỆN NHÃN HIỆU CÁI LÂN TRONG TÚI BÓNG 18KG</v>
          </cell>
          <cell r="D230" t="str">
            <v>CO-CL@18KGBIB</v>
          </cell>
          <cell r="E230">
            <v>18</v>
          </cell>
          <cell r="F230" t="str">
            <v>Chọn</v>
          </cell>
          <cell r="G230"/>
          <cell r="H230"/>
        </row>
        <row r="231">
          <cell r="A231" t="str">
            <v>7.131009591200590</v>
          </cell>
          <cell r="B231" t="str">
            <v>CAI LAN BLEND[OLIV60+NBDSBO] IN JRG@25KG</v>
          </cell>
          <cell r="C231" t="str">
            <v>DẦU THỰC VẬT TINH LUYỆN NHÃN HIỆU CÁI LÂN TRONG CAN NHỰA 25KG</v>
          </cell>
          <cell r="D231" t="str">
            <v>CO-CLA@25KGJRG</v>
          </cell>
          <cell r="E231">
            <v>25</v>
          </cell>
          <cell r="F231" t="str">
            <v>Chọn</v>
          </cell>
          <cell r="G231"/>
          <cell r="H231"/>
        </row>
        <row r="232">
          <cell r="A232" t="str">
            <v>7.13100961090804</v>
          </cell>
          <cell r="B232" t="str">
            <v>CO-CAI LAN  6KG X 3 BIB</v>
          </cell>
          <cell r="C232" t="str">
            <v>DẦU ĂN HIỆU CÁI LÂN TRONG TÚI BÓNG 6KG X 3</v>
          </cell>
          <cell r="D232" t="str">
            <v>CO-CL6KGX3BIB</v>
          </cell>
          <cell r="E232">
            <v>18</v>
          </cell>
          <cell r="F232" t="str">
            <v>Bỏ chọn</v>
          </cell>
          <cell r="G232"/>
          <cell r="H232"/>
        </row>
        <row r="233">
          <cell r="A233" t="str">
            <v>7.13101001010703</v>
          </cell>
          <cell r="B233" t="str">
            <v>CO-CAI LAN S 0.25L X 48 BTL</v>
          </cell>
          <cell r="C233" t="str">
            <v>DẦU ĂN HIỆU CÁI LÂN 0.25L</v>
          </cell>
          <cell r="D233" t="str">
            <v>CO-CLS0.25LX48BTL</v>
          </cell>
          <cell r="E233">
            <v>10.92</v>
          </cell>
          <cell r="F233" t="str">
            <v>Bỏ chọn</v>
          </cell>
          <cell r="G233"/>
          <cell r="H233"/>
        </row>
        <row r="234">
          <cell r="A234" t="str">
            <v>7.13101001170003</v>
          </cell>
          <cell r="B234" t="str">
            <v>CO-CAI LAN S   BTL @ 0.25L</v>
          </cell>
          <cell r="C234" t="str">
            <v>DẦU ĂN HIỆU CÁI LÂN 0.25L</v>
          </cell>
          <cell r="D234" t="str">
            <v>CO-CLS@0.25LBTL</v>
          </cell>
          <cell r="E234">
            <v>0.22800000000000001</v>
          </cell>
          <cell r="F234" t="str">
            <v>Bỏ chọn</v>
          </cell>
          <cell r="G234"/>
          <cell r="H234"/>
        </row>
        <row r="235">
          <cell r="A235" t="str">
            <v>7.13101003010503</v>
          </cell>
          <cell r="B235" t="str">
            <v>CO-CAI LAN S 1L X 12 BTL</v>
          </cell>
          <cell r="C235" t="str">
            <v>DẦU THỰC VẬT TINH LUYỆN NHÃN HIỆU CÁI LÂN 1L</v>
          </cell>
          <cell r="D235" t="str">
            <v>CO-CLS1LX12BTL</v>
          </cell>
          <cell r="E235">
            <v>10.92</v>
          </cell>
          <cell r="F235" t="str">
            <v>Chọn</v>
          </cell>
          <cell r="G235"/>
          <cell r="H235" t="str">
            <v>7.13101003170003</v>
          </cell>
        </row>
        <row r="236">
          <cell r="A236" t="str">
            <v>7.13101003170003</v>
          </cell>
          <cell r="B236" t="str">
            <v>CO-CAI LAN S  BTL @ 1L</v>
          </cell>
          <cell r="C236" t="str">
            <v>DẦU THỰC VẬT TINH LUYỆN NHÃN HIỆU CÁI LÂN 1L</v>
          </cell>
          <cell r="D236" t="str">
            <v>CO-CLS@1LBTL</v>
          </cell>
          <cell r="E236">
            <v>0.91</v>
          </cell>
          <cell r="F236" t="str">
            <v>Chọn</v>
          </cell>
          <cell r="G236"/>
          <cell r="H236"/>
        </row>
        <row r="237">
          <cell r="A237" t="str">
            <v>7.13101004010403</v>
          </cell>
          <cell r="B237" t="str">
            <v>CO-CAI LAN S 2L X 6 BTL</v>
          </cell>
          <cell r="C237" t="str">
            <v>DẦU THỰC VẬT TINH LUYỆN NHÃN HIỆU CÁI LÂN 2L</v>
          </cell>
          <cell r="D237" t="str">
            <v>CO-CLS2LX6BTL</v>
          </cell>
          <cell r="E237">
            <v>10.92</v>
          </cell>
          <cell r="F237" t="str">
            <v>Chọn</v>
          </cell>
          <cell r="G237"/>
          <cell r="H237" t="str">
            <v>7.13101004170003</v>
          </cell>
        </row>
        <row r="238">
          <cell r="A238" t="str">
            <v>7.13101004170003</v>
          </cell>
          <cell r="B238" t="str">
            <v>CO-CAI LAN S  BTL @ 2L</v>
          </cell>
          <cell r="C238" t="str">
            <v>DẦU THỰC VẬT TINH LUYỆN NHÃN HIỆU CÁI LÂN 2L</v>
          </cell>
          <cell r="D238" t="str">
            <v>CO-CLS@2LBTL</v>
          </cell>
          <cell r="E238">
            <v>1.82</v>
          </cell>
          <cell r="F238" t="str">
            <v>Chọn</v>
          </cell>
          <cell r="G238"/>
          <cell r="H238"/>
        </row>
        <row r="239">
          <cell r="A239" t="str">
            <v>7.13101006010303</v>
          </cell>
          <cell r="B239" t="str">
            <v>CO-CAI LAN S 5L X 4 BTL</v>
          </cell>
          <cell r="C239" t="str">
            <v>DẦU THỰC VẬT TINH LUYỆN NHÃN HIỆU CÁI LÂN 5L</v>
          </cell>
          <cell r="D239" t="str">
            <v>CO-CLS5LX4BTL</v>
          </cell>
          <cell r="E239">
            <v>18.2</v>
          </cell>
          <cell r="F239" t="str">
            <v>Chọn</v>
          </cell>
          <cell r="G239"/>
          <cell r="H239" t="str">
            <v>7.13101006170003</v>
          </cell>
        </row>
        <row r="240">
          <cell r="A240" t="str">
            <v>7.13101006170003</v>
          </cell>
          <cell r="B240" t="str">
            <v>CO-CAI LAN S  BTL @ 5L</v>
          </cell>
          <cell r="C240" t="str">
            <v>DẦU THỰC VẬT TINH LUYỆN NHÃN HIỆU CÁI LÂN 5L</v>
          </cell>
          <cell r="D240" t="str">
            <v>CO-CLS@5LBTL</v>
          </cell>
          <cell r="E240">
            <v>4.55</v>
          </cell>
          <cell r="F240" t="str">
            <v>Chọn</v>
          </cell>
          <cell r="G240"/>
          <cell r="H240"/>
        </row>
        <row r="241">
          <cell r="A241" t="str">
            <v>7.13101012011203</v>
          </cell>
          <cell r="B241" t="str">
            <v>CO-CAI LAN S  0.4L X 20 BTL</v>
          </cell>
          <cell r="C241" t="str">
            <v>DẦU THỰC VẬT TINH LUYỆN NHÃN HIỆU CÁI LÂN 400 ML</v>
          </cell>
          <cell r="D241" t="str">
            <v>CO-CLS0.4LX20BTL</v>
          </cell>
          <cell r="E241">
            <v>7.28</v>
          </cell>
          <cell r="F241" t="str">
            <v>Bỏ chọn</v>
          </cell>
          <cell r="G241"/>
          <cell r="H241"/>
        </row>
        <row r="242">
          <cell r="A242" t="str">
            <v>7.13101012012003</v>
          </cell>
          <cell r="B242" t="str">
            <v>CO-CAI LAN S 0.4L X 30 BTL</v>
          </cell>
          <cell r="C242" t="str">
            <v>DẦU ĂN HIỆU CÁI LÂN 0.40L</v>
          </cell>
          <cell r="D242" t="str">
            <v>CO-CLS0.4LX30BTL</v>
          </cell>
          <cell r="E242">
            <v>10.92</v>
          </cell>
          <cell r="F242" t="str">
            <v>Bỏ chọn</v>
          </cell>
          <cell r="G242"/>
          <cell r="H242"/>
        </row>
        <row r="243">
          <cell r="A243" t="str">
            <v>7.13101012170003</v>
          </cell>
          <cell r="B243" t="str">
            <v>CO-CAI LAN S  BTL @ 0.4L</v>
          </cell>
          <cell r="C243" t="str">
            <v>DẦU THỰC VẬT TINH LUYỆN NHÃN HIỆU CÁI LÂN 400 ML</v>
          </cell>
          <cell r="D243" t="str">
            <v>CO-CLS@0.4LBTL</v>
          </cell>
          <cell r="E243">
            <v>0.36399999999999999</v>
          </cell>
          <cell r="F243" t="str">
            <v>Bỏ chọn</v>
          </cell>
          <cell r="G243"/>
          <cell r="H243"/>
        </row>
        <row r="244">
          <cell r="A244" t="str">
            <v>7.13101013010104</v>
          </cell>
          <cell r="B244" t="str">
            <v>CO-CAI LAN S  16L X 1 BTL</v>
          </cell>
          <cell r="C244" t="str">
            <v>DẦU ĂN HIỆU CÁI LÂN 16L</v>
          </cell>
          <cell r="D244" t="str">
            <v>CO-CLS16LX1BTL</v>
          </cell>
          <cell r="E244">
            <v>14.56</v>
          </cell>
          <cell r="F244" t="str">
            <v>Bỏ chọn</v>
          </cell>
          <cell r="G244"/>
          <cell r="H244"/>
        </row>
        <row r="245">
          <cell r="A245" t="str">
            <v>7.13101057090104</v>
          </cell>
          <cell r="B245" t="str">
            <v>CO-CAI LAN S BIB @18KG</v>
          </cell>
          <cell r="C245" t="str">
            <v>DẦU ĂN HIỆU CÁI LÂN TRONG TÚI BÓNG 18KG</v>
          </cell>
          <cell r="D245" t="str">
            <v>CO-CLS@18KGBIB</v>
          </cell>
          <cell r="E245">
            <v>18</v>
          </cell>
          <cell r="F245" t="str">
            <v>Chọn</v>
          </cell>
          <cell r="G245"/>
          <cell r="H245"/>
        </row>
        <row r="246">
          <cell r="A246" t="str">
            <v>7.13101061090804</v>
          </cell>
          <cell r="B246" t="str">
            <v>CO-CAI LAN S  6KG X 3 BIB</v>
          </cell>
          <cell r="C246" t="str">
            <v>DẦU ĂN HIỆU CÁI LÂN TRONG TÚI BÓNG 6KG X 3</v>
          </cell>
          <cell r="D246" t="str">
            <v>CO-CLS6KGX3BIB</v>
          </cell>
          <cell r="E246">
            <v>18</v>
          </cell>
          <cell r="F246" t="str">
            <v>Bỏ chọn</v>
          </cell>
          <cell r="G246"/>
          <cell r="H246"/>
        </row>
        <row r="247">
          <cell r="A247" t="str">
            <v>7.13101101010704</v>
          </cell>
          <cell r="B247" t="str">
            <v>CO-CAI LAN A 0.25L X 48 BTL</v>
          </cell>
          <cell r="C247" t="str">
            <v>DẦU ĂN HIỆU CÁI LÂN 0.25L</v>
          </cell>
          <cell r="D247" t="str">
            <v>CO-CLA0.25LX48BTL</v>
          </cell>
          <cell r="E247">
            <v>10.92</v>
          </cell>
          <cell r="F247" t="str">
            <v>Bỏ chọn</v>
          </cell>
          <cell r="G247"/>
          <cell r="H247"/>
        </row>
        <row r="248">
          <cell r="A248" t="str">
            <v>7.13101101170004</v>
          </cell>
          <cell r="B248" t="str">
            <v>CO-CAI LAN A  BTL @ 0.25L</v>
          </cell>
          <cell r="C248" t="str">
            <v>DẦU ĂN HIỆU CÁI LÂN 0.25L</v>
          </cell>
          <cell r="D248" t="str">
            <v>CO-CLA@0.25LBTL</v>
          </cell>
          <cell r="E248">
            <v>0.22800000000000001</v>
          </cell>
          <cell r="F248" t="str">
            <v>Bỏ chọn</v>
          </cell>
          <cell r="G248"/>
          <cell r="H248"/>
        </row>
        <row r="249">
          <cell r="A249" t="str">
            <v>7.13101103010504</v>
          </cell>
          <cell r="B249" t="str">
            <v>CO-CAI LAN A 1L X 12 BTL</v>
          </cell>
          <cell r="C249" t="str">
            <v>DẦU THỰC VẬT TINH LUYỆN NHÃN HIỆU CÁI LÂN 1L</v>
          </cell>
          <cell r="D249" t="str">
            <v>CO-CLA1LX12BTL</v>
          </cell>
          <cell r="E249">
            <v>10.92</v>
          </cell>
          <cell r="F249" t="str">
            <v>Chọn</v>
          </cell>
          <cell r="G249"/>
          <cell r="H249" t="str">
            <v>7.13101103170004</v>
          </cell>
        </row>
        <row r="250">
          <cell r="A250" t="str">
            <v>7.13101103170004</v>
          </cell>
          <cell r="B250" t="str">
            <v>CO-CAI LAN A  BTL @ 1L</v>
          </cell>
          <cell r="C250" t="str">
            <v>DẦU THỰC VẬT TINH LUYỆN NHÃN HIỆU CÁI LÂN 1L</v>
          </cell>
          <cell r="D250" t="str">
            <v>CO-CLA@1LBTL</v>
          </cell>
          <cell r="E250">
            <v>0.91</v>
          </cell>
          <cell r="F250" t="str">
            <v>Chọn</v>
          </cell>
          <cell r="G250"/>
          <cell r="H250"/>
        </row>
        <row r="251">
          <cell r="A251" t="str">
            <v>7.13101104010404</v>
          </cell>
          <cell r="B251" t="str">
            <v>CO-CAI LAN A 2L X 6 BTL</v>
          </cell>
          <cell r="C251" t="str">
            <v>DẦU THỰC VẬT TINH LUYỆN NHÃN HIỆU CÁI LÂN 2L</v>
          </cell>
          <cell r="D251" t="str">
            <v>CO-CLA2LX6BTL</v>
          </cell>
          <cell r="E251">
            <v>10.92</v>
          </cell>
          <cell r="F251" t="str">
            <v>Chọn</v>
          </cell>
          <cell r="G251"/>
          <cell r="H251" t="str">
            <v>7.13101104170004</v>
          </cell>
        </row>
        <row r="252">
          <cell r="A252" t="str">
            <v>7.13101104170004</v>
          </cell>
          <cell r="B252" t="str">
            <v>CO-CAI LAN A  BTL @ 2L</v>
          </cell>
          <cell r="C252" t="str">
            <v>DẦU THỰC VẬT TINH LUYỆN NHÃN HIỆU CÁI LÂN 2L</v>
          </cell>
          <cell r="D252" t="str">
            <v>CO-CLA@2LBTL</v>
          </cell>
          <cell r="E252">
            <v>1.82</v>
          </cell>
          <cell r="F252" t="str">
            <v>Chọn</v>
          </cell>
          <cell r="G252"/>
          <cell r="H252"/>
        </row>
        <row r="253">
          <cell r="A253" t="str">
            <v>7.13101106010304</v>
          </cell>
          <cell r="B253" t="str">
            <v>CO-CAI LAN A 5L X 4 BTL</v>
          </cell>
          <cell r="C253" t="str">
            <v>DẦU THỰC VẬT TINH LUYỆN NHÃN HIỆU CÁI LÂN 5L</v>
          </cell>
          <cell r="D253" t="str">
            <v>CO-CLA5LX4BTL</v>
          </cell>
          <cell r="E253">
            <v>18.2</v>
          </cell>
          <cell r="F253" t="str">
            <v>Chọn</v>
          </cell>
          <cell r="G253"/>
          <cell r="H253" t="str">
            <v>7.13101106170004</v>
          </cell>
        </row>
        <row r="254">
          <cell r="A254" t="str">
            <v>7.13101106170004</v>
          </cell>
          <cell r="B254" t="str">
            <v>CO-CAI LAN A  BTL @ 5L</v>
          </cell>
          <cell r="C254" t="str">
            <v>DẦU THỰC VẬT TINH LUYỆN NHÃN HIỆU CÁI LÂN 5L</v>
          </cell>
          <cell r="D254" t="str">
            <v>CO-CLA@5LBTL</v>
          </cell>
          <cell r="E254">
            <v>4.55</v>
          </cell>
          <cell r="F254" t="str">
            <v>Chọn</v>
          </cell>
          <cell r="G254"/>
          <cell r="H254"/>
        </row>
        <row r="255">
          <cell r="A255" t="str">
            <v>7.13101112011204</v>
          </cell>
          <cell r="B255" t="str">
            <v>CO-CAI LAN A  0.4L X 20 BTL</v>
          </cell>
          <cell r="C255" t="str">
            <v>DẦU THỰC VẬT TINH LUYỆN NHÃN HIỆU CÁI LÂN 400 ML</v>
          </cell>
          <cell r="D255" t="str">
            <v>CO-CLA0.4LX20BTL</v>
          </cell>
          <cell r="E255">
            <v>7.28</v>
          </cell>
          <cell r="F255" t="str">
            <v>Bỏ chọn</v>
          </cell>
          <cell r="G255"/>
          <cell r="H255"/>
        </row>
        <row r="256">
          <cell r="A256" t="str">
            <v>7.13101112012004</v>
          </cell>
          <cell r="B256" t="str">
            <v>CO-CAI LAN A 0.4L X 30 BTL</v>
          </cell>
          <cell r="C256" t="str">
            <v>DẦU ĂN HIỆU CÁI LÂN 0.40L</v>
          </cell>
          <cell r="D256" t="str">
            <v>CO-CLA0.4LX30BTL</v>
          </cell>
          <cell r="E256">
            <v>10.92</v>
          </cell>
          <cell r="F256" t="str">
            <v>Bỏ chọn</v>
          </cell>
          <cell r="G256"/>
          <cell r="H256"/>
        </row>
        <row r="257">
          <cell r="A257" t="str">
            <v>7.13101112170004</v>
          </cell>
          <cell r="B257" t="str">
            <v>CO-CAI LAN A  BTL @ 0.4L</v>
          </cell>
          <cell r="C257" t="str">
            <v>DẦU THỰC VẬT TINH LUYỆN NHÃN HIỆU CÁI LÂN 400 ML</v>
          </cell>
          <cell r="D257" t="str">
            <v>CO-CLA@0.4LBTL</v>
          </cell>
          <cell r="E257">
            <v>0.36399999999999999</v>
          </cell>
          <cell r="F257" t="str">
            <v>Bỏ chọn</v>
          </cell>
          <cell r="G257"/>
          <cell r="H257"/>
        </row>
        <row r="258">
          <cell r="A258" t="str">
            <v>7.13101113010104</v>
          </cell>
          <cell r="B258" t="str">
            <v>CO-CAI LAN A 16L X 1 BTL</v>
          </cell>
          <cell r="C258" t="str">
            <v>DẦU ĂN HIỆU CÁI LÂN 16L</v>
          </cell>
          <cell r="D258" t="str">
            <v>CO-CLA16LX1BTL</v>
          </cell>
          <cell r="E258">
            <v>14.56</v>
          </cell>
          <cell r="F258" t="str">
            <v>Bỏ chọn</v>
          </cell>
          <cell r="G258"/>
          <cell r="H258"/>
        </row>
        <row r="259">
          <cell r="A259" t="str">
            <v>7.13101157090104</v>
          </cell>
          <cell r="B259" t="str">
            <v>CO-CAI LAN A  BIB @18KG</v>
          </cell>
          <cell r="C259" t="str">
            <v>DẦU ĂN HIỆU CÁI LÂN TRONG TÚI BÓNG 18KG</v>
          </cell>
          <cell r="D259" t="str">
            <v>CO-CLA@18KGBIB</v>
          </cell>
          <cell r="E259">
            <v>18</v>
          </cell>
          <cell r="F259" t="str">
            <v>Bỏ chọn</v>
          </cell>
          <cell r="G259"/>
          <cell r="H259"/>
        </row>
        <row r="260">
          <cell r="A260" t="str">
            <v>7.13101157120004</v>
          </cell>
          <cell r="B260" t="str">
            <v>CO-CAI LAN A  JRG @18KG</v>
          </cell>
          <cell r="C260" t="str">
            <v>DẦU ĂN HIỆU CÁI LÂN, CAN NHỰA 18KG</v>
          </cell>
          <cell r="D260" t="str">
            <v>CO-CLA@18KGJRG</v>
          </cell>
          <cell r="E260">
            <v>18</v>
          </cell>
          <cell r="F260" t="str">
            <v>Bỏ chọn</v>
          </cell>
          <cell r="G260"/>
          <cell r="H260"/>
        </row>
        <row r="261">
          <cell r="A261" t="str">
            <v>7.13101161090804</v>
          </cell>
          <cell r="B261" t="str">
            <v>CO-CAI LAN A 6KG X 3 BIB</v>
          </cell>
          <cell r="C261" t="str">
            <v>DẦU ĂN HIỆU CÁI LÂN TRONG TÚI BÓNG 6KG X 3</v>
          </cell>
          <cell r="D261" t="str">
            <v>CO-CLA6KGX3BIB</v>
          </cell>
          <cell r="E261">
            <v>18</v>
          </cell>
          <cell r="F261" t="str">
            <v>Bỏ chọn</v>
          </cell>
          <cell r="G261"/>
          <cell r="H261"/>
        </row>
        <row r="262">
          <cell r="A262" t="str">
            <v>7.13101203170004</v>
          </cell>
          <cell r="B262" t="str">
            <v>CO-CAI LAN B  BTL @ 1L</v>
          </cell>
          <cell r="C262" t="str">
            <v>DẦU ĂN HIỆU CÁI LÂN 1L</v>
          </cell>
          <cell r="D262" t="str">
            <v>CO-CLB@1LBTL</v>
          </cell>
          <cell r="E262">
            <v>0.91</v>
          </cell>
          <cell r="F262" t="str">
            <v>Bỏ chọn</v>
          </cell>
          <cell r="G262"/>
          <cell r="H262"/>
        </row>
        <row r="263">
          <cell r="A263" t="str">
            <v>7.13101206170004</v>
          </cell>
          <cell r="B263" t="str">
            <v>CO-CAI LAN B  BTL @ 5L</v>
          </cell>
          <cell r="C263" t="str">
            <v>DẦU ĂN HIỆU CÁI LÂN 5L</v>
          </cell>
          <cell r="D263" t="str">
            <v>CO-CLB@5LBTL</v>
          </cell>
          <cell r="E263">
            <v>4.55</v>
          </cell>
          <cell r="F263" t="str">
            <v>Bỏ chọn</v>
          </cell>
          <cell r="G263"/>
          <cell r="H263"/>
        </row>
        <row r="264">
          <cell r="A264" t="str">
            <v>7.13101452022005</v>
          </cell>
          <cell r="B264" t="str">
            <v>SATELLITE-SOLID COOKING OIL 500GRM X 30</v>
          </cell>
          <cell r="C264" t="str">
            <v>DẦU THỰC VẬT ĐẶC HIỆU SATELLITE 500 GR</v>
          </cell>
          <cell r="D264" t="str">
            <v>CO-ST500GRMX30</v>
          </cell>
          <cell r="E264">
            <v>15</v>
          </cell>
          <cell r="F264" t="str">
            <v>Bỏ chọn</v>
          </cell>
          <cell r="G264"/>
          <cell r="H264"/>
        </row>
        <row r="265">
          <cell r="A265" t="str">
            <v>7.13101457090101</v>
          </cell>
          <cell r="B265" t="str">
            <v>SATELLITE RELEASE OIL IN BIB @18 KG</v>
          </cell>
          <cell r="C265" t="str">
            <v>DẦU TRÁNG KHUÔN HIỆU SATELLITE ĐÓNG TRONG THÙNG BIB 18KG</v>
          </cell>
          <cell r="D265" t="str">
            <v>CO-STREALO@18KGBIB</v>
          </cell>
          <cell r="E265">
            <v>18</v>
          </cell>
          <cell r="F265" t="str">
            <v>Bỏ chọn</v>
          </cell>
          <cell r="G265"/>
          <cell r="H265"/>
        </row>
        <row r="266">
          <cell r="A266" t="str">
            <v>7.13101457090104</v>
          </cell>
          <cell r="B266" t="str">
            <v>SATELLITE-VEGETABLE OIL BIB @18 KG</v>
          </cell>
          <cell r="C266" t="str">
            <v>DẦU ĂN HIỆU SATELLITE TRONG TÚI BIB 18KG</v>
          </cell>
          <cell r="D266" t="str">
            <v>ST-VO@18KGBIB</v>
          </cell>
          <cell r="E266">
            <v>18</v>
          </cell>
          <cell r="F266" t="str">
            <v>Bỏ chọn</v>
          </cell>
          <cell r="G266"/>
          <cell r="H266"/>
        </row>
        <row r="267">
          <cell r="A267" t="str">
            <v>7.13101457090107</v>
          </cell>
          <cell r="B267" t="str">
            <v>SATELLITE MOON CAKE OIL BIB 18KG</v>
          </cell>
          <cell r="C267" t="str">
            <v>DẦU DÙNG LÀM BÁNH TRUNG THU HIỆU SATELLITE TRONG TÚI BÓNG 18KG</v>
          </cell>
          <cell r="D267" t="str">
            <v>CO-STMC@18KGBIB</v>
          </cell>
          <cell r="E267">
            <v>18</v>
          </cell>
          <cell r="F267" t="str">
            <v>Bỏ chọn</v>
          </cell>
          <cell r="G267"/>
          <cell r="H267"/>
        </row>
        <row r="268">
          <cell r="A268" t="str">
            <v>7.13101457120017</v>
          </cell>
          <cell r="B268" t="str">
            <v>SATELLITE RELEASE OIL IN JRG @18 KG</v>
          </cell>
          <cell r="C268" t="str">
            <v>DẦU TRÁNG KHUÔN</v>
          </cell>
          <cell r="D268" t="str">
            <v>CO-STREALO@18KGJRG</v>
          </cell>
          <cell r="E268">
            <v>18</v>
          </cell>
          <cell r="F268" t="str">
            <v>Bỏ chọn</v>
          </cell>
          <cell r="G268"/>
          <cell r="H268"/>
        </row>
        <row r="269">
          <cell r="A269" t="str">
            <v>7.13101459080115</v>
          </cell>
          <cell r="B269" t="str">
            <v>SATELLITE SOLID COOKING OIL@ 25KG</v>
          </cell>
          <cell r="C269" t="str">
            <v>DẦU THỰC VẬT ĐẶC HIỆU SATELLITE 25KG</v>
          </cell>
          <cell r="D269" t="str">
            <v>STSOLID@25KG</v>
          </cell>
          <cell r="E269">
            <v>25</v>
          </cell>
          <cell r="F269" t="str">
            <v>Bỏ chọn</v>
          </cell>
          <cell r="G269"/>
          <cell r="H269"/>
        </row>
        <row r="270">
          <cell r="A270" t="str">
            <v>7.13101461090805</v>
          </cell>
          <cell r="B270" t="str">
            <v>SATELLITE SOLID COOKING OIL @6KG X 3BIB</v>
          </cell>
          <cell r="C270" t="str">
            <v>DẦU ĐẶC HIỆU SATELLITE TRONG 3 TÚI BIB 6KG MỖI TÚI</v>
          </cell>
          <cell r="D270" t="str">
            <v>STSOLID6KGX3BIB</v>
          </cell>
          <cell r="E270">
            <v>18</v>
          </cell>
          <cell r="F270" t="str">
            <v>Bỏ chọn</v>
          </cell>
          <cell r="G270"/>
          <cell r="H270"/>
        </row>
        <row r="271">
          <cell r="A271" t="str">
            <v>7.13101757090108</v>
          </cell>
          <cell r="B271" t="str">
            <v>CO-CAI LAN P  BIB @18 KG</v>
          </cell>
          <cell r="C271" t="str">
            <v>DẦU ĂN HIỆU CÁI LÂN TRONG TÚI BÓNG 18KG</v>
          </cell>
          <cell r="D271" t="str">
            <v>CO-CLP@18KGBIB</v>
          </cell>
          <cell r="E271">
            <v>18</v>
          </cell>
          <cell r="F271" t="str">
            <v>Bỏ chọn</v>
          </cell>
          <cell r="G271"/>
          <cell r="H271"/>
        </row>
        <row r="272">
          <cell r="A272" t="str">
            <v>7.13101761090808</v>
          </cell>
          <cell r="B272" t="str">
            <v>CO-CAI LAN P  6KG X 3 BIB</v>
          </cell>
          <cell r="C272" t="str">
            <v>DẦU ĂN HIỆU CÁI LÂN TRONG TÚI BÓNG 6KG X 3</v>
          </cell>
          <cell r="D272" t="str">
            <v>CO-CLP6KGX3BIB</v>
          </cell>
          <cell r="E272">
            <v>18</v>
          </cell>
          <cell r="F272" t="str">
            <v>Bỏ chọn</v>
          </cell>
          <cell r="G272"/>
          <cell r="H272"/>
        </row>
        <row r="273">
          <cell r="A273" t="str">
            <v>7.131021011700610</v>
          </cell>
          <cell r="B273" t="str">
            <v>CO-NEPTUNE 1:1:1 BTL @ 0.25L</v>
          </cell>
          <cell r="C273" t="str">
            <v>DẦU ĂN HIỆU NEPTUNE 250ML</v>
          </cell>
          <cell r="D273" t="str">
            <v>CO-NEP111@0.25LBTL</v>
          </cell>
          <cell r="E273">
            <v>0.22800000000000001</v>
          </cell>
          <cell r="F273" t="str">
            <v>Bỏ chọn</v>
          </cell>
          <cell r="G273"/>
          <cell r="H273"/>
        </row>
        <row r="274">
          <cell r="A274" t="str">
            <v>7.131021011720610</v>
          </cell>
          <cell r="B274" t="str">
            <v>CO-NEPTUNE 1:1:1 0.25L X 30 BTL</v>
          </cell>
          <cell r="C274" t="str">
            <v>DẦU ĂN HIỆU NEPTUNE 0.25ML</v>
          </cell>
          <cell r="D274" t="str">
            <v>CO-NEP111025LX30BL</v>
          </cell>
          <cell r="E274">
            <v>6.8250000000000002</v>
          </cell>
          <cell r="F274" t="str">
            <v>Bỏ chọn</v>
          </cell>
          <cell r="G274"/>
          <cell r="H274"/>
        </row>
        <row r="275">
          <cell r="A275" t="str">
            <v>7.13102103010510</v>
          </cell>
          <cell r="B275" t="str">
            <v>CO-NEPTUNE 1:1:1 1L X 12 BTL</v>
          </cell>
          <cell r="C275" t="str">
            <v>DẦU ĂN HIỆU NEPTUNE 1L</v>
          </cell>
          <cell r="D275" t="str">
            <v>CO-NEP111-1LX12BTL</v>
          </cell>
          <cell r="E275">
            <v>10.92</v>
          </cell>
          <cell r="F275" t="str">
            <v>Bỏ chọn</v>
          </cell>
          <cell r="G275"/>
          <cell r="H275"/>
        </row>
        <row r="276">
          <cell r="A276" t="str">
            <v>7.13102103170010</v>
          </cell>
          <cell r="B276" t="str">
            <v>CO-NEPTUNE 1:1:1  BTL @ 1L</v>
          </cell>
          <cell r="C276" t="str">
            <v>DẦU ĂN HIỆU NEPTUNE 1:1:1 1L</v>
          </cell>
          <cell r="D276" t="str">
            <v>CO-NEP111@1LBTL</v>
          </cell>
          <cell r="E276">
            <v>0.91</v>
          </cell>
          <cell r="F276" t="str">
            <v>Bỏ chọn</v>
          </cell>
          <cell r="G276"/>
          <cell r="H276"/>
        </row>
        <row r="277">
          <cell r="A277" t="str">
            <v>7.131021031758610</v>
          </cell>
          <cell r="B277" t="str">
            <v>CO-NEPTUNE 1:1:1 1L 4BLOCK X 3 BTL</v>
          </cell>
          <cell r="C277" t="str">
            <v>DẦU ĂN HIỆU NEPTUNE 1:1:1 1L, LOẠI 4BLOCK X 3 CHAI</v>
          </cell>
          <cell r="D277" t="str">
            <v>CO-NEP111-1L, 4 BLOCK</v>
          </cell>
          <cell r="E277">
            <v>10.92</v>
          </cell>
          <cell r="F277" t="str">
            <v>Bỏ chọn</v>
          </cell>
          <cell r="G277"/>
          <cell r="H277"/>
        </row>
        <row r="278">
          <cell r="A278" t="str">
            <v>7.13102104010410</v>
          </cell>
          <cell r="B278" t="str">
            <v>CO-NEPTUNE 1:1:1 2L X 6 BTL</v>
          </cell>
          <cell r="C278" t="str">
            <v>DẦU ĂN HIỆU NEPTUNE 1:1:1 2L</v>
          </cell>
          <cell r="D278" t="str">
            <v>CO-NEP111-2LX6BTL</v>
          </cell>
          <cell r="E278">
            <v>10.92</v>
          </cell>
          <cell r="F278" t="str">
            <v>Bỏ chọn</v>
          </cell>
          <cell r="G278"/>
          <cell r="H278"/>
        </row>
        <row r="279">
          <cell r="A279" t="str">
            <v>7.13102104170010</v>
          </cell>
          <cell r="B279" t="str">
            <v>CO-NEPTUNE 1:1:1  BTL @ 2L</v>
          </cell>
          <cell r="C279" t="str">
            <v>DẦU ĂN HIỆU NEPTUNE 1:1:1 2L</v>
          </cell>
          <cell r="D279" t="str">
            <v>CO-NEP111@2LBTL</v>
          </cell>
          <cell r="E279">
            <v>1.82</v>
          </cell>
          <cell r="F279" t="str">
            <v>Bỏ chọn</v>
          </cell>
          <cell r="G279"/>
          <cell r="H279"/>
        </row>
        <row r="280">
          <cell r="A280" t="str">
            <v>7.13102106010310</v>
          </cell>
          <cell r="B280" t="str">
            <v>CO-NEPTUNE 1:1:1 5L X 4 BTL</v>
          </cell>
          <cell r="C280" t="str">
            <v>DẦU ĂN HIỆU NEPTUNE 5L</v>
          </cell>
          <cell r="D280" t="str">
            <v>CO-NEP111-5LX4BTL</v>
          </cell>
          <cell r="E280">
            <v>18.2</v>
          </cell>
          <cell r="F280" t="str">
            <v>Bỏ chọn</v>
          </cell>
          <cell r="G280"/>
          <cell r="H280"/>
        </row>
        <row r="281">
          <cell r="A281" t="str">
            <v>7.13102106170010</v>
          </cell>
          <cell r="B281" t="str">
            <v>CO-NEPTUNE 1:1:1  BTL @ 5L</v>
          </cell>
          <cell r="C281" t="str">
            <v>DẦU ĂN HIỆU NEPTUNE 1:1:1 5L</v>
          </cell>
          <cell r="D281" t="str">
            <v>CO-NEP111@5LBTL</v>
          </cell>
          <cell r="E281">
            <v>4.55</v>
          </cell>
          <cell r="F281" t="str">
            <v>Bỏ chọn</v>
          </cell>
          <cell r="G281"/>
          <cell r="H281"/>
        </row>
        <row r="282">
          <cell r="A282" t="str">
            <v>7.13102112011210</v>
          </cell>
          <cell r="B282" t="str">
            <v>CO-NEPTUNE 1:1:1 0.4L X 20 BTL</v>
          </cell>
          <cell r="C282" t="str">
            <v>DẦU ĂN HIỆU NEPTUNE 0.4L</v>
          </cell>
          <cell r="D282" t="str">
            <v>CO-NEP111-0.4LX20B</v>
          </cell>
          <cell r="E282">
            <v>7.28</v>
          </cell>
          <cell r="F282" t="str">
            <v>Bỏ chọn</v>
          </cell>
          <cell r="G282"/>
          <cell r="H282"/>
        </row>
        <row r="283">
          <cell r="A283" t="str">
            <v>7.13102112012010</v>
          </cell>
          <cell r="B283" t="str">
            <v>CO-NEPTUNE 1:1:1  @0.4L X 30 BTL</v>
          </cell>
          <cell r="C283" t="str">
            <v>DẦU ĂN HIỆU NEPTUNE 0.4L (1:1:1)</v>
          </cell>
          <cell r="D283" t="str">
            <v>CO-NEP111-0.4LX30B</v>
          </cell>
          <cell r="E283">
            <v>10.92</v>
          </cell>
          <cell r="F283" t="str">
            <v>Bỏ chọn</v>
          </cell>
          <cell r="G283"/>
          <cell r="H283"/>
        </row>
        <row r="284">
          <cell r="A284" t="str">
            <v>7.13102112170010</v>
          </cell>
          <cell r="B284" t="str">
            <v>CO-NEPTUNE 1:1:1  BTL @ 0.4L</v>
          </cell>
          <cell r="C284" t="str">
            <v>DẦU NEPTUNE 1:1:1 0.4L</v>
          </cell>
          <cell r="D284" t="str">
            <v>CO-NEP111@0.4LBTL</v>
          </cell>
          <cell r="E284">
            <v>0.36399999999999999</v>
          </cell>
          <cell r="F284" t="str">
            <v>Bỏ chọn</v>
          </cell>
          <cell r="G284"/>
          <cell r="H284"/>
        </row>
        <row r="285">
          <cell r="A285" t="str">
            <v>7.13102113010110</v>
          </cell>
          <cell r="B285" t="str">
            <v>CO-NEPTUNE 1:1:1 16L X 1 BTL</v>
          </cell>
          <cell r="C285" t="str">
            <v>DẦU ĂN HIỆU NEPTUNE 1:1:1 16L</v>
          </cell>
          <cell r="D285" t="str">
            <v>CO-NEP111-16LX1BTL</v>
          </cell>
          <cell r="E285">
            <v>14.56</v>
          </cell>
          <cell r="F285" t="str">
            <v>Bỏ chọn</v>
          </cell>
          <cell r="G285"/>
          <cell r="H285"/>
        </row>
        <row r="286">
          <cell r="A286" t="str">
            <v>7.131021141700900</v>
          </cell>
          <cell r="B286" t="str">
            <v>CO-NEPTUNE 1:1:1 IN BOTTLE@8L</v>
          </cell>
          <cell r="C286" t="str">
            <v>DẦU ĂN HIỆU NEPTUNE 1:1:1 8L</v>
          </cell>
          <cell r="D286" t="str">
            <v>NEP111 8LBOT</v>
          </cell>
          <cell r="E286">
            <v>7.28</v>
          </cell>
          <cell r="F286" t="str">
            <v>Bỏ chọn</v>
          </cell>
          <cell r="G286"/>
          <cell r="H286"/>
        </row>
        <row r="287">
          <cell r="A287" t="str">
            <v>7.131021141702900</v>
          </cell>
          <cell r="B287" t="str">
            <v>CO-NEPTUNE 1:1:1 8L X 2 BTL</v>
          </cell>
          <cell r="C287" t="str">
            <v>DẦU ĂN HIỆU NEPTUNE 1:1:1, 8LX2 CHAI</v>
          </cell>
          <cell r="D287" t="str">
            <v>NEP111 8LX2</v>
          </cell>
          <cell r="E287">
            <v>14.56</v>
          </cell>
          <cell r="F287" t="str">
            <v>Bỏ chọn</v>
          </cell>
          <cell r="G287"/>
          <cell r="H287"/>
        </row>
        <row r="288">
          <cell r="A288" t="str">
            <v>7.13102214010202</v>
          </cell>
          <cell r="B288" t="str">
            <v>CO-ARO 8L X 2 BTL</v>
          </cell>
          <cell r="C288" t="str">
            <v>DẦU ĂN HIỆU ARO 8L</v>
          </cell>
          <cell r="D288" t="str">
            <v>CO-ARO8LX2BTL</v>
          </cell>
          <cell r="E288">
            <v>14.56</v>
          </cell>
          <cell r="F288" t="str">
            <v>Bỏ chọn</v>
          </cell>
          <cell r="G288"/>
          <cell r="H288"/>
        </row>
        <row r="289">
          <cell r="A289" t="str">
            <v>7.13102214170002</v>
          </cell>
          <cell r="B289" t="str">
            <v>CO-ARO BTL @ 8L</v>
          </cell>
          <cell r="C289" t="str">
            <v>DẦU ĂN HIỆU ARO 8L</v>
          </cell>
          <cell r="D289" t="str">
            <v>CO-ARO@8LBTL</v>
          </cell>
          <cell r="E289">
            <v>7.28</v>
          </cell>
          <cell r="F289" t="str">
            <v>Bỏ chọn</v>
          </cell>
          <cell r="G289"/>
          <cell r="H289"/>
        </row>
        <row r="290">
          <cell r="A290" t="str">
            <v>7.13102216010402</v>
          </cell>
          <cell r="B290" t="str">
            <v>CO-ARO 1.8L X 6 BTL</v>
          </cell>
          <cell r="C290" t="str">
            <v>DẦU ĂN HIỆU ARO 1,8L</v>
          </cell>
          <cell r="D290" t="str">
            <v>CO-ARO1.8LX6BTL</v>
          </cell>
          <cell r="E290">
            <v>9.8279999999999994</v>
          </cell>
          <cell r="F290" t="str">
            <v>Bỏ chọn</v>
          </cell>
          <cell r="G290"/>
          <cell r="H290"/>
        </row>
        <row r="291">
          <cell r="A291" t="str">
            <v>7.13102216170002</v>
          </cell>
          <cell r="B291" t="str">
            <v>CO-ARO BTL @ 1.8L</v>
          </cell>
          <cell r="C291" t="str">
            <v>DẦU ĂN HIỆU ARO 1,8L</v>
          </cell>
          <cell r="D291" t="str">
            <v>CO-ARO@1.8LBTL</v>
          </cell>
          <cell r="E291">
            <v>1.6379999999999999</v>
          </cell>
          <cell r="F291" t="str">
            <v>Bỏ chọn</v>
          </cell>
          <cell r="G291"/>
          <cell r="H291"/>
        </row>
        <row r="292">
          <cell r="A292" t="str">
            <v>7.13102301010512</v>
          </cell>
          <cell r="B292" t="str">
            <v>CO-KIDDY 0.25L X 12 BTL</v>
          </cell>
          <cell r="C292" t="str">
            <v>DẦU ĂN DINH DƯỠNG CHO TRẺ NHÃN HIỆU KIDDY 250 ML</v>
          </cell>
          <cell r="D292" t="str">
            <v>CO-KIDY0.25LX12BTL</v>
          </cell>
          <cell r="E292">
            <v>2.73</v>
          </cell>
          <cell r="F292" t="str">
            <v>Chọn</v>
          </cell>
          <cell r="G292"/>
          <cell r="H292" t="str">
            <v>7.13102301170012</v>
          </cell>
        </row>
        <row r="293">
          <cell r="A293" t="str">
            <v>7.13102301170012</v>
          </cell>
          <cell r="B293" t="str">
            <v>CO-KIDDY BTL @ 0.25L</v>
          </cell>
          <cell r="C293" t="str">
            <v>DẦU ĂN DINH DƯỠNG CHO TRẺ NHÃN HIỆU KIDDY 250 ML</v>
          </cell>
          <cell r="D293" t="str">
            <v>CO-KIDY@0.25L</v>
          </cell>
          <cell r="E293">
            <v>0.22800000000000001</v>
          </cell>
          <cell r="F293" t="str">
            <v>Chọn</v>
          </cell>
          <cell r="G293"/>
          <cell r="H293"/>
        </row>
        <row r="294">
          <cell r="A294" t="str">
            <v>7.131023011700840</v>
          </cell>
          <cell r="B294" t="str">
            <v>KIDDY REFINED OLIVE OIL IN BOTTLE@250ML</v>
          </cell>
          <cell r="C294" t="str">
            <v>DẦU Ô-LIU DINH DƯỠNG CHO TRẺ EM NHÃN HIỆU KIDDY 250 ML</v>
          </cell>
          <cell r="D294" t="str">
            <v>KIDOLI@025BTL</v>
          </cell>
          <cell r="E294">
            <v>0.22700000000000001</v>
          </cell>
          <cell r="F294" t="str">
            <v>Chọn</v>
          </cell>
          <cell r="G294"/>
          <cell r="H294"/>
        </row>
        <row r="295">
          <cell r="A295" t="str">
            <v>7.131023011705840</v>
          </cell>
          <cell r="B295" t="str">
            <v>KIDDY REFINED OLIVE OIL 250ML X 12BTL</v>
          </cell>
          <cell r="C295" t="str">
            <v>DẦU Ô-LIU DINH DƯỠNG CHO TRẺ EM NHÃN HIỆU KIDDY 250 ML</v>
          </cell>
          <cell r="D295" t="str">
            <v>KIDOLIV@025X12</v>
          </cell>
          <cell r="E295">
            <v>2.73</v>
          </cell>
          <cell r="F295" t="str">
            <v>Chọn</v>
          </cell>
          <cell r="G295"/>
          <cell r="H295" t="str">
            <v>7.131023011700840</v>
          </cell>
        </row>
        <row r="296">
          <cell r="A296" t="str">
            <v>7.13102401012013</v>
          </cell>
          <cell r="B296" t="str">
            <v>CO-MEIZAN G2 0.25L X 30 BTL</v>
          </cell>
          <cell r="C296" t="str">
            <v>DẦU ĂN HIỆU MEIZAN, 0,25LX 30 CHAI</v>
          </cell>
          <cell r="D296" t="str">
            <v>CO-MZG2-0.25LX30B</v>
          </cell>
          <cell r="E296">
            <v>6.8250000000000002</v>
          </cell>
          <cell r="F296" t="str">
            <v>Bỏ chọn</v>
          </cell>
          <cell r="G296"/>
          <cell r="H296"/>
        </row>
        <row r="297">
          <cell r="A297" t="str">
            <v>7.13102401170013</v>
          </cell>
          <cell r="B297" t="str">
            <v>CO-MEIZAN G2  BTL @ 0.25L</v>
          </cell>
          <cell r="C297" t="str">
            <v>DẦU ĂN HIỆU MEIZAN 0,25L</v>
          </cell>
          <cell r="D297" t="str">
            <v>CO-MZG2@0.25LBTL</v>
          </cell>
          <cell r="E297">
            <v>0.22800000000000001</v>
          </cell>
          <cell r="F297" t="str">
            <v>Bỏ chọn</v>
          </cell>
          <cell r="G297"/>
          <cell r="H297"/>
        </row>
        <row r="298">
          <cell r="A298" t="str">
            <v>7.13102403010513</v>
          </cell>
          <cell r="B298" t="str">
            <v>CO-MEIZAN G2 1L X 12 BTL</v>
          </cell>
          <cell r="C298" t="str">
            <v>DẦU ĂN HIỆU MEIZAN 1L X 12CHAI</v>
          </cell>
          <cell r="D298" t="str">
            <v>CO-MZG2-1LX12BTL</v>
          </cell>
          <cell r="E298">
            <v>10.92</v>
          </cell>
          <cell r="F298" t="str">
            <v>Bỏ chọn</v>
          </cell>
          <cell r="G298"/>
          <cell r="H298"/>
        </row>
        <row r="299">
          <cell r="A299" t="str">
            <v>7.13102403170013</v>
          </cell>
          <cell r="B299" t="str">
            <v>CO-MEIZAN G2  BTL @ 1L</v>
          </cell>
          <cell r="C299" t="str">
            <v>DẦU ĂN HIỆU MEIZAN 1L</v>
          </cell>
          <cell r="D299" t="str">
            <v>CO-MZG2@1LBTL</v>
          </cell>
          <cell r="E299">
            <v>0.91</v>
          </cell>
          <cell r="F299" t="str">
            <v>Bỏ chọn</v>
          </cell>
          <cell r="G299"/>
          <cell r="H299"/>
        </row>
        <row r="300">
          <cell r="A300" t="str">
            <v>7.13102404010413</v>
          </cell>
          <cell r="B300" t="str">
            <v>CO-MEIZAN G2 2L X 6 BTL</v>
          </cell>
          <cell r="C300" t="str">
            <v>DẦU ĂN HIỆU MEIZAN 2L X 6 CHAI</v>
          </cell>
          <cell r="D300" t="str">
            <v>CO-MZG2-2LX6BTL</v>
          </cell>
          <cell r="E300">
            <v>10.92</v>
          </cell>
          <cell r="F300" t="str">
            <v>Bỏ chọn</v>
          </cell>
          <cell r="G300"/>
          <cell r="H300"/>
        </row>
        <row r="301">
          <cell r="A301" t="str">
            <v>7.13102404170013</v>
          </cell>
          <cell r="B301" t="str">
            <v>CO-MEIZAN G2 BTL @ 2L</v>
          </cell>
          <cell r="C301" t="str">
            <v>DẦU ĂN HIỆU MEIZAN 2L</v>
          </cell>
          <cell r="D301" t="str">
            <v>CO-MZG2@2LBTL</v>
          </cell>
          <cell r="E301">
            <v>1.82</v>
          </cell>
          <cell r="F301" t="str">
            <v>Bỏ chọn</v>
          </cell>
          <cell r="G301"/>
          <cell r="H301"/>
        </row>
        <row r="302">
          <cell r="A302" t="str">
            <v>7.13102406010313</v>
          </cell>
          <cell r="B302" t="str">
            <v>CO-MEIZAN G2 5L X 4 BTL</v>
          </cell>
          <cell r="C302" t="str">
            <v>DẦU ĂN HIỆU MEIZAN 5L</v>
          </cell>
          <cell r="D302" t="str">
            <v>CO-MZG2-5LX4BTL</v>
          </cell>
          <cell r="E302">
            <v>18.2</v>
          </cell>
          <cell r="F302" t="str">
            <v>Bỏ chọn</v>
          </cell>
          <cell r="G302"/>
          <cell r="H302"/>
        </row>
        <row r="303">
          <cell r="A303" t="str">
            <v>7.13102406170013</v>
          </cell>
          <cell r="B303" t="str">
            <v>CO-MEIZAN G2 BTL @ 5L</v>
          </cell>
          <cell r="C303" t="str">
            <v>DẦU ĂN HIỆU MEIZAN 5L</v>
          </cell>
          <cell r="D303" t="str">
            <v>CO-MZG2@5LBTL</v>
          </cell>
          <cell r="E303">
            <v>4.55</v>
          </cell>
          <cell r="F303" t="str">
            <v>Bỏ chọn</v>
          </cell>
          <cell r="G303"/>
          <cell r="H303"/>
        </row>
        <row r="304">
          <cell r="A304" t="str">
            <v>7.13102412011213</v>
          </cell>
          <cell r="B304" t="str">
            <v>CO-MEIZAN G2 0.4L X 20 BTL</v>
          </cell>
          <cell r="C304" t="str">
            <v>DẦU ĂN HIỆU MEIZAN 0,4L X 20 CHAI</v>
          </cell>
          <cell r="D304" t="str">
            <v>CO-MZG2-0.4LX20BTL</v>
          </cell>
          <cell r="E304">
            <v>7.28</v>
          </cell>
          <cell r="F304" t="str">
            <v>Bỏ chọn</v>
          </cell>
          <cell r="G304"/>
          <cell r="H304"/>
        </row>
        <row r="305">
          <cell r="A305" t="str">
            <v>7.13102412170013</v>
          </cell>
          <cell r="B305" t="str">
            <v>CO-MEIZAN G2  BTL @ 0.4L</v>
          </cell>
          <cell r="C305" t="str">
            <v>DẦU ĂN HIỆU MEIZAN 0,4L</v>
          </cell>
          <cell r="D305" t="str">
            <v>CO-MZG2@0.4LBTL</v>
          </cell>
          <cell r="E305">
            <v>0.36399999999999999</v>
          </cell>
          <cell r="F305" t="str">
            <v>Bỏ chọn</v>
          </cell>
          <cell r="G305"/>
          <cell r="H305"/>
        </row>
        <row r="306">
          <cell r="A306" t="str">
            <v>7.13102501010714</v>
          </cell>
          <cell r="B306" t="str">
            <v>CO-MEIZAN G2 S 0.25L X 48 BTL</v>
          </cell>
          <cell r="C306" t="str">
            <v>DẦU ĂN HIỆU MEIZAN 0,25L</v>
          </cell>
          <cell r="D306" t="str">
            <v>CO-MZG2S0.25LX48BT</v>
          </cell>
          <cell r="E306">
            <v>10.92</v>
          </cell>
          <cell r="F306" t="str">
            <v>Bỏ chọn</v>
          </cell>
          <cell r="G306"/>
          <cell r="H306"/>
        </row>
        <row r="307">
          <cell r="A307" t="str">
            <v>7.13102501012014</v>
          </cell>
          <cell r="B307" t="str">
            <v>CO-MEIZAN G2 S 0.25L X 30 BTL</v>
          </cell>
          <cell r="C307" t="str">
            <v>DẦU ĂN HIỆU MEIZAN 0,25L X 30 CHAI</v>
          </cell>
          <cell r="D307" t="str">
            <v>CO-MZG2S0.25LX30BT</v>
          </cell>
          <cell r="E307">
            <v>6.8250000000000002</v>
          </cell>
          <cell r="F307" t="str">
            <v>Bỏ chọn</v>
          </cell>
          <cell r="G307"/>
          <cell r="H307"/>
        </row>
        <row r="308">
          <cell r="A308" t="str">
            <v>7.13102501170014</v>
          </cell>
          <cell r="B308" t="str">
            <v>CO-MEIZAN G2  S BTL @ 0.25L</v>
          </cell>
          <cell r="C308" t="str">
            <v>DẦU ĂN HIỆU MEIZAN 0,25L</v>
          </cell>
          <cell r="D308" t="str">
            <v>CO-MZG2S@0.25LBTL</v>
          </cell>
          <cell r="E308">
            <v>0.22800000000000001</v>
          </cell>
          <cell r="F308" t="str">
            <v>Bỏ chọn</v>
          </cell>
          <cell r="G308"/>
          <cell r="H308"/>
        </row>
        <row r="309">
          <cell r="A309" t="str">
            <v>7.13102503010514</v>
          </cell>
          <cell r="B309" t="str">
            <v>CO-MEIZAN G2 S 1L X 12 BTL</v>
          </cell>
          <cell r="C309" t="str">
            <v>DẦU ĂN HIỆU MEIZAN 1L X 12 CHAI</v>
          </cell>
          <cell r="D309" t="str">
            <v>CO-MZG2S1LX12BTL</v>
          </cell>
          <cell r="E309">
            <v>10.92</v>
          </cell>
          <cell r="F309" t="str">
            <v>Bỏ chọn</v>
          </cell>
          <cell r="G309"/>
          <cell r="H309"/>
        </row>
        <row r="310">
          <cell r="A310" t="str">
            <v>7.13102503170014</v>
          </cell>
          <cell r="B310" t="str">
            <v>CO-MEIZAN G2 S BTL @ 1L</v>
          </cell>
          <cell r="C310" t="str">
            <v>DẦU ĂN HIỆU MEIZAN 1L</v>
          </cell>
          <cell r="D310" t="str">
            <v>CO-MZG2S@1LBTL</v>
          </cell>
          <cell r="E310">
            <v>0.91</v>
          </cell>
          <cell r="F310" t="str">
            <v>Bỏ chọn</v>
          </cell>
          <cell r="G310"/>
          <cell r="H310"/>
        </row>
        <row r="311">
          <cell r="A311" t="str">
            <v>7.13102504010414</v>
          </cell>
          <cell r="B311" t="str">
            <v>CO-MEIZAN G2 S 2L X 6 BTL</v>
          </cell>
          <cell r="C311" t="str">
            <v>DẦU ĂN HIỆU MEIZAN 2L X 6 CHAI</v>
          </cell>
          <cell r="D311" t="str">
            <v>CO-MZG2S2LX6BTL</v>
          </cell>
          <cell r="E311">
            <v>10.92</v>
          </cell>
          <cell r="F311" t="str">
            <v>Bỏ chọn</v>
          </cell>
          <cell r="G311"/>
          <cell r="H311"/>
        </row>
        <row r="312">
          <cell r="A312" t="str">
            <v>7.13102504170014</v>
          </cell>
          <cell r="B312" t="str">
            <v>CO-MEIZAN G2 S BTL @ 2L</v>
          </cell>
          <cell r="C312" t="str">
            <v>DẦU ĂN HIỆU MEIZAN 2L</v>
          </cell>
          <cell r="D312" t="str">
            <v>CO-MZG2S@2LBTL</v>
          </cell>
          <cell r="E312">
            <v>1.82</v>
          </cell>
          <cell r="F312" t="str">
            <v>Bỏ chọn</v>
          </cell>
          <cell r="G312"/>
          <cell r="H312"/>
        </row>
        <row r="313">
          <cell r="A313" t="str">
            <v>7.13102506010314</v>
          </cell>
          <cell r="B313" t="str">
            <v>CO-MEIZAN G2 S 5L X 4 BTL</v>
          </cell>
          <cell r="C313" t="str">
            <v>DẦU ĂN HIỆU MEIZAN 5L X 4 CHAI</v>
          </cell>
          <cell r="D313" t="str">
            <v>CO-MZG2S5LX4BTL</v>
          </cell>
          <cell r="E313">
            <v>18.2</v>
          </cell>
          <cell r="F313" t="str">
            <v>Bỏ chọn</v>
          </cell>
          <cell r="G313"/>
          <cell r="H313"/>
        </row>
        <row r="314">
          <cell r="A314" t="str">
            <v>7.13102506170014</v>
          </cell>
          <cell r="B314" t="str">
            <v>CO-MEIZAN G2 S BTL @ 5L</v>
          </cell>
          <cell r="C314" t="str">
            <v>DẦU ĂN HIỆU MEIZAN 5L</v>
          </cell>
          <cell r="D314" t="str">
            <v>CO-MZG2S@5LBTL</v>
          </cell>
          <cell r="E314">
            <v>4.55</v>
          </cell>
          <cell r="F314" t="str">
            <v>Bỏ chọn</v>
          </cell>
          <cell r="G314"/>
          <cell r="H314"/>
        </row>
        <row r="315">
          <cell r="A315" t="str">
            <v>7.13102512011214</v>
          </cell>
          <cell r="B315" t="str">
            <v>CO-MEIZAN G2 S 0.4L X 20 BTL</v>
          </cell>
          <cell r="C315" t="str">
            <v>DẦU ĂN HIỆU MEIZAN 0,4L</v>
          </cell>
          <cell r="D315" t="str">
            <v>CO-MZG2S0.4LX20BTL</v>
          </cell>
          <cell r="E315">
            <v>7.28</v>
          </cell>
          <cell r="F315" t="str">
            <v>Bỏ chọn</v>
          </cell>
          <cell r="G315"/>
          <cell r="H315"/>
        </row>
        <row r="316">
          <cell r="A316" t="str">
            <v>7.13102512170014</v>
          </cell>
          <cell r="B316" t="str">
            <v>CO-MEIZAN G2  S BTL @ 0.4L</v>
          </cell>
          <cell r="C316" t="str">
            <v>DẦU ĂN HIỆU MEIZAN 0,4L</v>
          </cell>
          <cell r="D316" t="str">
            <v>CO-MZG2S@0.4LBTL</v>
          </cell>
          <cell r="E316">
            <v>0.36399999999999999</v>
          </cell>
          <cell r="F316" t="str">
            <v>Bỏ chọn</v>
          </cell>
          <cell r="G316"/>
          <cell r="H316"/>
        </row>
        <row r="317">
          <cell r="A317" t="str">
            <v>7.13102514010201</v>
          </cell>
          <cell r="B317" t="str">
            <v>CO-MEIZAN G2 S 8L X 2 BTL</v>
          </cell>
          <cell r="C317" t="str">
            <v>DẦU ĂN HIỆU MEIZAN 8L X 2CHAI</v>
          </cell>
          <cell r="D317" t="str">
            <v>CO-MZG2S8LX2BTL</v>
          </cell>
          <cell r="E317">
            <v>14.56</v>
          </cell>
          <cell r="F317" t="str">
            <v>Bỏ chọn</v>
          </cell>
          <cell r="G317"/>
          <cell r="H317"/>
        </row>
        <row r="318">
          <cell r="A318" t="str">
            <v>7.13102514170001</v>
          </cell>
          <cell r="B318" t="str">
            <v>CO-MEIZAN G2 S BTL @ 8L</v>
          </cell>
          <cell r="C318" t="str">
            <v>DẦU ĂN HIỆU MEIZAN 8L</v>
          </cell>
          <cell r="D318" t="str">
            <v>CO-MZG2S@8LBTL</v>
          </cell>
          <cell r="E318">
            <v>7.28</v>
          </cell>
          <cell r="F318" t="str">
            <v>Bỏ chọn</v>
          </cell>
          <cell r="G318"/>
          <cell r="H318"/>
        </row>
        <row r="319">
          <cell r="A319" t="str">
            <v>7.13102601012014</v>
          </cell>
          <cell r="B319" t="str">
            <v>CO-MEIZAN G2 SC 0.25L X 30 BTL</v>
          </cell>
          <cell r="C319" t="str">
            <v>DẦU ĂN HIỆU MEIZAN 0,25L</v>
          </cell>
          <cell r="D319" t="str">
            <v>CO-MZG2SC0.25LX30B</v>
          </cell>
          <cell r="E319">
            <v>6.8250000000000002</v>
          </cell>
          <cell r="F319" t="str">
            <v>Bỏ chọn</v>
          </cell>
          <cell r="G319"/>
          <cell r="H319"/>
        </row>
        <row r="320">
          <cell r="A320" t="str">
            <v>7.13102601170014</v>
          </cell>
          <cell r="B320" t="str">
            <v>CO-MEIZAN G2  SC BTL @ 0.25L</v>
          </cell>
          <cell r="C320" t="str">
            <v>DẦU ĂN HIỆU MEIZAN 0,25L</v>
          </cell>
          <cell r="D320" t="str">
            <v>CO-MZG2SC@0.25LBTL</v>
          </cell>
          <cell r="E320">
            <v>0.22800000000000001</v>
          </cell>
          <cell r="F320" t="str">
            <v>Bỏ chọn</v>
          </cell>
          <cell r="G320"/>
          <cell r="H320"/>
        </row>
        <row r="321">
          <cell r="A321" t="str">
            <v>7.13102701010713</v>
          </cell>
          <cell r="B321" t="str">
            <v>CO-MEIZAN G2 A 0.25L X 48 BTL</v>
          </cell>
          <cell r="C321" t="str">
            <v>DẦU ĂN HIỆU MEIZAN 0,25L</v>
          </cell>
          <cell r="D321" t="str">
            <v>CO-MZG2A0.25LX48BT</v>
          </cell>
          <cell r="E321">
            <v>10.92</v>
          </cell>
          <cell r="F321" t="str">
            <v>Bỏ chọn</v>
          </cell>
          <cell r="G321"/>
          <cell r="H321"/>
        </row>
        <row r="322">
          <cell r="A322" t="str">
            <v>7.13102701012013</v>
          </cell>
          <cell r="B322" t="str">
            <v>CO-MEIZAN G2 A 0.25L X 30 BTL</v>
          </cell>
          <cell r="C322" t="str">
            <v>DẦU ĂN HIỆU MEIZAN 0,25L</v>
          </cell>
          <cell r="D322" t="str">
            <v>CO-MZG2A0.25LX30BT</v>
          </cell>
          <cell r="E322">
            <v>6.8250000000000002</v>
          </cell>
          <cell r="F322" t="str">
            <v>Bỏ chọn</v>
          </cell>
          <cell r="G322"/>
          <cell r="H322"/>
        </row>
        <row r="323">
          <cell r="A323" t="str">
            <v>7.13102701170013</v>
          </cell>
          <cell r="B323" t="str">
            <v>CO-MEIZAN G2  A BTL @ 0.25L</v>
          </cell>
          <cell r="C323" t="str">
            <v>DẦU ĂN HIỆU MEIZAN 0,25L</v>
          </cell>
          <cell r="D323" t="str">
            <v>CO-MZG2A@0.25LBTL</v>
          </cell>
          <cell r="E323">
            <v>0.22800000000000001</v>
          </cell>
          <cell r="F323" t="str">
            <v>Bỏ chọn</v>
          </cell>
          <cell r="G323"/>
          <cell r="H323"/>
        </row>
        <row r="324">
          <cell r="A324" t="str">
            <v>7.13102703010513</v>
          </cell>
          <cell r="B324" t="str">
            <v>CO-MEIZAN G2 A 1L X 12 BTL</v>
          </cell>
          <cell r="C324" t="str">
            <v>DẦU ĂN HIỆU MEIZAN 1L X 12 CHAI</v>
          </cell>
          <cell r="D324" t="str">
            <v>CO-MZG2A1LX12BTL</v>
          </cell>
          <cell r="E324">
            <v>10.92</v>
          </cell>
          <cell r="F324" t="str">
            <v>Bỏ chọn</v>
          </cell>
          <cell r="G324"/>
          <cell r="H324"/>
        </row>
        <row r="325">
          <cell r="A325" t="str">
            <v>7.13102703170013</v>
          </cell>
          <cell r="B325" t="str">
            <v>CO-MEIZAN G2 A BTL @ 1L</v>
          </cell>
          <cell r="C325" t="str">
            <v>DẦU ĂN HIỆU MEIZAN 1L</v>
          </cell>
          <cell r="D325" t="str">
            <v>CO-MZG2A@1LBTL</v>
          </cell>
          <cell r="E325">
            <v>0.91</v>
          </cell>
          <cell r="F325" t="str">
            <v>Bỏ chọn</v>
          </cell>
          <cell r="G325"/>
          <cell r="H325"/>
        </row>
        <row r="326">
          <cell r="A326" t="str">
            <v>7.13102704010413</v>
          </cell>
          <cell r="B326" t="str">
            <v>CO-MEIZAN G2 A 2L X 6 BTL</v>
          </cell>
          <cell r="C326" t="str">
            <v>DẦU ĂN HIỆU MEIZAN 2L X 6 CHAI</v>
          </cell>
          <cell r="D326" t="str">
            <v>CO-MZG2A2LX6BTL</v>
          </cell>
          <cell r="E326">
            <v>10.92</v>
          </cell>
          <cell r="F326" t="str">
            <v>Bỏ chọn</v>
          </cell>
          <cell r="G326"/>
          <cell r="H326"/>
        </row>
        <row r="327">
          <cell r="A327" t="str">
            <v>7.13102704170013</v>
          </cell>
          <cell r="B327" t="str">
            <v>CO-MEIZAN G2 A BTL @ 2L</v>
          </cell>
          <cell r="C327" t="str">
            <v>DẦU ĂN HIỆU MEIZAN 2L</v>
          </cell>
          <cell r="D327" t="str">
            <v>CO-MZG2A@2LBTL</v>
          </cell>
          <cell r="E327">
            <v>1.82</v>
          </cell>
          <cell r="F327" t="str">
            <v>Bỏ chọn</v>
          </cell>
          <cell r="G327"/>
          <cell r="H327"/>
        </row>
        <row r="328">
          <cell r="A328" t="str">
            <v>7.13102706010313</v>
          </cell>
          <cell r="B328" t="str">
            <v>CO-MEIZAN G2 A 5L X 4 BTL</v>
          </cell>
          <cell r="C328" t="str">
            <v>DẦU ĂN HIỆU MEIZAN 5L X 4 CHAI</v>
          </cell>
          <cell r="D328" t="str">
            <v>CO-MZG2A5LX4BTL</v>
          </cell>
          <cell r="E328">
            <v>18.2</v>
          </cell>
          <cell r="F328" t="str">
            <v>Bỏ chọn</v>
          </cell>
          <cell r="G328"/>
          <cell r="H328"/>
        </row>
        <row r="329">
          <cell r="A329" t="str">
            <v>7.13102706170013</v>
          </cell>
          <cell r="B329" t="str">
            <v>CO-MEIZAN G2 A BTL @ 5L</v>
          </cell>
          <cell r="C329" t="str">
            <v>DẦU ĂN HIỆU MEIZAN 5L</v>
          </cell>
          <cell r="D329" t="str">
            <v>CO-MZG2A@5LBTL</v>
          </cell>
          <cell r="E329">
            <v>4.55</v>
          </cell>
          <cell r="F329" t="str">
            <v>Bỏ chọn</v>
          </cell>
          <cell r="G329"/>
          <cell r="H329"/>
        </row>
        <row r="330">
          <cell r="A330" t="str">
            <v>7.131027061703710</v>
          </cell>
          <cell r="B330" t="str">
            <v>CO-MEIZAN G2 A OL IV65 5L X 4 BTL</v>
          </cell>
          <cell r="C330" t="str">
            <v>MEIZAN HÔN HOP 5L IV65</v>
          </cell>
          <cell r="D330" t="str">
            <v>CO-MZ2A5LX4IV65</v>
          </cell>
          <cell r="E330">
            <v>18.2</v>
          </cell>
          <cell r="F330" t="str">
            <v>Bỏ chọn</v>
          </cell>
          <cell r="G330"/>
          <cell r="H330"/>
        </row>
        <row r="331">
          <cell r="A331" t="str">
            <v>7.13102712011213</v>
          </cell>
          <cell r="B331" t="str">
            <v>CO-MEIZAN G2 A 0.4L X 20 BTL</v>
          </cell>
          <cell r="C331" t="str">
            <v>DẦU ĂN HIỆU MEIZAN 0,4L X 20 CHAI</v>
          </cell>
          <cell r="D331" t="str">
            <v>CO-MZG2A0.4LX20BTL</v>
          </cell>
          <cell r="E331">
            <v>7.28</v>
          </cell>
          <cell r="F331" t="str">
            <v>Bỏ chọn</v>
          </cell>
          <cell r="G331"/>
          <cell r="H331"/>
        </row>
        <row r="332">
          <cell r="A332" t="str">
            <v>7.13102712170013</v>
          </cell>
          <cell r="B332" t="str">
            <v>CO-MEIZAN G2  A BTL @ 0.4L</v>
          </cell>
          <cell r="C332" t="str">
            <v>DẦU ĂN HIỆU MEIZAN 0,4L</v>
          </cell>
          <cell r="D332" t="str">
            <v>CO-MZG2A@0.4LBTL</v>
          </cell>
          <cell r="E332">
            <v>0.36399999999999999</v>
          </cell>
          <cell r="F332" t="str">
            <v>Bỏ chọn</v>
          </cell>
          <cell r="G332"/>
          <cell r="H332"/>
        </row>
        <row r="333">
          <cell r="A333" t="str">
            <v>7.13102714010204</v>
          </cell>
          <cell r="B333" t="str">
            <v>CO-MEIZAN G2 A 8L X 2 BTL</v>
          </cell>
          <cell r="C333" t="str">
            <v>DẦU ĂN HIỆU MEIZAN G2 8L</v>
          </cell>
          <cell r="D333" t="str">
            <v>CO-MZG2A8LX2BTL</v>
          </cell>
          <cell r="E333">
            <v>14.56</v>
          </cell>
          <cell r="F333" t="str">
            <v>Bỏ chọn</v>
          </cell>
          <cell r="G333"/>
          <cell r="H333"/>
        </row>
        <row r="334">
          <cell r="A334" t="str">
            <v>7.13102714170004</v>
          </cell>
          <cell r="B334" t="str">
            <v>CO-MEIZAN G2 A BTL @ 8L</v>
          </cell>
          <cell r="C334" t="str">
            <v>DẦU ĂN HIỆU MEIZAN 8L</v>
          </cell>
          <cell r="D334" t="str">
            <v>CO-MZG2A@8LBTL</v>
          </cell>
          <cell r="E334">
            <v>7.28</v>
          </cell>
          <cell r="F334" t="str">
            <v>Bỏ chọn</v>
          </cell>
          <cell r="G334"/>
          <cell r="H334"/>
        </row>
        <row r="335">
          <cell r="A335" t="str">
            <v>7.13102801012013</v>
          </cell>
          <cell r="B335" t="str">
            <v>CO-MEIZAN G2 AC 0.25L X 30 BTL</v>
          </cell>
          <cell r="C335" t="str">
            <v>DẦU ĂN HIỆU MEIZAN 0,25L</v>
          </cell>
          <cell r="D335" t="str">
            <v>CO-MZG2AC0.25LX30B</v>
          </cell>
          <cell r="E335">
            <v>6.8250000000000002</v>
          </cell>
          <cell r="F335" t="str">
            <v>Bỏ chọn</v>
          </cell>
          <cell r="G335"/>
          <cell r="H335"/>
        </row>
        <row r="336">
          <cell r="A336" t="str">
            <v>7.13102801170013</v>
          </cell>
          <cell r="B336" t="str">
            <v>CO-MEIZAN G2  AC BTL @ 0.25L</v>
          </cell>
          <cell r="C336" t="str">
            <v>DẦU ĂN HIỆU MEIZAN 0,25L</v>
          </cell>
          <cell r="D336" t="str">
            <v>CO-MZG2AC@0.25LBTL</v>
          </cell>
          <cell r="E336">
            <v>0.22800000000000001</v>
          </cell>
          <cell r="F336" t="str">
            <v>Bỏ chọn</v>
          </cell>
          <cell r="G336"/>
          <cell r="H336"/>
        </row>
        <row r="337">
          <cell r="A337" t="str">
            <v>7.13102901012013</v>
          </cell>
          <cell r="B337" t="str">
            <v>CO-MEIZAN G2 B 0.25L X 30 BTL</v>
          </cell>
          <cell r="C337" t="str">
            <v>DẦU ĂN HIỆU MEIZAN 0,25L</v>
          </cell>
          <cell r="D337" t="str">
            <v>CO-MZG2B0.25LX30BT</v>
          </cell>
          <cell r="E337">
            <v>6.8250000000000002</v>
          </cell>
          <cell r="F337" t="str">
            <v>Bỏ chọn</v>
          </cell>
          <cell r="G337"/>
          <cell r="H337"/>
        </row>
        <row r="338">
          <cell r="A338" t="str">
            <v>7.13102901170013</v>
          </cell>
          <cell r="B338" t="str">
            <v>CO-MEIZAN G2  B BTL @ 0.25L</v>
          </cell>
          <cell r="C338" t="str">
            <v>DẦU ĂN HIỆU MEIZAN 0,25L</v>
          </cell>
          <cell r="D338" t="str">
            <v>CO-MZG2B@0.25LBTL</v>
          </cell>
          <cell r="E338">
            <v>0.22800000000000001</v>
          </cell>
          <cell r="F338" t="str">
            <v>Bỏ chọn</v>
          </cell>
          <cell r="G338"/>
          <cell r="H338"/>
        </row>
        <row r="339">
          <cell r="A339" t="str">
            <v>7.13103004170001</v>
          </cell>
          <cell r="B339" t="str">
            <v>CO-FINE FOOD BTL @ 2L</v>
          </cell>
          <cell r="C339" t="str">
            <v>DẦU ĂN HIỆU FINE FOOD 2L</v>
          </cell>
          <cell r="D339" t="str">
            <v>CO-FF@2LBTL</v>
          </cell>
          <cell r="E339">
            <v>1.82</v>
          </cell>
          <cell r="F339" t="str">
            <v>Bỏ chọn</v>
          </cell>
          <cell r="G339"/>
          <cell r="H339"/>
        </row>
        <row r="340">
          <cell r="A340" t="str">
            <v>7.13103006170001</v>
          </cell>
          <cell r="B340" t="str">
            <v>CO-FINE FOOD BTL @ 5L</v>
          </cell>
          <cell r="C340" t="str">
            <v>DẦU ĂN HIỆU FINE FOOD 5L</v>
          </cell>
          <cell r="D340" t="str">
            <v>CO-FF@5LBTL</v>
          </cell>
          <cell r="E340">
            <v>4.55</v>
          </cell>
          <cell r="F340" t="str">
            <v>Bỏ chọn</v>
          </cell>
          <cell r="G340"/>
          <cell r="H340"/>
        </row>
        <row r="341">
          <cell r="A341" t="str">
            <v>7.13103014010201</v>
          </cell>
          <cell r="B341" t="str">
            <v>CO-FINE FOOD 8L X 2 BTL</v>
          </cell>
          <cell r="C341" t="str">
            <v>DẦU ĂN HIỆU FINE FOOD 8L</v>
          </cell>
          <cell r="D341" t="str">
            <v>CO-FF8LX2BTL</v>
          </cell>
          <cell r="E341">
            <v>14.56</v>
          </cell>
          <cell r="F341" t="str">
            <v>Bỏ chọn</v>
          </cell>
          <cell r="G341"/>
          <cell r="H341"/>
        </row>
        <row r="342">
          <cell r="A342" t="str">
            <v>7.13103014170001</v>
          </cell>
          <cell r="B342" t="str">
            <v>CO-FINE FOOD BTL @ 8L</v>
          </cell>
          <cell r="C342" t="str">
            <v>DẦU ĂN THỰC VẬT HIỆU FINE FOOD 8L</v>
          </cell>
          <cell r="D342" t="str">
            <v>CO-FF@8LBTL</v>
          </cell>
          <cell r="E342">
            <v>7.28</v>
          </cell>
          <cell r="F342" t="str">
            <v>Bỏ chọn</v>
          </cell>
          <cell r="G342"/>
          <cell r="H342"/>
        </row>
        <row r="343">
          <cell r="A343" t="str">
            <v>7.13103016010401</v>
          </cell>
          <cell r="B343" t="str">
            <v>CO-FINE FOOD 1.8L X 6 BTL</v>
          </cell>
          <cell r="C343" t="str">
            <v>DẦU ĂN HIỆU FINE FOOD 1,8L</v>
          </cell>
          <cell r="D343" t="str">
            <v>CO-FF1.8LX6BTL</v>
          </cell>
          <cell r="E343">
            <v>9.8279999999999994</v>
          </cell>
          <cell r="F343" t="str">
            <v>Bỏ chọn</v>
          </cell>
          <cell r="G343"/>
          <cell r="H343"/>
        </row>
        <row r="344">
          <cell r="A344" t="str">
            <v>7.13103016170001</v>
          </cell>
          <cell r="B344" t="str">
            <v>CO-FINE FOOD BTL @ 1.8L</v>
          </cell>
          <cell r="C344" t="str">
            <v>DẦU ĂN THỰC VẬT HIỆU FINE FOOD 1,8L</v>
          </cell>
          <cell r="D344" t="str">
            <v>CO-FF@1.8LBTL</v>
          </cell>
          <cell r="E344">
            <v>1.6379999999999999</v>
          </cell>
          <cell r="F344" t="str">
            <v>Bỏ chọn</v>
          </cell>
          <cell r="G344"/>
          <cell r="H344"/>
        </row>
        <row r="345">
          <cell r="A345" t="str">
            <v>7.13103103010510</v>
          </cell>
          <cell r="B345" t="str">
            <v>CO-NEPTUNE 1:1:1 S 1L X 12 BTL</v>
          </cell>
          <cell r="C345" t="str">
            <v>DẦU ĂN HIỆU NEPTUNE 1:1:1 1L</v>
          </cell>
          <cell r="D345" t="str">
            <v>CO-NEP111S-1LX12B</v>
          </cell>
          <cell r="E345">
            <v>10.92</v>
          </cell>
          <cell r="F345" t="str">
            <v>Bỏ chọn</v>
          </cell>
          <cell r="G345"/>
          <cell r="H345"/>
        </row>
        <row r="346">
          <cell r="A346" t="str">
            <v>7.13103103170010</v>
          </cell>
          <cell r="B346" t="str">
            <v>CO-NEPTUNE 1:1:1 S BTL @ 1L</v>
          </cell>
          <cell r="C346" t="str">
            <v>DẦU ĂN HIỆU NEPTUNE 1:1:1 1L</v>
          </cell>
          <cell r="D346" t="str">
            <v>CO-NEP111S@1LBTL</v>
          </cell>
          <cell r="E346">
            <v>0.91</v>
          </cell>
          <cell r="F346" t="str">
            <v>Bỏ chọn</v>
          </cell>
          <cell r="G346"/>
          <cell r="H346"/>
        </row>
        <row r="347">
          <cell r="A347" t="str">
            <v>7.13103104010410</v>
          </cell>
          <cell r="B347" t="str">
            <v>CO-NEPTUNE 1:1:1 S 2L X 6 BTL</v>
          </cell>
          <cell r="C347" t="str">
            <v>DẦU ĂN HIỆU NEPTUNE 1:1:1 2L</v>
          </cell>
          <cell r="D347" t="str">
            <v>CO-NEP111S-2LX6BTL</v>
          </cell>
          <cell r="E347">
            <v>10.92</v>
          </cell>
          <cell r="F347" t="str">
            <v>Bỏ chọn</v>
          </cell>
          <cell r="G347"/>
          <cell r="H347"/>
        </row>
        <row r="348">
          <cell r="A348" t="str">
            <v>7.13103104170010</v>
          </cell>
          <cell r="B348" t="str">
            <v>CO-NEPTUNE 1:1:1 S BTL @ 2L</v>
          </cell>
          <cell r="C348" t="str">
            <v>DẦU ĂN HIỆU NEPTUNE 1:1:1 2L</v>
          </cell>
          <cell r="D348" t="str">
            <v>CO-NEP111S@2LBTL</v>
          </cell>
          <cell r="E348">
            <v>1.82</v>
          </cell>
          <cell r="F348" t="str">
            <v>Bỏ chọn</v>
          </cell>
          <cell r="G348"/>
          <cell r="H348"/>
        </row>
        <row r="349">
          <cell r="A349" t="str">
            <v>7.13103106010310</v>
          </cell>
          <cell r="B349" t="str">
            <v>CO-NEPTUNE 1:1:1 S 5L X 4 BTL</v>
          </cell>
          <cell r="C349" t="str">
            <v>DẦU ĂN HIỆU NEPTUNE 1:1:1 5L</v>
          </cell>
          <cell r="D349" t="str">
            <v>CO-NEP111S-5LX4BTL</v>
          </cell>
          <cell r="E349">
            <v>18.2</v>
          </cell>
          <cell r="F349" t="str">
            <v>Bỏ chọn</v>
          </cell>
          <cell r="G349"/>
          <cell r="H349"/>
        </row>
        <row r="350">
          <cell r="A350" t="str">
            <v>7.13103106170010</v>
          </cell>
          <cell r="B350" t="str">
            <v>CO-NEPTUNE 1:1:1 S BTL @ 5L</v>
          </cell>
          <cell r="C350" t="str">
            <v>DẦU ĂN HIỆU NEPTUNE 1:1:1 5L</v>
          </cell>
          <cell r="D350" t="str">
            <v>CO-NEP111S@5LBTL</v>
          </cell>
          <cell r="E350">
            <v>4.55</v>
          </cell>
          <cell r="F350" t="str">
            <v>Bỏ chọn</v>
          </cell>
          <cell r="G350"/>
          <cell r="H350"/>
        </row>
        <row r="351">
          <cell r="A351" t="str">
            <v>7.13103112011210</v>
          </cell>
          <cell r="B351" t="str">
            <v>CO-NEPTUNE 1:1:1 S 0.4L X 20 BTL</v>
          </cell>
          <cell r="C351" t="str">
            <v>DẦU ĂN HIỆU NEPTUNE 1:1:1 0,4L</v>
          </cell>
          <cell r="D351" t="str">
            <v>CO-NE111S-0.4LX20B</v>
          </cell>
          <cell r="E351">
            <v>7.28</v>
          </cell>
          <cell r="F351" t="str">
            <v>Bỏ chọn</v>
          </cell>
          <cell r="G351"/>
          <cell r="H351"/>
        </row>
        <row r="352">
          <cell r="A352" t="str">
            <v>7.13103112170010</v>
          </cell>
          <cell r="B352" t="str">
            <v>CO-NEPTUNE 1:1:1 S BTL @ 0.4L</v>
          </cell>
          <cell r="C352" t="str">
            <v>DẦU ĂN HIỆU NEPTUNE 1:1:1 0,4L</v>
          </cell>
          <cell r="D352" t="str">
            <v>CO-NEP111S@0.4LBTL</v>
          </cell>
          <cell r="E352">
            <v>0.36399999999999999</v>
          </cell>
          <cell r="F352" t="str">
            <v>Bỏ chọn</v>
          </cell>
          <cell r="G352"/>
          <cell r="H352"/>
        </row>
        <row r="353">
          <cell r="A353" t="str">
            <v>7.13103113010110</v>
          </cell>
          <cell r="B353" t="str">
            <v>CO-NEPTUNE 1:1:1 S 16L X 1 BTL</v>
          </cell>
          <cell r="C353" t="str">
            <v>DẦU ĂN HIỆU NEPTUNE 1:1:1 16L</v>
          </cell>
          <cell r="D353" t="str">
            <v>CO-NEP111S-16LX1BT</v>
          </cell>
          <cell r="E353">
            <v>14.56</v>
          </cell>
          <cell r="F353" t="str">
            <v>Bỏ chọn</v>
          </cell>
          <cell r="G353"/>
          <cell r="H353"/>
        </row>
        <row r="354">
          <cell r="A354" t="str">
            <v>7.13103503170001</v>
          </cell>
          <cell r="B354" t="str">
            <v>CO-WOW BTL @ 1L</v>
          </cell>
          <cell r="C354" t="str">
            <v>DẦU ĂN HIỆU WOW 1L</v>
          </cell>
          <cell r="D354" t="str">
            <v>CO-WOW@1LBTL</v>
          </cell>
          <cell r="E354">
            <v>0.91</v>
          </cell>
          <cell r="F354" t="str">
            <v>Bỏ chọn</v>
          </cell>
          <cell r="G354"/>
          <cell r="H354"/>
        </row>
        <row r="355">
          <cell r="A355" t="str">
            <v>7.13103504170001</v>
          </cell>
          <cell r="B355" t="str">
            <v>CO-WOW BTL @ 2L</v>
          </cell>
          <cell r="C355" t="str">
            <v>DẦU ĂN HIỆU WOW 2L</v>
          </cell>
          <cell r="D355" t="str">
            <v>CO-WOW@2LBTL</v>
          </cell>
          <cell r="E355">
            <v>1.82</v>
          </cell>
          <cell r="F355" t="str">
            <v>Bỏ chọn</v>
          </cell>
          <cell r="G355"/>
          <cell r="H355"/>
        </row>
        <row r="356">
          <cell r="A356" t="str">
            <v>7.13103506170001</v>
          </cell>
          <cell r="B356" t="str">
            <v>CO-WOW BTL @ 5L</v>
          </cell>
          <cell r="C356" t="str">
            <v>DẦU ĂN HIỆU WOW 5L</v>
          </cell>
          <cell r="D356" t="str">
            <v>CO-WOW@5LBTL</v>
          </cell>
          <cell r="E356">
            <v>4.55</v>
          </cell>
          <cell r="F356" t="str">
            <v>Bỏ chọn</v>
          </cell>
          <cell r="G356"/>
          <cell r="H356"/>
        </row>
        <row r="357">
          <cell r="A357" t="str">
            <v>7.13103603010524</v>
          </cell>
          <cell r="B357" t="str">
            <v>CO-ORCHID 1L X 12 BTL</v>
          </cell>
          <cell r="C357" t="str">
            <v>DẦU THỰC VẬT TINH LUYỆN NHÃN HIỆU ORCHID 1L</v>
          </cell>
          <cell r="D357" t="str">
            <v>CO-ORC1LX12BTL</v>
          </cell>
          <cell r="E357">
            <v>10.92</v>
          </cell>
          <cell r="F357" t="str">
            <v>Chọn</v>
          </cell>
          <cell r="G357"/>
          <cell r="H357" t="str">
            <v>7.131036031700240</v>
          </cell>
        </row>
        <row r="358">
          <cell r="A358" t="str">
            <v>7.131036031700240</v>
          </cell>
          <cell r="B358" t="str">
            <v>ORCHID CO OL1005:RSBO IN BOT@1L</v>
          </cell>
          <cell r="C358" t="str">
            <v>DẦU THỰC VẬT TINH LUYỆN NHÃN HIỆU ORCHID 1L</v>
          </cell>
          <cell r="D358" t="str">
            <v>CO-ORC1@LBTL</v>
          </cell>
          <cell r="E358">
            <v>0.91</v>
          </cell>
          <cell r="F358" t="str">
            <v>Chọn</v>
          </cell>
          <cell r="G358"/>
          <cell r="H358"/>
        </row>
        <row r="359">
          <cell r="A359" t="str">
            <v>7.13103604010424</v>
          </cell>
          <cell r="B359" t="str">
            <v>CO-ORCHID 2L X 6 BTL</v>
          </cell>
          <cell r="C359" t="str">
            <v>DẦU THỰC VẬT TINH LUYỆN NHÃN HIỆU ORCHID 2L</v>
          </cell>
          <cell r="D359" t="str">
            <v>CO-ORC2LX6BTL</v>
          </cell>
          <cell r="E359">
            <v>10.92</v>
          </cell>
          <cell r="F359" t="str">
            <v>Chọn</v>
          </cell>
          <cell r="G359"/>
          <cell r="H359" t="str">
            <v>7.131036041700240</v>
          </cell>
        </row>
        <row r="360">
          <cell r="A360" t="str">
            <v>7.131036041700240</v>
          </cell>
          <cell r="B360" t="str">
            <v>ORCHID CO OL1005:RSBO IN BOT@2L</v>
          </cell>
          <cell r="C360" t="str">
            <v>DẦU THỰC VẬT TINH LUYỆN NHÃN HIỆU ORCHID 2L</v>
          </cell>
          <cell r="D360" t="str">
            <v>CO-ORC2@LBTL</v>
          </cell>
          <cell r="E360">
            <v>1.82</v>
          </cell>
          <cell r="F360" t="str">
            <v>Chọn</v>
          </cell>
          <cell r="G360"/>
          <cell r="H360"/>
        </row>
        <row r="361">
          <cell r="A361" t="str">
            <v>7.13103606010324</v>
          </cell>
          <cell r="B361" t="str">
            <v>CO-ORCHID 5L X 4 BTL</v>
          </cell>
          <cell r="C361" t="str">
            <v>DẦU THỰC VẬT TINH LUYỆN NHÃN HIỆU ORCHID 5L</v>
          </cell>
          <cell r="D361" t="str">
            <v>CO-ORC5LX4BTL</v>
          </cell>
          <cell r="E361">
            <v>18.2</v>
          </cell>
          <cell r="F361" t="str">
            <v>Chọn</v>
          </cell>
          <cell r="G361"/>
          <cell r="H361" t="str">
            <v>7.131036061700240</v>
          </cell>
        </row>
        <row r="362">
          <cell r="A362" t="str">
            <v>7.131036061700240</v>
          </cell>
          <cell r="B362" t="str">
            <v>ORCHID CO OL1005:RSBO IN BOT@5L</v>
          </cell>
          <cell r="C362" t="str">
            <v>DẦU THỰC VẬT TINH LUYỆN NHÃN HIỆU ORCHID 5L</v>
          </cell>
          <cell r="D362" t="str">
            <v>CO-ORC5L@BTL</v>
          </cell>
          <cell r="E362">
            <v>4.55</v>
          </cell>
          <cell r="F362" t="str">
            <v>Chọn</v>
          </cell>
          <cell r="G362"/>
          <cell r="H362"/>
        </row>
        <row r="363">
          <cell r="A363" t="str">
            <v>7.131036111700010</v>
          </cell>
          <cell r="B363" t="str">
            <v>ORCHID CO OL1005:RBDSBO IN BTL@10L</v>
          </cell>
          <cell r="C363" t="str">
            <v>DẦU THỰC VẬT TINH LUYỆN HIỆU ORCHID 10L</v>
          </cell>
          <cell r="D363" t="str">
            <v>CO-ORC10LBTL</v>
          </cell>
          <cell r="E363">
            <v>9.1</v>
          </cell>
          <cell r="F363" t="str">
            <v>Bỏ chọn</v>
          </cell>
          <cell r="G363"/>
          <cell r="H363"/>
        </row>
        <row r="364">
          <cell r="A364" t="str">
            <v>7.131036111702010</v>
          </cell>
          <cell r="B364" t="str">
            <v>ORCHID CO OL1005:RBDSBO 10LX2BTL</v>
          </cell>
          <cell r="C364" t="str">
            <v>DẦU THỰC VẬT TINH LUYỆN HIỆU ORCHID 10L</v>
          </cell>
          <cell r="D364" t="str">
            <v>CO-ORC10LX2BTL</v>
          </cell>
          <cell r="E364">
            <v>18.2</v>
          </cell>
          <cell r="F364" t="str">
            <v>Bỏ chọn</v>
          </cell>
          <cell r="G364"/>
          <cell r="H364"/>
        </row>
        <row r="365">
          <cell r="A365" t="str">
            <v>7.131036121700740</v>
          </cell>
          <cell r="B365" t="str">
            <v>ORCHID OLIV60:SBO IN BOT @400ML</v>
          </cell>
          <cell r="C365" t="str">
            <v>DẦU ĂN HIỆU ORCHID 0.4L</v>
          </cell>
          <cell r="D365" t="str">
            <v>CO-ORC0.4L@BTL</v>
          </cell>
          <cell r="E365">
            <v>0.36399999999999999</v>
          </cell>
          <cell r="F365" t="str">
            <v>Bỏ chọn</v>
          </cell>
          <cell r="G365"/>
          <cell r="H365"/>
        </row>
        <row r="366">
          <cell r="A366" t="str">
            <v>7.131036121712740</v>
          </cell>
          <cell r="B366" t="str">
            <v>ORCHID OLIV60:SBO 400ML X 20BTL</v>
          </cell>
          <cell r="C366" t="str">
            <v>DẦU ĂN HIỆU ORCHID, 0.4L X 20 CHAI</v>
          </cell>
          <cell r="D366" t="str">
            <v>CO-ORC0.4LX20BTL</v>
          </cell>
          <cell r="E366">
            <v>7.28</v>
          </cell>
          <cell r="F366" t="str">
            <v>Bỏ chọn</v>
          </cell>
          <cell r="G366"/>
          <cell r="H366"/>
        </row>
        <row r="367">
          <cell r="A367" t="str">
            <v>7.131036560801660</v>
          </cell>
          <cell r="B367" t="str">
            <v>ORCHID BOS[RPO:RSBO:OTHERS]IN PEBAG@15KG</v>
          </cell>
          <cell r="C367" t="str">
            <v>DẦU BƠ HIỆU ORCHID TRONG THÙNG 15KG NHÃN HỒNG</v>
          </cell>
          <cell r="D367" t="str">
            <v>ORCBOS@15KGP</v>
          </cell>
          <cell r="E367">
            <v>15</v>
          </cell>
          <cell r="F367" t="str">
            <v>Bỏ chọn</v>
          </cell>
          <cell r="G367"/>
          <cell r="H367"/>
        </row>
        <row r="368">
          <cell r="A368" t="str">
            <v>7.131036573300670</v>
          </cell>
          <cell r="B368" t="str">
            <v>ORCHID BOS IN PLASTIC BUCKET@18KG</v>
          </cell>
          <cell r="C368" t="str">
            <v>DẦU BƠ HIỆU HOA LAN TRONG THÙNG NHỰA 18KG (NHÃN NÂU)</v>
          </cell>
          <cell r="D368" t="str">
            <v>ORCBOS@18KGBR</v>
          </cell>
          <cell r="E368">
            <v>18</v>
          </cell>
          <cell r="F368" t="str">
            <v>Bỏ chọn</v>
          </cell>
          <cell r="G368"/>
          <cell r="H368"/>
        </row>
        <row r="369">
          <cell r="A369" t="str">
            <v>7.131056031700750</v>
          </cell>
          <cell r="B369" t="str">
            <v>CO-MEIZAN G3 BTL@1L</v>
          </cell>
          <cell r="C369" t="str">
            <v>DẦU ĂN HIỆU MEIZAN 1L</v>
          </cell>
          <cell r="D369" t="str">
            <v>CO-MZG3@1LBTL</v>
          </cell>
          <cell r="E369">
            <v>0.91</v>
          </cell>
          <cell r="F369" t="str">
            <v>Bỏ chọn</v>
          </cell>
          <cell r="G369"/>
          <cell r="H369"/>
        </row>
        <row r="370">
          <cell r="A370" t="str">
            <v>7.131056121712750</v>
          </cell>
          <cell r="B370" t="str">
            <v>CO-MEIZAN G3 0.4L X 20 BTL</v>
          </cell>
          <cell r="C370" t="str">
            <v>DẦU ĂN HIỆU MEIZAN 0,4L</v>
          </cell>
          <cell r="D370" t="str">
            <v>CO-MZG30.4LX20BTL</v>
          </cell>
          <cell r="E370">
            <v>7.28</v>
          </cell>
          <cell r="F370" t="str">
            <v>Bỏ chọn</v>
          </cell>
          <cell r="G370"/>
          <cell r="H370"/>
        </row>
        <row r="371">
          <cell r="A371" t="str">
            <v>7.131057011720630</v>
          </cell>
          <cell r="B371" t="str">
            <v>CO-MEIZAN G3 A 0.25L X 30 BTL</v>
          </cell>
          <cell r="C371" t="str">
            <v>DẦU ĂN HIỆU MEIZAN 0,25L</v>
          </cell>
          <cell r="D371" t="str">
            <v>MZG3A0.25LX30BT</v>
          </cell>
          <cell r="E371">
            <v>6.8250000000000002</v>
          </cell>
          <cell r="F371" t="str">
            <v>Bỏ chọn</v>
          </cell>
          <cell r="G371"/>
          <cell r="H371"/>
        </row>
        <row r="372">
          <cell r="A372" t="str">
            <v>7.131058011700760</v>
          </cell>
          <cell r="B372" t="str">
            <v>CO-MEIZAN G3  S BTL @ 0.25L</v>
          </cell>
          <cell r="C372" t="str">
            <v>DẦU ĂN HIỆU MEIZAN 0,25L</v>
          </cell>
          <cell r="D372" t="str">
            <v>MZG3A0.25L</v>
          </cell>
          <cell r="E372">
            <v>0.22700000000000001</v>
          </cell>
          <cell r="F372" t="str">
            <v>Bỏ chọn</v>
          </cell>
          <cell r="G372"/>
          <cell r="H372"/>
        </row>
        <row r="373">
          <cell r="A373" t="str">
            <v>7.131058011720760</v>
          </cell>
          <cell r="B373" t="str">
            <v>CO-MEIZAN G3 S 0.25L X 30 BTL</v>
          </cell>
          <cell r="C373" t="str">
            <v>DẦU ĂN HIỆU MEIZAN 0,25L</v>
          </cell>
          <cell r="D373" t="str">
            <v>CO-MZG3S0.25LX30BT</v>
          </cell>
          <cell r="E373">
            <v>6.8250000000000002</v>
          </cell>
          <cell r="F373" t="str">
            <v>Bỏ chọn</v>
          </cell>
          <cell r="G373"/>
          <cell r="H373"/>
        </row>
        <row r="374">
          <cell r="A374" t="str">
            <v>7.131058031705760</v>
          </cell>
          <cell r="B374" t="str">
            <v>CO-MEIZAN G3 S 1LX12BTL</v>
          </cell>
          <cell r="C374" t="str">
            <v>DẦU ĂN HIỆU MEIZAN 1L</v>
          </cell>
          <cell r="D374" t="str">
            <v>MEI G3 S@1LX12</v>
          </cell>
          <cell r="E374">
            <v>10.92</v>
          </cell>
          <cell r="F374" t="str">
            <v>Bỏ chọn</v>
          </cell>
          <cell r="G374"/>
          <cell r="H374"/>
        </row>
        <row r="375">
          <cell r="A375" t="str">
            <v>7.131064031700830</v>
          </cell>
          <cell r="B375" t="str">
            <v>RIKA OLIV60:NBDSBO IN BOTTLE@1L</v>
          </cell>
          <cell r="C375" t="str">
            <v>DẦU ĂN THƯỢNG HẠNG HIỆU RIKA 1L</v>
          </cell>
          <cell r="D375" t="str">
            <v>RIKA1LBTL</v>
          </cell>
          <cell r="E375">
            <v>0.91</v>
          </cell>
          <cell r="F375" t="str">
            <v>Bỏ chọn</v>
          </cell>
          <cell r="G375"/>
          <cell r="H375"/>
        </row>
        <row r="376">
          <cell r="A376" t="str">
            <v>7.131064041700830</v>
          </cell>
          <cell r="B376" t="str">
            <v>RIKA OLIV60:NBDSBO IN BOTTLE@2L</v>
          </cell>
          <cell r="C376" t="str">
            <v>DẦU ĂN THƯỢNG HẠNG HIỆU RIKA 2L</v>
          </cell>
          <cell r="D376" t="str">
            <v>RIKA2LBTL</v>
          </cell>
          <cell r="E376">
            <v>1.82</v>
          </cell>
          <cell r="F376" t="str">
            <v>Bỏ chọn</v>
          </cell>
          <cell r="G376"/>
          <cell r="H376"/>
        </row>
        <row r="377">
          <cell r="A377" t="str">
            <v>7.131064061700830</v>
          </cell>
          <cell r="B377" t="str">
            <v>RIKA OLIV60:NBDSBO IN BOTTLE@5L</v>
          </cell>
          <cell r="C377" t="str">
            <v>DẦU ĂN THƯỢNG HẠNG HIỆU RIKA 5L</v>
          </cell>
          <cell r="D377" t="str">
            <v>RIKA5LBTL</v>
          </cell>
          <cell r="E377">
            <v>4.55</v>
          </cell>
          <cell r="F377" t="str">
            <v>Bỏ chọn</v>
          </cell>
          <cell r="G377"/>
          <cell r="H377"/>
        </row>
        <row r="378">
          <cell r="A378" t="str">
            <v>7.1990125050603050</v>
          </cell>
          <cell r="B378" t="str">
            <v>MEIZAN 5LX4BTL OP NEPTUNE1:1:1 0.4L</v>
          </cell>
          <cell r="C378" t="str">
            <v>DẦU ĂN HỖN HỢP HIỆU MEIZAN 5L</v>
          </cell>
          <cell r="D378" t="str">
            <v>MEI5LX4@NEP0.4L</v>
          </cell>
          <cell r="E378">
            <v>19.600000000000001</v>
          </cell>
          <cell r="F378" t="str">
            <v>Bỏ chọn</v>
          </cell>
          <cell r="G378"/>
          <cell r="H378"/>
        </row>
        <row r="379">
          <cell r="A379" t="str">
            <v>7.1990128000603050</v>
          </cell>
          <cell r="B379" t="str">
            <v>MEIZAN SBO 5LX4BTL OP NEPTUNE1:1:1 0.4L</v>
          </cell>
          <cell r="C379" t="str">
            <v>DẦU ĐẬU NÀNH HIỆU MEIZAN 5L</v>
          </cell>
          <cell r="D379" t="str">
            <v>MZSBO5LOP0.4L</v>
          </cell>
          <cell r="E379">
            <v>19.600000000000001</v>
          </cell>
          <cell r="F379" t="str">
            <v>Bỏ chọn</v>
          </cell>
          <cell r="G379"/>
          <cell r="H379"/>
        </row>
        <row r="380">
          <cell r="A380" t="str">
            <v>7.1990128000603090</v>
          </cell>
          <cell r="B380" t="str">
            <v>MEIZAN SBO 5L X 4 BTL OP MEIZAN CKO 0.4L</v>
          </cell>
          <cell r="C380" t="str">
            <v>DẦU ĐẬU NÀNH NHÃN HIỆU MEIZAN 5L</v>
          </cell>
          <cell r="D380" t="str">
            <v>MEI G3 SBO@5LX12 W PRO</v>
          </cell>
          <cell r="E380">
            <v>19.600000000000001</v>
          </cell>
          <cell r="F380" t="str">
            <v>Bỏ chọn</v>
          </cell>
          <cell r="G380"/>
          <cell r="H380"/>
        </row>
        <row r="381">
          <cell r="A381" t="str">
            <v>7.1990935000105010</v>
          </cell>
          <cell r="B381" t="str">
            <v>CO-KIDDY0.25LX12BTL OP SPOON</v>
          </cell>
          <cell r="C381" t="str">
            <v>DẦU ĂN DINH DƯỠNG CHO TRẺ EM HIỆU KIDDY, 0,25L X 12 CHAI KÈM KM THÌA</v>
          </cell>
          <cell r="D381" t="str">
            <v>KID0.25X12SPOON</v>
          </cell>
          <cell r="E381">
            <v>2.73</v>
          </cell>
          <cell r="F381" t="str">
            <v>Bỏ chọn</v>
          </cell>
          <cell r="G381"/>
          <cell r="H381"/>
        </row>
        <row r="382">
          <cell r="A382" t="str">
            <v>7.1990945010603050</v>
          </cell>
          <cell r="B382" t="str">
            <v>CO-NEPTUNE 1:1:1 5LX4BTL OP NEPTUNE1:1:1 0.4L</v>
          </cell>
          <cell r="C382" t="str">
            <v>DẦU ĂN NEPTUNE 1:1:1 5L</v>
          </cell>
          <cell r="D382" t="str">
            <v>NEP1115LOP0.4L</v>
          </cell>
          <cell r="E382">
            <v>19.655999999999999</v>
          </cell>
          <cell r="F382" t="str">
            <v>Bỏ chọn</v>
          </cell>
          <cell r="G382"/>
          <cell r="H382"/>
        </row>
        <row r="383">
          <cell r="A383" t="str">
            <v>7.1990945040603080</v>
          </cell>
          <cell r="B383" t="str">
            <v>NEPTUNE 1:1:1 CO 5LX4BTL OP NEPTUNE0.25L</v>
          </cell>
          <cell r="C383" t="str">
            <v>DẦU ĂN HIỆU NEPTUNE 5L</v>
          </cell>
          <cell r="D383" t="str">
            <v>NEP1115LOP0.25L</v>
          </cell>
          <cell r="E383">
            <v>19.100000000000001</v>
          </cell>
          <cell r="F383" t="str">
            <v>Bỏ chọn</v>
          </cell>
          <cell r="G383"/>
          <cell r="H383"/>
        </row>
        <row r="384">
          <cell r="A384" t="str">
            <v>7.1991108000603050</v>
          </cell>
          <cell r="B384" t="str">
            <v>SIMPLY SBO 5LX4BTL OP NEPTUNE1:1:1 0.4L</v>
          </cell>
          <cell r="C384" t="str">
            <v>DẦU ĂN SIMPLY ĐẬU NÀNH 5L</v>
          </cell>
          <cell r="D384" t="str">
            <v>SIM5LX4@NEP0.4L</v>
          </cell>
          <cell r="E384">
            <v>19.600000000000001</v>
          </cell>
          <cell r="F384" t="str">
            <v>Bỏ chọn</v>
          </cell>
          <cell r="G384"/>
          <cell r="H384"/>
        </row>
        <row r="385">
          <cell r="A385" t="str">
            <v>7.1991108000603080</v>
          </cell>
          <cell r="B385" t="str">
            <v>CO-SIMPLYSBO5LX4BTL OP NEPTUNE1:1:1 0.25L</v>
          </cell>
          <cell r="C385" t="str">
            <v>DẦU ĐẬU NÀNH NHÃN HIỆU SIMPLY 5L</v>
          </cell>
          <cell r="D385" t="str">
            <v>SIM5LX4@NEP0.25L</v>
          </cell>
          <cell r="E385">
            <v>19.11</v>
          </cell>
          <cell r="F385" t="str">
            <v>Bỏ chọn</v>
          </cell>
          <cell r="G385"/>
          <cell r="H385"/>
        </row>
        <row r="386">
          <cell r="A386" t="str">
            <v>7.45100030140003</v>
          </cell>
          <cell r="B386" t="str">
            <v>CRUDE SOYABEAN OIL @190KG DRUM</v>
          </cell>
          <cell r="C386" t="str">
            <v>DÂU NÀNH THÔ TRONG THÙNG PHUY MOI 190KG</v>
          </cell>
          <cell r="D386" t="str">
            <v>CSBO@190KGDRM</v>
          </cell>
          <cell r="E386">
            <v>190</v>
          </cell>
          <cell r="F386" t="str">
            <v>Bỏ chọn</v>
          </cell>
          <cell r="G386"/>
          <cell r="H386"/>
        </row>
        <row r="387">
          <cell r="A387" t="str">
            <v>7.451000304900010</v>
          </cell>
          <cell r="B387" t="str">
            <v>NSBO IN NEW DRUMS(16.5) @190KG</v>
          </cell>
          <cell r="C387" t="str">
            <v>DẦU ĐẬU NÀNH TRUNG HÒA HIỆU SATELLITE</v>
          </cell>
          <cell r="D387" t="str">
            <v>NSBO@190NEWDRM</v>
          </cell>
          <cell r="E387">
            <v>190</v>
          </cell>
          <cell r="F387" t="str">
            <v>Bỏ chọn</v>
          </cell>
          <cell r="G387"/>
          <cell r="H387"/>
        </row>
        <row r="388">
          <cell r="A388" t="str">
            <v>7.45100079090103</v>
          </cell>
          <cell r="B388" t="str">
            <v>CRUDE SOYABEAN OIL BIB @18KG</v>
          </cell>
          <cell r="C388" t="str">
            <v>DẦU ĐẬU NÀNH THÔ ĐÓNG TRONG TÚI BIB 18KG</v>
          </cell>
          <cell r="D388" t="str">
            <v>CSBO@18KGBIB</v>
          </cell>
          <cell r="E388">
            <v>18</v>
          </cell>
          <cell r="F388" t="str">
            <v>Bỏ chọn</v>
          </cell>
          <cell r="G388"/>
          <cell r="H388"/>
        </row>
        <row r="389">
          <cell r="A389" t="str">
            <v>7.45100079120003</v>
          </cell>
          <cell r="B389" t="str">
            <v>CRUDE SOYABEAN OIL @18KG JRG</v>
          </cell>
          <cell r="C389" t="str">
            <v>DẦU ĐẬU NÀNH THÔ ĐÓNG TRONG CAN 18KG</v>
          </cell>
          <cell r="D389" t="str">
            <v>CSBO@18KGJRG</v>
          </cell>
          <cell r="E389">
            <v>18</v>
          </cell>
          <cell r="F389" t="str">
            <v>Bỏ chọn</v>
          </cell>
          <cell r="G389"/>
          <cell r="H389"/>
        </row>
        <row r="390">
          <cell r="A390" t="str">
            <v>7.451000832700030</v>
          </cell>
          <cell r="B390" t="str">
            <v>CSBO IN SECOND HAND DRUM @185KG</v>
          </cell>
          <cell r="C390" t="str">
            <v>DẦU ĐẬU NÀNH THÔ ĐÓNG TRONG THÙNG PHUY CŨ</v>
          </cell>
          <cell r="D390" t="str">
            <v>CSBO@185KGSDDRM</v>
          </cell>
          <cell r="E390">
            <v>185</v>
          </cell>
          <cell r="F390" t="str">
            <v>Bỏ chọn</v>
          </cell>
          <cell r="G390"/>
          <cell r="H390"/>
        </row>
        <row r="391">
          <cell r="A391" t="str">
            <v>7.45100083350003</v>
          </cell>
          <cell r="B391" t="str">
            <v>CRUDE SOYABEAN OIL @185KG USED DRUM</v>
          </cell>
          <cell r="C391" t="str">
            <v>DÂU NÀNH THÔ TRONG THÙNG PHUY DA SU DUNG</v>
          </cell>
          <cell r="D391" t="str">
            <v>CSBO@185KGUSEDRM</v>
          </cell>
          <cell r="E391">
            <v>185</v>
          </cell>
          <cell r="F391" t="str">
            <v>Bỏ chọn</v>
          </cell>
          <cell r="G391"/>
          <cell r="H391"/>
        </row>
        <row r="392">
          <cell r="A392" t="str">
            <v>7.45100084220001</v>
          </cell>
          <cell r="B392" t="str">
            <v>NBDSBO IN FLEXIBLE BAG@20MT</v>
          </cell>
          <cell r="C392" t="str">
            <v>DẦU ĐẬU NÀNH TINH LUYỆN ĐÓNG TRONG TÚI FLEXITANK</v>
          </cell>
          <cell r="D392" t="str">
            <v>FLEX NBDSBO</v>
          </cell>
          <cell r="E392">
            <v>1</v>
          </cell>
          <cell r="F392" t="str">
            <v>Bỏ chọn</v>
          </cell>
          <cell r="G392"/>
          <cell r="H392"/>
        </row>
        <row r="393">
          <cell r="A393" t="str">
            <v>7.45100084220002</v>
          </cell>
          <cell r="B393" t="str">
            <v>SOYA BEAN ACID OIL IN FLEXIBLE BAG@20MT</v>
          </cell>
          <cell r="C393" t="str">
            <v>DẦU A-XÍT THỰC VẬT HỖN HỢP ĐÓNG TRONG TÚI FLEXITANK</v>
          </cell>
          <cell r="D393" t="str">
            <v>FLEX MVAO</v>
          </cell>
          <cell r="E393">
            <v>1</v>
          </cell>
          <cell r="F393" t="str">
            <v>Bỏ chọn</v>
          </cell>
          <cell r="G393"/>
          <cell r="H393"/>
        </row>
        <row r="394">
          <cell r="A394" t="str">
            <v>7.45105001010700</v>
          </cell>
          <cell r="B394" t="str">
            <v>CO-SIMPLY SBO 0.25L X 48 BTL</v>
          </cell>
          <cell r="C394" t="str">
            <v>DẦU ĂN HIỆU SIMPLY 0.25L</v>
          </cell>
          <cell r="D394" t="str">
            <v>CO-SPSBO0.25LX48BT</v>
          </cell>
          <cell r="E394">
            <v>10.92</v>
          </cell>
          <cell r="F394" t="str">
            <v>Bỏ chọn</v>
          </cell>
          <cell r="G394"/>
          <cell r="H394"/>
        </row>
        <row r="395">
          <cell r="A395" t="str">
            <v>7.45105001170000</v>
          </cell>
          <cell r="B395" t="str">
            <v>CO-SIMPLY SBO  BTL @ 0.25L</v>
          </cell>
          <cell r="C395" t="str">
            <v>DẦU ĂN HIỆU SIMPLY 0.25L</v>
          </cell>
          <cell r="D395" t="str">
            <v>CO-SPSBO@0.25LBTL</v>
          </cell>
          <cell r="E395">
            <v>0.22800000000000001</v>
          </cell>
          <cell r="F395" t="str">
            <v>Bỏ chọn</v>
          </cell>
          <cell r="G395"/>
          <cell r="H395"/>
        </row>
        <row r="396">
          <cell r="A396" t="str">
            <v>7.45105003010500</v>
          </cell>
          <cell r="B396" t="str">
            <v>CO-SIMPLY SBO 1L X 12 BTL</v>
          </cell>
          <cell r="C396" t="str">
            <v>DẦU ĐẬU NÀNH NHÃN HIỆU SIMPLY 1L</v>
          </cell>
          <cell r="D396" t="str">
            <v>CO-SPSBO1LX12BTL</v>
          </cell>
          <cell r="E396">
            <v>10.92</v>
          </cell>
          <cell r="F396" t="str">
            <v>Chọn</v>
          </cell>
          <cell r="G396"/>
          <cell r="H396" t="str">
            <v>7.45105003170000</v>
          </cell>
        </row>
        <row r="397">
          <cell r="A397" t="str">
            <v>7.45105003170000</v>
          </cell>
          <cell r="B397" t="str">
            <v>CO-SIMPLY SBO  BTL @ 1L</v>
          </cell>
          <cell r="C397" t="str">
            <v>DẦU ĐẬU NÀNH NHÃN HIỆU SIMPLY 1L</v>
          </cell>
          <cell r="D397" t="str">
            <v>CO-SPSBO@1LBTL</v>
          </cell>
          <cell r="E397">
            <v>0.91</v>
          </cell>
          <cell r="F397" t="str">
            <v>Chọn</v>
          </cell>
          <cell r="G397"/>
          <cell r="H397"/>
        </row>
        <row r="398">
          <cell r="A398" t="str">
            <v>7.451050031758000</v>
          </cell>
          <cell r="B398" t="str">
            <v>CO-SIMPLY SBO 1L 4BLOCK X 3 BTL</v>
          </cell>
          <cell r="C398" t="str">
            <v>DẦU ĐẬU NÀNH HIỆU SIMPLY 1L, 4 BLOCK X 3 CHAI</v>
          </cell>
          <cell r="D398" t="str">
            <v>CO-SPSBO@4BLOCK X 3LBTL</v>
          </cell>
          <cell r="E398">
            <v>10.92</v>
          </cell>
          <cell r="F398" t="str">
            <v>Bỏ chọn</v>
          </cell>
          <cell r="G398"/>
          <cell r="H398"/>
        </row>
        <row r="399">
          <cell r="A399" t="str">
            <v>7.45105005010400</v>
          </cell>
          <cell r="B399" t="str">
            <v>CO-SIMPLY SBO 2L X 6 BTL</v>
          </cell>
          <cell r="C399" t="str">
            <v>DẦU ĐẬU NÀNH NHÃN HIỆU SIMPLY 2L</v>
          </cell>
          <cell r="D399" t="str">
            <v>CO-SPSBO2LX6BTL</v>
          </cell>
          <cell r="E399">
            <v>10.92</v>
          </cell>
          <cell r="F399" t="str">
            <v>Chọn</v>
          </cell>
          <cell r="G399"/>
          <cell r="H399" t="str">
            <v>7.45105005170000</v>
          </cell>
        </row>
        <row r="400">
          <cell r="A400" t="str">
            <v>7.45105005170000</v>
          </cell>
          <cell r="B400" t="str">
            <v>CO-SIMPLY SBO BTL @ 2L</v>
          </cell>
          <cell r="C400" t="str">
            <v>DẦU ĐẬU NÀNH NHÃN HIỆU SIMPLY 2L</v>
          </cell>
          <cell r="D400" t="str">
            <v>CO-SPSBO@2LBTL</v>
          </cell>
          <cell r="E400">
            <v>1.82</v>
          </cell>
          <cell r="F400" t="str">
            <v>Chọn</v>
          </cell>
          <cell r="G400"/>
          <cell r="H400"/>
        </row>
        <row r="401">
          <cell r="A401" t="str">
            <v>7.45105008010300</v>
          </cell>
          <cell r="B401" t="str">
            <v>CO-SIMPLY SBO 5L X 4 BTL</v>
          </cell>
          <cell r="C401" t="str">
            <v>DẦU ĐẬU NÀNH NHÃN HIỆU SIMPLY 5L</v>
          </cell>
          <cell r="D401" t="str">
            <v>CO-SPSBO5LX4BTL</v>
          </cell>
          <cell r="E401">
            <v>18.2</v>
          </cell>
          <cell r="F401" t="str">
            <v>Chọn</v>
          </cell>
          <cell r="G401"/>
          <cell r="H401" t="str">
            <v>7.45105008170000</v>
          </cell>
        </row>
        <row r="402">
          <cell r="A402" t="str">
            <v>7.45105008170000</v>
          </cell>
          <cell r="B402" t="str">
            <v>CO-SIMPLY SBO  BTL @ 5L</v>
          </cell>
          <cell r="C402" t="str">
            <v>DẦU ĐẬU NÀNH NHÃN HIỆU SIMPLY 5L</v>
          </cell>
          <cell r="D402" t="str">
            <v>CO-SPSBO@5LBTL</v>
          </cell>
          <cell r="E402">
            <v>4.55</v>
          </cell>
          <cell r="F402" t="str">
            <v>Chọn</v>
          </cell>
          <cell r="G402"/>
          <cell r="H402"/>
        </row>
        <row r="403">
          <cell r="A403" t="str">
            <v>7.451050091200040</v>
          </cell>
          <cell r="B403" t="str">
            <v>SIMPLY NBDSBO IN JERRYCAN@20L</v>
          </cell>
          <cell r="C403" t="str">
            <v>DẦU ĐẬU NÀNH HIỆU SIMPLY, CAN NHỰA 20L</v>
          </cell>
          <cell r="D403" t="str">
            <v>CO-SPSBO@20LJRG</v>
          </cell>
          <cell r="E403">
            <v>18.2</v>
          </cell>
          <cell r="F403" t="str">
            <v>Bỏ chọn</v>
          </cell>
          <cell r="G403"/>
          <cell r="H403"/>
        </row>
        <row r="404">
          <cell r="A404" t="str">
            <v>7.45105044011200</v>
          </cell>
          <cell r="B404" t="str">
            <v>CO-SIMPLY SBO 0.4L X 20 BTL</v>
          </cell>
          <cell r="C404" t="str">
            <v>DẦU ĐẬU NÀNH NHÃN HIỆU SIMPLY 400 ML</v>
          </cell>
          <cell r="D404" t="str">
            <v>CO-SPSBO0.4LX20BTL</v>
          </cell>
          <cell r="E404">
            <v>7.28</v>
          </cell>
          <cell r="F404" t="str">
            <v>Bỏ chọn</v>
          </cell>
          <cell r="G404"/>
          <cell r="H404"/>
        </row>
        <row r="405">
          <cell r="A405" t="str">
            <v>7.45105044012000</v>
          </cell>
          <cell r="B405" t="str">
            <v>CO-SIMPLY SBO 0.4L X 30 BTL</v>
          </cell>
          <cell r="C405" t="str">
            <v>DẦU ĐẬU NÀNH NHÃN HIỆU SIMPLY 400 ML</v>
          </cell>
          <cell r="D405" t="str">
            <v>CO-SPSBO0.4LX30BTL</v>
          </cell>
          <cell r="E405">
            <v>10.92</v>
          </cell>
          <cell r="F405" t="str">
            <v>Bỏ chọn</v>
          </cell>
          <cell r="G405"/>
          <cell r="H405"/>
        </row>
        <row r="406">
          <cell r="A406" t="str">
            <v>7.45105044170000</v>
          </cell>
          <cell r="B406" t="str">
            <v>CO-SIMPLY SBO BTL @ 0.4L</v>
          </cell>
          <cell r="C406" t="str">
            <v>DẦU ĐẬU NÀNH NHÃN HIỆU SIMPLY 400 ML</v>
          </cell>
          <cell r="D406" t="str">
            <v>CO-SPSBO@0.4LBTL</v>
          </cell>
          <cell r="E406">
            <v>0.36399999999999999</v>
          </cell>
          <cell r="F406" t="str">
            <v>Chọn</v>
          </cell>
          <cell r="G406"/>
          <cell r="H406"/>
        </row>
        <row r="407">
          <cell r="A407" t="str">
            <v>7.45105103010500</v>
          </cell>
          <cell r="B407" t="str">
            <v>CO-MEIZAN SBO 1L X 12 BTL</v>
          </cell>
          <cell r="C407" t="str">
            <v>DẦU ĐẬU NÀNH NHÃN HIỆU MEIZAN 1L</v>
          </cell>
          <cell r="D407" t="str">
            <v>CO-MZSBO1LX12BTL</v>
          </cell>
          <cell r="E407">
            <v>10.92</v>
          </cell>
          <cell r="F407" t="str">
            <v>Chọn</v>
          </cell>
          <cell r="G407"/>
          <cell r="H407" t="str">
            <v>7.45105103170000</v>
          </cell>
        </row>
        <row r="408">
          <cell r="A408" t="str">
            <v>7.45105103170000</v>
          </cell>
          <cell r="B408" t="str">
            <v>CO-MEIZAN SBO  BTL @ 1L</v>
          </cell>
          <cell r="C408" t="str">
            <v>DẦU ĐẬU NÀNH NHÃN HIỆU MEIZAN 1L</v>
          </cell>
          <cell r="D408" t="str">
            <v>CO-MZSBO@1LBTL</v>
          </cell>
          <cell r="E408">
            <v>0.91</v>
          </cell>
          <cell r="F408" t="str">
            <v>Chọn</v>
          </cell>
          <cell r="G408"/>
          <cell r="H408"/>
        </row>
        <row r="409">
          <cell r="A409" t="str">
            <v>7.45105105010400</v>
          </cell>
          <cell r="B409" t="str">
            <v>CO-MEIZAN SBO 2L X 6 BTL</v>
          </cell>
          <cell r="C409" t="str">
            <v>DẦU ĐẬU NÀNH NHÃN HIỆU MEIZAN 2L</v>
          </cell>
          <cell r="D409" t="str">
            <v>CO-MZSBO2LX6BTL</v>
          </cell>
          <cell r="E409">
            <v>10.92</v>
          </cell>
          <cell r="F409" t="str">
            <v>Chọn</v>
          </cell>
          <cell r="G409"/>
          <cell r="H409" t="str">
            <v>7.45105105170000</v>
          </cell>
        </row>
        <row r="410">
          <cell r="A410" t="str">
            <v>7.45105105170000</v>
          </cell>
          <cell r="B410" t="str">
            <v>CO-MEIZAN SBO  BTL @ 2L</v>
          </cell>
          <cell r="C410" t="str">
            <v>DẦU ĐẬU NÀNH NHÃN HIỆU MEIZAN 2L</v>
          </cell>
          <cell r="D410" t="str">
            <v>CO-MZSBO@2LBTL</v>
          </cell>
          <cell r="E410">
            <v>1.82</v>
          </cell>
          <cell r="F410" t="str">
            <v>Chọn</v>
          </cell>
          <cell r="G410"/>
          <cell r="H410"/>
        </row>
        <row r="411">
          <cell r="A411" t="str">
            <v>7.45105108010300</v>
          </cell>
          <cell r="B411" t="str">
            <v>CO-MEIZAN SBO 5L X 4 BTL</v>
          </cell>
          <cell r="C411" t="str">
            <v>DẦU ĐẬU NÀNH NHÃN HIỆU MEIZAN 5L</v>
          </cell>
          <cell r="D411" t="str">
            <v>CO-MZSBO5LX4BTL</v>
          </cell>
          <cell r="E411">
            <v>18.2</v>
          </cell>
          <cell r="F411" t="str">
            <v>Chọn</v>
          </cell>
          <cell r="G411"/>
          <cell r="H411" t="str">
            <v>7.45105108170000</v>
          </cell>
        </row>
        <row r="412">
          <cell r="A412" t="str">
            <v>7.45105108170000</v>
          </cell>
          <cell r="B412" t="str">
            <v>CO-MEIZAN SBO  BTL @ 5L</v>
          </cell>
          <cell r="C412" t="str">
            <v>DẦU ĐẬU NÀNH NHÃN HIỆU MEIZAN 5L</v>
          </cell>
          <cell r="D412" t="str">
            <v>CO-MZSBO@5LBTL</v>
          </cell>
          <cell r="E412">
            <v>4.55</v>
          </cell>
          <cell r="F412" t="str">
            <v>Chọn</v>
          </cell>
          <cell r="G412"/>
          <cell r="H412"/>
        </row>
        <row r="413">
          <cell r="A413" t="str">
            <v>7.45105144011200</v>
          </cell>
          <cell r="B413" t="str">
            <v>CO-MEIZAN SBO 0.4L X 20 BTL</v>
          </cell>
          <cell r="C413" t="str">
            <v>DẦU ĐẬU NÀNH HIỆU MEIZAN 0,4L X 20</v>
          </cell>
          <cell r="D413" t="str">
            <v>CO-MZSBO0.4LX20BTL</v>
          </cell>
          <cell r="E413">
            <v>7.28</v>
          </cell>
          <cell r="F413" t="str">
            <v>Bỏ chọn</v>
          </cell>
          <cell r="G413"/>
          <cell r="H413"/>
        </row>
        <row r="414">
          <cell r="A414" t="str">
            <v>7.45105144170000</v>
          </cell>
          <cell r="B414" t="str">
            <v>CO-MEIZAN SBO BTL @ 0.4L</v>
          </cell>
          <cell r="C414" t="str">
            <v>DẦU ĐẬU NÀNH HIỆU MEIZAN 0,4L</v>
          </cell>
          <cell r="D414" t="str">
            <v>CO-MZSBO@0.4LBTL</v>
          </cell>
          <cell r="E414">
            <v>0.36399999999999999</v>
          </cell>
          <cell r="F414" t="str">
            <v>Bỏ chọn</v>
          </cell>
          <cell r="G414"/>
          <cell r="H414"/>
        </row>
        <row r="415">
          <cell r="A415" t="str">
            <v>7.45105152010100</v>
          </cell>
          <cell r="B415" t="str">
            <v>CO-MEIZAN SBO  16L X 1 BTL</v>
          </cell>
          <cell r="C415" t="str">
            <v>DẦU ĐẬU NÀNH HIỆU MEIZAN 16L</v>
          </cell>
          <cell r="D415" t="str">
            <v>CO-MZSBO16LX1BTL</v>
          </cell>
          <cell r="E415">
            <v>14.56</v>
          </cell>
          <cell r="F415" t="str">
            <v>Bỏ chọn</v>
          </cell>
          <cell r="G415"/>
          <cell r="H415"/>
        </row>
        <row r="416">
          <cell r="A416" t="str">
            <v>7.451052261200000</v>
          </cell>
          <cell r="B416" t="str">
            <v>SATELLITE RBDSBO IN JERRYCAN @25KG</v>
          </cell>
          <cell r="C416" t="str">
            <v>DẦU ĐẬU NÀNH TINH LUYỆN HIỆU SATELLITE TRONG CAN 25KG</v>
          </cell>
          <cell r="D416" t="str">
            <v>CO-SATSBO@25JRG</v>
          </cell>
          <cell r="E416">
            <v>25</v>
          </cell>
          <cell r="F416" t="str">
            <v>Chọn</v>
          </cell>
          <cell r="G416"/>
          <cell r="H416"/>
        </row>
        <row r="417">
          <cell r="A417" t="str">
            <v>7.451052261200010</v>
          </cell>
          <cell r="B417" t="str">
            <v>SATELLITE NSBO IN JERRYCAN@25KG</v>
          </cell>
          <cell r="C417" t="str">
            <v>DẦU ĐẬU NÀNH TRUNG HOÀ NHÃN NHIỆU SATELLITE TRONG CAN 25KG</v>
          </cell>
          <cell r="D417" t="str">
            <v>SAT@25KGJRG</v>
          </cell>
          <cell r="E417">
            <v>25</v>
          </cell>
          <cell r="F417" t="str">
            <v>Bỏ chọn</v>
          </cell>
          <cell r="G417"/>
          <cell r="H417"/>
        </row>
        <row r="418">
          <cell r="A418" t="str">
            <v>7.45105230140000</v>
          </cell>
          <cell r="B418" t="str">
            <v>SATELLITE RBD SBO IN NEW DRUM@190 KG</v>
          </cell>
          <cell r="C418" t="str">
            <v>DẦU ĐẬU NÀNH TINH LUYỆN HIỆU "SATELLITE", THÙNG PHUY 190KG</v>
          </cell>
          <cell r="D418" t="str">
            <v>STRBDSBO@190KGDRM</v>
          </cell>
          <cell r="E418">
            <v>190</v>
          </cell>
          <cell r="F418" t="str">
            <v>Bỏ chọn</v>
          </cell>
          <cell r="G418"/>
          <cell r="H418"/>
        </row>
        <row r="419">
          <cell r="A419" t="str">
            <v>7.45105230270000</v>
          </cell>
          <cell r="B419" t="str">
            <v>SATELLITE RBD SBO IN SECOND DRUM @190KG</v>
          </cell>
          <cell r="C419" t="str">
            <v>DẦU ĐẬU NÀNH TINH LUYỆN HIỆU "SATELLITE", THÙNG PHUY CŨ 190KG</v>
          </cell>
          <cell r="D419" t="str">
            <v>STRBDSBO@190KGUSDR</v>
          </cell>
          <cell r="E419">
            <v>190</v>
          </cell>
          <cell r="F419" t="str">
            <v>Bỏ chọn</v>
          </cell>
          <cell r="G419"/>
          <cell r="H419"/>
        </row>
        <row r="420">
          <cell r="A420" t="str">
            <v>7.45105279090100</v>
          </cell>
          <cell r="B420" t="str">
            <v>SATELLITE-SBO BIB @18 KG</v>
          </cell>
          <cell r="C420" t="str">
            <v>DẦU ĐẬU NÀNH TINH LUYỆN HIỆU SATELLITE TRONG TÚI BÓNG 18 KG</v>
          </cell>
          <cell r="D420" t="str">
            <v>CO-STRSBO@18KGBIB</v>
          </cell>
          <cell r="E420">
            <v>18</v>
          </cell>
          <cell r="F420" t="str">
            <v>Chọn</v>
          </cell>
          <cell r="G420"/>
          <cell r="H420"/>
        </row>
        <row r="421">
          <cell r="A421" t="str">
            <v>7.45105279090101</v>
          </cell>
          <cell r="B421" t="str">
            <v>SATELLITE-NSBO BIB @18KG</v>
          </cell>
          <cell r="C421" t="str">
            <v>DẦU ĐẬU NÀNH TRUNG HÒA HIỆU SATTLITE TRONG TÚI BIB 18KG</v>
          </cell>
          <cell r="D421" t="str">
            <v>STNSBO@18KGBIB</v>
          </cell>
          <cell r="E421">
            <v>18</v>
          </cell>
          <cell r="F421" t="str">
            <v>Bỏ chọn</v>
          </cell>
          <cell r="G421"/>
          <cell r="H421"/>
        </row>
        <row r="422">
          <cell r="A422" t="str">
            <v>7.451109031700040</v>
          </cell>
          <cell r="B422" t="str">
            <v>RIKA NBDSBO IN BOTTLE@1L</v>
          </cell>
          <cell r="C422" t="str">
            <v>DẦU ĐẬU NÀNH RIKA 1L</v>
          </cell>
          <cell r="D422" t="str">
            <v>RIKASBO1LBTL</v>
          </cell>
          <cell r="E422">
            <v>0.91</v>
          </cell>
          <cell r="F422" t="str">
            <v>Bỏ chọn</v>
          </cell>
          <cell r="G422"/>
          <cell r="H422"/>
        </row>
        <row r="423">
          <cell r="A423" t="str">
            <v>7.451109051700040</v>
          </cell>
          <cell r="B423" t="str">
            <v>RIKA NBDSBO IN BOTTLE@2L</v>
          </cell>
          <cell r="C423" t="str">
            <v>DẦU ĐẬU NÀNH RIKA 2L</v>
          </cell>
          <cell r="D423" t="str">
            <v>RIKASBO2LBTL</v>
          </cell>
          <cell r="E423">
            <v>1.82</v>
          </cell>
          <cell r="F423" t="str">
            <v>Bỏ chọn</v>
          </cell>
          <cell r="G423"/>
          <cell r="H423"/>
        </row>
        <row r="424">
          <cell r="A424" t="str">
            <v>7.451109081700040</v>
          </cell>
          <cell r="B424" t="str">
            <v>RIKA NBDSBO IN BOTTLE@5L</v>
          </cell>
          <cell r="C424" t="str">
            <v>DẦU ĐẬU NÀNH RIKA 5L</v>
          </cell>
          <cell r="D424" t="str">
            <v>RIKASBO5LBTL</v>
          </cell>
          <cell r="E424">
            <v>4.55</v>
          </cell>
          <cell r="F424" t="str">
            <v>Bỏ chọn</v>
          </cell>
          <cell r="G424"/>
          <cell r="H424"/>
        </row>
        <row r="425">
          <cell r="A425" t="str">
            <v>7.45200030140000</v>
          </cell>
          <cell r="B425" t="str">
            <v>RBD RAPESEED OIL IN DRUM @190 KG</v>
          </cell>
          <cell r="C425" t="str">
            <v>DẦU CẢI TINH LUYỆN, THÙNG PHUY 190KG</v>
          </cell>
          <cell r="D425" t="str">
            <v>RBDRPSDOIL@190KGDR</v>
          </cell>
          <cell r="E425">
            <v>190</v>
          </cell>
          <cell r="F425" t="str">
            <v>Bỏ chọn</v>
          </cell>
          <cell r="G425"/>
          <cell r="H425"/>
        </row>
        <row r="426">
          <cell r="A426" t="str">
            <v>7.45505101010501</v>
          </cell>
          <cell r="B426" t="str">
            <v>CO-MEIZAN SESAME 0.25L X 12 BTL</v>
          </cell>
          <cell r="C426" t="str">
            <v>DẦU MÈ THƠM NHÃN HIỆU MEIZAN 250 ML</v>
          </cell>
          <cell r="D426" t="str">
            <v>MEIZ-SSO@0.25LX12</v>
          </cell>
          <cell r="E426">
            <v>2.73</v>
          </cell>
          <cell r="F426" t="str">
            <v>Chọn</v>
          </cell>
          <cell r="G426"/>
          <cell r="H426" t="str">
            <v>7.45505101170001</v>
          </cell>
        </row>
        <row r="427">
          <cell r="A427" t="str">
            <v>7.45505101170001</v>
          </cell>
          <cell r="B427" t="str">
            <v>CO-MEIZAN SESAME IN BOT-PET/PVC@ 0.25L</v>
          </cell>
          <cell r="C427" t="str">
            <v>DẦU MÈ THƠM NHÃN HIỆU MEIZAN 250 ML</v>
          </cell>
          <cell r="D427" t="str">
            <v>MEIZ-SSO@0.25L</v>
          </cell>
          <cell r="E427">
            <v>0.22800000000000001</v>
          </cell>
          <cell r="F427" t="str">
            <v>Chọn</v>
          </cell>
          <cell r="G427"/>
          <cell r="H427"/>
        </row>
        <row r="428">
          <cell r="A428" t="str">
            <v>7.45705003010500</v>
          </cell>
          <cell r="B428" t="str">
            <v>CO-SIMPLY CANOLA 1L X 12 BTL</v>
          </cell>
          <cell r="C428" t="str">
            <v>DẦU HẠT CẢI NHÃN HIỆU SIMPLY 1L</v>
          </cell>
          <cell r="D428" t="str">
            <v>CO-SPCNL1LX12BTL</v>
          </cell>
          <cell r="E428">
            <v>10.92</v>
          </cell>
          <cell r="F428" t="str">
            <v>Chọn</v>
          </cell>
          <cell r="G428"/>
          <cell r="H428" t="str">
            <v>7.45705003170000</v>
          </cell>
        </row>
        <row r="429">
          <cell r="A429" t="str">
            <v>7.45705003170000</v>
          </cell>
          <cell r="B429" t="str">
            <v>CO-SIMPLY CANOLA  BTL @ 1L</v>
          </cell>
          <cell r="C429" t="str">
            <v>DẦU HẠT CẢI NHÃN HIỆU SIMPLY 1L</v>
          </cell>
          <cell r="D429" t="str">
            <v>CO-SPCNL@1LBTL</v>
          </cell>
          <cell r="E429">
            <v>0.91</v>
          </cell>
          <cell r="F429" t="str">
            <v>Chọn</v>
          </cell>
          <cell r="G429"/>
          <cell r="H429"/>
        </row>
        <row r="430">
          <cell r="A430" t="str">
            <v>7.45705279090100</v>
          </cell>
          <cell r="B430" t="str">
            <v>SATELLITE-CANOLA BIB @18 KG</v>
          </cell>
          <cell r="C430" t="str">
            <v>DẦU HẠT CẢI HIỆU SATELLITE TRONG TÚI BÓNG 18KG</v>
          </cell>
          <cell r="D430" t="str">
            <v>CO-STCNL@18KGJRG</v>
          </cell>
          <cell r="E430">
            <v>18</v>
          </cell>
          <cell r="F430" t="str">
            <v>Chọn</v>
          </cell>
          <cell r="G430"/>
          <cell r="H430"/>
        </row>
        <row r="431">
          <cell r="A431" t="str">
            <v>7.45705279120000</v>
          </cell>
          <cell r="B431" t="str">
            <v>SATELLITE-CANOLA JRG @18 KG</v>
          </cell>
          <cell r="C431" t="str">
            <v>DẦU HẠT CẢI TINH LUYỆN HIỆU SATELLITE TRONG CAN 18KG</v>
          </cell>
          <cell r="D431" t="str">
            <v>CO-STCNL@18KGJRG</v>
          </cell>
          <cell r="E431">
            <v>18</v>
          </cell>
          <cell r="F431" t="str">
            <v>Bỏ chọn</v>
          </cell>
          <cell r="G431"/>
          <cell r="H431"/>
        </row>
        <row r="432">
          <cell r="A432" t="str">
            <v>7.45805003010500</v>
          </cell>
          <cell r="B432" t="str">
            <v>CO-SIMPLY SFO 1L X 12 BTL</v>
          </cell>
          <cell r="C432" t="str">
            <v>DẦU HƯỚNG DƯƠNG NHÃN HIỆU SIMPLY 1L</v>
          </cell>
          <cell r="D432" t="str">
            <v>CO-SPSFO1LX12BTL</v>
          </cell>
          <cell r="E432">
            <v>10.92</v>
          </cell>
          <cell r="F432" t="str">
            <v>Chọn</v>
          </cell>
          <cell r="G432"/>
          <cell r="H432" t="str">
            <v>7.45805003170000</v>
          </cell>
        </row>
        <row r="433">
          <cell r="A433" t="str">
            <v>7.45805003170000</v>
          </cell>
          <cell r="B433" t="str">
            <v>CO-SIMPLY SFO BTL @ 1L</v>
          </cell>
          <cell r="C433" t="str">
            <v>DẦU HƯỚNG DƯƠNG NHÃN HIỆU SIMPLY 1L</v>
          </cell>
          <cell r="D433" t="str">
            <v>CO-SPSFO@1LBTL</v>
          </cell>
          <cell r="E433">
            <v>0.91</v>
          </cell>
          <cell r="F433" t="str">
            <v>Chọn</v>
          </cell>
          <cell r="G433"/>
          <cell r="H433"/>
        </row>
        <row r="434">
          <cell r="A434" t="str">
            <v>7.45805279090100</v>
          </cell>
          <cell r="B434" t="str">
            <v>SATELLITE RBD SUNFLOWER OIL IN BIB18 KG</v>
          </cell>
          <cell r="C434" t="str">
            <v>DẦU HƯỚNG DƯƠNG TINH LUYỆN HIỆU SATELLITE TRONG TÚI BÓNG 18KG</v>
          </cell>
          <cell r="D434" t="str">
            <v>CO-STRBDSF@18KGBIB</v>
          </cell>
          <cell r="E434">
            <v>18</v>
          </cell>
          <cell r="F434" t="str">
            <v>Chọn</v>
          </cell>
          <cell r="G434"/>
          <cell r="H434"/>
        </row>
        <row r="435">
          <cell r="A435" t="str">
            <v>7.46000079090101</v>
          </cell>
          <cell r="B435" t="str">
            <v>CRUDE RICE BRAN OIL IN BIB @18KG</v>
          </cell>
          <cell r="C435" t="str">
            <v>DẦU CÁM GẠO THÔ ĐÓNG TRONG TÚI BIB 18KG</v>
          </cell>
          <cell r="D435" t="str">
            <v>CRBO@18KGBIB</v>
          </cell>
          <cell r="E435">
            <v>18</v>
          </cell>
          <cell r="F435" t="str">
            <v>Bỏ chọn</v>
          </cell>
          <cell r="G435"/>
          <cell r="H435"/>
        </row>
        <row r="436">
          <cell r="A436" t="str">
            <v>7.46000084220001</v>
          </cell>
          <cell r="B436" t="str">
            <v>CRBO IN FLEXIBLE BAG@20MT</v>
          </cell>
          <cell r="C436" t="str">
            <v>DẦU CÁM GẠO THÔ ĐÓNG TRONG TÚI FLEXITANK</v>
          </cell>
          <cell r="D436" t="str">
            <v>FLEX CRBO</v>
          </cell>
          <cell r="E436">
            <v>1</v>
          </cell>
          <cell r="F436" t="str">
            <v>Bỏ chọn</v>
          </cell>
          <cell r="G436"/>
          <cell r="H436"/>
        </row>
        <row r="437">
          <cell r="A437" t="str">
            <v>7.46000084220002</v>
          </cell>
          <cell r="B437" t="str">
            <v>SEMI RBO IN FLEXIBLE BAG@20MT</v>
          </cell>
          <cell r="C437" t="str">
            <v>DẦU CÁM GẠO SƠ CHẾ ĐÓNG TRONG TÚI FLEXITANK</v>
          </cell>
          <cell r="D437" t="str">
            <v>FLEX DGDWNBRBO</v>
          </cell>
          <cell r="E437">
            <v>1</v>
          </cell>
          <cell r="F437" t="str">
            <v>Bỏ chọn</v>
          </cell>
          <cell r="G437"/>
          <cell r="H437"/>
        </row>
        <row r="438">
          <cell r="A438" t="str">
            <v>7.46000084220003</v>
          </cell>
          <cell r="B438" t="str">
            <v>RBD RICE BRAN OIL IN FLEXIBLE BAG@20MT</v>
          </cell>
          <cell r="C438" t="str">
            <v>DẦU CÁM GẠO TINH LUYỆN TRONG FLEXITANK (HP)</v>
          </cell>
          <cell r="D438" t="str">
            <v>FLEX RBDRBO</v>
          </cell>
          <cell r="E438">
            <v>1</v>
          </cell>
          <cell r="F438" t="str">
            <v>Bỏ chọn</v>
          </cell>
          <cell r="G438"/>
          <cell r="H438"/>
        </row>
        <row r="439">
          <cell r="A439" t="str">
            <v>7.46000084220004</v>
          </cell>
          <cell r="B439" t="str">
            <v>NEUTRALIZED RICE BRAN OIL FLEXIBAG@20MT</v>
          </cell>
          <cell r="C439" t="str">
            <v>DẦU CÁM GẠO TRUNG HÒA ĐÓNG TRONG TÚI FLEXIBLE</v>
          </cell>
          <cell r="D439" t="str">
            <v>FLEX NRBO</v>
          </cell>
          <cell r="E439">
            <v>1</v>
          </cell>
          <cell r="F439" t="str">
            <v>Bỏ chọn</v>
          </cell>
          <cell r="G439"/>
          <cell r="H439"/>
        </row>
        <row r="440">
          <cell r="A440" t="str">
            <v>7.46000084220005</v>
          </cell>
          <cell r="B440" t="str">
            <v>DGDWDA NEU RICE BRAN OIL IN FLEXIBAG20MT</v>
          </cell>
          <cell r="C440" t="str">
            <v>DẦU CÁM GẠO KHỬ GUM, TÁCH SÁP, TRUNG HÒA TRONG TÚI FLEXIBLE</v>
          </cell>
          <cell r="D440" t="str">
            <v>FLEX DGDWDANRBO</v>
          </cell>
          <cell r="E440">
            <v>1</v>
          </cell>
          <cell r="F440" t="str">
            <v>Bỏ chọn</v>
          </cell>
          <cell r="G440"/>
          <cell r="H440"/>
        </row>
        <row r="441">
          <cell r="A441" t="str">
            <v>7.460050031704030</v>
          </cell>
          <cell r="B441" t="str">
            <v>CO-SIMPLY RBDRBO 1L X 6BTL</v>
          </cell>
          <cell r="C441" t="str">
            <v>DẦU GẠO CAO CẤP SIMPLY 1L</v>
          </cell>
          <cell r="D441" t="str">
            <v>CO-SPRBO1LX6BTL</v>
          </cell>
          <cell r="E441">
            <v>5.46</v>
          </cell>
          <cell r="F441" t="str">
            <v>Bỏ chọn</v>
          </cell>
          <cell r="G441"/>
          <cell r="H441"/>
        </row>
        <row r="442">
          <cell r="A442" t="str">
            <v>7.460106011705030</v>
          </cell>
          <cell r="B442" t="str">
            <v>NEPTUNE PREMIUM RICE BRAN OIL0.25LX12BTL</v>
          </cell>
          <cell r="C442" t="str">
            <v>DẦU GẠO CAO CẤP NEPTUNE 0,25L</v>
          </cell>
          <cell r="D442" t="str">
            <v>NEPRB0.25LX12</v>
          </cell>
          <cell r="E442">
            <v>2.73</v>
          </cell>
          <cell r="F442" t="str">
            <v>Bỏ chọn</v>
          </cell>
          <cell r="G442"/>
          <cell r="H442"/>
        </row>
        <row r="443">
          <cell r="A443" t="str">
            <v>7.460106171700030</v>
          </cell>
          <cell r="B443" t="str">
            <v>CO-NEPTUNE PREMIUM RBD RBO BTL@0.75L</v>
          </cell>
          <cell r="C443" t="str">
            <v>DẦU GẠO CAO CẤP NEPTUNE 0,75L</v>
          </cell>
          <cell r="D443" t="str">
            <v>CO-NEPRBO@0.75LB</v>
          </cell>
          <cell r="E443">
            <v>0.68300000000000005</v>
          </cell>
          <cell r="F443" t="str">
            <v>Bỏ chọn</v>
          </cell>
          <cell r="G443"/>
          <cell r="H443"/>
        </row>
        <row r="444">
          <cell r="A444" t="str">
            <v>7.460106171704030</v>
          </cell>
          <cell r="B444" t="str">
            <v>CO-NEPTUNE PREMIUM RBD RBO 0.75LX6BTL</v>
          </cell>
          <cell r="C444" t="str">
            <v>DẦU CÁM GẠO THƯỢNG HẠNG HIỆU NEPTUNE, 750 ML X 6 CHAI</v>
          </cell>
          <cell r="D444" t="str">
            <v>NEPRB0.75LX6B</v>
          </cell>
          <cell r="E444">
            <v>4.0949999999999998</v>
          </cell>
          <cell r="F444" t="str">
            <v>Bỏ chọn</v>
          </cell>
          <cell r="G444"/>
          <cell r="H444"/>
        </row>
        <row r="445">
          <cell r="A445" t="str">
            <v>7.460106171713030</v>
          </cell>
          <cell r="B445" t="str">
            <v>NEPTUNE PREMIUM RICE BRAN OIL 0.75LX9BTL</v>
          </cell>
          <cell r="C445" t="str">
            <v>DẦU GẠO CAO CẤP NEPTUNE 0,75L</v>
          </cell>
          <cell r="D445" t="str">
            <v>NEPRB0.75LX9B</v>
          </cell>
          <cell r="E445">
            <v>6.14</v>
          </cell>
          <cell r="F445" t="str">
            <v>Bỏ chọn</v>
          </cell>
          <cell r="G445"/>
          <cell r="H445"/>
        </row>
        <row r="446">
          <cell r="A446" t="str">
            <v>7.460106175701030</v>
          </cell>
          <cell r="B446" t="str">
            <v>NEPTUNE PREM RBDRBO IN LACQUER BOX@0.75L</v>
          </cell>
          <cell r="C446" t="str">
            <v>DẦU GẠO CAO CẤP NEPTUNE 0,75L TRONG HÔP SƠN MÀI</v>
          </cell>
          <cell r="D446" t="str">
            <v>NEPLACRB0.75</v>
          </cell>
          <cell r="E446">
            <v>0.68</v>
          </cell>
          <cell r="F446" t="str">
            <v>Bỏ chọn</v>
          </cell>
          <cell r="G446"/>
          <cell r="H446"/>
        </row>
        <row r="447">
          <cell r="A447" t="str">
            <v>7.47505601010500</v>
          </cell>
          <cell r="B447" t="str">
            <v>CO-OLIVOILÀ OLIVE OIL 0.25L X 12 BTL</v>
          </cell>
          <cell r="C447" t="str">
            <v>DẦU Ô-LIU EXTRA VIRGIN NHÃN HIỆU OLIVOILÀ 250 ML</v>
          </cell>
          <cell r="D447" t="str">
            <v>OLIVE0.25LX12BTL</v>
          </cell>
          <cell r="E447">
            <v>2.73</v>
          </cell>
          <cell r="F447" t="str">
            <v>Chọn</v>
          </cell>
          <cell r="G447"/>
          <cell r="H447" t="str">
            <v>7.47505601170000</v>
          </cell>
        </row>
        <row r="448">
          <cell r="A448" t="str">
            <v>7.47505601170000</v>
          </cell>
          <cell r="B448" t="str">
            <v>CO-OLIVOILÀ OLIVE OIL @ 0.25L</v>
          </cell>
          <cell r="C448" t="str">
            <v>DẦU Ô-LIU EXTRA VIRGIN NHÃN HIỆU OLIVOILÀ 250 ML</v>
          </cell>
          <cell r="D448" t="str">
            <v>OLIVE@0.25L</v>
          </cell>
          <cell r="E448">
            <v>0.22800000000000001</v>
          </cell>
          <cell r="F448" t="str">
            <v>Chọn</v>
          </cell>
          <cell r="G448"/>
          <cell r="H448"/>
        </row>
        <row r="449">
          <cell r="A449" t="str">
            <v>7.475056011700020</v>
          </cell>
          <cell r="B449" t="str">
            <v>CO-OLIVOILA POMACE OLIVEOIL IN BOT@250ML</v>
          </cell>
          <cell r="C449" t="str">
            <v>DẦU Ô-LIU POMACE NHÃN HIỆU OLIVOILÀ 0.25L</v>
          </cell>
          <cell r="D449" t="str">
            <v>CO-P.OLIVE @0.25L</v>
          </cell>
          <cell r="E449">
            <v>0.22800000000000001</v>
          </cell>
          <cell r="F449" t="str">
            <v>Bỏ chọn</v>
          </cell>
          <cell r="G449"/>
          <cell r="H449"/>
        </row>
        <row r="450">
          <cell r="A450" t="str">
            <v>7.475056011705020</v>
          </cell>
          <cell r="B450" t="str">
            <v>CO-OLIVOILA POMACE OLIVE OIL 250MLX12BTL</v>
          </cell>
          <cell r="C450" t="str">
            <v>DẦU Ô-LIU POMACE NHÃN HIỆU OLIVOILÀ 0.25L</v>
          </cell>
          <cell r="D450" t="str">
            <v>CO-OLI0.25LX12BTL</v>
          </cell>
          <cell r="E450">
            <v>2.73</v>
          </cell>
          <cell r="F450" t="str">
            <v>Bỏ chọn</v>
          </cell>
          <cell r="G450"/>
          <cell r="H450"/>
        </row>
        <row r="451">
          <cell r="A451" t="str">
            <v>7.475056031700020</v>
          </cell>
          <cell r="B451" t="str">
            <v>CO-OLIVOILA POMACE OLIVE OIL IN BOT @1L</v>
          </cell>
          <cell r="C451" t="str">
            <v>DẦU Ô-LIU POMACE NHÃN HIỆU OLIVOILÀ 1L</v>
          </cell>
          <cell r="D451" t="str">
            <v>CO-P.OLIVE @1L</v>
          </cell>
          <cell r="E451">
            <v>0.91</v>
          </cell>
          <cell r="F451" t="str">
            <v>Chọn</v>
          </cell>
          <cell r="G451"/>
          <cell r="H451"/>
        </row>
        <row r="452">
          <cell r="A452" t="str">
            <v>7.475056031705020</v>
          </cell>
          <cell r="B452" t="str">
            <v>CO-OLIVOILA POMACE OLIVE OIL 1LX12BTL</v>
          </cell>
          <cell r="C452" t="str">
            <v>DẦU Ô-LIU POMACE NHÃN HIỆU OLIVOILÀ 1L</v>
          </cell>
          <cell r="D452" t="str">
            <v>CO-OLI1LX12BTL</v>
          </cell>
          <cell r="E452">
            <v>10.92</v>
          </cell>
          <cell r="F452" t="str">
            <v>Chọn</v>
          </cell>
          <cell r="G452"/>
          <cell r="H452" t="str">
            <v>7.475056031700020</v>
          </cell>
        </row>
        <row r="453">
          <cell r="A453" t="str">
            <v>7.47505617010400</v>
          </cell>
          <cell r="B453" t="str">
            <v>CO-OLIVOILÀ OLIVE OIL @ 0.75L X 6 BTL</v>
          </cell>
          <cell r="C453" t="str">
            <v>DẦU Ô-LIU EXTRA VIRGIN NHÃN HIỆU OLIVOILÀ 750 ML</v>
          </cell>
          <cell r="D453" t="str">
            <v>OLIVE0.75LX6BTL</v>
          </cell>
          <cell r="E453">
            <v>4.0949999999999998</v>
          </cell>
          <cell r="F453" t="str">
            <v>Chọn</v>
          </cell>
          <cell r="G453"/>
          <cell r="H453" t="str">
            <v>7.47505617170000</v>
          </cell>
        </row>
        <row r="454">
          <cell r="A454" t="str">
            <v>7.47505617170000</v>
          </cell>
          <cell r="B454" t="str">
            <v>CO-OLIVOILÀ OLIVE OIL  IN BOTTLE@0.75L</v>
          </cell>
          <cell r="C454" t="str">
            <v>DẦU Ô-LIU EXTRA VIRGIN NHÃN HIỆU OLIVOILÀ 750 ML</v>
          </cell>
          <cell r="D454" t="str">
            <v>OLIVE@0.75L</v>
          </cell>
          <cell r="E454">
            <v>0.68200000000000005</v>
          </cell>
          <cell r="F454" t="str">
            <v>Chọn</v>
          </cell>
          <cell r="G454"/>
          <cell r="H454"/>
        </row>
        <row r="455">
          <cell r="A455" t="str">
            <v>97.131021011700610</v>
          </cell>
          <cell r="B455" t="str">
            <v>CO-NEPTUNE 1:1:1 BTL @ 0.25L TOLL</v>
          </cell>
          <cell r="C455" t="str">
            <v>DẦU ĂN HIỆU NEPTUNE 250ML</v>
          </cell>
          <cell r="D455" t="str">
            <v>PRO-NE111S-0.25L</v>
          </cell>
          <cell r="E455">
            <v>0.22800000000000001</v>
          </cell>
          <cell r="F455" t="str">
            <v>Bỏ chọn</v>
          </cell>
          <cell r="G455"/>
          <cell r="H455"/>
        </row>
        <row r="456">
          <cell r="A456" t="str">
            <v>97.131021011720610</v>
          </cell>
          <cell r="B456" t="str">
            <v>CO-NEPTUNE 1:1:1 0.25L X 30 BTL</v>
          </cell>
          <cell r="C456" t="str">
            <v>DẦU ĂN HIỆU NEPTUNE 250ML</v>
          </cell>
          <cell r="D456" t="str">
            <v>PRO-NE111S-0.25LX30</v>
          </cell>
          <cell r="E456">
            <v>6.8250000000000002</v>
          </cell>
          <cell r="F456" t="str">
            <v>Bỏ chọn</v>
          </cell>
          <cell r="G456"/>
          <cell r="H456"/>
        </row>
        <row r="457">
          <cell r="A457" t="str">
            <v>97.13102103010510</v>
          </cell>
          <cell r="B457" t="str">
            <v>CO-NEPTUNE 1:1:1 1L X 12 BTL</v>
          </cell>
          <cell r="C457" t="str">
            <v>DẦU ĂN NEPTUNE 1:1:1, 1L X 12 CHAI</v>
          </cell>
          <cell r="D457" t="str">
            <v>PRO-NE111S-1LX12</v>
          </cell>
          <cell r="E457">
            <v>10.92</v>
          </cell>
          <cell r="F457" t="str">
            <v>Bỏ chọn</v>
          </cell>
          <cell r="G457"/>
          <cell r="H457"/>
        </row>
        <row r="458">
          <cell r="A458" t="str">
            <v>97.13102301010512</v>
          </cell>
          <cell r="B458" t="str">
            <v>CO-KIDDY 0.25L X 12 BTL</v>
          </cell>
          <cell r="C458" t="str">
            <v>DẦU ĂN DINH DƯỠNG CHO TRẺ EM HIỆU KIDDY 250ML</v>
          </cell>
          <cell r="D458" t="str">
            <v>PRO-KIDDY-0.25LX12</v>
          </cell>
          <cell r="E458">
            <v>2.73</v>
          </cell>
          <cell r="F458" t="str">
            <v>Bỏ chọn</v>
          </cell>
          <cell r="G458"/>
          <cell r="H458"/>
        </row>
        <row r="459">
          <cell r="A459" t="str">
            <v>97.131058031705760</v>
          </cell>
          <cell r="B459" t="str">
            <v>CO-MEIZAN G3 S 1LX12BTL TOLL</v>
          </cell>
          <cell r="C459" t="str">
            <v>DẦU ĂN HIỆU MEIZAN 1L</v>
          </cell>
          <cell r="D459" t="str">
            <v>PRO-MEI-1LX12</v>
          </cell>
          <cell r="E459">
            <v>10.92</v>
          </cell>
          <cell r="F459" t="str">
            <v>Bỏ chọn</v>
          </cell>
          <cell r="G459"/>
          <cell r="H459"/>
        </row>
        <row r="460">
          <cell r="A460" t="str">
            <v>97.45105003010500</v>
          </cell>
          <cell r="B460" t="str">
            <v>CO-SIMPLY SBO 1L X 12 BTL</v>
          </cell>
          <cell r="C460" t="str">
            <v>DẦU ĂN HIỆU SIMPLY 1L</v>
          </cell>
          <cell r="D460" t="str">
            <v>PRO-SIM-1L</v>
          </cell>
          <cell r="E460">
            <v>10.92</v>
          </cell>
          <cell r="F460" t="str">
            <v>Chọn</v>
          </cell>
          <cell r="G460"/>
          <cell r="H460"/>
        </row>
        <row r="461">
          <cell r="A461" t="str">
            <v>97.45505101010501</v>
          </cell>
          <cell r="B461" t="str">
            <v>CO-MEIZAN SESAME 0.25L X 12 BTL</v>
          </cell>
          <cell r="C461" t="str">
            <v>DẦU MÈ HIỆU MEIZAN 0,25L</v>
          </cell>
          <cell r="D461" t="str">
            <v>PRO-MEI-0,25LX12</v>
          </cell>
          <cell r="E461">
            <v>2.73</v>
          </cell>
          <cell r="F461" t="str">
            <v>Bỏ chọn</v>
          </cell>
          <cell r="G461"/>
          <cell r="H461"/>
        </row>
        <row r="462">
          <cell r="A462" t="str">
            <v>97.45805003010500</v>
          </cell>
          <cell r="B462" t="str">
            <v>CO-SIMPLY SFO 1L X 12 BTL</v>
          </cell>
          <cell r="C462" t="str">
            <v>DẦU HƯỚNG DƯƠNG HIỆU SIMPLY 1L</v>
          </cell>
          <cell r="D462" t="str">
            <v>PRO-SIM SFO-1LX12</v>
          </cell>
          <cell r="E462">
            <v>10.92</v>
          </cell>
          <cell r="F462" t="str">
            <v>Bỏ chọn</v>
          </cell>
          <cell r="G462"/>
          <cell r="H462"/>
        </row>
        <row r="463">
          <cell r="A463" t="str">
            <v>97.47505617010400</v>
          </cell>
          <cell r="B463" t="str">
            <v>CO-OLIVOILÀ OLIVE OIL @ 0.75L X 6 BTL</v>
          </cell>
          <cell r="C463" t="str">
            <v>DẦU OLIU NGUYÊN CHẤT HIỆU OLIVOILÀ 75</v>
          </cell>
          <cell r="D463" t="str">
            <v>PRO-OLIVOILA OLIVE-0.75LX6</v>
          </cell>
          <cell r="E463">
            <v>4.0949999999999998</v>
          </cell>
          <cell r="F463" t="str">
            <v>Bỏ chọn</v>
          </cell>
          <cell r="G463"/>
          <cell r="H463"/>
        </row>
        <row r="464">
          <cell r="A464" t="str">
            <v>6.523991505</v>
          </cell>
          <cell r="B464" t="str">
            <v>RED KEY_25</v>
          </cell>
          <cell r="C464" t="str">
            <v>BỘT MÌ NHÃN HIỆU "CHÌA KHÓA ĐỎ" (25KG)</v>
          </cell>
          <cell r="D464" t="str">
            <v>RED KEY_25</v>
          </cell>
          <cell r="E464">
            <v>1</v>
          </cell>
          <cell r="F464" t="str">
            <v>Bỏ chọn</v>
          </cell>
          <cell r="G464"/>
          <cell r="H464"/>
        </row>
        <row r="465">
          <cell r="A465" t="str">
            <v>6.5239917990515</v>
          </cell>
          <cell r="B465" t="str">
            <v>SATELLITE PDS_25</v>
          </cell>
          <cell r="C465" t="str">
            <v>BỘT MÌ NHÃN HIỆU "VỆ TINH" (25KG)</v>
          </cell>
          <cell r="D465" t="str">
            <v>SATELLITE PDS_25</v>
          </cell>
          <cell r="E465">
            <v>1</v>
          </cell>
          <cell r="F465" t="str">
            <v>Bỏ chọn</v>
          </cell>
          <cell r="G465"/>
          <cell r="H465"/>
        </row>
        <row r="466">
          <cell r="A466" t="str">
            <v>6.5239926990501</v>
          </cell>
          <cell r="B466" t="str">
            <v>BLUE KEY PAU_25</v>
          </cell>
          <cell r="C466" t="str">
            <v>BỘT MÌ NHÃN HIỆU "CHÌA KHÓA XANH BÁNH BAO" (25KG)</v>
          </cell>
          <cell r="D466" t="str">
            <v>BLUE KEY PAU_25</v>
          </cell>
          <cell r="E466">
            <v>1</v>
          </cell>
          <cell r="F466" t="str">
            <v>Bỏ chọn</v>
          </cell>
          <cell r="G466"/>
          <cell r="H466"/>
        </row>
        <row r="467">
          <cell r="A467" t="str">
            <v>6.523991605</v>
          </cell>
          <cell r="B467" t="str">
            <v>RED PEN_25</v>
          </cell>
          <cell r="C467" t="str">
            <v>BỘT MÌ NHÃN HIỆU "CÂY VIẾT ĐỎ" (25KG)</v>
          </cell>
          <cell r="D467" t="str">
            <v>RED PEN_25</v>
          </cell>
          <cell r="E467">
            <v>1</v>
          </cell>
          <cell r="F467" t="str">
            <v>Bỏ chọn</v>
          </cell>
          <cell r="G467"/>
          <cell r="H467"/>
        </row>
        <row r="468">
          <cell r="A468" t="str">
            <v>6.5239907990501</v>
          </cell>
          <cell r="B468" t="str">
            <v>GREEN KEY_25</v>
          </cell>
          <cell r="C468" t="str">
            <v>BỘT MÌ NHÃN HIỆU "CHÌA KHÓA XANH LÁ" (25KG)</v>
          </cell>
          <cell r="D468" t="str">
            <v>GREEN KEY_25</v>
          </cell>
          <cell r="E468">
            <v>1</v>
          </cell>
          <cell r="F468" t="str">
            <v>Bỏ chọn</v>
          </cell>
          <cell r="G468"/>
          <cell r="H468"/>
        </row>
        <row r="469">
          <cell r="A469" t="str">
            <v>6.5239904990501</v>
          </cell>
          <cell r="B469" t="str">
            <v>BROWN COMPASS_25</v>
          </cell>
          <cell r="C469" t="str">
            <v>BỘT MÌ NHÃN HIỆU "LA BÀN NÂU" (25KG)</v>
          </cell>
          <cell r="D469" t="str">
            <v>BROWN COMPASS_25</v>
          </cell>
          <cell r="E469">
            <v>1</v>
          </cell>
          <cell r="F469" t="str">
            <v>Bỏ chọn</v>
          </cell>
          <cell r="G469"/>
          <cell r="H469"/>
        </row>
        <row r="470">
          <cell r="A470" t="str">
            <v>6.523991304</v>
          </cell>
          <cell r="B470" t="str">
            <v>PIZZA HUT_10</v>
          </cell>
          <cell r="C470" t="str">
            <v>BỘT MÌ NHÃN HIỆU "PIZZA FLOUR" (10KG)</v>
          </cell>
          <cell r="D470" t="str">
            <v>PIZZA HUT_10</v>
          </cell>
          <cell r="E470">
            <v>1</v>
          </cell>
          <cell r="F470" t="str">
            <v>Bỏ chọn</v>
          </cell>
          <cell r="G470"/>
          <cell r="H470"/>
        </row>
        <row r="471">
          <cell r="A471" t="str">
            <v>6.523990801</v>
          </cell>
          <cell r="B471" t="str">
            <v>MEIZAN_0.5</v>
          </cell>
          <cell r="C471" t="str">
            <v>BỘT MÌ NHÃN HIỆU "MEIZAN" (0.5KG*20 GÓI/THÙNG)</v>
          </cell>
          <cell r="D471" t="str">
            <v>MEIZAN_0.5</v>
          </cell>
          <cell r="E471">
            <v>10</v>
          </cell>
          <cell r="F471" t="str">
            <v>Bỏ chọn</v>
          </cell>
          <cell r="G471"/>
          <cell r="H471"/>
        </row>
        <row r="472">
          <cell r="A472" t="str">
            <v>6.523990802</v>
          </cell>
          <cell r="B472" t="str">
            <v>MEIZAN_1</v>
          </cell>
          <cell r="C472" t="str">
            <v>BỘT MÌ NHÃN HIỆU "MEIZAN" (1KG*10 GÓI/THÙNG)</v>
          </cell>
          <cell r="D472" t="str">
            <v>MEIZAN_1</v>
          </cell>
          <cell r="E472">
            <v>10</v>
          </cell>
          <cell r="F472" t="str">
            <v>Bỏ chọn</v>
          </cell>
          <cell r="G472"/>
          <cell r="H472"/>
        </row>
        <row r="473">
          <cell r="A473" t="str">
            <v>6.523990501</v>
          </cell>
          <cell r="B473" t="str">
            <v>COMPASS - PP_0.5</v>
          </cell>
          <cell r="C473" t="str">
            <v>BỘT MÌ NHÃN HIỆU "LA BÀN" (0.5KG*60 GÓI/BAO)</v>
          </cell>
          <cell r="D473" t="str">
            <v>COMPASS - PP_0.5</v>
          </cell>
          <cell r="E473">
            <v>30</v>
          </cell>
          <cell r="F473" t="str">
            <v>Bỏ chọn</v>
          </cell>
          <cell r="G473"/>
          <cell r="H473"/>
        </row>
        <row r="474">
          <cell r="A474" t="str">
            <v>6.523990502</v>
          </cell>
          <cell r="B474" t="str">
            <v>COMPASS - PP_1</v>
          </cell>
          <cell r="C474" t="str">
            <v>BỘT MÌ NHÃN HIỆU "LA BÀN" (1KG*30 GÓI/BAO)</v>
          </cell>
          <cell r="D474" t="str">
            <v>COMPASS - PP_1</v>
          </cell>
          <cell r="E474">
            <v>30</v>
          </cell>
          <cell r="F474" t="str">
            <v>Bỏ chọn</v>
          </cell>
          <cell r="G474"/>
          <cell r="H474"/>
        </row>
        <row r="475">
          <cell r="A475" t="str">
            <v>6.523991007</v>
          </cell>
          <cell r="B475" t="str">
            <v>WHITE POLLARD 14%_50</v>
          </cell>
          <cell r="C475" t="str">
            <v>CÁM MÌ (50KG)</v>
          </cell>
          <cell r="D475" t="str">
            <v>WHITE POLLARD 14%_50</v>
          </cell>
          <cell r="E475">
            <v>1</v>
          </cell>
          <cell r="F475" t="str">
            <v>Bỏ chọn</v>
          </cell>
          <cell r="G475"/>
          <cell r="H475"/>
        </row>
        <row r="476">
          <cell r="A476" t="str">
            <v>6.52399040619</v>
          </cell>
          <cell r="B476" t="str">
            <v>BROWN COMPASS M_40</v>
          </cell>
          <cell r="C476" t="str">
            <v>BỘT MÌ NHÃN HIỆU "LA BÀN NÂU" (40KG)</v>
          </cell>
          <cell r="D476" t="str">
            <v>BROWN COMPASS M_40</v>
          </cell>
          <cell r="E476">
            <v>1</v>
          </cell>
          <cell r="F476" t="str">
            <v>Bỏ chọn</v>
          </cell>
          <cell r="G476"/>
          <cell r="H476"/>
        </row>
        <row r="477">
          <cell r="A477" t="str">
            <v>6.523991905</v>
          </cell>
          <cell r="B477" t="str">
            <v>RED KEY -SP_25</v>
          </cell>
          <cell r="C477" t="str">
            <v>BỘT MÌ NHÃN HIỆU "CHÌA KHÓA ĐỎ SP" (25KG)</v>
          </cell>
          <cell r="D477" t="str">
            <v>RED KEY -SP_25</v>
          </cell>
          <cell r="E477">
            <v>1</v>
          </cell>
          <cell r="F477" t="str">
            <v>Bỏ chọn</v>
          </cell>
          <cell r="G477"/>
          <cell r="H477"/>
        </row>
        <row r="478">
          <cell r="A478" t="str">
            <v>6.52399160510</v>
          </cell>
          <cell r="B478" t="str">
            <v>RED PEN POUL TRY_25</v>
          </cell>
          <cell r="C478" t="str">
            <v>BỘT MÌ NHÃN HIỆU "CÂY VIẾT ĐỎ" (25KG)</v>
          </cell>
          <cell r="D478" t="str">
            <v>RED PEN POUL TRY_25</v>
          </cell>
          <cell r="E478">
            <v>1</v>
          </cell>
          <cell r="F478" t="str">
            <v>Bỏ chọn</v>
          </cell>
          <cell r="G478"/>
          <cell r="H478"/>
        </row>
        <row r="479">
          <cell r="A479" t="str">
            <v>6.5239907990513</v>
          </cell>
          <cell r="B479" t="str">
            <v>GREEN KEY - COOKIES_25</v>
          </cell>
          <cell r="C479" t="str">
            <v>BỘT MÌ NHÃN HIỆU "CHÌA KHÓA XANH LÁ" (25KG)</v>
          </cell>
          <cell r="D479" t="str">
            <v>GREEN KEY - COOKIES_25</v>
          </cell>
          <cell r="E479">
            <v>1</v>
          </cell>
          <cell r="F479" t="str">
            <v>Bỏ chọn</v>
          </cell>
          <cell r="G479"/>
          <cell r="H479"/>
        </row>
        <row r="480">
          <cell r="A480" t="str">
            <v>6.5239907990514</v>
          </cell>
          <cell r="B480" t="str">
            <v>GREEN KEY-25-BISCAFUN</v>
          </cell>
          <cell r="C480" t="str">
            <v>BỘT MÌ NHÃN HIỆU "CHÌA KHÓA XANH LÁ" (25KG)</v>
          </cell>
          <cell r="D480" t="str">
            <v>GREEN KEY-25-BISCAFUN</v>
          </cell>
          <cell r="E480">
            <v>1</v>
          </cell>
          <cell r="F480" t="str">
            <v>Bỏ chọn</v>
          </cell>
          <cell r="G480"/>
          <cell r="H480"/>
        </row>
        <row r="481">
          <cell r="A481" t="str">
            <v>6.5239914990501</v>
          </cell>
          <cell r="B481" t="str">
            <v>RED COMPASS_25</v>
          </cell>
          <cell r="C481" t="str">
            <v>BỘT MÌ NHÃN HIỆU "LA BÀN ĐỎ" (25KG)</v>
          </cell>
          <cell r="D481" t="str">
            <v>RED COMPASS_25</v>
          </cell>
          <cell r="E481">
            <v>1</v>
          </cell>
          <cell r="F481" t="str">
            <v>Bỏ chọn</v>
          </cell>
          <cell r="G481"/>
          <cell r="H481"/>
        </row>
        <row r="482">
          <cell r="A482" t="str">
            <v>6.523991506</v>
          </cell>
          <cell r="B482" t="str">
            <v>RED KEY_40</v>
          </cell>
          <cell r="C482" t="str">
            <v>BỘT MÌ NHÃN HIỆU "CHÌA KHÓA ĐỎ" (40KG)</v>
          </cell>
          <cell r="D482" t="str">
            <v>RED KEY_40</v>
          </cell>
          <cell r="E482">
            <v>1</v>
          </cell>
          <cell r="F482" t="str">
            <v>Bỏ chọn</v>
          </cell>
          <cell r="G482"/>
          <cell r="H482"/>
        </row>
        <row r="483">
          <cell r="A483" t="str">
            <v>6.5239907990515</v>
          </cell>
          <cell r="B483" t="str">
            <v xml:space="preserve">GREEN KEY PDS_25 </v>
          </cell>
          <cell r="C483" t="str">
            <v>BỘT MÌ NHÃN HIỆU "CHÌA KHÓA XANH LÁ" (25KG)</v>
          </cell>
          <cell r="D483" t="str">
            <v xml:space="preserve">GREEN KEY PDS_25 </v>
          </cell>
          <cell r="E483">
            <v>1</v>
          </cell>
          <cell r="F483" t="str">
            <v>Bỏ chọn</v>
          </cell>
          <cell r="G483"/>
          <cell r="H483"/>
        </row>
        <row r="484">
          <cell r="A484" t="str">
            <v>6.523991105</v>
          </cell>
          <cell r="B484" t="str">
            <v>ORANGE KEY_25</v>
          </cell>
          <cell r="C484" t="str">
            <v>BỘT MÌ NHÃN HIỆU "CHÌA KHÓA CAM" (25KG)</v>
          </cell>
          <cell r="D484" t="str">
            <v>ORANGE KEY_25</v>
          </cell>
          <cell r="E484">
            <v>1</v>
          </cell>
          <cell r="F484" t="str">
            <v>Bỏ chọn</v>
          </cell>
          <cell r="G484"/>
          <cell r="H484"/>
        </row>
        <row r="485">
          <cell r="A485" t="str">
            <v>6.5239907990516</v>
          </cell>
          <cell r="B485" t="str">
            <v>GREEN KEY HC_25</v>
          </cell>
          <cell r="C485" t="str">
            <v>BỘT MÌ NHÃN HIỆU "CHÌA KHÓA XANH LÁ" (25KG)</v>
          </cell>
          <cell r="D485" t="str">
            <v>GREEN KEY HC_25</v>
          </cell>
          <cell r="E485">
            <v>1</v>
          </cell>
          <cell r="F485" t="str">
            <v>Bỏ chọn</v>
          </cell>
          <cell r="G485"/>
          <cell r="H485"/>
        </row>
        <row r="486">
          <cell r="A486" t="str">
            <v>6.5239922990509</v>
          </cell>
          <cell r="B486" t="str">
            <v>BLUE COMPASS-25-MICOEM</v>
          </cell>
          <cell r="C486" t="str">
            <v>BỘT MÌ NHÃN HIỆU "LA BÀN XANH" (25KG)</v>
          </cell>
          <cell r="D486" t="str">
            <v>BLUE COMPASS-25-MICOEM</v>
          </cell>
          <cell r="E486">
            <v>1</v>
          </cell>
          <cell r="F486" t="str">
            <v>Bỏ chọn</v>
          </cell>
          <cell r="G486"/>
          <cell r="H486"/>
        </row>
        <row r="487">
          <cell r="A487" t="str">
            <v>6.523990803</v>
          </cell>
          <cell r="B487" t="str">
            <v>MEIZAN-5</v>
          </cell>
          <cell r="C487" t="str">
            <v>BỘT MÌ NHÃN HIỆU "MEIZAN" (5KG*6 GÓI/BAO)</v>
          </cell>
          <cell r="D487" t="str">
            <v>MEIZAN-5</v>
          </cell>
          <cell r="E487">
            <v>1</v>
          </cell>
          <cell r="F487" t="str">
            <v>Bỏ chọn</v>
          </cell>
          <cell r="G487"/>
          <cell r="H487"/>
        </row>
        <row r="488">
          <cell r="A488" t="str">
            <v>6.52399160511</v>
          </cell>
          <cell r="B488" t="str">
            <v>RED PEN-25-XN22</v>
          </cell>
          <cell r="C488" t="str">
            <v>BỘT MÌ NHÃN HIỆU "CÂY VIẾT ĐỎ" (25KG)</v>
          </cell>
          <cell r="D488" t="str">
            <v>RED PEN-25-XN22</v>
          </cell>
          <cell r="E488">
            <v>1</v>
          </cell>
          <cell r="F488" t="str">
            <v>Bỏ chọn</v>
          </cell>
          <cell r="G488"/>
          <cell r="H488"/>
        </row>
        <row r="489">
          <cell r="A489" t="str">
            <v>6.5239907990517</v>
          </cell>
          <cell r="B489" t="str">
            <v>GREEN KEY-25-HAI HA</v>
          </cell>
          <cell r="C489" t="str">
            <v>BỘT MÌ NHÃN HIỆU "CHÌA KHÓA XANH LÁ" (25KG)</v>
          </cell>
          <cell r="D489" t="str">
            <v>GREEN KEY-25-HAI HA</v>
          </cell>
          <cell r="E489">
            <v>1</v>
          </cell>
          <cell r="F489" t="str">
            <v>Bỏ chọn</v>
          </cell>
          <cell r="G489"/>
          <cell r="H489"/>
        </row>
        <row r="490">
          <cell r="A490" t="str">
            <v>6.5239907990518</v>
          </cell>
          <cell r="B490" t="str">
            <v>GREEN KEY-25-KINH DO</v>
          </cell>
          <cell r="C490" t="str">
            <v>BỘT MÌ NHÃN HIỆU "CHÌA KHÓA XANH LÁ" (25KG)</v>
          </cell>
          <cell r="D490" t="str">
            <v>GREEN KEY-25-KINH DO</v>
          </cell>
          <cell r="E490">
            <v>1</v>
          </cell>
          <cell r="F490" t="str">
            <v>Bỏ chọn</v>
          </cell>
          <cell r="G490"/>
          <cell r="H490"/>
        </row>
        <row r="491">
          <cell r="A491" t="str">
            <v>6.5239922990501</v>
          </cell>
          <cell r="B491" t="str">
            <v>BLUE COMPASS_25</v>
          </cell>
          <cell r="C491" t="str">
            <v>BỘT MÌ NHÃN HIỆU "LA BÀN XANH" (25KG)</v>
          </cell>
          <cell r="D491" t="str">
            <v>BLUE COMPASS_25</v>
          </cell>
          <cell r="E491">
            <v>1</v>
          </cell>
          <cell r="F491" t="str">
            <v>Bỏ chọn</v>
          </cell>
          <cell r="G491"/>
          <cell r="H491"/>
        </row>
        <row r="492">
          <cell r="A492" t="str">
            <v>6.5239922990520</v>
          </cell>
          <cell r="B492" t="str">
            <v>BLUE COMPASS-25-KHAI MINH</v>
          </cell>
          <cell r="C492" t="str">
            <v>BỘT MÌ NHÃN HIỆU "LA BÀN XANH" (25KG)</v>
          </cell>
          <cell r="D492" t="str">
            <v>BLUE COMPASS-25-KHAI MINH</v>
          </cell>
          <cell r="E492">
            <v>1</v>
          </cell>
          <cell r="F492" t="str">
            <v>Bỏ chọn</v>
          </cell>
          <cell r="G492"/>
          <cell r="H492"/>
        </row>
        <row r="493">
          <cell r="A493" t="str">
            <v>6.5239904990509</v>
          </cell>
          <cell r="B493" t="str">
            <v>BROWN COMPASS-25-MICOEM</v>
          </cell>
          <cell r="C493" t="str">
            <v>BỘT MÌ NHÃN HIỆU "LA BÀN NÂU" (25KG)</v>
          </cell>
          <cell r="D493" t="str">
            <v>BROWN COMPASS-25-MICOEM</v>
          </cell>
          <cell r="E493">
            <v>1</v>
          </cell>
          <cell r="F493" t="str">
            <v>Bỏ chọn</v>
          </cell>
          <cell r="G493"/>
          <cell r="H493"/>
        </row>
        <row r="494">
          <cell r="A494" t="str">
            <v>6.52399150512</v>
          </cell>
          <cell r="B494" t="str">
            <v>RED KEY LAO-25</v>
          </cell>
          <cell r="C494" t="str">
            <v>BỘT MÌ NHÃN HIỆU "CHÌA KHÓA ĐỎ" (25KG)</v>
          </cell>
          <cell r="D494" t="str">
            <v>RED KEY LAO-25</v>
          </cell>
          <cell r="E494">
            <v>1</v>
          </cell>
          <cell r="F494" t="str">
            <v>Bỏ chọn</v>
          </cell>
          <cell r="G494"/>
          <cell r="H494"/>
        </row>
        <row r="495">
          <cell r="A495" t="str">
            <v>6.523991005</v>
          </cell>
          <cell r="B495" t="str">
            <v>WHEAT GERM-25</v>
          </cell>
          <cell r="C495" t="str">
            <v>MẦM LÚA MÌ (25KG)</v>
          </cell>
          <cell r="D495" t="str">
            <v>WHEAT GERM-25</v>
          </cell>
          <cell r="E495">
            <v>1</v>
          </cell>
          <cell r="F495" t="str">
            <v>Bỏ chọn</v>
          </cell>
          <cell r="G495"/>
          <cell r="H495"/>
        </row>
        <row r="496">
          <cell r="A496" t="str">
            <v>6.5239904990601</v>
          </cell>
          <cell r="B496" t="str">
            <v>BROWN COMPASS_40</v>
          </cell>
          <cell r="C496" t="str">
            <v>BỘT MÌ NHÃN HIỆU "LA BÀN NÂU" (40KG)</v>
          </cell>
          <cell r="D496" t="str">
            <v>BROWN COMPASS_40</v>
          </cell>
          <cell r="E496">
            <v>1</v>
          </cell>
          <cell r="F496" t="str">
            <v>Bỏ chọn</v>
          </cell>
          <cell r="G496"/>
          <cell r="H496"/>
        </row>
        <row r="497">
          <cell r="A497" t="str">
            <v>6.52399020503</v>
          </cell>
          <cell r="B497" t="str">
            <v>BLUE KEY NOODLE_25</v>
          </cell>
          <cell r="C497" t="str">
            <v>BỘT MÌ NHÃN HIỆU "CHÌA KHÓA XANH MÌ SỢI" (25KG)</v>
          </cell>
          <cell r="D497" t="str">
            <v>BLUE KEY NOODLE_25</v>
          </cell>
          <cell r="E497">
            <v>1</v>
          </cell>
          <cell r="F497" t="str">
            <v>Bỏ chọn</v>
          </cell>
          <cell r="G497"/>
          <cell r="H497"/>
        </row>
        <row r="498">
          <cell r="A498" t="str">
            <v>6.523990605</v>
          </cell>
          <cell r="B498" t="str">
            <v>GREEN COMPASS_25</v>
          </cell>
          <cell r="C498" t="str">
            <v>BỘT MÌ NHÃN HIỆU "LA BÀN XANH LÁ" (25KG)</v>
          </cell>
          <cell r="D498" t="str">
            <v>GREEN COMPASS_25</v>
          </cell>
          <cell r="E498">
            <v>1</v>
          </cell>
          <cell r="F498" t="str">
            <v>Bỏ chọn</v>
          </cell>
          <cell r="G498"/>
          <cell r="H498"/>
        </row>
        <row r="499">
          <cell r="A499" t="str">
            <v>6.5239921990501</v>
          </cell>
          <cell r="B499" t="str">
            <v>SATELLITE - SP_25</v>
          </cell>
          <cell r="C499" t="str">
            <v>BỘT MÌ NHÃN HIỆU "VỆ TINH SP" (25KG)</v>
          </cell>
          <cell r="D499" t="str">
            <v>SATELLITE - SP_25</v>
          </cell>
          <cell r="E499">
            <v>1</v>
          </cell>
          <cell r="F499" t="str">
            <v>Bỏ chọn</v>
          </cell>
          <cell r="G499"/>
          <cell r="H499"/>
        </row>
        <row r="500">
          <cell r="A500" t="str">
            <v>6.523990305</v>
          </cell>
          <cell r="B500" t="str">
            <v>BLUE PEN_25</v>
          </cell>
          <cell r="C500" t="str">
            <v>BỘT MÌ NHÃN HIỆU "CÂY VIẾT XANH" (25KG)</v>
          </cell>
          <cell r="D500" t="str">
            <v>BLUE PEN_25</v>
          </cell>
          <cell r="E500">
            <v>1</v>
          </cell>
          <cell r="F500" t="str">
            <v>Bỏ chọn</v>
          </cell>
          <cell r="G500"/>
          <cell r="H500"/>
        </row>
        <row r="501">
          <cell r="A501" t="str">
            <v>6.523991205</v>
          </cell>
          <cell r="B501" t="str">
            <v>PINK KEY_25</v>
          </cell>
          <cell r="C501" t="str">
            <v>BỘT MÌ NHÃN HIỆU "CHÌA KHÓA HỒNG" (25KG)</v>
          </cell>
          <cell r="D501" t="str">
            <v>PINK KEY_25</v>
          </cell>
          <cell r="E501">
            <v>1</v>
          </cell>
          <cell r="F501" t="str">
            <v>Bỏ chọn</v>
          </cell>
          <cell r="G501"/>
          <cell r="H501"/>
        </row>
        <row r="502">
          <cell r="A502" t="str">
            <v>6.523990105</v>
          </cell>
          <cell r="B502" t="str">
            <v>ACE 1-25</v>
          </cell>
          <cell r="C502" t="str">
            <v>BỘT MÌ NHÃN HIỆU "ACE-1" (25KG)</v>
          </cell>
          <cell r="D502" t="str">
            <v>ACE 1-25</v>
          </cell>
          <cell r="E502">
            <v>1</v>
          </cell>
          <cell r="F502" t="str">
            <v>Bỏ chọn</v>
          </cell>
          <cell r="G502"/>
          <cell r="H502"/>
        </row>
        <row r="503">
          <cell r="A503" t="str">
            <v>6.523991805</v>
          </cell>
          <cell r="B503" t="str">
            <v>ACE 2-25</v>
          </cell>
          <cell r="C503" t="str">
            <v>BỘT MÌ NHÃN HIỆU "ACE-2" (25KG)</v>
          </cell>
          <cell r="D503" t="str">
            <v>ACE 2-25</v>
          </cell>
          <cell r="E503">
            <v>1</v>
          </cell>
          <cell r="F503" t="str">
            <v>Bỏ chọn</v>
          </cell>
          <cell r="G503"/>
          <cell r="H503"/>
        </row>
        <row r="504">
          <cell r="A504" t="str">
            <v>6.523990905</v>
          </cell>
          <cell r="B504" t="str">
            <v>MS 1-25</v>
          </cell>
          <cell r="C504" t="str">
            <v>BỘT MÌ NHÃN HIỆU "MS 1" (25KG)</v>
          </cell>
          <cell r="D504" t="str">
            <v>MS 1-25</v>
          </cell>
          <cell r="E504">
            <v>1</v>
          </cell>
          <cell r="F504" t="str">
            <v>Bỏ chọn</v>
          </cell>
          <cell r="G504"/>
          <cell r="H504"/>
        </row>
        <row r="505">
          <cell r="A505" t="str">
            <v>6.523992005</v>
          </cell>
          <cell r="B505" t="str">
            <v>MS 2-25</v>
          </cell>
          <cell r="C505" t="str">
            <v>BỘT MÌ NHÃN HIỆU "MS 2" (25KG)</v>
          </cell>
          <cell r="D505" t="str">
            <v>MS 2-25</v>
          </cell>
          <cell r="E505">
            <v>1</v>
          </cell>
          <cell r="F505" t="str">
            <v>Bỏ chọn</v>
          </cell>
          <cell r="G505"/>
          <cell r="H505"/>
        </row>
        <row r="506">
          <cell r="A506" t="str">
            <v>7.702050021300500</v>
          </cell>
          <cell r="B506" t="str">
            <v>WILFARIN DC0818 IN PEDRUM @180KG</v>
          </cell>
          <cell r="C506" t="str">
            <v>WILFARIN DISTILLED COCONUT FATTY ACID0818 IN PEDRUM @180KG</v>
          </cell>
          <cell r="D506" t="str">
            <v>WILFARIN™ DC-0818</v>
          </cell>
          <cell r="E506">
            <v>1</v>
          </cell>
          <cell r="F506" t="str">
            <v>Bỏ chọn</v>
          </cell>
          <cell r="G506"/>
          <cell r="H506"/>
        </row>
        <row r="507">
          <cell r="A507" t="str">
            <v>7.702050021500500</v>
          </cell>
          <cell r="B507" t="str">
            <v>WILFARIN DC0818 IN STEELDRUM @180KG</v>
          </cell>
          <cell r="C507" t="str">
            <v>WILFARIN DISTILLED COCONUT FATTY ACID0818 IN STEELDRUM @180KG</v>
          </cell>
          <cell r="D507" t="str">
            <v>WILFARIN™ DC-0818</v>
          </cell>
          <cell r="E507">
            <v>1</v>
          </cell>
          <cell r="F507" t="str">
            <v>Bỏ chọn</v>
          </cell>
          <cell r="G507"/>
          <cell r="H507"/>
        </row>
        <row r="508">
          <cell r="A508" t="str">
            <v>7.702100021300500</v>
          </cell>
          <cell r="B508" t="str">
            <v>WILFARIN DC0818H IN PEDRUM @180KG</v>
          </cell>
          <cell r="C508" t="str">
            <v>WILFARIN DISTILLED COCONUT FATTY ACID0818H IN PEDRUM @180KG</v>
          </cell>
          <cell r="D508" t="str">
            <v>WILFARIN™ DC-0818H</v>
          </cell>
          <cell r="E508">
            <v>1</v>
          </cell>
          <cell r="F508" t="str">
            <v>Bỏ chọn</v>
          </cell>
          <cell r="G508"/>
          <cell r="H508"/>
        </row>
        <row r="509">
          <cell r="A509" t="str">
            <v>7.702100021500500</v>
          </cell>
          <cell r="B509" t="str">
            <v>WILFARIN DC0818H IN STEELDRUM @180KG</v>
          </cell>
          <cell r="C509" t="str">
            <v>WILFARIN DISTILLED COCONUT FATTY ACID0818H IN STEELDRUM @180KG</v>
          </cell>
          <cell r="D509" t="str">
            <v>WILFARIN™ DC-0818H</v>
          </cell>
          <cell r="E509">
            <v>1</v>
          </cell>
          <cell r="F509" t="str">
            <v>Bỏ chọn</v>
          </cell>
          <cell r="G509"/>
          <cell r="H509"/>
        </row>
        <row r="510">
          <cell r="A510" t="str">
            <v>7.702071021300500</v>
          </cell>
          <cell r="B510" t="str">
            <v>WILFARIN DC1218 IN PEDRUM @180KG</v>
          </cell>
          <cell r="C510" t="str">
            <v>WILFARIN DISTILLED COCONUT FATTY ACID1218 IN PEDRUM @180KG</v>
          </cell>
          <cell r="D510" t="str">
            <v>WILFARIN™ DC-1218</v>
          </cell>
          <cell r="E510">
            <v>1</v>
          </cell>
          <cell r="F510" t="str">
            <v>Bỏ chọn</v>
          </cell>
          <cell r="G510"/>
          <cell r="H510"/>
        </row>
        <row r="511">
          <cell r="A511" t="str">
            <v>7.702071021500500</v>
          </cell>
          <cell r="B511" t="str">
            <v>WILFARIN DC1218 IN STEELDRUM @180KG</v>
          </cell>
          <cell r="C511" t="str">
            <v>WILFARIN DISTILLED COCONUT FATTY ACID1218 IN STEELDRUM @180KG</v>
          </cell>
          <cell r="D511" t="str">
            <v>WILFARIN™ DC-1218</v>
          </cell>
          <cell r="E511">
            <v>1</v>
          </cell>
          <cell r="F511" t="str">
            <v>Bỏ chọn</v>
          </cell>
          <cell r="G511"/>
          <cell r="H511"/>
        </row>
        <row r="512">
          <cell r="A512" t="str">
            <v>7.702103021300500</v>
          </cell>
          <cell r="B512" t="str">
            <v>WILFARIN DC1218H IN PEDRUM @180KG</v>
          </cell>
          <cell r="C512" t="str">
            <v>WILFARIN DISTILLED COCONUT FATTY ACID1218H IN PEDRUM @180KG</v>
          </cell>
          <cell r="D512" t="str">
            <v>WILFARIN™ DC-1218H</v>
          </cell>
          <cell r="E512">
            <v>1</v>
          </cell>
          <cell r="F512" t="str">
            <v>Bỏ chọn</v>
          </cell>
          <cell r="G512"/>
          <cell r="H512"/>
        </row>
        <row r="513">
          <cell r="A513" t="str">
            <v>7.702103021500500</v>
          </cell>
          <cell r="B513" t="str">
            <v>WILFARIN DC1218H IN STEELDRUM @180KG</v>
          </cell>
          <cell r="C513" t="str">
            <v>WILFARIN DISTILLED COCONUT FATTY ACID1218H IN STEELDRUM @180KG</v>
          </cell>
          <cell r="D513" t="str">
            <v>WILFARIN™ DC-1218H</v>
          </cell>
          <cell r="E513">
            <v>1</v>
          </cell>
          <cell r="F513" t="str">
            <v>Bỏ chọn</v>
          </cell>
          <cell r="G513"/>
          <cell r="H513"/>
        </row>
        <row r="514">
          <cell r="A514" t="str">
            <v>7.702061021300500</v>
          </cell>
          <cell r="B514" t="str">
            <v>WILFARIN DK0818 IN PEDRUM @180KG</v>
          </cell>
          <cell r="C514" t="str">
            <v>WILFARIN DISTILLED PALM KERNEL FATTY ACID0818 IN PEDRUM @180KG</v>
          </cell>
          <cell r="D514" t="str">
            <v>WILFARIN™ DK-0818</v>
          </cell>
          <cell r="E514">
            <v>1</v>
          </cell>
          <cell r="F514" t="str">
            <v>Bỏ chọn</v>
          </cell>
          <cell r="G514"/>
          <cell r="H514"/>
        </row>
        <row r="515">
          <cell r="A515" t="str">
            <v>7.702061021500500</v>
          </cell>
          <cell r="B515" t="str">
            <v>WILFARIN DK0818 IN STEELDRUM @180KG</v>
          </cell>
          <cell r="C515" t="str">
            <v>WILFARIN DISTILLED PALM KERNEL FATTY ACID0818 IN STEELDRUM @180KG</v>
          </cell>
          <cell r="D515" t="str">
            <v>WILFARIN™ DK-0818</v>
          </cell>
          <cell r="E515">
            <v>1</v>
          </cell>
          <cell r="F515" t="str">
            <v>Bỏ chọn</v>
          </cell>
          <cell r="G515"/>
          <cell r="H515"/>
        </row>
        <row r="516">
          <cell r="A516" t="str">
            <v>7.702105021300500</v>
          </cell>
          <cell r="B516" t="str">
            <v>WILFARIN DK0818H IN PEDRUM @180KG</v>
          </cell>
          <cell r="C516" t="str">
            <v>WILFARIN DISTILLED PALM KERNEL FATTY ACID0818H IN PEDRUM @180KG</v>
          </cell>
          <cell r="D516" t="str">
            <v>WILFARIN™ DK-0818H</v>
          </cell>
          <cell r="E516">
            <v>1</v>
          </cell>
          <cell r="F516" t="str">
            <v>Bỏ chọn</v>
          </cell>
          <cell r="G516"/>
          <cell r="H516"/>
        </row>
        <row r="517">
          <cell r="A517" t="str">
            <v>7.702105021500500</v>
          </cell>
          <cell r="B517" t="str">
            <v>WILFARIN DK0818H IN STEELDRUM @180KG</v>
          </cell>
          <cell r="C517" t="str">
            <v>WILFARIN DISTILLED PALM KERNEL FATTY ACID0818H IN STEELDRUM @180KG</v>
          </cell>
          <cell r="D517" t="str">
            <v>WILFARIN™ DK-0818H</v>
          </cell>
          <cell r="E517">
            <v>1</v>
          </cell>
          <cell r="F517" t="str">
            <v>Bỏ chọn</v>
          </cell>
          <cell r="G517"/>
          <cell r="H517"/>
        </row>
        <row r="518">
          <cell r="A518" t="str">
            <v>7.702062010300500</v>
          </cell>
          <cell r="B518" t="str">
            <v>WILFARIN DK1218 LAMINATED PAPERBAG@25KG</v>
          </cell>
          <cell r="C518" t="str">
            <v>WILFARIN DISTILLED PALM KERNEL FATTY ACID1218 LAMINATED PAPERBAG@25KG</v>
          </cell>
          <cell r="D518" t="str">
            <v>WILFARIN™ DK-1218</v>
          </cell>
          <cell r="E518">
            <v>1</v>
          </cell>
          <cell r="F518" t="str">
            <v>Bỏ chọn</v>
          </cell>
          <cell r="G518"/>
          <cell r="H518"/>
        </row>
        <row r="519">
          <cell r="A519" t="str">
            <v>7.702062021300500</v>
          </cell>
          <cell r="B519" t="str">
            <v>WILFARIN DK1218 IN PEDRUM @180KG</v>
          </cell>
          <cell r="C519" t="str">
            <v>WILFARIN DISTILLED PALM KERNEL FATTY ACID1218 IN PEDRUM @180KG</v>
          </cell>
          <cell r="D519" t="str">
            <v>WILFARIN™ DK-1218</v>
          </cell>
          <cell r="E519">
            <v>1</v>
          </cell>
          <cell r="F519" t="str">
            <v>Bỏ chọn</v>
          </cell>
          <cell r="G519"/>
          <cell r="H519"/>
        </row>
        <row r="520">
          <cell r="A520" t="str">
            <v>7.702062021500500</v>
          </cell>
          <cell r="B520" t="str">
            <v>WILFARIN DK1218 IN STEELDRUM @180KG</v>
          </cell>
          <cell r="C520" t="str">
            <v>WILFARIN DISTILLED PALM KERNEL FATTY ACID1218 IN STEELDRUM @180KG</v>
          </cell>
          <cell r="D520" t="str">
            <v>WILFARIN™ DK-1218</v>
          </cell>
          <cell r="E520">
            <v>1</v>
          </cell>
          <cell r="F520" t="str">
            <v>Bỏ chọn</v>
          </cell>
          <cell r="G520"/>
          <cell r="H520"/>
        </row>
        <row r="521">
          <cell r="A521" t="str">
            <v>7.702104010300500</v>
          </cell>
          <cell r="B521" t="str">
            <v>WILFARIN DK1218H LAMINATED PAPERBAG@25KG</v>
          </cell>
          <cell r="C521" t="str">
            <v>WILFARIN DISTILLED PALM KERNEL FATTY ACID1218H LAMINATED PAPERBAG@25KG</v>
          </cell>
          <cell r="D521" t="str">
            <v>WILFARIN™ DK-1218H</v>
          </cell>
          <cell r="E521">
            <v>1</v>
          </cell>
          <cell r="F521" t="str">
            <v>Bỏ chọn</v>
          </cell>
          <cell r="G521"/>
          <cell r="H521"/>
        </row>
        <row r="522">
          <cell r="A522" t="str">
            <v>7.702104021300500</v>
          </cell>
          <cell r="B522" t="str">
            <v>WILFARIN DK1218H IN PEDRUM @180KG</v>
          </cell>
          <cell r="C522" t="str">
            <v>WILFARIN DISTILLED PALM KERNEL FATTY ACID1218H IN PEDRUM @180KG</v>
          </cell>
          <cell r="D522" t="str">
            <v>WILFARIN™ DK-1218H</v>
          </cell>
          <cell r="E522">
            <v>1</v>
          </cell>
          <cell r="F522" t="str">
            <v>Bỏ chọn</v>
          </cell>
          <cell r="G522"/>
          <cell r="H522"/>
        </row>
        <row r="523">
          <cell r="A523" t="str">
            <v>7.702104021500500</v>
          </cell>
          <cell r="B523" t="str">
            <v>WILFARIN DK1218H IN STEELDRUM @180KG</v>
          </cell>
          <cell r="C523" t="str">
            <v>WILFARIN DISTILLED PALM KERNEL FATTY ACID1218H IN STEELDRUM @180KG</v>
          </cell>
          <cell r="D523" t="str">
            <v>WILFARIN™ DK-1218H</v>
          </cell>
          <cell r="E523">
            <v>1</v>
          </cell>
          <cell r="F523" t="str">
            <v>Bỏ chọn</v>
          </cell>
          <cell r="G523"/>
          <cell r="H523"/>
        </row>
        <row r="524">
          <cell r="A524" t="str">
            <v>7.702080010300500</v>
          </cell>
          <cell r="B524" t="str">
            <v>WILFARIN DP1601 LAMINATED PAPERBAG@25KG</v>
          </cell>
          <cell r="C524" t="str">
            <v>WILFARIN DISTILLED PALM OIL ACID1601 LAMINATED PAPERBAG@25KG</v>
          </cell>
          <cell r="D524" t="str">
            <v>WILFARIN™ DP-1601</v>
          </cell>
          <cell r="E524">
            <v>1</v>
          </cell>
          <cell r="F524" t="str">
            <v>Bỏ chọn</v>
          </cell>
          <cell r="G524"/>
          <cell r="H524"/>
        </row>
        <row r="525">
          <cell r="A525" t="str">
            <v>7.702080021300500</v>
          </cell>
          <cell r="B525" t="str">
            <v>WILFARIN DP1601 IN PEDRUM @180KG</v>
          </cell>
          <cell r="C525" t="str">
            <v>WILFARIN DISTILLED PALM OIL ACID1601 IN PEDRUM @180KG</v>
          </cell>
          <cell r="D525" t="str">
            <v>WILFARIN™ DP-1601</v>
          </cell>
          <cell r="E525">
            <v>1</v>
          </cell>
          <cell r="F525" t="str">
            <v>Bỏ chọn</v>
          </cell>
          <cell r="G525"/>
          <cell r="H525"/>
        </row>
        <row r="526">
          <cell r="A526" t="str">
            <v>7.702080021500500</v>
          </cell>
          <cell r="B526" t="str">
            <v>WILFARIN DP 1601 IN STEELDRUM @180KG</v>
          </cell>
          <cell r="C526" t="str">
            <v>WILFARIN DISTILLED PALM OIL ACID 1601 IN STEELDRUM @180KG</v>
          </cell>
          <cell r="D526" t="str">
            <v>WILFARIN™ DP-1601</v>
          </cell>
          <cell r="E526">
            <v>1</v>
          </cell>
          <cell r="F526" t="str">
            <v>Bỏ chọn</v>
          </cell>
          <cell r="G526"/>
          <cell r="H526"/>
        </row>
        <row r="527">
          <cell r="A527" t="str">
            <v>7.702112010300500</v>
          </cell>
          <cell r="B527" t="str">
            <v>WILFARIN DP1601H LAMINATED PAPERBAG@25KG</v>
          </cell>
          <cell r="C527" t="str">
            <v>WILFARIN DISTILLED PALM OIL ACID1601H LAMINATED PAPERBAG@25KG</v>
          </cell>
          <cell r="D527" t="str">
            <v>WILFARIN™ DP-1601H</v>
          </cell>
          <cell r="E527">
            <v>1</v>
          </cell>
          <cell r="F527" t="str">
            <v>Bỏ chọn</v>
          </cell>
          <cell r="G527"/>
          <cell r="H527"/>
        </row>
        <row r="528">
          <cell r="A528" t="str">
            <v>7.702112021300500</v>
          </cell>
          <cell r="B528" t="str">
            <v>WILFARIN DP1601H IN PEDRUM @180KG</v>
          </cell>
          <cell r="C528" t="str">
            <v>WILFARIN DISTILLED PALM OIL ACID1601H IN PEDRUM @180KG</v>
          </cell>
          <cell r="D528" t="str">
            <v>WILFARIN™ DP-1601H</v>
          </cell>
          <cell r="E528">
            <v>1</v>
          </cell>
          <cell r="F528" t="str">
            <v>Bỏ chọn</v>
          </cell>
          <cell r="G528"/>
          <cell r="H528"/>
        </row>
        <row r="529">
          <cell r="A529" t="str">
            <v>7.702112021500500</v>
          </cell>
          <cell r="B529" t="str">
            <v>WILFARIN DP1601H IN STEELDRUM @180KG</v>
          </cell>
          <cell r="C529" t="str">
            <v>WILFARIN DISTILLED PALM OIL ACID1601H IN STEELDRUM @180KG</v>
          </cell>
          <cell r="D529" t="str">
            <v>WILFARIN™ DP-1601H</v>
          </cell>
          <cell r="E529">
            <v>1</v>
          </cell>
          <cell r="F529" t="str">
            <v>Bỏ chọn</v>
          </cell>
          <cell r="G529"/>
          <cell r="H529"/>
        </row>
        <row r="530">
          <cell r="A530" t="str">
            <v>7.702090010300500</v>
          </cell>
          <cell r="B530" t="str">
            <v>WILFARIN DP1602 LAMINATED PAPERBAG@25KG</v>
          </cell>
          <cell r="C530" t="str">
            <v>WILFARIN DISTILLED PALM OIL ACID1602 LAMINATED PAPERBAG@25KG</v>
          </cell>
          <cell r="D530" t="str">
            <v>WILFARIN™ DP-1602</v>
          </cell>
          <cell r="E530">
            <v>1</v>
          </cell>
          <cell r="F530" t="str">
            <v>Bỏ chọn</v>
          </cell>
          <cell r="G530"/>
          <cell r="H530"/>
        </row>
        <row r="531">
          <cell r="A531" t="str">
            <v>7.702090021300500</v>
          </cell>
          <cell r="B531" t="str">
            <v>WILFARIN DP1602 IN PEDRUM@180KG</v>
          </cell>
          <cell r="C531" t="str">
            <v>WILFARIN DISTILLED PALM OIL ACID1602 IN PEDRUM@180KG</v>
          </cell>
          <cell r="D531" t="str">
            <v>WILFARIN™ DP-1602</v>
          </cell>
          <cell r="E531">
            <v>1</v>
          </cell>
          <cell r="F531" t="str">
            <v>Bỏ chọn</v>
          </cell>
          <cell r="G531"/>
          <cell r="H531"/>
        </row>
        <row r="532">
          <cell r="A532" t="str">
            <v>7.702090021500500</v>
          </cell>
          <cell r="B532" t="str">
            <v>WILFARIN DP1602 IN STEELDRUM @180KG</v>
          </cell>
          <cell r="C532" t="str">
            <v>WILFARIN DISTILLED PALM OIL ACID1602 IN STEELDRUM @180KG</v>
          </cell>
          <cell r="D532" t="str">
            <v>WILFARIN™ DP-1602</v>
          </cell>
          <cell r="E532">
            <v>1</v>
          </cell>
          <cell r="F532" t="str">
            <v>Bỏ chọn</v>
          </cell>
          <cell r="G532"/>
          <cell r="H532"/>
        </row>
        <row r="533">
          <cell r="A533" t="str">
            <v>7.702113010300500</v>
          </cell>
          <cell r="B533" t="str">
            <v>WILFARIN DP1602H LAMINATED PAPERBAG@25KG</v>
          </cell>
          <cell r="C533" t="str">
            <v>WILFARIN DISTILLED PALM OIL ACID1602H LAMINATED PAPERBAG@25KG</v>
          </cell>
          <cell r="D533" t="str">
            <v>WILFARIN™ DP-1602H</v>
          </cell>
          <cell r="E533">
            <v>1</v>
          </cell>
          <cell r="F533" t="str">
            <v>Bỏ chọn</v>
          </cell>
          <cell r="G533"/>
          <cell r="H533"/>
        </row>
        <row r="534">
          <cell r="A534" t="str">
            <v>7.702113021300500</v>
          </cell>
          <cell r="B534" t="str">
            <v>WILFARIN DP1602H IN PEDRUM@180KG</v>
          </cell>
          <cell r="C534" t="str">
            <v>WILFARIN DISTILLED PALM OIL ACID1602H IN PEDRUM@180KG</v>
          </cell>
          <cell r="D534" t="str">
            <v>WILFARIN™ DP-1602H</v>
          </cell>
          <cell r="E534">
            <v>1</v>
          </cell>
          <cell r="F534" t="str">
            <v>Bỏ chọn</v>
          </cell>
          <cell r="G534"/>
          <cell r="H534"/>
        </row>
        <row r="535">
          <cell r="A535" t="str">
            <v>7.702113021500500</v>
          </cell>
          <cell r="B535" t="str">
            <v>WILFARIN DP1602H IN STEELDRUM @180KG</v>
          </cell>
          <cell r="C535" t="str">
            <v>WILFARIN DISTILLED PALM OIL ACID1602H IN STEELDRUM @180KG</v>
          </cell>
          <cell r="D535" t="str">
            <v>WILFARIN™ DP-1602H</v>
          </cell>
          <cell r="E535">
            <v>1</v>
          </cell>
          <cell r="F535" t="str">
            <v>Bỏ chọn</v>
          </cell>
          <cell r="G535"/>
          <cell r="H535"/>
        </row>
        <row r="536">
          <cell r="A536" t="str">
            <v>7.702082010300500</v>
          </cell>
          <cell r="B536" t="str">
            <v>WILFARIN DP1603 LAMINATED PAPERBAG@25KG</v>
          </cell>
          <cell r="C536" t="str">
            <v>WILFARIN DISTILLED PALM OIL ACID1603 LAMINATED PAPERBAG@25KG</v>
          </cell>
          <cell r="D536" t="str">
            <v>WILFARIN™ DP-1603</v>
          </cell>
          <cell r="E536">
            <v>1</v>
          </cell>
          <cell r="F536" t="str">
            <v>Bỏ chọn</v>
          </cell>
          <cell r="G536"/>
          <cell r="H536"/>
        </row>
        <row r="537">
          <cell r="A537" t="str">
            <v>7.702082021300500</v>
          </cell>
          <cell r="B537" t="str">
            <v>WILFARIN DP1603 IN PEDRUM@180KG</v>
          </cell>
          <cell r="C537" t="str">
            <v>WILFARIN DISTILLED PALM OIL ACID1603 IN PEDRUM@180KG</v>
          </cell>
          <cell r="D537" t="str">
            <v>WILFARIN™ DP-1603</v>
          </cell>
          <cell r="E537">
            <v>1</v>
          </cell>
          <cell r="F537" t="str">
            <v>Bỏ chọn</v>
          </cell>
          <cell r="G537"/>
          <cell r="H537"/>
        </row>
        <row r="538">
          <cell r="A538" t="str">
            <v>7.702082021500500</v>
          </cell>
          <cell r="B538" t="str">
            <v>WILFARIN DP1603 IN STEELDRUM @180KG</v>
          </cell>
          <cell r="C538" t="str">
            <v>WILFARIN DISTILLED PALM OIL ACID1603 IN STEELDRUM @180KG</v>
          </cell>
          <cell r="D538" t="str">
            <v>WILFARIN™ DP-1603</v>
          </cell>
          <cell r="E538">
            <v>1</v>
          </cell>
          <cell r="F538" t="str">
            <v>Bỏ chọn</v>
          </cell>
          <cell r="G538"/>
          <cell r="H538"/>
        </row>
        <row r="539">
          <cell r="A539" t="str">
            <v>7.701010010400500</v>
          </cell>
          <cell r="B539" t="str">
            <v>WILFARIN CC0810 LAMINATED PAPERBAG@25KG</v>
          </cell>
          <cell r="C539" t="str">
            <v>WILFARIN CAPRYLIC ACID0810 LAMINATED PAPERBAG@25KG</v>
          </cell>
          <cell r="D539" t="str">
            <v>WILFARIN™ CC-0810</v>
          </cell>
          <cell r="E539">
            <v>1</v>
          </cell>
          <cell r="F539" t="str">
            <v>Bỏ chọn</v>
          </cell>
          <cell r="G539"/>
          <cell r="H539"/>
        </row>
        <row r="540">
          <cell r="A540" t="str">
            <v>7.701010021500500</v>
          </cell>
          <cell r="B540" t="str">
            <v>WILFARIN CC0810 IN STEELDRUM @180KG</v>
          </cell>
          <cell r="C540" t="str">
            <v>WILFARIN CAPRYLIC ACID0810 IN STEELDRUM @180KG</v>
          </cell>
          <cell r="D540" t="str">
            <v>WILFARIN™ CC-0810</v>
          </cell>
          <cell r="E540">
            <v>1</v>
          </cell>
          <cell r="F540" t="str">
            <v>Bỏ chọn</v>
          </cell>
          <cell r="G540"/>
          <cell r="H540"/>
        </row>
        <row r="541">
          <cell r="A541" t="str">
            <v>7.702051010400500</v>
          </cell>
          <cell r="B541" t="str">
            <v>WILFARIN DC0810 LAMINATED PAPERBAG@25KG</v>
          </cell>
          <cell r="C541" t="str">
            <v>WILFARIN DC0810 LAMINATED PAPERBAG@25KG</v>
          </cell>
          <cell r="D541" t="str">
            <v>WILFARIN™ DC-0810</v>
          </cell>
          <cell r="E541">
            <v>1</v>
          </cell>
          <cell r="F541" t="str">
            <v>Bỏ chọn</v>
          </cell>
          <cell r="G541"/>
          <cell r="H541"/>
        </row>
        <row r="542">
          <cell r="A542" t="str">
            <v>7.702051021500500</v>
          </cell>
          <cell r="B542" t="str">
            <v>WILFARIN DC0810 IN STEELDRUM @180KG</v>
          </cell>
          <cell r="C542" t="str">
            <v>WILFARIN DC0810 IN STEELDRUM @180KG</v>
          </cell>
          <cell r="D542" t="str">
            <v>WILFARIN™ DC-0810</v>
          </cell>
          <cell r="E542">
            <v>1</v>
          </cell>
          <cell r="F542" t="str">
            <v>Bỏ chọn</v>
          </cell>
          <cell r="G542"/>
          <cell r="H542"/>
        </row>
        <row r="543">
          <cell r="A543" t="str">
            <v>7.701011010400500</v>
          </cell>
          <cell r="B543" t="str">
            <v>WILFARIN CA0899 LAMINATED PAPERBAG@25KG</v>
          </cell>
          <cell r="C543" t="str">
            <v>WILFARIN CAPRYLIC ACID0899 LAMINATED PAPERBAG@25KG</v>
          </cell>
          <cell r="D543" t="str">
            <v>WILFARIN™ CA-0899</v>
          </cell>
          <cell r="E543">
            <v>1</v>
          </cell>
          <cell r="F543" t="str">
            <v>Bỏ chọn</v>
          </cell>
          <cell r="G543"/>
          <cell r="H543"/>
        </row>
        <row r="544">
          <cell r="A544" t="str">
            <v>7.701011021500500</v>
          </cell>
          <cell r="B544" t="str">
            <v>WILFARIN CA0899 IN STEELDRUM @180KG</v>
          </cell>
          <cell r="C544" t="str">
            <v>WILFARIN CAPRYLIC ACID0899 IN STEELDRUM @180KG</v>
          </cell>
          <cell r="D544" t="str">
            <v>WILFARIN™ CA-0899</v>
          </cell>
          <cell r="E544">
            <v>1</v>
          </cell>
          <cell r="F544" t="str">
            <v>Bỏ chọn</v>
          </cell>
          <cell r="G544"/>
          <cell r="H544"/>
        </row>
        <row r="545">
          <cell r="A545" t="str">
            <v>7.701012010400500</v>
          </cell>
          <cell r="B545" t="str">
            <v>WILFARIN CA1099 LAMINATED PAPERBAG @25KG</v>
          </cell>
          <cell r="C545" t="str">
            <v>WILFARIN CAPRYLIC ACID1099 LAMINATED PAPERBAG @25KG</v>
          </cell>
          <cell r="D545" t="str">
            <v>WILFARIN™ CA-1099</v>
          </cell>
          <cell r="E545">
            <v>1</v>
          </cell>
          <cell r="F545" t="str">
            <v>Bỏ chọn</v>
          </cell>
          <cell r="G545"/>
          <cell r="H545"/>
        </row>
        <row r="546">
          <cell r="A546" t="str">
            <v>7.701012021500500</v>
          </cell>
          <cell r="B546" t="str">
            <v>WILFARIN CA1099 IN STEELDRUM @180KG</v>
          </cell>
          <cell r="C546" t="str">
            <v>WILFARIN CAPRYLIC ACID1099 IN STEELDRUM @180KG</v>
          </cell>
          <cell r="D546" t="str">
            <v>WILFARIN™ CA-1099</v>
          </cell>
          <cell r="E546">
            <v>1</v>
          </cell>
          <cell r="F546" t="str">
            <v>Bỏ chọn</v>
          </cell>
          <cell r="G546"/>
          <cell r="H546"/>
        </row>
        <row r="547">
          <cell r="A547" t="str">
            <v>7.701022010400500</v>
          </cell>
          <cell r="B547" t="str">
            <v>WILFARIN LA1299 LAMINATED PAPERBAG @25KG</v>
          </cell>
          <cell r="C547" t="str">
            <v>AXIT LAURIC 99% - WILFARIN LA1299; BAO 25KG</v>
          </cell>
          <cell r="D547" t="str">
            <v>WILFARIN™ LA-1299</v>
          </cell>
          <cell r="E547">
            <v>1</v>
          </cell>
          <cell r="F547" t="str">
            <v>Chọn</v>
          </cell>
          <cell r="G547"/>
          <cell r="H547"/>
        </row>
        <row r="548">
          <cell r="A548" t="str">
            <v>7.701022021500500</v>
          </cell>
          <cell r="B548" t="str">
            <v>WILFARIN LA1299 IN STEEL DRUM @180KG</v>
          </cell>
          <cell r="C548" t="str">
            <v>AXIT LAURIC 99% - WILFARIN LA1299</v>
          </cell>
          <cell r="D548" t="str">
            <v>WILFARIN™ LA-1299</v>
          </cell>
          <cell r="E548">
            <v>1</v>
          </cell>
          <cell r="F548" t="str">
            <v>Bỏ chọn</v>
          </cell>
          <cell r="G548"/>
          <cell r="H548"/>
        </row>
        <row r="549">
          <cell r="A549" t="str">
            <v>7.701021010400500</v>
          </cell>
          <cell r="B549" t="str">
            <v>WILFARIN LA1298 LAMINATED PAPERBAG @25KG</v>
          </cell>
          <cell r="C549" t="str">
            <v>AXIT LAURIC 98% - WILFARIN LA1298</v>
          </cell>
          <cell r="D549" t="str">
            <v>WILFARIN™ LA-1298</v>
          </cell>
          <cell r="E549">
            <v>1</v>
          </cell>
          <cell r="F549" t="str">
            <v>Bỏ chọn</v>
          </cell>
          <cell r="G549"/>
          <cell r="H549"/>
        </row>
        <row r="550">
          <cell r="A550" t="str">
            <v>7.701021021500500</v>
          </cell>
          <cell r="B550" t="str">
            <v>WILFARIN LA1298 IN STEELDRUM @180KG</v>
          </cell>
          <cell r="C550" t="str">
            <v>AXIT LAURIC 98% - WILFARIN LA1298</v>
          </cell>
          <cell r="D550" t="str">
            <v>WILFARIN™ LA-1298</v>
          </cell>
          <cell r="E550">
            <v>1</v>
          </cell>
          <cell r="F550" t="str">
            <v>Bỏ chọn</v>
          </cell>
          <cell r="G550"/>
          <cell r="H550"/>
        </row>
        <row r="551">
          <cell r="A551" t="str">
            <v>7.70102D010400500</v>
          </cell>
          <cell r="B551" t="str">
            <v>WILFARIN LA1275 LAMINATED PAPERBAG @25KG</v>
          </cell>
          <cell r="C551" t="str">
            <v>AXIT LAURIC 75% - WILFARIN LA1275</v>
          </cell>
          <cell r="D551" t="str">
            <v>WILFARIN™ LA-1275</v>
          </cell>
          <cell r="E551">
            <v>1</v>
          </cell>
          <cell r="F551" t="str">
            <v>Bỏ chọn</v>
          </cell>
          <cell r="G551"/>
          <cell r="H551"/>
        </row>
        <row r="552">
          <cell r="A552" t="str">
            <v>7.70102D021500500</v>
          </cell>
          <cell r="B552" t="str">
            <v>WILFARIN LA1275 IN STEELDRUM @180KG</v>
          </cell>
          <cell r="C552" t="str">
            <v>AXIT LAURIC 75% - WILFARIN LA1275</v>
          </cell>
          <cell r="D552" t="str">
            <v>WILFARIN™ LA-1275</v>
          </cell>
          <cell r="E552">
            <v>1</v>
          </cell>
          <cell r="F552" t="str">
            <v>Bỏ chọn</v>
          </cell>
          <cell r="G552"/>
          <cell r="H552"/>
        </row>
        <row r="553">
          <cell r="A553" t="str">
            <v>7.701036010400500</v>
          </cell>
          <cell r="B553" t="str">
            <v>WILFARIN MA1499 LAMINATED PAPERBAG @25KG</v>
          </cell>
          <cell r="C553" t="str">
            <v>AXIT MYRISTIC 99% - WILFARIN MA1499; BAO 25KG</v>
          </cell>
          <cell r="D553" t="str">
            <v>WILFARIN™ MA-1499</v>
          </cell>
          <cell r="E553">
            <v>1</v>
          </cell>
          <cell r="F553" t="str">
            <v>Chọn</v>
          </cell>
          <cell r="G553"/>
          <cell r="H553"/>
        </row>
        <row r="554">
          <cell r="A554" t="str">
            <v>7.701036021500500</v>
          </cell>
          <cell r="B554" t="str">
            <v>WILFARIN MA1499 IN STEEL DRUM @180KG</v>
          </cell>
          <cell r="C554" t="str">
            <v>AXIT MYRISTIC 99% - WILFARIN MA1499</v>
          </cell>
          <cell r="D554" t="str">
            <v>WILFARIN™ MA-1499</v>
          </cell>
          <cell r="E554">
            <v>1</v>
          </cell>
          <cell r="F554" t="str">
            <v>Bỏ chọn</v>
          </cell>
          <cell r="G554"/>
          <cell r="H554"/>
        </row>
        <row r="555">
          <cell r="A555" t="str">
            <v>7.701034010400500</v>
          </cell>
          <cell r="B555" t="str">
            <v>WILFARIN MA1498 LAMINATED PAPERBAG @25KG</v>
          </cell>
          <cell r="C555" t="str">
            <v>AXIT MYRISTIC 98% - WILFARIN MA1498</v>
          </cell>
          <cell r="D555" t="str">
            <v>WILFARIN™ MA-1498</v>
          </cell>
          <cell r="E555">
            <v>1</v>
          </cell>
          <cell r="F555" t="str">
            <v>Bỏ chọn</v>
          </cell>
          <cell r="G555"/>
          <cell r="H555"/>
        </row>
        <row r="556">
          <cell r="A556" t="str">
            <v>7.701034021500500</v>
          </cell>
          <cell r="B556" t="str">
            <v>WILFARIN MA1498 IN STEELDRUM @180KG</v>
          </cell>
          <cell r="C556" t="str">
            <v>AXIT MYRISTIC 98% - WILFARIN MA1498</v>
          </cell>
          <cell r="D556" t="str">
            <v>WILFARIN™ MA-1498</v>
          </cell>
          <cell r="E556">
            <v>1</v>
          </cell>
          <cell r="F556" t="str">
            <v>Bỏ chọn</v>
          </cell>
          <cell r="G556"/>
          <cell r="H556"/>
        </row>
        <row r="557">
          <cell r="A557" t="str">
            <v>7.7010430104005</v>
          </cell>
          <cell r="B557" t="str">
            <v>PALMITICACID1698 WILFARIN@25KG LAMINATED</v>
          </cell>
          <cell r="C557" t="str">
            <v>PALMITICACID1698 WILFARIN@25KG LAMINATED</v>
          </cell>
          <cell r="D557" t="str">
            <v>WILFARIN™ PA-1698</v>
          </cell>
          <cell r="E557">
            <v>1</v>
          </cell>
          <cell r="F557" t="str">
            <v>Bỏ chọn</v>
          </cell>
          <cell r="G557"/>
          <cell r="H557"/>
        </row>
        <row r="558">
          <cell r="A558" t="str">
            <v>7.70104B021500500</v>
          </cell>
          <cell r="B558" t="str">
            <v>WILFARIN PA1698 IN STEELDRUM @180KG</v>
          </cell>
          <cell r="C558" t="str">
            <v>WILFARIN PALMITIC ACID1698 IN STEELDRUM @180KG</v>
          </cell>
          <cell r="D558" t="str">
            <v>WILFARIN™ PA-1698</v>
          </cell>
          <cell r="E558">
            <v>1</v>
          </cell>
          <cell r="F558" t="str">
            <v>Bỏ chọn</v>
          </cell>
          <cell r="G558"/>
          <cell r="H558"/>
        </row>
        <row r="559">
          <cell r="A559" t="str">
            <v>7.701041010400500</v>
          </cell>
          <cell r="B559" t="str">
            <v>WILFARIN PA1695 LAMINATED PAPERBAG@25KG</v>
          </cell>
          <cell r="C559" t="str">
            <v>WILFARIN PALMITIC ACID1695 LAMINATED PALMITIC ACIDPERBAG@25KG</v>
          </cell>
          <cell r="D559" t="str">
            <v>WILFARIN™ PA-1695</v>
          </cell>
          <cell r="E559">
            <v>1</v>
          </cell>
          <cell r="F559" t="str">
            <v>Bỏ chọn</v>
          </cell>
          <cell r="G559"/>
          <cell r="H559"/>
        </row>
        <row r="560">
          <cell r="A560" t="str">
            <v>7.701049021500500</v>
          </cell>
          <cell r="B560" t="str">
            <v>WILFARIN PA1695 IN STEELDRUM @180KG</v>
          </cell>
          <cell r="C560" t="str">
            <v>WILFARIN PALMITIC ACID1695 IN STEELDRUM @180KG</v>
          </cell>
          <cell r="D560" t="str">
            <v>WILFARIN™ PA-1695</v>
          </cell>
          <cell r="E560">
            <v>1</v>
          </cell>
          <cell r="F560" t="str">
            <v>Bỏ chọn</v>
          </cell>
          <cell r="G560"/>
          <cell r="H560"/>
        </row>
        <row r="561">
          <cell r="A561" t="str">
            <v>7.701102010400500</v>
          </cell>
          <cell r="B561" t="str">
            <v>WILFARIN OA7075 LAMINATED PAPERBAG @25KG</v>
          </cell>
          <cell r="C561" t="str">
            <v>AXIT OLEIC 75% - WILFARIN OA7075</v>
          </cell>
          <cell r="D561" t="str">
            <v>WILFARIN™ OA-7075</v>
          </cell>
          <cell r="E561">
            <v>1</v>
          </cell>
          <cell r="F561" t="str">
            <v>Bỏ chọn</v>
          </cell>
          <cell r="G561"/>
          <cell r="H561"/>
        </row>
        <row r="562">
          <cell r="A562" t="str">
            <v>7.701102021500500</v>
          </cell>
          <cell r="B562" t="str">
            <v>WILFARIN OA7075 IN STEELDRUM @180KG</v>
          </cell>
          <cell r="C562" t="str">
            <v>AXIT OLEIC 75% - WILFARIN OA7075; PHUY 180KG</v>
          </cell>
          <cell r="D562" t="str">
            <v>WILFARIN™ OA-7075</v>
          </cell>
          <cell r="E562">
            <v>1</v>
          </cell>
          <cell r="F562" t="str">
            <v>Bỏ chọn</v>
          </cell>
          <cell r="G562"/>
          <cell r="H562"/>
        </row>
        <row r="563">
          <cell r="A563" t="str">
            <v>7.701108010400500</v>
          </cell>
          <cell r="B563" t="str">
            <v>WILFARIN OA7070 LAMINATED PAPERBAG @25KG</v>
          </cell>
          <cell r="C563" t="str">
            <v>AXIT OLEIC 70% - WILFARIN OA7070</v>
          </cell>
          <cell r="D563" t="str">
            <v>WILFARIN™ OA-7070</v>
          </cell>
          <cell r="E563">
            <v>1</v>
          </cell>
          <cell r="F563" t="str">
            <v>Bỏ chọn</v>
          </cell>
          <cell r="G563"/>
          <cell r="H563"/>
        </row>
        <row r="564">
          <cell r="A564" t="str">
            <v>7.701108021500500</v>
          </cell>
          <cell r="B564" t="str">
            <v>WILFARIN OA7070 IN STEELDRUM @180KG</v>
          </cell>
          <cell r="C564" t="str">
            <v>AXIT OLEIC 70% - WILFARIN OA7070</v>
          </cell>
          <cell r="D564" t="str">
            <v>WILFARIN™ OA-7070</v>
          </cell>
          <cell r="E564">
            <v>1</v>
          </cell>
          <cell r="F564" t="str">
            <v>Bỏ chọn</v>
          </cell>
          <cell r="G564"/>
          <cell r="H564"/>
        </row>
        <row r="565">
          <cell r="A565" t="str">
            <v>7.703307010300500</v>
          </cell>
          <cell r="B565" t="str">
            <v>WILFARIN SA1892 LAMINATED PAPERBAG @25KG</v>
          </cell>
          <cell r="C565" t="str">
            <v>WILFARIN STEARIC ACID1892 LAMINATED PAPERBAG @25KG</v>
          </cell>
          <cell r="D565" t="str">
            <v>WILFARIN™ SA-1892</v>
          </cell>
          <cell r="E565">
            <v>1</v>
          </cell>
          <cell r="F565" t="str">
            <v>Bỏ chọn</v>
          </cell>
          <cell r="G565"/>
          <cell r="H565"/>
        </row>
        <row r="566">
          <cell r="A566" t="str">
            <v>7.703307021500500</v>
          </cell>
          <cell r="B566" t="str">
            <v>WILFARIN SA1892 IN STEELDRUM @180KG</v>
          </cell>
          <cell r="C566" t="str">
            <v>WILFARIN STEARIC ACID1892 IN STEELDRUM @180KG</v>
          </cell>
          <cell r="D566" t="str">
            <v>WILFARIN™ SA-1892</v>
          </cell>
          <cell r="E566">
            <v>1</v>
          </cell>
          <cell r="F566" t="str">
            <v>Bỏ chọn</v>
          </cell>
          <cell r="G566"/>
          <cell r="H566"/>
        </row>
        <row r="567">
          <cell r="A567" t="str">
            <v>7.703305010300500</v>
          </cell>
          <cell r="B567" t="str">
            <v>WILFARIN SA1865 LAMINATED PAPERBAG @25KG</v>
          </cell>
          <cell r="C567" t="str">
            <v>AXIT STEARIC 65% - WILFARIN SA1865; BAO 25KG</v>
          </cell>
          <cell r="D567" t="str">
            <v>WILFARIN™ SA-1865</v>
          </cell>
          <cell r="E567">
            <v>1</v>
          </cell>
          <cell r="F567" t="str">
            <v>Bỏ chọn</v>
          </cell>
          <cell r="G567"/>
          <cell r="H567"/>
        </row>
        <row r="568">
          <cell r="A568" t="str">
            <v>7.703348021500500</v>
          </cell>
          <cell r="B568" t="str">
            <v>WILFARIN SA1865 IN STEELDRUM @180KG</v>
          </cell>
          <cell r="C568" t="str">
            <v>AXIT STEARIC 65% - WILFARIN SA1865</v>
          </cell>
          <cell r="D568" t="str">
            <v>WILFARIN™ SA-1865</v>
          </cell>
          <cell r="E568">
            <v>1</v>
          </cell>
          <cell r="F568" t="str">
            <v>Bỏ chọn</v>
          </cell>
          <cell r="G568"/>
          <cell r="H568"/>
        </row>
        <row r="569">
          <cell r="A569" t="str">
            <v>7.703901010300500</v>
          </cell>
          <cell r="B569" t="str">
            <v>WILFARIN SA1850 LAMINATED PAPERBAG @25KG</v>
          </cell>
          <cell r="C569" t="str">
            <v>WILFARIN STEARIC ACID1850 LAMINATED PAPERBAG @25KG</v>
          </cell>
          <cell r="D569" t="str">
            <v>WILFARIN™ SA-1850</v>
          </cell>
          <cell r="E569">
            <v>1</v>
          </cell>
          <cell r="F569" t="str">
            <v>Bỏ chọn</v>
          </cell>
          <cell r="G569"/>
          <cell r="H569"/>
        </row>
        <row r="570">
          <cell r="A570" t="str">
            <v>7.703901021500500</v>
          </cell>
          <cell r="B570" t="str">
            <v>WILFARIN SA1850 IN STEELDRUM @180KG</v>
          </cell>
          <cell r="C570" t="str">
            <v>WILFARIN STEARIC ACID1850 IN STEELDRUM @180KG</v>
          </cell>
          <cell r="D570" t="str">
            <v>WILFARIN™ SA-1850</v>
          </cell>
          <cell r="E570">
            <v>1</v>
          </cell>
          <cell r="F570" t="str">
            <v>Bỏ chọn</v>
          </cell>
          <cell r="G570"/>
          <cell r="H570"/>
        </row>
        <row r="571">
          <cell r="A571" t="str">
            <v>7.703902010300500</v>
          </cell>
          <cell r="B571" t="str">
            <v>WILFARIN SA1843 LAMINATED PAPERBAG @25KG</v>
          </cell>
          <cell r="C571" t="str">
            <v>AXIT STEARIC 43% - WILFARIN SA1843; BAO 25KG</v>
          </cell>
          <cell r="D571" t="str">
            <v>WILFARIN™ SA-1843</v>
          </cell>
          <cell r="E571">
            <v>1</v>
          </cell>
          <cell r="F571" t="str">
            <v>Bỏ chọn</v>
          </cell>
          <cell r="G571"/>
          <cell r="H571"/>
        </row>
        <row r="572">
          <cell r="A572" t="str">
            <v>7.703902021500500</v>
          </cell>
          <cell r="B572" t="str">
            <v>WILFARIN SA1843 IN STEELDRUM @180KG</v>
          </cell>
          <cell r="C572" t="str">
            <v>AXIT STEARIC 43% - WILFARIN SA1843</v>
          </cell>
          <cell r="D572" t="str">
            <v>WILFARIN™ SA-1843</v>
          </cell>
          <cell r="E572">
            <v>1</v>
          </cell>
          <cell r="F572" t="str">
            <v>Bỏ chọn</v>
          </cell>
          <cell r="G572"/>
          <cell r="H572"/>
        </row>
        <row r="573">
          <cell r="A573" t="str">
            <v>7.703903010300500</v>
          </cell>
          <cell r="B573" t="str">
            <v>WILFARIN SA1838 LAMINATED PAPERBAG @25KG</v>
          </cell>
          <cell r="C573" t="str">
            <v>AXIT STEARIC 38% - WILFARIN SA1838; BAO 25KG</v>
          </cell>
          <cell r="D573" t="str">
            <v>WILFARIN™ SA-1838</v>
          </cell>
          <cell r="E573">
            <v>1</v>
          </cell>
          <cell r="F573" t="str">
            <v>Bỏ chọn</v>
          </cell>
          <cell r="G573"/>
          <cell r="H573"/>
        </row>
        <row r="574">
          <cell r="A574" t="str">
            <v>7.703903021500500</v>
          </cell>
          <cell r="B574" t="str">
            <v>WILFARIN SA1838 IN STEELDRUM @180KG</v>
          </cell>
          <cell r="C574" t="str">
            <v>AXIT STEARIC 38% - WILFARIN SA1838</v>
          </cell>
          <cell r="D574" t="str">
            <v>WILFARIN™ SA-1838</v>
          </cell>
          <cell r="E574">
            <v>1</v>
          </cell>
          <cell r="F574" t="str">
            <v>Bỏ chọn</v>
          </cell>
          <cell r="G574"/>
          <cell r="H574"/>
        </row>
        <row r="575">
          <cell r="A575" t="str">
            <v>7.703005010300500</v>
          </cell>
          <cell r="B575" t="str">
            <v>WILFARIN SA1810 LAMINATED PAPERBAG @25KG</v>
          </cell>
          <cell r="C575" t="str">
            <v>WILFARIN STEARIC ACID1810 LAMINATED PAPERBAG @25KG</v>
          </cell>
          <cell r="D575" t="str">
            <v>WILFARIN™ SA-1810</v>
          </cell>
          <cell r="E575">
            <v>1</v>
          </cell>
          <cell r="F575" t="str">
            <v>Bỏ chọn</v>
          </cell>
          <cell r="G575"/>
          <cell r="H575"/>
        </row>
        <row r="576">
          <cell r="A576" t="str">
            <v>7.703005021500500</v>
          </cell>
          <cell r="B576" t="str">
            <v>WILFARIN SA1810 IN STEELDRUM @180KG</v>
          </cell>
          <cell r="C576" t="str">
            <v>WILFARIN STEARIC ACID1810 IN STEELDRUM @180KG</v>
          </cell>
          <cell r="D576" t="str">
            <v>WILFARIN™ SA-1810</v>
          </cell>
          <cell r="E576">
            <v>1</v>
          </cell>
          <cell r="F576" t="str">
            <v>Bỏ chọn</v>
          </cell>
          <cell r="G576"/>
          <cell r="H576"/>
        </row>
        <row r="577">
          <cell r="A577" t="str">
            <v>7.703004010300500</v>
          </cell>
          <cell r="B577" t="str">
            <v>WILFARIN SA1804 LAMINATED PAPERBAG @25KG</v>
          </cell>
          <cell r="C577" t="str">
            <v>AXIT STEARIC - WILFARIN SA1804; BAO 25KG</v>
          </cell>
          <cell r="D577" t="str">
            <v>WILFARIN™ SA1804</v>
          </cell>
          <cell r="E577">
            <v>1</v>
          </cell>
          <cell r="F577" t="str">
            <v>Bỏ chọn</v>
          </cell>
          <cell r="G577"/>
          <cell r="H577"/>
        </row>
        <row r="578">
          <cell r="A578" t="str">
            <v>7.703004021500500</v>
          </cell>
          <cell r="B578" t="str">
            <v>WILFARIN SA1804 IN STEELDRUM @180KG</v>
          </cell>
          <cell r="C578" t="str">
            <v>AXIT STEARIC - WILFARIN SA1804</v>
          </cell>
          <cell r="D578" t="str">
            <v>WILFARIN™ SA1804</v>
          </cell>
          <cell r="E578">
            <v>1</v>
          </cell>
          <cell r="F578" t="str">
            <v>Bỏ chọn</v>
          </cell>
          <cell r="G578"/>
          <cell r="H578"/>
        </row>
        <row r="579">
          <cell r="A579" t="str">
            <v>7.7065330314012</v>
          </cell>
          <cell r="B579" t="str">
            <v>R.GLYCERINE WILFARIN USP997@250KG PEDRUM</v>
          </cell>
          <cell r="C579" t="str">
            <v>GLYXERIN- WILFARIN USP 99.7%; PHUY NHỰA 250KG</v>
          </cell>
          <cell r="D579" t="str">
            <v>WILFARIN™ USP-997 PEDRUM</v>
          </cell>
          <cell r="E579">
            <v>1</v>
          </cell>
          <cell r="F579" t="str">
            <v>Bỏ chọn</v>
          </cell>
          <cell r="G579"/>
          <cell r="H579"/>
        </row>
        <row r="580">
          <cell r="A580" t="str">
            <v>7.7065330315012</v>
          </cell>
          <cell r="B580" t="str">
            <v>R.GLYCERINE WILFARIN USP997@250STEELDRUM</v>
          </cell>
          <cell r="C580" t="str">
            <v>GLYXERIN- WILFARIN USP 99.7%; PHUY THÉP 250KG</v>
          </cell>
          <cell r="D580" t="str">
            <v>WILFARIN™ USP-997 STEELDRUM</v>
          </cell>
          <cell r="E580">
            <v>1</v>
          </cell>
          <cell r="F580" t="str">
            <v>Bỏ chọn</v>
          </cell>
          <cell r="G580"/>
          <cell r="H580"/>
        </row>
        <row r="581">
          <cell r="A581" t="str">
            <v>7.7065340314012</v>
          </cell>
          <cell r="B581" t="str">
            <v>R.GLYCERINE WILFARIN EP997@250KG PE DRUM</v>
          </cell>
          <cell r="C581" t="str">
            <v>R.GLYCERINE WILFARIN EP997@250 PEDRUM</v>
          </cell>
          <cell r="D581" t="str">
            <v>WILFARIN™ EP-997 PEDRUM</v>
          </cell>
          <cell r="E581">
            <v>1</v>
          </cell>
          <cell r="F581" t="str">
            <v>Bỏ chọn</v>
          </cell>
          <cell r="G581"/>
          <cell r="H581"/>
        </row>
        <row r="582">
          <cell r="A582" t="str">
            <v>7.7065340315012</v>
          </cell>
          <cell r="B582" t="str">
            <v>R.GLYCERINE WILFARIN EP997@250STEEL DRUM</v>
          </cell>
          <cell r="C582" t="str">
            <v>R.GLYCERINE WILFARIN EP997@250STEEL DRUM</v>
          </cell>
          <cell r="D582" t="str">
            <v>WILFARIN™ EP-997 STEELDRUM</v>
          </cell>
          <cell r="E582">
            <v>1</v>
          </cell>
          <cell r="F582" t="str">
            <v>Bỏ chọn</v>
          </cell>
          <cell r="G582"/>
          <cell r="H582"/>
        </row>
        <row r="583">
          <cell r="A583" t="str">
            <v>7.706537031401200</v>
          </cell>
          <cell r="B583" t="str">
            <v>WILFARIN BP997 IN PEDRUM @250KG</v>
          </cell>
          <cell r="C583" t="str">
            <v>WILFARIN BP997 IN PEDRUM @250KG</v>
          </cell>
          <cell r="D583" t="str">
            <v>WILFARIN™ BP-997</v>
          </cell>
          <cell r="E583">
            <v>1</v>
          </cell>
          <cell r="F583" t="str">
            <v>Bỏ chọn</v>
          </cell>
          <cell r="G583"/>
          <cell r="H583"/>
        </row>
        <row r="584">
          <cell r="A584" t="str">
            <v>7.706537031501200</v>
          </cell>
          <cell r="B584" t="str">
            <v>WILFARIN BP997 IN STEELDRUM @250KG</v>
          </cell>
          <cell r="C584" t="str">
            <v>WILFARIN BP997 IN STEELDRUM @250KG</v>
          </cell>
          <cell r="D584" t="str">
            <v>WILFARIN™ BP-997</v>
          </cell>
          <cell r="E584">
            <v>1</v>
          </cell>
          <cell r="F584" t="str">
            <v>Bỏ chọn</v>
          </cell>
          <cell r="G584"/>
          <cell r="H584"/>
        </row>
        <row r="585">
          <cell r="A585" t="str">
            <v>7.7040600104012000</v>
          </cell>
          <cell r="B585" t="str">
            <v>WILFARIN SN6040 LAMINATED PAPERBAG @25KG</v>
          </cell>
          <cell r="C585" t="str">
            <v>WILFARIN SOAP NOODLE 6040 LAMINATED PAPERBAG @25KG</v>
          </cell>
          <cell r="D585" t="str">
            <v>WILFARIN™ SN-6040</v>
          </cell>
          <cell r="E585">
            <v>1</v>
          </cell>
          <cell r="F585" t="str">
            <v>Bỏ chọn</v>
          </cell>
          <cell r="G585"/>
          <cell r="H585"/>
        </row>
        <row r="586">
          <cell r="A586" t="str">
            <v>7.7040700104012000</v>
          </cell>
          <cell r="B586" t="str">
            <v>WILFARIN SN7030 LAMINATED PAPERBAG @25KG</v>
          </cell>
          <cell r="C586" t="str">
            <v>PHÔI XÀ PHÒNG - WILFARIN SN7030; BAO 25KG</v>
          </cell>
          <cell r="D586" t="str">
            <v>WILFARIN™ SN-7030</v>
          </cell>
          <cell r="E586">
            <v>1</v>
          </cell>
          <cell r="F586" t="str">
            <v>Chọn</v>
          </cell>
          <cell r="G586"/>
          <cell r="H586"/>
        </row>
        <row r="587">
          <cell r="A587" t="str">
            <v>7.7040800104012000</v>
          </cell>
          <cell r="B587" t="str">
            <v>WILFARIN SN8020 LAMINATED PAPERBAG @25KG</v>
          </cell>
          <cell r="C587" t="str">
            <v>PHÔI XÀ PHÒNG - WILFARIN SN8020; BAO 25KG</v>
          </cell>
          <cell r="D587" t="str">
            <v>WILFARIN™ SN-8020</v>
          </cell>
          <cell r="E587">
            <v>1</v>
          </cell>
          <cell r="F587" t="str">
            <v>Bỏ chọn</v>
          </cell>
          <cell r="G587"/>
          <cell r="H587"/>
        </row>
        <row r="588">
          <cell r="A588" t="str">
            <v>7.7040810104012000</v>
          </cell>
          <cell r="B588" t="str">
            <v>WILFARIN SN8021 LAMINATED PAPERBAG @25KG</v>
          </cell>
          <cell r="C588" t="str">
            <v>PHÔI XÀ PHÒNG - WILFARIN SN8021</v>
          </cell>
          <cell r="D588" t="str">
            <v>WILFARIN™ SN-8021</v>
          </cell>
          <cell r="E588">
            <v>1</v>
          </cell>
          <cell r="F588" t="str">
            <v>Bỏ chọn</v>
          </cell>
          <cell r="G588"/>
          <cell r="H588"/>
        </row>
        <row r="589">
          <cell r="A589" t="str">
            <v>7.7040900104012000</v>
          </cell>
          <cell r="B589" t="str">
            <v>WILFARIN SN9010 LAMINATED PAPERBAG @25KG</v>
          </cell>
          <cell r="C589" t="str">
            <v>PHÔI XÀ PHÒNG - WILFARIN SN9010; BAO 25KG</v>
          </cell>
          <cell r="D589" t="str">
            <v>WILFARIN™ SN-9010</v>
          </cell>
          <cell r="E589">
            <v>1</v>
          </cell>
          <cell r="F589" t="str">
            <v>Bỏ chọn</v>
          </cell>
          <cell r="G589"/>
          <cell r="H589"/>
        </row>
        <row r="590">
          <cell r="A590" t="str">
            <v>7.7041540104012000</v>
          </cell>
          <cell r="B590" t="str">
            <v>WILFARIN SN9015 LAMINATED PAPERBAG @25KG</v>
          </cell>
          <cell r="C590" t="str">
            <v>PHÔI XÀ PHÒNG - WILFARIN SN9015</v>
          </cell>
          <cell r="D590" t="str">
            <v>WILFARIN™ SN-9015</v>
          </cell>
          <cell r="E590">
            <v>1</v>
          </cell>
          <cell r="F590" t="str">
            <v>Bỏ chọn</v>
          </cell>
          <cell r="G590"/>
          <cell r="H590"/>
        </row>
        <row r="591">
          <cell r="A591" t="str">
            <v>7.7041550104012000</v>
          </cell>
          <cell r="B591" t="str">
            <v>WILFARIN SN9050 LAMINATED PAPERBAG @25KG</v>
          </cell>
          <cell r="C591" t="str">
            <v>PHÔI XÀ PHÒNG - WILFARIN SN9050; BAO 25KG</v>
          </cell>
          <cell r="D591" t="str">
            <v>WILFARIN™ SN-9050</v>
          </cell>
          <cell r="E591">
            <v>1</v>
          </cell>
          <cell r="F591" t="str">
            <v>Bỏ chọn</v>
          </cell>
          <cell r="G591"/>
          <cell r="H591"/>
        </row>
        <row r="592">
          <cell r="A592" t="str">
            <v>7.73020503150101</v>
          </cell>
          <cell r="B592" t="str">
            <v>WILFAROL 0810 IN STEELDRUM @250KG</v>
          </cell>
          <cell r="C592" t="str">
            <v>WILFAR OCTYL-DECYL ALCOHOL 0810 IN STEELDRUM @250KG</v>
          </cell>
          <cell r="D592" t="str">
            <v>"WILFAROL™
0810"</v>
          </cell>
          <cell r="E592">
            <v>1</v>
          </cell>
          <cell r="F592" t="str">
            <v>Bỏ chọn</v>
          </cell>
          <cell r="G592"/>
          <cell r="H592"/>
        </row>
        <row r="593">
          <cell r="A593" t="str">
            <v>7.73021203150201</v>
          </cell>
          <cell r="B593" t="str">
            <v>WILFAROL 1299 IN STEELDRUM @250KG</v>
          </cell>
          <cell r="C593" t="str">
            <v>WILFAR OCTYL-DECYL ALCOHOL 1299 IN STEELDRUM @250KG</v>
          </cell>
          <cell r="D593" t="str">
            <v>"WILFAROL™
1299"</v>
          </cell>
          <cell r="E593">
            <v>1</v>
          </cell>
          <cell r="F593" t="str">
            <v>Bỏ chọn</v>
          </cell>
          <cell r="G593"/>
          <cell r="H593"/>
        </row>
        <row r="594">
          <cell r="A594" t="str">
            <v>7.73020103150101</v>
          </cell>
          <cell r="B594" t="str">
            <v>WILFAROL 1214 IN STEELDRUM @250KG</v>
          </cell>
          <cell r="C594" t="str">
            <v>WILFAR OCTYL-DECYL ALCOHOL 1214 IN STEELDRUM @250KG</v>
          </cell>
          <cell r="D594" t="str">
            <v>"WILFAROL™
1214"</v>
          </cell>
          <cell r="E594">
            <v>1</v>
          </cell>
          <cell r="F594" t="str">
            <v>Bỏ chọn</v>
          </cell>
          <cell r="G594"/>
          <cell r="H594"/>
        </row>
        <row r="595">
          <cell r="A595" t="str">
            <v>7.73020203150101</v>
          </cell>
          <cell r="B595" t="str">
            <v>WILFAROL 1216 IN STEELDRUM @250KG</v>
          </cell>
          <cell r="C595" t="str">
            <v>WILFAR OCTYL-DECYL ALCOHOL 1216 IN STEELDRUM @250KG</v>
          </cell>
          <cell r="D595" t="str">
            <v>"WILFAROL™
1216"</v>
          </cell>
          <cell r="E595">
            <v>1</v>
          </cell>
          <cell r="F595" t="str">
            <v>Bỏ chọn</v>
          </cell>
          <cell r="G595"/>
          <cell r="H595"/>
        </row>
        <row r="596">
          <cell r="A596" t="str">
            <v>7.73021303150201</v>
          </cell>
          <cell r="B596" t="str">
            <v>WILFAROL 1499 IN STEELDRUM @250KG</v>
          </cell>
          <cell r="C596" t="str">
            <v>WILFAR OCTYL-DECYL ALCOHOL 1499 IN STEELDRUM @250KG</v>
          </cell>
          <cell r="D596" t="str">
            <v>"WILFAROL™
1499"</v>
          </cell>
          <cell r="E596">
            <v>1</v>
          </cell>
          <cell r="F596" t="str">
            <v>Bỏ chọn</v>
          </cell>
          <cell r="G596"/>
          <cell r="H596"/>
        </row>
        <row r="597">
          <cell r="A597" t="str">
            <v>7.73021103150101</v>
          </cell>
          <cell r="B597" t="str">
            <v>WILFAROL 1218 IN STEELDRUM @250KG</v>
          </cell>
          <cell r="C597" t="str">
            <v>WILFAR OCTYL-DECYL ALCOHOL 1218 IN STEELDRUM @250KG</v>
          </cell>
          <cell r="D597" t="str">
            <v>"WILFAROL™
1218"</v>
          </cell>
          <cell r="E597">
            <v>1</v>
          </cell>
          <cell r="F597" t="str">
            <v>Bỏ chọn</v>
          </cell>
          <cell r="G597"/>
          <cell r="H597"/>
        </row>
        <row r="598">
          <cell r="A598" t="str">
            <v>7.73021003150101</v>
          </cell>
          <cell r="B598" t="str">
            <v>WILFAROL 1618 IN STEELDRUM @250KG</v>
          </cell>
          <cell r="C598" t="str">
            <v>WILFAR OCTYL-DECYL ALCOHOL 1618 IN STEELDRUM @250KG</v>
          </cell>
          <cell r="D598" t="str">
            <v>"WILFAROL™
1618"</v>
          </cell>
          <cell r="E598">
            <v>1</v>
          </cell>
          <cell r="F598" t="str">
            <v>Bỏ chọn</v>
          </cell>
          <cell r="G598"/>
          <cell r="H598"/>
        </row>
        <row r="599">
          <cell r="A599" t="str">
            <v>7.705300010308000</v>
          </cell>
          <cell r="B599" t="str">
            <v>WILFAWAX PF1705 LAMINATED PAPERBAG @25KG</v>
          </cell>
          <cell r="C599" t="str">
            <v>SÁP THỰC VẬT - WILFAWAX PF1705; BAO 25KG</v>
          </cell>
          <cell r="D599" t="str">
            <v>"WILFAWAX™
PF-1705"</v>
          </cell>
          <cell r="E599">
            <v>1</v>
          </cell>
          <cell r="F599" t="str">
            <v>Chọn</v>
          </cell>
          <cell r="G599"/>
          <cell r="H599"/>
        </row>
        <row r="600">
          <cell r="A600" t="str">
            <v>7.705301010308000</v>
          </cell>
          <cell r="B600" t="str">
            <v>WILFAWAX PF1508 LAMINATED PAPERBAG @25KG</v>
          </cell>
          <cell r="C600" t="str">
            <v>SÁP THỰC VẬT - WILFAWAX PF1508; BAO 25KG</v>
          </cell>
          <cell r="D600" t="str">
            <v>"WILFAWAX™
PF-1508"</v>
          </cell>
          <cell r="E600">
            <v>1</v>
          </cell>
          <cell r="F600" t="str">
            <v>Bỏ chọn</v>
          </cell>
          <cell r="G600"/>
          <cell r="H600"/>
        </row>
        <row r="601">
          <cell r="A601" t="str">
            <v>7.705302010308000</v>
          </cell>
          <cell r="B601" t="str">
            <v>WILFAWAX PF1505 LAMINATED PAPERBAG @25KG</v>
          </cell>
          <cell r="C601" t="str">
            <v>SÁP THỰC VẬT - WILFAWAX PF1505; BAO 25KG</v>
          </cell>
          <cell r="D601" t="str">
            <v>"WILFAWAX™
PF-1505"</v>
          </cell>
          <cell r="E601">
            <v>1</v>
          </cell>
          <cell r="F601" t="str">
            <v>Bỏ chọn</v>
          </cell>
          <cell r="G601"/>
          <cell r="H601"/>
        </row>
        <row r="602">
          <cell r="A602" t="str">
            <v>7.705303010308000</v>
          </cell>
          <cell r="B602" t="str">
            <v>WILFAWAX PF363 LAMINATED PAPERBAG @25KG</v>
          </cell>
          <cell r="C602" t="str">
            <v>SÁP THỰC VẬT - WILFAWAX PF363; BAO 25KG</v>
          </cell>
          <cell r="D602" t="str">
            <v>"WILFAWAX™
PF-363"</v>
          </cell>
          <cell r="E602">
            <v>1</v>
          </cell>
          <cell r="F602" t="str">
            <v>Bỏ chọn</v>
          </cell>
          <cell r="G602"/>
          <cell r="H602"/>
        </row>
        <row r="603">
          <cell r="A603" t="str">
            <v>7.8102501133701903</v>
          </cell>
          <cell r="B603" t="str">
            <v>WILFAWAX AKD-40 LAMINATED PAPERBAG @25KG</v>
          </cell>
          <cell r="C603" t="str">
            <v>WILFAWAX ALKYL KETENE DIMER-40 LAMINATED PAPERBAG @25KG</v>
          </cell>
          <cell r="D603" t="str">
            <v>"WILFAWAX™
AKD-40"</v>
          </cell>
          <cell r="E603">
            <v>1</v>
          </cell>
          <cell r="F603" t="str">
            <v>Bỏ chọn</v>
          </cell>
          <cell r="G603"/>
          <cell r="H603"/>
        </row>
        <row r="604">
          <cell r="A604" t="str">
            <v>7.8102501133702003</v>
          </cell>
          <cell r="B604" t="str">
            <v>WILFAWAX AKD-65 LAMINATED PAPERBAG @25KG</v>
          </cell>
          <cell r="C604" t="str">
            <v>WILFAWAX ALKYL KETENE DIMER-65 LAMINATED PAPERBAG @25KG</v>
          </cell>
          <cell r="D604" t="str">
            <v>"WILFAWAX™
AKD-65"</v>
          </cell>
          <cell r="E604">
            <v>1</v>
          </cell>
          <cell r="F604" t="str">
            <v>Bỏ chọn</v>
          </cell>
          <cell r="G604"/>
          <cell r="H604"/>
        </row>
        <row r="605">
          <cell r="A605" t="str">
            <v>7.8102501133702103</v>
          </cell>
          <cell r="B605" t="str">
            <v>WILFAWAX AKD-95 LAMINATED PAPERBAG @25KG</v>
          </cell>
          <cell r="C605" t="str">
            <v>WILFAWAX ALKYL KETENE DIMER-95 LAMINATED PAPERBAG @25KG</v>
          </cell>
          <cell r="D605" t="str">
            <v>"WILFAWAX™
AKD-95"</v>
          </cell>
          <cell r="E605">
            <v>1</v>
          </cell>
          <cell r="F605" t="str">
            <v>Bỏ chọn</v>
          </cell>
          <cell r="G605"/>
          <cell r="H605"/>
        </row>
        <row r="606">
          <cell r="A606" t="str">
            <v>7.723004010304800</v>
          </cell>
          <cell r="B606" t="str">
            <v>WILFAMES C16 FR LAMINATED PAPERBAG@25KG</v>
          </cell>
          <cell r="C606" t="str">
            <v>CHẾ PHẨM HOẠT ĐỘNG BỀ MẶT DẠNG ANION - WILFAMES C16FR; BAO 25KG</v>
          </cell>
          <cell r="D606" t="str">
            <v xml:space="preserve">WILFAMES™ C16 FR </v>
          </cell>
          <cell r="E606">
            <v>1</v>
          </cell>
          <cell r="F606" t="str">
            <v>Bỏ chọn</v>
          </cell>
          <cell r="G606"/>
          <cell r="H606"/>
        </row>
        <row r="607">
          <cell r="A607" t="str">
            <v>7.723002010304800</v>
          </cell>
          <cell r="B607" t="str">
            <v>WILFAMES C16 PR5 LAMINATED PAPERBAG@25KG</v>
          </cell>
          <cell r="C607" t="str">
            <v>CHẾ PHẨM HOẠT ĐỘNG BỀ MẶT DẠNG ANION - WILFAMES C16PR5; BAO 25KG</v>
          </cell>
          <cell r="D607" t="str">
            <v>WILFAMES™ C16 PR 5</v>
          </cell>
          <cell r="E607">
            <v>1</v>
          </cell>
          <cell r="F607" t="str">
            <v>Bỏ chọn</v>
          </cell>
          <cell r="G607"/>
          <cell r="H607"/>
        </row>
        <row r="608">
          <cell r="A608" t="str">
            <v>7.723003010304800</v>
          </cell>
          <cell r="B608" t="str">
            <v>WILFAMES C16PR10 LAMINATED PAPERBAG@25KG</v>
          </cell>
          <cell r="C608" t="str">
            <v>MES C16-18 VỚI 10% ZEOLITE; BAO 25KG</v>
          </cell>
          <cell r="D608" t="str">
            <v>WILFAMES™ C16 PR 10</v>
          </cell>
          <cell r="E608">
            <v>1</v>
          </cell>
          <cell r="F608" t="str">
            <v>Bỏ chọn</v>
          </cell>
          <cell r="G608"/>
          <cell r="H608"/>
        </row>
        <row r="609">
          <cell r="A609" t="str">
            <v>DDGS</v>
          </cell>
          <cell r="B609" t="str">
            <v>DISTILLERS DRIED GRAINS WITH SOLUBLES (DDGS)</v>
          </cell>
          <cell r="C609" t="str">
            <v>DISTILLERS DRIED GRAINS WITH SOLUBLES (DDGS)</v>
          </cell>
          <cell r="D609" t="str">
            <v>DDGS</v>
          </cell>
          <cell r="E609">
            <v>1</v>
          </cell>
          <cell r="F609" t="str">
            <v>Bỏ chọn</v>
          </cell>
          <cell r="G609"/>
          <cell r="H609"/>
        </row>
        <row r="610">
          <cell r="A610" t="str">
            <v>COPEX</v>
          </cell>
          <cell r="B610" t="str">
            <v>COPRA EXPELLERS (COPEX)</v>
          </cell>
          <cell r="C610" t="str">
            <v>COPRA EXPELLERS (COPEX) - KHO DAU DUA</v>
          </cell>
          <cell r="D610" t="str">
            <v>COPEX</v>
          </cell>
          <cell r="E610">
            <v>1</v>
          </cell>
          <cell r="F610" t="str">
            <v>Bỏ chọn</v>
          </cell>
          <cell r="G610"/>
          <cell r="H610"/>
        </row>
        <row r="611">
          <cell r="A611" t="str">
            <v>WILPRO</v>
          </cell>
          <cell r="B611" t="str">
            <v>WILPROMIL R ( SOY PROTEIN CONCENTRATE)</v>
          </cell>
          <cell r="C611" t="str">
            <v>WILPROMIL R ( SOY PROTEIN CONCENTRATE)</v>
          </cell>
          <cell r="D611" t="str">
            <v>WILPRO</v>
          </cell>
          <cell r="E611">
            <v>1</v>
          </cell>
          <cell r="F611" t="str">
            <v>Bỏ chọn</v>
          </cell>
          <cell r="G611"/>
          <cell r="H611"/>
        </row>
        <row r="612">
          <cell r="A612" t="str">
            <v>6.52399080100</v>
          </cell>
          <cell r="B612" t="str">
            <v>MEIZAN_0.5</v>
          </cell>
          <cell r="C612" t="str">
            <v>BỘT MÌ NHÃN HIỆU "MEIZAN" 0.5KG (GÓI)</v>
          </cell>
          <cell r="D612" t="str">
            <v>MEIZAN_0.5</v>
          </cell>
          <cell r="E612">
            <v>0.5</v>
          </cell>
          <cell r="F612" t="str">
            <v>Bỏ chọn</v>
          </cell>
          <cell r="G612"/>
          <cell r="H612"/>
        </row>
        <row r="613">
          <cell r="A613" t="str">
            <v>6.52399080200</v>
          </cell>
          <cell r="B613" t="str">
            <v>MEIZAN_1</v>
          </cell>
          <cell r="C613" t="str">
            <v>BỘT MÌ NHÃN HIỆU "MEIZAN" 1KG (GÓI)</v>
          </cell>
          <cell r="D613" t="str">
            <v>MEIZAN_1</v>
          </cell>
          <cell r="E613">
            <v>1</v>
          </cell>
          <cell r="F613" t="str">
            <v>Bỏ chọn</v>
          </cell>
          <cell r="G613"/>
          <cell r="H613"/>
        </row>
        <row r="614">
          <cell r="A614" t="str">
            <v>6.52399050100</v>
          </cell>
          <cell r="B614" t="str">
            <v>COMPASS - PP_0.5</v>
          </cell>
          <cell r="C614" t="str">
            <v>BỘT MÌ NHÃN HIỆU "LA BÀN" 0.5KG (GÓI)</v>
          </cell>
          <cell r="D614" t="str">
            <v>COMPASS - PP_0.5</v>
          </cell>
          <cell r="E614">
            <v>0.5</v>
          </cell>
          <cell r="F614" t="str">
            <v>Bỏ chọn</v>
          </cell>
          <cell r="G614"/>
          <cell r="H614"/>
        </row>
        <row r="615">
          <cell r="A615" t="str">
            <v>6.52399050200</v>
          </cell>
          <cell r="B615" t="str">
            <v>COMPASS - PP_1</v>
          </cell>
          <cell r="C615" t="str">
            <v>BỘT MÌ NHÃN HIỆU "LA BÀN" 1KG (GÓI)</v>
          </cell>
          <cell r="D615" t="str">
            <v>COMPASS - PP_1</v>
          </cell>
          <cell r="E615">
            <v>1</v>
          </cell>
          <cell r="F615" t="str">
            <v>Bỏ chọn</v>
          </cell>
          <cell r="G615"/>
          <cell r="H615"/>
        </row>
        <row r="616">
          <cell r="A616" t="str">
            <v>7.52399080821</v>
          </cell>
          <cell r="B616" t="str">
            <v>MEIZAN-CRYSPY</v>
          </cell>
          <cell r="C616" t="str">
            <v>BỘT CHIÊN GIÒN "MEIZAN" 150GR</v>
          </cell>
          <cell r="D616" t="str">
            <v>MEIZAN-CRYSPY</v>
          </cell>
          <cell r="E616">
            <v>9</v>
          </cell>
          <cell r="F616" t="str">
            <v>Bỏ chọn</v>
          </cell>
          <cell r="G616"/>
          <cell r="H616"/>
        </row>
        <row r="617">
          <cell r="A617" t="str">
            <v>7.70501</v>
          </cell>
          <cell r="B617" t="str">
            <v>MIXED SOAP POWDER IN JUMBO BAG @900KG</v>
          </cell>
          <cell r="C617" t="str">
            <v>PHÔI XÀ PHÒNG - DẠNG BỘT; BAO 900KG</v>
          </cell>
          <cell r="D617" t="str">
            <v>MIXED SOAP POWDER IN JUMBO BAG @900KG</v>
          </cell>
          <cell r="E617">
            <v>1</v>
          </cell>
          <cell r="F617" t="str">
            <v>Bỏ chọn</v>
          </cell>
          <cell r="G617"/>
          <cell r="H617"/>
        </row>
        <row r="618">
          <cell r="A618" t="str">
            <v>7.70502</v>
          </cell>
          <cell r="B618" t="str">
            <v>MIXED SOAP NOODLE IN JUMBO BAG @900KG</v>
          </cell>
          <cell r="C618" t="str">
            <v>PHÔI XÀ PHÒNG - DẠNG BỘT</v>
          </cell>
          <cell r="D618" t="str">
            <v>MIXED SOAP NOODLE IN JUMBO BAG @900KG</v>
          </cell>
          <cell r="E618">
            <v>1</v>
          </cell>
          <cell r="F618" t="str">
            <v>Bỏ chọn</v>
          </cell>
          <cell r="G618"/>
          <cell r="H618"/>
        </row>
        <row r="619">
          <cell r="A619" t="str">
            <v>7.70503</v>
          </cell>
          <cell r="B619" t="str">
            <v>WILFARIN SA1837 IN STEELDRUM @180KG</v>
          </cell>
          <cell r="C619" t="str">
            <v>AXIT STEARIC 37% - WILFARIN SA1837</v>
          </cell>
          <cell r="D619" t="str">
            <v>WILFARIN SA1837 IN STEELDRUM @180KG</v>
          </cell>
          <cell r="E619">
            <v>1</v>
          </cell>
          <cell r="F619" t="str">
            <v>Bỏ chọn</v>
          </cell>
          <cell r="G619"/>
          <cell r="H619"/>
        </row>
        <row r="620">
          <cell r="A620" t="str">
            <v>7.70504</v>
          </cell>
          <cell r="B620" t="str">
            <v>WILFARIN SA1837 LAMINATED PAPERBAG @25KG</v>
          </cell>
          <cell r="C620" t="str">
            <v>AXIT STEARIC 37% - WILFARIN SA1837; BAO 25KG</v>
          </cell>
          <cell r="D620" t="str">
            <v>WILFARIN SA1837 LAMINATED PAPERBAG @25KG</v>
          </cell>
          <cell r="E620">
            <v>1</v>
          </cell>
          <cell r="F620" t="str">
            <v>Bỏ chọn</v>
          </cell>
          <cell r="G620"/>
          <cell r="H620"/>
        </row>
        <row r="621">
          <cell r="A621" t="str">
            <v>7.70505</v>
          </cell>
          <cell r="B621" t="str">
            <v>LAURYL AND MYRISTYL ALCOHOL (C1214FC) IN FLEXIBAG @ 19,500KG</v>
          </cell>
          <cell r="C621" t="str">
            <v>RƯỢU LAURYL VÀ MYRISTYL (C1214FC); TÚI FLEXIBAG 19,500KG</v>
          </cell>
          <cell r="D621" t="str">
            <v>LAURYL AND MYRISTYL ALCOHOL (C1214FC) IN FLEXIBAG @ 19,500KG</v>
          </cell>
          <cell r="E621">
            <v>1</v>
          </cell>
          <cell r="F621" t="str">
            <v>Bỏ chọn</v>
          </cell>
          <cell r="G621"/>
          <cell r="H621"/>
        </row>
        <row r="622">
          <cell r="A622" t="str">
            <v>7.70506</v>
          </cell>
          <cell r="B622" t="str">
            <v>OFF SPEC SOAP</v>
          </cell>
          <cell r="C622" t="str">
            <v>OFF SPEC SOAP</v>
          </cell>
          <cell r="D622" t="str">
            <v>OFF SPEC SOAP</v>
          </cell>
          <cell r="E622">
            <v>1</v>
          </cell>
          <cell r="F622" t="str">
            <v>Bỏ chọn</v>
          </cell>
          <cell r="G622"/>
          <cell r="H622"/>
        </row>
        <row r="623">
          <cell r="A623" t="str">
            <v>7.70507</v>
          </cell>
          <cell r="B623" t="str">
            <v>ALKYL KETENE DIMER (AKD-1840) LAMINATED PAPERBAG @25KG</v>
          </cell>
          <cell r="C623" t="str">
            <v>ALKYL KETENE DIMER (AKD-1840) LAMINATED PAPERBAG @25KG</v>
          </cell>
          <cell r="D623" t="str">
            <v>ALKYL KETENE DIMER (AKD-1840) LAMINATED PAPERBAG @25KG_x000D_</v>
          </cell>
          <cell r="E623">
            <v>1</v>
          </cell>
          <cell r="F623" t="str">
            <v>Bỏ chọn</v>
          </cell>
          <cell r="G623"/>
          <cell r="H623"/>
        </row>
        <row r="624">
          <cell r="A624" t="str">
            <v>7.70508</v>
          </cell>
          <cell r="B624" t="str">
            <v>ETHYLENE BIS STEAMIDE (EBS) SUPER FINE POWDER BAG@20KG</v>
          </cell>
          <cell r="C624" t="str">
            <v>ETHYLENE BIS STEAMIDE (EBS) SUPER FINE POWDER BAG@20KG</v>
          </cell>
          <cell r="D624" t="str">
            <v>ETHYLENE BIS STEAMIDE (EBS) SUPER FINE POWDER BAG@20KG</v>
          </cell>
          <cell r="E624">
            <v>1</v>
          </cell>
          <cell r="F624" t="str">
            <v>Bỏ chọn</v>
          </cell>
          <cell r="G624"/>
          <cell r="H624"/>
        </row>
        <row r="625">
          <cell r="A625" t="str">
            <v>8.80501</v>
          </cell>
          <cell r="B625" t="str">
            <v>CANOLA MEAL</v>
          </cell>
          <cell r="C625" t="str">
            <v>CANOLA MEAL</v>
          </cell>
          <cell r="D625" t="str">
            <v>CANOLA MEAL</v>
          </cell>
          <cell r="E625">
            <v>1</v>
          </cell>
          <cell r="F625" t="str">
            <v>Bỏ chọn</v>
          </cell>
          <cell r="G625"/>
          <cell r="H625"/>
        </row>
        <row r="626">
          <cell r="A626" t="str">
            <v>8.80502</v>
          </cell>
          <cell r="B626" t="str">
            <v>PALM KERNEL EXPELLERS (PKE)</v>
          </cell>
          <cell r="C626" t="str">
            <v>PALM KERNEL EXPELLERS (PKE)</v>
          </cell>
          <cell r="D626" t="str">
            <v>PALM KERNEL EXPELLERS (PKE)</v>
          </cell>
          <cell r="E626">
            <v>1</v>
          </cell>
          <cell r="F626" t="str">
            <v>Bỏ chọn</v>
          </cell>
          <cell r="G626"/>
          <cell r="H626"/>
        </row>
        <row r="627">
          <cell r="A627" t="str">
            <v>8.80503</v>
          </cell>
          <cell r="B627" t="str">
            <v>SOYBEAN MEAL</v>
          </cell>
          <cell r="C627" t="str">
            <v>SOYBEAN MEAL</v>
          </cell>
          <cell r="D627" t="str">
            <v>SOYBEAN MEAL</v>
          </cell>
          <cell r="E627">
            <v>1</v>
          </cell>
          <cell r="F627" t="str">
            <v>Bỏ chọn</v>
          </cell>
          <cell r="G627"/>
          <cell r="H627"/>
        </row>
        <row r="628">
          <cell r="A628" t="str">
            <v>8.80504</v>
          </cell>
          <cell r="B628" t="str">
            <v>RAPESEED MEAL</v>
          </cell>
          <cell r="C628" t="str">
            <v>RAPESEED MEAL</v>
          </cell>
          <cell r="D628" t="str">
            <v>RAPESEED MEAL</v>
          </cell>
          <cell r="E628">
            <v>1</v>
          </cell>
          <cell r="F628" t="str">
            <v>Bỏ chọn</v>
          </cell>
          <cell r="G628"/>
          <cell r="H628"/>
        </row>
        <row r="629">
          <cell r="A629" t="str">
            <v>8.80505</v>
          </cell>
          <cell r="B629" t="str">
            <v>CORN GLUTEN MEAL</v>
          </cell>
          <cell r="C629" t="str">
            <v>CORN GLUTEN MEAL</v>
          </cell>
          <cell r="D629" t="str">
            <v>CORN GLUTEN MEAL</v>
          </cell>
          <cell r="E629">
            <v>1</v>
          </cell>
          <cell r="F629" t="str">
            <v>Bỏ chọn</v>
          </cell>
          <cell r="G629"/>
          <cell r="H629"/>
        </row>
        <row r="630">
          <cell r="A630" t="str">
            <v>8.90501</v>
          </cell>
          <cell r="B630" t="str">
            <v>CORN</v>
          </cell>
          <cell r="C630" t="str">
            <v>CORN</v>
          </cell>
          <cell r="D630" t="str">
            <v>CORN</v>
          </cell>
          <cell r="E630">
            <v>1</v>
          </cell>
          <cell r="F630" t="str">
            <v>Bỏ chọn</v>
          </cell>
          <cell r="G630"/>
          <cell r="H630"/>
        </row>
        <row r="631">
          <cell r="A631" t="str">
            <v>8.80506</v>
          </cell>
          <cell r="B631" t="str">
            <v>WHEAT BRAN POLLARD</v>
          </cell>
          <cell r="C631" t="str">
            <v>WHEAT BRAN POLLARD</v>
          </cell>
          <cell r="D631" t="str">
            <v>WHEAT BRAN POLLARD</v>
          </cell>
          <cell r="E631">
            <v>1</v>
          </cell>
          <cell r="F631" t="str">
            <v>Bỏ chọn</v>
          </cell>
          <cell r="G631"/>
          <cell r="H631"/>
        </row>
        <row r="632">
          <cell r="A632" t="str">
            <v>9V8.80501</v>
          </cell>
          <cell r="B632" t="str">
            <v>CANOLA MEAL</v>
          </cell>
          <cell r="C632" t="str">
            <v>CANOLA MEAL</v>
          </cell>
          <cell r="D632" t="str">
            <v>CANOLA MEAL</v>
          </cell>
          <cell r="E632">
            <v>1</v>
          </cell>
          <cell r="F632" t="str">
            <v>Bỏ chọn</v>
          </cell>
          <cell r="G632"/>
          <cell r="H632"/>
        </row>
        <row r="633">
          <cell r="A633" t="str">
            <v>9VCOPEX</v>
          </cell>
          <cell r="B633" t="str">
            <v>COPRA EXPELLERS (COPEX)</v>
          </cell>
          <cell r="C633" t="str">
            <v>COPRA EXPELLERS (COPEX)</v>
          </cell>
          <cell r="D633" t="str">
            <v>COPRA EXPELLERS (COPEX)</v>
          </cell>
          <cell r="E633">
            <v>1</v>
          </cell>
          <cell r="F633" t="str">
            <v>Bỏ chọn</v>
          </cell>
          <cell r="G633"/>
          <cell r="H633"/>
        </row>
        <row r="634">
          <cell r="A634" t="str">
            <v>9V8.90501</v>
          </cell>
          <cell r="B634" t="str">
            <v>CORN</v>
          </cell>
          <cell r="C634" t="str">
            <v>CORN</v>
          </cell>
          <cell r="D634" t="str">
            <v>CORN</v>
          </cell>
          <cell r="E634">
            <v>1</v>
          </cell>
          <cell r="F634" t="str">
            <v>Bỏ chọn</v>
          </cell>
          <cell r="G634"/>
          <cell r="H634"/>
        </row>
        <row r="635">
          <cell r="A635" t="str">
            <v>9V8.80505</v>
          </cell>
          <cell r="B635" t="str">
            <v>CORN GLUTEN MEAL</v>
          </cell>
          <cell r="C635" t="str">
            <v>CORN GLUTEN MEAL</v>
          </cell>
          <cell r="D635" t="str">
            <v>CORN GLUTEN MEAL</v>
          </cell>
          <cell r="E635">
            <v>1</v>
          </cell>
          <cell r="F635" t="str">
            <v>Bỏ chọn</v>
          </cell>
          <cell r="G635"/>
          <cell r="H635"/>
        </row>
        <row r="636">
          <cell r="A636" t="str">
            <v>9VDDGS</v>
          </cell>
          <cell r="B636" t="str">
            <v>DISTILLERS DRIED GRAINS WITH SOLUBLES (DDGS)</v>
          </cell>
          <cell r="C636" t="str">
            <v>DISTILLERS DRIED GRAINS WITH SOLUBLES (DDGS)</v>
          </cell>
          <cell r="D636" t="str">
            <v>DISTILLERS DRIED GRAINS WITH SOLUBLES (DDGS)</v>
          </cell>
          <cell r="E636">
            <v>1</v>
          </cell>
          <cell r="F636" t="str">
            <v>Bỏ chọn</v>
          </cell>
          <cell r="G636"/>
          <cell r="H636"/>
        </row>
        <row r="637">
          <cell r="A637" t="str">
            <v>9V8.80502</v>
          </cell>
          <cell r="B637" t="str">
            <v>PALM KERNEL EXPELLERS (PKE)</v>
          </cell>
          <cell r="C637" t="str">
            <v>PALM KERNEL EXPELLERS (PKE)</v>
          </cell>
          <cell r="D637" t="str">
            <v>PALM KERNEL EXPELLERS (PKE)</v>
          </cell>
          <cell r="E637">
            <v>1</v>
          </cell>
          <cell r="F637" t="str">
            <v>Bỏ chọn</v>
          </cell>
          <cell r="G637"/>
          <cell r="H637"/>
        </row>
        <row r="638">
          <cell r="A638" t="str">
            <v>9V8.80504</v>
          </cell>
          <cell r="B638" t="str">
            <v>RAPESEED MEAL</v>
          </cell>
          <cell r="C638" t="str">
            <v>RAPESEED MEAL</v>
          </cell>
          <cell r="D638" t="str">
            <v>RAPESEED MEAL</v>
          </cell>
          <cell r="E638">
            <v>1</v>
          </cell>
          <cell r="F638" t="str">
            <v>Bỏ chọn</v>
          </cell>
          <cell r="G638"/>
          <cell r="H638"/>
        </row>
        <row r="639">
          <cell r="A639" t="str">
            <v>9V8.80503</v>
          </cell>
          <cell r="B639" t="str">
            <v>SOYBEAN MEAL</v>
          </cell>
          <cell r="C639" t="str">
            <v>SOYBEAN MEAL</v>
          </cell>
          <cell r="D639" t="str">
            <v>SOYBEAN MEAL</v>
          </cell>
          <cell r="E639">
            <v>1</v>
          </cell>
          <cell r="F639" t="str">
            <v>Bỏ chọn</v>
          </cell>
          <cell r="G639"/>
          <cell r="H639"/>
        </row>
        <row r="640">
          <cell r="A640" t="str">
            <v>9V8.80506</v>
          </cell>
          <cell r="B640" t="str">
            <v>WHEAT BRAN POLLARD</v>
          </cell>
          <cell r="C640" t="str">
            <v>WHEAT BRAN POLLARD</v>
          </cell>
          <cell r="D640" t="str">
            <v>WHEAT BRAN POLLARD</v>
          </cell>
          <cell r="E640">
            <v>1</v>
          </cell>
          <cell r="F640" t="str">
            <v>Bỏ chọn</v>
          </cell>
          <cell r="G640"/>
          <cell r="H640"/>
        </row>
        <row r="641">
          <cell r="A641" t="str">
            <v>9VWILPRO</v>
          </cell>
          <cell r="B641" t="str">
            <v>WILPROMIL R ( SOY PROTEIN CONCENTRATE)</v>
          </cell>
          <cell r="C641" t="str">
            <v>WILPROMIL R ( SOY PROTEIN CONCENTRATE)</v>
          </cell>
          <cell r="D641" t="str">
            <v>WILPROMIL R ( SOY PROTEIN CONCENTRATE)</v>
          </cell>
          <cell r="E641">
            <v>1</v>
          </cell>
          <cell r="F641" t="str">
            <v>Bỏ chọn</v>
          </cell>
          <cell r="G641"/>
          <cell r="H641"/>
        </row>
        <row r="642">
          <cell r="A642" t="str">
            <v>6.4510725</v>
          </cell>
          <cell r="B642" t="str">
            <v>NBD SOYA BEAN OIL IMPORTED</v>
          </cell>
          <cell r="C642" t="str">
            <v>NBD SOYA BEAN OIL IMPORTED</v>
          </cell>
          <cell r="D642" t="str">
            <v>NBD SOYA BEAN OIL IMPORTED</v>
          </cell>
          <cell r="E642">
            <v>1</v>
          </cell>
          <cell r="F642" t="str">
            <v>Bỏ chọn</v>
          </cell>
          <cell r="G642"/>
          <cell r="H642"/>
        </row>
        <row r="643">
          <cell r="A643" t="str">
            <v>7.101071031805550</v>
          </cell>
          <cell r="B643" t="str">
            <v>CAILAN ROL CP8 1LX12POUCH</v>
          </cell>
          <cell r="C643" t="str">
            <v>DẦU THỰC VẬT TINH LUYỆN NHÃN HIỆU CÁI LÂN 1L</v>
          </cell>
          <cell r="D643" t="str">
            <v>CAILAN ROL CP8 1LX12POUCH</v>
          </cell>
          <cell r="E643">
            <v>10.92</v>
          </cell>
          <cell r="F643" t="str">
            <v>Chọn</v>
          </cell>
          <cell r="G643"/>
          <cell r="H643" t="str">
            <v>7.101071031800550</v>
          </cell>
        </row>
        <row r="644">
          <cell r="A644" t="str">
            <v>7.1070120892033009</v>
          </cell>
          <cell r="B644" t="str">
            <v>MEIZAN BOS IN PLASTIC BUCKET35-38@18KG P</v>
          </cell>
          <cell r="C644" t="str">
            <v>DẦU BƠ THAY THẾ HIỆU MEIZAN TRONG THÙNG NHỰA 18 KG (NHÃN VÀNG)</v>
          </cell>
          <cell r="D644" t="str">
            <v>MEIZAN BOS IN PLASTIC BUCKET35-38@18KG P</v>
          </cell>
          <cell r="E644">
            <v>18</v>
          </cell>
          <cell r="F644" t="str">
            <v>Chọn</v>
          </cell>
          <cell r="G644"/>
          <cell r="H644"/>
        </row>
        <row r="645">
          <cell r="A645" t="str">
            <v>7.1071250507108010</v>
          </cell>
          <cell r="B645" t="str">
            <v>GOLDEN DELICIOUS MGRN MP42-46 PEBAG@10KG</v>
          </cell>
          <cell r="C645" t="str">
            <v>BƠ LÁ THỰC VẬT GOLDEN DELICIOUS 10KG</v>
          </cell>
          <cell r="D645" t="str">
            <v>GOLDEN DELICIOUS MGRN MP42-46 PEBAG@10KG</v>
          </cell>
          <cell r="E645">
            <v>10</v>
          </cell>
          <cell r="F645" t="str">
            <v>Bỏ chọn</v>
          </cell>
          <cell r="G645"/>
          <cell r="H645"/>
        </row>
        <row r="646">
          <cell r="A646" t="str">
            <v>7.1100120202608010</v>
          </cell>
          <cell r="B646" t="str">
            <v>MEIZAN TRHPKO WILKOTE 1400 INPEBAG@20KG</v>
          </cell>
          <cell r="C646" t="str">
            <v>MEIZAN TRHPKO WILKOTE 1400 INPEBAG@20KG</v>
          </cell>
          <cell r="D646" t="str">
            <v>MEIZAN TRHPKO WILKOTE 1400 INPEBAG@20KG</v>
          </cell>
          <cell r="E646">
            <v>20</v>
          </cell>
          <cell r="F646" t="str">
            <v>Bỏ chọn</v>
          </cell>
          <cell r="G646"/>
          <cell r="H646"/>
        </row>
        <row r="647">
          <cell r="A647" t="str">
            <v>7.1110120200208010</v>
          </cell>
          <cell r="B647" t="str">
            <v>MEIZAN TRHPKL WILFIL380 IN PE BAG@20KG</v>
          </cell>
          <cell r="C647" t="str">
            <v>DẦU OLEIN NHÂN CỌ ĐÃ ĐƯỢC TINH LUYỆN VÀ HYDRO HÓA HIỆU MEIZAN WILFIL 380 TRONG THÙNG CARTON 20KG</v>
          </cell>
          <cell r="D647" t="str">
            <v>MEIZAN TRHPKL WILFIL380 IN PE BAG@20KG</v>
          </cell>
          <cell r="E647">
            <v>20</v>
          </cell>
          <cell r="F647" t="str">
            <v>Bỏ chọn</v>
          </cell>
          <cell r="G647"/>
          <cell r="H647"/>
        </row>
        <row r="648">
          <cell r="A648" t="str">
            <v>7.1110120201308010</v>
          </cell>
          <cell r="B648" t="str">
            <v>MEIZAN TRHPKL WILFIL 400 IN PE BAG@20KG</v>
          </cell>
          <cell r="C648" t="str">
            <v>DẦU OLEIN NHÂN CỌ TINH LUYỆN VÀ HYDRO HÓA HIỆU MEIZAN (WILFIL 400) 20KG</v>
          </cell>
          <cell r="D648" t="str">
            <v>MEIZAN TRHPKL WILFIL 400 IN PE BAG@20KG</v>
          </cell>
          <cell r="E648">
            <v>20</v>
          </cell>
          <cell r="F648" t="str">
            <v>Chọn</v>
          </cell>
          <cell r="G648"/>
          <cell r="H648"/>
        </row>
        <row r="649">
          <cell r="A649" t="str">
            <v>7.1120120203608010</v>
          </cell>
          <cell r="B649" t="str">
            <v>MEIZAN TRHPKS UC 1710 IN PEBAG@20KG</v>
          </cell>
          <cell r="C649" t="str">
            <v>ULTRA CHOCO 1710 NHÃN HIỆU MEIZAN ĐÓNG TRONG THÙNG CARTON 20KG</v>
          </cell>
          <cell r="D649" t="str">
            <v>MEIZAN TRHPKS UC 1710 IN PEBAG@20KG</v>
          </cell>
          <cell r="E649">
            <v>20</v>
          </cell>
          <cell r="F649" t="str">
            <v>Bỏ chọn</v>
          </cell>
          <cell r="G649"/>
          <cell r="H649"/>
        </row>
        <row r="650">
          <cell r="A650" t="str">
            <v>7.1140120202608010</v>
          </cell>
          <cell r="B650" t="str">
            <v>MEIZAN CBR WILLARINE 820 IN PEBAG@20KG</v>
          </cell>
          <cell r="C650" t="str">
            <v>CHẤT BÉO THỰC VẬT THAY THẾ CHO BƠ CACAO- WILLARINE 820-NHÃN HIỆU MEIZAN 20KG</v>
          </cell>
          <cell r="D650" t="str">
            <v>MEIZAN CBR WILLARINE 820 IN PEBAG@20KG</v>
          </cell>
          <cell r="E650">
            <v>20</v>
          </cell>
          <cell r="F650" t="str">
            <v>Chọn</v>
          </cell>
          <cell r="G650"/>
          <cell r="H650"/>
        </row>
        <row r="651">
          <cell r="A651" t="str">
            <v>7.1160120250408010</v>
          </cell>
          <cell r="B651" t="str">
            <v>MEIZAN WILKRIM MP30-33 IN PEBAG@20KG</v>
          </cell>
          <cell r="C651" t="str">
            <v>MEIZAN WILKRIM MP30-33 IN PEBAG@20KG</v>
          </cell>
          <cell r="D651" t="str">
            <v>MEIZAN WILKRIM MP30-33 IN PEBAG@20KG</v>
          </cell>
          <cell r="E651">
            <v>20</v>
          </cell>
          <cell r="F651" t="str">
            <v>Bỏ chọn</v>
          </cell>
          <cell r="G651"/>
          <cell r="H651"/>
        </row>
        <row r="652">
          <cell r="A652" t="str">
            <v>7.131069011700A00</v>
          </cell>
          <cell r="B652" t="str">
            <v>NEPTUNE GOLD BTL @0.25L</v>
          </cell>
          <cell r="C652" t="str">
            <v>DẦU ĂN THƯỢNG HẠNG HIỆU NEPTUNE GOLD 0,25L</v>
          </cell>
          <cell r="D652" t="str">
            <v>NEPTUNE GOLD BTL @0.25L</v>
          </cell>
          <cell r="E652">
            <v>0.23</v>
          </cell>
          <cell r="F652" t="str">
            <v>Bỏ chọn</v>
          </cell>
          <cell r="G652"/>
          <cell r="H652"/>
        </row>
        <row r="653">
          <cell r="A653" t="str">
            <v>7.131069011720A00</v>
          </cell>
          <cell r="B653" t="str">
            <v>NEPTUNE GOLD 0.25L X 30 BTL</v>
          </cell>
          <cell r="C653" t="str">
            <v>DẦU ĂN THƯỢNG HẠNG HIỆU NEPTUNE GOLD 0,25L</v>
          </cell>
          <cell r="D653" t="str">
            <v>NEPTUNE GOLD 0.25L X 30 BTL</v>
          </cell>
          <cell r="E653">
            <v>6.83</v>
          </cell>
          <cell r="F653" t="str">
            <v>Bỏ chọn</v>
          </cell>
          <cell r="G653"/>
          <cell r="H653"/>
        </row>
        <row r="654">
          <cell r="A654" t="str">
            <v>7.131069031700A00</v>
          </cell>
          <cell r="B654" t="str">
            <v>NEPTUNE GOLD  IN BOTTLE@1L</v>
          </cell>
          <cell r="C654" t="str">
            <v>DẦU ĂN THƯỢNG HẠNG HIỆU NEPTUNE GOLD 1L</v>
          </cell>
          <cell r="D654" t="str">
            <v>NEPTUNE GOLD  IN BOTTLE@1L</v>
          </cell>
          <cell r="E654">
            <v>0.91</v>
          </cell>
          <cell r="F654" t="str">
            <v>Bỏ chọn</v>
          </cell>
          <cell r="G654"/>
          <cell r="H654"/>
        </row>
        <row r="655">
          <cell r="A655" t="str">
            <v>7.131069031705A00</v>
          </cell>
          <cell r="B655" t="str">
            <v>NEPTUNE GOLD  1L X 12 BTL</v>
          </cell>
          <cell r="C655" t="str">
            <v>DẦU ĂN THƯỢNG HẠNG HIỆU NEPTUNE GOLD 1L</v>
          </cell>
          <cell r="D655" t="str">
            <v>NEPTUNE GOLD  1L X 12 BTL</v>
          </cell>
          <cell r="E655">
            <v>10.92</v>
          </cell>
          <cell r="F655" t="str">
            <v>Bỏ chọn</v>
          </cell>
          <cell r="G655"/>
          <cell r="H655"/>
        </row>
        <row r="656">
          <cell r="A656" t="str">
            <v>7.131069041704A00</v>
          </cell>
          <cell r="B656" t="str">
            <v>NEPTUNE GOLD  2L X 6 BTL</v>
          </cell>
          <cell r="C656" t="str">
            <v>DẦU ĂN THƯỢNG HẠNG HIỆU NEPTUNE GOLD 2L</v>
          </cell>
          <cell r="D656" t="str">
            <v>NEPTUNE GOLD  2L X 6 BTL</v>
          </cell>
          <cell r="E656">
            <v>10.92</v>
          </cell>
          <cell r="F656" t="str">
            <v>Bỏ chọn</v>
          </cell>
          <cell r="G656"/>
          <cell r="H656"/>
        </row>
        <row r="657">
          <cell r="A657" t="str">
            <v>7.131069061703A00</v>
          </cell>
          <cell r="B657" t="str">
            <v>NEPTUNE GOLD 5L X 4 BTL</v>
          </cell>
          <cell r="C657" t="str">
            <v>DẦU ĂN THƯỢNG HẠNG HIỆU NEPTUNE GOLD 5L</v>
          </cell>
          <cell r="D657" t="str">
            <v>NEPTUNE GOLD 5L X 4 BTL</v>
          </cell>
          <cell r="E657">
            <v>18.2</v>
          </cell>
          <cell r="F657" t="str">
            <v>Bỏ chọn</v>
          </cell>
          <cell r="G657"/>
          <cell r="H657"/>
        </row>
        <row r="658">
          <cell r="A658" t="str">
            <v>7.131069111702A00</v>
          </cell>
          <cell r="B658" t="str">
            <v>NEPTUNE GOLD 10L X 2BTL</v>
          </cell>
          <cell r="C658" t="str">
            <v>DẦU ĂN THƯỢNG HẠNG HIỆU NEPTUNE GOLD 10L</v>
          </cell>
          <cell r="D658" t="str">
            <v>NEPTUNE GOLD 10L X 2BTL</v>
          </cell>
          <cell r="E658">
            <v>18.2</v>
          </cell>
          <cell r="F658" t="str">
            <v>Bỏ chọn</v>
          </cell>
          <cell r="G658"/>
          <cell r="H658"/>
        </row>
        <row r="659">
          <cell r="A659" t="str">
            <v>7.131069121700A00</v>
          </cell>
          <cell r="B659" t="str">
            <v>NEPTUNE GOLD IN BOTTLE@0.4L</v>
          </cell>
          <cell r="C659" t="str">
            <v>DẦU ĂN THƯỢNG HẠNG HIỆU NEPTUNE GOLD 0,4L</v>
          </cell>
          <cell r="D659" t="str">
            <v>NEPTUNE GOLD IN BOTTLE@0.4L</v>
          </cell>
          <cell r="E659">
            <v>0.36399999999999999</v>
          </cell>
          <cell r="F659" t="str">
            <v>Bỏ chọn</v>
          </cell>
          <cell r="G659"/>
          <cell r="H659"/>
        </row>
        <row r="660">
          <cell r="A660" t="str">
            <v>7.131069121712A00</v>
          </cell>
          <cell r="B660" t="str">
            <v>NEPTUNE GOLD 0.4L X 20 BTL</v>
          </cell>
          <cell r="C660" t="str">
            <v>DẦU ĂN THƯỢNG HẠNG HIỆU NEPTUNE GOLD 0.4L</v>
          </cell>
          <cell r="D660" t="str">
            <v>NEPTUNE GOLD 0.4L X 20 BTL</v>
          </cell>
          <cell r="E660">
            <v>7.28</v>
          </cell>
          <cell r="F660" t="str">
            <v>Bỏ chọn</v>
          </cell>
          <cell r="G660"/>
          <cell r="H660"/>
        </row>
        <row r="661">
          <cell r="A661" t="str">
            <v>7.451051361702000</v>
          </cell>
          <cell r="B661" t="str">
            <v>MEIZAN RBD SBO 10L X 2BTL</v>
          </cell>
          <cell r="C661" t="str">
            <v>DẦU ĂN MEIZAN ĐẬU NÀNH 10L</v>
          </cell>
          <cell r="D661" t="str">
            <v>MEIZAN RBD SBO 10L X 2BTL</v>
          </cell>
          <cell r="E661">
            <v>18.2</v>
          </cell>
          <cell r="F661" t="str">
            <v>Bỏ chọn</v>
          </cell>
          <cell r="G661"/>
          <cell r="H661"/>
        </row>
        <row r="662">
          <cell r="A662" t="str">
            <v>7.702912220800000</v>
          </cell>
          <cell r="B662" t="str">
            <v>DMFA(PFAD+SBFAD) IN 2NDSTEELDRM@185KG</v>
          </cell>
          <cell r="C662" t="str">
            <v>DMFA(PFAD+SBFAD) IN 2NDSTEELDRM@185KG</v>
          </cell>
          <cell r="D662" t="str">
            <v>DMFA(PFAD+SBFAD) IN 2NDSTEELDRM@185KG</v>
          </cell>
          <cell r="E662">
            <v>185</v>
          </cell>
          <cell r="F662" t="str">
            <v>Bỏ chọn</v>
          </cell>
          <cell r="G662"/>
          <cell r="H662"/>
        </row>
        <row r="663">
          <cell r="A663" t="str">
            <v>7.702912451400000</v>
          </cell>
          <cell r="B663" t="str">
            <v>DMFA(PFAD+SBFAD) IN FLEXIBAG@20MT</v>
          </cell>
          <cell r="C663" t="str">
            <v>DẦU AXÍT BÉO THỰC VẬT HỖN HỢP</v>
          </cell>
          <cell r="D663" t="str">
            <v>DMFA(PFAD+SBFAD) IN FLEXIBAG@20MT</v>
          </cell>
          <cell r="E663">
            <v>1</v>
          </cell>
          <cell r="F663" t="str">
            <v>Chọn</v>
          </cell>
          <cell r="G663"/>
          <cell r="H663"/>
        </row>
        <row r="664">
          <cell r="A664" t="str">
            <v>9V39.015.007</v>
          </cell>
          <cell r="B664" t="str">
            <v>GLASSLOCK NEPTUNE</v>
          </cell>
          <cell r="C664" t="str">
            <v>HŨ ĐỰNG GIA VỊ NEPTUNE</v>
          </cell>
          <cell r="D664" t="str">
            <v>GLASSLOCK NEPTUNE</v>
          </cell>
          <cell r="E664">
            <v>0</v>
          </cell>
          <cell r="F664" t="str">
            <v>Bỏ chọn</v>
          </cell>
          <cell r="G664"/>
          <cell r="H664"/>
        </row>
        <row r="665">
          <cell r="A665" t="str">
            <v>9V58.001.001</v>
          </cell>
          <cell r="B665" t="str">
            <v>PET RESIN CRUSHED</v>
          </cell>
          <cell r="C665" t="str">
            <v>PET RESIN CRUSHED</v>
          </cell>
          <cell r="D665" t="str">
            <v>PET RESIN CRUSHED</v>
          </cell>
          <cell r="E665">
            <v>1</v>
          </cell>
          <cell r="F665" t="str">
            <v>Bỏ chọn</v>
          </cell>
          <cell r="G665"/>
          <cell r="H665"/>
        </row>
        <row r="666">
          <cell r="A666" t="str">
            <v>9V58.001.006</v>
          </cell>
          <cell r="B666" t="str">
            <v>PET RESIN BURNT</v>
          </cell>
          <cell r="C666" t="str">
            <v>PET RESIN BURNT</v>
          </cell>
          <cell r="D666" t="str">
            <v>PET RESIN BURNT</v>
          </cell>
          <cell r="E666">
            <v>1</v>
          </cell>
          <cell r="F666" t="str">
            <v>Bỏ chọn</v>
          </cell>
          <cell r="G666"/>
          <cell r="H666"/>
        </row>
        <row r="667">
          <cell r="A667" t="str">
            <v>V12.354.003</v>
          </cell>
          <cell r="B667" t="str">
            <v>GRINDSTED PGMS 90</v>
          </cell>
          <cell r="C667" t="str">
            <v>GRINDSTED PGMS 90</v>
          </cell>
          <cell r="D667" t="str">
            <v>GRINDSTED PGMS 90</v>
          </cell>
          <cell r="E667">
            <v>1</v>
          </cell>
          <cell r="F667" t="str">
            <v>Bỏ chọn</v>
          </cell>
          <cell r="G667"/>
          <cell r="H667"/>
        </row>
        <row r="668">
          <cell r="A668" t="str">
            <v>V12.407.001</v>
          </cell>
          <cell r="B668" t="str">
            <v>POTASSIUM SORBATE  - 25 KG/CARTON</v>
          </cell>
          <cell r="C668" t="str">
            <v>POTASSIUM SORBATE - 25 KG/CARTON</v>
          </cell>
          <cell r="D668" t="str">
            <v>POTASSIUM SORBATE  - 25 KG/CARTON</v>
          </cell>
          <cell r="E668">
            <v>1</v>
          </cell>
          <cell r="F668" t="str">
            <v>Bỏ chọn</v>
          </cell>
          <cell r="G668"/>
          <cell r="H668"/>
        </row>
        <row r="669">
          <cell r="A669" t="str">
            <v>V12.441.002</v>
          </cell>
          <cell r="B669" t="str">
            <v>WIJS SOLUTION, MERK (2.5LIT/BOTTLE)</v>
          </cell>
          <cell r="C669" t="str">
            <v>WIJS SOLUTION, MERK (2.5LIT/BOTTLE)</v>
          </cell>
          <cell r="D669" t="str">
            <v>WIJS SOLUTION, MERK (2.5LIT/BOTTLE)</v>
          </cell>
          <cell r="E669">
            <v>0</v>
          </cell>
          <cell r="F669" t="str">
            <v>Bỏ chọn</v>
          </cell>
          <cell r="G669"/>
          <cell r="H669"/>
        </row>
        <row r="670">
          <cell r="A670" t="str">
            <v>V12.701.004</v>
          </cell>
          <cell r="B670" t="str">
            <v>FLAVOUR SMF 60289 PNS5870</v>
          </cell>
          <cell r="C670" t="str">
            <v>FLAVOUR SMF 60289 PNS5870</v>
          </cell>
          <cell r="D670" t="str">
            <v>FLAVOUR SMF 60289 PNS5870</v>
          </cell>
          <cell r="E670">
            <v>1</v>
          </cell>
          <cell r="F670" t="str">
            <v>Bỏ chọn</v>
          </cell>
          <cell r="G670"/>
          <cell r="H670"/>
        </row>
        <row r="671">
          <cell r="A671" t="str">
            <v>V12.701.013</v>
          </cell>
          <cell r="B671" t="str">
            <v>BUTTER FLAVOUR ( CODE - 20890805 )</v>
          </cell>
          <cell r="C671" t="str">
            <v>BUTTER FLAVOUR ( CODE - 20890805 )</v>
          </cell>
          <cell r="D671" t="str">
            <v>BUTTER FLAVOUR ( CODE - 20890805 )</v>
          </cell>
          <cell r="E671">
            <v>1</v>
          </cell>
          <cell r="F671" t="str">
            <v>Bỏ chọn</v>
          </cell>
          <cell r="G671"/>
          <cell r="H671"/>
        </row>
        <row r="672">
          <cell r="A672" t="str">
            <v>V12.701.018</v>
          </cell>
          <cell r="B672" t="str">
            <v>BUTTER FLAVOUR CODE: 520866T</v>
          </cell>
          <cell r="C672" t="str">
            <v>HƯƠNG BƠ CODE 520866T</v>
          </cell>
          <cell r="D672" t="str">
            <v>BUTTER FLAVOUR CODE: 520866T</v>
          </cell>
          <cell r="E672">
            <v>1</v>
          </cell>
          <cell r="F672" t="str">
            <v>Bỏ chọn</v>
          </cell>
          <cell r="G672"/>
          <cell r="H672"/>
        </row>
        <row r="673">
          <cell r="A673" t="str">
            <v>V34.303.005</v>
          </cell>
          <cell r="B673" t="str">
            <v>HELMET NEPTUNE GOLD</v>
          </cell>
          <cell r="C673" t="str">
            <v>NÓN BẢO HIỂM NEPTUNE GOLD</v>
          </cell>
          <cell r="D673" t="str">
            <v>HELMET NEPTUNE GOLD</v>
          </cell>
          <cell r="E673">
            <v>0</v>
          </cell>
          <cell r="F673" t="str">
            <v>Bỏ chọn</v>
          </cell>
          <cell r="G673"/>
          <cell r="H673"/>
        </row>
        <row r="674">
          <cell r="A674" t="str">
            <v>V34.303.006</v>
          </cell>
          <cell r="B674" t="str">
            <v>HELMET MEIZAN SALEMAN</v>
          </cell>
          <cell r="C674" t="str">
            <v>NÓN BẢO HIỂM MEIZAN</v>
          </cell>
          <cell r="D674" t="str">
            <v>HELMET MEIZAN SALEMAN</v>
          </cell>
          <cell r="E674">
            <v>0</v>
          </cell>
          <cell r="F674" t="str">
            <v>Bỏ chọn</v>
          </cell>
          <cell r="G674"/>
          <cell r="H674"/>
        </row>
        <row r="675">
          <cell r="A675" t="str">
            <v>V39.013.070</v>
          </cell>
          <cell r="B675" t="str">
            <v>RAINCOAT NEPTUNE</v>
          </cell>
          <cell r="C675" t="str">
            <v>ÁO MƯA NEPTUNE GOLD</v>
          </cell>
          <cell r="D675" t="str">
            <v>RAINCOAT NEPTUNE</v>
          </cell>
          <cell r="E675">
            <v>0</v>
          </cell>
          <cell r="F675" t="str">
            <v>Bỏ chọn</v>
          </cell>
          <cell r="G675"/>
          <cell r="H675"/>
        </row>
        <row r="676">
          <cell r="A676" t="str">
            <v>V39.013.071</v>
          </cell>
          <cell r="B676" t="str">
            <v>RAINCOAT NEPTUNE GOLD</v>
          </cell>
          <cell r="C676" t="str">
            <v>ÁO MƯA NEPTUNE GOLD</v>
          </cell>
          <cell r="D676" t="str">
            <v>RAINCOAT NEPTUNE GOLD</v>
          </cell>
          <cell r="E676">
            <v>0</v>
          </cell>
          <cell r="F676" t="str">
            <v>Bỏ chọn</v>
          </cell>
          <cell r="G676"/>
          <cell r="H676"/>
        </row>
        <row r="677">
          <cell r="A677" t="str">
            <v>V39.015.008</v>
          </cell>
          <cell r="B677" t="str">
            <v>GLASS LG 143509</v>
          </cell>
          <cell r="C677" t="str">
            <v>LY THỦY TINH LG 143509</v>
          </cell>
          <cell r="D677" t="str">
            <v>GLASS LG 143509</v>
          </cell>
          <cell r="E677">
            <v>0</v>
          </cell>
          <cell r="F677" t="str">
            <v>Bỏ chọn</v>
          </cell>
          <cell r="G677"/>
          <cell r="H677"/>
        </row>
        <row r="678">
          <cell r="A678" t="str">
            <v>V39.015.010</v>
          </cell>
          <cell r="B678" t="str">
            <v>GLASS LG OLIVOILA 123 (2PC/ BOX)</v>
          </cell>
          <cell r="C678" t="str">
            <v>LY THỦY TINH LG 123 (2 CHIẾC/HỘP)</v>
          </cell>
          <cell r="D678" t="str">
            <v>GLASS LG OLIVOILA 123 (2PC/ BOX)</v>
          </cell>
          <cell r="E678">
            <v>0</v>
          </cell>
          <cell r="F678" t="str">
            <v>Bỏ chọn</v>
          </cell>
          <cell r="G678"/>
          <cell r="H678"/>
        </row>
        <row r="679">
          <cell r="A679" t="str">
            <v>V39.015.011</v>
          </cell>
          <cell r="B679" t="str">
            <v>PORCELAIN JARS MEIZAN (3 PCS/SET)</v>
          </cell>
          <cell r="C679" t="str">
            <v>BỘ 03 HŨ SỨ GIA VỊ CAO CẤP MEIZAN</v>
          </cell>
          <cell r="D679" t="str">
            <v>PORCELAIN JARS MEIZAN (3 PCS/SET)</v>
          </cell>
          <cell r="E679">
            <v>0</v>
          </cell>
          <cell r="F679" t="str">
            <v>Bỏ chọn</v>
          </cell>
          <cell r="G679"/>
          <cell r="H679"/>
        </row>
        <row r="680">
          <cell r="A680" t="str">
            <v>V39.015.101</v>
          </cell>
          <cell r="B680" t="str">
            <v>SPOON SIMPLY STAINLESS STEEL</v>
          </cell>
          <cell r="C680" t="str">
            <v>MUỖNG INOX SIMPLY</v>
          </cell>
          <cell r="D680" t="str">
            <v>SPOON SIMPLY STAINLESS STEEL</v>
          </cell>
          <cell r="E680">
            <v>0</v>
          </cell>
          <cell r="F680" t="str">
            <v>Bỏ chọn</v>
          </cell>
          <cell r="G680"/>
          <cell r="H680"/>
        </row>
        <row r="681">
          <cell r="A681" t="str">
            <v>V39.015.102</v>
          </cell>
          <cell r="B681" t="str">
            <v>SPOON NEPTUNE STAINLESS STEEL</v>
          </cell>
          <cell r="C681" t="str">
            <v>MUỖNG INOX NEPTUNE</v>
          </cell>
          <cell r="D681" t="str">
            <v>SPOON NEPTUNE STAINLESS STEEL</v>
          </cell>
          <cell r="E681">
            <v>0</v>
          </cell>
          <cell r="F681" t="str">
            <v>Bỏ chọn</v>
          </cell>
          <cell r="G681"/>
          <cell r="H681"/>
        </row>
        <row r="682">
          <cell r="A682" t="str">
            <v>V39.015.103</v>
          </cell>
          <cell r="B682" t="str">
            <v>SPOON KIDDY STAINLESS STEEL (L=15.5CM)</v>
          </cell>
          <cell r="C682" t="str">
            <v>MUỖNG INOX KIDDY (L=15.5CM)</v>
          </cell>
          <cell r="D682" t="str">
            <v>SPOON KIDDY STAINLESS STEEL (L=15.5CM)</v>
          </cell>
          <cell r="E682">
            <v>0</v>
          </cell>
          <cell r="F682" t="str">
            <v>Bỏ chọn</v>
          </cell>
          <cell r="G682"/>
          <cell r="H682"/>
        </row>
        <row r="683">
          <cell r="A683" t="str">
            <v>V39.015.203</v>
          </cell>
          <cell r="B683" t="str">
            <v>BOWL OCEAN GLASS (180MM)</v>
          </cell>
          <cell r="C683" t="str">
            <v>BÁT THỦY TINH OCEAN (180MM)</v>
          </cell>
          <cell r="D683" t="str">
            <v>BOWL OCEAN GLASS (180MM)</v>
          </cell>
          <cell r="E683">
            <v>0</v>
          </cell>
          <cell r="F683" t="str">
            <v>Bỏ chọn</v>
          </cell>
          <cell r="G683"/>
          <cell r="H683"/>
        </row>
        <row r="684">
          <cell r="A684" t="str">
            <v>V39.015.205</v>
          </cell>
          <cell r="B684" t="str">
            <v>BOWL MEIZAN MELAMINE SAUCE</v>
          </cell>
          <cell r="C684" t="str">
            <v>CHÉN CHẤM GIA VỊ MELAMINE MEIZAN</v>
          </cell>
          <cell r="D684" t="str">
            <v>BOWL MEIZAN MELAMINE SAUCE</v>
          </cell>
          <cell r="E684">
            <v>0</v>
          </cell>
          <cell r="F684" t="str">
            <v>Bỏ chọn</v>
          </cell>
          <cell r="G684"/>
          <cell r="H684"/>
        </row>
        <row r="685">
          <cell r="A685" t="str">
            <v>V39.015.208</v>
          </cell>
          <cell r="B685" t="str">
            <v>BOWL SET WITH MEIZAN LOGO MINH LONG</v>
          </cell>
          <cell r="C685" t="str">
            <v>BỘ BÁT MINH LONG IN LOGO MEIZAN</v>
          </cell>
          <cell r="D685" t="str">
            <v>BOWL SET WITH MEIZAN LOGO MINH LONG</v>
          </cell>
          <cell r="E685">
            <v>0</v>
          </cell>
          <cell r="F685" t="str">
            <v>Bỏ chọn</v>
          </cell>
          <cell r="G685"/>
          <cell r="H685"/>
        </row>
        <row r="686">
          <cell r="A686" t="str">
            <v>V39.039.004</v>
          </cell>
          <cell r="B686" t="str">
            <v>DECAL DELIVERY BOX NEPTUNE GOLD</v>
          </cell>
          <cell r="C686" t="str">
            <v>DECAL CHO THÙNG BÁN HÀNG NEPTUNE GOLD</v>
          </cell>
          <cell r="D686" t="str">
            <v>DECAL DELIVERY BOX NEPTUNE GOLD</v>
          </cell>
          <cell r="E686">
            <v>0</v>
          </cell>
          <cell r="F686" t="str">
            <v>Bỏ chọn</v>
          </cell>
          <cell r="G686"/>
          <cell r="H686"/>
        </row>
        <row r="687">
          <cell r="A687" t="str">
            <v>V39.039.005</v>
          </cell>
          <cell r="B687" t="str">
            <v>DECAL DELIVERY BOX MEIZAN SALEMAN</v>
          </cell>
          <cell r="C687" t="str">
            <v>THÙNG CHỞ HÀNG MEIZAN KÈM DECAN</v>
          </cell>
          <cell r="D687" t="str">
            <v>DECAL DELIVERY BOX MEIZAN SALEMAN</v>
          </cell>
          <cell r="E687">
            <v>0</v>
          </cell>
          <cell r="F687" t="str">
            <v>Bỏ chọn</v>
          </cell>
          <cell r="G687"/>
          <cell r="H687"/>
        </row>
        <row r="688">
          <cell r="A688" t="str">
            <v>V51.035.004</v>
          </cell>
          <cell r="B688" t="str">
            <v>TOWEL NEPTUNE DIM (35X35)CM</v>
          </cell>
          <cell r="C688" t="str">
            <v>KHĂN TẮM NEPTUNE NHỎ (35X35 CM)</v>
          </cell>
          <cell r="D688" t="str">
            <v>TOWEL NEPTUNE DIM (35X35)CM</v>
          </cell>
          <cell r="E688">
            <v>0</v>
          </cell>
          <cell r="F688" t="str">
            <v>Bỏ chọn</v>
          </cell>
          <cell r="G688"/>
          <cell r="H688"/>
        </row>
        <row r="689">
          <cell r="A689" t="str">
            <v>V51.035.005</v>
          </cell>
          <cell r="B689" t="str">
            <v>TOWEL OLIVOILA DIM (35X35)CM</v>
          </cell>
          <cell r="C689" t="str">
            <v>KHĂN OLIVOILA LOẠI NHỎ</v>
          </cell>
          <cell r="D689" t="str">
            <v>TOWEL OLIVOILA DIM (35X35)CM</v>
          </cell>
          <cell r="E689">
            <v>0.08</v>
          </cell>
          <cell r="F689" t="str">
            <v>Bỏ chọn</v>
          </cell>
          <cell r="G689"/>
          <cell r="H689"/>
        </row>
        <row r="690">
          <cell r="A690" t="str">
            <v>V51.043.014</v>
          </cell>
          <cell r="B690" t="str">
            <v>HA NOI BEER</v>
          </cell>
          <cell r="C690" t="str">
            <v>BIA HÀ NỘI</v>
          </cell>
          <cell r="D690" t="str">
            <v>HA NOI BEER</v>
          </cell>
          <cell r="E690">
            <v>0</v>
          </cell>
          <cell r="F690" t="str">
            <v>Bỏ chọn</v>
          </cell>
          <cell r="G690"/>
          <cell r="H690"/>
        </row>
        <row r="691">
          <cell r="A691" t="str">
            <v>V51.043.015</v>
          </cell>
          <cell r="B691" t="str">
            <v>HUDA BEER</v>
          </cell>
          <cell r="C691" t="str">
            <v>BIA HUDA</v>
          </cell>
          <cell r="D691" t="str">
            <v>HUDA BEER</v>
          </cell>
          <cell r="E691">
            <v>0</v>
          </cell>
          <cell r="F691" t="str">
            <v>Bỏ chọn</v>
          </cell>
          <cell r="G691"/>
          <cell r="H691"/>
        </row>
        <row r="692">
          <cell r="A692" t="str">
            <v>V51.047.001</v>
          </cell>
          <cell r="B692" t="str">
            <v>FLOUR MEIZAN 500G/BAG</v>
          </cell>
          <cell r="C692" t="str">
            <v>BỘT MÌ MEIZAN 500GR/BAG</v>
          </cell>
          <cell r="D692" t="str">
            <v>FLOUR MEIZAN 500G/BAG</v>
          </cell>
          <cell r="E692">
            <v>0</v>
          </cell>
          <cell r="F692" t="str">
            <v>Bỏ chọn</v>
          </cell>
          <cell r="G692"/>
          <cell r="H692"/>
        </row>
        <row r="693">
          <cell r="A693" t="str">
            <v>V51.047.002</v>
          </cell>
          <cell r="B693" t="str">
            <v>FRYING MIX MEIZAN CRISPY 150G</v>
          </cell>
          <cell r="C693" t="str">
            <v>BỘT CHIÊN GIÒN MEIZAN 150GR</v>
          </cell>
          <cell r="D693" t="str">
            <v>FRYING MIX MEIZAN CRISPY 150G</v>
          </cell>
          <cell r="E693">
            <v>0</v>
          </cell>
          <cell r="F693" t="str">
            <v>Bỏ chọn</v>
          </cell>
          <cell r="G693"/>
          <cell r="H693"/>
        </row>
        <row r="694">
          <cell r="A694" t="str">
            <v>V51.103.402</v>
          </cell>
          <cell r="B694" t="str">
            <v>OIL REMOVER ACNES 100M</v>
          </cell>
          <cell r="C694" t="str">
            <v>GIẤY THẤM DẦU ACNES 100 TỜ</v>
          </cell>
          <cell r="D694" t="str">
            <v>OIL REMOVER ACNES 100M</v>
          </cell>
          <cell r="E694">
            <v>0</v>
          </cell>
          <cell r="F694" t="str">
            <v>Bỏ chọn</v>
          </cell>
          <cell r="G694"/>
          <cell r="H694"/>
        </row>
        <row r="695">
          <cell r="A695" t="str">
            <v>V51.103.430</v>
          </cell>
          <cell r="B695" t="str">
            <v>TOOTHBRUSH LIPZO CRYSTAL KIDS</v>
          </cell>
          <cell r="C695" t="str">
            <v>BÀN CHẢI ĐÁNH RĂNG TRẺ EM LIPZO</v>
          </cell>
          <cell r="D695" t="str">
            <v>TOOTHBRUSH LIPZO CRYSTAL KIDS</v>
          </cell>
          <cell r="E695">
            <v>0</v>
          </cell>
          <cell r="F695" t="str">
            <v>Bỏ chọn</v>
          </cell>
          <cell r="G695"/>
          <cell r="H695"/>
        </row>
        <row r="696">
          <cell r="A696" t="str">
            <v>V51.103.770</v>
          </cell>
          <cell r="B696" t="str">
            <v>BOOTH KIDDY_MINI</v>
          </cell>
          <cell r="C696" t="str">
            <v>QUẦY BÁN HÀNG DI ĐỘNG KIDDY THÁO RÁP</v>
          </cell>
          <cell r="D696" t="str">
            <v>BOOTH KIDDY_MINI</v>
          </cell>
          <cell r="E696">
            <v>0</v>
          </cell>
          <cell r="F696" t="str">
            <v>Bỏ chọn</v>
          </cell>
          <cell r="G696"/>
          <cell r="H696"/>
        </row>
        <row r="697">
          <cell r="A697" t="str">
            <v>V51.154.001</v>
          </cell>
          <cell r="B697" t="str">
            <v>BACKPACK KIDDY</v>
          </cell>
          <cell r="C697" t="str">
            <v>BA LÔ KIDDY</v>
          </cell>
          <cell r="D697" t="str">
            <v>BACKPACK KIDDY</v>
          </cell>
          <cell r="E697">
            <v>0</v>
          </cell>
          <cell r="F697" t="str">
            <v>Bỏ chọn</v>
          </cell>
          <cell r="G697"/>
          <cell r="H697"/>
        </row>
        <row r="698">
          <cell r="A698" t="str">
            <v>V51.901.013</v>
          </cell>
          <cell r="B698" t="str">
            <v>PLIERS NGHIA</v>
          </cell>
          <cell r="C698" t="str">
            <v>KIỀM NGHĨA</v>
          </cell>
          <cell r="D698" t="str">
            <v>PLIERS NGHIA</v>
          </cell>
          <cell r="E698">
            <v>0</v>
          </cell>
          <cell r="F698" t="str">
            <v>Bỏ chọn</v>
          </cell>
          <cell r="G698"/>
          <cell r="H698"/>
        </row>
        <row r="699">
          <cell r="A699" t="str">
            <v>V51.901.014</v>
          </cell>
          <cell r="B699" t="str">
            <v>COTTON SWAB</v>
          </cell>
          <cell r="C699" t="str">
            <v>TĂM BÔNG</v>
          </cell>
          <cell r="D699" t="str">
            <v>COTTON SWAB</v>
          </cell>
          <cell r="E699">
            <v>0</v>
          </cell>
          <cell r="F699" t="str">
            <v>Bỏ chọn</v>
          </cell>
          <cell r="G699"/>
          <cell r="H699"/>
        </row>
        <row r="700">
          <cell r="A700" t="str">
            <v>V51.901.016</v>
          </cell>
          <cell r="B700" t="str">
            <v>VIETTEL CARD WITH 50.000 VND</v>
          </cell>
          <cell r="C700" t="str">
            <v>THẺ ĐIỆN THOẠI VIETTEL MỆNH GIÁ 50.000 ĐỒNG</v>
          </cell>
          <cell r="D700" t="str">
            <v>VIETTEL CARD WITH 50.000 VND</v>
          </cell>
          <cell r="E700">
            <v>0</v>
          </cell>
          <cell r="F700" t="str">
            <v>Bỏ chọn</v>
          </cell>
          <cell r="G700"/>
          <cell r="H700"/>
        </row>
        <row r="701">
          <cell r="A701" t="str">
            <v>V51.901.018</v>
          </cell>
          <cell r="B701" t="str">
            <v>SEASONING AJINOMOTO 454GR</v>
          </cell>
          <cell r="C701" t="str">
            <v>BỘT NGỌT AJINOMOTO 454GR</v>
          </cell>
          <cell r="D701" t="str">
            <v>SEASONING AJINOMOTO 454GR</v>
          </cell>
          <cell r="E701">
            <v>0.45</v>
          </cell>
          <cell r="F701" t="str">
            <v>Bỏ chọn</v>
          </cell>
          <cell r="G701"/>
          <cell r="H701"/>
        </row>
        <row r="702">
          <cell r="A702" t="str">
            <v>V58.006.004</v>
          </cell>
          <cell r="B702" t="str">
            <v>PREFORM 15.5G, 0.4L - PHÔI NHỰA CHO CHAI</v>
          </cell>
          <cell r="C702" t="str">
            <v>PHÔI 15.5G</v>
          </cell>
          <cell r="D702" t="str">
            <v>PREFORM 15.5G, 0.4L - PHÔI NHỰA CHO CHAI</v>
          </cell>
          <cell r="E702">
            <v>0</v>
          </cell>
          <cell r="F702" t="str">
            <v>Bỏ chọn</v>
          </cell>
          <cell r="G702"/>
          <cell r="H702"/>
        </row>
        <row r="703">
          <cell r="A703" t="str">
            <v>V58.011.011</v>
          </cell>
          <cell r="B703" t="str">
            <v>JERRYCAN 25KG WITH CAP</v>
          </cell>
          <cell r="C703" t="str">
            <v>JERRYCAN 25KG WITH CAP</v>
          </cell>
          <cell r="D703" t="str">
            <v>JERRYCAN 25KG WITH CAP</v>
          </cell>
          <cell r="E703">
            <v>0</v>
          </cell>
          <cell r="F703" t="str">
            <v>Bỏ chọn</v>
          </cell>
          <cell r="G703"/>
          <cell r="H703"/>
        </row>
        <row r="704">
          <cell r="A704" t="str">
            <v>V58.011.016</v>
          </cell>
          <cell r="B704" t="str">
            <v>JERRYCAN 20L WHITE (1.2KG)</v>
          </cell>
          <cell r="C704" t="str">
            <v>JERRYCAN 20L WHITE (1.2KG)</v>
          </cell>
          <cell r="D704" t="str">
            <v>JERRYCAN 20L WHITE (1.2KG)</v>
          </cell>
          <cell r="E704">
            <v>0</v>
          </cell>
          <cell r="F704" t="str">
            <v>Bỏ chọn</v>
          </cell>
          <cell r="G704"/>
          <cell r="H704"/>
        </row>
        <row r="705">
          <cell r="A705" t="str">
            <v>V58.029.002</v>
          </cell>
          <cell r="B705" t="str">
            <v>PET PREFORM 55G, 1L-SD-PROD</v>
          </cell>
          <cell r="C705" t="str">
            <v>PHÔI 55G</v>
          </cell>
          <cell r="D705" t="str">
            <v>PET PREFORM 55G, 1L-SD-PROD</v>
          </cell>
          <cell r="E705">
            <v>0</v>
          </cell>
          <cell r="F705" t="str">
            <v>Bỏ chọn</v>
          </cell>
          <cell r="G705"/>
          <cell r="H705"/>
        </row>
        <row r="706">
          <cell r="A706" t="str">
            <v>V58.031.002</v>
          </cell>
          <cell r="B706" t="str">
            <v>SMALL DRUM CAP SEAL</v>
          </cell>
          <cell r="C706" t="str">
            <v>NẮP PHUY LOẠI NHỎ</v>
          </cell>
          <cell r="D706" t="str">
            <v>SMALL DRUM CAP SEAL</v>
          </cell>
          <cell r="E706">
            <v>0</v>
          </cell>
          <cell r="F706" t="str">
            <v>Bỏ chọn</v>
          </cell>
          <cell r="G706"/>
          <cell r="H706"/>
        </row>
        <row r="707">
          <cell r="A707" t="str">
            <v>V58.031.004</v>
          </cell>
          <cell r="B707" t="str">
            <v>BIG DRUM CAP SEAL , WITHOUT CALOFIC LOGO</v>
          </cell>
          <cell r="C707" t="str">
            <v>BIG DRUM CAP SEAL , WITHOUT CALOFIC LOGO</v>
          </cell>
          <cell r="D707" t="str">
            <v>BIG DRUM CAP SEAL , WITHOUT CALOFIC LOGO</v>
          </cell>
          <cell r="E707">
            <v>0</v>
          </cell>
          <cell r="F707" t="str">
            <v>Bỏ chọn</v>
          </cell>
          <cell r="G707"/>
          <cell r="H707"/>
        </row>
        <row r="708">
          <cell r="A708" t="str">
            <v>6.1212075</v>
          </cell>
          <cell r="B708" t="str">
            <v>REFINED PALM OLEIN IV 56  CP 5  LC 2.5R</v>
          </cell>
          <cell r="C708" t="str">
            <v>DẦU OLEIN CỌ TINH LUYỆN TRONG XE BỒN</v>
          </cell>
          <cell r="D708" t="str">
            <v>REFINED PALM OLEIN IV 56  CP 5  LC 2.5R</v>
          </cell>
          <cell r="E708">
            <v>1</v>
          </cell>
          <cell r="F708" t="str">
            <v>Chọn</v>
          </cell>
          <cell r="G708"/>
          <cell r="H708"/>
        </row>
        <row r="709">
          <cell r="A709" t="str">
            <v>6.1311A49</v>
          </cell>
          <cell r="B709" t="str">
            <v>RBD PALM OLEIN (IV58+IV56)</v>
          </cell>
          <cell r="C709" t="str">
            <v>DẦU OLEIN CỌ TINH LUYỆN TRONG XE BỒN</v>
          </cell>
          <cell r="D709" t="str">
            <v>RBD PALM OLEIN (IV58+IV56)</v>
          </cell>
          <cell r="E709">
            <v>1</v>
          </cell>
          <cell r="F709" t="str">
            <v>Chọn</v>
          </cell>
          <cell r="G709"/>
          <cell r="H709"/>
        </row>
        <row r="710">
          <cell r="A710" t="str">
            <v>6.1312087</v>
          </cell>
          <cell r="B710" t="str">
            <v>RBD VEGETABLE OIL</v>
          </cell>
          <cell r="C710" t="str">
            <v>DẦU THỰC VẬT TINH LUYỆN TRONG XE BỒN</v>
          </cell>
          <cell r="D710" t="str">
            <v>RBD VEGETABLE OIL</v>
          </cell>
          <cell r="E710">
            <v>1</v>
          </cell>
          <cell r="F710" t="str">
            <v>Chọn</v>
          </cell>
          <cell r="G710"/>
          <cell r="H710"/>
        </row>
        <row r="711">
          <cell r="A711" t="str">
            <v>6.4550122</v>
          </cell>
          <cell r="B711" t="str">
            <v>CRUDE AROMATIC SESAME OIL</v>
          </cell>
          <cell r="C711" t="str">
            <v>DẦU MÈ THƠM TRONG PHUY 190KG</v>
          </cell>
          <cell r="D711" t="str">
            <v>CRUDE AROMATIC SESAME OIL</v>
          </cell>
          <cell r="E711">
            <v>1</v>
          </cell>
          <cell r="F711" t="str">
            <v>Chọn</v>
          </cell>
          <cell r="G711"/>
          <cell r="H711"/>
        </row>
        <row r="712">
          <cell r="A712" t="str">
            <v>6.4572000</v>
          </cell>
          <cell r="B712" t="str">
            <v>RBD CANOLA OIL</v>
          </cell>
          <cell r="C712" t="str">
            <v>DẦU HẠT CẢI TINH LUYỆN</v>
          </cell>
          <cell r="D712" t="str">
            <v>RBD CANOLA OIL</v>
          </cell>
          <cell r="E712">
            <v>1</v>
          </cell>
          <cell r="F712" t="str">
            <v>Chọn</v>
          </cell>
          <cell r="G712"/>
          <cell r="H712"/>
        </row>
        <row r="713">
          <cell r="A713" t="str">
            <v>6.4601800</v>
          </cell>
          <cell r="B713" t="str">
            <v>NEUTRALISED BLEACHED DEW RICE BRAN OIL</v>
          </cell>
          <cell r="C713" t="str">
            <v>NEUTRALISED BLEACHED DEW RICE BRAN OIL</v>
          </cell>
          <cell r="D713" t="str">
            <v>NEUTRALISED BLEACHED DEW RICE BRAN OIL</v>
          </cell>
          <cell r="E713">
            <v>1</v>
          </cell>
          <cell r="F713" t="str">
            <v>Bỏ chọn</v>
          </cell>
          <cell r="G713"/>
          <cell r="H713"/>
        </row>
        <row r="714">
          <cell r="A714" t="str">
            <v>7.10108957090101</v>
          </cell>
          <cell r="B714" t="str">
            <v>SATELLITE-OL1005 BIB @18KG</v>
          </cell>
          <cell r="C714" t="str">
            <v>DẦU OLEIN TINH LUYỆN HIỆU SATELLITE TRONG TÚI BÓNG 18KG</v>
          </cell>
          <cell r="D714" t="str">
            <v>SATELLITE-OL1005 BIB @18KG</v>
          </cell>
          <cell r="E714">
            <v>18</v>
          </cell>
          <cell r="F714" t="str">
            <v>Chọn</v>
          </cell>
          <cell r="G714"/>
          <cell r="H714"/>
        </row>
        <row r="715">
          <cell r="A715" t="str">
            <v>7.1011355900020</v>
          </cell>
          <cell r="B715" t="str">
            <v>ARO ROL CP8 IN JRG@25KG</v>
          </cell>
          <cell r="C715" t="str">
            <v>DẦU OLEIN TINH LUYỆN HIỆU ARO TRONG CAN 25KG</v>
          </cell>
          <cell r="D715" t="str">
            <v>ARO ROL CP8 IN JRG@25KG</v>
          </cell>
          <cell r="E715">
            <v>25</v>
          </cell>
          <cell r="F715" t="str">
            <v>Bỏ chọn</v>
          </cell>
          <cell r="G715"/>
          <cell r="H715"/>
        </row>
        <row r="716">
          <cell r="A716" t="str">
            <v>7.101159C61703030</v>
          </cell>
          <cell r="B716" t="str">
            <v>CO-ORCHID 4.4LX4BTL</v>
          </cell>
          <cell r="C716" t="str">
            <v>DẦU THỰC VẬT TINH LUYỆN NHÃN HIỆU ORCHID 4.4L</v>
          </cell>
          <cell r="D716" t="str">
            <v>CO-ORCHID 4.4LX4BTL</v>
          </cell>
          <cell r="E716">
            <v>16.02</v>
          </cell>
          <cell r="F716" t="str">
            <v>Bỏ chọn</v>
          </cell>
          <cell r="G716"/>
          <cell r="H716"/>
        </row>
        <row r="717">
          <cell r="A717" t="str">
            <v>7.101159D11705030</v>
          </cell>
          <cell r="B717" t="str">
            <v>CO-ORCHID 0.88L X 12 BTL</v>
          </cell>
          <cell r="C717" t="str">
            <v>DẦU THỰC VẬT TINH LUYỆN NHÃN HIỆU ORCHID 880 ML</v>
          </cell>
          <cell r="D717" t="str">
            <v>CO-ORCHID 0.88L X 12 BTL</v>
          </cell>
          <cell r="E717">
            <v>9.61</v>
          </cell>
          <cell r="F717" t="str">
            <v>Chọn</v>
          </cell>
          <cell r="G717"/>
          <cell r="H717" t="str">
            <v>7.131036D11701E40</v>
          </cell>
        </row>
        <row r="718">
          <cell r="A718" t="str">
            <v>7.103084701400010</v>
          </cell>
          <cell r="B718" t="str">
            <v>MEIZAN RCNO IN DRUM @190KG</v>
          </cell>
          <cell r="C718" t="str">
            <v>DẦU DỪA TINH LUYỆN HIỆU MEIZAN TRONG PHUY 190KG</v>
          </cell>
          <cell r="D718" t="str">
            <v>MEIZAN RCNO IN DRUM @190KG</v>
          </cell>
          <cell r="E718">
            <v>190</v>
          </cell>
          <cell r="F718" t="str">
            <v>Chọn</v>
          </cell>
          <cell r="G718"/>
          <cell r="H718"/>
        </row>
        <row r="719">
          <cell r="A719" t="str">
            <v>7.1060120106608010</v>
          </cell>
          <cell r="B719" t="str">
            <v>MEIZAN WILSHORT PLIN3438 IN PEBAG@15KG</v>
          </cell>
          <cell r="C719" t="str">
            <v>WILSHORT PLIN 3438 NHÃN HIỆU MEIZAN TRONG THÙNG CARTON 15KG</v>
          </cell>
          <cell r="D719" t="str">
            <v>MEIZAN WILSHORT PLIN3438 IN PEBAG@15KG</v>
          </cell>
          <cell r="E719">
            <v>15</v>
          </cell>
          <cell r="F719" t="str">
            <v>Bỏ chọn</v>
          </cell>
          <cell r="G719"/>
          <cell r="H719"/>
        </row>
        <row r="720">
          <cell r="A720" t="str">
            <v>7.1060140113008010</v>
          </cell>
          <cell r="B720" t="str">
            <v>SATELLITE BOS MP 40 MAX IN PEBAG@15KG</v>
          </cell>
          <cell r="C720" t="str">
            <v>DẦU BƠ THAY THẾ HIỆU SATELLITE TRONG THÙNG 15 KG ( NHÃN XANH)</v>
          </cell>
          <cell r="D720" t="str">
            <v>SATELLITE BOS MP 40 MAX IN PEBAG@15KG</v>
          </cell>
          <cell r="E720">
            <v>15</v>
          </cell>
          <cell r="F720" t="str">
            <v>Bỏ chọn</v>
          </cell>
          <cell r="G720"/>
          <cell r="H720"/>
        </row>
        <row r="721">
          <cell r="A721" t="str">
            <v>7.1070120192108010</v>
          </cell>
          <cell r="B721" t="str">
            <v>MEIZAN BOS MP34-38 IV48-52 PEBAG@15KG</v>
          </cell>
          <cell r="C721" t="str">
            <v>DẦU BƠ THAY THẾ NHÃN HIỆU MEIZAN (NHÃN MÀU VÀNG CAM)</v>
          </cell>
          <cell r="D721" t="str">
            <v>MEIZAN BOS MP34-38 IV48-52 PEBAG@15KG</v>
          </cell>
          <cell r="E721">
            <v>15</v>
          </cell>
          <cell r="F721" t="str">
            <v>Chọn</v>
          </cell>
          <cell r="G721"/>
          <cell r="H721"/>
        </row>
        <row r="722">
          <cell r="A722" t="str">
            <v>7.1070120192708010</v>
          </cell>
          <cell r="B722" t="str">
            <v>MEIZAN BOS SAMPLE IN CARTON @15KG</v>
          </cell>
          <cell r="C722" t="str">
            <v>MEIZAN BOS SAMPLE IN CARTON @15KG</v>
          </cell>
          <cell r="D722" t="str">
            <v>MEIZAN BOS SAMPLE IN CARTON @15KG</v>
          </cell>
          <cell r="E722">
            <v>15</v>
          </cell>
          <cell r="F722" t="str">
            <v>Bỏ chọn</v>
          </cell>
          <cell r="G722"/>
          <cell r="H722"/>
        </row>
        <row r="723">
          <cell r="A723" t="str">
            <v>7.1070120803633000</v>
          </cell>
          <cell r="B723" t="str">
            <v>MEIZAN MGR VN SAMPLE PLASTIC PAIL@18KG</v>
          </cell>
          <cell r="C723" t="str">
            <v>BƠ LOẠI 18KG</v>
          </cell>
          <cell r="D723" t="str">
            <v>MEIZAN MGR VN SAMPLE PLASTIC PAIL@18KG</v>
          </cell>
          <cell r="E723">
            <v>18</v>
          </cell>
          <cell r="F723" t="str">
            <v>Chọn</v>
          </cell>
          <cell r="G723"/>
          <cell r="H723"/>
        </row>
        <row r="724">
          <cell r="A724" t="str">
            <v>7.1100120600814000</v>
          </cell>
          <cell r="B724" t="str">
            <v>MEIZAN WILKOTE380 IN DRUM@190KG</v>
          </cell>
          <cell r="C724" t="str">
            <v>DẦU NHÂN CỌ ĐÃ ĐƯỢC TINH LUYỆN VÀ HYDRO HÓA HIỆU MEIZAN WILKOTE 380</v>
          </cell>
          <cell r="D724" t="str">
            <v>MEIZAN WILKOTE380 IN DRUM@190KG</v>
          </cell>
          <cell r="E724">
            <v>190</v>
          </cell>
          <cell r="F724" t="str">
            <v>Bỏ chọn</v>
          </cell>
          <cell r="G724"/>
          <cell r="H724"/>
        </row>
        <row r="725">
          <cell r="A725" t="str">
            <v>7.1140120200208010</v>
          </cell>
          <cell r="B725" t="str">
            <v>MEIZAN CBR WILLARINE 880LT IN PEBAG@20KG</v>
          </cell>
          <cell r="C725" t="str">
            <v>WILLARINE 880LT NHÃN HIỆU MEIZAN 20KG</v>
          </cell>
          <cell r="D725" t="str">
            <v>MEIZAN CBR WILLARINE 880LT IN PEBAG@20KG</v>
          </cell>
          <cell r="E725">
            <v>20</v>
          </cell>
          <cell r="F725" t="str">
            <v>Bỏ chọn</v>
          </cell>
          <cell r="G725"/>
          <cell r="H725"/>
        </row>
        <row r="726">
          <cell r="A726" t="str">
            <v>7.131006111702850</v>
          </cell>
          <cell r="B726" t="str">
            <v>CO-MEIZAN S 10L X 2BTL</v>
          </cell>
          <cell r="C726" t="str">
            <v>DẦU ĂN HIỆU MEIZAN 10L</v>
          </cell>
          <cell r="D726" t="str">
            <v>CO-MEIZAN S 10L X 2BTL</v>
          </cell>
          <cell r="E726">
            <v>18.2</v>
          </cell>
          <cell r="F726" t="str">
            <v>Bỏ chọn</v>
          </cell>
          <cell r="G726"/>
          <cell r="H726"/>
        </row>
        <row r="727">
          <cell r="A727" t="str">
            <v>7.131007111702910</v>
          </cell>
          <cell r="B727" t="str">
            <v>CO-MEIZAN A 10L X 2BTL</v>
          </cell>
          <cell r="C727" t="str">
            <v>DẦU ĂN HIỆU MEIZAN 10L</v>
          </cell>
          <cell r="D727" t="str">
            <v>CO-MEIZAN A 10L X 2BTL</v>
          </cell>
          <cell r="E727">
            <v>18.2</v>
          </cell>
          <cell r="F727" t="str">
            <v>Bỏ chọn</v>
          </cell>
          <cell r="G727"/>
          <cell r="H727"/>
        </row>
        <row r="728">
          <cell r="A728" t="str">
            <v>7.13100903010511</v>
          </cell>
          <cell r="B728" t="str">
            <v>CO-CAI LAN EXPORT 1L X 12 BTL</v>
          </cell>
          <cell r="C728" t="str">
            <v>DẦU ĂN HIỆU CÁI LÂN 1L</v>
          </cell>
          <cell r="D728" t="str">
            <v>CO-CAI LAN EXPORT 1L X 12 BTL</v>
          </cell>
          <cell r="E728">
            <v>10.92</v>
          </cell>
          <cell r="F728" t="str">
            <v>Bỏ chọn</v>
          </cell>
          <cell r="G728"/>
          <cell r="H728"/>
        </row>
        <row r="729">
          <cell r="A729" t="str">
            <v>7.13100904010411</v>
          </cell>
          <cell r="B729" t="str">
            <v>CO-CAI LAN EXPORT 2L X 6 BTL</v>
          </cell>
          <cell r="C729" t="str">
            <v>DẦU ĂN HIỆU CÁI LÂN 2L</v>
          </cell>
          <cell r="D729" t="str">
            <v>CO-CAI LAN EXPORT 2L X 6 BTL</v>
          </cell>
          <cell r="E729">
            <v>10.92</v>
          </cell>
          <cell r="F729" t="str">
            <v>Bỏ chọn</v>
          </cell>
          <cell r="G729"/>
          <cell r="H729"/>
        </row>
        <row r="730">
          <cell r="A730" t="str">
            <v>7.13100906010311</v>
          </cell>
          <cell r="B730" t="str">
            <v>CO-CAI LAN EXPORT 5L X 4 BTL</v>
          </cell>
          <cell r="C730" t="str">
            <v>DẦU ĂN HIỆU CÁI LÂN 5L</v>
          </cell>
          <cell r="D730" t="str">
            <v>CO-CAI LAN EXPORT 5L X 4 BTL</v>
          </cell>
          <cell r="E730">
            <v>18.2</v>
          </cell>
          <cell r="F730" t="str">
            <v>Bỏ chọn</v>
          </cell>
          <cell r="G730"/>
          <cell r="H730"/>
        </row>
        <row r="731">
          <cell r="A731" t="str">
            <v>7.13100959120011</v>
          </cell>
          <cell r="B731" t="str">
            <v>CO-CAILAN OLEIN JC @25KG</v>
          </cell>
          <cell r="C731" t="str">
            <v>DẦU THỰC VẬT TINH LUYỆN NHÃN HIỆU CÁI LÂN TRONG CAN NHỰA 25KG</v>
          </cell>
          <cell r="D731" t="str">
            <v>CO-CAILAN OLEIN JC @25KG</v>
          </cell>
          <cell r="E731">
            <v>25</v>
          </cell>
          <cell r="F731" t="str">
            <v>Chọn</v>
          </cell>
          <cell r="G731"/>
          <cell r="H731"/>
        </row>
        <row r="732">
          <cell r="A732" t="str">
            <v>7.13101059120018</v>
          </cell>
          <cell r="B732" t="str">
            <v>CO-CAILAN OLEIN S JC @25KG</v>
          </cell>
          <cell r="C732" t="str">
            <v>DẦU THỰC VẬT TINH LUYỆN NHÃN HIỆU CÁI LÂN TRONG CAN NHỰA 25KG</v>
          </cell>
          <cell r="D732" t="str">
            <v>CO-CAILAN OLEIN S JC @25KG</v>
          </cell>
          <cell r="E732">
            <v>25</v>
          </cell>
          <cell r="F732" t="str">
            <v>Chọn</v>
          </cell>
          <cell r="G732"/>
          <cell r="H732"/>
        </row>
        <row r="733">
          <cell r="A733" t="str">
            <v>7.13105103010502</v>
          </cell>
          <cell r="B733" t="str">
            <v>CO-COOP 1L X 12 BTL</v>
          </cell>
          <cell r="C733" t="str">
            <v>DẦU THỰC VẬT HIỆU COOP 1L</v>
          </cell>
          <cell r="D733" t="str">
            <v>CO-COOP 1L X 12 BTL</v>
          </cell>
          <cell r="E733">
            <v>10.944000000000001</v>
          </cell>
          <cell r="F733" t="str">
            <v>Bỏ chọn</v>
          </cell>
          <cell r="G733"/>
          <cell r="H733"/>
        </row>
        <row r="734">
          <cell r="A734" t="str">
            <v>7.13105104010402</v>
          </cell>
          <cell r="B734" t="str">
            <v>CO-COOP 2L X 6 BTL</v>
          </cell>
          <cell r="C734" t="str">
            <v>DẦU THỰC VẬT HIỆU COOP 2L</v>
          </cell>
          <cell r="D734" t="str">
            <v>CO-COOP 2L X 6 BTL</v>
          </cell>
          <cell r="E734">
            <v>10.944000000000001</v>
          </cell>
          <cell r="F734" t="str">
            <v>Bỏ chọn</v>
          </cell>
          <cell r="G734"/>
          <cell r="H734"/>
        </row>
        <row r="735">
          <cell r="A735" t="str">
            <v>7.13105106010302</v>
          </cell>
          <cell r="B735" t="str">
            <v>CO-COOP 5L X 4 BTL</v>
          </cell>
          <cell r="C735" t="str">
            <v>DẦU THỰC VẬT HIỆU COOP 5L</v>
          </cell>
          <cell r="D735" t="str">
            <v>CO-COOP 5L X 4 BTL</v>
          </cell>
          <cell r="E735">
            <v>18.239999999999998</v>
          </cell>
          <cell r="F735" t="str">
            <v>Bỏ chọn</v>
          </cell>
          <cell r="G735"/>
          <cell r="H735"/>
        </row>
        <row r="736">
          <cell r="A736" t="str">
            <v>7.131056011720750</v>
          </cell>
          <cell r="B736" t="str">
            <v>CO-MEIZAN G3 0.25L X 30 BTL</v>
          </cell>
          <cell r="C736" t="str">
            <v>DẦU ĂN HIỆU MEIZAN 0,25L</v>
          </cell>
          <cell r="D736" t="str">
            <v>CO-MEIZAN G3 0.25L X 30 BTL</v>
          </cell>
          <cell r="E736">
            <v>6.8250000000000002</v>
          </cell>
          <cell r="F736" t="str">
            <v>Bỏ chọn</v>
          </cell>
          <cell r="G736"/>
          <cell r="H736"/>
        </row>
        <row r="737">
          <cell r="A737" t="str">
            <v>7.131056031705750</v>
          </cell>
          <cell r="B737" t="str">
            <v>CO-MEIZAN G3 1LX12BTL</v>
          </cell>
          <cell r="C737" t="str">
            <v>DẦU ĂN HIỆU MEIZAN 1L</v>
          </cell>
          <cell r="D737" t="str">
            <v>CO-MEIZAN G3 1LX12BTL</v>
          </cell>
          <cell r="E737">
            <v>10.92</v>
          </cell>
          <cell r="F737" t="str">
            <v>Bỏ chọn</v>
          </cell>
          <cell r="G737"/>
          <cell r="H737"/>
        </row>
        <row r="738">
          <cell r="A738" t="str">
            <v>7.131056041704750</v>
          </cell>
          <cell r="B738" t="str">
            <v>CO-MEIZAN G3 2L X 6 BTL</v>
          </cell>
          <cell r="C738" t="str">
            <v>DẦU ĂN HIỆU MEIZAN 2L</v>
          </cell>
          <cell r="D738" t="str">
            <v>CO-MEIZAN G3 2L X 6 BTL</v>
          </cell>
          <cell r="E738">
            <v>10.92</v>
          </cell>
          <cell r="F738" t="str">
            <v>Bỏ chọn</v>
          </cell>
          <cell r="G738"/>
          <cell r="H738"/>
        </row>
        <row r="739">
          <cell r="A739" t="str">
            <v>7.131056061703750</v>
          </cell>
          <cell r="B739" t="str">
            <v>CO-MEIZAN G3 5L X 4 BTL</v>
          </cell>
          <cell r="C739" t="str">
            <v>DẦU ĂN HIỆU MEIZAN 5L</v>
          </cell>
          <cell r="D739" t="str">
            <v>CO-MEIZAN G3 5L X 4 BTL</v>
          </cell>
          <cell r="E739">
            <v>18.2</v>
          </cell>
          <cell r="F739" t="str">
            <v>Bỏ chọn</v>
          </cell>
          <cell r="G739"/>
          <cell r="H739"/>
        </row>
        <row r="740">
          <cell r="A740" t="str">
            <v>7.131056121700750</v>
          </cell>
          <cell r="B740" t="str">
            <v>CO-MEIZAN G3  BTL @ 0.4L</v>
          </cell>
          <cell r="C740" t="str">
            <v>DẦU ĂN HIỆU MEIZAN 0,4L</v>
          </cell>
          <cell r="D740" t="str">
            <v>CO-MEIZAN G3  BTL @ 0.4L</v>
          </cell>
          <cell r="E740">
            <v>0.36399999999999999</v>
          </cell>
          <cell r="F740" t="str">
            <v>Bỏ chọn</v>
          </cell>
          <cell r="G740"/>
          <cell r="H740"/>
        </row>
        <row r="741">
          <cell r="A741" t="str">
            <v>7.131057011700630</v>
          </cell>
          <cell r="B741" t="str">
            <v>CO-MEIZAN G3  A BTL@0.25L</v>
          </cell>
          <cell r="C741" t="str">
            <v>DẦU ĂN HIỆU MEIZAN 0.25L</v>
          </cell>
          <cell r="D741" t="str">
            <v>CO-MEIZAN G3  A BTL@0.25L</v>
          </cell>
          <cell r="E741">
            <v>0.22700000000000001</v>
          </cell>
          <cell r="F741" t="str">
            <v>Bỏ chọn</v>
          </cell>
          <cell r="G741"/>
          <cell r="H741"/>
        </row>
        <row r="742">
          <cell r="A742" t="str">
            <v>7.131057031700630</v>
          </cell>
          <cell r="B742" t="str">
            <v>CO-MEIZAN G3 A  BTL@1L</v>
          </cell>
          <cell r="C742" t="str">
            <v>DẦU ĂN HIỆU MEIZAN 1L</v>
          </cell>
          <cell r="D742" t="str">
            <v>CO-MEIZAN G3 A  BTL@1L</v>
          </cell>
          <cell r="E742">
            <v>0.91</v>
          </cell>
          <cell r="F742" t="str">
            <v>Bỏ chọn</v>
          </cell>
          <cell r="G742"/>
          <cell r="H742"/>
        </row>
        <row r="743">
          <cell r="A743" t="str">
            <v>7.131057031705630</v>
          </cell>
          <cell r="B743" t="str">
            <v>CO-MEIZAN G3 A 1LX12BTL</v>
          </cell>
          <cell r="C743" t="str">
            <v>DẦU ĂN HIỆU MEIZAN 1L</v>
          </cell>
          <cell r="D743" t="str">
            <v>CO-MEIZAN G3 A 1LX12BTL</v>
          </cell>
          <cell r="E743">
            <v>10.92</v>
          </cell>
          <cell r="F743" t="str">
            <v>Bỏ chọn</v>
          </cell>
          <cell r="G743"/>
          <cell r="H743"/>
        </row>
        <row r="744">
          <cell r="A744" t="str">
            <v>7.131057041704630</v>
          </cell>
          <cell r="B744" t="str">
            <v>CO-MEIZAN G3 A 2L X 6 BTL</v>
          </cell>
          <cell r="C744" t="str">
            <v>DẦU ĂN HIỆU MEIZAN 2L</v>
          </cell>
          <cell r="D744" t="str">
            <v>CO-MEIZAN G3 A 2L X 6 BTL</v>
          </cell>
          <cell r="E744">
            <v>10.92</v>
          </cell>
          <cell r="F744" t="str">
            <v>Bỏ chọn</v>
          </cell>
          <cell r="G744"/>
          <cell r="H744"/>
        </row>
        <row r="745">
          <cell r="A745" t="str">
            <v>7.131057061703630</v>
          </cell>
          <cell r="B745" t="str">
            <v>CO-MEIZAN G3 A 5L X 4 BTL</v>
          </cell>
          <cell r="C745" t="str">
            <v>DẦU ĂN HIỆU MEIZAN 5L</v>
          </cell>
          <cell r="D745" t="str">
            <v>CO-MEIZAN G3 A 5L X 4 BTL</v>
          </cell>
          <cell r="E745">
            <v>18.2</v>
          </cell>
          <cell r="F745" t="str">
            <v>Bỏ chọn</v>
          </cell>
          <cell r="G745"/>
          <cell r="H745"/>
        </row>
        <row r="746">
          <cell r="A746" t="str">
            <v>7.131057121700630</v>
          </cell>
          <cell r="B746" t="str">
            <v>CO-MEIZAN G3  A BTL @ 0.4L</v>
          </cell>
          <cell r="C746" t="str">
            <v>DẦU ĂN HIỆU MEIZAN 0,4L</v>
          </cell>
          <cell r="D746" t="str">
            <v>CO-MEIZAN G3  A BTL @ 0.4L</v>
          </cell>
          <cell r="E746">
            <v>0.36399999999999999</v>
          </cell>
          <cell r="F746" t="str">
            <v>Bỏ chọn</v>
          </cell>
          <cell r="G746"/>
          <cell r="H746"/>
        </row>
        <row r="747">
          <cell r="A747" t="str">
            <v>7.131057121712630</v>
          </cell>
          <cell r="B747" t="str">
            <v>CO-MEIZAN G3 A 0.4L X 20 BTL</v>
          </cell>
          <cell r="C747" t="str">
            <v>DẦU ĂN HIỆU MEIZAN 0,4L</v>
          </cell>
          <cell r="D747" t="str">
            <v>CO-MEIZAN G3 A 0.4L X 20 BTL</v>
          </cell>
          <cell r="E747">
            <v>7.28</v>
          </cell>
          <cell r="F747" t="str">
            <v>Bỏ chọn</v>
          </cell>
          <cell r="G747"/>
          <cell r="H747"/>
        </row>
        <row r="748">
          <cell r="A748" t="str">
            <v>7.131058031700760</v>
          </cell>
          <cell r="B748" t="str">
            <v>CO-MEIZAN G3 S BTL@1L</v>
          </cell>
          <cell r="C748" t="str">
            <v>DẦU ĂN HIỆU MEIZAN 1L</v>
          </cell>
          <cell r="D748" t="str">
            <v>CO-MEIZAN G3 S BTL@1L</v>
          </cell>
          <cell r="E748">
            <v>0.91</v>
          </cell>
          <cell r="F748" t="str">
            <v>Bỏ chọn</v>
          </cell>
          <cell r="G748"/>
          <cell r="H748"/>
        </row>
        <row r="749">
          <cell r="A749" t="str">
            <v>7.131058041704760</v>
          </cell>
          <cell r="B749" t="str">
            <v>CO-MEIZAN G3 S 2L X 6 BTL</v>
          </cell>
          <cell r="C749" t="str">
            <v>DẦU ĂN HIỆU MEIZAN 2L</v>
          </cell>
          <cell r="D749" t="str">
            <v>CO-MEIZAN G3 S 2L X 6 BTL</v>
          </cell>
          <cell r="E749">
            <v>10.92</v>
          </cell>
          <cell r="F749" t="str">
            <v>Bỏ chọn</v>
          </cell>
          <cell r="G749"/>
          <cell r="H749"/>
        </row>
        <row r="750">
          <cell r="A750" t="str">
            <v>7.131058061703760</v>
          </cell>
          <cell r="B750" t="str">
            <v>CO-MEIZAN G3 S 5L X 4 BTL</v>
          </cell>
          <cell r="C750" t="str">
            <v>DẦU ĂN HIỆU MEIZAN 5L</v>
          </cell>
          <cell r="D750" t="str">
            <v>CO-MEIZAN G3 S 5L X 4 BTL</v>
          </cell>
          <cell r="E750">
            <v>18.2</v>
          </cell>
          <cell r="F750" t="str">
            <v>Bỏ chọn</v>
          </cell>
          <cell r="G750"/>
          <cell r="H750"/>
        </row>
        <row r="751">
          <cell r="A751" t="str">
            <v>7.131058121700760</v>
          </cell>
          <cell r="B751" t="str">
            <v>CO-MEIZAN G3  S BTL @ 0.4L</v>
          </cell>
          <cell r="C751" t="str">
            <v>DẦU ĂN HIỆU MEIZAN 0,4L</v>
          </cell>
          <cell r="D751" t="str">
            <v>CO-MEIZAN G3  S BTL @ 0.4L</v>
          </cell>
          <cell r="E751">
            <v>0.36399999999999999</v>
          </cell>
          <cell r="F751" t="str">
            <v>Bỏ chọn</v>
          </cell>
          <cell r="G751"/>
          <cell r="H751"/>
        </row>
        <row r="752">
          <cell r="A752" t="str">
            <v>7.131058121712760</v>
          </cell>
          <cell r="B752" t="str">
            <v>CO-MEIZAN G3 S 0.4L X 20 BTL</v>
          </cell>
          <cell r="C752" t="str">
            <v>DẦU ĂN HIỆU MEIZAN 0,4L</v>
          </cell>
          <cell r="D752" t="str">
            <v>CO-MEIZAN G3 S 0.4L X 20 BTL</v>
          </cell>
          <cell r="E752">
            <v>7.28</v>
          </cell>
          <cell r="F752" t="str">
            <v>Bỏ chọn</v>
          </cell>
          <cell r="G752"/>
          <cell r="H752"/>
        </row>
        <row r="753">
          <cell r="A753" t="str">
            <v>7.131062031705810</v>
          </cell>
          <cell r="B753" t="str">
            <v>COOP A  1L X 12 BTL</v>
          </cell>
          <cell r="C753" t="str">
            <v>DẦU THỰC VẬT CAO CẤP HIỆU COOP 1L</v>
          </cell>
          <cell r="D753" t="str">
            <v>COOP A  1L X 12 BTL</v>
          </cell>
          <cell r="E753">
            <v>10.92</v>
          </cell>
          <cell r="F753" t="str">
            <v>Bỏ chọn</v>
          </cell>
          <cell r="G753"/>
          <cell r="H753"/>
        </row>
        <row r="754">
          <cell r="A754" t="str">
            <v>7.131062041704810</v>
          </cell>
          <cell r="B754" t="str">
            <v>COOP A  2L X 6 BTL</v>
          </cell>
          <cell r="C754" t="str">
            <v>DẦU THỰC VẬT CAO CẤP HIỆU COOP 2L</v>
          </cell>
          <cell r="D754" t="str">
            <v>COOP A  2L X 6 BTL</v>
          </cell>
          <cell r="E754">
            <v>10.92</v>
          </cell>
          <cell r="F754" t="str">
            <v>Bỏ chọn</v>
          </cell>
          <cell r="G754"/>
          <cell r="H754"/>
        </row>
        <row r="755">
          <cell r="A755" t="str">
            <v>7.131062061703810</v>
          </cell>
          <cell r="B755" t="str">
            <v>COOP A 5L X 4 BTL</v>
          </cell>
          <cell r="C755" t="str">
            <v>DẦU THỰC VẬT CAO CẤP HIỆU COOP 5L</v>
          </cell>
          <cell r="D755" t="str">
            <v>COOP A 5L X 4 BTL</v>
          </cell>
          <cell r="E755">
            <v>18.2</v>
          </cell>
          <cell r="F755" t="str">
            <v>Bỏ chọn</v>
          </cell>
          <cell r="G755"/>
          <cell r="H755"/>
        </row>
        <row r="756">
          <cell r="A756" t="str">
            <v>7.131069035900A00</v>
          </cell>
          <cell r="B756" t="str">
            <v>NEPTUNE GOLD TET BTL@1L</v>
          </cell>
          <cell r="C756" t="str">
            <v>DẦU ĂN THƯỢNG HẠNG HIỆU NEPTUNE GOLD 1L</v>
          </cell>
          <cell r="D756" t="str">
            <v>NEPTUNE GOLD TET BTL@1L</v>
          </cell>
          <cell r="E756">
            <v>0.91</v>
          </cell>
          <cell r="F756" t="str">
            <v>Bỏ chọn</v>
          </cell>
          <cell r="G756"/>
          <cell r="H756"/>
        </row>
        <row r="757">
          <cell r="A757" t="str">
            <v>7.131069036000A00</v>
          </cell>
          <cell r="B757" t="str">
            <v>NEPTUNE GOLD TET GIFT PACK BTL@1L</v>
          </cell>
          <cell r="C757" t="str">
            <v>DẦU ĂN THƯỢNG HẠNG HIỆU NEPTUNE GOLD 1L</v>
          </cell>
          <cell r="D757" t="str">
            <v>NEPTUNE GOLD TET GIFT PACK BTL@1L</v>
          </cell>
          <cell r="E757">
            <v>0.91</v>
          </cell>
          <cell r="F757" t="str">
            <v>Bỏ chọn</v>
          </cell>
          <cell r="G757"/>
          <cell r="H757"/>
        </row>
        <row r="758">
          <cell r="A758" t="str">
            <v>7.131069041700A00</v>
          </cell>
          <cell r="B758" t="str">
            <v>NEPTUNE GOLD  IN BOTTLE@2L</v>
          </cell>
          <cell r="C758" t="str">
            <v>DẦU ĂN THƯỢNG HẠNG HIỆU NEPTUNE GOLD 2L</v>
          </cell>
          <cell r="D758" t="str">
            <v>NEPTUNE GOLD  IN BOTTLE@2L</v>
          </cell>
          <cell r="E758">
            <v>1.82</v>
          </cell>
          <cell r="F758" t="str">
            <v>Bỏ chọn</v>
          </cell>
          <cell r="G758"/>
          <cell r="H758"/>
        </row>
        <row r="759">
          <cell r="A759" t="str">
            <v>7.131069061700A00</v>
          </cell>
          <cell r="B759" t="str">
            <v>NEPTUNE GOLD  IN BOTTLE@5L</v>
          </cell>
          <cell r="C759" t="str">
            <v>DẦU ĂN THƯỢNG HẠNG HIỆU NEPTUNE GOLD 5L</v>
          </cell>
          <cell r="D759" t="str">
            <v>NEPTUNE GOLD  IN BOTTLE@5L</v>
          </cell>
          <cell r="E759">
            <v>4.55</v>
          </cell>
          <cell r="F759" t="str">
            <v>Bỏ chọn</v>
          </cell>
          <cell r="G759"/>
          <cell r="H759"/>
        </row>
        <row r="760">
          <cell r="A760" t="str">
            <v>7.131071031705040</v>
          </cell>
          <cell r="B760" t="str">
            <v>COOK COOP 1L X 12 BTL</v>
          </cell>
          <cell r="C760" t="str">
            <v>DẦU THỰC VẬT TINH LUYỆN COOK COOP 1L</v>
          </cell>
          <cell r="D760" t="str">
            <v>COOK COOP 1L X 12 BTL</v>
          </cell>
          <cell r="E760">
            <v>10.92</v>
          </cell>
          <cell r="F760" t="str">
            <v>Bỏ chọn</v>
          </cell>
          <cell r="G760"/>
          <cell r="H760"/>
        </row>
        <row r="761">
          <cell r="A761" t="str">
            <v>7.131071041704040</v>
          </cell>
          <cell r="B761" t="str">
            <v>COOK COOP 2L X 6 BTL</v>
          </cell>
          <cell r="C761" t="str">
            <v>DẦU THỰC VẬT TINH LUYỆN COOK COOP 2L</v>
          </cell>
          <cell r="D761" t="str">
            <v>COOK COOP 2L X 6 BTL</v>
          </cell>
          <cell r="E761">
            <v>10.92</v>
          </cell>
          <cell r="F761" t="str">
            <v>Bỏ chọn</v>
          </cell>
          <cell r="G761"/>
          <cell r="H761"/>
        </row>
        <row r="762">
          <cell r="A762" t="str">
            <v>7.131071061703040</v>
          </cell>
          <cell r="B762" t="str">
            <v>COOK COOP 5L X 4 BTL</v>
          </cell>
          <cell r="C762" t="str">
            <v>DẦU THỰC VẬT TINH LUYỆN COOK COOP 5L</v>
          </cell>
          <cell r="D762" t="str">
            <v>COOK COOP 5L X 4 BTL</v>
          </cell>
          <cell r="E762">
            <v>18.2</v>
          </cell>
          <cell r="F762" t="str">
            <v>Bỏ chọn</v>
          </cell>
          <cell r="G762"/>
          <cell r="H762"/>
        </row>
        <row r="763">
          <cell r="A763" t="str">
            <v>7.451050031705000</v>
          </cell>
          <cell r="B763" t="str">
            <v>CO-SIMPLY SBO EXPORT 1L X 12 BTL</v>
          </cell>
          <cell r="C763" t="str">
            <v>DẦU ĂN HIỆU SIMPLY 1L</v>
          </cell>
          <cell r="D763" t="str">
            <v>CO-SIMPLY SBO EXPORT 1L X 12 BTL</v>
          </cell>
          <cell r="E763">
            <v>10.92</v>
          </cell>
          <cell r="F763" t="str">
            <v>Bỏ chọn</v>
          </cell>
          <cell r="G763"/>
          <cell r="H763"/>
        </row>
        <row r="764">
          <cell r="A764" t="str">
            <v>7.451050051704009</v>
          </cell>
          <cell r="B764" t="str">
            <v>CO-SIMPLY SBO EXPORT 2L X 6 BTL</v>
          </cell>
          <cell r="C764" t="str">
            <v>DẦU ĂN HIỆU SIMPLY 2L</v>
          </cell>
          <cell r="D764" t="str">
            <v>CO-SIMPLY SBO EXPORT 2L X 6 BTL</v>
          </cell>
          <cell r="E764">
            <v>10.92</v>
          </cell>
          <cell r="F764" t="str">
            <v>Bỏ chọn</v>
          </cell>
          <cell r="G764"/>
          <cell r="H764"/>
        </row>
        <row r="765">
          <cell r="A765" t="str">
            <v>7.451050081703000</v>
          </cell>
          <cell r="B765" t="str">
            <v>CO-SIMPLY SBO EXPORT 5L X 4 BTL</v>
          </cell>
          <cell r="C765" t="str">
            <v>DẦU ĂN HIỆU SIMPLY 5L</v>
          </cell>
          <cell r="D765" t="str">
            <v>CO-SIMPLY SBO EXPORT 5L X 4 BTL</v>
          </cell>
          <cell r="E765">
            <v>18.2</v>
          </cell>
          <cell r="F765" t="str">
            <v>Bỏ chọn</v>
          </cell>
          <cell r="G765"/>
          <cell r="H765"/>
        </row>
        <row r="766">
          <cell r="A766" t="str">
            <v>7.451102031705000</v>
          </cell>
          <cell r="B766" t="str">
            <v>CO-COOP RBD SBO 1L X 12 BTL</v>
          </cell>
          <cell r="C766" t="str">
            <v>DẦU ĐẬU NÀNH HIỆU COOP 1L</v>
          </cell>
          <cell r="D766" t="str">
            <v>CO-COOP RBD SBO 1L X 12 BTL</v>
          </cell>
          <cell r="E766">
            <v>11</v>
          </cell>
          <cell r="F766" t="str">
            <v>Bỏ chọn</v>
          </cell>
          <cell r="G766"/>
          <cell r="H766"/>
        </row>
        <row r="767">
          <cell r="A767" t="str">
            <v>7.451102051704000</v>
          </cell>
          <cell r="B767" t="str">
            <v>CO-COOP RBD SBO 2L X 6 BTL</v>
          </cell>
          <cell r="C767" t="str">
            <v>DẦU ĐẬU NÀNH HIỆU COOP 2L</v>
          </cell>
          <cell r="D767" t="str">
            <v>CO-COOP RBD SBO 2L X 6 BTL</v>
          </cell>
          <cell r="E767">
            <v>11</v>
          </cell>
          <cell r="F767" t="str">
            <v>Bỏ chọn</v>
          </cell>
          <cell r="G767"/>
          <cell r="H767"/>
        </row>
        <row r="768">
          <cell r="A768" t="str">
            <v>7.451102081703000</v>
          </cell>
          <cell r="B768" t="str">
            <v>CO-COOP RBD SBO 5L X 4 BTL</v>
          </cell>
          <cell r="C768" t="str">
            <v>DẦU ĐẬU NÀNH HIỆU COOP 5L</v>
          </cell>
          <cell r="D768" t="str">
            <v>CO-COOP RBD SBO 5L X 4 BTL</v>
          </cell>
          <cell r="E768">
            <v>18.399999999999999</v>
          </cell>
          <cell r="F768" t="str">
            <v>Bỏ chọn</v>
          </cell>
          <cell r="G768"/>
          <cell r="H768"/>
        </row>
        <row r="769">
          <cell r="A769" t="str">
            <v>7.455052261200010</v>
          </cell>
          <cell r="B769" t="str">
            <v>SATELLITE SESAME IN JERRYCAN @25KG</v>
          </cell>
          <cell r="C769" t="str">
            <v>DẦU MÈ HIỆU SATELLITE TRONG CAN NHỰA 25KG</v>
          </cell>
          <cell r="D769" t="str">
            <v>SATELLITE SESAME IN JERRYCAN @25KG</v>
          </cell>
          <cell r="E769">
            <v>25</v>
          </cell>
          <cell r="F769" t="str">
            <v>Chọn</v>
          </cell>
          <cell r="G769"/>
          <cell r="H769"/>
        </row>
        <row r="770">
          <cell r="A770" t="str">
            <v>7.460050021700030</v>
          </cell>
          <cell r="B770" t="str">
            <v>SIMPLY RBDRBO IN BOTTLE@500ML</v>
          </cell>
          <cell r="C770" t="str">
            <v>DẦU GẠO CAO CẤP SIMPLY 0.5L</v>
          </cell>
          <cell r="D770" t="str">
            <v>SIMPLY RBDRBO IN BOTTLE@500ML</v>
          </cell>
          <cell r="E770">
            <v>0.45500000000000002</v>
          </cell>
          <cell r="F770" t="str">
            <v>Bỏ chọn</v>
          </cell>
          <cell r="G770"/>
          <cell r="H770"/>
        </row>
        <row r="771">
          <cell r="A771" t="str">
            <v>7.460050021705030</v>
          </cell>
          <cell r="B771" t="str">
            <v>CO-SIMPLY RBDRBO 500ML X 12BTL</v>
          </cell>
          <cell r="C771" t="str">
            <v>DẦU GẠO CAO CẤP SIMPLY 0.5L</v>
          </cell>
          <cell r="D771" t="str">
            <v>CO-SIMPLY RBDRBO 500ML X 12BTL</v>
          </cell>
          <cell r="E771">
            <v>5.46</v>
          </cell>
          <cell r="F771" t="str">
            <v>Bỏ chọn</v>
          </cell>
          <cell r="G771"/>
          <cell r="H771"/>
        </row>
        <row r="772">
          <cell r="A772" t="str">
            <v>7.460052790901030</v>
          </cell>
          <cell r="B772" t="str">
            <v>SATELLITE RBDRBO IN BIB@18KG</v>
          </cell>
          <cell r="C772" t="str">
            <v>DẦU GẠO LỨT TINH LUYỆN NHÃN HIỆU SATELLITE TRONG TÚI BÓNG 18KG</v>
          </cell>
          <cell r="D772" t="str">
            <v>SATELLITE RBDRBO IN BIB@18KG</v>
          </cell>
          <cell r="E772">
            <v>18</v>
          </cell>
          <cell r="F772" t="str">
            <v>Chọn</v>
          </cell>
          <cell r="G772"/>
          <cell r="H772"/>
        </row>
        <row r="773">
          <cell r="A773" t="str">
            <v>7.475000261200010</v>
          </cell>
          <cell r="B773" t="str">
            <v>RBD OLIVE OIL IN JERRYCAN@25KG</v>
          </cell>
          <cell r="C773" t="str">
            <v>RBD OLIVE OIL IN JERRYCAN@25KG</v>
          </cell>
          <cell r="D773" t="str">
            <v>RBD OLIVE OIL IN JERRYCAN@25KG</v>
          </cell>
          <cell r="E773">
            <v>25</v>
          </cell>
          <cell r="F773" t="str">
            <v>Bỏ chọn</v>
          </cell>
          <cell r="G773"/>
          <cell r="H773"/>
        </row>
        <row r="774">
          <cell r="A774" t="str">
            <v>9V86.05001190067</v>
          </cell>
          <cell r="B774" t="str">
            <v>USED EMPTY DRUM 190KG</v>
          </cell>
          <cell r="C774" t="str">
            <v>USED EMPTY DRUM 190KG</v>
          </cell>
          <cell r="D774" t="str">
            <v>USED EMPTY DRUM 190KG</v>
          </cell>
          <cell r="E774">
            <v>0</v>
          </cell>
          <cell r="F774" t="str">
            <v>Bỏ chọn</v>
          </cell>
          <cell r="G774"/>
          <cell r="H774"/>
        </row>
        <row r="775">
          <cell r="A775" t="str">
            <v>V12.204.001</v>
          </cell>
          <cell r="B775" t="str">
            <v>TBHQ - FOOD GRADE</v>
          </cell>
          <cell r="C775" t="str">
            <v>TBHQ - FOOD GRADE</v>
          </cell>
          <cell r="D775" t="str">
            <v>TBHQ - FOOD GRADE</v>
          </cell>
          <cell r="E775">
            <v>0</v>
          </cell>
          <cell r="F775" t="str">
            <v>Bỏ chọn</v>
          </cell>
          <cell r="G775"/>
          <cell r="H775"/>
        </row>
        <row r="776">
          <cell r="A776" t="str">
            <v>V12.701.023</v>
          </cell>
          <cell r="B776" t="str">
            <v>BUTTER FLAVOR 521242 T 25KG/JAR</v>
          </cell>
          <cell r="C776" t="str">
            <v>BUTTER FLAVOR 521242 T 25KG/JAR</v>
          </cell>
          <cell r="D776" t="str">
            <v>BUTTER FLAVOR 521242 T 25KG/JAR</v>
          </cell>
          <cell r="E776">
            <v>0</v>
          </cell>
          <cell r="F776" t="str">
            <v>Bỏ chọn</v>
          </cell>
          <cell r="G776"/>
          <cell r="H776"/>
        </row>
        <row r="777">
          <cell r="A777" t="str">
            <v>V12.702.004</v>
          </cell>
          <cell r="B777" t="str">
            <v>BUTTER CREAM (WISS AROMA) 20KG/JAR</v>
          </cell>
          <cell r="C777" t="str">
            <v>BUTTER CREAM (WISS AROMA) 20KG/JAR</v>
          </cell>
          <cell r="D777" t="str">
            <v>BUTTER CREAM (WISS AROMA) 20KG/JAR</v>
          </cell>
          <cell r="E777">
            <v>0</v>
          </cell>
          <cell r="F777" t="str">
            <v>Bỏ chọn</v>
          </cell>
          <cell r="G777"/>
          <cell r="H777"/>
        </row>
        <row r="778">
          <cell r="A778" t="str">
            <v>V39.013.074</v>
          </cell>
          <cell r="B778" t="str">
            <v>NEPTUNE RAINCOAT</v>
          </cell>
          <cell r="C778" t="str">
            <v>ÁO MƯA NEPTUNE</v>
          </cell>
          <cell r="D778" t="str">
            <v>NEPTUNE RAINCOAT</v>
          </cell>
          <cell r="E778">
            <v>0</v>
          </cell>
          <cell r="F778" t="str">
            <v>Bỏ chọn</v>
          </cell>
          <cell r="G778"/>
          <cell r="H778"/>
        </row>
        <row r="779">
          <cell r="A779" t="str">
            <v>V39.015.007</v>
          </cell>
          <cell r="B779" t="str">
            <v>GLASSLOCK NEPTUNE</v>
          </cell>
          <cell r="C779" t="str">
            <v>HŨ ĐỰNG GIA VỊ NEPTUNE</v>
          </cell>
          <cell r="D779" t="str">
            <v>GLASSLOCK NEPTUNE</v>
          </cell>
          <cell r="E779">
            <v>0</v>
          </cell>
          <cell r="F779" t="str">
            <v>Bỏ chọn</v>
          </cell>
          <cell r="G779"/>
          <cell r="H779"/>
        </row>
        <row r="780">
          <cell r="A780" t="str">
            <v>V39.015.009</v>
          </cell>
          <cell r="B780" t="str">
            <v>POP JAR (GLASS LID) B02517 (500ML)</v>
          </cell>
          <cell r="C780" t="str">
            <v>LỌ (HŨ) THỦY TINH (GLASS LID) B02517 500ML</v>
          </cell>
          <cell r="D780" t="str">
            <v>POP JAR (GLASS LID) B02517 (500ML)</v>
          </cell>
          <cell r="E780">
            <v>0</v>
          </cell>
          <cell r="F780" t="str">
            <v>Bỏ chọn</v>
          </cell>
          <cell r="G780"/>
          <cell r="H780"/>
        </row>
        <row r="781">
          <cell r="A781" t="str">
            <v>V39.015.012</v>
          </cell>
          <cell r="B781" t="str">
            <v>UNION GLASS UG350</v>
          </cell>
          <cell r="C781" t="str">
            <v>LY THỦY TINH UNION UG350</v>
          </cell>
          <cell r="D781" t="str">
            <v>UNION GLASS UG350</v>
          </cell>
          <cell r="E781">
            <v>0.253</v>
          </cell>
          <cell r="F781" t="str">
            <v>Bỏ chọn</v>
          </cell>
          <cell r="G781"/>
          <cell r="H781"/>
        </row>
        <row r="782">
          <cell r="A782" t="str">
            <v>V39.015.013</v>
          </cell>
          <cell r="B782" t="str">
            <v>NEPTUNE GOLD OCEAN GLASSES SET</v>
          </cell>
          <cell r="C782" t="str">
            <v>BỘ LY OCEAN NEPTUNE GOLD</v>
          </cell>
          <cell r="D782" t="str">
            <v>NEPTUNE GOLD OCEAN GLASSES SET</v>
          </cell>
          <cell r="E782">
            <v>0</v>
          </cell>
          <cell r="F782" t="str">
            <v>Bỏ chọn</v>
          </cell>
          <cell r="G782"/>
          <cell r="H782"/>
        </row>
        <row r="783">
          <cell r="A783" t="str">
            <v>V39.015.014</v>
          </cell>
          <cell r="B783" t="str">
            <v>KIDDY MELAMINE GLASS WITH HANDLE APA03</v>
          </cell>
          <cell r="C783" t="str">
            <v>LY QUAI MELAMINE KIDDY APA03</v>
          </cell>
          <cell r="D783" t="str">
            <v>KIDDY MELAMINE GLASS WITH HANDLE APA03</v>
          </cell>
          <cell r="E783">
            <v>0</v>
          </cell>
          <cell r="F783" t="str">
            <v>Bỏ chọn</v>
          </cell>
          <cell r="G783"/>
          <cell r="H783"/>
        </row>
        <row r="784">
          <cell r="A784" t="str">
            <v>V39.015.105</v>
          </cell>
          <cell r="B784" t="str">
            <v>MEIZAN STAINLESS STEEL INOX SPOON</v>
          </cell>
          <cell r="C784" t="str">
            <v>MUỖNG INOX MEIZAN</v>
          </cell>
          <cell r="D784" t="str">
            <v>MEIZAN STAINLESS STEEL INOX SPOON</v>
          </cell>
          <cell r="E784">
            <v>0</v>
          </cell>
          <cell r="F784" t="str">
            <v>Bỏ chọn</v>
          </cell>
          <cell r="G784"/>
          <cell r="H784"/>
        </row>
        <row r="785">
          <cell r="A785" t="str">
            <v>V39.015.106</v>
          </cell>
          <cell r="B785" t="str">
            <v>INOX SPOON</v>
          </cell>
          <cell r="C785" t="str">
            <v>MUỖNG INOX</v>
          </cell>
          <cell r="D785" t="str">
            <v>INOX SPOON</v>
          </cell>
          <cell r="E785">
            <v>0</v>
          </cell>
          <cell r="F785" t="str">
            <v>Bỏ chọn</v>
          </cell>
          <cell r="G785"/>
          <cell r="H785"/>
        </row>
        <row r="786">
          <cell r="A786" t="str">
            <v>V39.015.107</v>
          </cell>
          <cell r="B786" t="str">
            <v>SET OF KNIFE, FORK, SPOON NEPTUNE</v>
          </cell>
          <cell r="C786" t="str">
            <v>BỘ DAO, NĨA, MUỖNG NEPTUNE</v>
          </cell>
          <cell r="D786" t="str">
            <v>SET OF KNIFE, FORK, SPOON NEPTUNE</v>
          </cell>
          <cell r="E786">
            <v>0</v>
          </cell>
          <cell r="F786" t="str">
            <v>Bỏ chọn</v>
          </cell>
          <cell r="G786"/>
          <cell r="H786"/>
        </row>
        <row r="787">
          <cell r="A787" t="str">
            <v>V39.015.206</v>
          </cell>
          <cell r="B787" t="str">
            <v>BOWL KIDDY APB01</v>
          </cell>
          <cell r="C787" t="str">
            <v>TÔ MELAMINE KIDDY APB01</v>
          </cell>
          <cell r="D787" t="str">
            <v>BOWL KIDDY APB01</v>
          </cell>
          <cell r="E787">
            <v>0</v>
          </cell>
          <cell r="F787" t="str">
            <v>Bỏ chọn</v>
          </cell>
          <cell r="G787"/>
          <cell r="H787"/>
        </row>
        <row r="788">
          <cell r="A788" t="str">
            <v>V39.015.210</v>
          </cell>
          <cell r="B788" t="str">
            <v>NEPTUNE GOLD - MINH LONG SET OF 06 SMALL</v>
          </cell>
          <cell r="C788" t="str">
            <v>BỘ 6 CHÉN MINH LONG - NEPTUNE GOLD</v>
          </cell>
          <cell r="D788" t="str">
            <v>NEPTUNE GOLD - MINH LONG SET OF 06 SMALL</v>
          </cell>
          <cell r="E788">
            <v>0</v>
          </cell>
          <cell r="F788" t="str">
            <v>Bỏ chọn</v>
          </cell>
          <cell r="G788"/>
          <cell r="H788"/>
        </row>
        <row r="789">
          <cell r="A789" t="str">
            <v>V39.015.211</v>
          </cell>
          <cell r="B789" t="str">
            <v>NEPTUNE GOLD - MINH LONG SET OF 01 BOWL</v>
          </cell>
          <cell r="C789" t="str">
            <v>BỘ 01 TÔ VÀ 01 ĐĨA MINH LONG</v>
          </cell>
          <cell r="D789" t="str">
            <v>NEPTUNE GOLD - MINH LONG SET OF 01 BOWL</v>
          </cell>
          <cell r="E789">
            <v>0</v>
          </cell>
          <cell r="F789" t="str">
            <v>Bỏ chọn</v>
          </cell>
          <cell r="G789"/>
          <cell r="H789"/>
        </row>
        <row r="790">
          <cell r="A790" t="str">
            <v>V39.015.212</v>
          </cell>
          <cell r="B790" t="str">
            <v>PORCELAIN BOWL CK – 89 WITH SIMPLY LOGO</v>
          </cell>
          <cell r="C790" t="str">
            <v>CHÉN SỨ CK-89, LOGO SIMPLY</v>
          </cell>
          <cell r="D790" t="str">
            <v>PORCELAIN BOWL CK – 89 WITH SIMPLY LOGO</v>
          </cell>
          <cell r="E790">
            <v>0</v>
          </cell>
          <cell r="F790" t="str">
            <v>Bỏ chọn</v>
          </cell>
          <cell r="G790"/>
          <cell r="H790"/>
        </row>
        <row r="791">
          <cell r="A791" t="str">
            <v>V51.035.003</v>
          </cell>
          <cell r="B791" t="str">
            <v>TOWEL OLIVOILA DIM (40X70)CM</v>
          </cell>
          <cell r="C791" t="str">
            <v>KHĂN TẮM LỚN OLIVOILA 40X70</v>
          </cell>
          <cell r="D791" t="str">
            <v>TOWEL OLIVOILA DIM (40X70)CM</v>
          </cell>
          <cell r="E791">
            <v>0</v>
          </cell>
          <cell r="F791" t="str">
            <v>Bỏ chọn</v>
          </cell>
          <cell r="G791"/>
          <cell r="H791"/>
        </row>
        <row r="792">
          <cell r="A792" t="str">
            <v>V51.042.001</v>
          </cell>
          <cell r="B792" t="str">
            <v>BIEN HOA SUGAR 500GR</v>
          </cell>
          <cell r="C792" t="str">
            <v>ĐƯỜNG BIÊN HÒA 500GR</v>
          </cell>
          <cell r="D792" t="str">
            <v>BIEN HOA SUGAR 500GR</v>
          </cell>
          <cell r="E792">
            <v>0</v>
          </cell>
          <cell r="F792" t="str">
            <v>Bỏ chọn</v>
          </cell>
          <cell r="G792"/>
          <cell r="H792"/>
        </row>
        <row r="793">
          <cell r="A793" t="str">
            <v>V51.043.009</v>
          </cell>
          <cell r="B793" t="str">
            <v>SAI GON 333 BEER</v>
          </cell>
          <cell r="C793" t="str">
            <v>BIA SAIGON 333</v>
          </cell>
          <cell r="D793" t="str">
            <v>SAI GON 333 BEER</v>
          </cell>
          <cell r="E793">
            <v>0</v>
          </cell>
          <cell r="F793" t="str">
            <v>Bỏ chọn</v>
          </cell>
          <cell r="G793"/>
          <cell r="H793"/>
        </row>
        <row r="794">
          <cell r="A794" t="str">
            <v>V51.043.011</v>
          </cell>
          <cell r="B794" t="str">
            <v>BIERE LARUE BEER</v>
          </cell>
          <cell r="C794" t="str">
            <v>BIA BIERE LARUE</v>
          </cell>
          <cell r="D794" t="str">
            <v>BIERE LARUE BEER</v>
          </cell>
          <cell r="E794">
            <v>0</v>
          </cell>
          <cell r="F794" t="str">
            <v>Bỏ chọn</v>
          </cell>
          <cell r="G794"/>
          <cell r="H794"/>
        </row>
        <row r="795">
          <cell r="A795" t="str">
            <v>V51.046.001</v>
          </cell>
          <cell r="B795" t="str">
            <v>AJINOMOTO SEASONING POWDER 454G</v>
          </cell>
          <cell r="C795" t="str">
            <v>BỘT NGỌT AJINOMOTO 454G</v>
          </cell>
          <cell r="D795" t="str">
            <v>AJINOMOTO SEASONING POWDER 454G</v>
          </cell>
          <cell r="E795">
            <v>0</v>
          </cell>
          <cell r="F795" t="str">
            <v>Bỏ chọn</v>
          </cell>
          <cell r="G795"/>
          <cell r="H795"/>
        </row>
        <row r="796">
          <cell r="A796" t="str">
            <v>V51.103.703</v>
          </cell>
          <cell r="B796" t="str">
            <v>MOBI CARD WITH 50.000 VND</v>
          </cell>
          <cell r="C796" t="str">
            <v>THẺ CÀO ĐIỆN THOẠI MOBI MỆNH GIÁ 50.000 ĐỒNG</v>
          </cell>
          <cell r="D796" t="str">
            <v>MOBI CARD WITH 50.000 VND</v>
          </cell>
          <cell r="E796">
            <v>0</v>
          </cell>
          <cell r="F796" t="str">
            <v>Bỏ chọn</v>
          </cell>
          <cell r="G796"/>
          <cell r="H796"/>
        </row>
        <row r="797">
          <cell r="A797" t="str">
            <v>V51.103.704</v>
          </cell>
          <cell r="B797" t="str">
            <v>VIETTEL CARD WITH 50.000 VND</v>
          </cell>
          <cell r="C797" t="str">
            <v>THẺ CÀO ĐIỆN THOẠI VIETTEL MỆNH GIÁ 50.000 ĐỒNG</v>
          </cell>
          <cell r="D797" t="str">
            <v>VIETTEL CARD WITH 50.000 VND</v>
          </cell>
          <cell r="E797">
            <v>0</v>
          </cell>
          <cell r="F797" t="str">
            <v>Bỏ chọn</v>
          </cell>
          <cell r="G797"/>
          <cell r="H797"/>
        </row>
        <row r="798">
          <cell r="A798" t="str">
            <v>V51.043.016</v>
          </cell>
          <cell r="B798" t="str">
            <v>SAI GON LAGER BEER</v>
          </cell>
          <cell r="C798" t="str">
            <v>BIA SAI GON LAGER</v>
          </cell>
          <cell r="D798" t="str">
            <v>SAI GON LAGER BEER</v>
          </cell>
          <cell r="E798">
            <v>0</v>
          </cell>
          <cell r="F798" t="str">
            <v>Bỏ chọn</v>
          </cell>
          <cell r="G798"/>
          <cell r="H798"/>
        </row>
        <row r="799">
          <cell r="A799" t="str">
            <v>7.70509</v>
          </cell>
          <cell r="B799" t="str">
            <v>WILFARIN PA1660 LAMINATED PAPERBAG @25KG</v>
          </cell>
          <cell r="C799" t="str">
            <v>AXIT STEARIC - WILFARIN PA1660; BAO 25KG</v>
          </cell>
          <cell r="D799" t="str">
            <v>WILFARIN PA1660 LAMINATED PAPERBAG @25KG</v>
          </cell>
          <cell r="E799">
            <v>1</v>
          </cell>
          <cell r="F799" t="str">
            <v>Bỏ chọn</v>
          </cell>
          <cell r="G799"/>
          <cell r="H799"/>
        </row>
        <row r="800">
          <cell r="A800" t="str">
            <v>V51.103.730</v>
          </cell>
          <cell r="B800" t="str">
            <v>BALLOON KIDDY</v>
          </cell>
          <cell r="C800" t="str">
            <v>BÓNG BAY KIDDY</v>
          </cell>
          <cell r="D800" t="str">
            <v>BALLOON KIDDY</v>
          </cell>
          <cell r="E800">
            <v>0</v>
          </cell>
          <cell r="F800" t="str">
            <v>Bỏ chọn</v>
          </cell>
          <cell r="G800"/>
          <cell r="H800"/>
        </row>
        <row r="801">
          <cell r="A801" t="str">
            <v>V39.013.073</v>
          </cell>
          <cell r="B801" t="str">
            <v>RAINCOAT KIDDY</v>
          </cell>
          <cell r="C801" t="str">
            <v>ÁO MƯA KIDDY</v>
          </cell>
          <cell r="D801" t="str">
            <v>RAINCOAT KIDDY</v>
          </cell>
          <cell r="E801">
            <v>0</v>
          </cell>
          <cell r="F801" t="str">
            <v>Bỏ chọn</v>
          </cell>
          <cell r="G801"/>
          <cell r="H801"/>
        </row>
        <row r="802">
          <cell r="A802" t="str">
            <v>V39.000.002</v>
          </cell>
          <cell r="B802" t="str">
            <v>T- SHIRT UNIFORM (M)</v>
          </cell>
          <cell r="C802" t="str">
            <v>ÁO THUN NAM ĐỒNG PHỤC NGẮN TAY</v>
          </cell>
          <cell r="D802" t="str">
            <v>T- SHIRT UNIFORM (M)</v>
          </cell>
          <cell r="E802">
            <v>0</v>
          </cell>
          <cell r="F802" t="str">
            <v>Bỏ chọn</v>
          </cell>
          <cell r="G802"/>
          <cell r="H802"/>
        </row>
        <row r="803">
          <cell r="A803" t="str">
            <v>V39.013.046</v>
          </cell>
          <cell r="B803" t="str">
            <v>T-SHIRT SIMPLY (RETAILER)</v>
          </cell>
          <cell r="C803" t="str">
            <v>ÁO THUN SIMPLY (NGƯỜI BÁN LẺ)</v>
          </cell>
          <cell r="D803" t="str">
            <v>T-SHIRT SIMPLY (RETAILER)</v>
          </cell>
          <cell r="E803">
            <v>0</v>
          </cell>
          <cell r="F803" t="str">
            <v>Bỏ chọn</v>
          </cell>
          <cell r="G803"/>
          <cell r="H803"/>
        </row>
        <row r="804">
          <cell r="A804" t="str">
            <v>V39.013.038</v>
          </cell>
          <cell r="B804" t="str">
            <v>T-SHIRT KIDDY</v>
          </cell>
          <cell r="C804" t="str">
            <v>ÁO THUN KIDDY</v>
          </cell>
          <cell r="D804" t="str">
            <v>T-SHIRT KIDDY</v>
          </cell>
          <cell r="E804">
            <v>0</v>
          </cell>
          <cell r="F804" t="str">
            <v>Bỏ chọn</v>
          </cell>
          <cell r="G804"/>
          <cell r="H804"/>
        </row>
        <row r="805">
          <cell r="A805" t="str">
            <v>V39.013.039</v>
          </cell>
          <cell r="B805" t="str">
            <v>T-SHIRT WITH NEPTUNE LOGO - 65%COTTON</v>
          </cell>
          <cell r="C805" t="str">
            <v>ÁO THUN NEPTUNE</v>
          </cell>
          <cell r="D805" t="str">
            <v>T-SHIRT WITH NEPTUNE LOGO - 65%COTTON</v>
          </cell>
          <cell r="E805">
            <v>0</v>
          </cell>
          <cell r="F805" t="str">
            <v>Bỏ chọn</v>
          </cell>
          <cell r="G805"/>
          <cell r="H805"/>
        </row>
        <row r="806">
          <cell r="A806" t="str">
            <v>V39.013.040</v>
          </cell>
          <cell r="B806" t="str">
            <v>T-SHIRT WILMAR (FOR AGENT MEETING)</v>
          </cell>
          <cell r="C806" t="str">
            <v>ÁO THUN WILMAR</v>
          </cell>
          <cell r="D806" t="str">
            <v>T-SHIRT WILMAR (FOR AGENT MEETING)</v>
          </cell>
          <cell r="E806">
            <v>0</v>
          </cell>
          <cell r="F806" t="str">
            <v>Bỏ chọn</v>
          </cell>
          <cell r="G806"/>
          <cell r="H806"/>
        </row>
        <row r="807">
          <cell r="A807" t="str">
            <v>V39.013.072</v>
          </cell>
          <cell r="B807" t="str">
            <v>RAINCOAT MEIZAN - XXXL</v>
          </cell>
          <cell r="C807" t="str">
            <v>ÁO MƯA MEIZAN - XXXL</v>
          </cell>
          <cell r="D807" t="str">
            <v>RAINCOAT MEIZAN - XXXL</v>
          </cell>
          <cell r="E807">
            <v>0</v>
          </cell>
          <cell r="F807" t="str">
            <v>Bỏ chọn</v>
          </cell>
          <cell r="G807"/>
          <cell r="H807"/>
        </row>
        <row r="808">
          <cell r="A808" t="str">
            <v>V39.013.100</v>
          </cell>
          <cell r="B808" t="str">
            <v>SKIRT, MATERIAL: WHITE KAKI,YELLOW KAKI, RED COORDINATE-EMBROIDERED LOGO</v>
          </cell>
          <cell r="C808" t="str">
            <v>ÁO GIẢ VEST ÁO CỔ TIM, CHẤT LIỆU:KAKI, THUN TRẮNG,KAKI THUN VÀNG PHỐI ĐỎ - THÊU LOGO</v>
          </cell>
          <cell r="D808" t="str">
            <v>SKIRT, MATERIAL: WHITE KAKI,YELLOW KAKI, RED COORDINATE-EMBROIDERED LOGO</v>
          </cell>
          <cell r="E808">
            <v>0</v>
          </cell>
          <cell r="F808" t="str">
            <v>Bỏ chọn</v>
          </cell>
          <cell r="G808"/>
          <cell r="H808"/>
        </row>
        <row r="809">
          <cell r="A809" t="str">
            <v>V39.013.200</v>
          </cell>
          <cell r="B809" t="str">
            <v>HAT WILMAR (FOR AGENT MEETING)</v>
          </cell>
          <cell r="C809" t="str">
            <v>NÓN WILMAR</v>
          </cell>
          <cell r="D809" t="str">
            <v>HAT WILMAR (FOR AGENT MEETING)</v>
          </cell>
          <cell r="E809">
            <v>0</v>
          </cell>
          <cell r="F809" t="str">
            <v>Bỏ chọn</v>
          </cell>
          <cell r="G809"/>
          <cell r="H809"/>
        </row>
        <row r="810">
          <cell r="A810" t="str">
            <v>V39.013.300</v>
          </cell>
          <cell r="B810" t="str">
            <v>UNIFORM CORPORATE</v>
          </cell>
          <cell r="C810" t="str">
            <v>ÁO THUN CORPORATE</v>
          </cell>
          <cell r="D810" t="str">
            <v>UNIFORM CORPORATE</v>
          </cell>
          <cell r="E810">
            <v>0</v>
          </cell>
          <cell r="F810" t="str">
            <v>Bỏ chọn</v>
          </cell>
          <cell r="G810"/>
          <cell r="H810"/>
        </row>
        <row r="811">
          <cell r="A811" t="str">
            <v>V39.015.050</v>
          </cell>
          <cell r="B811" t="str">
            <v>COOKING PAN MODEL NSF16 (16CM)</v>
          </cell>
          <cell r="C811" t="str">
            <v>CHẢO CHỐNG DÍNH TRƠN NSF16</v>
          </cell>
          <cell r="D811" t="str">
            <v>COOKING PAN MODEL NSF16 (16CM)</v>
          </cell>
          <cell r="E811">
            <v>0</v>
          </cell>
          <cell r="F811" t="str">
            <v>Bỏ chọn</v>
          </cell>
          <cell r="G811"/>
          <cell r="H811"/>
        </row>
        <row r="812">
          <cell r="A812" t="str">
            <v>V39.015.051</v>
          </cell>
          <cell r="B812" t="str">
            <v>COOKING PAN MODEL ACE-24W (24CM)</v>
          </cell>
          <cell r="C812" t="str">
            <v>CHẢO CHỐNG DÍNH ACE-24W (24CM)</v>
          </cell>
          <cell r="D812" t="str">
            <v>COOKING PAN MODEL ACE-24W (24CM)</v>
          </cell>
          <cell r="E812">
            <v>0</v>
          </cell>
          <cell r="F812" t="str">
            <v>Bỏ chọn</v>
          </cell>
          <cell r="G812"/>
          <cell r="H812"/>
        </row>
        <row r="813">
          <cell r="A813" t="str">
            <v>V39.015.070</v>
          </cell>
          <cell r="B813" t="str">
            <v>APRON NEPTUNE</v>
          </cell>
          <cell r="C813" t="str">
            <v>TẠP DỀ NEPTUNE</v>
          </cell>
          <cell r="D813" t="str">
            <v>APRON NEPTUNE</v>
          </cell>
          <cell r="E813">
            <v>0</v>
          </cell>
          <cell r="F813" t="str">
            <v>Bỏ chọn</v>
          </cell>
          <cell r="G813"/>
          <cell r="H813"/>
        </row>
        <row r="814">
          <cell r="A814" t="str">
            <v>V39.015.072</v>
          </cell>
          <cell r="B814" t="str">
            <v>APRON SIMPLY</v>
          </cell>
          <cell r="C814" t="str">
            <v>TẠP DỀ SIMPLY</v>
          </cell>
          <cell r="D814" t="str">
            <v>APRON SIMPLY</v>
          </cell>
          <cell r="E814">
            <v>0</v>
          </cell>
          <cell r="F814" t="str">
            <v>Bỏ chọn</v>
          </cell>
          <cell r="G814"/>
          <cell r="H814"/>
        </row>
        <row r="815">
          <cell r="A815" t="str">
            <v>V39.015.202</v>
          </cell>
          <cell r="B815" t="str">
            <v>BOWL &amp; PLATE SET MINH LONG</v>
          </cell>
          <cell r="C815" t="str">
            <v>BỘ DĨA TÔ MINH LONG</v>
          </cell>
          <cell r="D815" t="str">
            <v>BOWL &amp; PLATE SET MINH LONG</v>
          </cell>
          <cell r="E815">
            <v>0</v>
          </cell>
          <cell r="F815" t="str">
            <v>Bỏ chọn</v>
          </cell>
          <cell r="G815"/>
          <cell r="H815"/>
        </row>
        <row r="816">
          <cell r="A816" t="str">
            <v>V39.015.204</v>
          </cell>
          <cell r="B816" t="str">
            <v>BOWL NEPTUNE PORCELAIN (6PCS/SET)</v>
          </cell>
          <cell r="C816" t="str">
            <v>BỘ 6 CHÉN SỨ NEPTUNE</v>
          </cell>
          <cell r="D816" t="str">
            <v>BOWL NEPTUNE PORCELAIN (6PCS/SET)</v>
          </cell>
          <cell r="E816">
            <v>0</v>
          </cell>
          <cell r="F816" t="str">
            <v>Bỏ chọn</v>
          </cell>
          <cell r="G816"/>
          <cell r="H816"/>
        </row>
        <row r="817">
          <cell r="A817" t="str">
            <v>V39.015.207</v>
          </cell>
          <cell r="B817" t="str">
            <v>TEA SET MINH LONG</v>
          </cell>
          <cell r="C817" t="str">
            <v>BỘ TRÀ MINH LONG</v>
          </cell>
          <cell r="D817" t="str">
            <v>TEA SET MINH LONG</v>
          </cell>
          <cell r="E817">
            <v>0</v>
          </cell>
          <cell r="F817" t="str">
            <v>Bỏ chọn</v>
          </cell>
          <cell r="G817"/>
          <cell r="H817"/>
        </row>
        <row r="818">
          <cell r="A818" t="str">
            <v>V51.047.003</v>
          </cell>
          <cell r="B818" t="str">
            <v>FRYING MIX MEIZAN 100G</v>
          </cell>
          <cell r="C818" t="str">
            <v>BỘT CHIÊN GIÒN MEIZAN 100GR</v>
          </cell>
          <cell r="D818" t="str">
            <v>FRYING MIX MEIZAN 100G</v>
          </cell>
          <cell r="E818">
            <v>0</v>
          </cell>
          <cell r="F818" t="str">
            <v>Bỏ chọn</v>
          </cell>
          <cell r="G818"/>
          <cell r="H818"/>
        </row>
        <row r="819">
          <cell r="A819" t="str">
            <v>V51.058.001</v>
          </cell>
          <cell r="B819" t="str">
            <v>PEN PARKER IM</v>
          </cell>
          <cell r="C819" t="str">
            <v>VIẾT MÁY</v>
          </cell>
          <cell r="D819" t="str">
            <v>PEN PARKER IM</v>
          </cell>
          <cell r="E819">
            <v>0</v>
          </cell>
          <cell r="F819" t="str">
            <v>Bỏ chọn</v>
          </cell>
          <cell r="G819"/>
          <cell r="H819"/>
        </row>
        <row r="820">
          <cell r="A820" t="str">
            <v>V51.061.001</v>
          </cell>
          <cell r="B820" t="str">
            <v>NOTEBOOK - DESIGNED BY LE PHU</v>
          </cell>
          <cell r="C820" t="str">
            <v>SỔ TAY</v>
          </cell>
          <cell r="D820" t="str">
            <v>NOTEBOOK - DESIGNED BY LE PHU</v>
          </cell>
          <cell r="E820">
            <v>0</v>
          </cell>
          <cell r="F820" t="str">
            <v>Bỏ chọn</v>
          </cell>
          <cell r="G820"/>
          <cell r="H820"/>
        </row>
        <row r="821">
          <cell r="A821" t="str">
            <v>V51.061.002</v>
          </cell>
          <cell r="B821" t="str">
            <v>NOTEBOOK 21.5 X 14.5 - 100 PAGES</v>
          </cell>
          <cell r="C821" t="str">
            <v>SỔ TAY</v>
          </cell>
          <cell r="D821" t="str">
            <v>NOTEBOOK 21.5 X 14.5 - 100 PAGES</v>
          </cell>
          <cell r="E821">
            <v>0</v>
          </cell>
          <cell r="F821" t="str">
            <v>Bỏ chọn</v>
          </cell>
          <cell r="G821"/>
          <cell r="H821"/>
        </row>
        <row r="822">
          <cell r="A822" t="str">
            <v>V51.103.700</v>
          </cell>
          <cell r="B822" t="str">
            <v>SCRATCH CARD NEPTUNE</v>
          </cell>
          <cell r="C822" t="str">
            <v>THẺ CÀO NEPTUNE</v>
          </cell>
          <cell r="D822" t="str">
            <v>SCRATCH CARD NEPTUNE</v>
          </cell>
          <cell r="E822">
            <v>0</v>
          </cell>
          <cell r="F822" t="str">
            <v>Bỏ chọn</v>
          </cell>
          <cell r="G822"/>
          <cell r="H822"/>
        </row>
        <row r="823">
          <cell r="A823" t="str">
            <v>V51.153.004</v>
          </cell>
          <cell r="B823" t="str">
            <v>PAPER BAG NEPTUNE</v>
          </cell>
          <cell r="C823" t="str">
            <v>TÚI GIẤY NEPTUNE</v>
          </cell>
          <cell r="D823" t="str">
            <v>PAPER BAG NEPTUNE</v>
          </cell>
          <cell r="E823">
            <v>0</v>
          </cell>
          <cell r="F823" t="str">
            <v>Bỏ chọn</v>
          </cell>
          <cell r="G823"/>
          <cell r="H823"/>
        </row>
        <row r="824">
          <cell r="A824" t="str">
            <v>V51.153.005</v>
          </cell>
          <cell r="B824" t="str">
            <v>NEPTUNE GOLD NYLON BAG</v>
          </cell>
          <cell r="C824" t="str">
            <v>BAO NYLON NEPTUNE GOLD</v>
          </cell>
          <cell r="D824" t="str">
            <v>NEPTUNE GOLD NYLON BAG</v>
          </cell>
          <cell r="E824">
            <v>0</v>
          </cell>
          <cell r="F824" t="str">
            <v>Bỏ chọn</v>
          </cell>
          <cell r="G824"/>
          <cell r="H824"/>
        </row>
        <row r="825">
          <cell r="A825" t="str">
            <v>V51.041.001</v>
          </cell>
          <cell r="B825" t="str">
            <v>JASMINE RICE 10KG/BAG</v>
          </cell>
          <cell r="C825" t="str">
            <v>GẠO JASMINE 10KG/BAG</v>
          </cell>
          <cell r="D825" t="str">
            <v>JASMINE RICE 10KG/BAG</v>
          </cell>
          <cell r="E825">
            <v>0</v>
          </cell>
          <cell r="F825" t="str">
            <v>Bỏ chọn</v>
          </cell>
          <cell r="G825"/>
          <cell r="H825"/>
        </row>
        <row r="826">
          <cell r="A826" t="str">
            <v>V51.041.002</v>
          </cell>
          <cell r="B826" t="str">
            <v>RICE 10 KG/ BAG</v>
          </cell>
          <cell r="C826" t="str">
            <v>GẠO (TÚI 10KG)</v>
          </cell>
          <cell r="D826" t="str">
            <v>RICE 10 KG/ BAG</v>
          </cell>
          <cell r="E826">
            <v>0</v>
          </cell>
          <cell r="F826" t="str">
            <v>Bỏ chọn</v>
          </cell>
          <cell r="G826"/>
          <cell r="H826"/>
        </row>
        <row r="827">
          <cell r="A827" t="str">
            <v>V51.041.004</v>
          </cell>
          <cell r="B827" t="str">
            <v>RICE 05 KG/ BAG</v>
          </cell>
          <cell r="C827" t="str">
            <v>GẠO OM 4900 (TÚI PA/PE 5KG)</v>
          </cell>
          <cell r="D827" t="str">
            <v>RICE 05 KG/ BAG</v>
          </cell>
          <cell r="E827">
            <v>0</v>
          </cell>
          <cell r="F827" t="str">
            <v>Bỏ chọn</v>
          </cell>
          <cell r="G827"/>
          <cell r="H827"/>
        </row>
        <row r="828">
          <cell r="A828" t="str">
            <v>V51.600.011</v>
          </cell>
          <cell r="B828" t="str">
            <v>NEPTUNE GOLD WINDOW FRAME 0.8M</v>
          </cell>
          <cell r="C828" t="str">
            <v>THANH TRƯNG BÀY SẢN PHẨM</v>
          </cell>
          <cell r="D828" t="str">
            <v>NEPTUNE GOLD WINDOW FRAME 0.8M</v>
          </cell>
          <cell r="E828">
            <v>0</v>
          </cell>
          <cell r="F828" t="str">
            <v>Bỏ chọn</v>
          </cell>
          <cell r="G828"/>
          <cell r="H828"/>
        </row>
        <row r="829">
          <cell r="A829" t="str">
            <v>V51.600.012</v>
          </cell>
          <cell r="B829" t="str">
            <v>NEPTUNE GOLD WINDOW FRAME 1.2M</v>
          </cell>
          <cell r="C829" t="str">
            <v>THANH TRƯNG BÀY NEPTUNE GOLD 1,2M</v>
          </cell>
          <cell r="D829" t="str">
            <v>NEPTUNE GOLD WINDOW FRAME 1.2M</v>
          </cell>
          <cell r="E829">
            <v>0</v>
          </cell>
          <cell r="F829" t="str">
            <v>Bỏ chọn</v>
          </cell>
          <cell r="G829"/>
          <cell r="H829"/>
        </row>
        <row r="830">
          <cell r="A830" t="str">
            <v>V51.600.013</v>
          </cell>
          <cell r="B830" t="str">
            <v>NEPTUNE GOLD WINDOW FRAME 1.6M</v>
          </cell>
          <cell r="C830" t="str">
            <v>THANH TRƯNG BÀY NEPTUNE GOLD 1,6M</v>
          </cell>
          <cell r="D830" t="str">
            <v>NEPTUNE GOLD WINDOW FRAME 1.6M</v>
          </cell>
          <cell r="E830">
            <v>0</v>
          </cell>
          <cell r="F830" t="str">
            <v>Bỏ chọn</v>
          </cell>
          <cell r="G830"/>
          <cell r="H830"/>
        </row>
        <row r="831">
          <cell r="A831" t="str">
            <v>V51.600.014</v>
          </cell>
          <cell r="B831" t="str">
            <v>NEPTUNE GOLD KING</v>
          </cell>
          <cell r="C831" t="str">
            <v>MÔ HÌNH NEPTUNE GOLD KING</v>
          </cell>
          <cell r="D831" t="str">
            <v>NEPTUNE GOLD KING</v>
          </cell>
          <cell r="E831">
            <v>0</v>
          </cell>
          <cell r="F831" t="str">
            <v>Bỏ chọn</v>
          </cell>
          <cell r="G831"/>
          <cell r="H831"/>
        </row>
        <row r="832">
          <cell r="A832" t="str">
            <v>V51.600.015</v>
          </cell>
          <cell r="B832" t="str">
            <v>ARTWORK FOR NEPTUNE GOLD PARASOL</v>
          </cell>
          <cell r="C832" t="str">
            <v>BẠT DÙ NEPTUNE GOLD</v>
          </cell>
          <cell r="D832" t="str">
            <v>ARTWORK FOR NEPTUNE GOLD PARASOL</v>
          </cell>
          <cell r="E832">
            <v>0</v>
          </cell>
          <cell r="F832" t="str">
            <v>Bỏ chọn</v>
          </cell>
          <cell r="G832"/>
          <cell r="H832"/>
        </row>
        <row r="833">
          <cell r="A833" t="str">
            <v>V51.600.016</v>
          </cell>
          <cell r="B833" t="str">
            <v>ARTWORK OF MEIZAN MOBILE SALES TABLE</v>
          </cell>
          <cell r="C833" t="str">
            <v>TẤM TRANG TRÍ CHO BÀN LẮP RÁP MEIZAN</v>
          </cell>
          <cell r="D833" t="str">
            <v>ARTWORK OF MEIZAN MOBILE SALES TABLE</v>
          </cell>
          <cell r="E833">
            <v>0</v>
          </cell>
          <cell r="F833" t="str">
            <v>Bỏ chọn</v>
          </cell>
          <cell r="G833"/>
          <cell r="H833"/>
        </row>
        <row r="834">
          <cell r="A834" t="str">
            <v>V51.600.017</v>
          </cell>
          <cell r="B834" t="str">
            <v>MEIZAN ARTWORK OF BOOTH</v>
          </cell>
          <cell r="C834" t="str">
            <v>BẠT LỀU MEIZAN</v>
          </cell>
          <cell r="D834" t="str">
            <v>MEIZAN ARTWORK OF BOOTH</v>
          </cell>
          <cell r="E834">
            <v>0</v>
          </cell>
          <cell r="F834" t="str">
            <v>Bỏ chọn</v>
          </cell>
          <cell r="G834"/>
          <cell r="H834"/>
        </row>
        <row r="835">
          <cell r="A835" t="str">
            <v>V51.600.018</v>
          </cell>
          <cell r="B835" t="str">
            <v>MEIZAN SALEMAN DELIVERY BOX WITH DECAN</v>
          </cell>
          <cell r="C835" t="str">
            <v>THÙNG CHỞ HÀNG MEIZAN KÈM DECAN</v>
          </cell>
          <cell r="D835" t="str">
            <v>MEIZAN SALEMAN DELIVERY BOX WITH DECAN</v>
          </cell>
          <cell r="E835">
            <v>0</v>
          </cell>
          <cell r="F835" t="str">
            <v>Bỏ chọn</v>
          </cell>
          <cell r="G835"/>
          <cell r="H835"/>
        </row>
        <row r="836">
          <cell r="A836" t="str">
            <v>V51.600.019</v>
          </cell>
          <cell r="B836" t="str">
            <v>DECAL FOR MEIZAN DELIVERY BOX</v>
          </cell>
          <cell r="C836" t="str">
            <v>DECAL CHO THÙNG CHỞ HÀNG MEIZAN</v>
          </cell>
          <cell r="D836" t="str">
            <v>DECAL FOR MEIZAN DELIVERY BOX</v>
          </cell>
          <cell r="E836">
            <v>0</v>
          </cell>
          <cell r="F836" t="str">
            <v>Bỏ chọn</v>
          </cell>
          <cell r="G836"/>
          <cell r="H836"/>
        </row>
        <row r="837">
          <cell r="A837" t="str">
            <v>V51.106.001</v>
          </cell>
          <cell r="B837" t="str">
            <v>MEIZAN UMBRELLA</v>
          </cell>
          <cell r="C837" t="str">
            <v>DÙ MEIZAN</v>
          </cell>
          <cell r="D837" t="str">
            <v>MEIZAN UMBRELLA</v>
          </cell>
          <cell r="E837">
            <v>0</v>
          </cell>
          <cell r="F837" t="str">
            <v>Bỏ chọn</v>
          </cell>
          <cell r="G837"/>
          <cell r="H837"/>
        </row>
        <row r="838">
          <cell r="A838" t="str">
            <v>V51.600.020</v>
          </cell>
          <cell r="B838" t="str">
            <v>MEIZAN BANNER 3.0M*1.2M</v>
          </cell>
          <cell r="C838" t="str">
            <v>BĂNG RÔN MEIZAN 3.0M*1,2M</v>
          </cell>
          <cell r="D838" t="str">
            <v>MEIZAN BANNER 3.0M*1.2M</v>
          </cell>
          <cell r="E838">
            <v>0</v>
          </cell>
          <cell r="F838" t="str">
            <v>Bỏ chọn</v>
          </cell>
          <cell r="G838"/>
          <cell r="H838"/>
        </row>
        <row r="839">
          <cell r="A839" t="str">
            <v>V51.600.021</v>
          </cell>
          <cell r="B839" t="str">
            <v>MEIZAN BANNER 4.0M*1.2M</v>
          </cell>
          <cell r="C839" t="str">
            <v>BĂNG RÔN MEIZAN 4.0M*1,2M</v>
          </cell>
          <cell r="D839" t="str">
            <v>MEIZAN BANNER 4.0M*1.2M</v>
          </cell>
          <cell r="E839">
            <v>0</v>
          </cell>
          <cell r="F839" t="str">
            <v>Bỏ chọn</v>
          </cell>
          <cell r="G839"/>
          <cell r="H839"/>
        </row>
        <row r="840">
          <cell r="A840" t="str">
            <v>V51.600.022</v>
          </cell>
          <cell r="B840" t="str">
            <v>MEIZAN BANNER 5.0M*1.2M</v>
          </cell>
          <cell r="C840" t="str">
            <v>BĂNG RÔN MEIZAN 5.0M*1,2M</v>
          </cell>
          <cell r="D840" t="str">
            <v>MEIZAN BANNER 5.0M*1.2M</v>
          </cell>
          <cell r="E840">
            <v>0</v>
          </cell>
          <cell r="F840" t="str">
            <v>Bỏ chọn</v>
          </cell>
          <cell r="G840"/>
          <cell r="H840"/>
        </row>
        <row r="841">
          <cell r="A841" t="str">
            <v>V51.061.006</v>
          </cell>
          <cell r="B841" t="str">
            <v>MEIZAN HAND-NOTE</v>
          </cell>
          <cell r="C841" t="str">
            <v>SỔ TAY MEIZAN</v>
          </cell>
          <cell r="D841" t="str">
            <v>MEIZAN HAND-NOTE</v>
          </cell>
          <cell r="E841">
            <v>0</v>
          </cell>
          <cell r="F841" t="str">
            <v>Bỏ chọn</v>
          </cell>
          <cell r="G841"/>
          <cell r="H841"/>
        </row>
        <row r="842">
          <cell r="A842" t="str">
            <v>V58.022.024</v>
          </cell>
          <cell r="B842" t="str">
            <v>NECK-TAG FOR MEIZAN 0.4L</v>
          </cell>
          <cell r="C842" t="str">
            <v>CHỤP CỔ CHAI MEIZAN 0,4L</v>
          </cell>
          <cell r="D842" t="str">
            <v>NECK-TAG FOR MEIZAN 0.4L</v>
          </cell>
          <cell r="E842">
            <v>0</v>
          </cell>
          <cell r="F842" t="str">
            <v>Bỏ chọn</v>
          </cell>
          <cell r="G842"/>
          <cell r="H842"/>
        </row>
        <row r="843">
          <cell r="A843" t="str">
            <v>V58.022.025</v>
          </cell>
          <cell r="B843" t="str">
            <v>NECK-TAG FOR MEIZAN SBO 1L</v>
          </cell>
          <cell r="C843" t="str">
            <v>CHỤP CỔ CHAI MEIZAN ĐẬU NÀNH 1L</v>
          </cell>
          <cell r="D843" t="str">
            <v>NECK-TAG FOR MEIZAN SBO 1L</v>
          </cell>
          <cell r="E843">
            <v>0</v>
          </cell>
          <cell r="F843" t="str">
            <v>Bỏ chọn</v>
          </cell>
          <cell r="G843"/>
          <cell r="H843"/>
        </row>
        <row r="844">
          <cell r="A844" t="str">
            <v>V58.022.026</v>
          </cell>
          <cell r="B844" t="str">
            <v>NECK-TAG FOR MEIZAN SBO 2L</v>
          </cell>
          <cell r="C844" t="str">
            <v>CHỤP CỔ CHAI MEIZAN ĐẬU NÀNH 2L</v>
          </cell>
          <cell r="D844" t="str">
            <v>NECK-TAG FOR MEIZAN SBO 2L</v>
          </cell>
          <cell r="E844">
            <v>0</v>
          </cell>
          <cell r="F844" t="str">
            <v>Bỏ chọn</v>
          </cell>
          <cell r="G844"/>
          <cell r="H844"/>
        </row>
        <row r="845">
          <cell r="A845" t="str">
            <v>V58.022.027</v>
          </cell>
          <cell r="B845" t="str">
            <v>NECK-TAG FOR MEIZAN SBO 5L</v>
          </cell>
          <cell r="C845" t="str">
            <v>CHỤP CỔ CHAI MEIZAN ĐẬU NÀNH 5L</v>
          </cell>
          <cell r="D845" t="str">
            <v>NECK-TAG FOR MEIZAN SBO 5L</v>
          </cell>
          <cell r="E845">
            <v>0</v>
          </cell>
          <cell r="F845" t="str">
            <v>Bỏ chọn</v>
          </cell>
          <cell r="G845"/>
          <cell r="H845"/>
        </row>
        <row r="846">
          <cell r="A846" t="str">
            <v>V39.013.043</v>
          </cell>
          <cell r="B846" t="str">
            <v>MEIZAN T-SHIRT (YELLOW COLOR)</v>
          </cell>
          <cell r="C846" t="str">
            <v>ÁO THUN MEIZAN (MÀU VÀNG)</v>
          </cell>
          <cell r="D846" t="str">
            <v>MEIZAN T-SHIRT (YELLOW COLOR)</v>
          </cell>
          <cell r="E846">
            <v>0</v>
          </cell>
          <cell r="F846" t="str">
            <v>Bỏ chọn</v>
          </cell>
          <cell r="G846"/>
          <cell r="H846"/>
        </row>
        <row r="847">
          <cell r="A847" t="str">
            <v>V58.022.008</v>
          </cell>
          <cell r="B847" t="str">
            <v>NECK-TAG FOR MEIZAN 1L  </v>
          </cell>
          <cell r="C847" t="str">
            <v>CHỤP CỔ CHAI MEIZAN 1L</v>
          </cell>
          <cell r="D847" t="str">
            <v>NECK-TAG FOR MEIZAN 1L  </v>
          </cell>
          <cell r="E847">
            <v>0</v>
          </cell>
          <cell r="F847" t="str">
            <v>Bỏ chọn</v>
          </cell>
          <cell r="G847"/>
          <cell r="H847"/>
        </row>
        <row r="848">
          <cell r="A848" t="str">
            <v>V51.048.001</v>
          </cell>
          <cell r="B848" t="str">
            <v>PREMIUM SOYA SAUCE 200 ML</v>
          </cell>
          <cell r="C848" t="str">
            <v>NƯỚC TƯƠNG THƯỢNG HẠNG 200 ML</v>
          </cell>
          <cell r="D848" t="str">
            <v>PREMIUM SOYA SAUCE 200 ML</v>
          </cell>
          <cell r="E848">
            <v>0</v>
          </cell>
          <cell r="F848" t="str">
            <v>Bỏ chọn</v>
          </cell>
          <cell r="G848"/>
          <cell r="H848"/>
        </row>
        <row r="849">
          <cell r="A849" t="str">
            <v>V51.049.001</v>
          </cell>
          <cell r="B849" t="str">
            <v>MILD CHILI SAUCE 275 GR</v>
          </cell>
          <cell r="C849" t="str">
            <v>TƯƠNG ỚT 275 GR</v>
          </cell>
          <cell r="D849" t="str">
            <v>MILD CHILI SAUCE 275 GR</v>
          </cell>
          <cell r="E849">
            <v>0.27500000000000002</v>
          </cell>
          <cell r="F849" t="str">
            <v>Bỏ chọn</v>
          </cell>
          <cell r="G849"/>
          <cell r="H849"/>
        </row>
        <row r="850">
          <cell r="A850" t="str">
            <v>V51.049.002</v>
          </cell>
          <cell r="B850" t="str">
            <v>SPECIAL HOT CHILI SAUCE 275 GR</v>
          </cell>
          <cell r="C850" t="str">
            <v>TƯƠNG ỚT ĐẶC BIỆT CAY 275 GR</v>
          </cell>
          <cell r="D850" t="str">
            <v>SPECIAL HOT CHILI SAUCE 275 GR</v>
          </cell>
          <cell r="E850">
            <v>0.27500000000000002</v>
          </cell>
          <cell r="F850" t="str">
            <v>Bỏ chọn</v>
          </cell>
          <cell r="G850"/>
          <cell r="H850"/>
        </row>
        <row r="851">
          <cell r="A851" t="str">
            <v>V51.600.039</v>
          </cell>
          <cell r="B851" t="str">
            <v>SIMPLY BANNER SBO 3M*1.2M</v>
          </cell>
          <cell r="C851" t="str">
            <v>BĂNG RÔN DẦU SIMPLY ĐẬU NÀNH 3M*1,2M</v>
          </cell>
          <cell r="D851" t="str">
            <v>SIMPLY BANNER SBO 3M*1.2M</v>
          </cell>
          <cell r="E851">
            <v>0</v>
          </cell>
          <cell r="F851" t="str">
            <v>Bỏ chọn</v>
          </cell>
          <cell r="G851"/>
          <cell r="H851"/>
        </row>
        <row r="852">
          <cell r="A852" t="str">
            <v>V51.600.040</v>
          </cell>
          <cell r="B852" t="str">
            <v>SIMPLY BANNER SBO 4M*1.2M</v>
          </cell>
          <cell r="C852" t="str">
            <v>BĂNG RÔN DẦU SIMPLY ĐẬU NÀNH 4M*1,2M</v>
          </cell>
          <cell r="D852" t="str">
            <v>SIMPLY BANNER SBO 4M*1.2M</v>
          </cell>
          <cell r="E852">
            <v>0</v>
          </cell>
          <cell r="F852" t="str">
            <v>Bỏ chọn</v>
          </cell>
          <cell r="G852"/>
          <cell r="H852"/>
        </row>
        <row r="853">
          <cell r="A853" t="str">
            <v>V51.600.041</v>
          </cell>
          <cell r="B853" t="str">
            <v>SIMPLY BANNER SBO 5M*1.5M</v>
          </cell>
          <cell r="C853" t="str">
            <v>BĂNG RÔN DẦU SIMPLY ĐẬU NÀNH 5M*1,5M</v>
          </cell>
          <cell r="D853" t="str">
            <v>SIMPLY BANNER SBO 5M*1.5M</v>
          </cell>
          <cell r="E853">
            <v>0</v>
          </cell>
          <cell r="F853" t="str">
            <v>Bỏ chọn</v>
          </cell>
          <cell r="G853"/>
          <cell r="H853"/>
        </row>
        <row r="854">
          <cell r="A854" t="str">
            <v>V51.600.042</v>
          </cell>
          <cell r="B854" t="str">
            <v>SIMPLY BANNER SBO 6M*1.5M</v>
          </cell>
          <cell r="C854" t="str">
            <v>BĂNG RÔN DẦU SIMPLY ĐẬU NÀNH 6M*1,5M</v>
          </cell>
          <cell r="D854" t="str">
            <v>SIMPLY BANNER SBO 6M*1.5M</v>
          </cell>
          <cell r="E854">
            <v>0</v>
          </cell>
          <cell r="F854" t="str">
            <v>Bỏ chọn</v>
          </cell>
          <cell r="G854"/>
          <cell r="H854"/>
        </row>
        <row r="855">
          <cell r="A855" t="str">
            <v>V51.103.706</v>
          </cell>
          <cell r="B855" t="str">
            <v>SIMPLY GREETING CARD 20/10</v>
          </cell>
          <cell r="C855" t="str">
            <v>THIỆP SIMPLY CHÚC MỪNG 20/10</v>
          </cell>
          <cell r="D855" t="str">
            <v>SIMPLY GREETING CARD 20/10</v>
          </cell>
          <cell r="E855">
            <v>0</v>
          </cell>
          <cell r="F855" t="str">
            <v>Bỏ chọn</v>
          </cell>
          <cell r="G855"/>
          <cell r="H855"/>
        </row>
        <row r="856">
          <cell r="A856" t="str">
            <v>V51.600.025</v>
          </cell>
          <cell r="B856" t="str">
            <v>SIMPLY BANNER RBO 3M*1.2M</v>
          </cell>
          <cell r="C856" t="str">
            <v>BĂNG RÔN SIMPLY DẦU GẠO 3M*1,2M</v>
          </cell>
          <cell r="D856" t="str">
            <v>SIMPLY BANNER RBO 3M*1.2M</v>
          </cell>
          <cell r="E856">
            <v>0</v>
          </cell>
          <cell r="F856" t="str">
            <v>Bỏ chọn</v>
          </cell>
          <cell r="G856"/>
          <cell r="H856"/>
        </row>
        <row r="857">
          <cell r="A857" t="str">
            <v>V51.600.026</v>
          </cell>
          <cell r="B857" t="str">
            <v>SIMPLY BANNER RBO 4M*1.2M</v>
          </cell>
          <cell r="C857" t="str">
            <v>BĂNG RÔN SIMPLY DẦU GẠO 4M*1,2M</v>
          </cell>
          <cell r="D857" t="str">
            <v>SIMPLY BANNER RBO 4M*1.2M</v>
          </cell>
          <cell r="E857">
            <v>0</v>
          </cell>
          <cell r="F857" t="str">
            <v>Bỏ chọn</v>
          </cell>
          <cell r="G857"/>
          <cell r="H857"/>
        </row>
        <row r="858">
          <cell r="A858" t="str">
            <v>V51.600.027</v>
          </cell>
          <cell r="B858" t="str">
            <v>SIMPLY BANNER RBO 5M*1.5M</v>
          </cell>
          <cell r="C858" t="str">
            <v>BĂNG RÔN SIMPLY DẦU GẠO 5M*1,5M</v>
          </cell>
          <cell r="D858" t="str">
            <v>SIMPLY BANNER RBO 5M*1.5M</v>
          </cell>
          <cell r="E858">
            <v>0</v>
          </cell>
          <cell r="F858" t="str">
            <v>Bỏ chọn</v>
          </cell>
          <cell r="G858"/>
          <cell r="H858"/>
        </row>
        <row r="859">
          <cell r="A859" t="str">
            <v>V51.600.028</v>
          </cell>
          <cell r="B859" t="str">
            <v>SIMPLY BANNER RBO 6M*1.5M</v>
          </cell>
          <cell r="C859" t="str">
            <v>BĂNG RÔN SIMPLY DẦU GẠO 6M*1,5M</v>
          </cell>
          <cell r="D859" t="str">
            <v>SIMPLY BANNER RBO 6M*1.5M</v>
          </cell>
          <cell r="E859">
            <v>0</v>
          </cell>
          <cell r="F859" t="str">
            <v>Bỏ chọn</v>
          </cell>
          <cell r="G859"/>
          <cell r="H859"/>
        </row>
        <row r="860">
          <cell r="A860" t="str">
            <v>V51.061.007</v>
          </cell>
          <cell r="B860" t="str">
            <v xml:space="preserve">SIMPLY BOOKLET </v>
          </cell>
          <cell r="C860" t="str">
            <v>SÁCH DINH DƯỠNG SIMPLY</v>
          </cell>
          <cell r="D860" t="str">
            <v xml:space="preserve">SIMPLY BOOKLET </v>
          </cell>
          <cell r="E860">
            <v>0</v>
          </cell>
          <cell r="F860" t="str">
            <v>Bỏ chọn</v>
          </cell>
          <cell r="G860"/>
          <cell r="H860"/>
        </row>
        <row r="861">
          <cell r="A861" t="str">
            <v>V58.022.031</v>
          </cell>
          <cell r="B861" t="str">
            <v>NECK-TAG FOR SIMPLY RBO 0.4L</v>
          </cell>
          <cell r="C861" t="str">
            <v>CHỤP CỔ CHAI SIMPLY DẦU GẠO 0.4L</v>
          </cell>
          <cell r="D861" t="str">
            <v>NECK-TAG FOR SIMPLY RBO 0.4L</v>
          </cell>
          <cell r="E861">
            <v>0</v>
          </cell>
          <cell r="F861" t="str">
            <v>Bỏ chọn</v>
          </cell>
          <cell r="G861"/>
          <cell r="H861"/>
        </row>
        <row r="862">
          <cell r="A862" t="str">
            <v>V58.022.032</v>
          </cell>
          <cell r="B862" t="str">
            <v>NECKTAG SIMPLY RBO_CAMBODIA</v>
          </cell>
          <cell r="C862" t="str">
            <v>NHÃN DÁN CỔ CHAI SIMPLY DẦU GẠO LỨT_CAMBODIA</v>
          </cell>
          <cell r="D862" t="str">
            <v>NECKTAG SIMPLY RBO_CAMBODIA</v>
          </cell>
          <cell r="E862">
            <v>0</v>
          </cell>
          <cell r="F862" t="str">
            <v>Bỏ chọn</v>
          </cell>
          <cell r="G862"/>
          <cell r="H862"/>
        </row>
        <row r="863">
          <cell r="A863" t="str">
            <v>V51.600.007</v>
          </cell>
          <cell r="B863" t="str">
            <v>NEPTUNE GOLD BIG MOBILE DISPLAY</v>
          </cell>
          <cell r="C863" t="str">
            <v>KỆ TRƯNG BÀY NEPTUNE CỠ LỚN</v>
          </cell>
          <cell r="D863" t="str">
            <v>NEPTUNE GOLD BIG MOBILE DISPLAY</v>
          </cell>
          <cell r="E863">
            <v>0</v>
          </cell>
          <cell r="F863" t="str">
            <v>Bỏ chọn</v>
          </cell>
          <cell r="G863"/>
          <cell r="H863"/>
        </row>
        <row r="864">
          <cell r="A864" t="str">
            <v>V39.013.042</v>
          </cell>
          <cell r="B864" t="str">
            <v>SIMPLY PE FABRIC T-SHIRT WHITE COLOUR</v>
          </cell>
          <cell r="C864" t="str">
            <v>ÁO THUN SIMPLY</v>
          </cell>
          <cell r="D864" t="str">
            <v>SIMPLY PE FABRIC T-SHIRT WHITE COLOUR</v>
          </cell>
          <cell r="E864">
            <v>0</v>
          </cell>
          <cell r="F864" t="str">
            <v>Bỏ chọn</v>
          </cell>
          <cell r="G864"/>
          <cell r="H864"/>
        </row>
        <row r="865">
          <cell r="A865" t="str">
            <v>V39.013.041</v>
          </cell>
          <cell r="B865" t="str">
            <v>MEIZAN T-SHIRT (GREEN COLOR)</v>
          </cell>
          <cell r="C865" t="str">
            <v>ÁO THUN MEIZAN (MÀU XANH) XL</v>
          </cell>
          <cell r="D865" t="str">
            <v>MEIZAN T-SHIRT (GREEN COLOR)</v>
          </cell>
          <cell r="E865">
            <v>0</v>
          </cell>
          <cell r="F865" t="str">
            <v>Bỏ chọn</v>
          </cell>
          <cell r="G865"/>
          <cell r="H865"/>
        </row>
        <row r="866">
          <cell r="A866" t="str">
            <v>V51.601.001</v>
          </cell>
          <cell r="B866" t="str">
            <v>NEPTUNE GOLD LOGO</v>
          </cell>
          <cell r="C866" t="str">
            <v>HÌNH ẢNH QUẢNG CÁO LOGO NEPTUNE GOLD</v>
          </cell>
          <cell r="D866" t="str">
            <v>NEPTUNE GOLD LOGO</v>
          </cell>
          <cell r="E866">
            <v>0</v>
          </cell>
          <cell r="F866" t="str">
            <v>Bỏ chọn</v>
          </cell>
          <cell r="G866"/>
          <cell r="H866"/>
        </row>
        <row r="867">
          <cell r="A867" t="str">
            <v>V51.600.008</v>
          </cell>
          <cell r="B867" t="str">
            <v>ARTWORK OF MEIZAN SHELF BIG SIZE 4 BARS</v>
          </cell>
          <cell r="C867" t="str">
            <v>TẤM ARTWORK KỆ TRƯNG BÀY MEIZAN</v>
          </cell>
          <cell r="D867" t="str">
            <v>ARTWORK OF MEIZAN SHELF BIG SIZE 4 BARS</v>
          </cell>
          <cell r="E867">
            <v>0</v>
          </cell>
          <cell r="F867" t="str">
            <v>Bỏ chọn</v>
          </cell>
          <cell r="G867"/>
          <cell r="H867"/>
        </row>
        <row r="868">
          <cell r="A868" t="str">
            <v>V51.153.007</v>
          </cell>
          <cell r="B868" t="str">
            <v>KIDDY PAPER BAG</v>
          </cell>
          <cell r="C868" t="str">
            <v>TÚI GIẤY KIDDY</v>
          </cell>
          <cell r="D868" t="str">
            <v>KIDDY PAPER BAG</v>
          </cell>
          <cell r="E868">
            <v>0</v>
          </cell>
          <cell r="F868" t="str">
            <v>Bỏ chọn</v>
          </cell>
          <cell r="G868"/>
          <cell r="H868"/>
        </row>
        <row r="869">
          <cell r="A869" t="str">
            <v>V51.600.005</v>
          </cell>
          <cell r="B869" t="str">
            <v>PICTURE FRAME</v>
          </cell>
          <cell r="C869" t="str">
            <v>KHUNG ẢNH</v>
          </cell>
          <cell r="D869" t="str">
            <v>PICTURE FRAME</v>
          </cell>
          <cell r="E869">
            <v>0</v>
          </cell>
          <cell r="F869" t="str">
            <v>Bỏ chọn</v>
          </cell>
          <cell r="G869"/>
          <cell r="H869"/>
        </row>
        <row r="870">
          <cell r="A870" t="str">
            <v>V51.061.003</v>
          </cell>
          <cell r="B870" t="str">
            <v>KIDDY BOOKLET</v>
          </cell>
          <cell r="C870" t="str">
            <v>SỔ TAY DINH DƯỠNG KIDDY</v>
          </cell>
          <cell r="D870" t="str">
            <v>KIDDY BOOKLET</v>
          </cell>
          <cell r="E870">
            <v>0</v>
          </cell>
          <cell r="F870" t="str">
            <v>Bỏ chọn</v>
          </cell>
          <cell r="G870"/>
          <cell r="H870"/>
        </row>
        <row r="871">
          <cell r="A871" t="str">
            <v>V51.600.009</v>
          </cell>
          <cell r="B871" t="str">
            <v>MOBILE SALES TABLE + ARTWORK</v>
          </cell>
          <cell r="C871" t="str">
            <v>BÀN BÁN HÀNG LẮP RÁP + TẤM TRANG TRÍ</v>
          </cell>
          <cell r="D871" t="str">
            <v>MOBILE SALES TABLE + ARTWORK</v>
          </cell>
          <cell r="E871">
            <v>0</v>
          </cell>
          <cell r="F871" t="str">
            <v>Bỏ chọn</v>
          </cell>
          <cell r="G871"/>
          <cell r="H871"/>
        </row>
        <row r="872">
          <cell r="A872" t="str">
            <v>V39.013.0721</v>
          </cell>
          <cell r="B872" t="str">
            <v>RAINCOAT MEIZAN - XXXL</v>
          </cell>
          <cell r="C872" t="str">
            <v>ÁO MƯA MEIZAN - XXXL</v>
          </cell>
          <cell r="D872" t="str">
            <v>RAINCOAT MEIZAN - XXXL</v>
          </cell>
          <cell r="E872">
            <v>0</v>
          </cell>
          <cell r="F872" t="str">
            <v>Bỏ chọn</v>
          </cell>
          <cell r="G872"/>
          <cell r="H872"/>
        </row>
        <row r="873">
          <cell r="A873" t="str">
            <v>V58.022.022</v>
          </cell>
          <cell r="B873" t="str">
            <v>NECK-TAG FOR SIMPLY SFO</v>
          </cell>
          <cell r="C873" t="str">
            <v>CHỤP TREO CỔ CHAI SIMLY HƯỚNG DƯƠNG</v>
          </cell>
          <cell r="D873" t="str">
            <v>NECK-TAG FOR SIMPLY SFO</v>
          </cell>
          <cell r="E873">
            <v>0</v>
          </cell>
          <cell r="F873" t="str">
            <v>Bỏ chọn</v>
          </cell>
          <cell r="G873"/>
          <cell r="H873"/>
        </row>
        <row r="874">
          <cell r="A874" t="str">
            <v>V58.022.019</v>
          </cell>
          <cell r="B874" t="str">
            <v>NECK-TAG FOR NEPTUNE GOLD, 0.4L</v>
          </cell>
          <cell r="C874" t="str">
            <v>NHÃN CỔ CHAI NEPTUNE GOLD 0.4L</v>
          </cell>
          <cell r="D874" t="str">
            <v>NECK-TAG FOR NEPTUNE GOLD, 0.4L</v>
          </cell>
          <cell r="E874">
            <v>0</v>
          </cell>
          <cell r="F874" t="str">
            <v>Bỏ chọn</v>
          </cell>
          <cell r="G874"/>
          <cell r="H874"/>
        </row>
        <row r="875">
          <cell r="A875" t="str">
            <v>V51.103.702</v>
          </cell>
          <cell r="B875" t="str">
            <v>SIMPLY SCRATCH CARD</v>
          </cell>
          <cell r="C875" t="str">
            <v>THẺ CÀO SIMPLY</v>
          </cell>
          <cell r="D875" t="str">
            <v>SIMPLY SCRATCH CARD</v>
          </cell>
          <cell r="E875">
            <v>0</v>
          </cell>
          <cell r="F875" t="str">
            <v>Bỏ chọn</v>
          </cell>
          <cell r="G875"/>
          <cell r="H875"/>
        </row>
        <row r="876">
          <cell r="A876" t="str">
            <v>V51.103.701</v>
          </cell>
          <cell r="B876" t="str">
            <v>MEIZAN SCRATCH CARD</v>
          </cell>
          <cell r="C876" t="str">
            <v>THẺ CÀO MEIZAN</v>
          </cell>
          <cell r="D876" t="str">
            <v>MEIZAN SCRATCH CARD</v>
          </cell>
          <cell r="E876">
            <v>0</v>
          </cell>
          <cell r="F876" t="str">
            <v>Bỏ chọn</v>
          </cell>
          <cell r="G876"/>
          <cell r="H876"/>
        </row>
        <row r="877">
          <cell r="A877" t="str">
            <v>V58.027.002</v>
          </cell>
          <cell r="B877" t="str">
            <v xml:space="preserve"> NEPTUNE RBO LACQUER BOX</v>
          </cell>
          <cell r="C877" t="str">
            <v>HỘP SƠN MÀI NEPTUNE</v>
          </cell>
          <cell r="D877" t="str">
            <v xml:space="preserve"> NEPTUNE RBO LACQUER BOX</v>
          </cell>
          <cell r="E877">
            <v>0</v>
          </cell>
          <cell r="F877" t="str">
            <v>Bỏ chọn</v>
          </cell>
          <cell r="G877"/>
          <cell r="H877"/>
        </row>
        <row r="878">
          <cell r="A878" t="str">
            <v>6.52399150522</v>
          </cell>
          <cell r="B878" t="str">
            <v>RED KEY_25 (KM)</v>
          </cell>
          <cell r="C878" t="str">
            <v>BỘT MÌ NHÃN HIỆU "CHÌA KHÓA ĐỎ" (25KG)</v>
          </cell>
          <cell r="D878" t="str">
            <v>RED KEY_25 (KM)</v>
          </cell>
          <cell r="E878">
            <v>1</v>
          </cell>
          <cell r="F878" t="str">
            <v>Bỏ chọn</v>
          </cell>
          <cell r="G878"/>
          <cell r="H878"/>
        </row>
        <row r="879">
          <cell r="A879" t="str">
            <v>7.1070123201852000</v>
          </cell>
          <cell r="B879" t="str">
            <v>MEIZAN MARGARINE MP44MAX OVALTUBE@800GR</v>
          </cell>
          <cell r="C879" t="str">
            <v>MARGARINE HIỆU MEIZAN 0.8KG</v>
          </cell>
          <cell r="D879" t="str">
            <v>MEIZAN MARGARINE MP44MAX OVALTUBE@800GR</v>
          </cell>
          <cell r="E879">
            <v>0.8</v>
          </cell>
          <cell r="F879" t="str">
            <v>Bỏ chọn</v>
          </cell>
          <cell r="G879"/>
          <cell r="H879"/>
        </row>
        <row r="880">
          <cell r="A880" t="str">
            <v>V39.015.400</v>
          </cell>
          <cell r="B880" t="str">
            <v>INFRARED KITCHEN KANGAROO KG 394I</v>
          </cell>
          <cell r="C880" t="str">
            <v>BẾP HỒNG NGOẠI KANGAROO KG 394I</v>
          </cell>
          <cell r="D880" t="str">
            <v>INFRARED KITCHEN KANGAROO KG 394I</v>
          </cell>
          <cell r="E880">
            <v>0</v>
          </cell>
          <cell r="F880" t="str">
            <v>Bỏ chọn</v>
          </cell>
          <cell r="G880"/>
          <cell r="H880"/>
        </row>
        <row r="881">
          <cell r="A881" t="str">
            <v>V39.017.081</v>
          </cell>
          <cell r="B881" t="str">
            <v>WASHING MACHINE ELECTROLUX EWF</v>
          </cell>
          <cell r="C881" t="str">
            <v>MÁY GIẶT ELECTROLUX EWF 85743</v>
          </cell>
          <cell r="D881" t="str">
            <v>WASHING MACHINE ELECTROLUX EWF</v>
          </cell>
          <cell r="E881">
            <v>0</v>
          </cell>
          <cell r="F881" t="str">
            <v>Bỏ chọn</v>
          </cell>
          <cell r="G881"/>
          <cell r="H881"/>
        </row>
        <row r="882">
          <cell r="A882" t="str">
            <v>V39.034.006</v>
          </cell>
          <cell r="B882" t="str">
            <v>WATER PURIFIERS KANGAROO KG118</v>
          </cell>
          <cell r="C882" t="str">
            <v>MÁY LỌC NƯỚC KANGAROO KG118</v>
          </cell>
          <cell r="D882" t="str">
            <v>WATER PURIFIERS KANGAROO KG118</v>
          </cell>
          <cell r="E882">
            <v>0</v>
          </cell>
          <cell r="F882" t="str">
            <v>Bỏ chọn</v>
          </cell>
          <cell r="G882"/>
          <cell r="H882"/>
        </row>
        <row r="883">
          <cell r="A883" t="str">
            <v>V51.048.002</v>
          </cell>
          <cell r="B883" t="str">
            <v>OYSTER SAUCE 320GR</v>
          </cell>
          <cell r="C883" t="str">
            <v>DẦU HÀO 320GR</v>
          </cell>
          <cell r="D883" t="str">
            <v>OYSTER SAUCE 320GR</v>
          </cell>
          <cell r="E883">
            <v>0</v>
          </cell>
          <cell r="F883" t="str">
            <v>Bỏ chọn</v>
          </cell>
          <cell r="G883"/>
          <cell r="H883"/>
        </row>
        <row r="884">
          <cell r="A884" t="str">
            <v>V51.401.054</v>
          </cell>
          <cell r="B884" t="str">
            <v>A TAEL OF SJC 999.9</v>
          </cell>
          <cell r="C884" t="str">
            <v>CHỈ VÀNG SJC</v>
          </cell>
          <cell r="D884" t="str">
            <v>A TAEL OF SJC 999.9</v>
          </cell>
          <cell r="E884">
            <v>0</v>
          </cell>
          <cell r="F884" t="str">
            <v>Bỏ chọn</v>
          </cell>
          <cell r="G884"/>
          <cell r="H884"/>
        </row>
        <row r="885">
          <cell r="A885" t="str">
            <v>7.460052261200030</v>
          </cell>
          <cell r="B885" t="str">
            <v>SATELLITE RBDRBO IN JERRYCAN@25KG</v>
          </cell>
          <cell r="C885" t="str">
            <v>DẦU CÁM GẠO TINH LUYỆN HIỆU SATELLITE TRONG CAN 25KG</v>
          </cell>
          <cell r="D885" t="str">
            <v>SATELLITE RBDRBO IN JERRYCAN@25KG</v>
          </cell>
          <cell r="E885">
            <v>25</v>
          </cell>
          <cell r="F885" t="str">
            <v>Bỏ chọn</v>
          </cell>
          <cell r="G885"/>
          <cell r="H885"/>
        </row>
        <row r="886">
          <cell r="A886" t="str">
            <v>7.9240123021001</v>
          </cell>
          <cell r="B886" t="str">
            <v>HANG VIET SOY SAUCE 495ML X 24 BOT</v>
          </cell>
          <cell r="C886" t="str">
            <v>NƯỚC TƯƠNG HÀNG VIỆT 495ML</v>
          </cell>
          <cell r="D886" t="str">
            <v>HANG VIET SOY SAUCE 495ML X 24 BOT</v>
          </cell>
          <cell r="E886">
            <v>12.8</v>
          </cell>
          <cell r="F886" t="str">
            <v>Bỏ chọn</v>
          </cell>
          <cell r="G886"/>
          <cell r="H886"/>
        </row>
        <row r="887">
          <cell r="A887" t="str">
            <v>7.9240223991123</v>
          </cell>
          <cell r="B887" t="str">
            <v>HOT CHILLI SAUCE 275G X 24 BOT</v>
          </cell>
          <cell r="C887" t="str">
            <v>TƯƠNG ỚT ĐẶC BIỆT CAY 275G</v>
          </cell>
          <cell r="D887" t="str">
            <v>HOT CHILLI SAUCE 275G X 24 BOT</v>
          </cell>
          <cell r="E887">
            <v>6.6</v>
          </cell>
          <cell r="F887" t="str">
            <v>Bỏ chọn</v>
          </cell>
          <cell r="G887"/>
          <cell r="H887"/>
        </row>
        <row r="888">
          <cell r="A888" t="str">
            <v>7.9240223991101</v>
          </cell>
          <cell r="B888" t="str">
            <v>CHILI SAUCE 275G X 24 BOT</v>
          </cell>
          <cell r="C888" t="str">
            <v>TƯƠNG ỚT 275G</v>
          </cell>
          <cell r="D888" t="str">
            <v>CHILI SAUCE 275G X 24 BOT</v>
          </cell>
          <cell r="E888">
            <v>6.6</v>
          </cell>
          <cell r="F888" t="str">
            <v>Bỏ chọn</v>
          </cell>
          <cell r="G888"/>
          <cell r="H888"/>
        </row>
        <row r="889">
          <cell r="A889" t="str">
            <v>7.92423991201</v>
          </cell>
          <cell r="B889" t="str">
            <v>SALAD DRESSING 340G X 30 BOT</v>
          </cell>
          <cell r="C889" t="str">
            <v>SỐT DẦU DẤM 340G</v>
          </cell>
          <cell r="D889" t="str">
            <v>SALAD DRESSING 340G X 30 BOT</v>
          </cell>
          <cell r="E889">
            <v>10.199999999999999</v>
          </cell>
          <cell r="F889" t="str">
            <v>Bỏ chọn</v>
          </cell>
          <cell r="G889"/>
          <cell r="H889"/>
        </row>
        <row r="890">
          <cell r="A890" t="str">
            <v>7.9240123031301</v>
          </cell>
          <cell r="B890" t="str">
            <v>PREMIUM SOYA SOUCE 200ML X 24 BOT</v>
          </cell>
          <cell r="C890" t="str">
            <v>NƯỚC TƯƠNG THƯỢNG HẠNG 200ML</v>
          </cell>
          <cell r="D890" t="str">
            <v>PREMIUM SOYA SOUCE 200ML X 24 BOT</v>
          </cell>
          <cell r="E890">
            <v>5.5</v>
          </cell>
          <cell r="F890" t="str">
            <v>Bỏ chọn</v>
          </cell>
          <cell r="G890"/>
          <cell r="H890"/>
        </row>
        <row r="891">
          <cell r="A891" t="str">
            <v>7.9240123041401</v>
          </cell>
          <cell r="B891" t="str">
            <v>HUONG NAM DIPPING SAUCE 450ML X 20 BOT</v>
          </cell>
          <cell r="C891" t="str">
            <v>NƯỚC CHẤM HƯƠNG NẤM 450ML</v>
          </cell>
          <cell r="D891" t="str">
            <v>HUONG NAM DIPPING SAUCE 450ML X 20 BOT</v>
          </cell>
          <cell r="E891">
            <v>9</v>
          </cell>
          <cell r="F891" t="str">
            <v>Bỏ chọn</v>
          </cell>
          <cell r="G891"/>
          <cell r="H891"/>
        </row>
        <row r="892">
          <cell r="A892" t="str">
            <v>7.924012302100101</v>
          </cell>
          <cell r="B892" t="str">
            <v>HANG VIET SOY SAUCE 495ML</v>
          </cell>
          <cell r="C892" t="str">
            <v>NƯỚC TƯƠNG HÀNG VIỆT 495ML</v>
          </cell>
          <cell r="D892" t="str">
            <v>HANG VIET SOY SAUCE 495ML</v>
          </cell>
          <cell r="E892">
            <v>0.53300000000000003</v>
          </cell>
          <cell r="F892" t="str">
            <v>Bỏ chọn</v>
          </cell>
          <cell r="G892"/>
          <cell r="H892"/>
        </row>
        <row r="893">
          <cell r="A893" t="str">
            <v>7.924022399112301</v>
          </cell>
          <cell r="B893" t="str">
            <v>HOT CHILLI SAUCE 275G</v>
          </cell>
          <cell r="C893" t="str">
            <v>TƯƠNG ỚT ĐẶC BIỆT CAY 275G</v>
          </cell>
          <cell r="D893" t="str">
            <v>HOT CHILLI SAUCE 275G</v>
          </cell>
          <cell r="E893">
            <v>0.27500000000000002</v>
          </cell>
          <cell r="F893" t="str">
            <v>Bỏ chọn</v>
          </cell>
          <cell r="G893"/>
          <cell r="H893"/>
        </row>
        <row r="894">
          <cell r="A894" t="str">
            <v>7.924022399110101</v>
          </cell>
          <cell r="B894" t="str">
            <v>CHILI SAUCE 275G</v>
          </cell>
          <cell r="C894" t="str">
            <v>TƯƠNG ỚT 275G</v>
          </cell>
          <cell r="D894" t="str">
            <v>CHILI SAUCE 275G</v>
          </cell>
          <cell r="E894">
            <v>0.27500000000000002</v>
          </cell>
          <cell r="F894" t="str">
            <v>Bỏ chọn</v>
          </cell>
          <cell r="G894"/>
          <cell r="H894"/>
        </row>
        <row r="895">
          <cell r="A895" t="str">
            <v>7.9242399120101</v>
          </cell>
          <cell r="B895" t="str">
            <v>SALAD DRESSING 340G</v>
          </cell>
          <cell r="C895" t="str">
            <v>SỐT DẦU DẤM 340G</v>
          </cell>
          <cell r="D895" t="str">
            <v>SALAD DRESSING 340G</v>
          </cell>
          <cell r="E895">
            <v>0.34</v>
          </cell>
          <cell r="F895" t="str">
            <v>Bỏ chọn</v>
          </cell>
          <cell r="G895"/>
          <cell r="H895"/>
        </row>
        <row r="896">
          <cell r="A896" t="str">
            <v>7.924012303130101</v>
          </cell>
          <cell r="B896" t="str">
            <v>PREMIUM SOYA SOUCE 200ML</v>
          </cell>
          <cell r="C896" t="str">
            <v>NƯỚC TƯƠNG THƯỢNG HẠNG 200ML</v>
          </cell>
          <cell r="D896" t="str">
            <v>PREMIUM SOYA SOUCE 200ML</v>
          </cell>
          <cell r="E896">
            <v>0.23</v>
          </cell>
          <cell r="F896" t="str">
            <v>Bỏ chọn</v>
          </cell>
          <cell r="G896"/>
          <cell r="H896"/>
        </row>
        <row r="897">
          <cell r="A897" t="str">
            <v>7.924012304140101</v>
          </cell>
          <cell r="B897" t="str">
            <v>HUONG NAM DIPPING SAUCE 450ML</v>
          </cell>
          <cell r="C897" t="str">
            <v>NƯỚC CHẤM HƯƠNG NẤM 450ML</v>
          </cell>
          <cell r="D897" t="str">
            <v>HUONG NAM DIPPING SAUCE 450ML</v>
          </cell>
          <cell r="E897">
            <v>0.45</v>
          </cell>
          <cell r="F897" t="str">
            <v>Bỏ chọn</v>
          </cell>
          <cell r="G897"/>
          <cell r="H897"/>
        </row>
        <row r="898">
          <cell r="A898" t="str">
            <v>7.52399080221</v>
          </cell>
          <cell r="B898" t="str">
            <v>MEIZAN-CRYSPY 1KG</v>
          </cell>
          <cell r="C898" t="str">
            <v>BỘT CHIÊN GIÒN "MEIZAN" 1KG</v>
          </cell>
          <cell r="D898" t="str">
            <v>MEIZAN-CRYSPY 1KG</v>
          </cell>
          <cell r="E898">
            <v>10</v>
          </cell>
          <cell r="F898" t="str">
            <v>Bỏ chọn</v>
          </cell>
          <cell r="G898"/>
          <cell r="H898"/>
        </row>
        <row r="899">
          <cell r="A899" t="str">
            <v>6.5239905050501</v>
          </cell>
          <cell r="B899" t="str">
            <v>COMPASS LP1-25</v>
          </cell>
          <cell r="C899" t="str">
            <v>BỘT MÌ ĐA DỤNG LA BÀN LP-1 (25KG)</v>
          </cell>
          <cell r="D899" t="str">
            <v>COMPASS LP1-25</v>
          </cell>
          <cell r="E899">
            <v>1</v>
          </cell>
          <cell r="F899" t="str">
            <v>Bỏ chọn</v>
          </cell>
          <cell r="G899"/>
          <cell r="H899"/>
        </row>
        <row r="900">
          <cell r="A900" t="str">
            <v>6.5239905050526</v>
          </cell>
          <cell r="B900" t="str">
            <v>COMPASS LP1-25-AD2</v>
          </cell>
          <cell r="C900" t="str">
            <v>BỘT MÌ ĐA DỤNG LA BÀN LP-1 (25KG)</v>
          </cell>
          <cell r="D900" t="str">
            <v>COMPASS LP1-25-AD2</v>
          </cell>
          <cell r="E900">
            <v>1</v>
          </cell>
          <cell r="F900" t="str">
            <v>Bỏ chọn</v>
          </cell>
          <cell r="G900"/>
          <cell r="H900"/>
        </row>
        <row r="901">
          <cell r="A901" t="str">
            <v>6.5239905050527</v>
          </cell>
          <cell r="B901" t="str">
            <v>COMPASS LP1-25-TIEN NHAN</v>
          </cell>
          <cell r="C901" t="str">
            <v>BỘT MÌ ĐA DỤNG LA BÀN LP-1 (25KG)</v>
          </cell>
          <cell r="D901" t="str">
            <v>COMPASS LP1-25-TIEN NHAN</v>
          </cell>
          <cell r="E901">
            <v>1</v>
          </cell>
          <cell r="F901" t="str">
            <v>Bỏ chọn</v>
          </cell>
          <cell r="G901"/>
          <cell r="H901"/>
        </row>
        <row r="902">
          <cell r="A902" t="str">
            <v>6.5239905060501</v>
          </cell>
          <cell r="B902" t="str">
            <v>COMPASS LP2-25</v>
          </cell>
          <cell r="C902" t="str">
            <v>BỘT MÌ ĐA DỤNG LA BÀN LP-2 (25KG)</v>
          </cell>
          <cell r="D902" t="str">
            <v>COMPASS LP2-25</v>
          </cell>
          <cell r="E902">
            <v>1</v>
          </cell>
          <cell r="F902" t="str">
            <v>Bỏ chọn</v>
          </cell>
          <cell r="G902"/>
          <cell r="H902"/>
        </row>
        <row r="903">
          <cell r="A903" t="str">
            <v>6.5239905060528</v>
          </cell>
          <cell r="B903" t="str">
            <v>COMPASS LP2-25-SASA</v>
          </cell>
          <cell r="C903" t="str">
            <v>BỘT MÌ ĐA DỤNG LA BÀN LP-2 (25KG)</v>
          </cell>
          <cell r="D903" t="str">
            <v>COMPASS LP2-25-SASA</v>
          </cell>
          <cell r="E903">
            <v>1</v>
          </cell>
          <cell r="F903" t="str">
            <v>Bỏ chọn</v>
          </cell>
          <cell r="G903"/>
          <cell r="H903"/>
        </row>
        <row r="904">
          <cell r="A904" t="str">
            <v>6.5239905070501</v>
          </cell>
          <cell r="B904" t="str">
            <v>COMPASS LP3-25</v>
          </cell>
          <cell r="C904" t="str">
            <v>BỘT MÌ ĐA DỤNG LA BÀN LP-3 (25KG)</v>
          </cell>
          <cell r="D904" t="str">
            <v>COMPASS LP3-25</v>
          </cell>
          <cell r="E904">
            <v>1</v>
          </cell>
          <cell r="F904" t="str">
            <v>Bỏ chọn</v>
          </cell>
          <cell r="G904"/>
          <cell r="H904"/>
        </row>
        <row r="905">
          <cell r="A905" t="str">
            <v>6.5239905070529</v>
          </cell>
          <cell r="B905" t="str">
            <v>COMPASS LP3-25-NEW</v>
          </cell>
          <cell r="C905" t="str">
            <v>BỘT MÌ ĐA DỤNG LA BÀN LP-3 (25KG)</v>
          </cell>
          <cell r="D905" t="str">
            <v>COMPASS LP3-25-NEW</v>
          </cell>
          <cell r="E905">
            <v>1</v>
          </cell>
          <cell r="F905" t="str">
            <v>Bỏ chọn</v>
          </cell>
          <cell r="G905"/>
          <cell r="H905"/>
        </row>
        <row r="906">
          <cell r="A906" t="str">
            <v>6.5239905070528</v>
          </cell>
          <cell r="B906" t="str">
            <v>COMPASS LP3-25-SASA</v>
          </cell>
          <cell r="C906" t="str">
            <v>BỘT MÌ ĐA DỤNG LA BÀN LP-3 (25KG)</v>
          </cell>
          <cell r="D906" t="str">
            <v>COMPASS LP3-25-SASA</v>
          </cell>
          <cell r="E906">
            <v>1</v>
          </cell>
          <cell r="F906" t="str">
            <v>Bỏ chọn</v>
          </cell>
          <cell r="G906"/>
          <cell r="H906"/>
        </row>
        <row r="907">
          <cell r="A907" t="str">
            <v>6.5239905070527</v>
          </cell>
          <cell r="B907" t="str">
            <v>COMPASS LP3-25-TIEN NHAN</v>
          </cell>
          <cell r="C907" t="str">
            <v>BỘT MÌ ĐA DỤNG LA BÀN LP-3 (25KG)</v>
          </cell>
          <cell r="D907" t="str">
            <v>COMPASS LP3-25-TIEN NHAN</v>
          </cell>
          <cell r="E907">
            <v>1</v>
          </cell>
          <cell r="F907" t="str">
            <v>Bỏ chọn</v>
          </cell>
          <cell r="G907"/>
          <cell r="H907"/>
        </row>
        <row r="908">
          <cell r="A908" t="str">
            <v>6.5239905070530</v>
          </cell>
          <cell r="B908" t="str">
            <v>COMPASS LP3-25-VUNG VONG</v>
          </cell>
          <cell r="C908" t="str">
            <v>BỘT MÌ ĐA DỤNG LA BÀN LP-3 (25KG)</v>
          </cell>
          <cell r="D908" t="str">
            <v>COMPASS LP3-25-VUNG VONG</v>
          </cell>
          <cell r="E908">
            <v>1</v>
          </cell>
          <cell r="F908" t="str">
            <v>Bỏ chọn</v>
          </cell>
          <cell r="G908"/>
          <cell r="H908"/>
        </row>
        <row r="909">
          <cell r="A909" t="str">
            <v>6.5239905080501</v>
          </cell>
          <cell r="B909" t="str">
            <v>COMPASS LP4-25</v>
          </cell>
          <cell r="C909" t="str">
            <v>BỘT MÌ ĐA DỤNG LA BÀN LP-4 (25KG)</v>
          </cell>
          <cell r="D909" t="str">
            <v>COMPASS LP4-25</v>
          </cell>
          <cell r="E909">
            <v>1</v>
          </cell>
          <cell r="F909" t="str">
            <v>Bỏ chọn</v>
          </cell>
          <cell r="G909"/>
          <cell r="H909"/>
        </row>
        <row r="910">
          <cell r="A910" t="str">
            <v>6.5239905090501</v>
          </cell>
          <cell r="B910" t="str">
            <v>COMPASS LP5-25</v>
          </cell>
          <cell r="C910" t="str">
            <v>BỘT MÌ ĐA DỤNG LA BÀN LP-5 (25KG)</v>
          </cell>
          <cell r="D910" t="str">
            <v>COMPASS LP5-25</v>
          </cell>
          <cell r="E910">
            <v>1</v>
          </cell>
          <cell r="F910" t="str">
            <v>Bỏ chọn</v>
          </cell>
          <cell r="G910"/>
          <cell r="H910"/>
        </row>
        <row r="911">
          <cell r="A911" t="str">
            <v>6.5239905090525</v>
          </cell>
          <cell r="B911" t="str">
            <v>COMPASS LP5-25-AD1</v>
          </cell>
          <cell r="C911" t="str">
            <v>BỘT MÌ ĐA DỤNG LA BÀN LP-5 (25KG)</v>
          </cell>
          <cell r="D911" t="str">
            <v>COMPASS LP5-25-AD1</v>
          </cell>
          <cell r="E911">
            <v>1</v>
          </cell>
          <cell r="F911" t="str">
            <v>Bỏ chọn</v>
          </cell>
          <cell r="G911"/>
          <cell r="H911"/>
        </row>
        <row r="912">
          <cell r="A912" t="str">
            <v>7.101172570901020</v>
          </cell>
          <cell r="B912" t="str">
            <v>SATELLITE REDLABEL RBDOLCP8 IN BIB @18KG</v>
          </cell>
          <cell r="C912" t="str">
            <v>DẦU OLEIN CỌ TINH LUYỆN NHÃN HIỆU SATELLITE NHÃN MÀU ĐỎ18KG</v>
          </cell>
          <cell r="D912" t="str">
            <v>SATELLITE REDLABEL RBDOLCP8 IN BIB @18KG</v>
          </cell>
          <cell r="E912">
            <v>18</v>
          </cell>
          <cell r="F912" t="str">
            <v>Chọn</v>
          </cell>
          <cell r="G912"/>
          <cell r="H912"/>
        </row>
        <row r="913">
          <cell r="A913" t="str">
            <v>7.9240223122101</v>
          </cell>
          <cell r="B913" t="str">
            <v>CHILLI SAUCES HORECA 5,2KG X 4 BOT</v>
          </cell>
          <cell r="C913" t="str">
            <v>TƯƠNG ỚT HORECA 5,2KG</v>
          </cell>
          <cell r="D913" t="str">
            <v>CHILLI SAUCES HORECA 5,2KG X 4 BOT</v>
          </cell>
          <cell r="E913">
            <v>20.8</v>
          </cell>
          <cell r="F913" t="str">
            <v>Bỏ chọn</v>
          </cell>
          <cell r="G913"/>
          <cell r="H913"/>
        </row>
        <row r="914">
          <cell r="A914" t="str">
            <v>7.924022312210101</v>
          </cell>
          <cell r="B914" t="str">
            <v>CHILLI SAUCES HORECA 5,2KG</v>
          </cell>
          <cell r="C914" t="str">
            <v>TƯƠNG ỚT HORECA 5,2KG</v>
          </cell>
          <cell r="D914" t="str">
            <v>CHILLI SAUCES HORECA 5,2KG</v>
          </cell>
          <cell r="E914">
            <v>5.2</v>
          </cell>
          <cell r="F914" t="str">
            <v>Bỏ chọn</v>
          </cell>
          <cell r="G914"/>
          <cell r="H914"/>
        </row>
        <row r="915">
          <cell r="A915" t="str">
            <v>V86.8242499001</v>
          </cell>
          <cell r="B915" t="str">
            <v>STICKER TRADITIONAL WHOLE EGG 2KG</v>
          </cell>
          <cell r="C915" t="str">
            <v>STICKER TRADITIONAL WHOLE EGG 2KG</v>
          </cell>
          <cell r="D915" t="str">
            <v>STICKER TRADITIONAL WHOLE EGG 2KG</v>
          </cell>
          <cell r="E915">
            <v>0</v>
          </cell>
          <cell r="F915" t="str">
            <v>Bỏ chọn</v>
          </cell>
          <cell r="G915"/>
          <cell r="H915"/>
        </row>
        <row r="916">
          <cell r="A916" t="str">
            <v>V86.8242599001</v>
          </cell>
          <cell r="B916" t="str">
            <v>STICKER ETA BBQ SAUCE 4KG</v>
          </cell>
          <cell r="C916" t="str">
            <v>STICKER ETA BBQ SAUCE 4KG</v>
          </cell>
          <cell r="D916" t="str">
            <v>STICKER ETA BBQ SAUCE 4KG</v>
          </cell>
          <cell r="E916">
            <v>0</v>
          </cell>
          <cell r="F916" t="str">
            <v>Bỏ chọn</v>
          </cell>
          <cell r="G916"/>
          <cell r="H916"/>
        </row>
        <row r="917">
          <cell r="A917" t="str">
            <v>V86.8242499002</v>
          </cell>
          <cell r="B917" t="str">
            <v>STICKER TRADITIONAL 365GR</v>
          </cell>
          <cell r="C917" t="str">
            <v>STICKER TRADITIONAL 365GR</v>
          </cell>
          <cell r="D917" t="str">
            <v>STICKER TRADITIONAL 365GR</v>
          </cell>
          <cell r="E917">
            <v>0</v>
          </cell>
          <cell r="F917" t="str">
            <v>Bỏ chọn</v>
          </cell>
          <cell r="G917"/>
          <cell r="H917"/>
        </row>
        <row r="918">
          <cell r="A918" t="str">
            <v>V86.8242499003</v>
          </cell>
          <cell r="B918" t="str">
            <v>STICKER REAL WHOLE EGG 355GR</v>
          </cell>
          <cell r="C918" t="str">
            <v>STICKER REAL WHOLE EGG 355GR</v>
          </cell>
          <cell r="D918" t="str">
            <v>STICKER REAL WHOLE EGG 355GR</v>
          </cell>
          <cell r="E918">
            <v>0</v>
          </cell>
          <cell r="F918" t="str">
            <v>Bỏ chọn</v>
          </cell>
          <cell r="G918"/>
          <cell r="H918"/>
        </row>
        <row r="919">
          <cell r="A919" t="str">
            <v>V86.8242599002</v>
          </cell>
          <cell r="B919" t="str">
            <v>STICKER ETA BBQ SAUCE 375ML</v>
          </cell>
          <cell r="C919" t="str">
            <v>STICKER ETA BBQ SAUCE 375ML</v>
          </cell>
          <cell r="D919" t="str">
            <v>STICKER ETA BBQ SAUCE 375ML</v>
          </cell>
          <cell r="E919">
            <v>0</v>
          </cell>
          <cell r="F919" t="str">
            <v>Bỏ chọn</v>
          </cell>
          <cell r="G919"/>
          <cell r="H919"/>
        </row>
        <row r="920">
          <cell r="A920" t="str">
            <v>7.9240223991901</v>
          </cell>
          <cell r="B920" t="str">
            <v>PREMIUM CHILI SAUCE 295GR X 20 BOT</v>
          </cell>
          <cell r="C920" t="str">
            <v>TƯƠNG ỚT CAO CẤP 295G</v>
          </cell>
          <cell r="D920" t="str">
            <v>PREMIUM CHILI SAUCE 295GR X 20 BOT</v>
          </cell>
          <cell r="E920">
            <v>5.9</v>
          </cell>
          <cell r="F920" t="str">
            <v>Bỏ chọn</v>
          </cell>
          <cell r="G920"/>
          <cell r="H920"/>
        </row>
        <row r="921">
          <cell r="A921" t="str">
            <v>7.924022399190101</v>
          </cell>
          <cell r="B921" t="str">
            <v>PREMIUM CHILI SAUCE 295GR</v>
          </cell>
          <cell r="C921" t="str">
            <v>TƯƠNG ỚT CAO CẤP 295G</v>
          </cell>
          <cell r="D921" t="str">
            <v>PREMIUM CHILI SAUCE 295GR</v>
          </cell>
          <cell r="E921">
            <v>0.29499999999999998</v>
          </cell>
          <cell r="F921" t="str">
            <v>Bỏ chọn</v>
          </cell>
          <cell r="G921"/>
          <cell r="H921"/>
        </row>
        <row r="922">
          <cell r="A922" t="str">
            <v>7.9240223122001</v>
          </cell>
          <cell r="B922" t="str">
            <v>HORECA CHILI SAUCE 2.1KG X 6 BOT</v>
          </cell>
          <cell r="C922" t="str">
            <v>TƯƠNG ỚT HORECA 2,1KG</v>
          </cell>
          <cell r="D922" t="str">
            <v>HORECA CHILI SAUCE 2.1KG X 6 BOT</v>
          </cell>
          <cell r="E922">
            <v>12.6</v>
          </cell>
          <cell r="F922" t="str">
            <v>Bỏ chọn</v>
          </cell>
          <cell r="G922"/>
          <cell r="H922"/>
        </row>
        <row r="923">
          <cell r="A923" t="str">
            <v>7.924022312200101</v>
          </cell>
          <cell r="B923" t="str">
            <v>HORECA CHILI SAUCE 2.1KG</v>
          </cell>
          <cell r="C923" t="str">
            <v>TƯƠNG ỚT HORECA 2,1KG</v>
          </cell>
          <cell r="D923" t="str">
            <v>HORECA CHILI SAUCE 2.1KG</v>
          </cell>
          <cell r="E923">
            <v>2.1</v>
          </cell>
          <cell r="F923" t="str">
            <v>Bỏ chọn</v>
          </cell>
          <cell r="G923"/>
          <cell r="H923"/>
        </row>
        <row r="924">
          <cell r="A924" t="str">
            <v>V39.005.061</v>
          </cell>
          <cell r="B924" t="str">
            <v>KANGAROO KG 57S HUMIDIFYING MIST FAN</v>
          </cell>
          <cell r="C924" t="str">
            <v>QUẠT PHUN SƯƠNG TẠO ẨM KANGAROO KG</v>
          </cell>
          <cell r="D924" t="str">
            <v>KANGAROO KG 57S HUMIDIFYING MIST FAN</v>
          </cell>
          <cell r="E924">
            <v>0</v>
          </cell>
          <cell r="F924" t="str">
            <v>Bỏ chọn</v>
          </cell>
          <cell r="G924"/>
          <cell r="H924"/>
        </row>
        <row r="925">
          <cell r="A925" t="str">
            <v>7.8240128992401</v>
          </cell>
          <cell r="B925" t="str">
            <v>PRAISE TRADITIONAL CREAMY MAYONNAISE 365G X 12BOT</v>
          </cell>
          <cell r="C925" t="str">
            <v>XỐT MAYONNAISE TRUYỀN THỐNG NHÃN HIỆU PRAISE 365G</v>
          </cell>
          <cell r="D925" t="str">
            <v>PRAISE TRADITIONAL CREAMY MAYONNAISE 365G X 12BOT</v>
          </cell>
          <cell r="E925">
            <v>4.38</v>
          </cell>
          <cell r="F925" t="str">
            <v>Bỏ chọn</v>
          </cell>
          <cell r="G925"/>
          <cell r="H925"/>
        </row>
        <row r="926">
          <cell r="A926" t="str">
            <v>7.824012899240101</v>
          </cell>
          <cell r="B926" t="str">
            <v>PRAISE TRADITIONAL CREAMY MAYONNAISE 365G</v>
          </cell>
          <cell r="C926" t="str">
            <v>XỐT MAYONNAISE TRUYỀN THỐNG NHÃN HIỆU PRAISE 365G</v>
          </cell>
          <cell r="D926" t="str">
            <v>PRAISE TRADITIONAL CREAMY MAYONNAISE 365G</v>
          </cell>
          <cell r="E926">
            <v>0.36499999999999999</v>
          </cell>
          <cell r="F926" t="str">
            <v>Bỏ chọn</v>
          </cell>
          <cell r="G926"/>
          <cell r="H926"/>
        </row>
        <row r="927">
          <cell r="A927" t="str">
            <v>7.8240128992501</v>
          </cell>
          <cell r="B927" t="str">
            <v>PRAISE TRADITIONAL WHOLE EGG MAYONNAISE 2KG X 4BOT</v>
          </cell>
          <cell r="C927" t="str">
            <v>XỐT MAYONNAISE TRUYỀN THỐNG NHÃN HIỆU PRAISE 2KG</v>
          </cell>
          <cell r="D927" t="str">
            <v>PRAISE TRADITIONAL WHOLE EGG MAYONNAISE 2KG X 4BOT</v>
          </cell>
          <cell r="E927">
            <v>8</v>
          </cell>
          <cell r="F927" t="str">
            <v>Bỏ chọn</v>
          </cell>
          <cell r="G927"/>
          <cell r="H927"/>
        </row>
        <row r="928">
          <cell r="A928" t="str">
            <v>7.824012899250101</v>
          </cell>
          <cell r="B928" t="str">
            <v>PRAISE TRADITIONAL WHOLE EGG MAYONNAISE 2KG</v>
          </cell>
          <cell r="C928" t="str">
            <v>XỐT MAYONNAISE TRUYỀN THỐNG NHÃN HIỆU PRAISE 2KG</v>
          </cell>
          <cell r="D928" t="str">
            <v>PRAISE TRADITIONAL WHOLE EGG MAYONNAISE 2KG</v>
          </cell>
          <cell r="E928">
            <v>2</v>
          </cell>
          <cell r="F928" t="str">
            <v>Bỏ chọn</v>
          </cell>
          <cell r="G928"/>
          <cell r="H928"/>
        </row>
        <row r="929">
          <cell r="A929" t="str">
            <v>7.8240128992640</v>
          </cell>
          <cell r="B929" t="str">
            <v>PRAISE REAL WHOLE EGG CREAMY MAYONNAISE 335G X 12BOT</v>
          </cell>
          <cell r="C929" t="str">
            <v>XỐT MAYONNAISE TỪ TRỨNG GÀ TƯƠI NHÃN HIỆU PRAISE 335G</v>
          </cell>
          <cell r="D929" t="str">
            <v>PRAISE REAL WHOLE EGG CREAMY MAYONNAISE 335G X 12BOT</v>
          </cell>
          <cell r="E929">
            <v>4.0199999999999996</v>
          </cell>
          <cell r="F929" t="str">
            <v>Bỏ chọn</v>
          </cell>
          <cell r="G929"/>
          <cell r="H929"/>
        </row>
        <row r="930">
          <cell r="A930" t="str">
            <v>7.824012899264001</v>
          </cell>
          <cell r="B930" t="str">
            <v>PRAISE REAL WHOLE EGG CREAMY MAYONNAISE 335G</v>
          </cell>
          <cell r="C930" t="str">
            <v>XỐT MAYONNAISE TỪ TRỨNG GÀ TƯƠI NHÃN HIỆU PRAISE 335G</v>
          </cell>
          <cell r="D930" t="str">
            <v>PRAISE REAL WHOLE EGG CREAMY MAYONNAISE 335G</v>
          </cell>
          <cell r="E930">
            <v>0.34</v>
          </cell>
          <cell r="F930" t="str">
            <v>Bỏ chọn</v>
          </cell>
          <cell r="G930"/>
          <cell r="H930"/>
        </row>
        <row r="931">
          <cell r="A931" t="str">
            <v>7.8240229992701</v>
          </cell>
          <cell r="B931" t="str">
            <v>ETA ORIGINAL BARBECUE SAUCE 375ML X 12BOT</v>
          </cell>
          <cell r="C931" t="str">
            <v>XỐT BARBECUE ETA 375ML</v>
          </cell>
          <cell r="D931" t="str">
            <v>ETA ORIGINAL BARBECUE SAUCE 375ML X 12BOT</v>
          </cell>
          <cell r="E931">
            <v>5.44</v>
          </cell>
          <cell r="F931" t="str">
            <v>Bỏ chọn</v>
          </cell>
          <cell r="G931"/>
          <cell r="H931"/>
        </row>
        <row r="932">
          <cell r="A932" t="str">
            <v>7.824022999270101</v>
          </cell>
          <cell r="B932" t="str">
            <v>ETA ORIGINAL BARBECUE SAUCE 375ML</v>
          </cell>
          <cell r="C932" t="str">
            <v>XỐT BARBECUE ETA 375ML</v>
          </cell>
          <cell r="D932" t="str">
            <v>ETA ORIGINAL BARBECUE SAUCE 375ML</v>
          </cell>
          <cell r="E932">
            <v>0.45</v>
          </cell>
          <cell r="F932" t="str">
            <v>Bỏ chọn</v>
          </cell>
          <cell r="G932"/>
          <cell r="H932"/>
        </row>
        <row r="933">
          <cell r="A933" t="str">
            <v>7.8240229992801</v>
          </cell>
          <cell r="B933" t="str">
            <v>ETA ORIGINAL BARBECUE SAUCE 4KG X 2BOT</v>
          </cell>
          <cell r="C933" t="str">
            <v>XỐT BARBECUE ETA 4KG</v>
          </cell>
          <cell r="D933" t="str">
            <v>ETA ORIGINAL BARBECUE SAUCE 4KG X 2BOT</v>
          </cell>
          <cell r="E933">
            <v>8</v>
          </cell>
          <cell r="F933" t="str">
            <v>Bỏ chọn</v>
          </cell>
          <cell r="G933"/>
          <cell r="H933"/>
        </row>
        <row r="934">
          <cell r="A934" t="str">
            <v>7.824022999280101</v>
          </cell>
          <cell r="B934" t="str">
            <v>ETA ORIGINAL BARBECUE SAUCE 4KG</v>
          </cell>
          <cell r="C934" t="str">
            <v>XỐT BARBECUE ETA 4KG</v>
          </cell>
          <cell r="D934" t="str">
            <v>ETA ORIGINAL BARBECUE SAUCE 4KG</v>
          </cell>
          <cell r="E934">
            <v>4</v>
          </cell>
          <cell r="F934" t="str">
            <v>Bỏ chọn</v>
          </cell>
          <cell r="G934"/>
          <cell r="H934"/>
        </row>
        <row r="935">
          <cell r="A935" t="str">
            <v>V39.013.202</v>
          </cell>
          <cell r="B935" t="str">
            <v>SIMPLY HAT</v>
          </cell>
          <cell r="C935" t="str">
            <v>NÓN SIMPLY</v>
          </cell>
          <cell r="D935" t="str">
            <v>SIMPLY HAT</v>
          </cell>
          <cell r="E935">
            <v>0</v>
          </cell>
          <cell r="F935" t="str">
            <v>Bỏ chọn</v>
          </cell>
          <cell r="G935"/>
          <cell r="H935"/>
        </row>
        <row r="936">
          <cell r="A936" t="str">
            <v>V51.901.024</v>
          </cell>
          <cell r="B936" t="str">
            <v>SIMPLY GREETING CARD 20/10</v>
          </cell>
          <cell r="C936" t="str">
            <v>THIỆP CHÚC MỪNG SIMPLY 20/10</v>
          </cell>
          <cell r="D936" t="str">
            <v>SIMPLY GREETING CARD 20/10</v>
          </cell>
          <cell r="E936">
            <v>0</v>
          </cell>
          <cell r="F936" t="str">
            <v>Bỏ chọn</v>
          </cell>
          <cell r="G936"/>
          <cell r="H936"/>
        </row>
        <row r="937">
          <cell r="A937" t="str">
            <v>V51.600.044</v>
          </cell>
          <cell r="B937" t="str">
            <v>DECAL FOR MEIZAN DELIVERY BOX</v>
          </cell>
          <cell r="C937" t="str">
            <v>DECAN CHO THÙNG CHỞ HÀNG MEIZAN</v>
          </cell>
          <cell r="D937" t="str">
            <v>DECAL FOR MEIZAN DELIVERY BOX</v>
          </cell>
          <cell r="E937">
            <v>0</v>
          </cell>
          <cell r="F937" t="str">
            <v>Bỏ chọn</v>
          </cell>
          <cell r="G937"/>
          <cell r="H937"/>
        </row>
        <row r="938">
          <cell r="A938" t="str">
            <v>V51.153.010</v>
          </cell>
          <cell r="B938" t="str">
            <v>SIMPLY PAPER BAG</v>
          </cell>
          <cell r="C938" t="str">
            <v>TÚI GIẤY SIMPLY</v>
          </cell>
          <cell r="D938" t="str">
            <v>SIMPLY PAPER BAG</v>
          </cell>
          <cell r="E938">
            <v>0</v>
          </cell>
          <cell r="F938" t="str">
            <v>Bỏ chọn</v>
          </cell>
          <cell r="G938"/>
          <cell r="H938"/>
        </row>
        <row r="939">
          <cell r="A939" t="str">
            <v>V39.005.055</v>
          </cell>
          <cell r="B939" t="str">
            <v>MITSUBISHI STANDING FAN LV16-RT CY-GY</v>
          </cell>
          <cell r="C939" t="str">
            <v>QUẠT ĐỨNG MITSUBISHI LV16-RT CY-GY</v>
          </cell>
          <cell r="D939" t="str">
            <v>MITSUBISHI STANDING FAN LV16-RT CY-GY</v>
          </cell>
          <cell r="E939">
            <v>7.2</v>
          </cell>
          <cell r="F939" t="str">
            <v>Bỏ chọn</v>
          </cell>
          <cell r="G939"/>
          <cell r="H939"/>
        </row>
        <row r="940">
          <cell r="A940" t="str">
            <v>7.9240223991638</v>
          </cell>
          <cell r="B940" t="str">
            <v>CHILLI SAUCE SWEET AND SOUR 265GR X 30 BOT</v>
          </cell>
          <cell r="C940" t="str">
            <v>TƯƠNG ỚT CHUA NGỌT 265G</v>
          </cell>
          <cell r="D940" t="str">
            <v>CHILLI SAUCE SWEET AND SOUR 265GR X 30 BOT</v>
          </cell>
          <cell r="E940">
            <v>8</v>
          </cell>
          <cell r="F940" t="str">
            <v>Bỏ chọn</v>
          </cell>
          <cell r="G940"/>
          <cell r="H940"/>
        </row>
        <row r="941">
          <cell r="A941" t="str">
            <v>7.924022399163801</v>
          </cell>
          <cell r="B941" t="str">
            <v>CHILLI SAUCE SWEET AND SOUR 265GR</v>
          </cell>
          <cell r="C941" t="str">
            <v>TƯƠNG ỚT CHUA NGỌT 265G</v>
          </cell>
          <cell r="D941" t="str">
            <v>CHILLI SAUCE SWEET AND SOUR 265GR</v>
          </cell>
          <cell r="E941">
            <v>0.26500000000000001</v>
          </cell>
          <cell r="F941" t="str">
            <v>Bỏ chọn</v>
          </cell>
          <cell r="G941"/>
          <cell r="H941"/>
        </row>
        <row r="942">
          <cell r="A942" t="str">
            <v>7.9240323991201</v>
          </cell>
          <cell r="B942" t="str">
            <v>OYSTER SAUCE 340GR X 30 BOT</v>
          </cell>
          <cell r="C942" t="str">
            <v>DẦU HÀO 340G</v>
          </cell>
          <cell r="D942" t="str">
            <v>OYSTER SAUCE 340GR X 30 BOT</v>
          </cell>
          <cell r="E942">
            <v>10.199999999999999</v>
          </cell>
          <cell r="F942" t="str">
            <v>Bỏ chọn</v>
          </cell>
          <cell r="G942"/>
          <cell r="H942"/>
        </row>
        <row r="943">
          <cell r="A943" t="str">
            <v>7.924032399120101</v>
          </cell>
          <cell r="B943" t="str">
            <v>OYSTER SAUCE 340GR</v>
          </cell>
          <cell r="C943" t="str">
            <v>DẦU HÀO 340G</v>
          </cell>
          <cell r="D943" t="str">
            <v>OYSTER SAUCE 340GR</v>
          </cell>
          <cell r="E943">
            <v>0.34</v>
          </cell>
          <cell r="F943" t="str">
            <v>Bỏ chọn</v>
          </cell>
          <cell r="G943"/>
          <cell r="H943"/>
        </row>
        <row r="944">
          <cell r="A944" t="str">
            <v>7.9240523991501</v>
          </cell>
          <cell r="B944" t="str">
            <v>SATAY CHILLI 90GR X 60 BOT</v>
          </cell>
          <cell r="C944" t="str">
            <v>SA TẾ ỚT 90G</v>
          </cell>
          <cell r="D944" t="str">
            <v>SATAY CHILLI 90GR X 60 BOT</v>
          </cell>
          <cell r="E944">
            <v>5.4</v>
          </cell>
          <cell r="F944" t="str">
            <v>Bỏ chọn</v>
          </cell>
          <cell r="G944"/>
          <cell r="H944"/>
        </row>
        <row r="945">
          <cell r="A945" t="str">
            <v>7.924052399150101</v>
          </cell>
          <cell r="B945" t="str">
            <v xml:space="preserve">SATAY CHILLI 90GR </v>
          </cell>
          <cell r="C945" t="str">
            <v>SA TẾ ỚT 90G</v>
          </cell>
          <cell r="D945" t="str">
            <v xml:space="preserve">SATAY CHILLI 90GR </v>
          </cell>
          <cell r="E945">
            <v>0.09</v>
          </cell>
          <cell r="F945" t="str">
            <v>Bỏ chọn</v>
          </cell>
          <cell r="G945"/>
          <cell r="H945"/>
        </row>
        <row r="946">
          <cell r="A946" t="str">
            <v>7.9240223991637</v>
          </cell>
          <cell r="B946" t="str">
            <v>PLUM CHILLI SAUCE 265GR X 30 BOT</v>
          </cell>
          <cell r="C946" t="str">
            <v>TƯƠNG ỚT XÍ MUỘI 265G</v>
          </cell>
          <cell r="D946" t="str">
            <v>PLUM CHILLI SAUCE 265GR X 30 BOT</v>
          </cell>
          <cell r="E946">
            <v>8</v>
          </cell>
          <cell r="F946" t="str">
            <v>Bỏ chọn</v>
          </cell>
          <cell r="G946"/>
          <cell r="H946"/>
        </row>
        <row r="947">
          <cell r="A947" t="str">
            <v>7.924022399163701</v>
          </cell>
          <cell r="B947" t="str">
            <v>CHILI PLUM SAUCE 265GR</v>
          </cell>
          <cell r="C947" t="str">
            <v>TƯƠNG ỚT XÍ MUỘI 265G</v>
          </cell>
          <cell r="D947" t="str">
            <v>CHILI PLUM SAUCE 265GR</v>
          </cell>
          <cell r="E947">
            <v>0.26500000000000001</v>
          </cell>
          <cell r="F947" t="str">
            <v>Bỏ chọn</v>
          </cell>
          <cell r="G947"/>
          <cell r="H947"/>
        </row>
        <row r="948">
          <cell r="A948" t="str">
            <v>7.70510</v>
          </cell>
          <cell r="B948" t="str">
            <v>WILFAESTER IPP@180STEELDRUM</v>
          </cell>
          <cell r="C948" t="str">
            <v>ESTE CỦA AXIT PALMITIC - WILFAESTER IPP; PHUY 180KG</v>
          </cell>
          <cell r="D948" t="str">
            <v>WILFAESTER IPP@180STEELDRUM</v>
          </cell>
          <cell r="E948">
            <v>1</v>
          </cell>
          <cell r="F948" t="str">
            <v>Bỏ chọn</v>
          </cell>
          <cell r="G948"/>
          <cell r="H948"/>
        </row>
        <row r="949">
          <cell r="A949" t="str">
            <v>7.70511</v>
          </cell>
          <cell r="B949" t="str">
            <v>WILFAESTER IPM@180STEELDRUM</v>
          </cell>
          <cell r="C949" t="str">
            <v>ESTE CỦA AXIT MYRISTIC - WILFAESTER IPM; PHUY 180KG</v>
          </cell>
          <cell r="D949" t="str">
            <v>WILFAESTER IPM@180STEELDRUM</v>
          </cell>
          <cell r="E949">
            <v>1</v>
          </cell>
          <cell r="F949" t="str">
            <v>Bỏ chọn</v>
          </cell>
          <cell r="G949"/>
          <cell r="H949"/>
        </row>
        <row r="950">
          <cell r="A950" t="str">
            <v>6.5239907990541</v>
          </cell>
          <cell r="B950" t="str">
            <v>GREEN KEY-25-TOP FOOD</v>
          </cell>
          <cell r="C950" t="str">
            <v>BỘT MÌ NHÃN HIỆU "CHÌA KHÓA XANH LÁ" (25KG)</v>
          </cell>
          <cell r="D950" t="str">
            <v>GREEN KEY-25-TOP FOOD</v>
          </cell>
          <cell r="E950">
            <v>1</v>
          </cell>
          <cell r="F950" t="str">
            <v>Bỏ chọn</v>
          </cell>
          <cell r="G950"/>
          <cell r="H950"/>
        </row>
        <row r="951">
          <cell r="A951" t="str">
            <v>6.5239907990543</v>
          </cell>
          <cell r="B951" t="str">
            <v>GREEN KEY-25-DIAMOND</v>
          </cell>
          <cell r="C951" t="str">
            <v>BỘT MÌ NHÃN HIỆU "CHÌA KHÓA XANH LÁ" (25KG)</v>
          </cell>
          <cell r="D951" t="str">
            <v>GREEN KEY-25-DIAMOND</v>
          </cell>
          <cell r="E951">
            <v>1</v>
          </cell>
          <cell r="F951" t="str">
            <v>Bỏ chọn</v>
          </cell>
          <cell r="G951"/>
          <cell r="H951"/>
        </row>
        <row r="952">
          <cell r="A952" t="str">
            <v>6.5239927990501</v>
          </cell>
          <cell r="B952" t="str">
            <v>GREEN KEY SP-25</v>
          </cell>
          <cell r="C952" t="str">
            <v>BỘT MÌ THƯỢNG HẠNG "CHÌA KHÓA XANH LÁ SP" (25KG)</v>
          </cell>
          <cell r="D952" t="str">
            <v>GREEN KEY SP-25</v>
          </cell>
          <cell r="E952">
            <v>1</v>
          </cell>
          <cell r="F952" t="str">
            <v>Bỏ chọn</v>
          </cell>
          <cell r="G952"/>
          <cell r="H952"/>
        </row>
        <row r="953">
          <cell r="A953" t="str">
            <v>6.5239927990542</v>
          </cell>
          <cell r="B953" t="str">
            <v>GREEN KEY SP-25-TRANG AN</v>
          </cell>
          <cell r="C953" t="str">
            <v>BỘT MÌ THƯỢNG HẠNG "CHÌA KHÓA XANH LÁ SP" (25KG)</v>
          </cell>
          <cell r="D953" t="str">
            <v>GREEN KEY SP-25-TRANG AN</v>
          </cell>
          <cell r="E953">
            <v>1</v>
          </cell>
          <cell r="F953" t="str">
            <v>Bỏ chọn</v>
          </cell>
          <cell r="G953"/>
          <cell r="H953"/>
        </row>
        <row r="954">
          <cell r="A954" t="str">
            <v>6.5239907990544</v>
          </cell>
          <cell r="B954" t="str">
            <v>GREEN KEY-25-HAI CHAU</v>
          </cell>
          <cell r="C954" t="str">
            <v>BỘT MÌ NHÃN HIỆU "CHÌA KHÓA XANH LÁ" (25KG)</v>
          </cell>
          <cell r="D954" t="str">
            <v>GREEN KEY-25-HAI CHAU</v>
          </cell>
          <cell r="E954">
            <v>1</v>
          </cell>
          <cell r="F954" t="str">
            <v>Bỏ chọn</v>
          </cell>
          <cell r="G954"/>
          <cell r="H954"/>
        </row>
        <row r="955">
          <cell r="A955" t="str">
            <v>6.5239907990545</v>
          </cell>
          <cell r="B955" t="str">
            <v>GREEN KEY-25-HOBICO</v>
          </cell>
          <cell r="C955" t="str">
            <v>BỘT MÌ NHÃN HIỆU "CHÌA KHÓA XANH LÁ" (25KG)</v>
          </cell>
          <cell r="D955" t="str">
            <v>GREEN KEY-25-HOBICO</v>
          </cell>
          <cell r="E955">
            <v>1</v>
          </cell>
          <cell r="F955" t="str">
            <v>Bỏ chọn</v>
          </cell>
          <cell r="G955"/>
          <cell r="H955"/>
        </row>
        <row r="956">
          <cell r="A956" t="str">
            <v>6.5239907990546</v>
          </cell>
          <cell r="B956" t="str">
            <v>GREEN KEY-25-LBB</v>
          </cell>
          <cell r="C956" t="str">
            <v>BỘT MÌ NHÃN HIỆU "CHÌA KHÓA XANH LÁ" (25KG)</v>
          </cell>
          <cell r="D956" t="str">
            <v>GREEN KEY-25-LBB</v>
          </cell>
          <cell r="E956">
            <v>1</v>
          </cell>
          <cell r="F956" t="str">
            <v>Bỏ chọn</v>
          </cell>
          <cell r="G956"/>
          <cell r="H956"/>
        </row>
        <row r="957">
          <cell r="A957" t="str">
            <v>6.5239907990542</v>
          </cell>
          <cell r="B957" t="str">
            <v>GREEN KEY-25-TRANG AN</v>
          </cell>
          <cell r="C957" t="str">
            <v>BỘT MÌ NHÃN HIỆU "CHÌA KHÓA XANH LÁ" (25KG)</v>
          </cell>
          <cell r="D957" t="str">
            <v>GREEN KEY-25-TRANG AN</v>
          </cell>
          <cell r="E957">
            <v>1</v>
          </cell>
          <cell r="F957" t="str">
            <v>Bỏ chọn</v>
          </cell>
          <cell r="G957"/>
          <cell r="H957"/>
        </row>
        <row r="958">
          <cell r="A958" t="str">
            <v>7.9240123010901</v>
          </cell>
          <cell r="B958" t="str">
            <v>SOYA SAUCE 300ML X 30BOT</v>
          </cell>
          <cell r="C958" t="str">
            <v>NƯỚC TƯƠNG SOYA 300ML</v>
          </cell>
          <cell r="D958" t="str">
            <v>SOYA SAUCE 300ML X 30BOT</v>
          </cell>
          <cell r="E958">
            <v>9.6</v>
          </cell>
          <cell r="F958" t="str">
            <v>Bỏ chọn</v>
          </cell>
          <cell r="G958"/>
          <cell r="H958"/>
        </row>
        <row r="959">
          <cell r="A959" t="str">
            <v>7.924012301090101</v>
          </cell>
          <cell r="B959" t="str">
            <v>SOYA SAUCE 300ML</v>
          </cell>
          <cell r="C959" t="str">
            <v>NƯỚC TƯƠNG SOYA 300ML</v>
          </cell>
          <cell r="D959" t="str">
            <v>SOYA SAUCE 300ML</v>
          </cell>
          <cell r="E959">
            <v>0.32</v>
          </cell>
          <cell r="F959" t="str">
            <v>Bỏ chọn</v>
          </cell>
          <cell r="G959"/>
          <cell r="H959"/>
        </row>
        <row r="960">
          <cell r="A960" t="str">
            <v>7.70512</v>
          </cell>
          <cell r="B960" t="str">
            <v>MIXED SOAP POWDER IN BAG @25KG</v>
          </cell>
          <cell r="C960" t="str">
            <v>PHÔI XÀ PHÒNG - DẠNG BỘT; BAO 25KG</v>
          </cell>
          <cell r="D960" t="str">
            <v>MIXED SOAP POWDER IN BAG @25KG</v>
          </cell>
          <cell r="E960">
            <v>1</v>
          </cell>
          <cell r="F960" t="str">
            <v>Chọn</v>
          </cell>
          <cell r="G960"/>
          <cell r="H960"/>
        </row>
        <row r="961">
          <cell r="A961" t="str">
            <v>V39.013.037</v>
          </cell>
          <cell r="B961" t="str">
            <v>T-SHIRT SIMPLY</v>
          </cell>
          <cell r="C961" t="str">
            <v>ÁO THUN SIMPLY</v>
          </cell>
          <cell r="D961" t="str">
            <v>T-SHIRT SIMPLY</v>
          </cell>
          <cell r="E961">
            <v>0</v>
          </cell>
          <cell r="F961" t="str">
            <v>Bỏ chọn</v>
          </cell>
          <cell r="G961"/>
          <cell r="H961"/>
        </row>
        <row r="962">
          <cell r="A962" t="str">
            <v>6.5239904990534</v>
          </cell>
          <cell r="B962" t="str">
            <v>BROWN COMPASS-25-HANOI FOOD</v>
          </cell>
          <cell r="C962" t="str">
            <v>BỘT MÌ NHÃN HIỆU "LA BÀN NÂU" (25KG)</v>
          </cell>
          <cell r="D962" t="str">
            <v>BROWN COMPASS-25-HANOI FOOD</v>
          </cell>
          <cell r="E962">
            <v>1</v>
          </cell>
          <cell r="F962" t="str">
            <v>Bỏ chọn</v>
          </cell>
          <cell r="G962"/>
          <cell r="H962"/>
        </row>
        <row r="963">
          <cell r="A963" t="str">
            <v>6.5239904990535</v>
          </cell>
          <cell r="B963" t="str">
            <v>BROWN COMPASS-25-HUU NGHI</v>
          </cell>
          <cell r="C963" t="str">
            <v>BỘT MÌ NHÃN HIỆU "LA BÀN NÂU" (25KG)</v>
          </cell>
          <cell r="D963" t="str">
            <v>BROWN COMPASS-25-HUU NGHI</v>
          </cell>
          <cell r="E963">
            <v>1</v>
          </cell>
          <cell r="F963" t="str">
            <v>Bỏ chọn</v>
          </cell>
          <cell r="G963"/>
          <cell r="H963"/>
        </row>
        <row r="964">
          <cell r="A964" t="str">
            <v>6.5239904990520</v>
          </cell>
          <cell r="B964" t="str">
            <v>BROWN COMPASS-25-KHAI MINH</v>
          </cell>
          <cell r="C964" t="str">
            <v>BỘT MÌ NHÃN HIỆU "LA BÀN NÂU" (25KG)</v>
          </cell>
          <cell r="D964" t="str">
            <v>BROWN COMPASS-25-KHAI MINH</v>
          </cell>
          <cell r="E964">
            <v>1</v>
          </cell>
          <cell r="F964" t="str">
            <v>Bỏ chọn</v>
          </cell>
          <cell r="G964"/>
          <cell r="H964"/>
        </row>
        <row r="965">
          <cell r="A965" t="str">
            <v>6.5239904990547</v>
          </cell>
          <cell r="B965" t="str">
            <v>BROWN COMPASS-25-THAI LAN</v>
          </cell>
          <cell r="C965" t="str">
            <v>BỘT MÌ NHÃN HIỆU "LA BÀN NÂU" (25KG)</v>
          </cell>
          <cell r="D965" t="str">
            <v>BROWN COMPASS-25-THAI LAN</v>
          </cell>
          <cell r="E965">
            <v>1</v>
          </cell>
          <cell r="F965" t="str">
            <v>Bỏ chọn</v>
          </cell>
          <cell r="G965"/>
          <cell r="H965"/>
        </row>
        <row r="966">
          <cell r="A966" t="str">
            <v>6.5239904990548</v>
          </cell>
          <cell r="B966" t="str">
            <v>BROWN COMPASS-25-X22</v>
          </cell>
          <cell r="C966" t="str">
            <v>BỘT MÌ NHÃN HIỆU "LA BÀN NÂU" (25KG)</v>
          </cell>
          <cell r="D966" t="str">
            <v>BROWN COMPASS-25-X22</v>
          </cell>
          <cell r="E966">
            <v>1</v>
          </cell>
          <cell r="F966" t="str">
            <v>Bỏ chọn</v>
          </cell>
          <cell r="G966"/>
          <cell r="H966"/>
        </row>
        <row r="967">
          <cell r="A967" t="str">
            <v>6.5239904990636</v>
          </cell>
          <cell r="B967" t="str">
            <v>BROWN COMPASS-40-MASAN</v>
          </cell>
          <cell r="C967" t="str">
            <v>BỘT MÌ NHÃN HIỆU "LA BÀN NÂU" (40KG)</v>
          </cell>
          <cell r="D967" t="str">
            <v>BROWN COMPASS-40-MASAN</v>
          </cell>
          <cell r="E967">
            <v>1</v>
          </cell>
          <cell r="F967" t="str">
            <v>Bỏ chọn</v>
          </cell>
          <cell r="G967"/>
          <cell r="H967"/>
        </row>
        <row r="968">
          <cell r="A968" t="str">
            <v>6.5239904990649</v>
          </cell>
          <cell r="B968" t="str">
            <v>BROWN COMPASS-40-UNIBEN</v>
          </cell>
          <cell r="C968" t="str">
            <v>BỘT MÌ NHÃN HIỆU "LA BÀN NÂU" (40KG)</v>
          </cell>
          <cell r="D968" t="str">
            <v>BROWN COMPASS-40-UNIBEN</v>
          </cell>
          <cell r="E968">
            <v>1</v>
          </cell>
          <cell r="F968" t="str">
            <v>Bỏ chọn</v>
          </cell>
          <cell r="G968"/>
          <cell r="H968"/>
        </row>
        <row r="969">
          <cell r="A969" t="str">
            <v>7.106005020160801</v>
          </cell>
          <cell r="B969" t="str">
            <v>RBD  PALM STEARIN  SANIA  48-52 @ 20KG</v>
          </cell>
          <cell r="C969" t="str">
            <v>WILSHORT SHORTENING 48-52 HIỆU SANIA TRONG THÙNG 20KG</v>
          </cell>
          <cell r="D969" t="str">
            <v>RBD  PALM STEARIN  SANIA  48-52 @ 20KG</v>
          </cell>
          <cell r="E969">
            <v>20</v>
          </cell>
          <cell r="F969" t="str">
            <v>Bỏ chọn</v>
          </cell>
          <cell r="G969"/>
          <cell r="H969"/>
        </row>
        <row r="970">
          <cell r="A970" t="str">
            <v>V51.901.025</v>
          </cell>
          <cell r="B970" t="str">
            <v>HANGER 6 BOXES</v>
          </cell>
          <cell r="C970" t="str">
            <v>GIÁ TREO 6 HỘC</v>
          </cell>
          <cell r="D970" t="str">
            <v>HANGER 6 BOXES</v>
          </cell>
          <cell r="E970">
            <v>0</v>
          </cell>
          <cell r="F970" t="str">
            <v>Bỏ chọn</v>
          </cell>
          <cell r="G970"/>
          <cell r="H970"/>
        </row>
        <row r="971">
          <cell r="A971" t="str">
            <v>7.70513</v>
          </cell>
          <cell r="B971" t="str">
            <v>WILFARIN STEARIC ACID1860 LAMINATED PAPERBAG @25KG</v>
          </cell>
          <cell r="C971" t="str">
            <v>AXIT STEARIC - WILFARIN SA1860</v>
          </cell>
          <cell r="D971" t="str">
            <v>WILFARIN STEARIC ACID1860 LAMINATED PAPERBAG @25KG</v>
          </cell>
          <cell r="E971">
            <v>1</v>
          </cell>
          <cell r="F971" t="str">
            <v>Bỏ chọn</v>
          </cell>
          <cell r="G971"/>
          <cell r="H971"/>
        </row>
        <row r="972">
          <cell r="A972" t="str">
            <v>V51.501.122</v>
          </cell>
          <cell r="B972" t="str">
            <v>TROPHY FOR BEST PERFORMANCE</v>
          </cell>
          <cell r="C972" t="str">
            <v>CÚP CHO NHÀ PHÂN PHỐI ĐẠT THÀNH TÍCH XUẤT SẮC</v>
          </cell>
          <cell r="D972" t="str">
            <v>TROPHY FOR BEST PERFORMANCE</v>
          </cell>
          <cell r="E972">
            <v>0</v>
          </cell>
          <cell r="F972" t="str">
            <v>Bỏ chọn</v>
          </cell>
          <cell r="G972"/>
          <cell r="H972"/>
        </row>
        <row r="973">
          <cell r="A973" t="str">
            <v>V51.501.123</v>
          </cell>
          <cell r="B973" t="str">
            <v>TROPHY FOR GOOD PERFORMANCE</v>
          </cell>
          <cell r="C973" t="str">
            <v>CÚP CHO NHÀ PHÂN PHỐI ĐẠT THÀNH TÍCH TỐT</v>
          </cell>
          <cell r="D973" t="str">
            <v>TROPHY FOR GOOD PERFORMANCE</v>
          </cell>
          <cell r="E973">
            <v>0</v>
          </cell>
          <cell r="F973" t="str">
            <v>Bỏ chọn</v>
          </cell>
          <cell r="G973"/>
          <cell r="H973"/>
        </row>
        <row r="974">
          <cell r="A974" t="str">
            <v>V51.501.124</v>
          </cell>
          <cell r="B974" t="str">
            <v>TROPHY FOR COOPERATION AWARD</v>
          </cell>
          <cell r="C974" t="str">
            <v>CÚP CHO NHÀ PHÂN PHỐI ĐẠT GIẢI THƯỞNG HỢP TÁC</v>
          </cell>
          <cell r="D974" t="str">
            <v>TROPHY FOR COOPERATION AWARD</v>
          </cell>
          <cell r="E974">
            <v>0</v>
          </cell>
          <cell r="F974" t="str">
            <v>Bỏ chọn</v>
          </cell>
          <cell r="G974"/>
          <cell r="H974"/>
        </row>
        <row r="975">
          <cell r="A975" t="str">
            <v>V51.501.125</v>
          </cell>
          <cell r="B975" t="str">
            <v>TROPHY FOR MARKETING STAFFS</v>
          </cell>
          <cell r="C975" t="str">
            <v>CÚP CHO NHÂN VIÊN BÁN HÀNG</v>
          </cell>
          <cell r="D975" t="str">
            <v>TROPHY FOR MARKETING STAFFS</v>
          </cell>
          <cell r="E975">
            <v>0</v>
          </cell>
          <cell r="F975" t="str">
            <v>Bỏ chọn</v>
          </cell>
          <cell r="G975"/>
          <cell r="H975"/>
        </row>
        <row r="976">
          <cell r="A976" t="str">
            <v>V39.013.047</v>
          </cell>
          <cell r="B976" t="str">
            <v>SIMPLY BLUE T-SHIRT FOR AGENT MEETING</v>
          </cell>
          <cell r="C976" t="str">
            <v>ÁO PHÔNG SIMPLY MÀU XANH CHO HỘI NGHỊ NHÀ PHÂN PHỐI</v>
          </cell>
          <cell r="D976" t="str">
            <v>SIMPLY BLUE T-SHIRT FOR AGENT MEETING</v>
          </cell>
          <cell r="E976">
            <v>0</v>
          </cell>
          <cell r="F976" t="str">
            <v>Bỏ chọn</v>
          </cell>
          <cell r="G976"/>
          <cell r="H976"/>
        </row>
        <row r="977">
          <cell r="A977" t="str">
            <v>V39.013.048</v>
          </cell>
          <cell r="B977" t="str">
            <v>SIMPLY WHITE T-SHIRT FOR AGENT MEETING</v>
          </cell>
          <cell r="C977" t="str">
            <v>ÁO PHÔNG SIMPLY MÀU TRẮNG CHO HỘI NGHỊ NHÀ PHÂN PHỐI</v>
          </cell>
          <cell r="D977" t="str">
            <v>SIMPLY WHITE T-SHIRT FOR AGENT MEETING</v>
          </cell>
          <cell r="E977">
            <v>0</v>
          </cell>
          <cell r="F977" t="str">
            <v>Bỏ chọn</v>
          </cell>
          <cell r="G977"/>
          <cell r="H977"/>
        </row>
        <row r="978">
          <cell r="A978" t="str">
            <v>V39.013.207</v>
          </cell>
          <cell r="B978" t="str">
            <v>SIMPLY HAT FOR AGENT MEETING</v>
          </cell>
          <cell r="C978" t="str">
            <v>MŨ SIMPLY CHO HỘI NGHỊ NHÀ PHÂN PHỐI</v>
          </cell>
          <cell r="D978" t="str">
            <v>SIMPLY HAT FOR AGENT MEETING</v>
          </cell>
          <cell r="E978">
            <v>0</v>
          </cell>
          <cell r="F978" t="str">
            <v>Bỏ chọn</v>
          </cell>
          <cell r="G978"/>
          <cell r="H978"/>
        </row>
        <row r="979">
          <cell r="A979" t="str">
            <v>V39.013.401</v>
          </cell>
          <cell r="B979" t="str">
            <v>VALI SKYWAY NIMBUS WITH LOGO WILMAR</v>
          </cell>
          <cell r="C979" t="str">
            <v>VALI SKYWAY NIMBUS IN LOGO WILMAR</v>
          </cell>
          <cell r="D979" t="str">
            <v>VALI SKYWAY NIMBUS WITH LOGO WILMAR</v>
          </cell>
          <cell r="E979">
            <v>0</v>
          </cell>
          <cell r="F979" t="str">
            <v>Bỏ chọn</v>
          </cell>
          <cell r="G979"/>
          <cell r="H979"/>
        </row>
        <row r="980">
          <cell r="A980" t="str">
            <v>V39.013.402</v>
          </cell>
          <cell r="B980" t="str">
            <v>VALI NAMETAG</v>
          </cell>
          <cell r="C980" t="str">
            <v>BẢNG TÊN VALI</v>
          </cell>
          <cell r="D980" t="str">
            <v>VALI NAMETAG</v>
          </cell>
          <cell r="E980">
            <v>0</v>
          </cell>
          <cell r="F980" t="str">
            <v>Bỏ chọn</v>
          </cell>
          <cell r="G980"/>
          <cell r="H980"/>
        </row>
        <row r="981">
          <cell r="A981" t="str">
            <v>6.5239922990601</v>
          </cell>
          <cell r="B981" t="str">
            <v>BLUE COMPASS-40</v>
          </cell>
          <cell r="C981" t="str">
            <v>BỘT MÌ NHÃN HIỆU "LA BÀN XANH" (40KG)</v>
          </cell>
          <cell r="D981" t="str">
            <v>BLUE COMPASS-40</v>
          </cell>
          <cell r="E981">
            <v>1</v>
          </cell>
          <cell r="F981" t="str">
            <v>Bỏ chọn</v>
          </cell>
          <cell r="G981"/>
          <cell r="H981"/>
        </row>
        <row r="982">
          <cell r="A982" t="str">
            <v>6.5239914990601</v>
          </cell>
          <cell r="B982" t="str">
            <v>RED COMPASS-40</v>
          </cell>
          <cell r="C982" t="str">
            <v>BỘT MÌ NHÃN HIỆU "LA BÀN ĐỎ" (40KG)</v>
          </cell>
          <cell r="D982" t="str">
            <v>RED COMPASS-40</v>
          </cell>
          <cell r="E982">
            <v>1</v>
          </cell>
          <cell r="F982" t="str">
            <v>Bỏ chọn</v>
          </cell>
          <cell r="G982"/>
          <cell r="H982"/>
        </row>
        <row r="983">
          <cell r="A983" t="str">
            <v>6.5239930990501</v>
          </cell>
          <cell r="B983" t="str">
            <v>RED KEY - N 25</v>
          </cell>
          <cell r="C983" t="str">
            <v>BỘT MÌ NHÃN HIỆU "CHÌA KHÓA ĐỎ MÌ SỢI" (25KG)</v>
          </cell>
          <cell r="D983" t="str">
            <v>RED KEY - N 25</v>
          </cell>
          <cell r="E983">
            <v>1</v>
          </cell>
          <cell r="F983" t="str">
            <v>Bỏ chọn</v>
          </cell>
          <cell r="G983"/>
          <cell r="H983"/>
        </row>
        <row r="984">
          <cell r="A984" t="str">
            <v>6.5239931990501</v>
          </cell>
          <cell r="B984" t="str">
            <v>BCR-1 25KG</v>
          </cell>
          <cell r="C984" t="str">
            <v>BỘT MÌ NHÃN HIỆU "BCR-1" (25KG)</v>
          </cell>
          <cell r="D984" t="str">
            <v>BCR-1 25KG</v>
          </cell>
          <cell r="E984">
            <v>1</v>
          </cell>
          <cell r="F984" t="str">
            <v>Bỏ chọn</v>
          </cell>
          <cell r="G984"/>
          <cell r="H984"/>
        </row>
        <row r="985">
          <cell r="A985" t="str">
            <v>6.5239917990501</v>
          </cell>
          <cell r="B985" t="str">
            <v>SATELLITE-25</v>
          </cell>
          <cell r="C985" t="str">
            <v>BỘT MÌ NHÃN HIỆU "VỆ TINH" (25KG)</v>
          </cell>
          <cell r="D985" t="str">
            <v>SATELLITE-25</v>
          </cell>
          <cell r="E985">
            <v>1</v>
          </cell>
          <cell r="F985" t="str">
            <v>Bỏ chọn</v>
          </cell>
          <cell r="G985"/>
          <cell r="H985"/>
        </row>
        <row r="986">
          <cell r="A986" t="str">
            <v>6.5239917990550</v>
          </cell>
          <cell r="B986" t="str">
            <v>SATELLITE - JOLLIBEE 25KG</v>
          </cell>
          <cell r="C986" t="str">
            <v>BỘT MÌ NHÃN HIỆU "VỆ TINH" (25KG)</v>
          </cell>
          <cell r="D986" t="str">
            <v>SATELLITE - JOLLIBEE 25KG</v>
          </cell>
          <cell r="E986">
            <v>1</v>
          </cell>
          <cell r="F986" t="str">
            <v>Bỏ chọn</v>
          </cell>
          <cell r="G986"/>
          <cell r="H986"/>
        </row>
        <row r="987">
          <cell r="A987" t="str">
            <v>6.5239917990535</v>
          </cell>
          <cell r="B987" t="str">
            <v>SATELLITE - HN 25KG</v>
          </cell>
          <cell r="C987" t="str">
            <v>BỘT MÌ NHÃN HIỆU "VỆ TINH" (25KG)</v>
          </cell>
          <cell r="D987" t="str">
            <v>SATELLITE - HN 25KG</v>
          </cell>
          <cell r="E987">
            <v>1</v>
          </cell>
          <cell r="F987" t="str">
            <v>Bỏ chọn</v>
          </cell>
          <cell r="G987"/>
          <cell r="H987"/>
        </row>
        <row r="988">
          <cell r="A988" t="str">
            <v>6.5239917990551</v>
          </cell>
          <cell r="B988" t="str">
            <v>SATELLITE - HIGH PRO 25KG</v>
          </cell>
          <cell r="C988" t="str">
            <v>BỘT MÌ NHÃN HIỆU "VỆ TINH" (25KG)</v>
          </cell>
          <cell r="D988" t="str">
            <v>SATELLITE - HIGH PRO 25KG</v>
          </cell>
          <cell r="E988">
            <v>1</v>
          </cell>
          <cell r="F988" t="str">
            <v>Bỏ chọn</v>
          </cell>
          <cell r="G988"/>
          <cell r="H988"/>
        </row>
        <row r="989">
          <cell r="A989" t="str">
            <v>7.131069035905A00</v>
          </cell>
          <cell r="B989" t="str">
            <v>NEPTUNE GOLD TET 1LX12BTL</v>
          </cell>
          <cell r="C989" t="str">
            <v>DẦU ĂN THƯỢNG HẠNG HIỆU NEPTUNE GOLD 1L</v>
          </cell>
          <cell r="D989" t="str">
            <v>NEPTUNE GOLD CO TET 1LX12BTL</v>
          </cell>
          <cell r="E989">
            <v>10.92</v>
          </cell>
          <cell r="F989" t="str">
            <v>Bỏ chọn</v>
          </cell>
          <cell r="G989"/>
          <cell r="H989"/>
        </row>
        <row r="990">
          <cell r="A990" t="str">
            <v>7.131069045904A00</v>
          </cell>
          <cell r="B990" t="str">
            <v>NEPTUNE GOLD TET 2LX6BTL</v>
          </cell>
          <cell r="C990" t="str">
            <v>DẦU ĂN THƯỢNG HẠNG HIỆU NEPTUNE GOLD 2L</v>
          </cell>
          <cell r="D990" t="str">
            <v>NEPTUNE GOLD CO TET 2LX6BTL</v>
          </cell>
          <cell r="E990">
            <v>10.92</v>
          </cell>
          <cell r="F990" t="str">
            <v>Bỏ chọn</v>
          </cell>
          <cell r="G990"/>
          <cell r="H990"/>
        </row>
        <row r="991">
          <cell r="A991" t="str">
            <v>7.131069065903A00</v>
          </cell>
          <cell r="B991" t="str">
            <v>NEPTUNE GOLD TET 5LX4BTL</v>
          </cell>
          <cell r="C991" t="str">
            <v>DẦU ĂN THƯỢNG HẠNG HIỆU NEPTUNE GOLD 5L</v>
          </cell>
          <cell r="D991" t="str">
            <v>NEPTUNE GOLD CO TET 5LX4BTL</v>
          </cell>
          <cell r="E991">
            <v>18.2</v>
          </cell>
          <cell r="F991" t="str">
            <v>Bỏ chọn</v>
          </cell>
          <cell r="G991"/>
          <cell r="H991"/>
        </row>
        <row r="992">
          <cell r="A992" t="str">
            <v>7.131069036005A00</v>
          </cell>
          <cell r="B992" t="str">
            <v>NEPTUNE GOLD TET GIFT PACK 1L X12BTL</v>
          </cell>
          <cell r="C992" t="str">
            <v>DẦU ĂN THƯỢNG HẠNG HIỆU NEPTUNE GOLD 1L</v>
          </cell>
          <cell r="D992" t="str">
            <v>NEPTUNE GOLD CO TET GIFT PACK 1L X12BTL</v>
          </cell>
          <cell r="E992">
            <v>10.92</v>
          </cell>
          <cell r="F992" t="str">
            <v>Bỏ chọn</v>
          </cell>
          <cell r="G992"/>
          <cell r="H992"/>
        </row>
        <row r="993">
          <cell r="A993" t="str">
            <v>V39.015.016</v>
          </cell>
          <cell r="B993" t="str">
            <v>SET OF OLIVOILA UG 999 GLASS (2PC/BOX)</v>
          </cell>
          <cell r="C993" t="str">
            <v>BỘ LY THỦY TINH UG 999 (2 CÁI/HỘP)</v>
          </cell>
          <cell r="D993" t="str">
            <v>SET OF OLIVOILA UG 999 GLASS (2PC/BOX)</v>
          </cell>
          <cell r="E993">
            <v>0</v>
          </cell>
          <cell r="F993" t="str">
            <v>Bỏ chọn</v>
          </cell>
          <cell r="G993"/>
          <cell r="H993"/>
        </row>
        <row r="994">
          <cell r="A994" t="str">
            <v>6.5239904990652</v>
          </cell>
          <cell r="B994" t="str">
            <v>BROWN COMPASS-40-BIVY</v>
          </cell>
          <cell r="C994" t="str">
            <v>BỘT MÌ NHÃN HIỆU "LA BÀN NÂU" (40KG)</v>
          </cell>
          <cell r="D994" t="str">
            <v>BROWN COMPASS-40-BIVY</v>
          </cell>
          <cell r="E994">
            <v>1</v>
          </cell>
          <cell r="F994" t="str">
            <v>Bỏ chọn</v>
          </cell>
          <cell r="G994"/>
          <cell r="H994"/>
        </row>
        <row r="995">
          <cell r="A995" t="str">
            <v>6.5239915990553</v>
          </cell>
          <cell r="B995" t="str">
            <v>RED KEY-25-KA</v>
          </cell>
          <cell r="C995" t="str">
            <v>BỘT MÌ NHÃN HIỆU "CHÌA KHÓA ĐỎ" (25KG)</v>
          </cell>
          <cell r="D995" t="str">
            <v>RED KEY-25-KA</v>
          </cell>
          <cell r="E995">
            <v>1</v>
          </cell>
          <cell r="F995" t="str">
            <v>Bỏ chọn</v>
          </cell>
          <cell r="G995"/>
          <cell r="H995"/>
        </row>
        <row r="996">
          <cell r="A996" t="str">
            <v>7.460106011700030</v>
          </cell>
          <cell r="B996" t="str">
            <v>NEPTUNE PREMIUM RICE BRAN OIL @ 0.25L</v>
          </cell>
          <cell r="C996" t="str">
            <v>DẦU GẠO CAO CẤP NEPTUNE 0,25L (HP)</v>
          </cell>
          <cell r="D996" t="str">
            <v>NEPTUNE PREMIUM RICE BRAN OIL @ 0.25L</v>
          </cell>
          <cell r="E996">
            <v>0.22800000000000001</v>
          </cell>
          <cell r="F996" t="str">
            <v>Bỏ chọn</v>
          </cell>
          <cell r="G996"/>
          <cell r="H996"/>
        </row>
        <row r="997">
          <cell r="A997" t="str">
            <v>V39.013.203</v>
          </cell>
          <cell r="B997" t="str">
            <v>SIMPLY CROWNLESS CAP</v>
          </cell>
          <cell r="C997" t="str">
            <v>NÓN SIMPLY NỬA ĐẦU</v>
          </cell>
          <cell r="D997" t="str">
            <v>SIMPLY CROWNLESS CAP</v>
          </cell>
          <cell r="E997">
            <v>0</v>
          </cell>
          <cell r="F997" t="str">
            <v>Bỏ chọn</v>
          </cell>
          <cell r="G997"/>
          <cell r="H997"/>
        </row>
        <row r="998">
          <cell r="A998" t="str">
            <v>V51.901.023</v>
          </cell>
          <cell r="B998" t="str">
            <v>CAI LAN HANGER</v>
          </cell>
          <cell r="C998" t="str">
            <v>MÓC TREO HÀNG CÁI LÂN</v>
          </cell>
          <cell r="D998" t="str">
            <v>CAI LAN HANGER</v>
          </cell>
          <cell r="E998">
            <v>0</v>
          </cell>
          <cell r="F998" t="str">
            <v>Bỏ chọn</v>
          </cell>
          <cell r="G998"/>
          <cell r="H998"/>
        </row>
        <row r="999">
          <cell r="A999" t="str">
            <v>V51.106.004</v>
          </cell>
          <cell r="B999" t="str">
            <v>CAI LAN UMBRELLA</v>
          </cell>
          <cell r="C999" t="str">
            <v>DÙ CÁI LÂN</v>
          </cell>
          <cell r="D999" t="str">
            <v>CAI LAN UMBRELLA</v>
          </cell>
          <cell r="E999">
            <v>0</v>
          </cell>
          <cell r="F999" t="str">
            <v>Bỏ chọn</v>
          </cell>
          <cell r="G999"/>
          <cell r="H999"/>
        </row>
        <row r="1000">
          <cell r="A1000" t="str">
            <v>V51.600.049</v>
          </cell>
          <cell r="B1000" t="str">
            <v>CAI LAN BOOTH</v>
          </cell>
          <cell r="C1000" t="str">
            <v>QUẦY BÁN HÀNG CÁI LÂN</v>
          </cell>
          <cell r="D1000" t="str">
            <v>CAI LAN BOOTH</v>
          </cell>
          <cell r="E1000">
            <v>0</v>
          </cell>
          <cell r="F1000" t="str">
            <v>Bỏ chọn</v>
          </cell>
          <cell r="G1000"/>
          <cell r="H1000"/>
        </row>
        <row r="1001">
          <cell r="A1001" t="str">
            <v>V51.600.050</v>
          </cell>
          <cell r="B1001" t="str">
            <v>CAI LAN SALES TABLE</v>
          </cell>
          <cell r="C1001" t="str">
            <v>BÀN LẮP RÁP CÁI LÂN</v>
          </cell>
          <cell r="D1001" t="str">
            <v>CAI LAN SALES TABLE</v>
          </cell>
          <cell r="E1001">
            <v>0</v>
          </cell>
          <cell r="F1001" t="str">
            <v>Bỏ chọn</v>
          </cell>
          <cell r="G1001"/>
          <cell r="H1001"/>
        </row>
        <row r="1002">
          <cell r="A1002" t="str">
            <v>V39.015.301</v>
          </cell>
          <cell r="B1002" t="str">
            <v>SET OF DAI DONG TIEN PLASTIC B</v>
          </cell>
          <cell r="C1002" t="str">
            <v>BỘ 5 HỘP NHỰA ĐẠI ĐỒNG TIẾN</v>
          </cell>
          <cell r="D1002" t="str">
            <v>SET OF DAI DONG TIEN PLASTIC B</v>
          </cell>
          <cell r="E1002">
            <v>0</v>
          </cell>
          <cell r="F1002" t="str">
            <v>Bỏ chọn</v>
          </cell>
          <cell r="G1002"/>
          <cell r="H1002"/>
        </row>
        <row r="1003">
          <cell r="A1003" t="str">
            <v>V51.060.002</v>
          </cell>
          <cell r="B1003" t="str">
            <v>CALENDAR TET 2017 - 365 DELICIOUS DAY</v>
          </cell>
          <cell r="C1003" t="str">
            <v>BỘ LỊCH TẾT 2017 - 365 NGÀY NGON</v>
          </cell>
          <cell r="D1003" t="str">
            <v>CALENDAR TET 2017 - 365 DELICIOUS DAY</v>
          </cell>
          <cell r="E1003">
            <v>0</v>
          </cell>
          <cell r="F1003" t="str">
            <v>Bỏ chọn</v>
          </cell>
          <cell r="G1003"/>
          <cell r="H1003"/>
        </row>
        <row r="1004">
          <cell r="A1004" t="str">
            <v>V56.052.013</v>
          </cell>
          <cell r="B1004" t="str">
            <v>LAPTOP DELL VOSTRO 5459-V5459C (YELLOW COPPER)</v>
          </cell>
          <cell r="C1004" t="str">
            <v>MÁY TÍNH XÁCH TAY DELL VOSTRO 5459-V5459C (VÀNG ĐỒNG)</v>
          </cell>
          <cell r="D1004" t="str">
            <v>LAPTOP DELL VOSTRO 5459-V5459C (YELLOW COPPER)</v>
          </cell>
          <cell r="E1004">
            <v>0</v>
          </cell>
          <cell r="F1004" t="str">
            <v>Bỏ chọn</v>
          </cell>
          <cell r="G1004"/>
          <cell r="H1004"/>
        </row>
        <row r="1005">
          <cell r="A1005" t="str">
            <v>V39.001.048</v>
          </cell>
          <cell r="B1005" t="str">
            <v>TIVI LG 49LH511 - TIVI LG 49LH511</v>
          </cell>
          <cell r="C1005" t="str">
            <v>TIVI LG 49LH511 - TIVI LG 49LH511</v>
          </cell>
          <cell r="D1005" t="str">
            <v>TIVI LG 49LH511 - TIVI LG 49LH511</v>
          </cell>
          <cell r="E1005">
            <v>0</v>
          </cell>
          <cell r="F1005" t="str">
            <v>Bỏ chọn</v>
          </cell>
          <cell r="G1005"/>
          <cell r="H1005"/>
        </row>
        <row r="1006">
          <cell r="A1006" t="str">
            <v>V15.405.006</v>
          </cell>
          <cell r="B1006" t="str">
            <v>CANON CAMERA SX420 IS</v>
          </cell>
          <cell r="C1006" t="str">
            <v>CANON CAMERA SX420 IS</v>
          </cell>
          <cell r="D1006" t="str">
            <v>CANON CAMERA SX420 IS</v>
          </cell>
          <cell r="E1006">
            <v>0</v>
          </cell>
          <cell r="F1006" t="str">
            <v>Bỏ chọn</v>
          </cell>
          <cell r="G1006"/>
          <cell r="H1006"/>
        </row>
        <row r="1007">
          <cell r="A1007" t="str">
            <v>V15.020.002</v>
          </cell>
          <cell r="B1007" t="str">
            <v>APPLE  IPHONE 7  128GB GOLD</v>
          </cell>
          <cell r="C1007" t="str">
            <v>ĐIỆN THOẠI DI ĐỘNG APPLE IPHONE 7 128 GB (VÀNG ĐỒNG)</v>
          </cell>
          <cell r="D1007" t="str">
            <v>APPLE  IPHONE 7  128GB GOLD</v>
          </cell>
          <cell r="E1007">
            <v>0</v>
          </cell>
          <cell r="F1007" t="str">
            <v>Bỏ chọn</v>
          </cell>
          <cell r="G1007"/>
          <cell r="H1007"/>
        </row>
        <row r="1008">
          <cell r="A1008" t="str">
            <v>7.460050030105030</v>
          </cell>
          <cell r="B1008" t="str">
            <v>SIMPLY RBDRBO 1L X 12 BTL</v>
          </cell>
          <cell r="C1008" t="str">
            <v>DẦU GẠO LỨT NHÃN HIỆU SIMPLY 1L</v>
          </cell>
          <cell r="D1008" t="str">
            <v>SIMPLY RBDRBO 1L X 12 BTL</v>
          </cell>
          <cell r="E1008">
            <v>10.92</v>
          </cell>
          <cell r="F1008" t="str">
            <v>Chọn</v>
          </cell>
          <cell r="G1008"/>
          <cell r="H1008" t="str">
            <v>7.460050031700030</v>
          </cell>
        </row>
        <row r="1009">
          <cell r="A1009" t="str">
            <v>7.460050440112030</v>
          </cell>
          <cell r="B1009" t="str">
            <v>SIMPLY RBDRBO 0.4L X 20 BTL</v>
          </cell>
          <cell r="C1009" t="str">
            <v>DẦU GẠO NGUYÊN CHẤT NHÃN HIỆU SIMPLY 0.4L</v>
          </cell>
          <cell r="D1009" t="str">
            <v>SIMPLY RBDRBO 0.4L X 20 BTL</v>
          </cell>
          <cell r="E1009">
            <v>7.28</v>
          </cell>
          <cell r="F1009" t="str">
            <v>Bỏ chọn</v>
          </cell>
          <cell r="G1009"/>
          <cell r="H1009"/>
        </row>
        <row r="1010">
          <cell r="A1010" t="str">
            <v>7.460050031700030</v>
          </cell>
          <cell r="B1010" t="str">
            <v>SIMPLY RBDRBO IN BOTTLE@1L</v>
          </cell>
          <cell r="C1010" t="str">
            <v>DẦU GẠO LỨT NHÃN HIỆU SIMPLY 1L</v>
          </cell>
          <cell r="D1010" t="str">
            <v>SIMPLY RBDRBO IN BOTTLE@1L</v>
          </cell>
          <cell r="E1010">
            <v>0.91</v>
          </cell>
          <cell r="F1010" t="str">
            <v>Chọn</v>
          </cell>
          <cell r="G1010"/>
          <cell r="H1010"/>
        </row>
        <row r="1011">
          <cell r="A1011" t="str">
            <v>7.460050441700030</v>
          </cell>
          <cell r="B1011" t="str">
            <v>SIMPLY RBDRBO 0.4L</v>
          </cell>
          <cell r="C1011" t="str">
            <v>DẦU GẠO NGUYÊN CHẤT NHÃN HIỆU SIMPLY 0.4L</v>
          </cell>
          <cell r="D1011" t="str">
            <v>SIMPLY RBDRBO 0.4L</v>
          </cell>
          <cell r="E1011">
            <v>0.36399999999999999</v>
          </cell>
          <cell r="F1011" t="str">
            <v>Bỏ chọn</v>
          </cell>
          <cell r="G1011"/>
          <cell r="H1011"/>
        </row>
        <row r="1012">
          <cell r="A1012" t="str">
            <v>6.5239924990701</v>
          </cell>
          <cell r="B1012" t="str">
            <v>RED POLLARD 14%_50</v>
          </cell>
          <cell r="C1012" t="str">
            <v>CÁM MÌ (50KG)</v>
          </cell>
          <cell r="D1012" t="str">
            <v>RED POLLARD 14%_50</v>
          </cell>
          <cell r="E1012">
            <v>1</v>
          </cell>
          <cell r="F1012" t="str">
            <v>Bỏ chọn</v>
          </cell>
          <cell r="G1012"/>
          <cell r="H1012"/>
        </row>
        <row r="1013">
          <cell r="A1013" t="str">
            <v>7.106012021770801</v>
          </cell>
          <cell r="B1013" t="str">
            <v>MEIZAN BAKING FAT 48 @20KG</v>
          </cell>
          <cell r="C1013" t="str">
            <v>CHẤT BÉO BÁNH NƯỚNG NHÃN HIỆU MEIZAN TRONG THÙNG 20KG</v>
          </cell>
          <cell r="D1013" t="str">
            <v>MEIZAN BAKING FAT 48 @20KG</v>
          </cell>
          <cell r="E1013">
            <v>20</v>
          </cell>
          <cell r="F1013" t="str">
            <v>Chọn</v>
          </cell>
          <cell r="G1013"/>
          <cell r="H1013"/>
        </row>
        <row r="1014">
          <cell r="A1014" t="str">
            <v>7.131056011700750</v>
          </cell>
          <cell r="B1014" t="str">
            <v>CO-MEIZAN G3 BTL@0.25L</v>
          </cell>
          <cell r="C1014" t="str">
            <v>DẦU ĂN HIỆU MEIZAN 0,25L</v>
          </cell>
          <cell r="D1014" t="str">
            <v>CO-MEIZAN G3 BTL@0.25L</v>
          </cell>
          <cell r="E1014">
            <v>0.22800000000000001</v>
          </cell>
          <cell r="F1014" t="str">
            <v>Bỏ chọn</v>
          </cell>
          <cell r="G1014"/>
          <cell r="H1014"/>
        </row>
        <row r="1015">
          <cell r="A1015" t="str">
            <v>6.5239927990543</v>
          </cell>
          <cell r="B1015" t="str">
            <v>GREEN KEY SP-25-DIAMOND</v>
          </cell>
          <cell r="C1015" t="str">
            <v>BỘT MÌ THƯỢNG HẠNG "CHÌA KHÓA XANH LÁ SP" (25KG)</v>
          </cell>
          <cell r="D1015" t="str">
            <v>GREEN KEY SP-25-DIAMOND</v>
          </cell>
          <cell r="E1015">
            <v>1</v>
          </cell>
          <cell r="F1015" t="str">
            <v>Bỏ chọn</v>
          </cell>
          <cell r="G1015"/>
          <cell r="H1015"/>
        </row>
        <row r="1016">
          <cell r="A1016" t="str">
            <v>V39.017.082</v>
          </cell>
          <cell r="B1016" t="str">
            <v>ELECTROLUX EWF12844 WASHING MACHINE</v>
          </cell>
          <cell r="C1016" t="str">
            <v>MÁY GIẶT ELECTROLUX EWF12844</v>
          </cell>
          <cell r="D1016" t="str">
            <v>ELECTROLUX EWF12844 WASHING MACHINE</v>
          </cell>
          <cell r="E1016">
            <v>0</v>
          </cell>
          <cell r="F1016" t="str">
            <v>Bỏ chọn</v>
          </cell>
          <cell r="G1016"/>
          <cell r="H1016"/>
        </row>
        <row r="1017">
          <cell r="A1017" t="str">
            <v>V39.050.001</v>
          </cell>
          <cell r="B1017" t="str">
            <v>PANASONIC AIR CONDITIONER CU/CS - YZ12SKH-8</v>
          </cell>
          <cell r="C1017" t="str">
            <v>ĐIỀU HÒA PANASONIC CU/CS-YZ12SKH-8</v>
          </cell>
          <cell r="D1017" t="str">
            <v>PANASONIC AIR CONDITIONER CU/CS - YZ12SKH-8</v>
          </cell>
          <cell r="E1017">
            <v>0</v>
          </cell>
          <cell r="F1017" t="str">
            <v>Bỏ chọn</v>
          </cell>
          <cell r="G1017"/>
          <cell r="H1017"/>
        </row>
        <row r="1018">
          <cell r="A1018" t="str">
            <v>6.5239901990531</v>
          </cell>
          <cell r="B1018" t="str">
            <v>ACE 1-25-WOODLAND</v>
          </cell>
          <cell r="C1018" t="str">
            <v>BỘT MÌ NHÃN HIỆU "ACE-1" (25KG)</v>
          </cell>
          <cell r="D1018" t="str">
            <v>ACE 1-25-WOODLAND</v>
          </cell>
          <cell r="E1018">
            <v>1</v>
          </cell>
          <cell r="F1018" t="str">
            <v>Bỏ chọn</v>
          </cell>
          <cell r="G1018"/>
          <cell r="H1018"/>
        </row>
        <row r="1019">
          <cell r="A1019" t="str">
            <v>7.5239908082101</v>
          </cell>
          <cell r="B1019" t="str">
            <v>MEIZAN-CRYSPY</v>
          </cell>
          <cell r="C1019" t="str">
            <v>BỘT CHIÊN GIÒN "MEIZAN" 150GR</v>
          </cell>
          <cell r="D1019" t="str">
            <v>MEIZAN-CRYSPY</v>
          </cell>
          <cell r="E1019">
            <v>0.15</v>
          </cell>
          <cell r="F1019" t="str">
            <v>Bỏ chọn</v>
          </cell>
          <cell r="G1019"/>
          <cell r="H1019"/>
        </row>
        <row r="1020">
          <cell r="A1020" t="str">
            <v>6.5239926990533</v>
          </cell>
          <cell r="B1020" t="str">
            <v>BLUE KEY PAU-25-PHU MY</v>
          </cell>
          <cell r="C1020" t="str">
            <v>BỘT MÌ NHÃN HIỆU"CHÌA KHÓA XANH BÁNH BAO"(25KG)</v>
          </cell>
          <cell r="D1020" t="str">
            <v>BLUE KEY PAU-25-PHU MY</v>
          </cell>
          <cell r="E1020">
            <v>1</v>
          </cell>
          <cell r="F1020" t="str">
            <v>Bỏ chọn</v>
          </cell>
          <cell r="G1020"/>
          <cell r="H1020"/>
        </row>
        <row r="1021">
          <cell r="A1021" t="str">
            <v>V39.015.218</v>
          </cell>
          <cell r="B1021" t="str">
            <v>KIDDY GLASS BOWL UG 317</v>
          </cell>
          <cell r="C1021" t="str">
            <v>CHÉN THỦY TINH UNION UG 317</v>
          </cell>
          <cell r="D1021" t="str">
            <v>KIDDY GLASS BOWL UG 317</v>
          </cell>
          <cell r="E1021">
            <v>0.253</v>
          </cell>
          <cell r="F1021" t="str">
            <v>Bỏ chọn</v>
          </cell>
          <cell r="G1021"/>
          <cell r="H1021"/>
        </row>
        <row r="1022">
          <cell r="A1022" t="str">
            <v>6.1222222</v>
          </cell>
          <cell r="B1022" t="str">
            <v>REFINED HYDRO PALM KERNEL OLEIN IV 4-12</v>
          </cell>
          <cell r="C1022" t="str">
            <v>DẦU OLEIN NHÂN CỌ ĐÃ ĐƯỢC TINH LUYỆN VÀ HYDRO HÓA</v>
          </cell>
          <cell r="D1022" t="str">
            <v>REFINED HYDRO PALM KERNEL OLEIN IV 4-12</v>
          </cell>
          <cell r="E1022">
            <v>1</v>
          </cell>
          <cell r="F1022" t="str">
            <v>Chọn</v>
          </cell>
          <cell r="G1022"/>
          <cell r="H1022"/>
        </row>
        <row r="1023">
          <cell r="A1023" t="str">
            <v>6.5239911990512</v>
          </cell>
          <cell r="B1023" t="str">
            <v>ORANGE KEY-25-LAO</v>
          </cell>
          <cell r="C1023" t="str">
            <v>BỘT MÌ NHÃN HIỆU "CHÌA KHÓA CAM" (25KG)</v>
          </cell>
          <cell r="D1023" t="str">
            <v>ORANGE KEY-25-LAO</v>
          </cell>
          <cell r="E1023">
            <v>1</v>
          </cell>
          <cell r="F1023" t="str">
            <v>Bỏ chọn</v>
          </cell>
          <cell r="G1023"/>
          <cell r="H1023"/>
        </row>
        <row r="1024">
          <cell r="A1024" t="str">
            <v>6.5239916990512</v>
          </cell>
          <cell r="B1024" t="str">
            <v>RED PEN-25-LAO</v>
          </cell>
          <cell r="C1024" t="str">
            <v>BỘT MÌ NHÃN HIỆU "CÂY VIẾT ĐỎ" (25KG)</v>
          </cell>
          <cell r="D1024" t="str">
            <v>RED PEN-25-LAO</v>
          </cell>
          <cell r="E1024">
            <v>1</v>
          </cell>
          <cell r="F1024" t="str">
            <v>Bỏ chọn</v>
          </cell>
          <cell r="G1024"/>
          <cell r="H1024"/>
        </row>
        <row r="1025">
          <cell r="A1025" t="str">
            <v>6.5239925990554</v>
          </cell>
          <cell r="B1025" t="str">
            <v>BLUE KEY NOODLE-25-HUE</v>
          </cell>
          <cell r="C1025" t="str">
            <v>BỘT MÌ NHÃN HIỆU "CHÌA KHÓA XANH MÌ SỢI" (25KG)</v>
          </cell>
          <cell r="D1025" t="str">
            <v>BLUE KEY NOODLE-25-HUE</v>
          </cell>
          <cell r="E1025">
            <v>1</v>
          </cell>
          <cell r="F1025" t="str">
            <v>Bỏ chọn</v>
          </cell>
          <cell r="G1025"/>
          <cell r="H1025"/>
        </row>
        <row r="1026">
          <cell r="A1026" t="str">
            <v>6.5239904990555</v>
          </cell>
          <cell r="B1026" t="str">
            <v>BROWN COMPASS-25-BAO HUNG</v>
          </cell>
          <cell r="C1026" t="str">
            <v>BỘT MÌ NHÃN HIỆU "LA BÀN NÂU" (25KG)</v>
          </cell>
          <cell r="D1026" t="str">
            <v>BROWN COMPASS-25-BAO HUNG</v>
          </cell>
          <cell r="E1026">
            <v>1</v>
          </cell>
          <cell r="F1026" t="str">
            <v>Bỏ chọn</v>
          </cell>
          <cell r="G1026"/>
          <cell r="H1026"/>
        </row>
        <row r="1027">
          <cell r="A1027" t="str">
            <v>6.5239912990556</v>
          </cell>
          <cell r="B1027" t="str">
            <v>PINK KEY-25-KIM MA</v>
          </cell>
          <cell r="C1027" t="str">
            <v>BỘT MÌ NHÃN HIỆU "CHÌA KHÓA HỒNG" (25KG)</v>
          </cell>
          <cell r="D1027" t="str">
            <v>PINK KEY-25-KIM MA</v>
          </cell>
          <cell r="E1027">
            <v>1</v>
          </cell>
          <cell r="F1027" t="str">
            <v>Bỏ chọn</v>
          </cell>
          <cell r="G1027"/>
          <cell r="H1027"/>
        </row>
        <row r="1028">
          <cell r="A1028" t="str">
            <v>6.5239917990557</v>
          </cell>
          <cell r="B1028" t="str">
            <v>SATELLITE_25_AN THAI</v>
          </cell>
          <cell r="C1028" t="str">
            <v>BỘT MÌ NHÃN HIỆU "VỆ TINH" (25KG)</v>
          </cell>
          <cell r="D1028" t="str">
            <v>SATELLITE_25_AN THAI</v>
          </cell>
          <cell r="E1028">
            <v>1</v>
          </cell>
          <cell r="F1028" t="str">
            <v>Bỏ chọn</v>
          </cell>
          <cell r="G1028"/>
          <cell r="H1028"/>
        </row>
        <row r="1029">
          <cell r="A1029" t="str">
            <v>6.5239911990601</v>
          </cell>
          <cell r="B1029" t="str">
            <v>ORANGE KEY_40</v>
          </cell>
          <cell r="C1029" t="str">
            <v>BỘT MÌ NHÃN HIỆU "CHÌA KHÓA CAM" (40KG)</v>
          </cell>
          <cell r="D1029" t="str">
            <v>ORANGE KEY_40</v>
          </cell>
          <cell r="E1029">
            <v>1</v>
          </cell>
          <cell r="F1029" t="str">
            <v>Bỏ chọn</v>
          </cell>
          <cell r="G1029"/>
          <cell r="H1029"/>
        </row>
        <row r="1030">
          <cell r="A1030" t="str">
            <v>6.5239919990601</v>
          </cell>
          <cell r="B1030" t="str">
            <v>RED KEY -SP_40</v>
          </cell>
          <cell r="C1030" t="str">
            <v>BỘT MÌ NHÃN HIỆU "CHÌA KHÓA ĐỎ SP" (40KG)</v>
          </cell>
          <cell r="D1030" t="str">
            <v>RED KEY -SP_40</v>
          </cell>
          <cell r="E1030">
            <v>1</v>
          </cell>
          <cell r="F1030" t="str">
            <v>Bỏ chọn</v>
          </cell>
          <cell r="G1030"/>
          <cell r="H1030"/>
        </row>
        <row r="1031">
          <cell r="A1031" t="str">
            <v>6.5239903990601</v>
          </cell>
          <cell r="B1031" t="str">
            <v>BLUE PEN_40</v>
          </cell>
          <cell r="C1031" t="str">
            <v>BỘT MÌ NHÃN HIỆU "CÂY VIẾT XANH" (40KG)</v>
          </cell>
          <cell r="D1031" t="str">
            <v>BLUE PEN_40</v>
          </cell>
          <cell r="E1031">
            <v>1</v>
          </cell>
          <cell r="F1031" t="str">
            <v>Bỏ chọn</v>
          </cell>
          <cell r="G1031"/>
          <cell r="H1031"/>
        </row>
        <row r="1032">
          <cell r="A1032" t="str">
            <v>6.5239916990601</v>
          </cell>
          <cell r="B1032" t="str">
            <v>RED PEN_40</v>
          </cell>
          <cell r="C1032" t="str">
            <v>BỘT MÌ NHÃN HIỆU "CÂY VIẾT ĐỎ" (40KG)</v>
          </cell>
          <cell r="D1032" t="str">
            <v>RED PEN_40</v>
          </cell>
          <cell r="E1032">
            <v>1</v>
          </cell>
          <cell r="F1032" t="str">
            <v>Bỏ chọn</v>
          </cell>
          <cell r="G1032"/>
          <cell r="H1032"/>
        </row>
        <row r="1033">
          <cell r="A1033" t="str">
            <v>6.5239902990601</v>
          </cell>
          <cell r="B1033" t="str">
            <v>BLUE KEY_40</v>
          </cell>
          <cell r="C1033" t="str">
            <v>BỘT MÌ NHÃN HIỆU "CHÌA KHÓA XANH" (40KG)</v>
          </cell>
          <cell r="D1033" t="str">
            <v>BLUE KEY_40</v>
          </cell>
          <cell r="E1033">
            <v>1</v>
          </cell>
          <cell r="F1033" t="str">
            <v>Bỏ chọn</v>
          </cell>
          <cell r="G1033"/>
          <cell r="H1033"/>
        </row>
        <row r="1034">
          <cell r="A1034" t="str">
            <v>6.5239906990601</v>
          </cell>
          <cell r="B1034" t="str">
            <v>GREEN COMPASS_40</v>
          </cell>
          <cell r="C1034" t="str">
            <v>BỘT MÌ NHÃN HIỆU "LA BÀN XANH LÁ" (40KG)</v>
          </cell>
          <cell r="D1034" t="str">
            <v>GREEN COMPASS_40</v>
          </cell>
          <cell r="E1034">
            <v>1</v>
          </cell>
          <cell r="F1034" t="str">
            <v>Bỏ chọn</v>
          </cell>
          <cell r="G1034"/>
          <cell r="H1034"/>
        </row>
        <row r="1035">
          <cell r="A1035" t="str">
            <v>6.5239932990501</v>
          </cell>
          <cell r="B1035" t="str">
            <v>PINK COMPASS_25</v>
          </cell>
          <cell r="C1035" t="str">
            <v>BỘT MÌ NHÃN HIỆU "LA BÀN HỒNG" (25KG)</v>
          </cell>
          <cell r="D1035" t="str">
            <v>PINK COMPASS_25</v>
          </cell>
          <cell r="E1035">
            <v>1</v>
          </cell>
          <cell r="F1035" t="str">
            <v>Bỏ chọn</v>
          </cell>
          <cell r="G1035"/>
          <cell r="H1035"/>
        </row>
        <row r="1036">
          <cell r="A1036" t="str">
            <v>6.5239932990601</v>
          </cell>
          <cell r="B1036" t="str">
            <v>PINK COMPASS_40</v>
          </cell>
          <cell r="C1036" t="str">
            <v>BỘT MÌ NHÃN HIỆU "LA BÀN HỒNG" (40KG)</v>
          </cell>
          <cell r="D1036" t="str">
            <v>PINK COMPASS_40</v>
          </cell>
          <cell r="E1036">
            <v>1</v>
          </cell>
          <cell r="F1036" t="str">
            <v>Bỏ chọn</v>
          </cell>
          <cell r="G1036"/>
          <cell r="H1036"/>
        </row>
        <row r="1037">
          <cell r="A1037" t="str">
            <v>6.5239933990601</v>
          </cell>
          <cell r="B1037" t="str">
            <v>SA-3 40KG</v>
          </cell>
          <cell r="C1037" t="str">
            <v>BỘT MÌ NHÃN HIỆU "SA-3" (40KG)</v>
          </cell>
          <cell r="D1037" t="str">
            <v>SA-3 40KG</v>
          </cell>
          <cell r="E1037">
            <v>1</v>
          </cell>
          <cell r="F1037" t="str">
            <v>Bỏ chọn</v>
          </cell>
          <cell r="G1037"/>
          <cell r="H1037"/>
        </row>
        <row r="1038">
          <cell r="A1038" t="str">
            <v>6.5239914990658</v>
          </cell>
          <cell r="B1038" t="str">
            <v>RED COMPASS MT_40_HIEU PHUONG</v>
          </cell>
          <cell r="C1038" t="str">
            <v>BỘT MÌ NHÃN HIỆU "LA BÀN ĐỎ MT" (40KG)</v>
          </cell>
          <cell r="D1038" t="str">
            <v>RED COMPASS MT_40_HIEU PHUONG</v>
          </cell>
          <cell r="E1038">
            <v>1</v>
          </cell>
          <cell r="F1038" t="str">
            <v>Bỏ chọn</v>
          </cell>
          <cell r="G1038"/>
          <cell r="H1038"/>
        </row>
        <row r="1039">
          <cell r="A1039" t="str">
            <v>6.5239934990601</v>
          </cell>
          <cell r="B1039" t="str">
            <v>ACE-40</v>
          </cell>
          <cell r="C1039" t="str">
            <v>BỘT MÌ NHÃN HIỆU "ACE" (40KG)</v>
          </cell>
          <cell r="D1039" t="str">
            <v>ACE-40</v>
          </cell>
          <cell r="E1039">
            <v>1</v>
          </cell>
          <cell r="F1039" t="str">
            <v>Bỏ chọn</v>
          </cell>
          <cell r="G1039"/>
          <cell r="H1039"/>
        </row>
        <row r="1040">
          <cell r="A1040" t="str">
            <v>7.9240223111801</v>
          </cell>
          <cell r="B1040" t="str">
            <v>CHILI SAUCE 250GR X 30 BOT</v>
          </cell>
          <cell r="C1040" t="str">
            <v>TƯƠNG ỚT CHILI 250G</v>
          </cell>
          <cell r="D1040" t="str">
            <v>CHILI SAUCE 250GR X 30 BOT</v>
          </cell>
          <cell r="E1040">
            <v>7.5</v>
          </cell>
          <cell r="F1040" t="str">
            <v>Bỏ chọn</v>
          </cell>
          <cell r="G1040"/>
          <cell r="H1040"/>
        </row>
        <row r="1041">
          <cell r="A1041" t="str">
            <v>7.924022311180101</v>
          </cell>
          <cell r="B1041" t="str">
            <v>CHILI SAUCE 250GR</v>
          </cell>
          <cell r="C1041" t="str">
            <v>TƯƠNG ỚT CHILI 250G</v>
          </cell>
          <cell r="D1041" t="str">
            <v>CHILI SAUCE 250GR</v>
          </cell>
          <cell r="E1041">
            <v>0.25</v>
          </cell>
          <cell r="F1041" t="str">
            <v>Bỏ chọn</v>
          </cell>
          <cell r="G1041"/>
          <cell r="H1041"/>
        </row>
        <row r="1042">
          <cell r="A1042" t="str">
            <v>6.5239935220501</v>
          </cell>
          <cell r="B1042" t="str">
            <v>LWW 2-25</v>
          </cell>
          <cell r="C1042" t="str">
            <v>BỘT MÌ CHUYÊN DỤNG "CAKE FLOUR LWW-2" (25KG)</v>
          </cell>
          <cell r="D1042" t="str">
            <v>LWW 2-25</v>
          </cell>
          <cell r="E1042">
            <v>1</v>
          </cell>
          <cell r="F1042" t="str">
            <v>Bỏ chọn</v>
          </cell>
          <cell r="G1042"/>
          <cell r="H1042"/>
        </row>
        <row r="1043">
          <cell r="A1043" t="str">
            <v>6.5239936220501</v>
          </cell>
          <cell r="B1043" t="str">
            <v>LWW 3-25</v>
          </cell>
          <cell r="C1043" t="str">
            <v>BỘT MÌ CHUYÊN DỤNG "HARD WHEAT FLOUR LWW-3" (25KG)</v>
          </cell>
          <cell r="D1043" t="str">
            <v>LWW 3-25</v>
          </cell>
          <cell r="E1043">
            <v>1</v>
          </cell>
          <cell r="F1043" t="str">
            <v>Bỏ chọn</v>
          </cell>
          <cell r="G1043"/>
          <cell r="H1043"/>
        </row>
        <row r="1044">
          <cell r="A1044" t="str">
            <v>6.5239914992959</v>
          </cell>
          <cell r="B1044" t="str">
            <v>RED COMPASS _25_CPC</v>
          </cell>
          <cell r="C1044" t="str">
            <v>BỘT MÌ NHÃN HIỆU "LA BÀN ĐỎ" (20KG)</v>
          </cell>
          <cell r="D1044" t="str">
            <v>RED COMPASS _25_CPC</v>
          </cell>
          <cell r="E1044">
            <v>1</v>
          </cell>
          <cell r="F1044" t="str">
            <v>Bỏ chọn</v>
          </cell>
          <cell r="G1044"/>
          <cell r="H1044"/>
        </row>
        <row r="1045">
          <cell r="A1045" t="str">
            <v>6.5239937140601</v>
          </cell>
          <cell r="B1045" t="str">
            <v>SF32_ 40</v>
          </cell>
          <cell r="C1045" t="str">
            <v>BỘT "MÌ TÔM VUA XANH" (40KG)</v>
          </cell>
          <cell r="D1045" t="str">
            <v>SF32_ 40</v>
          </cell>
          <cell r="E1045">
            <v>1</v>
          </cell>
          <cell r="F1045" t="str">
            <v>Bỏ chọn</v>
          </cell>
          <cell r="G1045"/>
          <cell r="H1045"/>
        </row>
        <row r="1046">
          <cell r="A1046" t="str">
            <v>6.5239913990460</v>
          </cell>
          <cell r="B1046" t="str">
            <v>PIZZA-10- PIZZA NGON</v>
          </cell>
          <cell r="C1046" t="str">
            <v>BỘT MÌ NHÃN HIỆU "PIZZA FLOUR" (10KG)</v>
          </cell>
          <cell r="D1046" t="str">
            <v>PIZZA-10- PIZZA NGON</v>
          </cell>
          <cell r="E1046">
            <v>1</v>
          </cell>
          <cell r="F1046" t="str">
            <v>Bỏ chọn</v>
          </cell>
          <cell r="G1046"/>
          <cell r="H1046"/>
        </row>
        <row r="1047">
          <cell r="A1047" t="str">
            <v>V51.901.029</v>
          </cell>
          <cell r="B1047" t="str">
            <v>PLASTIC HOOK WITH 9 CORES</v>
          </cell>
          <cell r="C1047" t="str">
            <v>DÂY TREO NHỰA 9 MÓC</v>
          </cell>
          <cell r="D1047" t="str">
            <v>PLASTIC HOOK WITH 9 CORES</v>
          </cell>
          <cell r="E1047">
            <v>0</v>
          </cell>
          <cell r="F1047" t="str">
            <v>Bỏ chọn</v>
          </cell>
          <cell r="G1047"/>
          <cell r="H1047"/>
        </row>
        <row r="1048">
          <cell r="A1048" t="str">
            <v>6.5239937130661</v>
          </cell>
          <cell r="B1048" t="str">
            <v>SF28_40_TIN PHUONG</v>
          </cell>
          <cell r="C1048" t="str">
            <v>BỘT MÌ SF (40KG)</v>
          </cell>
          <cell r="D1048" t="str">
            <v>SF28_40_TIN PHUONG</v>
          </cell>
          <cell r="E1048">
            <v>1</v>
          </cell>
          <cell r="F1048" t="str">
            <v>Bỏ chọn</v>
          </cell>
          <cell r="G1048"/>
          <cell r="H1048"/>
        </row>
        <row r="1049">
          <cell r="A1049" t="str">
            <v>6.5239937990662</v>
          </cell>
          <cell r="B1049" t="str">
            <v>SF_40_FL3</v>
          </cell>
          <cell r="C1049" t="str">
            <v>BỘT MÌ SF (40KG)</v>
          </cell>
          <cell r="D1049" t="str">
            <v>SF_40_FL3</v>
          </cell>
          <cell r="E1049">
            <v>1</v>
          </cell>
          <cell r="F1049" t="str">
            <v>Bỏ chọn</v>
          </cell>
          <cell r="G1049"/>
          <cell r="H1049"/>
        </row>
        <row r="1050">
          <cell r="A1050" t="str">
            <v>6.5239937990563</v>
          </cell>
          <cell r="B1050" t="str">
            <v>SF_25_1</v>
          </cell>
          <cell r="C1050" t="str">
            <v>BỘT MÌ SF 25KG</v>
          </cell>
          <cell r="D1050" t="str">
            <v>SF_25_1</v>
          </cell>
          <cell r="E1050">
            <v>1</v>
          </cell>
          <cell r="F1050" t="str">
            <v>Bỏ chọn</v>
          </cell>
          <cell r="G1050"/>
          <cell r="H1050"/>
        </row>
        <row r="1051">
          <cell r="A1051" t="str">
            <v>6.5239937130601</v>
          </cell>
          <cell r="B1051" t="str">
            <v>SF28_40</v>
          </cell>
          <cell r="C1051" t="str">
            <v>BỘT MÌ SF 28 (40KG)</v>
          </cell>
          <cell r="D1051" t="str">
            <v>SF28_40</v>
          </cell>
          <cell r="E1051">
            <v>1</v>
          </cell>
          <cell r="F1051" t="str">
            <v>Bỏ chọn</v>
          </cell>
          <cell r="G1051"/>
          <cell r="H1051"/>
        </row>
        <row r="1052">
          <cell r="A1052" t="str">
            <v>6.5239937130657</v>
          </cell>
          <cell r="B1052" t="str">
            <v>SF28_40_ AN THAI</v>
          </cell>
          <cell r="C1052" t="str">
            <v>BỘT MÌ SF 28_AN THAI (40KG)</v>
          </cell>
          <cell r="D1052" t="str">
            <v>SF28_40_ AN THAI</v>
          </cell>
          <cell r="E1052">
            <v>1</v>
          </cell>
          <cell r="F1052" t="str">
            <v>Bỏ chọn</v>
          </cell>
          <cell r="G1052"/>
          <cell r="H1052"/>
        </row>
        <row r="1053">
          <cell r="A1053" t="str">
            <v>6.5239937150657</v>
          </cell>
          <cell r="B1053" t="str">
            <v>SF32_40_AN THAI</v>
          </cell>
          <cell r="C1053" t="str">
            <v>BỘT MÌ SF (40KG)</v>
          </cell>
          <cell r="D1053" t="str">
            <v>SF32_40_AN THAI</v>
          </cell>
          <cell r="E1053">
            <v>1</v>
          </cell>
          <cell r="F1053" t="str">
            <v>Bỏ chọn</v>
          </cell>
          <cell r="G1053"/>
          <cell r="H1053"/>
        </row>
        <row r="1054">
          <cell r="A1054" t="str">
            <v>7.5239937160601</v>
          </cell>
          <cell r="B1054" t="str">
            <v>RED KING SHRIMP (40KG)</v>
          </cell>
          <cell r="C1054" t="str">
            <v>BỘT MÌ TÔM VUA ĐỎ (40KG)</v>
          </cell>
          <cell r="D1054" t="str">
            <v>RED KING SHRIMP (40KG)</v>
          </cell>
          <cell r="E1054">
            <v>40</v>
          </cell>
          <cell r="F1054" t="str">
            <v>Bỏ chọn</v>
          </cell>
          <cell r="G1054"/>
          <cell r="H1054"/>
        </row>
        <row r="1055">
          <cell r="A1055" t="str">
            <v>6.5239938990763</v>
          </cell>
          <cell r="B1055" t="str">
            <v>POLLARD 14%_50_1</v>
          </cell>
          <cell r="C1055" t="str">
            <v>CÁM MÌ (POLLARD) (50KG)</v>
          </cell>
          <cell r="D1055" t="str">
            <v>POLLARD 14%_50_1</v>
          </cell>
          <cell r="E1055">
            <v>1</v>
          </cell>
          <cell r="F1055" t="str">
            <v>Bỏ chọn</v>
          </cell>
          <cell r="G1055"/>
          <cell r="H1055"/>
        </row>
        <row r="1056">
          <cell r="A1056" t="str">
            <v>6.5239938990701</v>
          </cell>
          <cell r="B1056" t="str">
            <v>POLLARD 14%_50</v>
          </cell>
          <cell r="C1056" t="str">
            <v>CÁM MÌ (POLLARD) (50KG)</v>
          </cell>
          <cell r="D1056" t="str">
            <v>POLLARD 14%_50</v>
          </cell>
          <cell r="E1056">
            <v>1</v>
          </cell>
          <cell r="F1056" t="str">
            <v>Bỏ chọn</v>
          </cell>
          <cell r="G1056"/>
          <cell r="H1056"/>
        </row>
        <row r="1057">
          <cell r="A1057" t="str">
            <v>6.5239914990559</v>
          </cell>
          <cell r="B1057" t="str">
            <v>RED COMPASS _25_CPC</v>
          </cell>
          <cell r="C1057" t="str">
            <v>BỘT MÌ NHÃN HIỆU "LA BÀN ĐỎ" (25KG)</v>
          </cell>
          <cell r="D1057" t="str">
            <v>RED COMPASS _25_CPC</v>
          </cell>
          <cell r="E1057">
            <v>1</v>
          </cell>
          <cell r="F1057" t="str">
            <v>Bỏ chọn</v>
          </cell>
          <cell r="G1057"/>
          <cell r="H1057"/>
        </row>
        <row r="1058">
          <cell r="A1058" t="str">
            <v>7.70514</v>
          </cell>
          <cell r="B1058" t="str">
            <v>WILFAROL1698 LAMINATED PAPERBAG @25KG</v>
          </cell>
          <cell r="C1058" t="str">
            <v>RƯỢU CETYL - WILFAROL 1698; BAO 25KG</v>
          </cell>
          <cell r="D1058" t="str">
            <v>WILFAROL1698 LAMINATED PAPERBAG @25KG</v>
          </cell>
          <cell r="E1058">
            <v>1</v>
          </cell>
          <cell r="F1058" t="str">
            <v>Bỏ chọn</v>
          </cell>
          <cell r="G1058"/>
          <cell r="H1058"/>
        </row>
        <row r="1059">
          <cell r="A1059" t="str">
            <v>7.70515</v>
          </cell>
          <cell r="B1059" t="str">
            <v>WILFAROL1618 LAMINATED PAPERBAG @25KG</v>
          </cell>
          <cell r="C1059" t="str">
            <v>RƯỢU CETYL-STEARYL - WILFAROL 1618; BAO 25KG</v>
          </cell>
          <cell r="D1059" t="str">
            <v>WILFAROL1618 LAMINATED PAPERBAG @25KG</v>
          </cell>
          <cell r="E1059">
            <v>1</v>
          </cell>
          <cell r="F1059" t="str">
            <v>Bỏ chọn</v>
          </cell>
          <cell r="G1059"/>
          <cell r="H1059"/>
        </row>
        <row r="1060">
          <cell r="A1060" t="str">
            <v>6.1221210</v>
          </cell>
          <cell r="B1060" t="str">
            <v>REFINED HYDRO KERNEL OIL IV 1 MP 41</v>
          </cell>
          <cell r="C1060" t="str">
            <v>DẦU NHÂN CỌ HYDRO HÓA, TINH LUYỆN 41 - 43</v>
          </cell>
          <cell r="D1060" t="str">
            <v>REFINED HYDRO KERNEL OIL IV 1 MP 41</v>
          </cell>
          <cell r="E1060">
            <v>1</v>
          </cell>
          <cell r="F1060" t="str">
            <v>Bỏ chọn</v>
          </cell>
          <cell r="G1060"/>
          <cell r="H1060"/>
        </row>
        <row r="1061">
          <cell r="A1061" t="str">
            <v>6.5239939990501</v>
          </cell>
          <cell r="B1061" t="str">
            <v>BLUE KEY PIA_25</v>
          </cell>
          <cell r="C1061" t="str">
            <v>BỘT MÌ NHÃN HIỆU"CHÌA KHÓA XANH BÁNH PÍA"(25KG)</v>
          </cell>
          <cell r="D1061" t="str">
            <v>BLUE KEY PIA_25</v>
          </cell>
          <cell r="E1061">
            <v>1</v>
          </cell>
          <cell r="F1061" t="str">
            <v>Bỏ chọn</v>
          </cell>
          <cell r="G1061"/>
          <cell r="H1061"/>
        </row>
        <row r="1062">
          <cell r="A1062" t="str">
            <v>6-1221210</v>
          </cell>
          <cell r="B1062" t="str">
            <v>TEMP REFINED HYDRO KERNEL OIL IV 1 MP 41</v>
          </cell>
          <cell r="C1062" t="str">
            <v>DẦU NHÂN CỌ HYDRO HÓA VÀ TINH LUYỆN (HPKO 42)</v>
          </cell>
          <cell r="D1062" t="str">
            <v>TEMP REFINED HYDRO KERNEL OIL IV 1 MP 41</v>
          </cell>
          <cell r="E1062">
            <v>1</v>
          </cell>
          <cell r="F1062" t="str">
            <v>Bỏ chọn</v>
          </cell>
          <cell r="G1062"/>
          <cell r="H1062"/>
        </row>
        <row r="1063">
          <cell r="A1063" t="str">
            <v>V51.501.120</v>
          </cell>
          <cell r="B1063" t="str">
            <v>CRYSTAL TROPHY</v>
          </cell>
          <cell r="C1063" t="str">
            <v>KỶ NIỆM CHƯƠNG</v>
          </cell>
          <cell r="D1063" t="str">
            <v>CRYSTAL TROPHY</v>
          </cell>
          <cell r="E1063">
            <v>0</v>
          </cell>
          <cell r="F1063" t="str">
            <v>Bỏ chọn</v>
          </cell>
          <cell r="G1063"/>
          <cell r="H1063"/>
        </row>
        <row r="1064">
          <cell r="A1064" t="str">
            <v>V39.015.015</v>
          </cell>
          <cell r="B1064" t="str">
            <v>GLASSLOCK OLIVOILA</v>
          </cell>
          <cell r="C1064" t="str">
            <v>HỦ THỦY TINH OLIVOILA</v>
          </cell>
          <cell r="D1064" t="str">
            <v>GLASSLOCK OLIVOILA</v>
          </cell>
          <cell r="E1064">
            <v>0</v>
          </cell>
          <cell r="F1064" t="str">
            <v>Bỏ chọn</v>
          </cell>
          <cell r="G1064"/>
          <cell r="H1064"/>
        </row>
        <row r="1065">
          <cell r="A1065" t="str">
            <v>6.5239924170201</v>
          </cell>
          <cell r="B1065" t="str">
            <v>VFMW - 2</v>
          </cell>
          <cell r="C1065" t="str">
            <v>BỘT MÌ CHUYÊN DỤNG CAO CẤP "VFMW-2"</v>
          </cell>
          <cell r="D1065" t="str">
            <v>VFMW - 2</v>
          </cell>
          <cell r="E1065">
            <v>1</v>
          </cell>
          <cell r="F1065" t="str">
            <v>Bỏ chọn</v>
          </cell>
          <cell r="G1065"/>
          <cell r="H1065"/>
        </row>
        <row r="1066">
          <cell r="A1066" t="str">
            <v>6.5239924180201</v>
          </cell>
          <cell r="B1066" t="str">
            <v>VFMW - 4</v>
          </cell>
          <cell r="C1066" t="str">
            <v>BỘT MÌ CHUYÊN DỤNG CAO CẤP "VFMW-4"</v>
          </cell>
          <cell r="D1066" t="str">
            <v>VFMW - 4</v>
          </cell>
          <cell r="E1066">
            <v>1</v>
          </cell>
          <cell r="F1066" t="str">
            <v>Bỏ chọn</v>
          </cell>
          <cell r="G1066"/>
          <cell r="H1066"/>
        </row>
        <row r="1067">
          <cell r="A1067" t="str">
            <v>6.5239914990636</v>
          </cell>
          <cell r="B1067" t="str">
            <v>RED COMPASS-40-MASAN</v>
          </cell>
          <cell r="C1067" t="str">
            <v>BỘT MÌ NHÃN HIỆU "LA BÀN ĐỎ" (40KG)</v>
          </cell>
          <cell r="D1067" t="str">
            <v>RED COMPASS-40-MASAN</v>
          </cell>
          <cell r="E1067">
            <v>1</v>
          </cell>
          <cell r="F1067" t="str">
            <v>Bỏ chọn</v>
          </cell>
          <cell r="G1067"/>
          <cell r="H1067"/>
        </row>
        <row r="1068">
          <cell r="A1068" t="str">
            <v>6.5239909990601</v>
          </cell>
          <cell r="B1068" t="str">
            <v>MS 1-40</v>
          </cell>
          <cell r="C1068" t="str">
            <v>BỘT MÌ CHUYÊN DỤNG “MS 1”</v>
          </cell>
          <cell r="D1068" t="str">
            <v>MS 1-40</v>
          </cell>
          <cell r="E1068">
            <v>1</v>
          </cell>
          <cell r="F1068" t="str">
            <v>Bỏ chọn</v>
          </cell>
          <cell r="G1068"/>
          <cell r="H1068"/>
        </row>
        <row r="1069">
          <cell r="A1069" t="str">
            <v>7.9240123101001</v>
          </cell>
          <cell r="B1069" t="str">
            <v>HOA SEN SAUCE 495 ML X 24 BOT</v>
          </cell>
          <cell r="C1069" t="str">
            <v>NƯỚC TƯƠNG HOA SEN 495ML</v>
          </cell>
          <cell r="D1069" t="str">
            <v>HOA SEN SAUCE 495 ML X 24 BOT</v>
          </cell>
          <cell r="E1069">
            <v>13</v>
          </cell>
          <cell r="F1069" t="str">
            <v>Bỏ chọn</v>
          </cell>
          <cell r="G1069"/>
          <cell r="H1069"/>
        </row>
        <row r="1070">
          <cell r="A1070" t="str">
            <v>7.924012310100101</v>
          </cell>
          <cell r="B1070" t="str">
            <v>HOA SEN SAUCE 495 ML</v>
          </cell>
          <cell r="C1070" t="str">
            <v>NƯỚC TƯƠNG HOA SEN 495ML</v>
          </cell>
          <cell r="D1070" t="str">
            <v>HOA SEN SAUCE 495 ML</v>
          </cell>
          <cell r="E1070">
            <v>0.54200000000000004</v>
          </cell>
          <cell r="F1070" t="str">
            <v>Bỏ chọn</v>
          </cell>
          <cell r="G1070"/>
          <cell r="H1070"/>
        </row>
        <row r="1071">
          <cell r="A1071" t="str">
            <v>6.5239904990564</v>
          </cell>
          <cell r="B1071" t="str">
            <v>BROWN COMPASS-25-AJI</v>
          </cell>
          <cell r="C1071" t="str">
            <v>BỘT MÌ NHÃN HIỆU "LA BÀN NÂU" (25KG)</v>
          </cell>
          <cell r="D1071" t="str">
            <v>BROWN COMPASS-25-AJI</v>
          </cell>
          <cell r="E1071">
            <v>1</v>
          </cell>
          <cell r="F1071" t="str">
            <v>Bỏ chọn</v>
          </cell>
          <cell r="G1071"/>
          <cell r="H1071"/>
        </row>
        <row r="1072">
          <cell r="A1072" t="str">
            <v>6.5239940190201</v>
          </cell>
          <cell r="B1072" t="str">
            <v>VFM-2 (BULK)</v>
          </cell>
          <cell r="C1072" t="str">
            <v>BỘT MÌ NHÃN HIỆU VFM 2</v>
          </cell>
          <cell r="D1072" t="str">
            <v>VFM-2 (BULK)</v>
          </cell>
          <cell r="E1072">
            <v>1</v>
          </cell>
          <cell r="F1072" t="str">
            <v>Bỏ chọn</v>
          </cell>
          <cell r="G1072"/>
          <cell r="H1072"/>
        </row>
        <row r="1073">
          <cell r="A1073" t="str">
            <v>6.5239940200201</v>
          </cell>
          <cell r="B1073" t="str">
            <v>VFM-4 (BULK)</v>
          </cell>
          <cell r="C1073" t="str">
            <v>BỘT MÌ NHÃN HIỆU VFM 4</v>
          </cell>
          <cell r="D1073" t="str">
            <v>VFM-4 (BULK)</v>
          </cell>
          <cell r="E1073">
            <v>1</v>
          </cell>
          <cell r="F1073" t="str">
            <v>Bỏ chọn</v>
          </cell>
          <cell r="G1073"/>
          <cell r="H1073"/>
        </row>
        <row r="1074">
          <cell r="A1074" t="str">
            <v>7.70516</v>
          </cell>
          <cell r="B1074" t="str">
            <v>WILFA METHYL ESTER SULPHONATE FLAKES C16FR 75% ACTIVE MATTER LAMINATED PAPERBAG@25KG</v>
          </cell>
          <cell r="C1074" t="str">
            <v>CHẾ PHẨM HOẠT ĐỘNG BỀ MẶT DẠNG ANION - WILFAMES C16FR 75%; BAO 25KG</v>
          </cell>
          <cell r="D1074" t="str">
            <v>WILFA METHYL ESTER SULPHONATE FLAKES C16FR 75% ACTIVE MATTER LAMINATED PAPERBAG@25KG</v>
          </cell>
          <cell r="E1074">
            <v>1</v>
          </cell>
          <cell r="F1074" t="str">
            <v>Bỏ chọn</v>
          </cell>
          <cell r="G1074"/>
          <cell r="H1074"/>
        </row>
        <row r="1075">
          <cell r="A1075" t="str">
            <v>6.5239901990565</v>
          </cell>
          <cell r="B1075" t="str">
            <v>ACE 1-25-AP</v>
          </cell>
          <cell r="C1075" t="str">
            <v>BỘT MÌ NHÃN HIỆU "ACE-1" (25KG)</v>
          </cell>
          <cell r="D1075" t="str">
            <v>ACE 1-25-AP</v>
          </cell>
          <cell r="E1075">
            <v>1</v>
          </cell>
          <cell r="F1075" t="str">
            <v>Bỏ chọn</v>
          </cell>
          <cell r="G1075"/>
          <cell r="H1075"/>
        </row>
        <row r="1076">
          <cell r="A1076" t="str">
            <v>V39.009.032</v>
          </cell>
          <cell r="B1076" t="str">
            <v>UNION GLASS UG350</v>
          </cell>
          <cell r="C1076" t="str">
            <v>LY THỦY TINH UNION UG350</v>
          </cell>
          <cell r="D1076" t="str">
            <v>UNION GLASS UG350</v>
          </cell>
          <cell r="E1076">
            <v>0.253</v>
          </cell>
          <cell r="F1076" t="str">
            <v>Bỏ chọn</v>
          </cell>
          <cell r="G1076"/>
          <cell r="H1076"/>
        </row>
        <row r="1077">
          <cell r="A1077" t="str">
            <v>V51.511.013</v>
          </cell>
          <cell r="B1077" t="str">
            <v>OLIVOILA GLASS LG 123</v>
          </cell>
          <cell r="C1077" t="str">
            <v>LY THỦY TINH LUCKYGLASS LG-312311 (123)</v>
          </cell>
          <cell r="D1077" t="str">
            <v>OLIVOILA GLASS LG 123</v>
          </cell>
          <cell r="E1077">
            <v>0</v>
          </cell>
          <cell r="F1077" t="str">
            <v>Bỏ chọn</v>
          </cell>
          <cell r="G1077"/>
          <cell r="H1077"/>
        </row>
        <row r="1078">
          <cell r="A1078" t="str">
            <v>6.5239941990601</v>
          </cell>
          <cell r="B1078" t="str">
            <v>AP-40</v>
          </cell>
          <cell r="C1078" t="str">
            <v>BỘT MÌ CHĂN NUÔI AP (40KG)</v>
          </cell>
          <cell r="D1078" t="str">
            <v>AP-40</v>
          </cell>
          <cell r="E1078">
            <v>1</v>
          </cell>
          <cell r="F1078" t="str">
            <v>Bỏ chọn</v>
          </cell>
          <cell r="G1078"/>
          <cell r="H1078"/>
        </row>
        <row r="1079">
          <cell r="A1079" t="str">
            <v>6.5239941990666</v>
          </cell>
          <cell r="B1079" t="str">
            <v>AP-40-P</v>
          </cell>
          <cell r="C1079" t="str">
            <v>BỘT MÌ CHĂN NUÔI AP (40KG)</v>
          </cell>
          <cell r="D1079" t="str">
            <v>AP-40-P</v>
          </cell>
          <cell r="E1079">
            <v>1</v>
          </cell>
          <cell r="F1079" t="str">
            <v>Bỏ chọn</v>
          </cell>
          <cell r="G1079"/>
          <cell r="H1079"/>
        </row>
        <row r="1080">
          <cell r="A1080" t="str">
            <v>V51.901.030</v>
          </cell>
          <cell r="B1080" t="str">
            <v>MEIZAN STANDEE SMALL SIZE (HIGH 1,9M)</v>
          </cell>
          <cell r="C1080" t="str">
            <v>PHƯỚN ĐỨNG CỠ NHỎ (1,9 M)</v>
          </cell>
          <cell r="D1080" t="str">
            <v>MEIZAN STANDEE SMALL SIZE (HIGH 1,9M)</v>
          </cell>
          <cell r="E1080">
            <v>0</v>
          </cell>
          <cell r="F1080" t="str">
            <v>Bỏ chọn</v>
          </cell>
          <cell r="G1080"/>
          <cell r="H1080"/>
        </row>
        <row r="1081">
          <cell r="A1081" t="str">
            <v>6.5239943990567</v>
          </cell>
          <cell r="B1081" t="str">
            <v>GREEN KEY K</v>
          </cell>
          <cell r="C1081" t="str">
            <v>BỘT MÌ NHÃN HIỆU "CHÌA KHÓA XANH LÁ" (25KG)</v>
          </cell>
          <cell r="D1081" t="str">
            <v>GREEN KEY K</v>
          </cell>
          <cell r="E1081">
            <v>1</v>
          </cell>
          <cell r="F1081" t="str">
            <v>Bỏ chọn</v>
          </cell>
          <cell r="G1081"/>
          <cell r="H1081"/>
        </row>
        <row r="1082">
          <cell r="A1082" t="str">
            <v>V39.015.017</v>
          </cell>
          <cell r="B1082" t="str">
            <v>LUCKYGLASS LG-312311</v>
          </cell>
          <cell r="C1082" t="str">
            <v>LY THỦY TINH LUCKYGLASS LG-312311</v>
          </cell>
          <cell r="D1082" t="str">
            <v>LUCKYGLASS LG-312311</v>
          </cell>
          <cell r="E1082">
            <v>0.8</v>
          </cell>
          <cell r="F1082" t="str">
            <v>Bỏ chọn</v>
          </cell>
          <cell r="G1082"/>
          <cell r="H1082"/>
        </row>
        <row r="1083">
          <cell r="A1083" t="str">
            <v>7.460050031700030TD</v>
          </cell>
          <cell r="B1083" t="str">
            <v>SIMPLY RBDRBO IN BOTTLE@1L</v>
          </cell>
          <cell r="C1083" t="str">
            <v>DẦU GẠO LỨT NHÃN HIỆU SIMPLY 1L</v>
          </cell>
          <cell r="D1083" t="str">
            <v>SIMPLY RBDRBO IN BOTTLE@1L</v>
          </cell>
          <cell r="E1083">
            <v>0.91</v>
          </cell>
          <cell r="F1083" t="str">
            <v>Chọn</v>
          </cell>
          <cell r="G1083"/>
          <cell r="H1083"/>
        </row>
        <row r="1084">
          <cell r="A1084" t="str">
            <v>7.5239908082101TD</v>
          </cell>
          <cell r="B1084" t="str">
            <v>MEIZAN-CRYSPY</v>
          </cell>
          <cell r="C1084" t="str">
            <v>BỘT CHIÊN GIÒN "MEIZAN" 150GR</v>
          </cell>
          <cell r="D1084" t="str">
            <v>MEIZAN-CRYSPY</v>
          </cell>
          <cell r="E1084">
            <v>0.15</v>
          </cell>
          <cell r="F1084" t="str">
            <v>Bỏ chọn</v>
          </cell>
          <cell r="G1084"/>
          <cell r="H1084"/>
        </row>
        <row r="1085">
          <cell r="A1085" t="str">
            <v>6.52399080100TD</v>
          </cell>
          <cell r="B1085" t="str">
            <v>MEIZAN_0.5</v>
          </cell>
          <cell r="C1085" t="str">
            <v>BỘT MÌ NHÃN HIỆU "MEIZAN" 0.5KG (GÓI)</v>
          </cell>
          <cell r="D1085" t="str">
            <v>MEIZAN_0.5</v>
          </cell>
          <cell r="E1085">
            <v>0.5</v>
          </cell>
          <cell r="F1085" t="str">
            <v>Bỏ chọn</v>
          </cell>
          <cell r="G1085"/>
          <cell r="H1085"/>
        </row>
        <row r="1086">
          <cell r="A1086" t="str">
            <v>7.70517</v>
          </cell>
          <cell r="B1086" t="str">
            <v>WILFARIN STEARIC ACID1810 LAMINATED PAPERBAG @25KG</v>
          </cell>
          <cell r="C1086" t="str">
            <v>AXIT STEARIC - WILFARIN SA1810; BAO 25KG</v>
          </cell>
          <cell r="D1086" t="str">
            <v>WILFARIN STEARIC ACID1810 LAMINATED PAPERBAG @25KG</v>
          </cell>
          <cell r="E1086">
            <v>1</v>
          </cell>
          <cell r="F1086" t="str">
            <v>Bỏ chọn</v>
          </cell>
          <cell r="G1086"/>
          <cell r="H1086"/>
        </row>
        <row r="1087">
          <cell r="A1087" t="str">
            <v>V39.015.401</v>
          </cell>
          <cell r="B1087" t="str">
            <v>INFRARED STOVES (FOR TET DINNER)</v>
          </cell>
          <cell r="C1087" t="str">
            <v>BẾP HỒNG NGOẠI</v>
          </cell>
          <cell r="D1087" t="str">
            <v>INFRARED STOVES (FOR TET DINNER)</v>
          </cell>
          <cell r="E1087">
            <v>0</v>
          </cell>
          <cell r="F1087" t="str">
            <v>Bỏ chọn</v>
          </cell>
          <cell r="G1087"/>
          <cell r="H1087"/>
        </row>
        <row r="1088">
          <cell r="A1088" t="str">
            <v>7.1100003600822000</v>
          </cell>
          <cell r="B1088" t="str">
            <v>WILKOTE 380 IN FLEXIBLEBAG @20MT</v>
          </cell>
          <cell r="C1088" t="str">
            <v>DẦU NHÂN CỌ TINH LUYỆN VÀ HYDRO HÓA WILKOTE 380 TRONG FLEXIBAG</v>
          </cell>
          <cell r="D1088" t="str">
            <v>WILKOTE 380 IN FLEXIBLEBAG @20MT</v>
          </cell>
          <cell r="E1088">
            <v>1</v>
          </cell>
          <cell r="F1088" t="str">
            <v>Bỏ chọn</v>
          </cell>
          <cell r="G1088"/>
          <cell r="H1088"/>
        </row>
        <row r="1089">
          <cell r="A1089" t="str">
            <v>V51.053.001</v>
          </cell>
          <cell r="B1089" t="str">
            <v>PRAISE TRADITIONAL MAYONNAISE 365G</v>
          </cell>
          <cell r="C1089" t="str">
            <v>XỐT MAYONAISE TRUYỀN THỐNG NHÃN HIỆU PRAISE 365G</v>
          </cell>
          <cell r="D1089" t="str">
            <v>PRAISE TRADITIONAL MAYONNAISE 365G</v>
          </cell>
          <cell r="E1089">
            <v>0</v>
          </cell>
          <cell r="F1089" t="str">
            <v>Bỏ chọn</v>
          </cell>
          <cell r="G1089"/>
          <cell r="H1089"/>
        </row>
        <row r="1090">
          <cell r="A1090" t="str">
            <v>6.5239942990668</v>
          </cell>
          <cell r="B1090" t="str">
            <v>PS - 1</v>
          </cell>
          <cell r="C1090" t="str">
            <v>BỘT MÌ NHÃN HIỆU PS - 1 (40KG)</v>
          </cell>
          <cell r="D1090" t="str">
            <v>PS - 1</v>
          </cell>
          <cell r="E1090">
            <v>1</v>
          </cell>
          <cell r="F1090" t="str">
            <v>Bỏ chọn</v>
          </cell>
          <cell r="G1090"/>
          <cell r="H1090"/>
        </row>
        <row r="1091">
          <cell r="A1091" t="str">
            <v>V51.049.004</v>
          </cell>
          <cell r="B1091" t="str">
            <v>HORECA CHILI SAUCE 2,1KG</v>
          </cell>
          <cell r="C1091" t="str">
            <v>TƯƠNG ỚT HORECA 2,1KG</v>
          </cell>
          <cell r="D1091" t="str">
            <v>HORECA CHILI SAUCE 2,1KG</v>
          </cell>
          <cell r="E1091">
            <v>0</v>
          </cell>
          <cell r="F1091" t="str">
            <v>Bỏ chọn</v>
          </cell>
          <cell r="G1091"/>
          <cell r="H1091"/>
        </row>
        <row r="1092">
          <cell r="A1092" t="str">
            <v>6.5239907990567</v>
          </cell>
          <cell r="B1092" t="str">
            <v>GREEN KEY-25-BIBICA</v>
          </cell>
          <cell r="C1092" t="str">
            <v>BỘT MÌ NHÃN HIỆU "CHÌA KHÓA XANH LÁ" (25KG)</v>
          </cell>
          <cell r="D1092" t="str">
            <v>GREEN KEY-25-BIBICA</v>
          </cell>
          <cell r="E1092">
            <v>1</v>
          </cell>
          <cell r="F1092" t="str">
            <v>Bỏ chọn</v>
          </cell>
          <cell r="G1092"/>
          <cell r="H1092"/>
        </row>
        <row r="1093">
          <cell r="A1093" t="str">
            <v>6.5239926990569</v>
          </cell>
          <cell r="B1093" t="str">
            <v>BLUE KEY PAU 25 - ABC</v>
          </cell>
          <cell r="C1093" t="str">
            <v>BỘT MÌ NHÃN HIỆU CHÌA KHÓA XANH BÁNH BAO (25KG)</v>
          </cell>
          <cell r="D1093" t="str">
            <v>BLUE KEY PAU 25 - ABC</v>
          </cell>
          <cell r="E1093">
            <v>1</v>
          </cell>
          <cell r="F1093" t="str">
            <v>Bỏ chọn</v>
          </cell>
          <cell r="G1093"/>
          <cell r="H1093"/>
        </row>
        <row r="1094">
          <cell r="A1094" t="str">
            <v>7.5239908990301</v>
          </cell>
          <cell r="B1094" t="str">
            <v>MEIZAN-5</v>
          </cell>
          <cell r="C1094" t="str">
            <v>BỘT MÌ NHÃN HIỆU "MEIZAN" (5KG*6 GÓI/BAO)</v>
          </cell>
          <cell r="D1094" t="str">
            <v>MEIZAN-5</v>
          </cell>
          <cell r="E1094">
            <v>30</v>
          </cell>
          <cell r="F1094" t="str">
            <v>Bỏ chọn</v>
          </cell>
          <cell r="G1094"/>
          <cell r="H1094"/>
        </row>
        <row r="1095">
          <cell r="A1095" t="str">
            <v>7.131074031705810</v>
          </cell>
          <cell r="B1095" t="str">
            <v>CHOICE L VEGETABLE OIL 1L X 12 BTL</v>
          </cell>
          <cell r="C1095" t="str">
            <v>DẦU THỰC VẬT HIỆU CHOICE L 1L</v>
          </cell>
          <cell r="D1095" t="str">
            <v>CHOICE L VEGETABLE OIL 1L X 12 BTL</v>
          </cell>
          <cell r="E1095">
            <v>10.97</v>
          </cell>
          <cell r="F1095" t="str">
            <v>Bỏ chọn</v>
          </cell>
          <cell r="G1095"/>
          <cell r="H1095"/>
        </row>
        <row r="1096">
          <cell r="A1096" t="str">
            <v>7.131074041704810</v>
          </cell>
          <cell r="B1096" t="str">
            <v>CHOICE L VEGETABLE OIL 2L X 12 BTL</v>
          </cell>
          <cell r="C1096" t="str">
            <v>DẦU THỰC VẬT HIỆU CHOICE L 2L</v>
          </cell>
          <cell r="D1096" t="str">
            <v>CHOICE L VEGETABLE OIL 2L X 12 BTL</v>
          </cell>
          <cell r="E1096">
            <v>10.97</v>
          </cell>
          <cell r="F1096" t="str">
            <v>Bỏ chọn</v>
          </cell>
          <cell r="G1096"/>
          <cell r="H1096"/>
        </row>
        <row r="1097">
          <cell r="A1097" t="str">
            <v>7.131074061703810</v>
          </cell>
          <cell r="B1097" t="str">
            <v>CHOICE L VEGETABLE OIL 5L X 4 BTL</v>
          </cell>
          <cell r="C1097" t="str">
            <v>DẦU THỰC VẬT HIỆU CHOICE L 5L</v>
          </cell>
          <cell r="D1097" t="str">
            <v>CHOICE L VEGETABLE OIL 5L X 4 BTL</v>
          </cell>
          <cell r="E1097">
            <v>18.3</v>
          </cell>
          <cell r="F1097" t="str">
            <v>Bỏ chọn</v>
          </cell>
          <cell r="G1097"/>
          <cell r="H1097"/>
        </row>
        <row r="1098">
          <cell r="A1098" t="str">
            <v>7.451123031705000</v>
          </cell>
          <cell r="B1098" t="str">
            <v>CHOICE L SOYABEAN OIL 1L X 12 BTL</v>
          </cell>
          <cell r="C1098" t="str">
            <v>DẦU ĐẬU NÀNH HIỆU CHOICE L 1L</v>
          </cell>
          <cell r="D1098" t="str">
            <v>CHOICE L SOYABEAN OIL 1L X 12 BTL</v>
          </cell>
          <cell r="E1098">
            <v>11.1</v>
          </cell>
          <cell r="F1098" t="str">
            <v>Bỏ chọn</v>
          </cell>
          <cell r="G1098"/>
          <cell r="H1098"/>
        </row>
        <row r="1099">
          <cell r="A1099" t="str">
            <v>7.451123051704000</v>
          </cell>
          <cell r="B1099" t="str">
            <v>CHOICE L SOYABEAN OIL 2L X 6 BTL</v>
          </cell>
          <cell r="C1099" t="str">
            <v>DẦU ĐẬU NÀNH HIỆU CHOICE L 2L</v>
          </cell>
          <cell r="D1099" t="str">
            <v>CHOICE L SOYABEAN OIL 2L X 6 BTL</v>
          </cell>
          <cell r="E1099">
            <v>11.06</v>
          </cell>
          <cell r="F1099" t="str">
            <v>Bỏ chọn</v>
          </cell>
          <cell r="G1099"/>
          <cell r="H1099"/>
        </row>
        <row r="1100">
          <cell r="A1100" t="str">
            <v>7.451123081703000</v>
          </cell>
          <cell r="B1100" t="str">
            <v>CHOICE L SOYABEAN OIL 5L X 4 BTL</v>
          </cell>
          <cell r="C1100" t="str">
            <v>DẦU ĐẬU NÀNH HIỆU CHOICE L 5L</v>
          </cell>
          <cell r="D1100" t="str">
            <v>CHOICE L SOYABEAN OIL 5L X 4 BTL</v>
          </cell>
          <cell r="E1100">
            <v>18.43</v>
          </cell>
          <cell r="F1100" t="str">
            <v>Bỏ chọn</v>
          </cell>
          <cell r="G1100"/>
          <cell r="H1100"/>
        </row>
        <row r="1101">
          <cell r="A1101" t="str">
            <v>V39.015.501</v>
          </cell>
          <cell r="B1101" t="str">
            <v>ICE POT VIVAS 6L</v>
          </cell>
          <cell r="C1101" t="str">
            <v>BÌNH ĐỰNG ĐÁ VIVAS 6L L713</v>
          </cell>
          <cell r="D1101" t="str">
            <v>ICE POT VIVAS 6L</v>
          </cell>
          <cell r="E1101">
            <v>0</v>
          </cell>
          <cell r="F1101" t="str">
            <v>Bỏ chọn</v>
          </cell>
          <cell r="G1101"/>
          <cell r="H1101"/>
        </row>
        <row r="1102">
          <cell r="A1102" t="str">
            <v>V39.015.500</v>
          </cell>
          <cell r="B1102" t="str">
            <v>ICE POT VIVAS 3L</v>
          </cell>
          <cell r="C1102" t="str">
            <v>BÌNH ĐỰNG ĐÁ VIVAS 3L L804</v>
          </cell>
          <cell r="D1102" t="str">
            <v>ICE POT VIVAS 3L</v>
          </cell>
          <cell r="E1102">
            <v>0</v>
          </cell>
          <cell r="F1102" t="str">
            <v>Bỏ chọn</v>
          </cell>
          <cell r="G1102"/>
          <cell r="H1102"/>
        </row>
        <row r="1103">
          <cell r="A1103" t="str">
            <v>7.131069036000A00TD</v>
          </cell>
          <cell r="B1103" t="str">
            <v>NEPTUNE GOLD TET GIFT PACK BTL@1L</v>
          </cell>
          <cell r="C1103" t="str">
            <v>DẦU ĂN THƯỢNG HẠNG HIỆU NEPTUNE GOLD 1L</v>
          </cell>
          <cell r="D1103" t="str">
            <v>NEPTUNE GOLD TET GIFT PACK BTL@1L</v>
          </cell>
          <cell r="E1103">
            <v>0.91</v>
          </cell>
          <cell r="F1103" t="str">
            <v>Bỏ chọn</v>
          </cell>
          <cell r="G1103"/>
          <cell r="H1103"/>
        </row>
        <row r="1104">
          <cell r="A1104" t="str">
            <v>7.131069031700A00TD</v>
          </cell>
          <cell r="B1104" t="str">
            <v>NEPTUNE GOLD  IN BOTTLE@1L</v>
          </cell>
          <cell r="C1104" t="str">
            <v>DẦU ĂN THƯỢNG HẠNG HIỆU NEPTUNE GOLD 1L</v>
          </cell>
          <cell r="D1104" t="str">
            <v>NEPTUNE GOLD  IN BOTTLE@1L</v>
          </cell>
          <cell r="E1104">
            <v>0.91</v>
          </cell>
          <cell r="F1104" t="str">
            <v>Bỏ chọn</v>
          </cell>
          <cell r="G1104"/>
          <cell r="H1104"/>
        </row>
        <row r="1105">
          <cell r="A1105" t="str">
            <v>V15.009.002</v>
          </cell>
          <cell r="B1105" t="str">
            <v>HANDPHONE OPPO</v>
          </cell>
          <cell r="C1105" t="str">
            <v>ĐIỆN THOẠI DI ĐỘNG OPPO</v>
          </cell>
          <cell r="D1105" t="str">
            <v>HANDPHONE OPPO</v>
          </cell>
          <cell r="E1105">
            <v>0</v>
          </cell>
          <cell r="F1105" t="str">
            <v>Bỏ chọn</v>
          </cell>
          <cell r="G1105"/>
          <cell r="H1105"/>
        </row>
        <row r="1106">
          <cell r="A1106" t="str">
            <v>V39.014.017</v>
          </cell>
          <cell r="B1106" t="str">
            <v>HOTPOT COOKER HAPPYCOOK</v>
          </cell>
          <cell r="C1106" t="str">
            <v>NỒI LẨU ĐIỆN HAPPYCOOK</v>
          </cell>
          <cell r="D1106" t="str">
            <v>HOTPOT COOKER HAPPYCOOK</v>
          </cell>
          <cell r="E1106">
            <v>0</v>
          </cell>
          <cell r="F1106" t="str">
            <v>Bỏ chọn</v>
          </cell>
          <cell r="G1106"/>
          <cell r="H1106"/>
        </row>
        <row r="1107">
          <cell r="A1107" t="str">
            <v>V39.003.011</v>
          </cell>
          <cell r="B1107" t="str">
            <v>REFRIGERATOR LG 189L</v>
          </cell>
          <cell r="C1107" t="str">
            <v>TỦ LẠNH LG 189 LÍT</v>
          </cell>
          <cell r="D1107" t="str">
            <v>REFRIGERATOR LG 189L</v>
          </cell>
          <cell r="E1107">
            <v>0</v>
          </cell>
          <cell r="F1107" t="str">
            <v>Bỏ chọn</v>
          </cell>
          <cell r="G1107"/>
          <cell r="H1107"/>
        </row>
        <row r="1108">
          <cell r="A1108" t="str">
            <v>V39.030.005</v>
          </cell>
          <cell r="B1108" t="str">
            <v>PANASONIC BLENDER TYPE MX-GM1011</v>
          </cell>
          <cell r="C1108" t="str">
            <v>MÁY XAY SINH TỐ</v>
          </cell>
          <cell r="D1108" t="str">
            <v>PANASONIC BLENDER TYPE MX-GM1011</v>
          </cell>
          <cell r="E1108">
            <v>0</v>
          </cell>
          <cell r="F1108" t="str">
            <v>Bỏ chọn</v>
          </cell>
          <cell r="G1108"/>
          <cell r="H1108"/>
        </row>
        <row r="1109">
          <cell r="A1109" t="str">
            <v>V39.018.016</v>
          </cell>
          <cell r="B1109" t="str">
            <v>IRON (FOR TET DINNER)</v>
          </cell>
          <cell r="C1109" t="str">
            <v>BÀN ỦI</v>
          </cell>
          <cell r="D1109" t="str">
            <v>IRON (FOR TET DINNER)</v>
          </cell>
          <cell r="E1109">
            <v>0</v>
          </cell>
          <cell r="F1109" t="str">
            <v>Bỏ chọn</v>
          </cell>
          <cell r="G1109"/>
          <cell r="H1109"/>
        </row>
        <row r="1110">
          <cell r="A1110" t="str">
            <v>V39.040.001</v>
          </cell>
          <cell r="B1110" t="str">
            <v>ELECTRIC HOT POT (FOR TET DINNER)</v>
          </cell>
          <cell r="C1110" t="str">
            <v>LẨU ĐIỆN</v>
          </cell>
          <cell r="D1110" t="str">
            <v>ELECTRIC HOT POT (FOR TET DINNER)</v>
          </cell>
          <cell r="E1110">
            <v>0</v>
          </cell>
          <cell r="F1110" t="str">
            <v>Bỏ chọn</v>
          </cell>
          <cell r="G1110"/>
          <cell r="H1110"/>
        </row>
        <row r="1111">
          <cell r="A1111" t="str">
            <v>V39.023.051</v>
          </cell>
          <cell r="B1111" t="str">
            <v>MICROWAVE (FOR TET DINNER)</v>
          </cell>
          <cell r="C1111" t="str">
            <v>LÒ VI SÓNG</v>
          </cell>
          <cell r="D1111" t="str">
            <v>MICROWAVE (FOR TET DINNER)</v>
          </cell>
          <cell r="E1111">
            <v>0</v>
          </cell>
          <cell r="F1111" t="str">
            <v>Bỏ chọn</v>
          </cell>
          <cell r="G1111"/>
          <cell r="H1111"/>
        </row>
        <row r="1112">
          <cell r="A1112" t="str">
            <v>7.6269845990301</v>
          </cell>
          <cell r="B1112" t="str">
            <v>RICE OM 4900</v>
          </cell>
          <cell r="C1112" t="str">
            <v>GẠO OM 4900</v>
          </cell>
          <cell r="D1112" t="str">
            <v>RICE OM 4900</v>
          </cell>
          <cell r="E1112">
            <v>5</v>
          </cell>
          <cell r="F1112" t="str">
            <v>Bỏ chọn</v>
          </cell>
          <cell r="G1112"/>
          <cell r="H1112"/>
        </row>
        <row r="1113">
          <cell r="A1113" t="str">
            <v>6.1222223</v>
          </cell>
          <cell r="B1113" t="str">
            <v>RE-PROCESS RHPK OLEIN IV 4-12</v>
          </cell>
          <cell r="C1113" t="str">
            <v>DẦU OLEIN NHÂN CỌ ĐÃ ĐƯỢC TINH LUYỆN VÀ HYDRO HÓA</v>
          </cell>
          <cell r="D1113" t="str">
            <v>RE-PROCESS RHPK OLEIN IV 4-12</v>
          </cell>
          <cell r="E1113">
            <v>1</v>
          </cell>
          <cell r="F1113" t="str">
            <v>Chọn</v>
          </cell>
          <cell r="G1113"/>
          <cell r="H1113"/>
        </row>
        <row r="1114">
          <cell r="A1114" t="str">
            <v>7.1070126492109000</v>
          </cell>
          <cell r="B1114" t="str">
            <v>MEIZAN BOS MP34-38 IV48-52 BIG@100KG</v>
          </cell>
          <cell r="C1114" t="str">
            <v>DẦU BƠ THAY THẾ NHÃN HIỆU MEIZAN (NHÃN MÀU VÀNG CAM)</v>
          </cell>
          <cell r="D1114" t="str">
            <v>MEIZAN BOS MP34-38 IV48-52 BIG@100KG</v>
          </cell>
          <cell r="E1114">
            <v>100</v>
          </cell>
          <cell r="F1114" t="str">
            <v>Bỏ chọn</v>
          </cell>
          <cell r="G1114"/>
          <cell r="H1114"/>
        </row>
        <row r="1115">
          <cell r="A1115" t="str">
            <v>7.70518</v>
          </cell>
          <cell r="B1115" t="str">
            <v>CALCIUM SALT OF PALM FATTY ACIDS "MEGALAC" IN BAG @25KG</v>
          </cell>
          <cell r="C1115" t="str">
            <v>MUỐI CANXI CỦA CÁC AXIT BÉO DẦU CỌ- MEGALAC</v>
          </cell>
          <cell r="D1115" t="str">
            <v>CALCIUM SALT OF PALM FATTY ACIDS "MEGALAC" IN BAG @25KG</v>
          </cell>
          <cell r="E1115">
            <v>1</v>
          </cell>
          <cell r="F1115" t="str">
            <v>Bỏ chọn</v>
          </cell>
          <cell r="G1115"/>
          <cell r="H1115"/>
        </row>
        <row r="1116">
          <cell r="A1116" t="str">
            <v>V39.015.600</v>
          </cell>
          <cell r="B1116" t="str">
            <v>MEIZAN FOOD TRAY</v>
          </cell>
          <cell r="C1116" t="str">
            <v>KHAY BƯNG ĐỒ ĂN BẰNG NHỰA IN LOGO MEIZAN</v>
          </cell>
          <cell r="D1116" t="str">
            <v>MEIZAN FOOD TRAY</v>
          </cell>
          <cell r="E1116">
            <v>0</v>
          </cell>
          <cell r="F1116" t="str">
            <v>Bỏ chọn</v>
          </cell>
          <cell r="G1116"/>
          <cell r="H1116"/>
        </row>
        <row r="1117">
          <cell r="A1117" t="str">
            <v>7.457000A62200010</v>
          </cell>
          <cell r="B1117" t="str">
            <v>RBD CANOLA OIL IN FLEXIBAG@21MT</v>
          </cell>
          <cell r="C1117" t="str">
            <v>DẦU HẠT CẢI TINH LUYỆN</v>
          </cell>
          <cell r="D1117" t="str">
            <v>RBD CANOLA OIL IN FLEXIBAG@21MT</v>
          </cell>
          <cell r="E1117">
            <v>1</v>
          </cell>
          <cell r="F1117" t="str">
            <v>Bỏ chọn</v>
          </cell>
          <cell r="G1117"/>
          <cell r="H1117"/>
        </row>
        <row r="1118">
          <cell r="A1118" t="str">
            <v>V51.048.004</v>
          </cell>
          <cell r="B1118" t="str">
            <v>HANG VIET SOYA SAUCE 495ML</v>
          </cell>
          <cell r="C1118" t="str">
            <v>NƯỚC TƯƠNG HÀNG VIỆT 495ML</v>
          </cell>
          <cell r="D1118" t="str">
            <v>HANG VIET SOYA SAUCE 495ML</v>
          </cell>
          <cell r="E1118">
            <v>0.53300000000000003</v>
          </cell>
          <cell r="F1118" t="str">
            <v>Bỏ chọn</v>
          </cell>
          <cell r="G1118"/>
          <cell r="H1118"/>
        </row>
        <row r="1119">
          <cell r="A1119" t="str">
            <v>V51.041.005</v>
          </cell>
          <cell r="B1119" t="str">
            <v>RICE MEIZAN 1KG/BAG</v>
          </cell>
          <cell r="C1119" t="str">
            <v>GẠO MEIZAN 1KG/BAG</v>
          </cell>
          <cell r="D1119" t="str">
            <v>RICE MEIZAN 1KG/BAG</v>
          </cell>
          <cell r="E1119">
            <v>1</v>
          </cell>
          <cell r="F1119" t="str">
            <v>Bỏ chọn</v>
          </cell>
          <cell r="G1119"/>
          <cell r="H1119"/>
        </row>
        <row r="1120">
          <cell r="A1120" t="str">
            <v>9V58.039.001</v>
          </cell>
          <cell r="B1120" t="str">
            <v>GRAB PROMOTION CODE 25.000 VND</v>
          </cell>
          <cell r="C1120" t="str">
            <v>MÃ KHUYẾN MẠI GRAB 25.000 VNĐ</v>
          </cell>
          <cell r="D1120" t="str">
            <v>GRAB PROMOTION CODE 25.000 VND</v>
          </cell>
          <cell r="E1120">
            <v>0</v>
          </cell>
          <cell r="F1120" t="str">
            <v>Bỏ chọn</v>
          </cell>
          <cell r="G1120"/>
          <cell r="H1120"/>
        </row>
        <row r="1121">
          <cell r="A1121" t="str">
            <v>V00.001.001</v>
          </cell>
          <cell r="B1121" t="str">
            <v>DOUGH CUTTER VFMW</v>
          </cell>
          <cell r="C1121" t="str">
            <v>DAO CHIA BỘT</v>
          </cell>
          <cell r="D1121" t="str">
            <v>DOUGH CUTTER VFMW</v>
          </cell>
          <cell r="E1121">
            <v>0</v>
          </cell>
          <cell r="F1121" t="str">
            <v>Bỏ chọn</v>
          </cell>
          <cell r="G1121"/>
          <cell r="H1121"/>
        </row>
        <row r="1122">
          <cell r="A1122" t="str">
            <v>V00.001.002</v>
          </cell>
          <cell r="B1122" t="str">
            <v>T-SHIRT VFMW</v>
          </cell>
          <cell r="C1122" t="str">
            <v>ÁO THUN KHÔNG CỔ</v>
          </cell>
          <cell r="D1122" t="str">
            <v>T-SHIRT VFMW</v>
          </cell>
          <cell r="E1122">
            <v>0</v>
          </cell>
          <cell r="F1122" t="str">
            <v>Bỏ chọn</v>
          </cell>
          <cell r="G1122"/>
          <cell r="H1122"/>
        </row>
        <row r="1123">
          <cell r="A1123" t="str">
            <v>V00.001.003</v>
          </cell>
          <cell r="B1123" t="str">
            <v>POLO T-SHIRT VFMW</v>
          </cell>
          <cell r="C1123" t="str">
            <v>ÁO THUN CỔ TRỤ</v>
          </cell>
          <cell r="D1123" t="str">
            <v>POLO T-SHIRT VFMW</v>
          </cell>
          <cell r="E1123">
            <v>0</v>
          </cell>
          <cell r="F1123" t="str">
            <v>Bỏ chọn</v>
          </cell>
          <cell r="G1123"/>
          <cell r="H1123"/>
        </row>
        <row r="1124">
          <cell r="A1124" t="str">
            <v>V00.001.004</v>
          </cell>
          <cell r="B1124" t="str">
            <v>PEN TL - 025 VFMW</v>
          </cell>
          <cell r="C1124" t="str">
            <v>BÚT BI TL – 025</v>
          </cell>
          <cell r="D1124" t="str">
            <v>PEN TL - 025 VFMW</v>
          </cell>
          <cell r="E1124">
            <v>0</v>
          </cell>
          <cell r="F1124" t="str">
            <v>Bỏ chọn</v>
          </cell>
          <cell r="G1124"/>
          <cell r="H1124"/>
        </row>
        <row r="1125">
          <cell r="A1125" t="str">
            <v>V00.001.005</v>
          </cell>
          <cell r="B1125" t="str">
            <v>GLOVES VFMW</v>
          </cell>
          <cell r="C1125" t="str">
            <v>GĂNG TAY</v>
          </cell>
          <cell r="D1125" t="str">
            <v>GLOVES VFMW</v>
          </cell>
          <cell r="E1125">
            <v>0</v>
          </cell>
          <cell r="F1125" t="str">
            <v>Bỏ chọn</v>
          </cell>
          <cell r="G1125"/>
          <cell r="H1125"/>
        </row>
        <row r="1126">
          <cell r="A1126" t="str">
            <v>V00.001.006</v>
          </cell>
          <cell r="B1126" t="str">
            <v>APRON VFMW</v>
          </cell>
          <cell r="C1126" t="str">
            <v>TẠP DỀ</v>
          </cell>
          <cell r="D1126" t="str">
            <v>APRON VFMW</v>
          </cell>
          <cell r="E1126">
            <v>0</v>
          </cell>
          <cell r="F1126" t="str">
            <v>Bỏ chọn</v>
          </cell>
          <cell r="G1126"/>
          <cell r="H1126"/>
        </row>
        <row r="1127">
          <cell r="A1127" t="str">
            <v>V00.001.007</v>
          </cell>
          <cell r="B1127" t="str">
            <v>CATALOGUE VFMW</v>
          </cell>
          <cell r="C1127" t="str">
            <v>SÁCH GIỚI THIỆU SẢN PHẨM</v>
          </cell>
          <cell r="D1127" t="str">
            <v>CATALOGUE VFMW</v>
          </cell>
          <cell r="E1127">
            <v>0</v>
          </cell>
          <cell r="F1127" t="str">
            <v>Bỏ chọn</v>
          </cell>
          <cell r="G1127"/>
          <cell r="H1127"/>
        </row>
        <row r="1128">
          <cell r="A1128" t="str">
            <v>V00.001.008</v>
          </cell>
          <cell r="B1128" t="str">
            <v>CATALOGUE MEIZAN VFMW</v>
          </cell>
          <cell r="C1128" t="str">
            <v>SỔ TAY HƯỚNG DẪN LÀM BÁNH TỪ BỘT MỲ MEIZAN</v>
          </cell>
          <cell r="D1128" t="str">
            <v>CATALOGUE MEIZAN VFMW</v>
          </cell>
          <cell r="E1128">
            <v>0</v>
          </cell>
          <cell r="F1128" t="str">
            <v>Bỏ chọn</v>
          </cell>
          <cell r="G1128"/>
          <cell r="H1128"/>
        </row>
        <row r="1129">
          <cell r="A1129" t="str">
            <v>V00.001.009</v>
          </cell>
          <cell r="B1129" t="str">
            <v>PLASTIC HOOK WITH 10 CORES</v>
          </cell>
          <cell r="C1129" t="str">
            <v>THANH NHỰA TREO 10 MÓC</v>
          </cell>
          <cell r="D1129" t="str">
            <v>PLASTIC HOOK WITH 10 CORES</v>
          </cell>
          <cell r="E1129">
            <v>0</v>
          </cell>
          <cell r="F1129" t="str">
            <v>Bỏ chọn</v>
          </cell>
          <cell r="G1129"/>
          <cell r="H1129"/>
        </row>
        <row r="1130">
          <cell r="A1130" t="str">
            <v>V51.601.002</v>
          </cell>
          <cell r="B1130" t="str">
            <v>9999 GOLD CALOFIC LOGO</v>
          </cell>
          <cell r="C1130" t="str">
            <v>LOGO CALOFIC BẰNG VÀNG 9999</v>
          </cell>
          <cell r="D1130" t="str">
            <v>9999 GOLD CALOFIC LOGO</v>
          </cell>
          <cell r="E1130">
            <v>0</v>
          </cell>
          <cell r="F1130" t="str">
            <v>Bỏ chọn</v>
          </cell>
          <cell r="G1130"/>
          <cell r="H1130"/>
        </row>
        <row r="1131">
          <cell r="A1131" t="str">
            <v>7.5239926990501</v>
          </cell>
          <cell r="B1131" t="str">
            <v>BLUE KEY PAU SP-25</v>
          </cell>
          <cell r="C1131" t="str">
            <v>BỘT MÌ NHÃN HIỆU "CHÌA KHÓA XANH BÁNH BAO SP" (25KG)</v>
          </cell>
          <cell r="D1131" t="str">
            <v>BLUE KEY PAU SP-25</v>
          </cell>
          <cell r="E1131">
            <v>1</v>
          </cell>
          <cell r="F1131" t="str">
            <v>Bỏ chọn</v>
          </cell>
          <cell r="G1131"/>
          <cell r="H1131"/>
        </row>
        <row r="1132">
          <cell r="A1132" t="str">
            <v>7.5239941990301</v>
          </cell>
          <cell r="B1132" t="str">
            <v>SAMPLE-5-AP</v>
          </cell>
          <cell r="C1132" t="str">
            <v>BỘT MÌ CHĂN NUÔI AP (5KG)</v>
          </cell>
          <cell r="D1132" t="str">
            <v>SAMPLE-5-AP</v>
          </cell>
          <cell r="E1132">
            <v>1</v>
          </cell>
          <cell r="F1132" t="str">
            <v>Bỏ chọn</v>
          </cell>
          <cell r="G1132"/>
          <cell r="H1132"/>
        </row>
        <row r="1133">
          <cell r="A1133" t="str">
            <v>7.5239948990301</v>
          </cell>
          <cell r="B1133" t="str">
            <v>SAMPLE-5-AP-P</v>
          </cell>
          <cell r="C1133" t="str">
            <v>BỘT MÌ CHĂN NUÔI AP (5KG)</v>
          </cell>
          <cell r="D1133" t="str">
            <v>SAMPLE-5-AP-P</v>
          </cell>
          <cell r="E1133">
            <v>1</v>
          </cell>
          <cell r="F1133" t="str">
            <v>Bỏ chọn</v>
          </cell>
          <cell r="G1133"/>
          <cell r="H1133"/>
        </row>
        <row r="1134">
          <cell r="A1134" t="str">
            <v>7.5239917990301</v>
          </cell>
          <cell r="B1134" t="str">
            <v>SAMPLE-5-SATELLITE</v>
          </cell>
          <cell r="C1134" t="str">
            <v>BỘT MÌ NHÃN HIỆU "VỆ TINH" (5KG)</v>
          </cell>
          <cell r="D1134" t="str">
            <v>SAMPLE-5-SATELLITE</v>
          </cell>
          <cell r="E1134">
            <v>1</v>
          </cell>
          <cell r="F1134" t="str">
            <v>Bỏ chọn</v>
          </cell>
          <cell r="G1134"/>
          <cell r="H1134"/>
        </row>
        <row r="1135">
          <cell r="A1135" t="str">
            <v>7.5239912990301</v>
          </cell>
          <cell r="B1135" t="str">
            <v>SAMPLE-5-PINK KEY</v>
          </cell>
          <cell r="C1135" t="str">
            <v>BỘT MÌ NHÃN HIỆU "CHÌA KHÓA HỒNG" (5KG)</v>
          </cell>
          <cell r="D1135" t="str">
            <v>SAMPLE-5-PINK KEY</v>
          </cell>
          <cell r="E1135">
            <v>1</v>
          </cell>
          <cell r="F1135" t="str">
            <v>Bỏ chọn</v>
          </cell>
          <cell r="G1135"/>
          <cell r="H1135"/>
        </row>
        <row r="1136">
          <cell r="A1136" t="str">
            <v>7.5239911990301</v>
          </cell>
          <cell r="B1136" t="str">
            <v>SAMPLE-5-ORANGE KEY</v>
          </cell>
          <cell r="C1136" t="str">
            <v>BỘT MÌ NHÃN HIỆU "CHÌA KHÓA CAM" (5KG)</v>
          </cell>
          <cell r="D1136" t="str">
            <v>SAMPLE-5-ORANGE KEY</v>
          </cell>
          <cell r="E1136">
            <v>1</v>
          </cell>
          <cell r="F1136" t="str">
            <v>Bỏ chọn</v>
          </cell>
          <cell r="G1136"/>
          <cell r="H1136"/>
        </row>
        <row r="1137">
          <cell r="A1137" t="str">
            <v>7.5239907990301</v>
          </cell>
          <cell r="B1137" t="str">
            <v>SAMPLE-5-GREEN KEY</v>
          </cell>
          <cell r="C1137" t="str">
            <v>BỘT MÌ NHÃN HIỆU "CHÌA KHÓA XANH LÁ" (5KG)</v>
          </cell>
          <cell r="D1137" t="str">
            <v>SAMPLE-5-GREEN KEY</v>
          </cell>
          <cell r="E1137">
            <v>1</v>
          </cell>
          <cell r="F1137" t="str">
            <v>Bỏ chọn</v>
          </cell>
          <cell r="G1137"/>
          <cell r="H1137"/>
        </row>
        <row r="1138">
          <cell r="A1138" t="str">
            <v>7.5239915990301</v>
          </cell>
          <cell r="B1138" t="str">
            <v>SAMPLE-5-RED KEY</v>
          </cell>
          <cell r="C1138" t="str">
            <v>BỘT MÌ NHÃN HIỆU "CHÌA KHÓA ĐỎ" (5KG)</v>
          </cell>
          <cell r="D1138" t="str">
            <v>SAMPLE-5-RED KEY</v>
          </cell>
          <cell r="E1138">
            <v>1</v>
          </cell>
          <cell r="F1138" t="str">
            <v>Bỏ chọn</v>
          </cell>
          <cell r="G1138"/>
          <cell r="H1138"/>
        </row>
        <row r="1139">
          <cell r="A1139" t="str">
            <v>7.5239919990301</v>
          </cell>
          <cell r="B1139" t="str">
            <v>SAMPLE-5-RED KEY SP</v>
          </cell>
          <cell r="C1139" t="str">
            <v>BỘT MÌ NHÃN HIỆU "CHÌA KHÓA ĐỎ SP" (5KG)</v>
          </cell>
          <cell r="D1139" t="str">
            <v>SAMPLE-5-RED KEY SP</v>
          </cell>
          <cell r="E1139">
            <v>1</v>
          </cell>
          <cell r="F1139" t="str">
            <v>Bỏ chọn</v>
          </cell>
          <cell r="G1139"/>
          <cell r="H1139"/>
        </row>
        <row r="1140">
          <cell r="A1140" t="str">
            <v>7.5239916990301</v>
          </cell>
          <cell r="B1140" t="str">
            <v>SAMPLE-5-RED PEN</v>
          </cell>
          <cell r="C1140" t="str">
            <v>BỘT MÌ NHÃN HIỆU "CÂY VIẾT ĐỎ" (5KG)</v>
          </cell>
          <cell r="D1140" t="str">
            <v>SAMPLE-5-RED PEN</v>
          </cell>
          <cell r="E1140">
            <v>1</v>
          </cell>
          <cell r="F1140" t="str">
            <v>Bỏ chọn</v>
          </cell>
          <cell r="G1140"/>
          <cell r="H1140"/>
        </row>
        <row r="1141">
          <cell r="A1141" t="str">
            <v>7.5239925990301</v>
          </cell>
          <cell r="B1141" t="str">
            <v>SAMPLE-5-BLUE KEY - N</v>
          </cell>
          <cell r="C1141" t="str">
            <v>BỘT MÌ NHÃN HIỆU "CHÌA KHÓA XANH MÌ SỢI" (5KG)</v>
          </cell>
          <cell r="D1141" t="str">
            <v>SAMPLE-5-BLUE KEY - N</v>
          </cell>
          <cell r="E1141">
            <v>1</v>
          </cell>
          <cell r="F1141" t="str">
            <v>Bỏ chọn</v>
          </cell>
          <cell r="G1141"/>
          <cell r="H1141"/>
        </row>
        <row r="1142">
          <cell r="A1142" t="str">
            <v>7.5239926990301</v>
          </cell>
          <cell r="B1142" t="str">
            <v>SAMPLE-5-BLUE KEY PAU</v>
          </cell>
          <cell r="C1142" t="str">
            <v>BỘT MÌ NHÃN HIỆU "CHÌA KHÓA XANH BÁNH BAO" (5KG)</v>
          </cell>
          <cell r="D1142" t="str">
            <v>SAMPLE-5-BLUE KEY PAU</v>
          </cell>
          <cell r="E1142">
            <v>1</v>
          </cell>
          <cell r="F1142" t="str">
            <v>Bỏ chọn</v>
          </cell>
          <cell r="G1142"/>
          <cell r="H1142"/>
        </row>
        <row r="1143">
          <cell r="A1143" t="str">
            <v>7.5239904990301</v>
          </cell>
          <cell r="B1143" t="str">
            <v>SAMPLE-5-BROWN COMPASS</v>
          </cell>
          <cell r="C1143" t="str">
            <v>BỘT MÌ NHÃN HIỆU "LA BÀN NÂU" (5KG)</v>
          </cell>
          <cell r="D1143" t="str">
            <v>SAMPLE-5-BROWN COMPASS</v>
          </cell>
          <cell r="E1143">
            <v>1</v>
          </cell>
          <cell r="F1143" t="str">
            <v>Bỏ chọn</v>
          </cell>
          <cell r="G1143"/>
          <cell r="H1143"/>
        </row>
        <row r="1144">
          <cell r="A1144" t="str">
            <v>7.5239922990301</v>
          </cell>
          <cell r="B1144" t="str">
            <v>SAMPLE-5-BLUE COMPASS</v>
          </cell>
          <cell r="C1144" t="str">
            <v>BỘT MÌ NHÃN HIỆU "LA BÀN XANH" (5KG)</v>
          </cell>
          <cell r="D1144" t="str">
            <v>SAMPLE-5-BLUE COMPASS</v>
          </cell>
          <cell r="E1144">
            <v>1</v>
          </cell>
          <cell r="F1144" t="str">
            <v>Bỏ chọn</v>
          </cell>
          <cell r="G1144"/>
          <cell r="H1144"/>
        </row>
        <row r="1145">
          <cell r="A1145" t="str">
            <v>7.5239914990301</v>
          </cell>
          <cell r="B1145" t="str">
            <v>SAMPLE-5-RED COMPASS</v>
          </cell>
          <cell r="C1145" t="str">
            <v>BỘT MÌ NHÃN HIỆU "LA BÀN ĐỎ" (5KG)</v>
          </cell>
          <cell r="D1145" t="str">
            <v>SAMPLE-5-RED COMPASS</v>
          </cell>
          <cell r="E1145">
            <v>1</v>
          </cell>
          <cell r="F1145" t="str">
            <v>Bỏ chọn</v>
          </cell>
          <cell r="G1145"/>
          <cell r="H1145"/>
        </row>
        <row r="1146">
          <cell r="A1146" t="str">
            <v>7.5239946990301</v>
          </cell>
          <cell r="B1146" t="str">
            <v>SAMPLE-5- WHITE POLLARD</v>
          </cell>
          <cell r="C1146" t="str">
            <v>CÁM MÌ (5KG)</v>
          </cell>
          <cell r="D1146" t="str">
            <v>SAMPLE-5- WHITE POLLARD</v>
          </cell>
          <cell r="E1146">
            <v>1</v>
          </cell>
          <cell r="F1146" t="str">
            <v>Bỏ chọn</v>
          </cell>
          <cell r="G1146"/>
          <cell r="H1146"/>
        </row>
        <row r="1147">
          <cell r="A1147" t="str">
            <v>7.5239947990301</v>
          </cell>
          <cell r="B1147" t="str">
            <v>SAMPLE-5-RED POLLARD</v>
          </cell>
          <cell r="C1147" t="str">
            <v>CÁM MÌ (5KG)</v>
          </cell>
          <cell r="D1147" t="str">
            <v>SAMPLE-5-RED POLLARD</v>
          </cell>
          <cell r="E1147">
            <v>1</v>
          </cell>
          <cell r="F1147" t="str">
            <v>Bỏ chọn</v>
          </cell>
          <cell r="G1147"/>
          <cell r="H1147"/>
        </row>
        <row r="1148">
          <cell r="A1148" t="str">
            <v>7.5239946993001</v>
          </cell>
          <cell r="B1148" t="str">
            <v>SAMPLE-3- WHITE POLLARD</v>
          </cell>
          <cell r="C1148" t="str">
            <v>CÁM MÌ (3KG)</v>
          </cell>
          <cell r="D1148" t="str">
            <v>SAMPLE-3- WHITE POLLARD</v>
          </cell>
          <cell r="E1148">
            <v>1</v>
          </cell>
          <cell r="F1148" t="str">
            <v>Bỏ chọn</v>
          </cell>
          <cell r="G1148"/>
          <cell r="H1148"/>
        </row>
        <row r="1149">
          <cell r="A1149" t="str">
            <v>7.5239947993001</v>
          </cell>
          <cell r="B1149" t="str">
            <v>SAMPLE-3-RED POLLARD</v>
          </cell>
          <cell r="C1149" t="str">
            <v>CÁM MÌ (3KG)</v>
          </cell>
          <cell r="D1149" t="str">
            <v>SAMPLE-3-RED POLLARD</v>
          </cell>
          <cell r="E1149">
            <v>1</v>
          </cell>
          <cell r="F1149" t="str">
            <v>Bỏ chọn</v>
          </cell>
          <cell r="G1149"/>
          <cell r="H1149"/>
        </row>
        <row r="1150">
          <cell r="A1150" t="str">
            <v>6.5239941990566</v>
          </cell>
          <cell r="B1150" t="str">
            <v>AP-25-P</v>
          </cell>
          <cell r="C1150" t="str">
            <v>BỘT MÌ CHĂN NUÔI AP (25KG)</v>
          </cell>
          <cell r="D1150" t="str">
            <v>AP-25-P</v>
          </cell>
          <cell r="E1150">
            <v>1</v>
          </cell>
          <cell r="F1150" t="str">
            <v>Bỏ chọn</v>
          </cell>
          <cell r="G1150"/>
          <cell r="H1150"/>
        </row>
        <row r="1151">
          <cell r="A1151" t="str">
            <v>6.5239922990570</v>
          </cell>
          <cell r="B1151" t="str">
            <v>BLUE COMPASS-25-MINH PHONG</v>
          </cell>
          <cell r="C1151" t="str">
            <v>BỘT MÌ NHÃN HIỆU "LA BÀN XANH" (25KG)</v>
          </cell>
          <cell r="D1151" t="str">
            <v>BLUE COMPASS-25-MINH PHONG</v>
          </cell>
          <cell r="E1151">
            <v>1</v>
          </cell>
          <cell r="F1151" t="str">
            <v>Bỏ chọn</v>
          </cell>
          <cell r="G1151"/>
          <cell r="H1151"/>
        </row>
        <row r="1152">
          <cell r="A1152" t="str">
            <v>6.5239914990512</v>
          </cell>
          <cell r="B1152" t="str">
            <v>RED COMPASS-25-LAO</v>
          </cell>
          <cell r="C1152" t="str">
            <v>BỘT MÌ NHÃN HIỆU "LA BÀN ĐỎ" (25KG)</v>
          </cell>
          <cell r="D1152" t="str">
            <v>RED COMPASS-25-LAO</v>
          </cell>
          <cell r="E1152">
            <v>1</v>
          </cell>
          <cell r="F1152" t="str">
            <v>Bỏ chọn</v>
          </cell>
          <cell r="G1152"/>
          <cell r="H1152"/>
        </row>
        <row r="1153">
          <cell r="A1153" t="str">
            <v>7.5239913990371</v>
          </cell>
          <cell r="B1153" t="str">
            <v>SAMPLE-5-PIZZA NGON</v>
          </cell>
          <cell r="C1153" t="str">
            <v>BỘT MÌ NHÃN HIỆU "PIZZA FLOUR" (5KG)</v>
          </cell>
          <cell r="D1153" t="str">
            <v>SAMPLE-5-PIZZA NGON</v>
          </cell>
          <cell r="E1153">
            <v>1</v>
          </cell>
          <cell r="F1153" t="str">
            <v>Bỏ chọn</v>
          </cell>
          <cell r="G1153"/>
          <cell r="H1153"/>
        </row>
        <row r="1154">
          <cell r="A1154" t="str">
            <v>7.9240123991072</v>
          </cell>
          <cell r="B1154" t="str">
            <v>SOYA SOY SAUCE 495ML</v>
          </cell>
          <cell r="C1154" t="str">
            <v>SOYA SOY SAUCE 495ML</v>
          </cell>
          <cell r="D1154" t="str">
            <v>SOYA SOY SAUCE 495ML</v>
          </cell>
          <cell r="E1154">
            <v>12.8</v>
          </cell>
          <cell r="F1154" t="str">
            <v>Bỏ chọn</v>
          </cell>
          <cell r="G1154"/>
          <cell r="H1154"/>
        </row>
        <row r="1155">
          <cell r="A1155" t="str">
            <v>7.924012399107201</v>
          </cell>
          <cell r="B1155" t="str">
            <v>SOYA SOY SAUCE 495ML</v>
          </cell>
          <cell r="C1155" t="str">
            <v>SOYA SOY SAUCE 495ML</v>
          </cell>
          <cell r="D1155" t="str">
            <v>SOYA SOY SAUCE 495ML</v>
          </cell>
          <cell r="E1155">
            <v>0.54200000000000004</v>
          </cell>
          <cell r="F1155" t="str">
            <v>Bỏ chọn</v>
          </cell>
          <cell r="G1155"/>
          <cell r="H1155"/>
        </row>
        <row r="1156">
          <cell r="A1156" t="str">
            <v>7.9240123043101</v>
          </cell>
          <cell r="B1156" t="str">
            <v>PLUM SAUCE 980ML X 12 BOT</v>
          </cell>
          <cell r="C1156" t="str">
            <v>NƯỚC CHẤM HƯƠNG NẤM 980ML</v>
          </cell>
          <cell r="D1156" t="str">
            <v>PLUM SAUCE 980ML X 12 BOT</v>
          </cell>
          <cell r="E1156">
            <v>13.05</v>
          </cell>
          <cell r="F1156" t="str">
            <v>Bỏ chọn</v>
          </cell>
          <cell r="G1156"/>
          <cell r="H1156"/>
        </row>
        <row r="1157">
          <cell r="A1157" t="str">
            <v>7.924012304310101</v>
          </cell>
          <cell r="B1157" t="str">
            <v>PLUM SAUCE 980ML</v>
          </cell>
          <cell r="C1157" t="str">
            <v>NƯỚC CHẤM HƯƠNG NẤM 980ML</v>
          </cell>
          <cell r="D1157" t="str">
            <v>PLUM SAUCE 980ML</v>
          </cell>
          <cell r="E1157">
            <v>1.0874999999999999</v>
          </cell>
          <cell r="F1157" t="str">
            <v>Bỏ chọn</v>
          </cell>
          <cell r="G1157"/>
          <cell r="H1157"/>
        </row>
        <row r="1158">
          <cell r="A1158" t="str">
            <v>7.9240223113201</v>
          </cell>
          <cell r="B1158" t="str">
            <v>CHILI SAUCE 200GR X 30 BOT</v>
          </cell>
          <cell r="C1158" t="str">
            <v>TƯƠNG ỚT CHILI 200GR</v>
          </cell>
          <cell r="D1158" t="str">
            <v>CHILI SAUCE 200GR X 30 BOT</v>
          </cell>
          <cell r="E1158">
            <v>6</v>
          </cell>
          <cell r="F1158" t="str">
            <v>Bỏ chọn</v>
          </cell>
          <cell r="G1158"/>
          <cell r="H1158"/>
        </row>
        <row r="1159">
          <cell r="A1159" t="str">
            <v>7.924022311320101</v>
          </cell>
          <cell r="B1159" t="str">
            <v>CHILI SAUCE 200GR</v>
          </cell>
          <cell r="C1159" t="str">
            <v>TƯƠNG ỚT CHILI 200GR</v>
          </cell>
          <cell r="D1159" t="str">
            <v>CHILI SAUCE 200GR</v>
          </cell>
          <cell r="E1159">
            <v>0.2</v>
          </cell>
          <cell r="F1159" t="str">
            <v>Bỏ chọn</v>
          </cell>
          <cell r="G1159"/>
          <cell r="H1159"/>
        </row>
        <row r="1160">
          <cell r="A1160" t="str">
            <v>9V51.103.707</v>
          </cell>
          <cell r="B1160" t="str">
            <v>GRAB PROMOTION CODE 25.000 VND</v>
          </cell>
          <cell r="C1160" t="str">
            <v>MÃ KHUYẾN MẠI GRAB 25.000 VND</v>
          </cell>
          <cell r="D1160" t="str">
            <v>GRAB PROMOTION CODE 25.000 VND</v>
          </cell>
          <cell r="E1160">
            <v>0</v>
          </cell>
          <cell r="F1160" t="str">
            <v>Bỏ chọn</v>
          </cell>
          <cell r="G1160"/>
          <cell r="H1160"/>
        </row>
        <row r="1161">
          <cell r="A1161" t="str">
            <v>V39.016.018</v>
          </cell>
          <cell r="B1161" t="str">
            <v>GLASS BOWL TUL 3.75</v>
          </cell>
          <cell r="C1161" t="str">
            <v>CHÉN THỦY TINH</v>
          </cell>
          <cell r="D1161" t="str">
            <v>GLASS BOWL TUL 3.75</v>
          </cell>
          <cell r="E1161">
            <v>0</v>
          </cell>
          <cell r="F1161" t="str">
            <v>Bỏ chọn</v>
          </cell>
          <cell r="G1161"/>
          <cell r="H1161"/>
        </row>
        <row r="1162">
          <cell r="A1162" t="str">
            <v>7.1070120103608010</v>
          </cell>
          <cell r="B1162" t="str">
            <v>MEIZAN MARGARINE VN SAMPLE IN PEBAG@15KG</v>
          </cell>
          <cell r="C1162" t="str">
            <v>BƠ LOẠI 15KG</v>
          </cell>
          <cell r="D1162" t="str">
            <v>MEIZAN MARGARINE VN SAMPLE IN PEBAG@15KG</v>
          </cell>
          <cell r="E1162">
            <v>15</v>
          </cell>
          <cell r="F1162" t="str">
            <v>Bỏ chọn</v>
          </cell>
          <cell r="G1162"/>
          <cell r="H1162"/>
        </row>
        <row r="1163">
          <cell r="A1163" t="str">
            <v>6.5239917990522</v>
          </cell>
          <cell r="B1163" t="str">
            <v>SATELLITE-25 (KM)</v>
          </cell>
          <cell r="C1163" t="str">
            <v>BỘT MÌ NHÃN HIỆU "VỆ TINH" (25KG)</v>
          </cell>
          <cell r="D1163" t="str">
            <v>SATELLITE-25 (KM)</v>
          </cell>
          <cell r="E1163">
            <v>1</v>
          </cell>
          <cell r="F1163" t="str">
            <v>Bỏ chọn</v>
          </cell>
          <cell r="G1163"/>
          <cell r="H1163"/>
        </row>
        <row r="1164">
          <cell r="A1164" t="str">
            <v>6.5239921990522</v>
          </cell>
          <cell r="B1164" t="str">
            <v>SATELLITE -SP-25 (KM)</v>
          </cell>
          <cell r="C1164" t="str">
            <v>BỘT MÌ NHÃN HIỆU "VỆ TINH SP" (25KG)</v>
          </cell>
          <cell r="D1164" t="str">
            <v>SATELLITE -SP-25 (KM)</v>
          </cell>
          <cell r="E1164">
            <v>1</v>
          </cell>
          <cell r="F1164" t="str">
            <v>Bỏ chọn</v>
          </cell>
          <cell r="G1164"/>
          <cell r="H1164"/>
        </row>
        <row r="1165">
          <cell r="A1165" t="str">
            <v>6.5239919990522</v>
          </cell>
          <cell r="B1165" t="str">
            <v>RED KEY -SP-25 (KM)</v>
          </cell>
          <cell r="C1165" t="str">
            <v>BỘT MÌ NHÃN HIỆU "CHÌA KHÓA ĐỎ SP" (25KG)</v>
          </cell>
          <cell r="D1165" t="str">
            <v>RED KEY -SP-25 (KM)</v>
          </cell>
          <cell r="E1165">
            <v>1</v>
          </cell>
          <cell r="F1165" t="str">
            <v>Bỏ chọn</v>
          </cell>
          <cell r="G1165"/>
          <cell r="H1165"/>
        </row>
        <row r="1166">
          <cell r="A1166" t="str">
            <v>6.5239915990622</v>
          </cell>
          <cell r="B1166" t="str">
            <v>RED KEY-40 (KM)</v>
          </cell>
          <cell r="C1166" t="str">
            <v>BỘT MÌ NHÃN HIỆU "CHÌA KHÓA ĐỎ" (40KG)</v>
          </cell>
          <cell r="D1166" t="str">
            <v>RED KEY-40 (KM)</v>
          </cell>
          <cell r="E1166">
            <v>1</v>
          </cell>
          <cell r="F1166" t="str">
            <v>Bỏ chọn</v>
          </cell>
          <cell r="G1166"/>
          <cell r="H1166"/>
        </row>
        <row r="1167">
          <cell r="A1167" t="str">
            <v>6.5239912990522</v>
          </cell>
          <cell r="B1167" t="str">
            <v>PINK KEY-25 (KM)</v>
          </cell>
          <cell r="C1167" t="str">
            <v>BỘT MÌ NHÃN HIỆU "CHÌA KHÓA HỒNG" (25KG)</v>
          </cell>
          <cell r="D1167" t="str">
            <v>PINK KEY-25 (KM)</v>
          </cell>
          <cell r="E1167">
            <v>1</v>
          </cell>
          <cell r="F1167" t="str">
            <v>Bỏ chọn</v>
          </cell>
          <cell r="G1167"/>
          <cell r="H1167"/>
        </row>
        <row r="1168">
          <cell r="A1168" t="str">
            <v>6.5239912990578</v>
          </cell>
          <cell r="B1168" t="str">
            <v>PINK KEY-25-KIM MA (KM)</v>
          </cell>
          <cell r="C1168" t="str">
            <v>BỘT MÌ NHÃN HIỆU "CHÌA KHÓA HỒNG" (25KG)</v>
          </cell>
          <cell r="D1168" t="str">
            <v>PINK KEY-25-KIM MA (KM)</v>
          </cell>
          <cell r="E1168">
            <v>1</v>
          </cell>
          <cell r="F1168" t="str">
            <v>Bỏ chọn</v>
          </cell>
          <cell r="G1168"/>
          <cell r="H1168"/>
        </row>
        <row r="1169">
          <cell r="A1169" t="str">
            <v>6.5239911990522</v>
          </cell>
          <cell r="B1169" t="str">
            <v>ORANGE KEY-25 (KM)</v>
          </cell>
          <cell r="C1169" t="str">
            <v>BỘT MÌ NHÃN HIỆU "CHÌA KHÓA CAM" (25KG)</v>
          </cell>
          <cell r="D1169" t="str">
            <v>ORANGE KEY-25 (KM)</v>
          </cell>
          <cell r="E1169">
            <v>1</v>
          </cell>
          <cell r="F1169" t="str">
            <v>Bỏ chọn</v>
          </cell>
          <cell r="G1169"/>
          <cell r="H1169"/>
        </row>
        <row r="1170">
          <cell r="A1170" t="str">
            <v>6.5239907990522</v>
          </cell>
          <cell r="B1170" t="str">
            <v>GREEN KEY-25 (KM)</v>
          </cell>
          <cell r="C1170" t="str">
            <v>BỘT MÌ NHÃN HIỆU "CHÌA KHÓA XANH LÁ" (25KG)</v>
          </cell>
          <cell r="D1170" t="str">
            <v>GREEN KEY-25 (KM)</v>
          </cell>
          <cell r="E1170">
            <v>1</v>
          </cell>
          <cell r="F1170" t="str">
            <v>Bỏ chọn</v>
          </cell>
          <cell r="G1170"/>
          <cell r="H1170"/>
        </row>
        <row r="1171">
          <cell r="A1171" t="str">
            <v>6.5239907990576</v>
          </cell>
          <cell r="B1171" t="str">
            <v>GREEN KEY-25-DIAMOND (KM)</v>
          </cell>
          <cell r="C1171" t="str">
            <v>BỘT MÌ NHÃN HIỆU "CHÌA KHÓA XANH LÁ" (25KG)</v>
          </cell>
          <cell r="D1171" t="str">
            <v>GREEN KEY-25-DIAMOND (KM)</v>
          </cell>
          <cell r="E1171">
            <v>1</v>
          </cell>
          <cell r="F1171" t="str">
            <v>Bỏ chọn</v>
          </cell>
          <cell r="G1171"/>
          <cell r="H1171"/>
        </row>
        <row r="1172">
          <cell r="A1172" t="str">
            <v>6.5239927990522</v>
          </cell>
          <cell r="B1172" t="str">
            <v>GREEN KEY SP-25 (KM)</v>
          </cell>
          <cell r="C1172" t="str">
            <v>BỘT MÌ NHÃN HIỆU "CHÌA KHÓA XANH LÁ SP" (25KG)</v>
          </cell>
          <cell r="D1172" t="str">
            <v>GREEN KEY SP-25 (KM)</v>
          </cell>
          <cell r="E1172">
            <v>1</v>
          </cell>
          <cell r="F1172" t="str">
            <v>Bỏ chọn</v>
          </cell>
          <cell r="G1172"/>
          <cell r="H1172"/>
        </row>
        <row r="1173">
          <cell r="A1173" t="str">
            <v>6.5239927990576</v>
          </cell>
          <cell r="B1173" t="str">
            <v>GREEN KEY SP-25-DIAMOND (KM)</v>
          </cell>
          <cell r="C1173" t="str">
            <v>BỘT MÌ NHÃN HIỆU "CHÌA KHÓA XANH LÁ SP" (25KG)</v>
          </cell>
          <cell r="D1173" t="str">
            <v>GREEN KEY SP-25-DIAMOND (KM)</v>
          </cell>
          <cell r="E1173">
            <v>1</v>
          </cell>
          <cell r="F1173" t="str">
            <v>Bỏ chọn</v>
          </cell>
          <cell r="G1173"/>
          <cell r="H1173"/>
        </row>
        <row r="1174">
          <cell r="A1174" t="str">
            <v>6.5239926990522</v>
          </cell>
          <cell r="B1174" t="str">
            <v>BLUE KEY PAU-25 (KM)</v>
          </cell>
          <cell r="C1174" t="str">
            <v>BỘT MÌ NHÃN HIỆU "CHÌA KHÓA XANH BÁNH BAO" (25KG)</v>
          </cell>
          <cell r="D1174" t="str">
            <v>BLUE KEY PAU-25 (KM)</v>
          </cell>
          <cell r="E1174">
            <v>1</v>
          </cell>
          <cell r="F1174" t="str">
            <v>Bỏ chọn</v>
          </cell>
          <cell r="G1174"/>
          <cell r="H1174"/>
        </row>
        <row r="1175">
          <cell r="A1175" t="str">
            <v>6.5239926990581</v>
          </cell>
          <cell r="B1175" t="str">
            <v>BLUE KEY PAU-25-PHU MY (KM)</v>
          </cell>
          <cell r="C1175" t="str">
            <v>BỘT MÌ NHÃN HIỆU "CHÌA KHÓA XANH BÁNH BAO" (25KG)</v>
          </cell>
          <cell r="D1175" t="str">
            <v>BLUE KEY PAU-25-PHU MY (KM)</v>
          </cell>
          <cell r="E1175">
            <v>1</v>
          </cell>
          <cell r="F1175" t="str">
            <v>Bỏ chọn</v>
          </cell>
          <cell r="G1175"/>
          <cell r="H1175"/>
        </row>
        <row r="1176">
          <cell r="A1176" t="str">
            <v>6.5239925990522</v>
          </cell>
          <cell r="B1176" t="str">
            <v>BLUE KEY NOODLE-25 (KM)</v>
          </cell>
          <cell r="C1176" t="str">
            <v>BỘT MÌ NHÃN HIỆU "CHÌA KHÓA XANH MÌ SỢI" (25KG)</v>
          </cell>
          <cell r="D1176" t="str">
            <v>BLUE KEY NOODLE-25 (KM)</v>
          </cell>
          <cell r="E1176">
            <v>1</v>
          </cell>
          <cell r="F1176" t="str">
            <v>Bỏ chọn</v>
          </cell>
          <cell r="G1176"/>
          <cell r="H1176"/>
        </row>
        <row r="1177">
          <cell r="A1177" t="str">
            <v>6.5239925990577</v>
          </cell>
          <cell r="B1177" t="str">
            <v>BLUE KEY NOODLE-25-HUE (KM)</v>
          </cell>
          <cell r="C1177" t="str">
            <v>BỘT MÌ NHÃN HIỆU "CHÌA KHÓA XANH MÌ SỢI" (25KG)</v>
          </cell>
          <cell r="D1177" t="str">
            <v>BLUE KEY NOODLE-25-HUE (KM)</v>
          </cell>
          <cell r="E1177">
            <v>1</v>
          </cell>
          <cell r="F1177" t="str">
            <v>Bỏ chọn</v>
          </cell>
          <cell r="G1177"/>
          <cell r="H1177"/>
        </row>
        <row r="1178">
          <cell r="A1178" t="str">
            <v>6.5239916990522</v>
          </cell>
          <cell r="B1178" t="str">
            <v>RED PEN-25 (KM)</v>
          </cell>
          <cell r="C1178" t="str">
            <v>BỘT MÌ NHÃN HIỆU "CÂY VIẾT ĐỎ" (25KG)</v>
          </cell>
          <cell r="D1178" t="str">
            <v>RED PEN-25 (KM)</v>
          </cell>
          <cell r="E1178">
            <v>1</v>
          </cell>
          <cell r="F1178" t="str">
            <v>Bỏ chọn</v>
          </cell>
          <cell r="G1178"/>
          <cell r="H1178"/>
        </row>
        <row r="1179">
          <cell r="A1179" t="str">
            <v>6.5239903990522</v>
          </cell>
          <cell r="B1179" t="str">
            <v>BLUE PEN-25 (KM)</v>
          </cell>
          <cell r="C1179" t="str">
            <v>BỘT MÌ NHÃN HIỆU "CÂY VIẾT XANH" (25KG)</v>
          </cell>
          <cell r="D1179" t="str">
            <v>BLUE PEN-25 (KM)</v>
          </cell>
          <cell r="E1179">
            <v>1</v>
          </cell>
          <cell r="F1179" t="str">
            <v>Bỏ chọn</v>
          </cell>
          <cell r="G1179"/>
          <cell r="H1179"/>
        </row>
        <row r="1180">
          <cell r="A1180" t="str">
            <v>6.5239922990522</v>
          </cell>
          <cell r="B1180" t="str">
            <v>BLUE COMPASS-25 (KM)</v>
          </cell>
          <cell r="C1180" t="str">
            <v>BỘT MÌ NHÃN HIỆU "LA BÀN XANH" (25KG)</v>
          </cell>
          <cell r="D1180" t="str">
            <v>BLUE COMPASS-25 (KM)</v>
          </cell>
          <cell r="E1180">
            <v>1</v>
          </cell>
          <cell r="F1180" t="str">
            <v>Bỏ chọn</v>
          </cell>
          <cell r="G1180"/>
          <cell r="H1180"/>
        </row>
        <row r="1181">
          <cell r="A1181" t="str">
            <v>6.5239922990579</v>
          </cell>
          <cell r="B1181" t="str">
            <v>BLUE COMPASS-MINH PHONG-25 (KM)</v>
          </cell>
          <cell r="C1181" t="str">
            <v>BỘT MÌ NHÃN HIỆU "LA BÀN XANH" (25KG)</v>
          </cell>
          <cell r="D1181" t="str">
            <v>BLUE COMPASS-MINH PHONG-25 (KM)</v>
          </cell>
          <cell r="E1181">
            <v>1</v>
          </cell>
          <cell r="F1181" t="str">
            <v>Bỏ chọn</v>
          </cell>
          <cell r="G1181"/>
          <cell r="H1181"/>
        </row>
        <row r="1182">
          <cell r="A1182" t="str">
            <v>6.5239906990522</v>
          </cell>
          <cell r="B1182" t="str">
            <v>GREEN COMPASS-25 (KM)</v>
          </cell>
          <cell r="C1182" t="str">
            <v>BỘT MÌ NHÃN HIỆU "LA BÀN XANH LÁ" (25KG)</v>
          </cell>
          <cell r="D1182" t="str">
            <v>GREEN COMPASS-25 (KM)</v>
          </cell>
          <cell r="E1182">
            <v>1</v>
          </cell>
          <cell r="F1182" t="str">
            <v>Bỏ chọn</v>
          </cell>
          <cell r="G1182"/>
          <cell r="H1182"/>
        </row>
        <row r="1183">
          <cell r="A1183" t="str">
            <v>6.5239904990522</v>
          </cell>
          <cell r="B1183" t="str">
            <v>BROWN COMPASS-25 (KM)</v>
          </cell>
          <cell r="C1183" t="str">
            <v>BỘT MÌ NHÃN HIỆU "LA BÀN NÂU" (25KG)</v>
          </cell>
          <cell r="D1183" t="str">
            <v>BROWN COMPASS-25 (KM)</v>
          </cell>
          <cell r="E1183">
            <v>1</v>
          </cell>
          <cell r="F1183" t="str">
            <v>Bỏ chọn</v>
          </cell>
          <cell r="G1183"/>
          <cell r="H1183"/>
        </row>
        <row r="1184">
          <cell r="A1184" t="str">
            <v>6.5239904990575</v>
          </cell>
          <cell r="B1184" t="str">
            <v>BROWN COMPASS-25-BAO HUNG (KM)</v>
          </cell>
          <cell r="C1184" t="str">
            <v>BỘT MÌ NHÃN HIỆU "LA BÀN NÂU" (25KG)</v>
          </cell>
          <cell r="D1184" t="str">
            <v>BROWN COMPASS-25-BAO HUNG (KM)</v>
          </cell>
          <cell r="E1184">
            <v>1</v>
          </cell>
          <cell r="F1184" t="str">
            <v>Bỏ chọn</v>
          </cell>
          <cell r="G1184"/>
          <cell r="H1184"/>
        </row>
        <row r="1185">
          <cell r="A1185" t="str">
            <v>6.5239905050522</v>
          </cell>
          <cell r="B1185" t="str">
            <v>COMPASS LP1-25 (KM)</v>
          </cell>
          <cell r="C1185" t="str">
            <v>BỘT MÌ ĐA DỤNG LA BÀN LP-1 (25KG)</v>
          </cell>
          <cell r="D1185" t="str">
            <v>COMPASS LP1-25 (KM)</v>
          </cell>
          <cell r="E1185">
            <v>1</v>
          </cell>
          <cell r="F1185" t="str">
            <v>Bỏ chọn</v>
          </cell>
          <cell r="G1185"/>
          <cell r="H1185"/>
        </row>
        <row r="1186">
          <cell r="A1186" t="str">
            <v>6.5239905050574</v>
          </cell>
          <cell r="B1186" t="str">
            <v>COMPASS LP1-25-AD2 (KM)</v>
          </cell>
          <cell r="C1186" t="str">
            <v>BỘT MÌ ĐA DỤNG LA BÀN LP-1 (25KG)</v>
          </cell>
          <cell r="D1186" t="str">
            <v>COMPASS LP1-25-AD2 (KM)</v>
          </cell>
          <cell r="E1186">
            <v>1</v>
          </cell>
          <cell r="F1186" t="str">
            <v>Bỏ chọn</v>
          </cell>
          <cell r="G1186"/>
          <cell r="H1186"/>
        </row>
        <row r="1187">
          <cell r="A1187" t="str">
            <v>6.5239905050583</v>
          </cell>
          <cell r="B1187" t="str">
            <v>COMPASS LP1-25-TIEN NHAN (KM)</v>
          </cell>
          <cell r="C1187" t="str">
            <v>BỘT MÌ ĐA DỤNG LA BÀN LP-1 (25KG)</v>
          </cell>
          <cell r="D1187" t="str">
            <v>COMPASS LP1-25-TIEN NHAN (KM)</v>
          </cell>
          <cell r="E1187">
            <v>1</v>
          </cell>
          <cell r="F1187" t="str">
            <v>Bỏ chọn</v>
          </cell>
          <cell r="G1187"/>
          <cell r="H1187"/>
        </row>
        <row r="1188">
          <cell r="A1188" t="str">
            <v>6.5239905060522</v>
          </cell>
          <cell r="B1188" t="str">
            <v>COMPASS LP2-25 (KM)</v>
          </cell>
          <cell r="C1188" t="str">
            <v>BỘT MÌ ĐA DỤNG LA BÀN LP-2 (25KG)</v>
          </cell>
          <cell r="D1188" t="str">
            <v>COMPASS LP2-25 (KM)</v>
          </cell>
          <cell r="E1188">
            <v>1</v>
          </cell>
          <cell r="F1188" t="str">
            <v>Bỏ chọn</v>
          </cell>
          <cell r="G1188"/>
          <cell r="H1188"/>
        </row>
        <row r="1189">
          <cell r="A1189" t="str">
            <v>6.5239905060582</v>
          </cell>
          <cell r="B1189" t="str">
            <v>COMPASS LP2-25-SASA (KM)</v>
          </cell>
          <cell r="C1189" t="str">
            <v>BỘT MÌ ĐA DỤNG LA BÀN LP-2 (25KG)</v>
          </cell>
          <cell r="D1189" t="str">
            <v>COMPASS LP2-25-SASA (KM)</v>
          </cell>
          <cell r="E1189">
            <v>1</v>
          </cell>
          <cell r="F1189" t="str">
            <v>Bỏ chọn</v>
          </cell>
          <cell r="G1189"/>
          <cell r="H1189"/>
        </row>
        <row r="1190">
          <cell r="A1190" t="str">
            <v>6.5239905070583</v>
          </cell>
          <cell r="B1190" t="str">
            <v>COMPASS LP3-25-TIEN NHAN (KM)</v>
          </cell>
          <cell r="C1190" t="str">
            <v>BỘT MÌ ĐA DỤNG LA BÀN LP-3 (25KG)</v>
          </cell>
          <cell r="D1190" t="str">
            <v>COMPASS LP3-25-TIEN NHAN (KM)</v>
          </cell>
          <cell r="E1190">
            <v>1</v>
          </cell>
          <cell r="F1190" t="str">
            <v>Bỏ chọn</v>
          </cell>
          <cell r="G1190"/>
          <cell r="H1190"/>
        </row>
        <row r="1191">
          <cell r="A1191" t="str">
            <v>6.5239905070584</v>
          </cell>
          <cell r="B1191" t="str">
            <v>COMPASS LP3-25-VUNG VONG (KM)</v>
          </cell>
          <cell r="C1191" t="str">
            <v>BỘT MÌ ĐA DỤNG LA BÀN LP-3 (25KG)</v>
          </cell>
          <cell r="D1191" t="str">
            <v>COMPASS LP3-25-VUNG VONG (KM)</v>
          </cell>
          <cell r="E1191">
            <v>1</v>
          </cell>
          <cell r="F1191" t="str">
            <v>Bỏ chọn</v>
          </cell>
          <cell r="G1191"/>
          <cell r="H1191"/>
        </row>
        <row r="1192">
          <cell r="A1192" t="str">
            <v>6.5239905070522</v>
          </cell>
          <cell r="B1192" t="str">
            <v>COMPASS LP3-25 (KM)</v>
          </cell>
          <cell r="C1192" t="str">
            <v>BỘT MÌ ĐA DỤNG LA BÀN LP-3 (25KG)</v>
          </cell>
          <cell r="D1192" t="str">
            <v>COMPASS LP3-25 (KM)</v>
          </cell>
          <cell r="E1192">
            <v>1</v>
          </cell>
          <cell r="F1192" t="str">
            <v>Bỏ chọn</v>
          </cell>
          <cell r="G1192"/>
          <cell r="H1192"/>
        </row>
        <row r="1193">
          <cell r="A1193" t="str">
            <v>6.5239905070580</v>
          </cell>
          <cell r="B1193" t="str">
            <v>COMPASS LP3-25-NEW (KM)</v>
          </cell>
          <cell r="C1193" t="str">
            <v>BỘT MÌ ĐA DỤNG LA BÀN LP-3 (25KG)</v>
          </cell>
          <cell r="D1193" t="str">
            <v>COMPASS LP3-25-NEW (KM)</v>
          </cell>
          <cell r="E1193">
            <v>1</v>
          </cell>
          <cell r="F1193" t="str">
            <v>Bỏ chọn</v>
          </cell>
          <cell r="G1193"/>
          <cell r="H1193"/>
        </row>
        <row r="1194">
          <cell r="A1194" t="str">
            <v>6.5239905080522</v>
          </cell>
          <cell r="B1194" t="str">
            <v>COMPASS LP4-25 (KM)</v>
          </cell>
          <cell r="C1194" t="str">
            <v>BỘT MÌ ĐA DỤNG LA BÀN LP-4 (25KG)</v>
          </cell>
          <cell r="D1194" t="str">
            <v>COMPASS LP4-25 (KM)</v>
          </cell>
          <cell r="E1194">
            <v>1</v>
          </cell>
          <cell r="F1194" t="str">
            <v>Bỏ chọn</v>
          </cell>
          <cell r="G1194"/>
          <cell r="H1194"/>
        </row>
        <row r="1195">
          <cell r="A1195" t="str">
            <v>6.5239905090522</v>
          </cell>
          <cell r="B1195" t="str">
            <v>COMPASS LP5-25 (KM)</v>
          </cell>
          <cell r="C1195" t="str">
            <v>BỘT MÌ ĐA DỤNG LA BÀN LP-5 (25KG)</v>
          </cell>
          <cell r="D1195" t="str">
            <v>COMPASS LP5-25 (KM)</v>
          </cell>
          <cell r="E1195">
            <v>1</v>
          </cell>
          <cell r="F1195" t="str">
            <v>Bỏ chọn</v>
          </cell>
          <cell r="G1195"/>
          <cell r="H1195"/>
        </row>
        <row r="1196">
          <cell r="A1196" t="str">
            <v>6.5239905090573</v>
          </cell>
          <cell r="B1196" t="str">
            <v>COMPASS LP5-25-AD1 (KM)</v>
          </cell>
          <cell r="C1196" t="str">
            <v>BỘT MÌ ĐA DỤNG LA BÀN LP-5 (25KG)</v>
          </cell>
          <cell r="D1196" t="str">
            <v>COMPASS LP5-25-AD1 (KM)</v>
          </cell>
          <cell r="E1196">
            <v>1</v>
          </cell>
          <cell r="F1196" t="str">
            <v>Bỏ chọn</v>
          </cell>
          <cell r="G1196"/>
          <cell r="H1196"/>
        </row>
        <row r="1197">
          <cell r="A1197" t="str">
            <v>6.5239944210501</v>
          </cell>
          <cell r="B1197" t="str">
            <v>LWW 1-25 VFM</v>
          </cell>
          <cell r="C1197" t="str">
            <v>BỘT MÌ LWW - 1 (25KG)</v>
          </cell>
          <cell r="D1197" t="str">
            <v>LWW 1-25 VFM</v>
          </cell>
          <cell r="E1197">
            <v>1</v>
          </cell>
          <cell r="F1197" t="str">
            <v>Bỏ chọn</v>
          </cell>
          <cell r="G1197"/>
          <cell r="H1197"/>
        </row>
        <row r="1198">
          <cell r="A1198" t="str">
            <v>6.5239944210201</v>
          </cell>
          <cell r="B1198" t="str">
            <v>LWW - 1 VFM</v>
          </cell>
          <cell r="C1198" t="str">
            <v>BỘT MÌ LWW - 1</v>
          </cell>
          <cell r="D1198" t="str">
            <v>LWW - 1 VFM</v>
          </cell>
          <cell r="E1198">
            <v>1</v>
          </cell>
          <cell r="F1198" t="str">
            <v>Bỏ chọn</v>
          </cell>
          <cell r="G1198"/>
          <cell r="H1198"/>
        </row>
        <row r="1199">
          <cell r="A1199" t="str">
            <v>6.5239949990501</v>
          </cell>
          <cell r="B1199" t="str">
            <v>SEMOLINA</v>
          </cell>
          <cell r="C1199" t="str">
            <v>BỘT MÌ SEMOLINA (25KG)</v>
          </cell>
          <cell r="D1199" t="str">
            <v>SEMOLINA</v>
          </cell>
          <cell r="E1199">
            <v>1</v>
          </cell>
          <cell r="F1199" t="str">
            <v>Bỏ chọn</v>
          </cell>
          <cell r="G1199"/>
          <cell r="H1199"/>
        </row>
        <row r="1200">
          <cell r="A1200" t="str">
            <v>6.5239950990501</v>
          </cell>
          <cell r="B1200" t="str">
            <v>WHOLE WHEAT (25KG)</v>
          </cell>
          <cell r="C1200" t="str">
            <v>BỘT MÌ WHOLE WHEAT (25KG)</v>
          </cell>
          <cell r="D1200" t="str">
            <v>WHOLE WHEAT (25KG)</v>
          </cell>
          <cell r="E1200">
            <v>1</v>
          </cell>
          <cell r="F1200" t="str">
            <v>Bỏ chọn</v>
          </cell>
          <cell r="G1200"/>
          <cell r="H1200"/>
        </row>
        <row r="1201">
          <cell r="A1201" t="str">
            <v>6.5239935210501</v>
          </cell>
          <cell r="B1201" t="str">
            <v>LWW - 2 (VFM)</v>
          </cell>
          <cell r="C1201" t="str">
            <v>BỘT MÌ LWW - 2 (25KG)</v>
          </cell>
          <cell r="D1201" t="str">
            <v>LWW - 2 (VFM)</v>
          </cell>
          <cell r="E1201">
            <v>1</v>
          </cell>
          <cell r="F1201" t="str">
            <v>Bỏ chọn</v>
          </cell>
          <cell r="G1201"/>
          <cell r="H1201"/>
        </row>
        <row r="1202">
          <cell r="A1202" t="str">
            <v>6.5239936210501</v>
          </cell>
          <cell r="B1202" t="str">
            <v>LWW - 3 (VFM)</v>
          </cell>
          <cell r="C1202" t="str">
            <v>BỘT MÌ LWW - 3 (25KG)</v>
          </cell>
          <cell r="D1202" t="str">
            <v>LWW - 3 (VFM)</v>
          </cell>
          <cell r="E1202">
            <v>1</v>
          </cell>
          <cell r="F1202" t="str">
            <v>Bỏ chọn</v>
          </cell>
          <cell r="G1202"/>
          <cell r="H1202"/>
        </row>
        <row r="1203">
          <cell r="A1203" t="str">
            <v>V39.015.071</v>
          </cell>
          <cell r="B1203" t="str">
            <v>MEIZAN APRON</v>
          </cell>
          <cell r="C1203" t="str">
            <v>TẠP DỀ MEIZAN</v>
          </cell>
          <cell r="D1203" t="str">
            <v>MEIZAN APRON</v>
          </cell>
          <cell r="E1203">
            <v>0</v>
          </cell>
          <cell r="F1203" t="str">
            <v>Bỏ chọn</v>
          </cell>
          <cell r="G1203"/>
          <cell r="H1203"/>
        </row>
        <row r="1204">
          <cell r="A1204" t="str">
            <v>V51.320.002</v>
          </cell>
          <cell r="B1204" t="str">
            <v>MEIZAN TISSUE BOX</v>
          </cell>
          <cell r="C1204" t="str">
            <v>HỘP KHĂN GIẤY MEIZAN</v>
          </cell>
          <cell r="D1204" t="str">
            <v>MEIZAN TISSUE BOX</v>
          </cell>
          <cell r="E1204">
            <v>0</v>
          </cell>
          <cell r="F1204" t="str">
            <v>Bỏ chọn</v>
          </cell>
          <cell r="G1204"/>
          <cell r="H1204"/>
        </row>
        <row r="1205">
          <cell r="A1205" t="str">
            <v>6.5239914990522</v>
          </cell>
          <cell r="B1205" t="str">
            <v>RED COMPASS-25 (KM)</v>
          </cell>
          <cell r="C1205" t="str">
            <v>BỘT MÌ NHÃN HIỆU "LA BÀN ĐỎ" (25KG)</v>
          </cell>
          <cell r="D1205" t="str">
            <v>RED COMPASS-25 (KM)</v>
          </cell>
          <cell r="E1205">
            <v>1</v>
          </cell>
          <cell r="F1205" t="str">
            <v>Bỏ chọn</v>
          </cell>
          <cell r="G1205"/>
          <cell r="H1205"/>
        </row>
        <row r="1206">
          <cell r="A1206" t="str">
            <v>6.5239911990585</v>
          </cell>
          <cell r="B1206" t="str">
            <v>ORANGE KEY-25-LAO (KM)</v>
          </cell>
          <cell r="C1206" t="str">
            <v>BỘT MÌ NHÃN HIỆU "CHÌA KHÓA CAM" (25KG)</v>
          </cell>
          <cell r="D1206" t="str">
            <v>ORANGE KEY-25-LAO (KM)</v>
          </cell>
          <cell r="E1206">
            <v>1</v>
          </cell>
          <cell r="F1206" t="str">
            <v>Bỏ chọn</v>
          </cell>
          <cell r="G1206"/>
          <cell r="H1206"/>
        </row>
        <row r="1207">
          <cell r="A1207" t="str">
            <v>6.5239916990585</v>
          </cell>
          <cell r="B1207" t="str">
            <v>RED PEN-25-LAO (KM)</v>
          </cell>
          <cell r="C1207" t="str">
            <v>BỘT MÌ NHÃN HIỆU "CÂY VIẾT ĐỎ" (25KG)</v>
          </cell>
          <cell r="D1207" t="str">
            <v>RED PEN-25-LAO (KM)</v>
          </cell>
          <cell r="E1207">
            <v>1</v>
          </cell>
          <cell r="F1207" t="str">
            <v>Bỏ chọn</v>
          </cell>
          <cell r="G1207"/>
          <cell r="H1207"/>
        </row>
        <row r="1208">
          <cell r="A1208" t="str">
            <v>6.5239915990585</v>
          </cell>
          <cell r="B1208" t="str">
            <v>RED KEY-25-LAO (KM)</v>
          </cell>
          <cell r="C1208" t="str">
            <v>BỘT MÌ NHÃN HIỆU "CHÌA KHÓA ĐỎ" (25KG)</v>
          </cell>
          <cell r="D1208" t="str">
            <v>RED KEY-25-LAO (KM)</v>
          </cell>
          <cell r="E1208">
            <v>1</v>
          </cell>
          <cell r="F1208" t="str">
            <v>Bỏ chọn</v>
          </cell>
          <cell r="G1208"/>
          <cell r="H1208"/>
        </row>
        <row r="1209">
          <cell r="A1209" t="str">
            <v>V78.004.009</v>
          </cell>
          <cell r="B1209" t="str">
            <v>YELLOW &amp; BROWN SHIRT -LONG SLEEVE</v>
          </cell>
          <cell r="C1209" t="str">
            <v>ÁO SƠMI DÀI TAY NAM MÀU VÀNG</v>
          </cell>
          <cell r="D1209" t="str">
            <v>YELLOW &amp; BROWN SHIRT -LONG SLEEVE</v>
          </cell>
          <cell r="E1209">
            <v>0</v>
          </cell>
          <cell r="F1209" t="str">
            <v>Bỏ chọn</v>
          </cell>
          <cell r="G1209"/>
          <cell r="H1209"/>
        </row>
        <row r="1210">
          <cell r="A1210" t="str">
            <v>V78.002.005</v>
          </cell>
          <cell r="B1210" t="str">
            <v>YELLOW SHIRT FOR PG</v>
          </cell>
          <cell r="C1210" t="str">
            <v>ÁO SƠ MI CHO NỮ PG</v>
          </cell>
          <cell r="D1210" t="str">
            <v>YELLOW SHIRT FOR PG</v>
          </cell>
          <cell r="E1210">
            <v>0</v>
          </cell>
          <cell r="F1210" t="str">
            <v>Bỏ chọn</v>
          </cell>
          <cell r="G1210"/>
          <cell r="H1210"/>
        </row>
        <row r="1211">
          <cell r="A1211" t="str">
            <v>V78.047.002</v>
          </cell>
          <cell r="B1211" t="str">
            <v>BAG - BLACK COLOR WITH CALOFIC LOGO</v>
          </cell>
          <cell r="C1211" t="str">
            <v>CẶP XÁCH MÀU ĐEN LOGO CALOFIC</v>
          </cell>
          <cell r="D1211" t="str">
            <v>BAG - BLACK COLOR WITH CALOFIC LOGO</v>
          </cell>
          <cell r="E1211">
            <v>0</v>
          </cell>
          <cell r="F1211" t="str">
            <v>Bỏ chọn</v>
          </cell>
          <cell r="G1211"/>
          <cell r="H1211"/>
        </row>
        <row r="1212">
          <cell r="A1212" t="str">
            <v>6.5239907990586</v>
          </cell>
          <cell r="B1212" t="str">
            <v>GREEN KEY-25-PHAM NGUYEN</v>
          </cell>
          <cell r="C1212" t="str">
            <v>BỘT MÌ NHÃN HIỆU "CHÌA KHÓA XANH LÁ" (25KG)</v>
          </cell>
          <cell r="D1212" t="str">
            <v>GREEN KEY-25-PHAM NGUYEN</v>
          </cell>
          <cell r="E1212">
            <v>1</v>
          </cell>
          <cell r="F1212" t="str">
            <v>Bỏ chọn</v>
          </cell>
          <cell r="G1212"/>
          <cell r="H1212"/>
        </row>
        <row r="1213">
          <cell r="A1213" t="str">
            <v>6.5239904990589</v>
          </cell>
          <cell r="B1213" t="str">
            <v>BROWN COMPASS-25-PHAM NGUYEN</v>
          </cell>
          <cell r="C1213" t="str">
            <v>BỘT MÌ NHÃN HIỆU "LA BÀN NÂU" (25KG)</v>
          </cell>
          <cell r="D1213" t="str">
            <v>BROWN COMPASS-25-PHAM NGUYEN</v>
          </cell>
          <cell r="E1213">
            <v>1</v>
          </cell>
          <cell r="F1213" t="str">
            <v>Bỏ chọn</v>
          </cell>
          <cell r="G1213"/>
          <cell r="H1213"/>
        </row>
        <row r="1214">
          <cell r="A1214" t="str">
            <v>7.101089570901860</v>
          </cell>
          <cell r="B1214" t="str">
            <v>SATELLITE RBD PALM OLEIN IN BIB @18KG</v>
          </cell>
          <cell r="C1214" t="str">
            <v>DẦU CỌ OLEIN HIỆU SATELLITE ĐÓNG TRONG TÚI BIB 18KG</v>
          </cell>
          <cell r="D1214" t="str">
            <v>SATELLITE RBD PALM OLEIN IN BIB @18KG</v>
          </cell>
          <cell r="E1214">
            <v>18</v>
          </cell>
          <cell r="F1214" t="str">
            <v>Chọn</v>
          </cell>
          <cell r="G1214"/>
          <cell r="H1214"/>
        </row>
        <row r="1215">
          <cell r="A1215" t="str">
            <v>7.1060120220708010</v>
          </cell>
          <cell r="B1215" t="str">
            <v>MEIZAN SHORTENING NH IN PE BAG @20KG</v>
          </cell>
          <cell r="C1215" t="str">
            <v>SHORTENING NH NHÃN HIỆU MEIZAN ĐÓNG TRONG TÚI NHỰA 20KG</v>
          </cell>
          <cell r="D1215" t="str">
            <v>MEIZAN SHORTENING NH IN PE BAG @20KG</v>
          </cell>
          <cell r="E1215">
            <v>20</v>
          </cell>
          <cell r="F1215" t="str">
            <v>Chọn</v>
          </cell>
          <cell r="G1215"/>
          <cell r="H1215"/>
        </row>
        <row r="1216">
          <cell r="A1216" t="str">
            <v>V39.013.049</v>
          </cell>
          <cell r="B1216" t="str">
            <v>YELLOW-GREEN T-SHIRT</v>
          </cell>
          <cell r="C1216" t="str">
            <v>ÁO THUN XANH NÕN CHUỐI</v>
          </cell>
          <cell r="D1216" t="str">
            <v>YELLOW-GREEN T-SHIRT</v>
          </cell>
          <cell r="E1216">
            <v>0</v>
          </cell>
          <cell r="F1216" t="str">
            <v>Bỏ chọn</v>
          </cell>
          <cell r="G1216"/>
          <cell r="H1216"/>
        </row>
        <row r="1217">
          <cell r="A1217" t="str">
            <v>7.70519</v>
          </cell>
          <cell r="B1217" t="str">
            <v>WILFARIN SWING SOAP NOODLE 8020 LAMINATED PAPERBAG @25KG</v>
          </cell>
          <cell r="C1217" t="str">
            <v>PHÔI XÀ PHÒNG - WILFARIN SWING SN8020; BAO 25KG</v>
          </cell>
          <cell r="D1217" t="str">
            <v>WILFARIN SWING SOAP NOODLE 8020 LAMINATED PAPERBAG @25KG</v>
          </cell>
          <cell r="E1217">
            <v>1</v>
          </cell>
          <cell r="F1217" t="str">
            <v>Bỏ chọn</v>
          </cell>
          <cell r="G1217"/>
          <cell r="H1217"/>
        </row>
        <row r="1218">
          <cell r="A1218" t="str">
            <v>V78.043.005</v>
          </cell>
          <cell r="B1218" t="str">
            <v>WINTER JACKET - DARK RED +LOGO</v>
          </cell>
          <cell r="C1218" t="str">
            <v>ÁO KHOÁC MÙA ĐÔNG MÀU ĐỎ + LOGO</v>
          </cell>
          <cell r="D1218" t="str">
            <v>WINTER JACKET - DARK RED +LOGO</v>
          </cell>
          <cell r="E1218">
            <v>0</v>
          </cell>
          <cell r="F1218" t="str">
            <v>Bỏ chọn</v>
          </cell>
          <cell r="G1218"/>
          <cell r="H1218"/>
        </row>
        <row r="1219">
          <cell r="A1219" t="str">
            <v>7.131005580801C00</v>
          </cell>
          <cell r="B1219" t="str">
            <v>MEIZAN CREAMING FAT@20KG</v>
          </cell>
          <cell r="C1219" t="str">
            <v>CHẤT BÉO KEM BÁNH NHÃN HIỆU MEIZAN (NHÃN MÀU CAM) 20KG</v>
          </cell>
          <cell r="D1219" t="str">
            <v>MEIZAN CREAMING FAT@20KG</v>
          </cell>
          <cell r="E1219">
            <v>20</v>
          </cell>
          <cell r="F1219" t="str">
            <v>Chọn</v>
          </cell>
          <cell r="G1219"/>
          <cell r="H1219"/>
        </row>
        <row r="1220">
          <cell r="A1220" t="str">
            <v>7.5239908022101</v>
          </cell>
          <cell r="B1220" t="str">
            <v>MEIZAN-CRYSPY 1KG</v>
          </cell>
          <cell r="C1220" t="str">
            <v>BỘT CHIÊN GIÒN "MEIZAN" 1KG</v>
          </cell>
          <cell r="D1220" t="str">
            <v>MEIZAN-CRYSPY 1KG</v>
          </cell>
          <cell r="E1220">
            <v>1</v>
          </cell>
          <cell r="F1220" t="str">
            <v>Bỏ chọn</v>
          </cell>
          <cell r="G1220"/>
          <cell r="H1220"/>
        </row>
        <row r="1221">
          <cell r="A1221" t="str">
            <v>7.101089580800910</v>
          </cell>
          <cell r="B1221" t="str">
            <v>SATELLITE TEXTURIZED RBDPO CARTON@20KG</v>
          </cell>
          <cell r="C1221" t="str">
            <v>DẦU CỌ CHUYÊN DỤNG NHÃN HIỆU SATELLITE 20KG</v>
          </cell>
          <cell r="D1221" t="str">
            <v>SATELLITE TEXTURIZED RBDPO CARTON@20KG</v>
          </cell>
          <cell r="E1221">
            <v>20</v>
          </cell>
          <cell r="F1221" t="str">
            <v>Chọn</v>
          </cell>
          <cell r="G1221"/>
          <cell r="H1221"/>
        </row>
        <row r="1222">
          <cell r="A1222" t="str">
            <v>7.1070120203608010</v>
          </cell>
          <cell r="B1222" t="str">
            <v>MEIZAN MARGARINE VN SAMPLE IN PEBAG@20KG</v>
          </cell>
          <cell r="C1222" t="str">
            <v>BƠ LOẠI 20KG</v>
          </cell>
          <cell r="D1222" t="str">
            <v>MEIZAN MARGARINE VN SAMPLE IN PEBAG@20KG</v>
          </cell>
          <cell r="E1222">
            <v>20</v>
          </cell>
          <cell r="F1222" t="str">
            <v>Chọn</v>
          </cell>
          <cell r="G1222"/>
          <cell r="H1222"/>
        </row>
        <row r="1223">
          <cell r="A1223" t="str">
            <v>6.4554392</v>
          </cell>
          <cell r="B1223" t="str">
            <v>DEWAXED SESAME OIL IV 104-120 FFA 2 MAX</v>
          </cell>
          <cell r="C1223" t="str">
            <v>DẦU MÈ THƠM</v>
          </cell>
          <cell r="D1223" t="str">
            <v>DEWAXED SESAME OIL IV 104-120 FFA 2 MAX</v>
          </cell>
          <cell r="E1223">
            <v>1</v>
          </cell>
          <cell r="F1223" t="str">
            <v>Chọn</v>
          </cell>
          <cell r="G1223"/>
          <cell r="H1223"/>
        </row>
        <row r="1224">
          <cell r="A1224" t="str">
            <v>6.5239912990587</v>
          </cell>
          <cell r="B1224" t="str">
            <v>PINK KEY -25-MI CAN</v>
          </cell>
          <cell r="C1224" t="str">
            <v>BỘT MÌ NHÃN HIỆU "CHÌA KHÓA HỒNG" (25KG)</v>
          </cell>
          <cell r="D1224" t="str">
            <v>PINK KEY -25-MI CAN</v>
          </cell>
          <cell r="E1224">
            <v>1</v>
          </cell>
          <cell r="F1224" t="str">
            <v>Bỏ chọn</v>
          </cell>
          <cell r="G1224"/>
          <cell r="H1224"/>
        </row>
        <row r="1225">
          <cell r="A1225" t="str">
            <v>6.5239912990588</v>
          </cell>
          <cell r="B1225" t="str">
            <v>PINK KEY -25-MI CAN (KM)</v>
          </cell>
          <cell r="C1225" t="str">
            <v>BỘT MÌ NHÃN HIỆU "CHÌA KHÓA HỒNG" (25KG)</v>
          </cell>
          <cell r="D1225" t="str">
            <v>PINK KEY -25-MI CAN (KM)</v>
          </cell>
          <cell r="E1225">
            <v>1</v>
          </cell>
          <cell r="F1225" t="str">
            <v>Bỏ chọn</v>
          </cell>
          <cell r="G1225"/>
          <cell r="H1225"/>
        </row>
        <row r="1226">
          <cell r="A1226" t="str">
            <v>V51.064.002</v>
          </cell>
          <cell r="B1226" t="str">
            <v>SIMPLY RBO LEAFLET</v>
          </cell>
          <cell r="C1226" t="str">
            <v>TỜ RƠI SIMPLY DẦU GẠO</v>
          </cell>
          <cell r="D1226" t="str">
            <v>SIMPLY RBO LEAFLET</v>
          </cell>
          <cell r="E1226">
            <v>0</v>
          </cell>
          <cell r="F1226" t="str">
            <v>Bỏ chọn</v>
          </cell>
          <cell r="G1226"/>
          <cell r="H1226"/>
        </row>
        <row r="1227">
          <cell r="A1227" t="str">
            <v>6.5239902990589</v>
          </cell>
          <cell r="B1227" t="str">
            <v>BLUE KEY N-25-HUE (KM)</v>
          </cell>
          <cell r="C1227" t="str">
            <v>BỘT MÌ NHÃN HIỆU "CHÌA KHÓA XANH MÌ SỢI" (25KG)</v>
          </cell>
          <cell r="D1227" t="str">
            <v>BLUE KEY N-25-HUE (KM)</v>
          </cell>
          <cell r="E1227">
            <v>1</v>
          </cell>
          <cell r="F1227" t="str">
            <v>Bỏ chọn</v>
          </cell>
          <cell r="G1227"/>
          <cell r="H1227"/>
        </row>
        <row r="1228">
          <cell r="A1228" t="str">
            <v>V56.052.014</v>
          </cell>
          <cell r="B1228" t="str">
            <v>SAMSUNG TABLET MODEL: GALAXY TAB S2 9.7</v>
          </cell>
          <cell r="C1228" t="str">
            <v>SM T819Y, BRAND: SAMSUNG MÁY TÍNH BẢNG GALAXY TAB S2 9.7-SM T819Y</v>
          </cell>
          <cell r="D1228" t="str">
            <v>SAMSUNG TABLET MODEL: GALAXY TAB S2 9.7</v>
          </cell>
          <cell r="E1228">
            <v>0</v>
          </cell>
          <cell r="F1228" t="str">
            <v>Bỏ chọn</v>
          </cell>
          <cell r="G1228"/>
          <cell r="H1228"/>
        </row>
        <row r="1229">
          <cell r="A1229" t="str">
            <v>V56.601.001</v>
          </cell>
          <cell r="B1229" t="str">
            <v>PROJECTOR PANASONIC PT-VX420</v>
          </cell>
          <cell r="C1229" t="str">
            <v>MÁY CHIẾU PANASONIC PT-VX420</v>
          </cell>
          <cell r="D1229" t="str">
            <v>PROJECTOR PANASONIC PT-VX420</v>
          </cell>
          <cell r="E1229">
            <v>0</v>
          </cell>
          <cell r="F1229" t="str">
            <v>Bỏ chọn</v>
          </cell>
          <cell r="G1229"/>
          <cell r="H1229"/>
        </row>
        <row r="1230">
          <cell r="A1230" t="str">
            <v>7.1060120222208010</v>
          </cell>
          <cell r="B1230" t="str">
            <v>MEIZAN SHT 42 GREEN LABEL IN PEBAG @20KG CAR</v>
          </cell>
          <cell r="C1230" t="str">
            <v>SHORTENING 42 NHÃN HIỆU MEIZAN (NHÃN MÀU XANH) TRONG THÙNG 20KG</v>
          </cell>
          <cell r="D1230" t="str">
            <v xml:space="preserve">MEIZAN SHT 42 GREEN LABEL IN PEBAG @20KG </v>
          </cell>
          <cell r="E1230">
            <v>20</v>
          </cell>
          <cell r="F1230" t="str">
            <v>Chọn</v>
          </cell>
          <cell r="G1230"/>
          <cell r="H1230"/>
        </row>
        <row r="1231">
          <cell r="A1231" t="str">
            <v>7.70520</v>
          </cell>
          <cell r="B1231" t="str">
            <v>SWING SOAP NOODLES 8020 (WILFARIN SWN8020) @25KG</v>
          </cell>
          <cell r="C1231" t="str">
            <v>PHÔI XÀ PHÒNG - WILFARIN SWN8020; BAO 25KG</v>
          </cell>
          <cell r="D1231" t="str">
            <v>WILFARIN™ SWN-8020</v>
          </cell>
          <cell r="E1231">
            <v>1</v>
          </cell>
          <cell r="F1231" t="str">
            <v>Bỏ chọn</v>
          </cell>
          <cell r="G1231"/>
          <cell r="H1231"/>
        </row>
        <row r="1232">
          <cell r="A1232" t="str">
            <v>7.70521</v>
          </cell>
          <cell r="B1232" t="str">
            <v>SOAP NOODLES 8020 (WILFARIN SN8020) SUPER FATTED SOAP @25KG</v>
          </cell>
          <cell r="C1232" t="str">
            <v>PHÔI XÀ PHÒNG - WILFARIN SN8020 SUPER FATTED SOAP; BAO 25KG</v>
          </cell>
          <cell r="D1232" t="str">
            <v>WILFARIN™ SN-8020 SUPER FATTED</v>
          </cell>
          <cell r="E1232">
            <v>1</v>
          </cell>
          <cell r="F1232" t="str">
            <v>Bỏ chọn</v>
          </cell>
          <cell r="G1232"/>
          <cell r="H1232"/>
        </row>
        <row r="1233">
          <cell r="A1233" t="str">
            <v>7.A31990899080101</v>
          </cell>
          <cell r="B1233" t="str">
            <v>MEIZAN CRISPY FRYING MIX 150G</v>
          </cell>
          <cell r="C1233" t="str">
            <v>BỘT CHIÊN GIÒN MEIZAN 150G</v>
          </cell>
          <cell r="D1233" t="str">
            <v>MEIZAN CRISPY FRYING MIX 150G</v>
          </cell>
          <cell r="E1233">
            <v>0.15</v>
          </cell>
          <cell r="F1233" t="str">
            <v>Bỏ chọn</v>
          </cell>
          <cell r="G1233"/>
          <cell r="H1233"/>
        </row>
        <row r="1234">
          <cell r="A1234" t="str">
            <v>7.A31990899020101</v>
          </cell>
          <cell r="B1234" t="str">
            <v>MEIZAN CRISPY FRYING MIX 1KG</v>
          </cell>
          <cell r="C1234" t="str">
            <v>BỘT CHIÊN GIÒN MEIZAN 1KG</v>
          </cell>
          <cell r="D1234" t="str">
            <v>MEIZAN CRISPY FRYING MIX 1KG</v>
          </cell>
          <cell r="E1234">
            <v>1</v>
          </cell>
          <cell r="F1234" t="str">
            <v>Bỏ chọn</v>
          </cell>
          <cell r="G1234"/>
          <cell r="H1234"/>
        </row>
        <row r="1235">
          <cell r="A1235" t="str">
            <v>7.A32010899010101</v>
          </cell>
          <cell r="B1235" t="str">
            <v>MEIZAN PREMIUM EGG NOODLE 500G</v>
          </cell>
          <cell r="C1235" t="str">
            <v>MÌ TRỨNG CAO CẤP MEIZAN 500G</v>
          </cell>
          <cell r="D1235" t="str">
            <v>MEIZAN PREMIUM EGG NOODLE 500G</v>
          </cell>
          <cell r="E1235">
            <v>0.5</v>
          </cell>
          <cell r="F1235" t="str">
            <v>Bỏ chọn</v>
          </cell>
          <cell r="G1235"/>
          <cell r="H1235"/>
        </row>
        <row r="1236">
          <cell r="A1236" t="str">
            <v>7.A33020899330101</v>
          </cell>
          <cell r="B1236" t="str">
            <v>MEIZAN PREMIUM MACARONI 400G</v>
          </cell>
          <cell r="C1236" t="str">
            <v>NUI CAO CẤP MEIZAN 400G</v>
          </cell>
          <cell r="D1236" t="str">
            <v>MEIZAN PREMIUM MACARONI 400G</v>
          </cell>
          <cell r="E1236">
            <v>0.4</v>
          </cell>
          <cell r="F1236" t="str">
            <v>Bỏ chọn</v>
          </cell>
          <cell r="G1236"/>
          <cell r="H1236"/>
        </row>
        <row r="1237">
          <cell r="A1237" t="str">
            <v>7.A31990899330101</v>
          </cell>
          <cell r="B1237" t="str">
            <v>VIETNAMESE PANCAKE MIX 400G</v>
          </cell>
          <cell r="C1237" t="str">
            <v>BỘT BÁNH XÈO MEIZAN 400G</v>
          </cell>
          <cell r="D1237" t="str">
            <v>VIETNAMESE PANCAKE MIX 400G</v>
          </cell>
          <cell r="E1237">
            <v>0.4</v>
          </cell>
          <cell r="F1237" t="str">
            <v>Bỏ chọn</v>
          </cell>
          <cell r="G1237"/>
          <cell r="H1237"/>
        </row>
        <row r="1238">
          <cell r="A1238" t="str">
            <v>7.A319908990801</v>
          </cell>
          <cell r="B1238" t="str">
            <v>MEIZAN CRISPY FRYING MIX 150G X 24 BAG</v>
          </cell>
          <cell r="C1238" t="str">
            <v>BỘT CHIÊN GIÒN MEIZAN 150G</v>
          </cell>
          <cell r="D1238" t="str">
            <v>MEIZAN CRISPY FRYING MIX 150G X 24 BAG</v>
          </cell>
          <cell r="E1238">
            <v>3.6</v>
          </cell>
          <cell r="F1238" t="str">
            <v>Bỏ chọn</v>
          </cell>
          <cell r="G1238"/>
          <cell r="H1238"/>
        </row>
        <row r="1239">
          <cell r="A1239" t="str">
            <v>7.A319908990201</v>
          </cell>
          <cell r="B1239" t="str">
            <v>MEIZAN CRISPY FRYING MIX 1KG X 10 BAG</v>
          </cell>
          <cell r="C1239" t="str">
            <v>BỘT CHIÊN GIÒN MEIZAN 1KG</v>
          </cell>
          <cell r="D1239" t="str">
            <v>MEIZAN CRISPY FRYING MIX 1KG X 10 BAG</v>
          </cell>
          <cell r="E1239">
            <v>10</v>
          </cell>
          <cell r="F1239" t="str">
            <v>Bỏ chọn</v>
          </cell>
          <cell r="G1239"/>
          <cell r="H1239"/>
        </row>
        <row r="1240">
          <cell r="A1240" t="str">
            <v>7.A320108990101</v>
          </cell>
          <cell r="B1240" t="str">
            <v>MEIZAN PREMIUM EGG NOODLE 500G X 6 BAG</v>
          </cell>
          <cell r="C1240" t="str">
            <v>MÌ TRỨNG CAO CẤP MEIZAN 500G</v>
          </cell>
          <cell r="D1240" t="str">
            <v>MEIZAN PREMIUM EGG NOODLE 500G X 6 BAG</v>
          </cell>
          <cell r="E1240">
            <v>3</v>
          </cell>
          <cell r="F1240" t="str">
            <v>Bỏ chọn</v>
          </cell>
          <cell r="G1240"/>
          <cell r="H1240"/>
        </row>
        <row r="1241">
          <cell r="A1241" t="str">
            <v>7.A330208993301</v>
          </cell>
          <cell r="B1241" t="str">
            <v>MEIZAN PREMIUM MACARONI 400G X 6 BAG</v>
          </cell>
          <cell r="C1241" t="str">
            <v>NUI CAO CẤP MEIZAN 400G</v>
          </cell>
          <cell r="D1241" t="str">
            <v>MEIZAN PREMIUM MACARONI 400G X 6 BAG</v>
          </cell>
          <cell r="E1241">
            <v>2.4</v>
          </cell>
          <cell r="F1241" t="str">
            <v>Bỏ chọn</v>
          </cell>
          <cell r="G1241"/>
          <cell r="H1241"/>
        </row>
        <row r="1242">
          <cell r="A1242" t="str">
            <v>7.A319908993301</v>
          </cell>
          <cell r="B1242" t="str">
            <v>VIETNAMESE PANCAKE MIX 400G X 6 BAG</v>
          </cell>
          <cell r="C1242" t="str">
            <v>BỘT BÁNH XÈO MEIZAN 400G</v>
          </cell>
          <cell r="D1242" t="str">
            <v>VIETNAMESE PANCAKE MIX 400G X 6 BAG</v>
          </cell>
          <cell r="E1242">
            <v>2.4</v>
          </cell>
          <cell r="F1242" t="str">
            <v>Bỏ chọn</v>
          </cell>
          <cell r="G1242"/>
          <cell r="H1242"/>
        </row>
        <row r="1243">
          <cell r="A1243" t="str">
            <v>7.1070120292908010</v>
          </cell>
          <cell r="B1243" t="str">
            <v>MEIZAN SUPERIOR BOS IV55MAX PEBAG @20KG</v>
          </cell>
          <cell r="C1243" t="str">
            <v>DẦU BƠ THAY THẾ CAO CẤP NHÃN HIỆU MEIZAN ĐÓNG TRONG THÙNG 20 KG</v>
          </cell>
          <cell r="D1243" t="str">
            <v>MEIZAN SUPERIOR BOS IV55MAX PEBAG @20KG</v>
          </cell>
          <cell r="E1243">
            <v>20</v>
          </cell>
          <cell r="F1243" t="str">
            <v>Chọn</v>
          </cell>
          <cell r="G1243"/>
          <cell r="H1243"/>
        </row>
        <row r="1244">
          <cell r="A1244" t="str">
            <v>7.70522</v>
          </cell>
          <cell r="B1244" t="str">
            <v>REFINED GLYCERINE USP 99.7% IN FLEXIBAG</v>
          </cell>
          <cell r="C1244" t="str">
            <v>GLYXERIN- WILFARIN USP 99.7%; TÚI FLEXIBAG</v>
          </cell>
          <cell r="D1244" t="str">
            <v>WILFARIN™ USP-997 FLEXIBAG</v>
          </cell>
          <cell r="E1244">
            <v>1</v>
          </cell>
          <cell r="F1244" t="str">
            <v>Bỏ chọn</v>
          </cell>
          <cell r="G1244"/>
          <cell r="H1244"/>
        </row>
        <row r="1245">
          <cell r="A1245" t="str">
            <v>7.105041171400080</v>
          </cell>
          <cell r="B1245" t="str">
            <v>PFAD IN DRUM@185KG</v>
          </cell>
          <cell r="C1245" t="str">
            <v>AXIT BÉO NGƯNG TỤ TỪ DẦU CỌ ĐÓNG TRONG PHUY 185KG</v>
          </cell>
          <cell r="D1245" t="str">
            <v>PFAD IN DRUM@185KG</v>
          </cell>
          <cell r="E1245">
            <v>185</v>
          </cell>
          <cell r="F1245" t="str">
            <v>Bỏ chọn</v>
          </cell>
          <cell r="G1245"/>
          <cell r="H1245"/>
        </row>
        <row r="1246">
          <cell r="A1246" t="str">
            <v>7.13103603170024</v>
          </cell>
          <cell r="B1246" t="str">
            <v>CO-ORCHID BTL @ 1L</v>
          </cell>
          <cell r="C1246" t="str">
            <v>DẦU THỰC VẬT TINH LUYỆN NHÃN HIỆU ORCHID 1L</v>
          </cell>
          <cell r="D1246" t="str">
            <v>CO-ORCHID BTL @ 1L</v>
          </cell>
          <cell r="E1246">
            <v>0.91</v>
          </cell>
          <cell r="F1246" t="str">
            <v>Chọn</v>
          </cell>
          <cell r="G1246"/>
          <cell r="H1246"/>
        </row>
        <row r="1247">
          <cell r="A1247" t="str">
            <v>V78.301.013</v>
          </cell>
          <cell r="B1247" t="str">
            <v>WHITE SHIRT WITH RED LINE - SHORT SLEEVE FOR FEMALE PG</v>
          </cell>
          <cell r="C1247" t="str">
            <v>ÁO NỮ NGẮN TAY MÀU TRẮNG VIỀN ĐỎ PG</v>
          </cell>
          <cell r="D1247" t="str">
            <v>WHITE SHIRT WITH RED LINE - SHORT SLEEVE FOR FEMALE PG</v>
          </cell>
          <cell r="E1247">
            <v>0</v>
          </cell>
          <cell r="F1247" t="str">
            <v>Bỏ chọn</v>
          </cell>
          <cell r="G1247"/>
          <cell r="H1247"/>
        </row>
        <row r="1248">
          <cell r="A1248" t="str">
            <v>V78.004.014</v>
          </cell>
          <cell r="B1248" t="str">
            <v>WAISTCOAT, MATERIAL: RED KAKI, EMBROIDER LOGO ON THE LEFT</v>
          </cell>
          <cell r="C1248" t="str">
            <v>ÁO GHI LÊ 1 LỚP, CHẤT LIỆU: KAKI THUN MÀU ĐỎ, THÊU LOGO BÊN TRÁI</v>
          </cell>
          <cell r="D1248" t="str">
            <v>WAISTCOAT, MATERIAL: RED KAKI, EMBROIDER LOGO ON THE LEFT</v>
          </cell>
          <cell r="E1248">
            <v>0</v>
          </cell>
          <cell r="F1248" t="str">
            <v>Bỏ chọn</v>
          </cell>
          <cell r="G1248"/>
          <cell r="H1248"/>
        </row>
        <row r="1249">
          <cell r="A1249" t="str">
            <v>V78.004.013</v>
          </cell>
          <cell r="B1249" t="str">
            <v>DRESS PANT, MATERIAL: RED KAKI</v>
          </cell>
          <cell r="C1249" t="str">
            <v>VÁY QUẦN, CHẤT LIỆU: KAKI THUN MÀU ĐỎ</v>
          </cell>
          <cell r="D1249" t="str">
            <v>DRESS PANT, MATERIAL: RED KAKI</v>
          </cell>
          <cell r="E1249">
            <v>0</v>
          </cell>
          <cell r="F1249" t="str">
            <v>Bỏ chọn</v>
          </cell>
          <cell r="G1249"/>
          <cell r="H1249"/>
        </row>
        <row r="1250">
          <cell r="A1250" t="str">
            <v>V78.005.001</v>
          </cell>
          <cell r="B1250" t="str">
            <v>TROUSERS FOR PG</v>
          </cell>
          <cell r="C1250" t="str">
            <v>QUẦN ĐỒNG PHỤC CHO PG</v>
          </cell>
          <cell r="D1250" t="str">
            <v>TROUSERS FOR PG</v>
          </cell>
          <cell r="E1250">
            <v>0</v>
          </cell>
          <cell r="F1250" t="str">
            <v>Bỏ chọn</v>
          </cell>
          <cell r="G1250"/>
          <cell r="H1250"/>
        </row>
        <row r="1251">
          <cell r="A1251" t="str">
            <v>V51.154.002</v>
          </cell>
          <cell r="B1251" t="str">
            <v>BAG - BLACK COLOR WITH CLV LOGO</v>
          </cell>
          <cell r="C1251" t="str">
            <v>CẶP XÁCH MÀU ĐEN LOGO CLV</v>
          </cell>
          <cell r="D1251" t="str">
            <v>BAG - BLACK COLOR WITH CLV LOGO</v>
          </cell>
          <cell r="E1251">
            <v>0</v>
          </cell>
          <cell r="F1251" t="str">
            <v>Bỏ chọn</v>
          </cell>
          <cell r="G1251"/>
          <cell r="H1251"/>
        </row>
        <row r="1252">
          <cell r="A1252" t="str">
            <v>7.9240123021001RT</v>
          </cell>
          <cell r="B1252" t="str">
            <v>HANG VIET SOY SAUCE 495ML X 24 BOT</v>
          </cell>
          <cell r="C1252" t="str">
            <v>NƯỚC TƯƠNG HÀNG VIỆT 495ML</v>
          </cell>
          <cell r="D1252" t="str">
            <v>HANG VIET SOY SAUCE 495ML X 24 BOT</v>
          </cell>
          <cell r="E1252">
            <v>12.8</v>
          </cell>
          <cell r="F1252" t="str">
            <v>Bỏ chọn</v>
          </cell>
          <cell r="G1252"/>
          <cell r="H1252"/>
        </row>
        <row r="1253">
          <cell r="A1253" t="str">
            <v>7.9240223991123RT</v>
          </cell>
          <cell r="B1253" t="str">
            <v>HOT CHILLI SAUCE 275G X 24 BOT</v>
          </cell>
          <cell r="C1253" t="str">
            <v>TƯƠNG ỚT ĐẶC BIỆT CAY 275G</v>
          </cell>
          <cell r="D1253" t="str">
            <v>HOT CHILLI SAUCE 275G X 24 BOT</v>
          </cell>
          <cell r="E1253">
            <v>6.6</v>
          </cell>
          <cell r="F1253" t="str">
            <v>Bỏ chọn</v>
          </cell>
          <cell r="G1253"/>
          <cell r="H1253"/>
        </row>
        <row r="1254">
          <cell r="A1254" t="str">
            <v>7.9240223991101RT</v>
          </cell>
          <cell r="B1254" t="str">
            <v>CHILI SAUCE 275G X 24 BOT</v>
          </cell>
          <cell r="C1254" t="str">
            <v>TƯƠNG ỚT 275G</v>
          </cell>
          <cell r="D1254" t="str">
            <v>CHILI SAUCE 275G X 24 BOT</v>
          </cell>
          <cell r="E1254">
            <v>6.6</v>
          </cell>
          <cell r="F1254" t="str">
            <v>Bỏ chọn</v>
          </cell>
          <cell r="G1254"/>
          <cell r="H1254"/>
        </row>
        <row r="1255">
          <cell r="A1255" t="str">
            <v>7.92423991201RT</v>
          </cell>
          <cell r="B1255" t="str">
            <v>SALAD DRESSING 340G X 30 BOT</v>
          </cell>
          <cell r="C1255" t="str">
            <v>SỐT DẦU DẤM 340G</v>
          </cell>
          <cell r="D1255" t="str">
            <v>SALAD DRESSING 340G X 30 BOT</v>
          </cell>
          <cell r="E1255">
            <v>10.199999999999999</v>
          </cell>
          <cell r="F1255" t="str">
            <v>Bỏ chọn</v>
          </cell>
          <cell r="G1255"/>
          <cell r="H1255"/>
        </row>
        <row r="1256">
          <cell r="A1256" t="str">
            <v>7.9240123031301RT</v>
          </cell>
          <cell r="B1256" t="str">
            <v>PREMIUM SOYA SOUCE 200ML X 24 BOT</v>
          </cell>
          <cell r="C1256" t="str">
            <v>NƯỚC TƯƠNG THƯỢNG HẠNG 200ML</v>
          </cell>
          <cell r="D1256" t="str">
            <v>PREMIUM SOYA SOUCE 200ML X 24 BOT</v>
          </cell>
          <cell r="E1256">
            <v>5.5</v>
          </cell>
          <cell r="F1256" t="str">
            <v>Bỏ chọn</v>
          </cell>
          <cell r="G1256"/>
          <cell r="H1256"/>
        </row>
        <row r="1257">
          <cell r="A1257" t="str">
            <v>7.9240123041401RT</v>
          </cell>
          <cell r="B1257" t="str">
            <v>HUONG NAM DIPPING SAUCE 450ML X 20 BOT</v>
          </cell>
          <cell r="C1257" t="str">
            <v>NƯỚC CHẤM HƯƠNG NẤM 450ML</v>
          </cell>
          <cell r="D1257" t="str">
            <v>HUONG NAM DIPPING SAUCE 450ML X 20 BOT</v>
          </cell>
          <cell r="E1257">
            <v>9</v>
          </cell>
          <cell r="F1257" t="str">
            <v>Bỏ chọn</v>
          </cell>
          <cell r="G1257"/>
          <cell r="H1257"/>
        </row>
        <row r="1258">
          <cell r="A1258" t="str">
            <v>7.924012302100101RT</v>
          </cell>
          <cell r="B1258" t="str">
            <v>HANG VIET SOY SAUCE 495ML</v>
          </cell>
          <cell r="C1258" t="str">
            <v>NƯỚC TƯƠNG HÀNG VIỆT 495ML</v>
          </cell>
          <cell r="D1258" t="str">
            <v>HANG VIET SOY SAUCE 495ML</v>
          </cell>
          <cell r="E1258">
            <v>0.53300000000000003</v>
          </cell>
          <cell r="F1258" t="str">
            <v>Bỏ chọn</v>
          </cell>
          <cell r="G1258"/>
          <cell r="H1258"/>
        </row>
        <row r="1259">
          <cell r="A1259" t="str">
            <v>7.924022399112301RT</v>
          </cell>
          <cell r="B1259" t="str">
            <v>HOT CHILLI SAUCE 275G</v>
          </cell>
          <cell r="C1259" t="str">
            <v>TƯƠNG ỚT ĐẶC BIỆT CAY 275G</v>
          </cell>
          <cell r="D1259" t="str">
            <v>HOT CHILLI SAUCE 275G</v>
          </cell>
          <cell r="E1259">
            <v>0.27500000000000002</v>
          </cell>
          <cell r="F1259" t="str">
            <v>Bỏ chọn</v>
          </cell>
          <cell r="G1259"/>
          <cell r="H1259"/>
        </row>
        <row r="1260">
          <cell r="A1260" t="str">
            <v>7.924022399110101RT</v>
          </cell>
          <cell r="B1260" t="str">
            <v>CHILI SAUCE 275G</v>
          </cell>
          <cell r="C1260" t="str">
            <v>TƯƠNG ỚT 275G</v>
          </cell>
          <cell r="D1260" t="str">
            <v>CHILI SAUCE 275G</v>
          </cell>
          <cell r="E1260">
            <v>0.27500000000000002</v>
          </cell>
          <cell r="F1260" t="str">
            <v>Bỏ chọn</v>
          </cell>
          <cell r="G1260"/>
          <cell r="H1260"/>
        </row>
        <row r="1261">
          <cell r="A1261" t="str">
            <v>7.9242399120101RT</v>
          </cell>
          <cell r="B1261" t="str">
            <v>SALAD DRESSING 340G</v>
          </cell>
          <cell r="C1261" t="str">
            <v>SỐT DẦU DẤM 340G</v>
          </cell>
          <cell r="D1261" t="str">
            <v>SALAD DRESSING 340G</v>
          </cell>
          <cell r="E1261">
            <v>0.34</v>
          </cell>
          <cell r="F1261" t="str">
            <v>Bỏ chọn</v>
          </cell>
          <cell r="G1261"/>
          <cell r="H1261"/>
        </row>
        <row r="1262">
          <cell r="A1262" t="str">
            <v>7.924012303130101RT</v>
          </cell>
          <cell r="B1262" t="str">
            <v>PREMIUM SOYA SOUCE 200ML</v>
          </cell>
          <cell r="C1262" t="str">
            <v>NƯỚC TƯƠNG THƯỢNG HẠNG 200ML</v>
          </cell>
          <cell r="D1262" t="str">
            <v>PREMIUM SOYA SOUCE 200ML</v>
          </cell>
          <cell r="E1262">
            <v>0.23</v>
          </cell>
          <cell r="F1262" t="str">
            <v>Bỏ chọn</v>
          </cell>
          <cell r="G1262"/>
          <cell r="H1262"/>
        </row>
        <row r="1263">
          <cell r="A1263" t="str">
            <v>7.924012304140101RT</v>
          </cell>
          <cell r="B1263" t="str">
            <v>HUONG NAM DIPPING SAUCE 450ML</v>
          </cell>
          <cell r="C1263" t="str">
            <v>NƯỚC CHẤM HƯƠNG NẤM 450ML</v>
          </cell>
          <cell r="D1263" t="str">
            <v>HUONG NAM DIPPING SAUCE 450ML</v>
          </cell>
          <cell r="E1263">
            <v>0.45</v>
          </cell>
          <cell r="F1263" t="str">
            <v>Bỏ chọn</v>
          </cell>
          <cell r="G1263"/>
          <cell r="H1263"/>
        </row>
        <row r="1264">
          <cell r="A1264" t="str">
            <v>7.9240223122101RT</v>
          </cell>
          <cell r="B1264" t="str">
            <v>CHILLI SAUCES HORECA 5,2KG X 4 BOT</v>
          </cell>
          <cell r="C1264" t="str">
            <v>TƯƠNG ỚT HORECA 5,2KG</v>
          </cell>
          <cell r="D1264" t="str">
            <v>CHILLI SAUCES HORECA 5,2KG X 4 BOT</v>
          </cell>
          <cell r="E1264">
            <v>20.8</v>
          </cell>
          <cell r="F1264" t="str">
            <v>Bỏ chọn</v>
          </cell>
          <cell r="G1264"/>
          <cell r="H1264"/>
        </row>
        <row r="1265">
          <cell r="A1265" t="str">
            <v>7.924022312210101RT</v>
          </cell>
          <cell r="B1265" t="str">
            <v>CHILLI SAUCES HORECA 5,2KG</v>
          </cell>
          <cell r="C1265" t="str">
            <v>TƯƠNG ỚT HORECA 5,2KG</v>
          </cell>
          <cell r="D1265" t="str">
            <v>CHILLI SAUCES HORECA 5,2KG</v>
          </cell>
          <cell r="E1265">
            <v>5.2</v>
          </cell>
          <cell r="F1265" t="str">
            <v>Bỏ chọn</v>
          </cell>
          <cell r="G1265"/>
          <cell r="H1265"/>
        </row>
        <row r="1266">
          <cell r="A1266" t="str">
            <v>7.9240223991901RT</v>
          </cell>
          <cell r="B1266" t="str">
            <v>PREMIUM CHILI SAUCE 295GR X 20 BOT</v>
          </cell>
          <cell r="C1266" t="str">
            <v>TƯƠNG ỚT CAO CẤP 295G</v>
          </cell>
          <cell r="D1266" t="str">
            <v>PREMIUM CHILI SAUCE 295GR X 20 BOT</v>
          </cell>
          <cell r="E1266">
            <v>5.9</v>
          </cell>
          <cell r="F1266" t="str">
            <v>Bỏ chọn</v>
          </cell>
          <cell r="G1266"/>
          <cell r="H1266"/>
        </row>
        <row r="1267">
          <cell r="A1267" t="str">
            <v>7.924022399190101RT</v>
          </cell>
          <cell r="B1267" t="str">
            <v>PREMIUM CHILI SAUCE 295GR</v>
          </cell>
          <cell r="C1267" t="str">
            <v>TƯƠNG ỚT CAO CẤP 295G</v>
          </cell>
          <cell r="D1267" t="str">
            <v>PREMIUM CHILI SAUCE 295GR</v>
          </cell>
          <cell r="E1267">
            <v>0.29499999999999998</v>
          </cell>
          <cell r="F1267" t="str">
            <v>Bỏ chọn</v>
          </cell>
          <cell r="G1267"/>
          <cell r="H1267"/>
        </row>
        <row r="1268">
          <cell r="A1268" t="str">
            <v>7.9240223122001RT</v>
          </cell>
          <cell r="B1268" t="str">
            <v>HORECA CHILI SAUCE 2.1KG X 6 BOT</v>
          </cell>
          <cell r="C1268" t="str">
            <v>TƯƠNG ỚT HORECA 2,1KG</v>
          </cell>
          <cell r="D1268" t="str">
            <v>HORECA CHILI SAUCE 2.1KG X 6 BOT</v>
          </cell>
          <cell r="E1268">
            <v>12.6</v>
          </cell>
          <cell r="F1268" t="str">
            <v>Bỏ chọn</v>
          </cell>
          <cell r="G1268"/>
          <cell r="H1268"/>
        </row>
        <row r="1269">
          <cell r="A1269" t="str">
            <v>7.924022312200101RT</v>
          </cell>
          <cell r="B1269" t="str">
            <v>HORECA CHILI SAUCE 2.1KG</v>
          </cell>
          <cell r="C1269" t="str">
            <v>TƯƠNG ỚT HORECA 2,1KG</v>
          </cell>
          <cell r="D1269" t="str">
            <v>HORECA CHILI SAUCE 2.1KG</v>
          </cell>
          <cell r="E1269">
            <v>2.1</v>
          </cell>
          <cell r="F1269" t="str">
            <v>Bỏ chọn</v>
          </cell>
          <cell r="G1269"/>
          <cell r="H1269"/>
        </row>
        <row r="1270">
          <cell r="A1270" t="str">
            <v>7.9240223991638RT</v>
          </cell>
          <cell r="B1270" t="str">
            <v>CHILLI SAUCE SWEET AND SOUR 265GR X 30 BOT</v>
          </cell>
          <cell r="C1270" t="str">
            <v>TƯƠNG ỚT CHUA NGỌT 265G</v>
          </cell>
          <cell r="D1270" t="str">
            <v>CHILLI SAUCE SWEET AND SOUR 265GR X 30 BOT</v>
          </cell>
          <cell r="E1270">
            <v>8</v>
          </cell>
          <cell r="F1270" t="str">
            <v>Bỏ chọn</v>
          </cell>
          <cell r="G1270"/>
          <cell r="H1270"/>
        </row>
        <row r="1271">
          <cell r="A1271" t="str">
            <v>7.924022399163801RT</v>
          </cell>
          <cell r="B1271" t="str">
            <v>CHILLI SAUCE SWEET AND SOUR 265GR</v>
          </cell>
          <cell r="C1271" t="str">
            <v>TƯƠNG ỚT CHUA NGỌT 265G</v>
          </cell>
          <cell r="D1271" t="str">
            <v>CHILLI SAUCE SWEET AND SOUR 265GR</v>
          </cell>
          <cell r="E1271">
            <v>0.26500000000000001</v>
          </cell>
          <cell r="F1271" t="str">
            <v>Bỏ chọn</v>
          </cell>
          <cell r="G1271"/>
          <cell r="H1271"/>
        </row>
        <row r="1272">
          <cell r="A1272" t="str">
            <v>7.9240323991201RT</v>
          </cell>
          <cell r="B1272" t="str">
            <v>OYSTER SAUCE 340GR X 30 BOT</v>
          </cell>
          <cell r="C1272" t="str">
            <v>DẦU HÀO 340G</v>
          </cell>
          <cell r="D1272" t="str">
            <v>OYSTER SAUCE 340GR X 30 BOT</v>
          </cell>
          <cell r="E1272">
            <v>10.199999999999999</v>
          </cell>
          <cell r="F1272" t="str">
            <v>Bỏ chọn</v>
          </cell>
          <cell r="G1272"/>
          <cell r="H1272"/>
        </row>
        <row r="1273">
          <cell r="A1273" t="str">
            <v>7.924032399120101RT</v>
          </cell>
          <cell r="B1273" t="str">
            <v>OYSTER SAUCE 340GR</v>
          </cell>
          <cell r="C1273" t="str">
            <v>DẦU HÀO 340G</v>
          </cell>
          <cell r="D1273" t="str">
            <v>OYSTER SAUCE 340GR</v>
          </cell>
          <cell r="E1273">
            <v>0.34</v>
          </cell>
          <cell r="F1273" t="str">
            <v>Bỏ chọn</v>
          </cell>
          <cell r="G1273"/>
          <cell r="H1273"/>
        </row>
        <row r="1274">
          <cell r="A1274" t="str">
            <v>7.9240523991501RT</v>
          </cell>
          <cell r="B1274" t="str">
            <v>SATAY CHILLI 90GR X 60 BOT</v>
          </cell>
          <cell r="C1274" t="str">
            <v>SA TẾ ỚT 90G</v>
          </cell>
          <cell r="D1274" t="str">
            <v>SATAY CHILLI 90GR X 60 BOT</v>
          </cell>
          <cell r="E1274">
            <v>5.4</v>
          </cell>
          <cell r="F1274" t="str">
            <v>Bỏ chọn</v>
          </cell>
          <cell r="G1274"/>
          <cell r="H1274"/>
        </row>
        <row r="1275">
          <cell r="A1275" t="str">
            <v>7.924052399150101RT</v>
          </cell>
          <cell r="B1275" t="str">
            <v xml:space="preserve">SATAY CHILLI 90GR </v>
          </cell>
          <cell r="C1275" t="str">
            <v>SA TẾ ỚT 90G</v>
          </cell>
          <cell r="D1275" t="str">
            <v xml:space="preserve">SATAY CHILLI 90GR </v>
          </cell>
          <cell r="E1275">
            <v>0.09</v>
          </cell>
          <cell r="F1275" t="str">
            <v>Bỏ chọn</v>
          </cell>
          <cell r="G1275"/>
          <cell r="H1275"/>
        </row>
        <row r="1276">
          <cell r="A1276" t="str">
            <v>7.9240223991637RT</v>
          </cell>
          <cell r="B1276" t="str">
            <v>PLUM CHILLI SAUCE 265GR X 30 BOT</v>
          </cell>
          <cell r="C1276" t="str">
            <v>TƯƠNG ỚT XÍ MUỘI 265G</v>
          </cell>
          <cell r="D1276" t="str">
            <v>PLUM CHILLI SAUCE 265GR X 30 BOT</v>
          </cell>
          <cell r="E1276">
            <v>8</v>
          </cell>
          <cell r="F1276" t="str">
            <v>Bỏ chọn</v>
          </cell>
          <cell r="G1276"/>
          <cell r="H1276"/>
        </row>
        <row r="1277">
          <cell r="A1277" t="str">
            <v>7.924022399163701RT</v>
          </cell>
          <cell r="B1277" t="str">
            <v>CHILI PLUM SAUCE 265GR</v>
          </cell>
          <cell r="C1277" t="str">
            <v>TƯƠNG ỚT XÍ MUỘI 265G</v>
          </cell>
          <cell r="D1277" t="str">
            <v>CHILI PLUM SAUCE 265GR</v>
          </cell>
          <cell r="E1277">
            <v>0.26500000000000001</v>
          </cell>
          <cell r="F1277" t="str">
            <v>Bỏ chọn</v>
          </cell>
          <cell r="G1277"/>
          <cell r="H1277"/>
        </row>
        <row r="1278">
          <cell r="A1278" t="str">
            <v>7.9240223111801RT</v>
          </cell>
          <cell r="B1278" t="str">
            <v>CHILI SAUCE 250GR X 30 BOT</v>
          </cell>
          <cell r="C1278" t="str">
            <v>TƯƠNG ỚT CHILI 250G</v>
          </cell>
          <cell r="D1278" t="str">
            <v>CHILI SAUCE 250GR X 30 BOT</v>
          </cell>
          <cell r="E1278">
            <v>7.5</v>
          </cell>
          <cell r="F1278" t="str">
            <v>Bỏ chọn</v>
          </cell>
          <cell r="G1278"/>
          <cell r="H1278"/>
        </row>
        <row r="1279">
          <cell r="A1279" t="str">
            <v>7.924022311180101RT</v>
          </cell>
          <cell r="B1279" t="str">
            <v>CHILI SAUCE 250GR</v>
          </cell>
          <cell r="C1279" t="str">
            <v>TƯƠNG ỚT CHILI 250G</v>
          </cell>
          <cell r="D1279" t="str">
            <v>CHILI SAUCE 250GR</v>
          </cell>
          <cell r="E1279">
            <v>0.25</v>
          </cell>
          <cell r="F1279" t="str">
            <v>Bỏ chọn</v>
          </cell>
          <cell r="G1279"/>
          <cell r="H1279"/>
        </row>
        <row r="1280">
          <cell r="A1280" t="str">
            <v>6.5239941990620</v>
          </cell>
          <cell r="B1280" t="str">
            <v>AP-40-MB</v>
          </cell>
          <cell r="C1280" t="str">
            <v>BỘT MÌ CHĂN NUÔI AP (40KG)</v>
          </cell>
          <cell r="D1280" t="str">
            <v>AP-40-MB</v>
          </cell>
          <cell r="E1280">
            <v>1</v>
          </cell>
          <cell r="F1280" t="str">
            <v>Bỏ chọn</v>
          </cell>
          <cell r="G1280"/>
          <cell r="H1280"/>
        </row>
        <row r="1281">
          <cell r="A1281" t="str">
            <v>V39.015.214</v>
          </cell>
          <cell r="B1281" t="str">
            <v>KIDDY GLASS BOWL LG224</v>
          </cell>
          <cell r="C1281" t="str">
            <v>CHÉN THỦY TINH LG224 HIỆU KIDDY</v>
          </cell>
          <cell r="D1281" t="str">
            <v>KIDDY GLASS BOWL LG224</v>
          </cell>
          <cell r="E1281">
            <v>0</v>
          </cell>
          <cell r="F1281" t="str">
            <v>Bỏ chọn</v>
          </cell>
          <cell r="G1281"/>
          <cell r="H1281"/>
        </row>
        <row r="1282">
          <cell r="A1282" t="str">
            <v>V39.013.201</v>
          </cell>
          <cell r="B1282" t="str">
            <v>NEPTUNE CAP</v>
          </cell>
          <cell r="C1282" t="str">
            <v>NÓN NEPTUNE</v>
          </cell>
          <cell r="D1282" t="str">
            <v>NEPTUNE CAP</v>
          </cell>
          <cell r="E1282">
            <v>0</v>
          </cell>
          <cell r="F1282" t="str">
            <v>Bỏ chọn</v>
          </cell>
          <cell r="G1282"/>
          <cell r="H1282"/>
        </row>
        <row r="1283">
          <cell r="A1283" t="str">
            <v>V39.015.104</v>
          </cell>
          <cell r="B1283" t="str">
            <v>SOUP SPOON</v>
          </cell>
          <cell r="C1283" t="str">
            <v>VÁ MÚC CANH</v>
          </cell>
          <cell r="D1283" t="str">
            <v>SOUP SPOON</v>
          </cell>
          <cell r="E1283">
            <v>0</v>
          </cell>
          <cell r="F1283" t="str">
            <v>Bỏ chọn</v>
          </cell>
          <cell r="G1283"/>
          <cell r="H1283"/>
        </row>
        <row r="1284">
          <cell r="A1284" t="str">
            <v>V39.015.209</v>
          </cell>
          <cell r="B1284" t="str">
            <v>MINH LONG DAISY DISC 18CM</v>
          </cell>
          <cell r="C1284" t="str">
            <v>ĐĨA SỨ MINH LONG DAISY 18CM</v>
          </cell>
          <cell r="D1284" t="str">
            <v>MINH LONG DAISY DISC 18CM</v>
          </cell>
          <cell r="E1284">
            <v>0</v>
          </cell>
          <cell r="F1284" t="str">
            <v>Bỏ chọn</v>
          </cell>
          <cell r="G1284"/>
          <cell r="H1284"/>
        </row>
        <row r="1285">
          <cell r="A1285" t="str">
            <v>7.1060120206608010</v>
          </cell>
          <cell r="B1285" t="str">
            <v>MEIZAN WILSHORT PLIN-3438 IN PEBAG@20KG</v>
          </cell>
          <cell r="C1285" t="str">
            <v>WILSHORT PLIN 3438 NHÃN HIỆU MEIZAN TRONG THÙNG CARTON 20KG</v>
          </cell>
          <cell r="D1285" t="str">
            <v>MEIZAN WILSHORT PLIN-3438 IN PEBAG@20KG</v>
          </cell>
          <cell r="E1285">
            <v>20</v>
          </cell>
          <cell r="F1285" t="str">
            <v>Bỏ chọn</v>
          </cell>
          <cell r="G1285"/>
          <cell r="H1285"/>
        </row>
        <row r="1286">
          <cell r="A1286" t="str">
            <v>7.5239907990586</v>
          </cell>
          <cell r="B1286" t="str">
            <v>GREEN KEY-25-PHAM NGUYEN 2</v>
          </cell>
          <cell r="C1286" t="str">
            <v>BỘT MÌ NHÃN HIỆU "CHÌA KHÓA XANH LÁ" (25KG)</v>
          </cell>
          <cell r="D1286" t="str">
            <v>GREEN KEY-25-PHAM NGUYEN 2</v>
          </cell>
          <cell r="E1286">
            <v>1</v>
          </cell>
          <cell r="F1286" t="str">
            <v>Bỏ chọn</v>
          </cell>
          <cell r="G1286"/>
          <cell r="H1286"/>
        </row>
        <row r="1287">
          <cell r="A1287" t="str">
            <v>7.5239904990590</v>
          </cell>
          <cell r="B1287" t="str">
            <v>BROWN COMPASS-25-VIET LONG</v>
          </cell>
          <cell r="C1287" t="str">
            <v>BỘT MÌ NHÃN HIỆU "LA BÀN NÂU" (25KG)</v>
          </cell>
          <cell r="D1287" t="str">
            <v>BROWN COMPASS-25-VIET LONG</v>
          </cell>
          <cell r="E1287">
            <v>1</v>
          </cell>
          <cell r="F1287" t="str">
            <v>Bỏ chọn</v>
          </cell>
          <cell r="G1287"/>
          <cell r="H1287"/>
        </row>
        <row r="1288">
          <cell r="A1288" t="str">
            <v>6.1211069</v>
          </cell>
          <cell r="B1288" t="str">
            <v>PALM OIL CERTIFIED RSPO-MB</v>
          </cell>
          <cell r="C1288" t="str">
            <v>DẦU CỌ TINH LUYỆN TRONG XE BỒN (RSPO/MB)</v>
          </cell>
          <cell r="D1288" t="str">
            <v>PALM OIL CERTIFIED RSPO-MB</v>
          </cell>
          <cell r="E1288">
            <v>1</v>
          </cell>
          <cell r="F1288" t="str">
            <v>Chọn</v>
          </cell>
          <cell r="G1288"/>
          <cell r="H1288"/>
        </row>
        <row r="1289">
          <cell r="A1289" t="str">
            <v>7.70523</v>
          </cell>
          <cell r="B1289" t="str">
            <v>WILFARIN SA1807 LAMINATED PAPERBAG @25KG</v>
          </cell>
          <cell r="C1289" t="str">
            <v>AXIT STEARIC - WILFARIN SA1807; BAO 25KG</v>
          </cell>
          <cell r="D1289" t="str">
            <v>WILFARIN™ SA1807</v>
          </cell>
          <cell r="E1289">
            <v>1</v>
          </cell>
          <cell r="F1289" t="str">
            <v>Bỏ chọn</v>
          </cell>
          <cell r="G1289"/>
          <cell r="H1289"/>
        </row>
        <row r="1290">
          <cell r="A1290" t="str">
            <v>7.A330208993301TD</v>
          </cell>
          <cell r="B1290" t="str">
            <v>MEIZAN PREMIUM MACARONI 400G X 6 BAG</v>
          </cell>
          <cell r="C1290" t="str">
            <v>NUI CAO CẤP MEIZAN 400G</v>
          </cell>
          <cell r="D1290" t="str">
            <v>MEIZAN PREMIUM MACARONI 400G X 6 BAG</v>
          </cell>
          <cell r="E1290">
            <v>2.4</v>
          </cell>
          <cell r="F1290" t="str">
            <v>Bỏ chọn</v>
          </cell>
          <cell r="G1290"/>
          <cell r="H1290"/>
        </row>
        <row r="1291">
          <cell r="A1291" t="str">
            <v>7.A33020899330101TD</v>
          </cell>
          <cell r="B1291" t="str">
            <v>MEIZAN PREMIUM MACARONI 400G</v>
          </cell>
          <cell r="C1291" t="str">
            <v>NUI CAO CẤP MEIZAN 400G</v>
          </cell>
          <cell r="D1291" t="str">
            <v>MEIZAN PREMIUM MACARONI 400G</v>
          </cell>
          <cell r="E1291">
            <v>0.4</v>
          </cell>
          <cell r="F1291" t="str">
            <v>Bỏ chọn</v>
          </cell>
          <cell r="G1291"/>
          <cell r="H1291"/>
        </row>
        <row r="1292">
          <cell r="A1292" t="str">
            <v>7.A320108990101TD</v>
          </cell>
          <cell r="B1292" t="str">
            <v>MEIZAN PREMIUM EGG NOODLE 500G X 6 BAG</v>
          </cell>
          <cell r="C1292" t="str">
            <v>MÌ TRỨNG CAO CẤP MEIZAN 500G</v>
          </cell>
          <cell r="D1292" t="str">
            <v>MEIZAN PREMIUM EGG NOODLE 500G X 6 BAG</v>
          </cell>
          <cell r="E1292">
            <v>3</v>
          </cell>
          <cell r="F1292" t="str">
            <v>Bỏ chọn</v>
          </cell>
          <cell r="G1292"/>
          <cell r="H1292"/>
        </row>
        <row r="1293">
          <cell r="A1293" t="str">
            <v>7.A32010899010101TD</v>
          </cell>
          <cell r="B1293" t="str">
            <v>MEIZAN PREMIUM EGG NOODLE 500G</v>
          </cell>
          <cell r="C1293" t="str">
            <v>MÌ TRỨNG CAO CẤP MEIZAN 500G</v>
          </cell>
          <cell r="D1293" t="str">
            <v>MEIZAN PREMIUM EGG NOODLE 500G</v>
          </cell>
          <cell r="E1293">
            <v>0.5</v>
          </cell>
          <cell r="F1293" t="str">
            <v>Bỏ chọn</v>
          </cell>
          <cell r="G1293"/>
          <cell r="H1293"/>
        </row>
        <row r="1294">
          <cell r="A1294" t="str">
            <v>7.A319908993301TD</v>
          </cell>
          <cell r="B1294" t="str">
            <v>VIETNAMESE PANCAKE MIX 400G X 6 BAG</v>
          </cell>
          <cell r="C1294" t="str">
            <v>BỘT BÁNH XÈO MEIZAN 400G</v>
          </cell>
          <cell r="D1294" t="str">
            <v>VIETNAMESE PANCAKE MIX 400G X 6 BAG</v>
          </cell>
          <cell r="E1294">
            <v>2.4</v>
          </cell>
          <cell r="F1294" t="str">
            <v>Bỏ chọn</v>
          </cell>
          <cell r="G1294"/>
          <cell r="H1294"/>
        </row>
        <row r="1295">
          <cell r="A1295" t="str">
            <v>7.A31990899330101TD</v>
          </cell>
          <cell r="B1295" t="str">
            <v>VIETNAMESE PANCAKE MIX 400G</v>
          </cell>
          <cell r="C1295" t="str">
            <v>BỘT BÁNH XÈO MEIZAN 400G</v>
          </cell>
          <cell r="D1295" t="str">
            <v>VIETNAMESE PANCAKE MIX 400G</v>
          </cell>
          <cell r="E1295">
            <v>0.4</v>
          </cell>
          <cell r="F1295" t="str">
            <v>Bỏ chọn</v>
          </cell>
          <cell r="G1295"/>
          <cell r="H1295"/>
        </row>
        <row r="1296">
          <cell r="A1296" t="str">
            <v>7.1060120222308010</v>
          </cell>
          <cell r="B1296" t="str">
            <v>MEIZAN SHORTENING42 RED LABEL PEBAG@20KG CAR</v>
          </cell>
          <cell r="C1296" t="str">
            <v>SHORTENING 42 NHÃN HIỆU MEIZAN (NHÃN MÀU ĐỎ) TRONG THÙNG 20KG</v>
          </cell>
          <cell r="D1296" t="str">
            <v>MEIZAN SHORTENING42 RED LABEL PEBAG@20KG</v>
          </cell>
          <cell r="E1296">
            <v>20</v>
          </cell>
          <cell r="F1296" t="str">
            <v>Chọn</v>
          </cell>
          <cell r="G1296"/>
          <cell r="H1296"/>
        </row>
        <row r="1297">
          <cell r="A1297" t="str">
            <v>7.5239904990636</v>
          </cell>
          <cell r="B1297" t="str">
            <v>BROWN COMPASS-40-MASAN-HD</v>
          </cell>
          <cell r="C1297" t="str">
            <v>BỘT MÌ NHÃN HIỆU "LA BÀN NÂU" (40KG)</v>
          </cell>
          <cell r="D1297" t="str">
            <v>BROWN COMPASS-40-MASAN-HD</v>
          </cell>
          <cell r="E1297">
            <v>1</v>
          </cell>
          <cell r="F1297" t="str">
            <v>Bỏ chọn</v>
          </cell>
          <cell r="G1297"/>
          <cell r="H1297"/>
        </row>
        <row r="1298">
          <cell r="A1298" t="str">
            <v>6.5239907990512</v>
          </cell>
          <cell r="B1298" t="str">
            <v>GREEN KEY-25-LAO</v>
          </cell>
          <cell r="C1298" t="str">
            <v>BỘT MÌ CAO CẤP "CHÌA KHÓA XANH LÁ" (25KG)</v>
          </cell>
          <cell r="D1298" t="str">
            <v>GREEN KEY-25-LAO</v>
          </cell>
          <cell r="E1298">
            <v>1</v>
          </cell>
          <cell r="F1298" t="str">
            <v>Bỏ chọn</v>
          </cell>
          <cell r="G1298"/>
          <cell r="H1298"/>
        </row>
        <row r="1299">
          <cell r="A1299" t="str">
            <v>V39.015.076</v>
          </cell>
          <cell r="B1299" t="str">
            <v>NEPTUNE APRON - LOVE IS SHARING</v>
          </cell>
          <cell r="C1299" t="str">
            <v>TẠP DỀ NEPTUNE - HIỂU ĐỂ YÊU THƯƠNG</v>
          </cell>
          <cell r="D1299" t="str">
            <v>NEPTUNE APRON - LOVE IS SHARING</v>
          </cell>
          <cell r="E1299">
            <v>0</v>
          </cell>
          <cell r="F1299" t="str">
            <v>Bỏ chọn</v>
          </cell>
          <cell r="G1299"/>
          <cell r="H1299"/>
        </row>
        <row r="1300">
          <cell r="A1300" t="str">
            <v>V39.015.075</v>
          </cell>
          <cell r="B1300" t="str">
            <v>NEPTUNE PATTERNED APRON</v>
          </cell>
          <cell r="C1300" t="str">
            <v>TẠP DỀ CÓ HỌA TIẾT NEPTUNE</v>
          </cell>
          <cell r="D1300" t="str">
            <v>NEPTUNE PATTERNED APRON</v>
          </cell>
          <cell r="E1300">
            <v>0</v>
          </cell>
          <cell r="F1300" t="str">
            <v>Bỏ chọn</v>
          </cell>
          <cell r="G1300"/>
          <cell r="H1300"/>
        </row>
        <row r="1301">
          <cell r="A1301" t="str">
            <v>V51.600.055</v>
          </cell>
          <cell r="B1301" t="str">
            <v>NEPTUNE GOLD BANNER 3.0M*1.2M</v>
          </cell>
          <cell r="C1301" t="str">
            <v>BĂNG RÔN NEPTUNE GOLD 3,0M*1,2M</v>
          </cell>
          <cell r="D1301" t="str">
            <v>NEPTUNE GOLD BANNER 3.0M*1.2M</v>
          </cell>
          <cell r="E1301">
            <v>0</v>
          </cell>
          <cell r="F1301" t="str">
            <v>Bỏ chọn</v>
          </cell>
          <cell r="G1301"/>
          <cell r="H1301"/>
        </row>
        <row r="1302">
          <cell r="A1302" t="str">
            <v>V51.600.058</v>
          </cell>
          <cell r="B1302" t="str">
            <v>NEPTUNE GOLD BANNER 4.0M*1.2M</v>
          </cell>
          <cell r="C1302" t="str">
            <v>BĂNG RÔN NEPTUNE GOLD 4.0M*1.2M</v>
          </cell>
          <cell r="D1302" t="str">
            <v>NEPTUNE GOLD BANNER 4.0M*1.2M</v>
          </cell>
          <cell r="E1302">
            <v>0</v>
          </cell>
          <cell r="F1302" t="str">
            <v>Bỏ chọn</v>
          </cell>
          <cell r="G1302"/>
          <cell r="H1302"/>
        </row>
        <row r="1303">
          <cell r="A1303" t="str">
            <v>V51.600.056</v>
          </cell>
          <cell r="B1303" t="str">
            <v>NEPTUNE GOLD BANNER 5.0*1.5M</v>
          </cell>
          <cell r="C1303" t="str">
            <v>BĂNG RÔN NEPTUNE GOLD 5,0M*1,5M</v>
          </cell>
          <cell r="D1303" t="str">
            <v>NEPTUNE GOLD BANNER 5.0*1.5M</v>
          </cell>
          <cell r="E1303">
            <v>0</v>
          </cell>
          <cell r="F1303" t="str">
            <v>Bỏ chọn</v>
          </cell>
          <cell r="G1303"/>
          <cell r="H1303"/>
        </row>
        <row r="1304">
          <cell r="A1304" t="str">
            <v>V51.600.057</v>
          </cell>
          <cell r="B1304" t="str">
            <v>NEPTUNE GOLD BANNER 6.0M*1.5M</v>
          </cell>
          <cell r="C1304" t="str">
            <v>BĂNG RÔN NEPTUNE GOLD 6,0M*1,5M</v>
          </cell>
          <cell r="D1304" t="str">
            <v>NEPTUNE GOLD BANNER 6.0M*1.5M</v>
          </cell>
          <cell r="E1304">
            <v>0</v>
          </cell>
          <cell r="F1304" t="str">
            <v>Bỏ chọn</v>
          </cell>
          <cell r="G1304"/>
          <cell r="H1304"/>
        </row>
        <row r="1305">
          <cell r="A1305" t="str">
            <v>7.8340351233401</v>
          </cell>
          <cell r="B1305" t="str">
            <v xml:space="preserve">GOLDEN CROWN BUTTER OIL SUBSTITUTE </v>
          </cell>
          <cell r="C1305" t="str">
            <v>DẦU BƠ THAY THẾ NHÃN HIỆU GOLDEN CROWN 18KG</v>
          </cell>
          <cell r="D1305" t="str">
            <v xml:space="preserve">GOLDEN CROWN BUTTER OIL SUBSTITUTE </v>
          </cell>
          <cell r="E1305">
            <v>18</v>
          </cell>
          <cell r="F1305" t="str">
            <v>Bỏ chọn</v>
          </cell>
          <cell r="G1305"/>
          <cell r="H1305"/>
        </row>
        <row r="1306">
          <cell r="A1306" t="str">
            <v>7.A330208993201</v>
          </cell>
          <cell r="B1306" t="str">
            <v>MEIZAN PREMIUM MACARONI 200G X 12 BAG</v>
          </cell>
          <cell r="C1306" t="str">
            <v>NUI CAO CẤP MEIZAN 200G</v>
          </cell>
          <cell r="D1306" t="str">
            <v>MEIZAN PREMIUM MACARONI 200G X 12 BAG</v>
          </cell>
          <cell r="E1306">
            <v>2.4</v>
          </cell>
          <cell r="F1306" t="str">
            <v>Bỏ chọn</v>
          </cell>
          <cell r="G1306"/>
          <cell r="H1306"/>
        </row>
        <row r="1307">
          <cell r="A1307" t="str">
            <v>7.A33020899320101</v>
          </cell>
          <cell r="B1307" t="str">
            <v>MEIZAN PREMIUM MACARONI 200G</v>
          </cell>
          <cell r="C1307" t="str">
            <v>NUI CAO CẤP MEIZAN 200G</v>
          </cell>
          <cell r="D1307" t="str">
            <v>MEIZAN PREMIUM MACARONI 200G</v>
          </cell>
          <cell r="E1307">
            <v>0.2</v>
          </cell>
          <cell r="F1307" t="str">
            <v>Bỏ chọn</v>
          </cell>
          <cell r="G1307"/>
          <cell r="H1307"/>
        </row>
        <row r="1308">
          <cell r="A1308" t="str">
            <v>V78.301.020</v>
          </cell>
          <cell r="B1308" t="str">
            <v>GREEN SHIRT WITH GRAY LINES</v>
          </cell>
          <cell r="C1308" t="str">
            <v>ÁO PHÔNG XANH VIỀN XÁM</v>
          </cell>
          <cell r="D1308" t="str">
            <v>GREEN SHIRT WITH GRAY LINES</v>
          </cell>
          <cell r="E1308">
            <v>0</v>
          </cell>
          <cell r="F1308" t="str">
            <v>Bỏ chọn</v>
          </cell>
          <cell r="G1308"/>
          <cell r="H1308"/>
        </row>
        <row r="1309">
          <cell r="A1309" t="str">
            <v>V74.019.008</v>
          </cell>
          <cell r="B1309" t="str">
            <v>NOTEBOOK 3 IN 1</v>
          </cell>
          <cell r="C1309" t="str">
            <v>SỔ PIN 3 TRONG 1</v>
          </cell>
          <cell r="D1309" t="str">
            <v>NOTEBOOK 3 IN 1</v>
          </cell>
          <cell r="E1309">
            <v>0</v>
          </cell>
          <cell r="F1309" t="str">
            <v>Bỏ chọn</v>
          </cell>
          <cell r="G1309"/>
          <cell r="H1309"/>
        </row>
        <row r="1310">
          <cell r="A1310" t="str">
            <v>7.131056041700750</v>
          </cell>
          <cell r="B1310" t="str">
            <v>CO-MEIZAN G3 BTL @ 2L</v>
          </cell>
          <cell r="C1310" t="str">
            <v>DẦU ĂN HIỆU MEIZAN 2L</v>
          </cell>
          <cell r="D1310" t="str">
            <v>CO-MEIZAN G3 BTL @ 2L</v>
          </cell>
          <cell r="E1310">
            <v>1.82</v>
          </cell>
          <cell r="F1310" t="str">
            <v>Bỏ chọn</v>
          </cell>
          <cell r="G1310"/>
          <cell r="H1310"/>
        </row>
        <row r="1311">
          <cell r="A1311" t="str">
            <v>7.131057041700630</v>
          </cell>
          <cell r="B1311" t="str">
            <v>CO-MEIZAN G3 A BTL @2L</v>
          </cell>
          <cell r="C1311" t="str">
            <v>DẦU ĂN HIỆU MEIZAN 2L</v>
          </cell>
          <cell r="D1311" t="str">
            <v>CO-MEIZAN G3 A BTL @2L</v>
          </cell>
          <cell r="E1311">
            <v>1.82</v>
          </cell>
          <cell r="F1311" t="str">
            <v>Bỏ chọn</v>
          </cell>
          <cell r="G1311"/>
          <cell r="H1311"/>
        </row>
        <row r="1312">
          <cell r="A1312" t="str">
            <v>7.131058041700760</v>
          </cell>
          <cell r="B1312" t="str">
            <v>CO-MEIZAN G3 S BTL @ 2L</v>
          </cell>
          <cell r="C1312" t="str">
            <v>DẦU ĂN HIỆU MEIZAN 2L</v>
          </cell>
          <cell r="D1312" t="str">
            <v>CO-MEIZAN G3 S BTL @ 2L</v>
          </cell>
          <cell r="E1312">
            <v>1.82</v>
          </cell>
          <cell r="F1312" t="str">
            <v>Bỏ chọn</v>
          </cell>
          <cell r="G1312"/>
          <cell r="H1312"/>
        </row>
        <row r="1313">
          <cell r="A1313" t="str">
            <v>7.1070140201608010</v>
          </cell>
          <cell r="B1313" t="str">
            <v>SATELLITE BAKERY MARGARINE-B PEBAG@20KG</v>
          </cell>
          <cell r="C1313" t="str">
            <v>BƠ THƠM - B NHÃN HIỆU SATELLITE 20KG</v>
          </cell>
          <cell r="D1313" t="str">
            <v>SATELLITE BAKERY MARGARINE-B PEBAG@20KG</v>
          </cell>
          <cell r="E1313">
            <v>20</v>
          </cell>
          <cell r="F1313" t="str">
            <v>Chọn</v>
          </cell>
          <cell r="G1313"/>
          <cell r="H1313"/>
        </row>
        <row r="1314">
          <cell r="A1314" t="str">
            <v>7.1070140293008010</v>
          </cell>
          <cell r="B1314" t="str">
            <v>SATELLITE BOS-B(ORANGE) IN PEBAG@20KG</v>
          </cell>
          <cell r="C1314" t="str">
            <v>DẦU BƠ THAY THẾ - B NHÃN HIỆU SATELLITE (NHÃN MÀU CAM) 20KG</v>
          </cell>
          <cell r="D1314" t="str">
            <v>SATELLITE BOS-B(ORANGE) IN PEBAG@20KG</v>
          </cell>
          <cell r="E1314">
            <v>20</v>
          </cell>
          <cell r="F1314" t="str">
            <v>Chọn</v>
          </cell>
          <cell r="G1314"/>
          <cell r="H1314"/>
        </row>
        <row r="1315">
          <cell r="A1315" t="str">
            <v>V39.015.018</v>
          </cell>
          <cell r="B1315" t="str">
            <v>NEPTUNE GOLD PORCELAIN CUP</v>
          </cell>
          <cell r="C1315" t="str">
            <v>LY SỨ CÓ QUAI NEPTUNE GOLD</v>
          </cell>
          <cell r="D1315" t="str">
            <v>NEPTUNE GOLD PORCELAIN CUP</v>
          </cell>
          <cell r="E1315">
            <v>0</v>
          </cell>
          <cell r="F1315" t="str">
            <v>Bỏ chọn</v>
          </cell>
          <cell r="G1315"/>
          <cell r="H1315"/>
        </row>
        <row r="1316">
          <cell r="A1316" t="str">
            <v>V39.015.219</v>
          </cell>
          <cell r="B1316" t="str">
            <v>NEPTUNE GOLD PORCELAIN PLATE</v>
          </cell>
          <cell r="C1316" t="str">
            <v>ĐĨA SỨ NEPTUNE GOLD</v>
          </cell>
          <cell r="D1316" t="str">
            <v>NEPTUNE GOLD PORCELAIN PLATE</v>
          </cell>
          <cell r="E1316">
            <v>0.55700000000000005</v>
          </cell>
          <cell r="F1316" t="str">
            <v>Bỏ chọn</v>
          </cell>
          <cell r="G1316"/>
          <cell r="H1316"/>
        </row>
        <row r="1317">
          <cell r="A1317" t="str">
            <v>V39.015.220</v>
          </cell>
          <cell r="B1317" t="str">
            <v>NEPTUNE GOLD SET OF 4 PORCELAIN BOWLS</v>
          </cell>
          <cell r="C1317" t="str">
            <v>BỘ 4 CHÉN SỨ NEPTUNE GOLD</v>
          </cell>
          <cell r="D1317" t="str">
            <v>NEPTUNE GOLD SET OF 4 PORCELAIN BOWLS</v>
          </cell>
          <cell r="E1317">
            <v>0.95</v>
          </cell>
          <cell r="F1317" t="str">
            <v>Bỏ chọn</v>
          </cell>
          <cell r="G1317"/>
          <cell r="H1317"/>
        </row>
        <row r="1318">
          <cell r="A1318" t="str">
            <v>V34.303.008</v>
          </cell>
          <cell r="B1318" t="str">
            <v>KIDDY HELMET</v>
          </cell>
          <cell r="C1318" t="str">
            <v>NÓN BẢO HIỂM KIDDY</v>
          </cell>
          <cell r="D1318" t="str">
            <v>KIDDY HELMET</v>
          </cell>
          <cell r="E1318">
            <v>0</v>
          </cell>
          <cell r="F1318" t="str">
            <v>Bỏ chọn</v>
          </cell>
          <cell r="G1318"/>
          <cell r="H1318"/>
        </row>
        <row r="1319">
          <cell r="A1319" t="str">
            <v>7.70524</v>
          </cell>
          <cell r="B1319" t="str">
            <v>PALMITIC ACID 98% (PA1698) IN PAPERBAG @25KG</v>
          </cell>
          <cell r="C1319" t="str">
            <v>AXIT PALMITIC 98% (PA1698) ; BAO 25KG</v>
          </cell>
          <cell r="D1319" t="str">
            <v>PALMITIC ACID 98% (PA1698) IN PAPERBAG @25KG</v>
          </cell>
          <cell r="E1319">
            <v>25</v>
          </cell>
          <cell r="F1319" t="str">
            <v>Bỏ chọn</v>
          </cell>
          <cell r="G1319"/>
          <cell r="H1319"/>
        </row>
        <row r="1320">
          <cell r="A1320" t="str">
            <v>7.705K1</v>
          </cell>
          <cell r="B1320" t="str">
            <v>REFINED RICE BRAN WAX PACK IN BAG 2.15KG</v>
          </cell>
          <cell r="C1320" t="str">
            <v>SÁP CÁM GẠO TINH CHẾ ĐÓNG TRONG TÚI 2.15KG</v>
          </cell>
          <cell r="D1320" t="str">
            <v>REFINED RICE BRAN WAX PACK IN BAG 2.15KG</v>
          </cell>
          <cell r="E1320">
            <v>1</v>
          </cell>
          <cell r="F1320" t="str">
            <v>Chọn</v>
          </cell>
          <cell r="G1320"/>
          <cell r="H1320"/>
        </row>
        <row r="1321">
          <cell r="A1321" t="str">
            <v>V51.060.004</v>
          </cell>
          <cell r="B1321" t="str">
            <v>CALENDAR TET - 365 DELICIOUS DAY</v>
          </cell>
          <cell r="C1321" t="str">
            <v>LỊCH TẾT - 365 NGÀY NGON</v>
          </cell>
          <cell r="D1321" t="str">
            <v>CALENDAR TET - 365 DELICIOUS DAY</v>
          </cell>
          <cell r="E1321">
            <v>0</v>
          </cell>
          <cell r="F1321" t="str">
            <v>Bỏ chọn</v>
          </cell>
          <cell r="G1321"/>
          <cell r="H1321"/>
        </row>
        <row r="1322">
          <cell r="A1322" t="str">
            <v>6.1213505</v>
          </cell>
          <cell r="B1322" t="str">
            <v>REFINED PALM STEARIN FFA0.15 / RSPO MB</v>
          </cell>
          <cell r="C1322" t="str">
            <v>DẦU STEARIN CỌ TINH LUYỆN TRONG XE BỒN (RSPO/MB)</v>
          </cell>
          <cell r="D1322" t="str">
            <v>REFINED PALM STEARIN FFA0.15 / RSPO MB</v>
          </cell>
          <cell r="E1322">
            <v>1</v>
          </cell>
          <cell r="F1322" t="str">
            <v>Chọn</v>
          </cell>
          <cell r="G1322"/>
          <cell r="H1322"/>
        </row>
        <row r="1323">
          <cell r="A1323" t="str">
            <v>V39.005.072</v>
          </cell>
          <cell r="B1323" t="str">
            <v>MITSUBISHI STANDING FAN LV16S-RT</v>
          </cell>
          <cell r="C1323" t="str">
            <v>QUẠT ĐỨNG MITSUBISHI LV16S-RT</v>
          </cell>
          <cell r="D1323" t="str">
            <v>MITSUBISHI STANDING FAN LV16S-RT</v>
          </cell>
          <cell r="E1323">
            <v>0</v>
          </cell>
          <cell r="F1323" t="str">
            <v>Bỏ chọn</v>
          </cell>
          <cell r="G1323"/>
          <cell r="H1323"/>
        </row>
        <row r="1324">
          <cell r="A1324" t="str">
            <v>7.101089591200960</v>
          </cell>
          <cell r="B1324" t="str">
            <v>SATELLITE RBD OLEIN-D IN JERRYCAN @25KG</v>
          </cell>
          <cell r="C1324" t="str">
            <v>DẦU OLEIN CỌ TINH LUYỆN - D NHÃN HIỆU SATELLITE TRONG CAN 25KG</v>
          </cell>
          <cell r="D1324" t="str">
            <v>SATELLITE RBD OLEIN-D IN JERRYCAN @25KG</v>
          </cell>
          <cell r="E1324">
            <v>25</v>
          </cell>
          <cell r="F1324" t="str">
            <v>Chọn</v>
          </cell>
          <cell r="G1324"/>
          <cell r="H1324"/>
        </row>
        <row r="1325">
          <cell r="A1325" t="str">
            <v>V56.052.018</v>
          </cell>
          <cell r="B1325" t="str">
            <v xml:space="preserve">LAPTOP DELL VOSTRO 5568 I5 </v>
          </cell>
          <cell r="C1325" t="str">
            <v>MÁY TÍNH XÁCH TAY DELL VOSTRO 5568 I5</v>
          </cell>
          <cell r="D1325" t="str">
            <v xml:space="preserve">LAPTOP DELL VOSTRO 5568 I5 </v>
          </cell>
          <cell r="E1325">
            <v>0</v>
          </cell>
          <cell r="F1325" t="str">
            <v>Bỏ chọn</v>
          </cell>
          <cell r="G1325"/>
          <cell r="H1325"/>
        </row>
        <row r="1326">
          <cell r="A1326" t="str">
            <v>V56.052.019</v>
          </cell>
          <cell r="B1326" t="str">
            <v>TABLET SAMSUNG GALAXY TAB A6 10.1 SPEN</v>
          </cell>
          <cell r="C1326" t="str">
            <v>MÁY TÍNH BẢNG SAMSUNG GALAXY TAB A6 10.1 SPEN</v>
          </cell>
          <cell r="D1326" t="str">
            <v>TABLET SAMSUNG GALAXY TAB A6 10.1 SPEN</v>
          </cell>
          <cell r="E1326">
            <v>0</v>
          </cell>
          <cell r="F1326" t="str">
            <v>Bỏ chọn</v>
          </cell>
          <cell r="G1326"/>
          <cell r="H1326"/>
        </row>
        <row r="1327">
          <cell r="A1327" t="str">
            <v>V56.101.402</v>
          </cell>
          <cell r="B1327" t="str">
            <v xml:space="preserve">PRINTER CANON PIXMA G3000 </v>
          </cell>
          <cell r="C1327" t="str">
            <v>MÁY IN PHUN CANON PIXMA G3000</v>
          </cell>
          <cell r="D1327" t="str">
            <v>PRINTER CANON PIXMA G3000</v>
          </cell>
          <cell r="E1327">
            <v>0</v>
          </cell>
          <cell r="F1327" t="str">
            <v>Bỏ chọn</v>
          </cell>
          <cell r="G1327"/>
          <cell r="H1327"/>
        </row>
        <row r="1328">
          <cell r="A1328" t="str">
            <v>V51.901.027</v>
          </cell>
          <cell r="B1328" t="str">
            <v>WILMAR SJC 999 GOLD LOGO FOR 20 YEAR</v>
          </cell>
          <cell r="C1328" t="str">
            <v>VÀNG SJC LOGO WILMAR CHO NHÀ PHÂN PHỐI 20 NĂM</v>
          </cell>
          <cell r="D1328" t="str">
            <v>WILMAR SJC 999 GOLD LOGO FOR 20 YEAR</v>
          </cell>
          <cell r="E1328">
            <v>0</v>
          </cell>
          <cell r="F1328" t="str">
            <v>Bỏ chọn</v>
          </cell>
          <cell r="G1328"/>
          <cell r="H1328"/>
        </row>
        <row r="1329">
          <cell r="A1329" t="str">
            <v>V51.043.018</v>
          </cell>
          <cell r="B1329" t="str">
            <v>JACOB'S CREEK WINE</v>
          </cell>
          <cell r="C1329" t="str">
            <v>RƯỢU JACOBS CREEK</v>
          </cell>
          <cell r="D1329" t="str">
            <v>JACOB'S CREEK WINE</v>
          </cell>
          <cell r="E1329">
            <v>0</v>
          </cell>
          <cell r="F1329" t="str">
            <v>Bỏ chọn</v>
          </cell>
          <cell r="G1329"/>
          <cell r="H1329"/>
        </row>
        <row r="1330">
          <cell r="A1330" t="str">
            <v>V51.153.020</v>
          </cell>
          <cell r="B1330" t="str">
            <v>NONE WOVEN GIFT BAG (WILMAR MKT CLV)</v>
          </cell>
          <cell r="C1330" t="str">
            <v>TÚI VẢI QUÀ TẶNG LOGO WILMAR MARKETING CLV</v>
          </cell>
          <cell r="D1330" t="str">
            <v>NONE WOVEN GIFT BAG (WILMAR MKT CLV)</v>
          </cell>
          <cell r="E1330">
            <v>0</v>
          </cell>
          <cell r="F1330" t="str">
            <v>Chọn</v>
          </cell>
          <cell r="G1330"/>
          <cell r="H1330"/>
        </row>
        <row r="1331">
          <cell r="A1331" t="str">
            <v>7.131056061700750</v>
          </cell>
          <cell r="B1331" t="str">
            <v>CO-MEIZAN G3 BTL @5L</v>
          </cell>
          <cell r="C1331" t="str">
            <v>DẦU ĂN HIỆU MEIZAN 5L</v>
          </cell>
          <cell r="D1331" t="str">
            <v>CO-MEIZAN G3 BTL @5L</v>
          </cell>
          <cell r="E1331">
            <v>4.55</v>
          </cell>
          <cell r="F1331" t="str">
            <v>Bỏ chọn</v>
          </cell>
          <cell r="G1331"/>
          <cell r="H1331"/>
        </row>
        <row r="1332">
          <cell r="A1332" t="str">
            <v>7.1070140291508010</v>
          </cell>
          <cell r="B1332" t="str">
            <v>SATELLITE BOS(BLUE) IN PEBAG@20KG</v>
          </cell>
          <cell r="C1332" t="str">
            <v>DẦU BƠ THAY THẾ NHÃN HIỆU SATELLITE (NHÃN MÀU XANH) TRONG THÙNG CARTON 20KG</v>
          </cell>
          <cell r="D1332" t="str">
            <v>SATELLITE BOS(BLUE) IN PEBAG@20KG</v>
          </cell>
          <cell r="E1332">
            <v>20</v>
          </cell>
          <cell r="F1332" t="str">
            <v>Chọn</v>
          </cell>
          <cell r="G1332"/>
          <cell r="H1332"/>
        </row>
        <row r="1333">
          <cell r="A1333" t="str">
            <v>7.1070120893233000</v>
          </cell>
          <cell r="B1333" t="str">
            <v>MEIZAN BOS(YELLOW) IN PLASTICBUCKET@18KG</v>
          </cell>
          <cell r="C1333" t="str">
            <v>DẦU BƠ THAY THẾ HIỆU MEIZAN TRONG THÙNG NHỰA 18 KG (NHÃN VÀNG)</v>
          </cell>
          <cell r="D1333" t="str">
            <v>MEIZAN BOS(YELLOW) IN PLASTICBUCKET@18KG</v>
          </cell>
          <cell r="E1333">
            <v>18</v>
          </cell>
          <cell r="F1333" t="str">
            <v>Chọn</v>
          </cell>
          <cell r="G1333"/>
          <cell r="H1333"/>
        </row>
        <row r="1334">
          <cell r="A1334" t="str">
            <v>7.1060122119008010</v>
          </cell>
          <cell r="B1334" t="str">
            <v>MEIZAN BRAND CP SHORTENING CARTON@14.5KG</v>
          </cell>
          <cell r="C1334" t="str">
            <v>MEIZAN CP SHORTENING TRONG THÙNG 14,5KG</v>
          </cell>
          <cell r="D1334" t="str">
            <v>MEIZAN BRAND CP SHORTENING CARTON@14.5KG</v>
          </cell>
          <cell r="E1334">
            <v>14.5</v>
          </cell>
          <cell r="F1334" t="str">
            <v>Chọn</v>
          </cell>
          <cell r="G1334"/>
          <cell r="H1334"/>
        </row>
        <row r="1335">
          <cell r="A1335" t="str">
            <v>V86.10596134001</v>
          </cell>
          <cell r="B1335" t="str">
            <v>LABEL OF GOLDEN CROWN BUTTER OIL SUBSTITUTE 18KG</v>
          </cell>
          <cell r="C1335" t="str">
            <v>NHÃN PHỤ DẦU BƠ THAY THẾ NHÃN HIỆU GOLDEN CROWN 18KG</v>
          </cell>
          <cell r="D1335" t="str">
            <v>LABEL OF GOLDEN CROWN BUTTER OIL SUBSTITUTE 18KG</v>
          </cell>
          <cell r="E1335">
            <v>0</v>
          </cell>
          <cell r="F1335" t="str">
            <v>Bỏ chọn</v>
          </cell>
          <cell r="G1335"/>
          <cell r="H1335"/>
        </row>
        <row r="1336">
          <cell r="A1336" t="str">
            <v>V51.152.001</v>
          </cell>
          <cell r="B1336" t="str">
            <v>VALI SKYWAY NIMBUS - SW001</v>
          </cell>
          <cell r="C1336" t="str">
            <v>VALI KÉO SKYWAY NIMBUS - SW001</v>
          </cell>
          <cell r="D1336" t="str">
            <v>VALI SKYWAY NIMBUS - SW001</v>
          </cell>
          <cell r="E1336">
            <v>0</v>
          </cell>
          <cell r="F1336" t="str">
            <v>Bỏ chọn</v>
          </cell>
          <cell r="G1336"/>
          <cell r="H1336"/>
        </row>
        <row r="1337">
          <cell r="A1337" t="str">
            <v>V30.210.011</v>
          </cell>
          <cell r="B1337" t="str">
            <v>MASSAGE CUSHIONS BEURER-MG 206</v>
          </cell>
          <cell r="C1337" t="str">
            <v>ĐỆM GHẾ MATXA BEURER-MG 206</v>
          </cell>
          <cell r="D1337" t="str">
            <v>MASSAGE CUSHIONS BEURER-MG 206</v>
          </cell>
          <cell r="E1337">
            <v>0</v>
          </cell>
          <cell r="F1337" t="str">
            <v>Bỏ chọn</v>
          </cell>
          <cell r="G1337"/>
          <cell r="H1337"/>
        </row>
        <row r="1338">
          <cell r="A1338" t="str">
            <v>V39.052.001</v>
          </cell>
          <cell r="B1338" t="str">
            <v>WATER PURIFIER A.O SMITH RO AR75-A-S-1E</v>
          </cell>
          <cell r="C1338" t="str">
            <v>MÁY LỌC NƯỚC A.O SMITH RO AR75-A-S-1E</v>
          </cell>
          <cell r="D1338" t="str">
            <v>WATER PURIFIER A.O SMITH RO AR75-A-S-1E</v>
          </cell>
          <cell r="E1338">
            <v>0</v>
          </cell>
          <cell r="F1338" t="str">
            <v>Bỏ chọn</v>
          </cell>
          <cell r="G1338"/>
          <cell r="H1338"/>
        </row>
        <row r="1339">
          <cell r="A1339" t="str">
            <v>7.101089570901960</v>
          </cell>
          <cell r="B1339" t="str">
            <v>SATELLITE RBD OLEIN-D IN BIB @18KG</v>
          </cell>
          <cell r="C1339" t="str">
            <v>DẦU OLEIN CỌ TINH LUYỆN - D NHÃN HIỆU SATELLITE TRONG THÙNG BIB 18 KG</v>
          </cell>
          <cell r="D1339" t="str">
            <v>SATELLITE RBD OLEIN-D IN BIB @18KG</v>
          </cell>
          <cell r="E1339">
            <v>18</v>
          </cell>
          <cell r="F1339" t="str">
            <v>Chọn</v>
          </cell>
          <cell r="G1339"/>
          <cell r="H1339"/>
        </row>
        <row r="1340">
          <cell r="A1340" t="str">
            <v>7.5239920990601</v>
          </cell>
          <cell r="B1340" t="str">
            <v>MS-2 40KG</v>
          </cell>
          <cell r="C1340" t="str">
            <v>BỘT MÌ HIỆU MS-2 40KG</v>
          </cell>
          <cell r="D1340" t="str">
            <v>MS-2 40KG</v>
          </cell>
          <cell r="E1340">
            <v>40</v>
          </cell>
          <cell r="F1340" t="str">
            <v>Bỏ chọn</v>
          </cell>
          <cell r="G1340"/>
          <cell r="H1340"/>
        </row>
        <row r="1341">
          <cell r="A1341" t="str">
            <v>7.5239920990501</v>
          </cell>
          <cell r="B1341" t="str">
            <v>MS-2 25KG</v>
          </cell>
          <cell r="C1341" t="str">
            <v>BỘT MÌ HIỆU MS-2 25KG</v>
          </cell>
          <cell r="D1341" t="str">
            <v>MS-2 25KG</v>
          </cell>
          <cell r="E1341">
            <v>25</v>
          </cell>
          <cell r="F1341" t="str">
            <v>Bỏ chọn</v>
          </cell>
          <cell r="G1341"/>
          <cell r="H1341"/>
        </row>
        <row r="1342">
          <cell r="A1342" t="str">
            <v>7.5239907990542</v>
          </cell>
          <cell r="B1342" t="str">
            <v>GREEN KEY-25-TRANG AN CLV</v>
          </cell>
          <cell r="C1342" t="str">
            <v>BỘT MÌ NHÃN HIỆU "CHÌA KHÓA XANH LÁ" (25KG)</v>
          </cell>
          <cell r="D1342" t="str">
            <v>GREEN KEY-25-TRANG AN CLV</v>
          </cell>
          <cell r="E1342">
            <v>1</v>
          </cell>
          <cell r="F1342" t="str">
            <v>Bỏ chọn</v>
          </cell>
          <cell r="G1342"/>
          <cell r="H1342"/>
        </row>
        <row r="1343">
          <cell r="A1343" t="str">
            <v>7.5239952990542</v>
          </cell>
          <cell r="B1343" t="str">
            <v>GREEN CLV 01-25-TRANG AN</v>
          </cell>
          <cell r="C1343" t="str">
            <v>BỘT MÌ CHUYÊN DỤNG "GREEN CLV-01" (25KG)</v>
          </cell>
          <cell r="D1343" t="str">
            <v>GREEN CLV 01-25-TRANG AN</v>
          </cell>
          <cell r="E1343">
            <v>1</v>
          </cell>
          <cell r="F1343" t="str">
            <v>Bỏ chọn</v>
          </cell>
          <cell r="G1343"/>
          <cell r="H1343"/>
        </row>
        <row r="1344">
          <cell r="A1344" t="str">
            <v>7.1070140893133000</v>
          </cell>
          <cell r="B1344" t="str">
            <v>SATELLITE BOS(YELLOW) IN PLASTICBKT@18KG</v>
          </cell>
          <cell r="C1344" t="str">
            <v>DẦU BƠ THAY THẾ NHÃN HIỆU SATELLITE (NHÃN MÀU VÀNG) TRONG XÔ NHỰA 18KG</v>
          </cell>
          <cell r="D1344" t="str">
            <v>SATELLITE BOS(YELLOW) IN PLASTICBKT@18KG</v>
          </cell>
          <cell r="E1344">
            <v>18</v>
          </cell>
          <cell r="F1344" t="str">
            <v>Chọn</v>
          </cell>
          <cell r="G1344"/>
          <cell r="H1344"/>
        </row>
        <row r="1345">
          <cell r="A1345" t="str">
            <v>7.B24012399370102</v>
          </cell>
          <cell r="B1345" t="str">
            <v>HUONG NAM SOY SAUCE 500ML X 20 BOT</v>
          </cell>
          <cell r="C1345" t="str">
            <v>NƯỚC CHẤM HƯƠNG NẤM 500ML</v>
          </cell>
          <cell r="D1345" t="str">
            <v>HUONG NAM SOY SAUCE 500ML X 20 BOT</v>
          </cell>
          <cell r="E1345">
            <v>11.148</v>
          </cell>
          <cell r="F1345" t="str">
            <v>Bỏ chọn</v>
          </cell>
          <cell r="G1345" t="str">
            <v>2000000008</v>
          </cell>
          <cell r="H1345" t="str">
            <v>7.B2401239937010201</v>
          </cell>
        </row>
        <row r="1346">
          <cell r="A1346" t="str">
            <v>7.B24015399327210</v>
          </cell>
          <cell r="B1346" t="str">
            <v>MIVIMEX CHILI GARLIC SOY SAUCE 200G X 30 BOT</v>
          </cell>
          <cell r="C1346" t="str">
            <v>NƯỚC CHẤM TỎI ỚT XUẤT KHẨU MIVIMEX 200G</v>
          </cell>
          <cell r="D1346" t="str">
            <v>MIVIMEX CHILI GARLIC SOY SAUCE 200G X 30 BOT</v>
          </cell>
          <cell r="E1346">
            <v>6</v>
          </cell>
          <cell r="F1346" t="str">
            <v>Bỏ chọn</v>
          </cell>
          <cell r="G1346"/>
          <cell r="H1346"/>
        </row>
        <row r="1347">
          <cell r="A1347" t="str">
            <v>7.B24015399387299</v>
          </cell>
          <cell r="B1347" t="str">
            <v>MIVIMEX SOY SAUCE 210G X 30 BOT</v>
          </cell>
          <cell r="C1347" t="str">
            <v>NƯỚC CHẤM XUẤT KHẨU MIVIMEX 210G</v>
          </cell>
          <cell r="D1347" t="str">
            <v>MIVIMEX SOY SAUCE 210G X 30 BOT</v>
          </cell>
          <cell r="E1347">
            <v>6.3</v>
          </cell>
          <cell r="F1347" t="str">
            <v>Bỏ chọn</v>
          </cell>
          <cell r="G1347"/>
          <cell r="H1347"/>
        </row>
        <row r="1348">
          <cell r="A1348" t="str">
            <v>7.B24012399379213</v>
          </cell>
          <cell r="B1348" t="str">
            <v>NAM DUONG CONDENSED SOY SAUCE 500ML X 20 BOT</v>
          </cell>
          <cell r="C1348" t="str">
            <v>THỰC PHẨM BỔ SUNG NƯỚC TƯƠNG NAM DƯƠNG ĐẬM ĐẶC 500ML</v>
          </cell>
          <cell r="D1348" t="str">
            <v>NAM DUONG CONDENSED SOY SAUCE 500ML X 20 BOT</v>
          </cell>
          <cell r="E1348">
            <v>11.1</v>
          </cell>
          <cell r="F1348" t="str">
            <v>Bỏ chọn</v>
          </cell>
          <cell r="G1348"/>
          <cell r="H1348"/>
        </row>
        <row r="1349">
          <cell r="A1349" t="str">
            <v>7.B24012399399213</v>
          </cell>
          <cell r="B1349" t="str">
            <v>NAM DUONG CONDENSED SOY SAUCE 280ML X 20 BOT</v>
          </cell>
          <cell r="C1349" t="str">
            <v>THỰC PHẨM BỔ SUNG NƯỚC TƯƠNG NAM DƯƠNG ĐẬM ĐẶC 280ML</v>
          </cell>
          <cell r="D1349" t="str">
            <v>NAM DUONG CONDENSED SOY SAUCE 280ML X 20 BOT</v>
          </cell>
          <cell r="E1349">
            <v>6.22</v>
          </cell>
          <cell r="F1349" t="str">
            <v>Bỏ chọn</v>
          </cell>
          <cell r="G1349"/>
          <cell r="H1349"/>
        </row>
        <row r="1350">
          <cell r="A1350" t="str">
            <v>7.B24012302370199</v>
          </cell>
          <cell r="B1350" t="str">
            <v>HANG VIET SOY SAUCE 500ML X 24 BOT</v>
          </cell>
          <cell r="C1350" t="str">
            <v>NƯỚC CHẤM HÀNG VIỆT 500ML</v>
          </cell>
          <cell r="D1350" t="str">
            <v>HANG VIET SOY SAUCE 500ML X 24 BOT</v>
          </cell>
          <cell r="E1350">
            <v>13</v>
          </cell>
          <cell r="F1350" t="str">
            <v>Bỏ chọn</v>
          </cell>
          <cell r="G1350"/>
          <cell r="H1350"/>
        </row>
        <row r="1351">
          <cell r="A1351" t="str">
            <v>7.B24012399370101</v>
          </cell>
          <cell r="B1351" t="str">
            <v>SOYA SOY SAUCE 500ML X 24 BOT</v>
          </cell>
          <cell r="C1351" t="str">
            <v>NƯỚC CHẤM SOYA 500ML</v>
          </cell>
          <cell r="D1351" t="str">
            <v>SOYA SOY SAUCE 500ML X 24 BOT</v>
          </cell>
          <cell r="E1351">
            <v>13.0692</v>
          </cell>
          <cell r="F1351" t="str">
            <v>Bỏ chọn</v>
          </cell>
          <cell r="G1351"/>
          <cell r="H1351"/>
        </row>
        <row r="1352">
          <cell r="A1352" t="str">
            <v>7.B24012399400104</v>
          </cell>
          <cell r="B1352" t="str">
            <v>PREMIUM SOY SAUCE 210ML X 20 BOT</v>
          </cell>
          <cell r="C1352" t="str">
            <v>NƯỚC TƯƠNG THƯỢNG HẠNG 210ML</v>
          </cell>
          <cell r="D1352" t="str">
            <v>PREMIUM SOY SAUCE 210ML X 20 BOT</v>
          </cell>
          <cell r="E1352">
            <v>4.6851000000000003</v>
          </cell>
          <cell r="F1352" t="str">
            <v>Bỏ chọn</v>
          </cell>
          <cell r="G1352" t="str">
            <v>2000000008</v>
          </cell>
          <cell r="H1352" t="str">
            <v>7.B2401239940010401</v>
          </cell>
        </row>
        <row r="1353">
          <cell r="A1353" t="str">
            <v>7.B24012325377299</v>
          </cell>
          <cell r="B1353" t="str">
            <v>SOBI SOY SAUCE 500ML X 24 BOT</v>
          </cell>
          <cell r="C1353" t="str">
            <v>NƯỚC TƯƠNG SOBI 500ML</v>
          </cell>
          <cell r="D1353" t="str">
            <v>SOBI SOY SAUCE 500ML X 24 BOT</v>
          </cell>
          <cell r="E1353">
            <v>13.064399999999999</v>
          </cell>
          <cell r="F1353" t="str">
            <v>Bỏ chọn</v>
          </cell>
          <cell r="G1353"/>
          <cell r="H1353"/>
        </row>
        <row r="1354">
          <cell r="A1354" t="str">
            <v>7.B24022399180103</v>
          </cell>
          <cell r="B1354" t="str">
            <v>SPECIAL HOT CHILI SAUCE 250G X 24 BOT</v>
          </cell>
          <cell r="C1354" t="str">
            <v>TƯƠNG ỚT ĐẶC BIỆT CAY 250G</v>
          </cell>
          <cell r="D1354" t="str">
            <v>SPECIAL HOT CHILI SAUCE 250G X 24 BOT</v>
          </cell>
          <cell r="E1354">
            <v>6</v>
          </cell>
          <cell r="F1354" t="str">
            <v>Bỏ chọn</v>
          </cell>
          <cell r="G1354" t="str">
            <v>2000000008</v>
          </cell>
          <cell r="H1354" t="str">
            <v>7.B2402239918010301</v>
          </cell>
        </row>
        <row r="1355">
          <cell r="A1355" t="str">
            <v>7.B24022399330103</v>
          </cell>
          <cell r="B1355" t="str">
            <v>SPECIAL HOT CHILI SAUCE 400G X 24 BOT</v>
          </cell>
          <cell r="C1355" t="str">
            <v>TƯƠNG ỚT ĐẶC BIỆT CAY 400G</v>
          </cell>
          <cell r="D1355" t="str">
            <v>SPECIAL HOT CHILI SAUCE 400G X 24 BOT</v>
          </cell>
          <cell r="E1355">
            <v>9.6</v>
          </cell>
          <cell r="F1355" t="str">
            <v>Bỏ chọn</v>
          </cell>
          <cell r="G1355" t="str">
            <v>2000000008</v>
          </cell>
          <cell r="H1355" t="str">
            <v>7.B2402239933010301</v>
          </cell>
        </row>
        <row r="1356">
          <cell r="A1356" t="str">
            <v>7.B24022399180199</v>
          </cell>
          <cell r="B1356" t="str">
            <v>CHILI SAUCE 250G X 24 BOT</v>
          </cell>
          <cell r="C1356" t="str">
            <v>TƯƠNG ỚT 250G</v>
          </cell>
          <cell r="D1356" t="str">
            <v>CHILI SAUCE 250G X 24 BOT</v>
          </cell>
          <cell r="E1356">
            <v>6</v>
          </cell>
          <cell r="F1356" t="str">
            <v>Bỏ chọn</v>
          </cell>
          <cell r="G1356" t="str">
            <v>2000000008</v>
          </cell>
          <cell r="H1356" t="str">
            <v>7.B2402239918019901</v>
          </cell>
        </row>
        <row r="1357">
          <cell r="A1357" t="str">
            <v>7.B24022399330199</v>
          </cell>
          <cell r="B1357" t="str">
            <v>CHILI SAUCE 400G X 24 BOT</v>
          </cell>
          <cell r="C1357" t="str">
            <v>TƯƠNG ỚT 400G</v>
          </cell>
          <cell r="D1357" t="str">
            <v>CHILI SAUCE 400G X 24 BOT</v>
          </cell>
          <cell r="E1357">
            <v>9.6</v>
          </cell>
          <cell r="F1357" t="str">
            <v>Bỏ chọn</v>
          </cell>
          <cell r="G1357"/>
          <cell r="H1357"/>
        </row>
        <row r="1358">
          <cell r="A1358" t="str">
            <v>7.B24025399327211</v>
          </cell>
          <cell r="B1358" t="str">
            <v>MIVIMEX GARLIC CHILI SAUCE 200G X 30 BOT</v>
          </cell>
          <cell r="C1358" t="str">
            <v>TƯƠNG ỚT TỎI XUẤT KHẨU MIVIMEX 200G</v>
          </cell>
          <cell r="D1358" t="str">
            <v>MIVIMEX GARLIC CHILI SAUCE 200G X 30 BOT</v>
          </cell>
          <cell r="E1358">
            <v>6</v>
          </cell>
          <cell r="F1358" t="str">
            <v>Bỏ chọn</v>
          </cell>
          <cell r="G1358"/>
          <cell r="H1358"/>
        </row>
        <row r="1359">
          <cell r="A1359" t="str">
            <v>7.B24025399327212</v>
          </cell>
          <cell r="B1359" t="str">
            <v>MIVIMEX GARLIC TOMATO CHILI SAUCE 200G X 30 BOT</v>
          </cell>
          <cell r="C1359" t="str">
            <v>TƯƠNG ỚT VỚI TỎI VÀ CÀ CHUA XUẤT KHẨU MIVIMEX 200G</v>
          </cell>
          <cell r="D1359" t="str">
            <v>MIVIMEX GARLIC TOMATO CHILI SAUCE 200G X 30 BOT</v>
          </cell>
          <cell r="E1359">
            <v>6</v>
          </cell>
          <cell r="F1359" t="str">
            <v>Bỏ chọn</v>
          </cell>
          <cell r="G1359"/>
          <cell r="H1359"/>
        </row>
        <row r="1360">
          <cell r="A1360" t="str">
            <v>7.B24025399327214</v>
          </cell>
          <cell r="B1360" t="str">
            <v>MIVIMEX SPICY CHILI SAUCE 200G X 30 BOT</v>
          </cell>
          <cell r="C1360" t="str">
            <v>TƯƠNG ỚT CAY XUẤT KHẨU MIVIMEX 200G</v>
          </cell>
          <cell r="D1360" t="str">
            <v>MIVIMEX SPICY CHILI SAUCE 200G X 30 BOT</v>
          </cell>
          <cell r="E1360">
            <v>6</v>
          </cell>
          <cell r="F1360" t="str">
            <v>Bỏ chọn</v>
          </cell>
          <cell r="G1360"/>
          <cell r="H1360"/>
        </row>
        <row r="1361">
          <cell r="A1361" t="str">
            <v>7.B24025399327299</v>
          </cell>
          <cell r="B1361" t="str">
            <v>MIVIMEX CHILI SAUCE 200G X 30 BOT</v>
          </cell>
          <cell r="C1361" t="str">
            <v>TƯƠNG ỚT XUẤT KHẨU MIVIMEX 200G</v>
          </cell>
          <cell r="D1361" t="str">
            <v>MIVIMEX CHILI SAUCE 200G X 30 BOT</v>
          </cell>
          <cell r="E1361">
            <v>6</v>
          </cell>
          <cell r="F1361" t="str">
            <v>Bỏ chọn</v>
          </cell>
          <cell r="G1361"/>
          <cell r="H1361"/>
        </row>
        <row r="1362">
          <cell r="A1362" t="str">
            <v>7.B25085499419205</v>
          </cell>
          <cell r="B1362" t="str">
            <v>PORK BOUILLON GRANULE 170G X 40 PAC</v>
          </cell>
          <cell r="C1362" t="str">
            <v>THỰC PHẨM BỔ SUNG HẠT NÊM 4 TRONG 1 - VỊ HEO 170G</v>
          </cell>
          <cell r="D1362" t="str">
            <v>PORK BOUILLON GRANULE 170G X 40 PAC</v>
          </cell>
          <cell r="E1362">
            <v>6.8</v>
          </cell>
          <cell r="F1362" t="str">
            <v>Bỏ chọn</v>
          </cell>
          <cell r="G1362"/>
          <cell r="H1362"/>
        </row>
        <row r="1363">
          <cell r="A1363" t="str">
            <v>7.B25085499429205</v>
          </cell>
          <cell r="B1363" t="str">
            <v>PORK BOUILLON GRANULE 380G X 20 PAC</v>
          </cell>
          <cell r="C1363" t="str">
            <v>THỰC PHẨM BỔ SUNG HẠT NÊM 4 TRONG 1 - VỊ HEO 380G</v>
          </cell>
          <cell r="D1363" t="str">
            <v>PORK BOUILLON GRANULE 380G X 20 PAC</v>
          </cell>
          <cell r="E1363">
            <v>7.6</v>
          </cell>
          <cell r="F1363" t="str">
            <v>Bỏ chọn</v>
          </cell>
          <cell r="G1363"/>
          <cell r="H1363"/>
        </row>
        <row r="1364">
          <cell r="A1364" t="str">
            <v>7.B25085499439205</v>
          </cell>
          <cell r="B1364" t="str">
            <v>PORK BOUILLON GRANULE 50G X 100 PAC</v>
          </cell>
          <cell r="C1364" t="str">
            <v>THỰC PHẨM BỔ SUNG HẠT NÊM 4 TRONG 1 - VỊ HEO 50G</v>
          </cell>
          <cell r="D1364" t="str">
            <v>PORK BOUILLON GRANULE 50G X 100 PAC</v>
          </cell>
          <cell r="E1364">
            <v>5</v>
          </cell>
          <cell r="F1364" t="str">
            <v>Bỏ chọn</v>
          </cell>
          <cell r="G1364"/>
          <cell r="H1364"/>
        </row>
        <row r="1365">
          <cell r="A1365" t="str">
            <v>7.B25085499449205</v>
          </cell>
          <cell r="B1365" t="str">
            <v>PORK BOUILLON GRANULE 850G X 10 PAC</v>
          </cell>
          <cell r="C1365" t="str">
            <v>THỰC PHẨM BỔ SUNG HẠT NÊM 4 TRONG 1 - VỊ HEO 850G</v>
          </cell>
          <cell r="D1365" t="str">
            <v>PORK BOUILLON GRANULE 850G X 10 PAC</v>
          </cell>
          <cell r="E1365">
            <v>8.5</v>
          </cell>
          <cell r="F1365" t="str">
            <v>Bỏ chọn</v>
          </cell>
          <cell r="G1365"/>
          <cell r="H1365"/>
        </row>
        <row r="1366">
          <cell r="A1366" t="str">
            <v>7.B25085424410106</v>
          </cell>
          <cell r="B1366" t="str">
            <v>MUSHROOM BOUILLON GRANULE 170G X 40 PAC</v>
          </cell>
          <cell r="C1366" t="str">
            <v>HẠT NÊM TAM BẢO VỊ NẤM 170G</v>
          </cell>
          <cell r="D1366" t="str">
            <v>MUSHROOM BOUILLON GRANULE 170G X 40 PAC</v>
          </cell>
          <cell r="E1366">
            <v>6.8</v>
          </cell>
          <cell r="F1366" t="str">
            <v>Bỏ chọn</v>
          </cell>
          <cell r="G1366"/>
          <cell r="H1366"/>
        </row>
        <row r="1367">
          <cell r="A1367" t="str">
            <v>7.B25085424420106</v>
          </cell>
          <cell r="B1367" t="str">
            <v>MUSHROOM BOUILLON GRANULE 380G X 20 PAC</v>
          </cell>
          <cell r="C1367" t="str">
            <v>HẠT NÊM TAM BẢO VỊ NẤM 380G</v>
          </cell>
          <cell r="D1367" t="str">
            <v>MUSHROOM BOUILLON GRANULE 380G X 20 PAC</v>
          </cell>
          <cell r="E1367">
            <v>7.6</v>
          </cell>
          <cell r="F1367" t="str">
            <v>Bỏ chọn</v>
          </cell>
          <cell r="G1367" t="str">
            <v>2000000008</v>
          </cell>
          <cell r="H1367" t="str">
            <v>7.B2508542442010601</v>
          </cell>
        </row>
        <row r="1368">
          <cell r="A1368" t="str">
            <v>7.B25085424430106</v>
          </cell>
          <cell r="B1368" t="str">
            <v>MUSHROOM BOUILLON GRANULE 50G X 100 PAC</v>
          </cell>
          <cell r="C1368" t="str">
            <v>HẠT NÊM TAM BẢO VỊ NẤM 50G</v>
          </cell>
          <cell r="D1368" t="str">
            <v>MUSHROOM BOUILLON GRANULE 50G X 100 PAC</v>
          </cell>
          <cell r="E1368">
            <v>5</v>
          </cell>
          <cell r="F1368" t="str">
            <v>Bỏ chọn</v>
          </cell>
          <cell r="G1368"/>
          <cell r="H1368"/>
        </row>
        <row r="1369">
          <cell r="A1369" t="str">
            <v>7.B25085424440106</v>
          </cell>
          <cell r="B1369" t="str">
            <v>MUSHROOM BOUILLON GRANULE 850G X 10 PAC</v>
          </cell>
          <cell r="C1369" t="str">
            <v>HẠT NÊM TAM BẢO VỊ NẤM 850G</v>
          </cell>
          <cell r="D1369" t="str">
            <v>MUSHROOM BOUILLON GRANULE 850G X 10 PAC</v>
          </cell>
          <cell r="E1369">
            <v>8.5</v>
          </cell>
          <cell r="F1369" t="str">
            <v>Bỏ chọn</v>
          </cell>
          <cell r="G1369"/>
          <cell r="H1369"/>
        </row>
        <row r="1370">
          <cell r="A1370" t="str">
            <v>7.B25085499419207</v>
          </cell>
          <cell r="B1370" t="str">
            <v>CHICKEN BOUILLON GRANULE 170G X 40 PAC</v>
          </cell>
          <cell r="C1370" t="str">
            <v>THỰC PHẨM BỔ SUNG HẠT NÊM GÀ HẦM NHẤT VỊ - VỊ GÀ 170G</v>
          </cell>
          <cell r="D1370" t="str">
            <v>CHICKEN BOUILLON GRANULE 170G X 40 PAC</v>
          </cell>
          <cell r="E1370">
            <v>6.8</v>
          </cell>
          <cell r="F1370" t="str">
            <v>Bỏ chọn</v>
          </cell>
          <cell r="G1370"/>
          <cell r="H1370"/>
        </row>
        <row r="1371">
          <cell r="A1371" t="str">
            <v>7.B25085499429207</v>
          </cell>
          <cell r="B1371" t="str">
            <v>CHICKEN BOUILLON GRANULE 380G X 20 PAC</v>
          </cell>
          <cell r="C1371" t="str">
            <v>THỰC PHẨM BỔ SUNG HẠT NÊM GÀ HẦM NHẤT VỊ - VỊ GÀ 380G</v>
          </cell>
          <cell r="D1371" t="str">
            <v>CHICKEN BOUILLON GRANULE 380G X 20 PAC</v>
          </cell>
          <cell r="E1371">
            <v>7.6</v>
          </cell>
          <cell r="F1371" t="str">
            <v>Bỏ chọn</v>
          </cell>
          <cell r="G1371"/>
          <cell r="H1371"/>
        </row>
        <row r="1372">
          <cell r="A1372" t="str">
            <v>7.B25085499439207</v>
          </cell>
          <cell r="B1372" t="str">
            <v>CHICKEN BOUILLON GRANULE 50G X 100 PAC</v>
          </cell>
          <cell r="C1372" t="str">
            <v>THỰC PHẨM BỔ SUNG HẠT NÊM GÀ HẦM NHẤT VỊ - VỊ GÀ 50G</v>
          </cell>
          <cell r="D1372" t="str">
            <v>CHICKEN BOUILLON GRANULE 50G X 100 PAC</v>
          </cell>
          <cell r="E1372">
            <v>5</v>
          </cell>
          <cell r="F1372" t="str">
            <v>Bỏ chọn</v>
          </cell>
          <cell r="G1372"/>
          <cell r="H1372"/>
        </row>
        <row r="1373">
          <cell r="A1373" t="str">
            <v>7.B25085499449207</v>
          </cell>
          <cell r="B1373" t="str">
            <v>CHICKEN BOUILLON GRANULE 850G X 10 PAC</v>
          </cell>
          <cell r="C1373" t="str">
            <v>THỰC PHẨM BỔ SUNG HẠT NÊM GÀ HẦM NHẤT VỊ - VỊ GÀ 850G</v>
          </cell>
          <cell r="D1373" t="str">
            <v>CHICKEN BOUILLON GRANULE 850G X 10 PAC</v>
          </cell>
          <cell r="E1373">
            <v>8.5</v>
          </cell>
          <cell r="F1373" t="str">
            <v>Bỏ chọn</v>
          </cell>
          <cell r="G1373"/>
          <cell r="H1373"/>
        </row>
        <row r="1374">
          <cell r="A1374" t="str">
            <v>7.B24022399180108</v>
          </cell>
          <cell r="B1374" t="str">
            <v>SWEET AND SOUR CHILI SAUCE 250G X 24 BOT</v>
          </cell>
          <cell r="C1374" t="str">
            <v>TƯƠNG ỚT CHUA NGỌT 250G</v>
          </cell>
          <cell r="D1374" t="str">
            <v>SWEET AND SOUR CHILI SAUCE 250G X 24 BOT</v>
          </cell>
          <cell r="E1374">
            <v>6</v>
          </cell>
          <cell r="F1374" t="str">
            <v>Bỏ chọn</v>
          </cell>
          <cell r="G1374"/>
          <cell r="H1374"/>
        </row>
        <row r="1375">
          <cell r="A1375" t="str">
            <v>7.B24032399160199</v>
          </cell>
          <cell r="B1375" t="str">
            <v>OYSTER SAUCE 265G X 24 BOT</v>
          </cell>
          <cell r="C1375" t="str">
            <v>DẦU HÀO 265G</v>
          </cell>
          <cell r="D1375" t="str">
            <v>OYSTER SAUCE 265G X 24 BOT</v>
          </cell>
          <cell r="E1375">
            <v>6.36</v>
          </cell>
          <cell r="F1375" t="str">
            <v>Bỏ chọn</v>
          </cell>
          <cell r="G1375"/>
          <cell r="H1375"/>
        </row>
        <row r="1376">
          <cell r="A1376" t="str">
            <v>7.B24092399180199</v>
          </cell>
          <cell r="B1376" t="str">
            <v>SALAD DRESSING 250G X 24 BOT</v>
          </cell>
          <cell r="C1376" t="str">
            <v>SỐT DẦU DẤM TRỘN SALAD 250G</v>
          </cell>
          <cell r="D1376" t="str">
            <v>SALAD DRESSING 250G X 24 BOT</v>
          </cell>
          <cell r="E1376">
            <v>6</v>
          </cell>
          <cell r="F1376" t="str">
            <v>Bỏ chọn</v>
          </cell>
          <cell r="G1376" t="str">
            <v>2000000008</v>
          </cell>
          <cell r="H1376" t="str">
            <v>7.B2409239918019901</v>
          </cell>
        </row>
        <row r="1377">
          <cell r="A1377" t="str">
            <v>7.B24022399450199</v>
          </cell>
          <cell r="B1377" t="str">
            <v>CHILI SAUCE 470G X 12 BOT</v>
          </cell>
          <cell r="C1377" t="str">
            <v>TƯƠNG ỚT CHILI 470G</v>
          </cell>
          <cell r="D1377" t="str">
            <v>CHILI SAUCE 470G X 12 BOT</v>
          </cell>
          <cell r="E1377">
            <v>5.64</v>
          </cell>
          <cell r="F1377" t="str">
            <v>Bỏ chọn</v>
          </cell>
          <cell r="G1377"/>
          <cell r="H1377"/>
        </row>
        <row r="1378">
          <cell r="A1378" t="str">
            <v>7.B24022399320199</v>
          </cell>
          <cell r="B1378" t="str">
            <v>CHILI SAUCE 200G X 30 BOT</v>
          </cell>
          <cell r="C1378" t="str">
            <v>TƯƠNG ỚT CHILI 200G</v>
          </cell>
          <cell r="D1378" t="str">
            <v>CHILI SAUCE 200G X 30 BOT</v>
          </cell>
          <cell r="E1378">
            <v>6</v>
          </cell>
          <cell r="F1378" t="str">
            <v>Bỏ chọn</v>
          </cell>
          <cell r="G1378"/>
          <cell r="H1378"/>
        </row>
        <row r="1379">
          <cell r="A1379" t="str">
            <v>7.B24022399209199</v>
          </cell>
          <cell r="B1379" t="str">
            <v>HORECA CHILI SAUCE 2.1KG X 6 BOT</v>
          </cell>
          <cell r="C1379" t="str">
            <v>TƯƠNG ỚT HORECA 2.1KG</v>
          </cell>
          <cell r="D1379" t="str">
            <v>HORECA CHILI SAUCE 2.1KG X 6 BOT</v>
          </cell>
          <cell r="E1379">
            <v>12.6</v>
          </cell>
          <cell r="F1379" t="str">
            <v>Bỏ chọn</v>
          </cell>
          <cell r="G1379" t="str">
            <v>2000000008</v>
          </cell>
          <cell r="H1379" t="str">
            <v>7.B2402239920919901</v>
          </cell>
        </row>
        <row r="1380">
          <cell r="A1380" t="str">
            <v>7.B24022399039199</v>
          </cell>
          <cell r="B1380" t="str">
            <v>HORECA CHILI SAUCE 5KG X 4 BOT</v>
          </cell>
          <cell r="C1380" t="str">
            <v>TƯƠNG ỚT HORECA 5 KG</v>
          </cell>
          <cell r="D1380" t="str">
            <v>HORECA CHILI SAUCE 5KG X 4 BOT</v>
          </cell>
          <cell r="E1380">
            <v>20</v>
          </cell>
          <cell r="F1380" t="str">
            <v>Bỏ chọn</v>
          </cell>
          <cell r="G1380"/>
          <cell r="H1380"/>
        </row>
        <row r="1381">
          <cell r="A1381" t="str">
            <v>7.B24022399359104</v>
          </cell>
          <cell r="B1381" t="str">
            <v>HORECA PREMIUM CHILI SAUCE2.2KG X 6 BOT</v>
          </cell>
          <cell r="C1381" t="str">
            <v>TƯƠNG ỚT HORECA PREMIUM 2.2KG</v>
          </cell>
          <cell r="D1381" t="str">
            <v>HORECA PREMIUM CHILI SAUCE2.2KG X 6 BOT</v>
          </cell>
          <cell r="E1381">
            <v>13.2</v>
          </cell>
          <cell r="F1381" t="str">
            <v>Bỏ chọn</v>
          </cell>
          <cell r="G1381"/>
          <cell r="H1381"/>
        </row>
        <row r="1382">
          <cell r="A1382" t="str">
            <v>7.B24022399039104</v>
          </cell>
          <cell r="B1382" t="str">
            <v>HORECA PREMIUM CHILI SAUCE 5KG X 4 BOT</v>
          </cell>
          <cell r="C1382" t="str">
            <v>TƯƠNG ỚT HORECA PREMIUM 5KG</v>
          </cell>
          <cell r="D1382" t="str">
            <v>HORECA PREMIUM CHILI SAUCE 5KG X 4 BOT</v>
          </cell>
          <cell r="E1382">
            <v>20</v>
          </cell>
          <cell r="F1382" t="str">
            <v>Bỏ chọn</v>
          </cell>
          <cell r="G1382"/>
          <cell r="H1382"/>
        </row>
        <row r="1383">
          <cell r="A1383" t="str">
            <v>7.B24052399470199</v>
          </cell>
          <cell r="B1383" t="str">
            <v>CHILI SATAY 80G X 60 BOT</v>
          </cell>
          <cell r="C1383" t="str">
            <v>ỚT SA TẾ 80G</v>
          </cell>
          <cell r="D1383" t="str">
            <v>CHILI SATAY 80G X 60 BOT</v>
          </cell>
          <cell r="E1383">
            <v>4.8</v>
          </cell>
          <cell r="F1383" t="str">
            <v>Bỏ chọn</v>
          </cell>
          <cell r="G1383" t="str">
            <v>2000000008</v>
          </cell>
          <cell r="H1383" t="str">
            <v>7.B2405239947019901</v>
          </cell>
        </row>
        <row r="1384">
          <cell r="A1384" t="str">
            <v>7.B24052399470109</v>
          </cell>
          <cell r="B1384" t="str">
            <v>SHRIMP SATAY 80G X 60 BOT</v>
          </cell>
          <cell r="C1384" t="str">
            <v>SATẾ TÔM 80G</v>
          </cell>
          <cell r="D1384" t="str">
            <v>SHRIMP SATAY 80G X 60 BOT</v>
          </cell>
          <cell r="E1384">
            <v>4.8</v>
          </cell>
          <cell r="F1384" t="str">
            <v>Bỏ chọn</v>
          </cell>
          <cell r="G1384"/>
          <cell r="H1384"/>
        </row>
        <row r="1385">
          <cell r="A1385" t="str">
            <v>7.B24022399020199</v>
          </cell>
          <cell r="B1385" t="str">
            <v>BAG CHILI SAUCE 1KG X 10 PAC</v>
          </cell>
          <cell r="C1385" t="str">
            <v>TƯƠNG ỚT TÚI 1KG</v>
          </cell>
          <cell r="D1385" t="str">
            <v>BAG CHILI SAUCE 1KG X 10 PAC</v>
          </cell>
          <cell r="E1385">
            <v>10</v>
          </cell>
          <cell r="F1385" t="str">
            <v>Bỏ chọn</v>
          </cell>
          <cell r="G1385"/>
          <cell r="H1385"/>
        </row>
        <row r="1386">
          <cell r="A1386" t="str">
            <v>7.B24012399369199</v>
          </cell>
          <cell r="B1386" t="str">
            <v>HORECA SOY SAUCE 1.96L X 6 BOT</v>
          </cell>
          <cell r="C1386" t="str">
            <v>NƯỚC CHẤM HORECA 1.96L</v>
          </cell>
          <cell r="D1386" t="str">
            <v>HORECA SOY SAUCE 1.96L X 6 BOT</v>
          </cell>
          <cell r="E1386">
            <v>13.2</v>
          </cell>
          <cell r="F1386" t="str">
            <v>Bỏ chọn</v>
          </cell>
          <cell r="G1386"/>
          <cell r="H1386"/>
        </row>
        <row r="1387">
          <cell r="A1387" t="str">
            <v>7.B24012399489199</v>
          </cell>
          <cell r="B1387" t="str">
            <v>HORECA SOY SAUCE 4.5L X 4 BOT</v>
          </cell>
          <cell r="C1387" t="str">
            <v>NƯỚC CHẤM HORECA 4.5L</v>
          </cell>
          <cell r="D1387" t="str">
            <v>HORECA SOY SAUCE 4.5L X 4 BOT</v>
          </cell>
          <cell r="E1387">
            <v>19.5336</v>
          </cell>
          <cell r="F1387" t="str">
            <v>Bỏ chọn</v>
          </cell>
          <cell r="G1387"/>
          <cell r="H1387"/>
        </row>
        <row r="1388">
          <cell r="A1388" t="str">
            <v>7.B250854994292051</v>
          </cell>
          <cell r="B1388" t="str">
            <v>PORK BOUILLON GRANULE 380G X 20 PAC ON PACK 20 PAC NEPTUNE 0.25L</v>
          </cell>
          <cell r="C1388" t="str">
            <v>THỰC PHẨM BỔ SUNG HẠT NÊM 4 TRONG 1 - VỊ HEO 380G ĐÓNG KÈM 20 CHAI DẦU ĂN THƯỢNG HẠNG NHÃN HIỆU NEPTUNE GOLD 0.25L / THÙNG</v>
          </cell>
          <cell r="D1388" t="str">
            <v>PORK BOUILLON GRANULE 380G X 20 PAC ON PACK 20 PAC NEPTUNE 0.25L</v>
          </cell>
          <cell r="E1388">
            <v>12.2</v>
          </cell>
          <cell r="F1388" t="str">
            <v>Bỏ chọn</v>
          </cell>
          <cell r="G1388"/>
          <cell r="H1388"/>
        </row>
        <row r="1389">
          <cell r="A1389" t="str">
            <v>7.B250854994492052</v>
          </cell>
          <cell r="B1389" t="str">
            <v>PORK BOUILLON GRANULE 850G X 10 PAC ON PACK 10 PAC NEPTUNE 0.4L</v>
          </cell>
          <cell r="C1389" t="str">
            <v>THỰC PHẨM BỔ SUNG HẠT NÊM 4 TRONG 1 - VỊ HEO 850G ĐÓNG KÈM 10 CHAI DẦU ĂN THƯỢNG HẠNG NHÃN HIỆU NEPTUNE GOLD 0.4L / THÙNG</v>
          </cell>
          <cell r="D1389" t="str">
            <v>PORK BOUILLON GRANULE 850G X 10 PAC ON PACK 10 PAC NEPTUNE 0.4L</v>
          </cell>
          <cell r="E1389">
            <v>12.14</v>
          </cell>
          <cell r="F1389" t="str">
            <v>Bỏ chọn</v>
          </cell>
          <cell r="G1389"/>
          <cell r="H1389"/>
        </row>
        <row r="1390">
          <cell r="A1390" t="str">
            <v>7.B250854244201061</v>
          </cell>
          <cell r="B1390" t="str">
            <v>MUSHROOM BOUILLON GRANULE 380G ON PACK 20 PAC NEPTUNE 0.25L</v>
          </cell>
          <cell r="C1390" t="str">
            <v>HẠT NÊM TAM BẢO VỊ NẤM 380G ĐÓNG KÈM 20 CHAI DẦU ĂN THƯỢNG HẠNG NHÃN HIỆU NEPTUNE GOLD 0.25L / THÙNG</v>
          </cell>
          <cell r="D1390" t="str">
            <v>MUSHROOM BOUILLON GRANULE 380G ON PACK 20 PAC NEPTUNE 0.25L</v>
          </cell>
          <cell r="E1390">
            <v>12.2</v>
          </cell>
          <cell r="F1390" t="str">
            <v>Bỏ chọn</v>
          </cell>
          <cell r="G1390"/>
          <cell r="H1390"/>
        </row>
        <row r="1391">
          <cell r="A1391" t="str">
            <v>7.B2401239937010201</v>
          </cell>
          <cell r="B1391" t="str">
            <v>HUONG NAM SOY SAUCE 500ML</v>
          </cell>
          <cell r="C1391" t="str">
            <v>NƯỚC CHẤM HƯƠNG NẤM 500ML</v>
          </cell>
          <cell r="D1391" t="str">
            <v>HUONG NAM SOY SAUCE 500ML</v>
          </cell>
          <cell r="E1391">
            <v>0.55740000000000001</v>
          </cell>
          <cell r="F1391" t="str">
            <v>Bỏ chọn</v>
          </cell>
          <cell r="G1391" t="str">
            <v>2000000008</v>
          </cell>
          <cell r="H1391"/>
        </row>
        <row r="1392">
          <cell r="A1392" t="str">
            <v>7.B2401539932721001</v>
          </cell>
          <cell r="B1392" t="str">
            <v>MIVIMEX CHILI GARLIC SOY SAUCE 200G</v>
          </cell>
          <cell r="C1392" t="str">
            <v>NƯỚC CHẤM TỎI ỚT XUẤT KHẨU MIVIMEX 200G</v>
          </cell>
          <cell r="D1392" t="str">
            <v>MIVIMEX CHILI GARLIC SOY SAUCE 200G</v>
          </cell>
          <cell r="E1392">
            <v>0.2</v>
          </cell>
          <cell r="F1392" t="str">
            <v>Bỏ chọn</v>
          </cell>
          <cell r="G1392"/>
          <cell r="H1392"/>
        </row>
        <row r="1393">
          <cell r="A1393" t="str">
            <v>7.B2401539938729901</v>
          </cell>
          <cell r="B1393" t="str">
            <v>MIVIMEX SOY SAUCE 210G</v>
          </cell>
          <cell r="C1393" t="str">
            <v>NƯỚC CHẤM XUẤT KHẨU MIVIMEX 210G</v>
          </cell>
          <cell r="D1393" t="str">
            <v>MIVIMEX SOY SAUCE 210G</v>
          </cell>
          <cell r="E1393">
            <v>0.21</v>
          </cell>
          <cell r="F1393" t="str">
            <v>Bỏ chọn</v>
          </cell>
          <cell r="G1393"/>
          <cell r="H1393"/>
        </row>
        <row r="1394">
          <cell r="A1394" t="str">
            <v>7.B2401239937921301</v>
          </cell>
          <cell r="B1394" t="str">
            <v>NAM DUONG CONDENSED SOY SAUCE 500ML</v>
          </cell>
          <cell r="C1394" t="str">
            <v>THỰC PHẨM BỔ SUNG NƯỚC TƯƠNG NAM DƯƠNG ĐẬM ĐẶC 500ML</v>
          </cell>
          <cell r="D1394" t="str">
            <v>NAM DUONG CONDENSED SOY SAUCE 500ML</v>
          </cell>
          <cell r="E1394">
            <v>0.56079999999999997</v>
          </cell>
          <cell r="F1394" t="str">
            <v>Bỏ chọn</v>
          </cell>
          <cell r="G1394" t="str">
            <v>2000000008</v>
          </cell>
          <cell r="H1394"/>
        </row>
        <row r="1395">
          <cell r="A1395" t="str">
            <v>7.B2401239939921301</v>
          </cell>
          <cell r="B1395" t="str">
            <v>NAM DUONG CONDENSED SOY SAUCE 280ML</v>
          </cell>
          <cell r="C1395" t="str">
            <v>THỰC PHẨM BỔ SUNG NƯỚC TƯƠNG NAM DƯƠNG ĐẬM ĐẶC 280ML</v>
          </cell>
          <cell r="D1395" t="str">
            <v>NAM DUONG CONDENSED SOY SAUCE 280ML</v>
          </cell>
          <cell r="E1395">
            <v>0.314</v>
          </cell>
          <cell r="F1395" t="str">
            <v>Bỏ chọn</v>
          </cell>
          <cell r="G1395" t="str">
            <v>2000000008</v>
          </cell>
          <cell r="H1395"/>
        </row>
        <row r="1396">
          <cell r="A1396" t="str">
            <v>7.B2401230237019901</v>
          </cell>
          <cell r="B1396" t="str">
            <v>HANG VIET SOY SAUCE 500ML</v>
          </cell>
          <cell r="C1396" t="str">
            <v>NƯỚC CHẤM HÀNG VIỆT 500ML</v>
          </cell>
          <cell r="D1396" t="str">
            <v>HANG VIET SOY SAUCE 500ML</v>
          </cell>
          <cell r="E1396">
            <v>0.54</v>
          </cell>
          <cell r="F1396" t="str">
            <v>Bỏ chọn</v>
          </cell>
          <cell r="G1396"/>
          <cell r="H1396"/>
        </row>
        <row r="1397">
          <cell r="A1397" t="str">
            <v>7.B2401239937010101</v>
          </cell>
          <cell r="B1397" t="str">
            <v>SOYA SOY SAUCE 500ML</v>
          </cell>
          <cell r="C1397" t="str">
            <v>NƯỚC CHẤM SOYA 500ML</v>
          </cell>
          <cell r="D1397" t="str">
            <v>SOYA SOY SAUCE 500ML</v>
          </cell>
          <cell r="E1397">
            <v>0.54459999999999997</v>
          </cell>
          <cell r="F1397" t="str">
            <v>Bỏ chọn</v>
          </cell>
          <cell r="G1397"/>
          <cell r="H1397"/>
        </row>
        <row r="1398">
          <cell r="A1398" t="str">
            <v>7.B2401239940010401</v>
          </cell>
          <cell r="B1398" t="str">
            <v>PREMIUM SOY SAUCE 210ML</v>
          </cell>
          <cell r="C1398" t="str">
            <v>NƯỚC TƯƠNG THƯỢNG HẠNG 210ML</v>
          </cell>
          <cell r="D1398" t="str">
            <v>PREMIUM SOY SAUCE 210ML</v>
          </cell>
          <cell r="E1398">
            <v>0.23430000000000001</v>
          </cell>
          <cell r="F1398" t="str">
            <v>Bỏ chọn</v>
          </cell>
          <cell r="G1398" t="str">
            <v>2000000008</v>
          </cell>
          <cell r="H1398"/>
        </row>
        <row r="1399">
          <cell r="A1399" t="str">
            <v>7.B2401232537729901</v>
          </cell>
          <cell r="B1399" t="str">
            <v xml:space="preserve">SOBI SOY SAUCE 500ML </v>
          </cell>
          <cell r="C1399" t="str">
            <v>NƯỚC TƯƠNG SOBI 500ML</v>
          </cell>
          <cell r="D1399" t="str">
            <v xml:space="preserve">SOBI SOY SAUCE 500ML </v>
          </cell>
          <cell r="E1399">
            <v>0.5444</v>
          </cell>
          <cell r="F1399" t="str">
            <v>Bỏ chọn</v>
          </cell>
          <cell r="G1399"/>
          <cell r="H1399"/>
        </row>
        <row r="1400">
          <cell r="A1400" t="str">
            <v>7.B2402239918010301</v>
          </cell>
          <cell r="B1400" t="str">
            <v>SPECIAL HOT CHILI SAUCE 250G</v>
          </cell>
          <cell r="C1400" t="str">
            <v>TƯƠNG ỚT ĐẶC BIỆT CAY 250G</v>
          </cell>
          <cell r="D1400" t="str">
            <v>SPECIAL HOT CHILI SAUCE 250G</v>
          </cell>
          <cell r="E1400">
            <v>0.25</v>
          </cell>
          <cell r="F1400" t="str">
            <v>Bỏ chọn</v>
          </cell>
          <cell r="G1400" t="str">
            <v>2000000008</v>
          </cell>
          <cell r="H1400"/>
        </row>
        <row r="1401">
          <cell r="A1401" t="str">
            <v>7.B2402239933010301</v>
          </cell>
          <cell r="B1401" t="str">
            <v xml:space="preserve">SPECIAL HOT CHILI SAUCE 400G </v>
          </cell>
          <cell r="C1401" t="str">
            <v>TƯƠNG ỚT ĐẶC BIỆT CAY 400G</v>
          </cell>
          <cell r="D1401" t="str">
            <v xml:space="preserve">SPECIAL HOT CHILI SAUCE 400G </v>
          </cell>
          <cell r="E1401">
            <v>0.4</v>
          </cell>
          <cell r="F1401" t="str">
            <v>Bỏ chọn</v>
          </cell>
          <cell r="G1401" t="str">
            <v>2000000008</v>
          </cell>
          <cell r="H1401"/>
        </row>
        <row r="1402">
          <cell r="A1402" t="str">
            <v>7.B2402239918019901</v>
          </cell>
          <cell r="B1402" t="str">
            <v>CHILI SAUCE 250G</v>
          </cell>
          <cell r="C1402" t="str">
            <v>TƯƠNG ỚT 250G</v>
          </cell>
          <cell r="D1402" t="str">
            <v>CHILI SAUCE 250G</v>
          </cell>
          <cell r="E1402">
            <v>0.25</v>
          </cell>
          <cell r="F1402" t="str">
            <v>Bỏ chọn</v>
          </cell>
          <cell r="G1402" t="str">
            <v>2000000008</v>
          </cell>
          <cell r="H1402"/>
        </row>
        <row r="1403">
          <cell r="A1403" t="str">
            <v>7.B2402239933019901</v>
          </cell>
          <cell r="B1403" t="str">
            <v xml:space="preserve">CHILI SAUCE 400G </v>
          </cell>
          <cell r="C1403" t="str">
            <v>TƯƠNG ỚT 400G</v>
          </cell>
          <cell r="D1403" t="str">
            <v xml:space="preserve">CHILI SAUCE 400G </v>
          </cell>
          <cell r="E1403">
            <v>0.4</v>
          </cell>
          <cell r="F1403" t="str">
            <v>Bỏ chọn</v>
          </cell>
          <cell r="G1403"/>
          <cell r="H1403"/>
        </row>
        <row r="1404">
          <cell r="A1404" t="str">
            <v>7.B2402539932721101</v>
          </cell>
          <cell r="B1404" t="str">
            <v>MIVIMEX GARLIC CHILI SAUCE 200G</v>
          </cell>
          <cell r="C1404" t="str">
            <v>TƯƠNG ỚT TỎI XUẤT KHẨU MIVIMEX 200G</v>
          </cell>
          <cell r="D1404" t="str">
            <v xml:space="preserve">MIVIMEX GARLIC CHILI SAUCE 200G </v>
          </cell>
          <cell r="E1404">
            <v>0.2</v>
          </cell>
          <cell r="F1404" t="str">
            <v>Bỏ chọn</v>
          </cell>
          <cell r="G1404"/>
          <cell r="H1404"/>
        </row>
        <row r="1405">
          <cell r="A1405" t="str">
            <v>7.B2402539932721201</v>
          </cell>
          <cell r="B1405" t="str">
            <v>MIVIMEX GARLIC TOMATO CHILI SAUCE 200G</v>
          </cell>
          <cell r="C1405" t="str">
            <v>TƯƠNG ỚT VỚI TỎI VÀ CÀ CHUA XUẤT KHẨU MIVIMEX 200G</v>
          </cell>
          <cell r="D1405" t="str">
            <v>MIVIMEX GARLIC TOMATO CHILI SAUCE 200G</v>
          </cell>
          <cell r="E1405">
            <v>0.2</v>
          </cell>
          <cell r="F1405" t="str">
            <v>Bỏ chọn</v>
          </cell>
          <cell r="G1405"/>
          <cell r="H1405"/>
        </row>
        <row r="1406">
          <cell r="A1406" t="str">
            <v>7.B2402539932721401</v>
          </cell>
          <cell r="B1406" t="str">
            <v>MIVIMEX SPICY CHILI SAUCE 200G</v>
          </cell>
          <cell r="C1406" t="str">
            <v>TƯƠNG ỚT CAY XUẤT KHẨU MIVIMEX 200G</v>
          </cell>
          <cell r="D1406" t="str">
            <v xml:space="preserve">MIVIMEX SPICY CHILI SAUCE 200G </v>
          </cell>
          <cell r="E1406">
            <v>0.2</v>
          </cell>
          <cell r="F1406" t="str">
            <v>Bỏ chọn</v>
          </cell>
          <cell r="G1406"/>
          <cell r="H1406"/>
        </row>
        <row r="1407">
          <cell r="A1407" t="str">
            <v>7.B2402539932729901</v>
          </cell>
          <cell r="B1407" t="str">
            <v xml:space="preserve">MIVIMEX CHILI SAUCE 200G </v>
          </cell>
          <cell r="C1407" t="str">
            <v>TƯƠNG ỚT XUẤT KHẨU MIVIMEX 200G</v>
          </cell>
          <cell r="D1407" t="str">
            <v>MIVIMEX CHILI SAUCE 200G</v>
          </cell>
          <cell r="E1407">
            <v>0.2</v>
          </cell>
          <cell r="F1407" t="str">
            <v>Bỏ chọn</v>
          </cell>
          <cell r="G1407"/>
          <cell r="H1407"/>
        </row>
        <row r="1408">
          <cell r="A1408" t="str">
            <v>7.B2508549941920501</v>
          </cell>
          <cell r="B1408" t="str">
            <v xml:space="preserve">PORK BOUILLON GRANULE 170G </v>
          </cell>
          <cell r="C1408" t="str">
            <v>THỰC PHẨM BỔ SUNG HẠT NÊM 4 TRONG 1 - VỊ HEO 170G</v>
          </cell>
          <cell r="D1408" t="str">
            <v>PORK BOUILLON GRANULE 170G</v>
          </cell>
          <cell r="E1408">
            <v>0.17</v>
          </cell>
          <cell r="F1408" t="str">
            <v>Bỏ chọn</v>
          </cell>
          <cell r="G1408"/>
          <cell r="H1408"/>
        </row>
        <row r="1409">
          <cell r="A1409" t="str">
            <v>7.B2508549942920501</v>
          </cell>
          <cell r="B1409" t="str">
            <v>PORK BOUILLON GRANULE 380G</v>
          </cell>
          <cell r="C1409" t="str">
            <v>THỰC PHẨM BỔ SUNG HẠT NÊM 4 TRONG 1 - VỊ HEO 380G</v>
          </cell>
          <cell r="D1409" t="str">
            <v xml:space="preserve">PORK BOUILLON GRANULE 380G </v>
          </cell>
          <cell r="E1409">
            <v>0.38</v>
          </cell>
          <cell r="F1409" t="str">
            <v>Bỏ chọn</v>
          </cell>
          <cell r="G1409"/>
          <cell r="H1409"/>
        </row>
        <row r="1410">
          <cell r="A1410" t="str">
            <v>7.B2508549943920501</v>
          </cell>
          <cell r="B1410" t="str">
            <v>PORK BOUILLON GRANULE 50G</v>
          </cell>
          <cell r="C1410" t="str">
            <v>THỰC PHẨM BỔ SUNG HẠT NÊM 4 TRONG 1 - VỊ HEO 50G</v>
          </cell>
          <cell r="D1410" t="str">
            <v>PORK BOUILLON GRANULE 50G</v>
          </cell>
          <cell r="E1410">
            <v>0.05</v>
          </cell>
          <cell r="F1410" t="str">
            <v>Bỏ chọn</v>
          </cell>
          <cell r="G1410"/>
          <cell r="H1410"/>
        </row>
        <row r="1411">
          <cell r="A1411" t="str">
            <v>7.B2508549944920501</v>
          </cell>
          <cell r="B1411" t="str">
            <v xml:space="preserve">PORK BOUILLON GRANULE 850G </v>
          </cell>
          <cell r="C1411" t="str">
            <v>THỰC PHẨM BỔ SUNG HẠT NÊM 4 TRONG 1 - VỊ HEO 850G</v>
          </cell>
          <cell r="D1411" t="str">
            <v xml:space="preserve">PORK BOUILLON GRANULE 850G </v>
          </cell>
          <cell r="E1411">
            <v>0.85</v>
          </cell>
          <cell r="F1411" t="str">
            <v>Bỏ chọn</v>
          </cell>
          <cell r="G1411"/>
          <cell r="H1411"/>
        </row>
        <row r="1412">
          <cell r="A1412" t="str">
            <v>7.B2508542441010601</v>
          </cell>
          <cell r="B1412" t="str">
            <v xml:space="preserve">MUSHROOM BOUILLON GRANULE 170G </v>
          </cell>
          <cell r="C1412" t="str">
            <v>HẠT NÊM TAM BẢO VỊ NẤM 170G</v>
          </cell>
          <cell r="D1412" t="str">
            <v>MUSHROOM BOUILLON GRANULE 170G</v>
          </cell>
          <cell r="E1412">
            <v>0.17</v>
          </cell>
          <cell r="F1412" t="str">
            <v>Bỏ chọn</v>
          </cell>
          <cell r="G1412"/>
          <cell r="H1412"/>
        </row>
        <row r="1413">
          <cell r="A1413" t="str">
            <v>7.B2508542442010601</v>
          </cell>
          <cell r="B1413" t="str">
            <v>MUSHROOM BOUILLON GRANULE 380G</v>
          </cell>
          <cell r="C1413" t="str">
            <v>HẠT NÊM TAM BẢO VỊ NẤM 380G</v>
          </cell>
          <cell r="D1413" t="str">
            <v>MUSHROOM BOUILLON GRANULE 380G</v>
          </cell>
          <cell r="E1413">
            <v>0.38</v>
          </cell>
          <cell r="F1413" t="str">
            <v>Bỏ chọn</v>
          </cell>
          <cell r="G1413" t="str">
            <v>2000000008</v>
          </cell>
          <cell r="H1413"/>
        </row>
        <row r="1414">
          <cell r="A1414" t="str">
            <v>7.B2508542443010601</v>
          </cell>
          <cell r="B1414" t="str">
            <v xml:space="preserve">MUSHROOM BOUILLON GRANULE 50G </v>
          </cell>
          <cell r="C1414" t="str">
            <v>HẠT NÊM TAM BẢO VỊ NẤM 50G</v>
          </cell>
          <cell r="D1414" t="str">
            <v xml:space="preserve">MUSHROOM BOUILLON GRANULE 50G </v>
          </cell>
          <cell r="E1414">
            <v>0.05</v>
          </cell>
          <cell r="F1414" t="str">
            <v>Bỏ chọn</v>
          </cell>
          <cell r="G1414"/>
          <cell r="H1414"/>
        </row>
        <row r="1415">
          <cell r="A1415" t="str">
            <v>7.B2508542444010601</v>
          </cell>
          <cell r="B1415" t="str">
            <v>MUSHROOM BOUILLON GRANULE 850G</v>
          </cell>
          <cell r="C1415" t="str">
            <v>HẠT NÊM TAM BẢO VỊ NẤM 850G</v>
          </cell>
          <cell r="D1415" t="str">
            <v>MUSHROOM BOUILLON GRANULE 850G</v>
          </cell>
          <cell r="E1415">
            <v>0.85</v>
          </cell>
          <cell r="F1415" t="str">
            <v>Bỏ chọn</v>
          </cell>
          <cell r="G1415"/>
          <cell r="H1415"/>
        </row>
        <row r="1416">
          <cell r="A1416" t="str">
            <v>7.B2508549941920701</v>
          </cell>
          <cell r="B1416" t="str">
            <v>CHICKEN BOUILLON GRANULE 170G</v>
          </cell>
          <cell r="C1416" t="str">
            <v>THỰC PHẨM BỔ SUNG HẠT NÊM GÀ HẦM NHẤT VỊ - VỊ GÀ 170G</v>
          </cell>
          <cell r="D1416" t="str">
            <v>CHICKEN BOUILLON GRANULE 170G</v>
          </cell>
          <cell r="E1416">
            <v>0.17</v>
          </cell>
          <cell r="F1416" t="str">
            <v>Bỏ chọn</v>
          </cell>
          <cell r="G1416"/>
          <cell r="H1416"/>
        </row>
        <row r="1417">
          <cell r="A1417" t="str">
            <v>7.B2508549942920701</v>
          </cell>
          <cell r="B1417" t="str">
            <v xml:space="preserve">CHICKEN BOUILLON GRANULE 380G </v>
          </cell>
          <cell r="C1417" t="str">
            <v>THỰC PHẨM BỔ SUNG HẠT NÊM GÀ HẦM NHẤT VỊ - VỊ GÀ 380G</v>
          </cell>
          <cell r="D1417" t="str">
            <v xml:space="preserve">CHICKEN BOUILLON GRANULE 380G </v>
          </cell>
          <cell r="E1417">
            <v>0.38</v>
          </cell>
          <cell r="F1417" t="str">
            <v>Bỏ chọn</v>
          </cell>
          <cell r="G1417"/>
          <cell r="H1417"/>
        </row>
        <row r="1418">
          <cell r="A1418" t="str">
            <v>7.B2508549943920701</v>
          </cell>
          <cell r="B1418" t="str">
            <v xml:space="preserve">CHICKEN BOUILLON GRANULE 50G </v>
          </cell>
          <cell r="C1418" t="str">
            <v>THỰC PHẨM BỔ SUNG HẠT NÊM GÀ HẦM NHẤT VỊ - VỊ GÀ 50G</v>
          </cell>
          <cell r="D1418" t="str">
            <v>CHICKEN BOUILLON GRANULE 50G</v>
          </cell>
          <cell r="E1418">
            <v>0.05</v>
          </cell>
          <cell r="F1418" t="str">
            <v>Bỏ chọn</v>
          </cell>
          <cell r="G1418"/>
          <cell r="H1418"/>
        </row>
        <row r="1419">
          <cell r="A1419" t="str">
            <v>7.B2508549944920701</v>
          </cell>
          <cell r="B1419" t="str">
            <v>CHICKEN BOUILLON GRANULE 850G</v>
          </cell>
          <cell r="C1419" t="str">
            <v>THỰC PHẨM BỔ SUNG HẠT NÊM GÀ HẦM NHẤT VỊ - VỊ GÀ 850G</v>
          </cell>
          <cell r="D1419" t="str">
            <v xml:space="preserve">CHICKEN BOUILLON GRANULE 850G </v>
          </cell>
          <cell r="E1419">
            <v>0.85</v>
          </cell>
          <cell r="F1419" t="str">
            <v>Bỏ chọn</v>
          </cell>
          <cell r="G1419"/>
          <cell r="H1419"/>
        </row>
        <row r="1420">
          <cell r="A1420" t="str">
            <v>7.B2402239918010801</v>
          </cell>
          <cell r="B1420" t="str">
            <v>SWEET AND SOUR CHILI SAUCE 250G</v>
          </cell>
          <cell r="C1420" t="str">
            <v>TƯƠNG ỚT CHUA NGỌT 250G</v>
          </cell>
          <cell r="D1420" t="str">
            <v>SWEET AND SOUR CHILI SAUCE 250G</v>
          </cell>
          <cell r="E1420">
            <v>0.25</v>
          </cell>
          <cell r="F1420" t="str">
            <v>Bỏ chọn</v>
          </cell>
          <cell r="G1420"/>
          <cell r="H1420"/>
        </row>
        <row r="1421">
          <cell r="A1421" t="str">
            <v>7.B2403239916019901</v>
          </cell>
          <cell r="B1421" t="str">
            <v xml:space="preserve">OYSTER SAUCE 265G </v>
          </cell>
          <cell r="C1421" t="str">
            <v>DẦU HÀO 265G</v>
          </cell>
          <cell r="D1421" t="str">
            <v xml:space="preserve">OYSTER SAUCE 265G </v>
          </cell>
          <cell r="E1421">
            <v>0.26500000000000001</v>
          </cell>
          <cell r="F1421" t="str">
            <v>Bỏ chọn</v>
          </cell>
          <cell r="G1421"/>
          <cell r="H1421"/>
        </row>
        <row r="1422">
          <cell r="A1422" t="str">
            <v>7.B2409239918019901</v>
          </cell>
          <cell r="B1422" t="str">
            <v xml:space="preserve">SALAD DRESSING 250G </v>
          </cell>
          <cell r="C1422" t="str">
            <v>SỐT DẦU DẤM TRỘN SALAD 250G</v>
          </cell>
          <cell r="D1422" t="str">
            <v xml:space="preserve">SALAD DRESSING 250G </v>
          </cell>
          <cell r="E1422">
            <v>0.25</v>
          </cell>
          <cell r="F1422" t="str">
            <v>Bỏ chọn</v>
          </cell>
          <cell r="G1422" t="str">
            <v>2000000008</v>
          </cell>
          <cell r="H1422"/>
        </row>
        <row r="1423">
          <cell r="A1423" t="str">
            <v>7.B2402239945019901</v>
          </cell>
          <cell r="B1423" t="str">
            <v>CHILI SAUCE 470G</v>
          </cell>
          <cell r="C1423" t="str">
            <v>TƯƠNG ỚT CHILI 470G</v>
          </cell>
          <cell r="D1423" t="str">
            <v>CHILI SAUCE 470G</v>
          </cell>
          <cell r="E1423">
            <v>0.47</v>
          </cell>
          <cell r="F1423" t="str">
            <v>Bỏ chọn</v>
          </cell>
          <cell r="G1423"/>
          <cell r="H1423"/>
        </row>
        <row r="1424">
          <cell r="A1424" t="str">
            <v>7.B2402239932019901</v>
          </cell>
          <cell r="B1424" t="str">
            <v>CHILI SAUCE 200G</v>
          </cell>
          <cell r="C1424" t="str">
            <v>TƯƠNG ỚT CHILI 200G</v>
          </cell>
          <cell r="D1424" t="str">
            <v>CHILI SAUCE 200G</v>
          </cell>
          <cell r="E1424">
            <v>0.2</v>
          </cell>
          <cell r="F1424" t="str">
            <v>Bỏ chọn</v>
          </cell>
          <cell r="G1424"/>
          <cell r="H1424"/>
        </row>
        <row r="1425">
          <cell r="A1425" t="str">
            <v>7.B2402239920919901</v>
          </cell>
          <cell r="B1425" t="str">
            <v xml:space="preserve">HORECA CHILI SAUCE 2.1KG </v>
          </cell>
          <cell r="C1425" t="str">
            <v>TƯƠNG ỚT HORECA 2.1KG</v>
          </cell>
          <cell r="D1425" t="str">
            <v xml:space="preserve">HORECA CHILI SAUCE 2.1KG </v>
          </cell>
          <cell r="E1425">
            <v>2.1</v>
          </cell>
          <cell r="F1425" t="str">
            <v>Bỏ chọn</v>
          </cell>
          <cell r="G1425" t="str">
            <v>2000000008</v>
          </cell>
          <cell r="H1425"/>
        </row>
        <row r="1426">
          <cell r="A1426" t="str">
            <v>7.B2402239903919901</v>
          </cell>
          <cell r="B1426" t="str">
            <v xml:space="preserve">HORECA CHILI SAUCE 5KG </v>
          </cell>
          <cell r="C1426" t="str">
            <v>TƯƠNG ỚT HORECA 5 KG</v>
          </cell>
          <cell r="D1426" t="str">
            <v>HORECA CHILI SAUCE 5KG</v>
          </cell>
          <cell r="E1426">
            <v>5</v>
          </cell>
          <cell r="F1426" t="str">
            <v>Bỏ chọn</v>
          </cell>
          <cell r="G1426"/>
          <cell r="H1426"/>
        </row>
        <row r="1427">
          <cell r="A1427" t="str">
            <v>7.B2402239935910401</v>
          </cell>
          <cell r="B1427" t="str">
            <v>HORECA PREMIUM CHILI SAUCE2.2KG</v>
          </cell>
          <cell r="C1427" t="str">
            <v>TƯƠNG ỚT HORECA PREMIUM 2.2KG</v>
          </cell>
          <cell r="D1427" t="str">
            <v>HORECA PREMIUM CHILI SAUCE2.2KG</v>
          </cell>
          <cell r="E1427">
            <v>2.2000000000000002</v>
          </cell>
          <cell r="F1427" t="str">
            <v>Bỏ chọn</v>
          </cell>
          <cell r="G1427"/>
          <cell r="H1427"/>
        </row>
        <row r="1428">
          <cell r="A1428" t="str">
            <v>7.B2402239903910401</v>
          </cell>
          <cell r="B1428" t="str">
            <v>HORECA PREMIUM CHILI SAUCE 5KG</v>
          </cell>
          <cell r="C1428" t="str">
            <v>TƯƠNG ỚT HORECA PREMIUM 5KG</v>
          </cell>
          <cell r="D1428" t="str">
            <v>HORECA PREMIUM CHILI SAUCE 5KG</v>
          </cell>
          <cell r="E1428">
            <v>5</v>
          </cell>
          <cell r="F1428" t="str">
            <v>Bỏ chọn</v>
          </cell>
          <cell r="G1428"/>
          <cell r="H1428"/>
        </row>
        <row r="1429">
          <cell r="A1429" t="str">
            <v>7.B2405239947019901</v>
          </cell>
          <cell r="B1429" t="str">
            <v>CHILI SATAY 80G</v>
          </cell>
          <cell r="C1429" t="str">
            <v>ỚT SA TẾ 80G</v>
          </cell>
          <cell r="D1429" t="str">
            <v>CHILI SATAY 80G</v>
          </cell>
          <cell r="E1429">
            <v>0.08</v>
          </cell>
          <cell r="F1429" t="str">
            <v>Bỏ chọn</v>
          </cell>
          <cell r="G1429" t="str">
            <v>2000000008</v>
          </cell>
          <cell r="H1429"/>
        </row>
        <row r="1430">
          <cell r="A1430" t="str">
            <v>7.B2405239947010901</v>
          </cell>
          <cell r="B1430" t="str">
            <v>SHRIMP SATAY 80G</v>
          </cell>
          <cell r="C1430" t="str">
            <v>SATẾ TÔM 80G</v>
          </cell>
          <cell r="D1430" t="str">
            <v>SHRIMP SATAY 80G</v>
          </cell>
          <cell r="E1430">
            <v>0.08</v>
          </cell>
          <cell r="F1430" t="str">
            <v>Bỏ chọn</v>
          </cell>
          <cell r="G1430"/>
          <cell r="H1430"/>
        </row>
        <row r="1431">
          <cell r="A1431" t="str">
            <v>7.B2402239902019901</v>
          </cell>
          <cell r="B1431" t="str">
            <v>BAG CHILI SAUCE 1KG</v>
          </cell>
          <cell r="C1431" t="str">
            <v>TƯƠNG ỚT TÚI 1KG</v>
          </cell>
          <cell r="D1431" t="str">
            <v>BAG CHILI SAUCE 1KG</v>
          </cell>
          <cell r="E1431">
            <v>1</v>
          </cell>
          <cell r="F1431" t="str">
            <v>Bỏ chọn</v>
          </cell>
          <cell r="G1431"/>
          <cell r="H1431"/>
        </row>
        <row r="1432">
          <cell r="A1432" t="str">
            <v>7.B2401239936919901</v>
          </cell>
          <cell r="B1432" t="str">
            <v>HORECA SOY SAUCE 1.96L</v>
          </cell>
          <cell r="C1432" t="str">
            <v>NƯỚC CHẤM HORECA 1.96L</v>
          </cell>
          <cell r="D1432" t="str">
            <v>HORECA SOY SAUCE 1.96L</v>
          </cell>
          <cell r="E1432">
            <v>2.2000000000000002</v>
          </cell>
          <cell r="F1432" t="str">
            <v>Bỏ chọn</v>
          </cell>
          <cell r="G1432"/>
          <cell r="H1432"/>
        </row>
        <row r="1433">
          <cell r="A1433" t="str">
            <v>7.B2401239948919901</v>
          </cell>
          <cell r="B1433" t="str">
            <v>HORECA SOY SAUCE 4.5L</v>
          </cell>
          <cell r="C1433" t="str">
            <v>NƯỚC CHẤM HORECA 4.5L</v>
          </cell>
          <cell r="D1433" t="str">
            <v>HORECA SOY SAUCE 4.5L</v>
          </cell>
          <cell r="E1433">
            <v>4.8834</v>
          </cell>
          <cell r="F1433" t="str">
            <v>Bỏ chọn</v>
          </cell>
          <cell r="G1433"/>
          <cell r="H1433"/>
        </row>
        <row r="1434">
          <cell r="A1434" t="str">
            <v>7.B25085499429205101</v>
          </cell>
          <cell r="B1434" t="str">
            <v>PORK BOUILLON GRANULE 380G ON PACK 1 PAC NEPTUNE 0.25L</v>
          </cell>
          <cell r="C1434" t="str">
            <v>THỰC PHẨM BỔ SUNG HẠT NÊM 4 TRONG 1 - VỊ HEO 380G ĐÓNG KÈM 1 CHAI DẦU ĂN THƯỢNG HẠNG NHÃN HIỆU NEPTUNE GOLD 0.25L</v>
          </cell>
          <cell r="D1434" t="str">
            <v>PORK BOUILLON GRANULE 380G ON PACK 1 PAC NEPTUNE 0.25L</v>
          </cell>
          <cell r="E1434">
            <v>0.61</v>
          </cell>
          <cell r="F1434" t="str">
            <v>Bỏ chọn</v>
          </cell>
          <cell r="G1434"/>
          <cell r="H1434"/>
        </row>
        <row r="1435">
          <cell r="A1435" t="str">
            <v>7.B25085499449205201</v>
          </cell>
          <cell r="B1435" t="str">
            <v>PORK BOUILLON GRANULE 850G ON PACK 1 PAC NEPTUNE 0.4L</v>
          </cell>
          <cell r="C1435" t="str">
            <v>THỰC PHẨM BỔ SUNG HẠT NÊM 4 TRONG 1 - VỊ HEO 850G ĐÓNG KÈM 1 CHAI DẦU ĂN THƯỢNG HẠNG NHÃN HIỆU NEPTUNE GOLD 0.4L</v>
          </cell>
          <cell r="D1435" t="str">
            <v>PORK BOUILLON GRANULE 850G ON PACK 1 PAC NEPTUNE 0.4L</v>
          </cell>
          <cell r="E1435">
            <v>1.214</v>
          </cell>
          <cell r="F1435" t="str">
            <v>Bỏ chọn</v>
          </cell>
          <cell r="G1435"/>
          <cell r="H1435"/>
        </row>
        <row r="1436">
          <cell r="A1436" t="str">
            <v>7.B25085424420106101</v>
          </cell>
          <cell r="B1436" t="str">
            <v>MUSHROOM BOUILLON GRANULE 380G ON PACK 1 PAC NEPTUNE 0.25L</v>
          </cell>
          <cell r="C1436" t="str">
            <v>HẠT NÊM TAM BẢO VỊ NẤM 380G ĐÓNG KÈM 1 CHAI DẦU ĂN THƯỢNG HẠNG NHÃN HIỆU NEPTUNE GOLD 0.25L</v>
          </cell>
          <cell r="D1436" t="str">
            <v>MUSHROOM BOUILLON GRANULE 380G ON PACK 1 PAC NEPTUNE 0.25L</v>
          </cell>
          <cell r="E1436">
            <v>0.61</v>
          </cell>
          <cell r="F1436" t="str">
            <v>Bỏ chọn</v>
          </cell>
          <cell r="G1436"/>
          <cell r="H1436"/>
        </row>
        <row r="1437">
          <cell r="A1437" t="str">
            <v>V51.901.044</v>
          </cell>
          <cell r="B1437" t="str">
            <v>SET GIFT PACK,PEN &amp; SPARE BATTERY CHARGER</v>
          </cell>
          <cell r="C1437" t="str">
            <v>BỘ HỘP QUÀ, BÚT VÀ SẠC PIN DỰ PHÒNG</v>
          </cell>
          <cell r="D1437" t="str">
            <v>SET GIFT PACK,PEN &amp; SPARE BATTERY CHARGER</v>
          </cell>
          <cell r="E1437">
            <v>0</v>
          </cell>
          <cell r="F1437" t="str">
            <v>Bỏ chọn</v>
          </cell>
          <cell r="G1437"/>
          <cell r="H1437"/>
        </row>
        <row r="1438">
          <cell r="A1438" t="str">
            <v>7.5239922990593</v>
          </cell>
          <cell r="B1438" t="str">
            <v>BLUE COMPASS-25-VIFON</v>
          </cell>
          <cell r="C1438" t="str">
            <v>BỘT MÌ NHÃN HIỆU "LA BÀN XANH" (25KG)</v>
          </cell>
          <cell r="D1438" t="str">
            <v>BLUE COMPASS-25-VIFON</v>
          </cell>
          <cell r="E1438">
            <v>1</v>
          </cell>
          <cell r="F1438" t="str">
            <v>Bỏ chọn</v>
          </cell>
          <cell r="G1438"/>
          <cell r="H1438"/>
        </row>
        <row r="1439">
          <cell r="A1439" t="str">
            <v>V56.031.008</v>
          </cell>
          <cell r="B1439" t="str">
            <v>ACCESS CONTROL ZK TF1700</v>
          </cell>
          <cell r="C1439" t="str">
            <v>MÁY CHẤM CÔNG ZK TF1700</v>
          </cell>
          <cell r="D1439" t="str">
            <v>ACCESS CONTROL ZK TF1700</v>
          </cell>
          <cell r="E1439">
            <v>0</v>
          </cell>
          <cell r="F1439" t="str">
            <v>Bỏ chọn</v>
          </cell>
          <cell r="G1439"/>
          <cell r="H1439"/>
        </row>
        <row r="1440">
          <cell r="A1440" t="str">
            <v>V56.079.001</v>
          </cell>
          <cell r="B1440" t="str">
            <v>EXTENDED READER FR1200</v>
          </cell>
          <cell r="C1440" t="str">
            <v>ĐẦU ĐỌC MỞ RỘNG FR1200</v>
          </cell>
          <cell r="D1440" t="str">
            <v>EXTENDED READER FR1200</v>
          </cell>
          <cell r="E1440">
            <v>0</v>
          </cell>
          <cell r="F1440" t="str">
            <v>Bỏ chọn</v>
          </cell>
          <cell r="G1440"/>
          <cell r="H1440"/>
        </row>
        <row r="1441">
          <cell r="A1441" t="str">
            <v>7.131005E41702C50</v>
          </cell>
          <cell r="B1441" t="str">
            <v>MEIZAN COOKING OIL 9KG X 2 BTL</v>
          </cell>
          <cell r="C1441" t="str">
            <v>DẦU THỰC VẬT CAO CẤP NHÃN HIỆU MEIZAN 9KG</v>
          </cell>
          <cell r="D1441" t="str">
            <v>MEIZAN COOKING OIL 9KG X 2 BTL</v>
          </cell>
          <cell r="E1441">
            <v>18</v>
          </cell>
          <cell r="F1441" t="str">
            <v>Chọn</v>
          </cell>
          <cell r="G1441"/>
          <cell r="H1441" t="str">
            <v>7.131005E41700C50</v>
          </cell>
        </row>
        <row r="1442">
          <cell r="A1442" t="str">
            <v>7.131005E41700C50</v>
          </cell>
          <cell r="B1442" t="str">
            <v>MEIZAN COOKING OIL IN BOTTLE @9KG</v>
          </cell>
          <cell r="C1442" t="str">
            <v>DẦU THỰC VẬT CAO CẤP NHÃN HIỆU MEIZAN 9KG</v>
          </cell>
          <cell r="D1442" t="str">
            <v>MEIZAN COOKING OIL IN BOTTLE @9KG</v>
          </cell>
          <cell r="E1442">
            <v>9</v>
          </cell>
          <cell r="F1442" t="str">
            <v>Chọn</v>
          </cell>
          <cell r="G1442"/>
          <cell r="H1442"/>
        </row>
        <row r="1443">
          <cell r="A1443" t="str">
            <v>7.451051871702000</v>
          </cell>
          <cell r="B1443" t="str">
            <v>MEIZAN SBO 9KG X 2 BTL</v>
          </cell>
          <cell r="C1443" t="str">
            <v>DẦU ĐẬU NÀNH NHÃN HIỆU MEIZAN 9KG</v>
          </cell>
          <cell r="D1443" t="str">
            <v>MEIZAN SBO 9KG X 2 BTL</v>
          </cell>
          <cell r="E1443">
            <v>18</v>
          </cell>
          <cell r="F1443" t="str">
            <v>Bỏ chọn</v>
          </cell>
          <cell r="G1443"/>
          <cell r="H1443"/>
        </row>
        <row r="1444">
          <cell r="A1444" t="str">
            <v>7.451051871700000</v>
          </cell>
          <cell r="B1444" t="str">
            <v>MEIZAN SBO IN BOTTLE @9KG</v>
          </cell>
          <cell r="C1444" t="str">
            <v>DẦU ĐẬU NÀNH NHÃN HIỆU MEIZAN 9KG</v>
          </cell>
          <cell r="D1444" t="str">
            <v>MEIZAN SBO IN BOTTLE @9KG</v>
          </cell>
          <cell r="E1444">
            <v>9</v>
          </cell>
          <cell r="F1444" t="str">
            <v>Bỏ chọn</v>
          </cell>
          <cell r="G1444"/>
          <cell r="H1444"/>
        </row>
        <row r="1445">
          <cell r="A1445" t="str">
            <v>V15.050.001</v>
          </cell>
          <cell r="B1445" t="str">
            <v>SIM VIETTEL 4G</v>
          </cell>
          <cell r="C1445" t="str">
            <v>SIM VIETTEL 4G</v>
          </cell>
          <cell r="D1445" t="str">
            <v>SIM VIETTEL 4G</v>
          </cell>
          <cell r="E1445">
            <v>0</v>
          </cell>
          <cell r="F1445" t="str">
            <v>Bỏ chọn</v>
          </cell>
          <cell r="G1445"/>
          <cell r="H1445"/>
        </row>
        <row r="1446">
          <cell r="A1446" t="str">
            <v>V15.007.003</v>
          </cell>
          <cell r="B1446" t="str">
            <v xml:space="preserve">SAMSUNG GALAXY A5 </v>
          </cell>
          <cell r="C1446" t="str">
            <v>ĐIỆN THOẠI SAMSUNG GALAXY A5</v>
          </cell>
          <cell r="D1446" t="str">
            <v xml:space="preserve">SAMSUNG GALAXY A5 </v>
          </cell>
          <cell r="E1446">
            <v>0</v>
          </cell>
          <cell r="F1446" t="str">
            <v>Bỏ chọn</v>
          </cell>
          <cell r="G1446"/>
          <cell r="H1446"/>
        </row>
        <row r="1447">
          <cell r="A1447" t="str">
            <v>7.101071021806550</v>
          </cell>
          <cell r="B1447" t="str">
            <v>CAILAN ROL CP8 0.5L X 24 POUCH</v>
          </cell>
          <cell r="C1447" t="str">
            <v>DẦU THỰC VẬT TINH LUYỆN NHÃN HIỆU CÁI LÂN 0.5L</v>
          </cell>
          <cell r="D1447" t="str">
            <v>CAILAN ROL CP8 0.5L X 24 POUCH</v>
          </cell>
          <cell r="E1447">
            <v>10.92</v>
          </cell>
          <cell r="F1447" t="str">
            <v>Bỏ chọn</v>
          </cell>
          <cell r="G1447"/>
          <cell r="H1447"/>
        </row>
        <row r="1448">
          <cell r="A1448" t="str">
            <v>V78.301.021</v>
          </cell>
          <cell r="B1448" t="str">
            <v>MEDIUM DRESS; VEST FOR F</v>
          </cell>
          <cell r="C1448" t="str">
            <v>VÁY LIỀN; VEST</v>
          </cell>
          <cell r="D1448" t="str">
            <v>MEDIUM DRESS; VEST FOR F</v>
          </cell>
          <cell r="E1448">
            <v>0</v>
          </cell>
          <cell r="F1448" t="str">
            <v>Bỏ chọn</v>
          </cell>
          <cell r="G1448"/>
          <cell r="H1448"/>
        </row>
        <row r="1449">
          <cell r="A1449" t="str">
            <v>V78.301.022</v>
          </cell>
          <cell r="B1449" t="str">
            <v>SHIRT; WAISTCOAT; TROUSERS FOR F</v>
          </cell>
          <cell r="C1449" t="str">
            <v>ÁO NGẮN TAY; GHI LÊ; QUẦN DÀI</v>
          </cell>
          <cell r="D1449" t="str">
            <v>SHIRT; WAISTCOAT; TROUSERS FOR F</v>
          </cell>
          <cell r="E1449">
            <v>0</v>
          </cell>
          <cell r="F1449" t="str">
            <v>Bỏ chọn</v>
          </cell>
          <cell r="G1449"/>
          <cell r="H1449"/>
        </row>
        <row r="1450">
          <cell r="A1450" t="str">
            <v>V78.301.023</v>
          </cell>
          <cell r="B1450" t="str">
            <v>MEDIUM DRESS, SHIRT FOR F</v>
          </cell>
          <cell r="C1450" t="str">
            <v>VÁY LIỀN; ÁO NGẮN TAY</v>
          </cell>
          <cell r="D1450" t="str">
            <v>MEDIUM DRESS, SHIRT FOR F</v>
          </cell>
          <cell r="E1450">
            <v>0</v>
          </cell>
          <cell r="F1450" t="str">
            <v>Bỏ chọn</v>
          </cell>
          <cell r="G1450"/>
          <cell r="H1450"/>
        </row>
        <row r="1451">
          <cell r="A1451" t="str">
            <v>V78.301.024</v>
          </cell>
          <cell r="B1451" t="str">
            <v>SHIRT; TROUSERS FOR F</v>
          </cell>
          <cell r="C1451" t="str">
            <v>ÁO SƠ MI NỮ; QUẦN ÂU NỮ</v>
          </cell>
          <cell r="D1451" t="str">
            <v>SHIRT; TROUSERS FOR F</v>
          </cell>
          <cell r="E1451">
            <v>0</v>
          </cell>
          <cell r="F1451" t="str">
            <v>Bỏ chọn</v>
          </cell>
          <cell r="G1451"/>
          <cell r="H1451"/>
        </row>
        <row r="1452">
          <cell r="A1452" t="str">
            <v>V78.301.025</v>
          </cell>
          <cell r="B1452" t="str">
            <v>SHIRT; SKIRT FOR F</v>
          </cell>
          <cell r="C1452" t="str">
            <v>ÁO DÀI TAY; VÁY NGẮN</v>
          </cell>
          <cell r="D1452" t="str">
            <v>SHIRT; SKIRT FOR F</v>
          </cell>
          <cell r="E1452">
            <v>0</v>
          </cell>
          <cell r="F1452" t="str">
            <v>Bỏ chọn</v>
          </cell>
          <cell r="G1452"/>
          <cell r="H1452"/>
        </row>
        <row r="1453">
          <cell r="A1453" t="str">
            <v>V78.301.026</v>
          </cell>
          <cell r="B1453" t="str">
            <v>SHIRT; TROUSERS FOR M</v>
          </cell>
          <cell r="C1453" t="str">
            <v>ÁO SƠ MI NAM; QUẦN ÂU NAM</v>
          </cell>
          <cell r="D1453" t="str">
            <v>SHIRT; TROUSERS FOR M</v>
          </cell>
          <cell r="E1453">
            <v>0</v>
          </cell>
          <cell r="F1453" t="str">
            <v>Bỏ chọn</v>
          </cell>
          <cell r="G1453"/>
          <cell r="H1453"/>
        </row>
        <row r="1454">
          <cell r="A1454" t="str">
            <v>V78.301.027</v>
          </cell>
          <cell r="B1454" t="str">
            <v>SHIRT; TROUSERS; VEST FOR M</v>
          </cell>
          <cell r="C1454" t="str">
            <v>ÁO SƠ MI NAM; QUẦN ÂU NAM; VEST</v>
          </cell>
          <cell r="D1454" t="str">
            <v>SHIRT; TROUSERS; VEST FOR M</v>
          </cell>
          <cell r="E1454">
            <v>0</v>
          </cell>
          <cell r="F1454" t="str">
            <v>Bỏ chọn</v>
          </cell>
          <cell r="G1454"/>
          <cell r="H1454"/>
        </row>
        <row r="1455">
          <cell r="A1455" t="str">
            <v>V78.301.028</v>
          </cell>
          <cell r="B1455" t="str">
            <v>SHIRT; SKIRT; VEST FOR F</v>
          </cell>
          <cell r="C1455" t="str">
            <v>ÁO SƠ MI NỮ; VÁY NGẮN; VEST</v>
          </cell>
          <cell r="D1455" t="str">
            <v>SHIRT; SKIRT; VEST FOR F</v>
          </cell>
          <cell r="E1455">
            <v>0</v>
          </cell>
          <cell r="F1455" t="str">
            <v>Bỏ chọn</v>
          </cell>
          <cell r="G1455"/>
          <cell r="H1455"/>
        </row>
        <row r="1456">
          <cell r="A1456" t="str">
            <v>7.131069E41702C40</v>
          </cell>
          <cell r="B1456" t="str">
            <v>NEPTUNE GOLD 9KG X 2 BTL</v>
          </cell>
          <cell r="C1456" t="str">
            <v>DẦU ĂN THƯỢNG HẠNG HIỆU NEPTUNE GOLD 9KG</v>
          </cell>
          <cell r="D1456" t="str">
            <v>NEPTUNE GOLD 9KG X 2 BTL</v>
          </cell>
          <cell r="E1456">
            <v>18</v>
          </cell>
          <cell r="F1456" t="str">
            <v>Bỏ chọn</v>
          </cell>
          <cell r="G1456"/>
          <cell r="H1456"/>
        </row>
        <row r="1457">
          <cell r="A1457" t="str">
            <v>7.131069E41700C40</v>
          </cell>
          <cell r="B1457" t="str">
            <v>NEPTUNE GOLD IN BOTTLE @9KG</v>
          </cell>
          <cell r="C1457" t="str">
            <v>DẦU ĂN THƯỢNG HẠNG NHẪN HIỆU NEPTUNE GOLD 9KG</v>
          </cell>
          <cell r="D1457" t="str">
            <v>NEPTUNE GOLD IN BOTTLE @9KG</v>
          </cell>
          <cell r="E1457">
            <v>9</v>
          </cell>
          <cell r="F1457" t="str">
            <v>Bỏ chọn</v>
          </cell>
          <cell r="G1457"/>
          <cell r="H1457"/>
        </row>
        <row r="1458">
          <cell r="A1458" t="str">
            <v>V39.015.019</v>
          </cell>
          <cell r="B1458" t="str">
            <v>OLIVOILA PORCELAIN CUP</v>
          </cell>
          <cell r="C1458" t="str">
            <v>LY SỨ CÓ QUAI OLIVOILA</v>
          </cell>
          <cell r="D1458" t="str">
            <v>OLIVOILA PORCELAIN CUP</v>
          </cell>
          <cell r="E1458">
            <v>0</v>
          </cell>
          <cell r="F1458" t="str">
            <v>Bỏ chọn</v>
          </cell>
          <cell r="G1458"/>
          <cell r="H1458"/>
        </row>
        <row r="1459">
          <cell r="A1459" t="str">
            <v>V39.015.111</v>
          </cell>
          <cell r="B1459" t="str">
            <v>SET OF BABY SPOON - FORK</v>
          </cell>
          <cell r="C1459" t="str">
            <v>BỘ MUỖNG - NĨA TẬP ĂN CHO BÉ</v>
          </cell>
          <cell r="D1459" t="str">
            <v>SET OF BABY SPOON - FORK</v>
          </cell>
          <cell r="E1459">
            <v>0</v>
          </cell>
          <cell r="F1459" t="str">
            <v>Bỏ chọn</v>
          </cell>
          <cell r="G1459"/>
          <cell r="H1459"/>
        </row>
        <row r="1460">
          <cell r="A1460" t="str">
            <v>V39.015.112</v>
          </cell>
          <cell r="B1460" t="str">
            <v>SET OF INOX SPOON - FORK - CHOPSTICKS</v>
          </cell>
          <cell r="C1460" t="str">
            <v>BỘ MUỖNG - NĨA - ĐŨA INOX</v>
          </cell>
          <cell r="D1460" t="str">
            <v>SET OF INOX SPOON - FORK - CHOPSTICKS</v>
          </cell>
          <cell r="E1460">
            <v>0</v>
          </cell>
          <cell r="F1460" t="str">
            <v>Bỏ chọn</v>
          </cell>
          <cell r="G1460"/>
          <cell r="H1460"/>
        </row>
        <row r="1461">
          <cell r="A1461" t="str">
            <v>V39.015.223</v>
          </cell>
          <cell r="B1461" t="str">
            <v>OLIVOILA PORCELAIN PLATE</v>
          </cell>
          <cell r="C1461" t="str">
            <v>ĐĨA SỨ OLIVOILA</v>
          </cell>
          <cell r="D1461" t="str">
            <v>OLIVOILA PORCELAIN PLATE</v>
          </cell>
          <cell r="E1461">
            <v>0</v>
          </cell>
          <cell r="F1461" t="str">
            <v>Bỏ chọn</v>
          </cell>
          <cell r="G1461"/>
          <cell r="H1461"/>
        </row>
        <row r="1462">
          <cell r="A1462" t="str">
            <v>V51.035.007</v>
          </cell>
          <cell r="B1462" t="str">
            <v>3M MICROFIBER KITCHEN WIPES</v>
          </cell>
          <cell r="C1462" t="str">
            <v>KHĂN LAU BẾP ĐA NĂNG MICROFIBER 3M</v>
          </cell>
          <cell r="D1462" t="str">
            <v>3M MICROFIBER KITCHEN WIPES</v>
          </cell>
          <cell r="E1462">
            <v>0</v>
          </cell>
          <cell r="F1462" t="str">
            <v>Bỏ chọn</v>
          </cell>
          <cell r="G1462"/>
          <cell r="H1462"/>
        </row>
        <row r="1463">
          <cell r="A1463" t="str">
            <v>V51.035.008</v>
          </cell>
          <cell r="B1463" t="str">
            <v>3M YELLOW KITCHEN WIPES</v>
          </cell>
          <cell r="C1463" t="str">
            <v>KHĂN LAU BẾP ĐA NĂNG MÀU VÀNG 3M</v>
          </cell>
          <cell r="D1463" t="str">
            <v>3M YELLOW KITCHEN WIPES</v>
          </cell>
          <cell r="E1463">
            <v>0</v>
          </cell>
          <cell r="F1463" t="str">
            <v>Bỏ chọn</v>
          </cell>
          <cell r="G1463"/>
          <cell r="H1463"/>
        </row>
        <row r="1464">
          <cell r="A1464" t="str">
            <v>V51.153.021</v>
          </cell>
          <cell r="B1464" t="str">
            <v>HANDHELD COSMETIC BAG</v>
          </cell>
          <cell r="C1464" t="str">
            <v>TÚI CẦM TAY ĐỰNG MỸ PHẨM</v>
          </cell>
          <cell r="D1464" t="str">
            <v>HANDHELD COSMETIC BAG</v>
          </cell>
          <cell r="E1464">
            <v>0</v>
          </cell>
          <cell r="F1464" t="str">
            <v>Bỏ chọn</v>
          </cell>
          <cell r="G1464"/>
          <cell r="H1464"/>
        </row>
        <row r="1465">
          <cell r="A1465" t="str">
            <v>V51.901.042</v>
          </cell>
          <cell r="B1465" t="str">
            <v>3M BABY FACE MASK PACK 2</v>
          </cell>
          <cell r="C1465" t="str">
            <v>BỘ 2 KHẨU TRANG CHO BÉ 3M</v>
          </cell>
          <cell r="D1465" t="str">
            <v>3M BABY FACE MASK PACK 2</v>
          </cell>
          <cell r="E1465">
            <v>0</v>
          </cell>
          <cell r="F1465" t="str">
            <v>Bỏ chọn</v>
          </cell>
          <cell r="G1465"/>
          <cell r="H1465"/>
        </row>
        <row r="1466">
          <cell r="A1466" t="str">
            <v>7.101172570901A00</v>
          </cell>
          <cell r="B1466" t="str">
            <v>SATELLITE RED RPOIV 58-61RSPOMB BIB@18KG</v>
          </cell>
          <cell r="C1466" t="str">
            <v>DẦU OLEIN TINH LUYỆN HIỆU SATELLITE TRONG TÚI BÓNG 18KG (RSPO/MB)</v>
          </cell>
          <cell r="D1466" t="str">
            <v>SATELLITE RED RPOIV 58-61RSPOMB BIB@18KG</v>
          </cell>
          <cell r="E1466">
            <v>18</v>
          </cell>
          <cell r="F1466" t="str">
            <v>Chọn</v>
          </cell>
          <cell r="G1466"/>
          <cell r="H1466"/>
        </row>
        <row r="1467">
          <cell r="A1467" t="str">
            <v>V51.000.001</v>
          </cell>
          <cell r="B1467" t="str">
            <v xml:space="preserve">PLASTIC HOOK </v>
          </cell>
          <cell r="C1467" t="str">
            <v>DÂY TREO HD</v>
          </cell>
          <cell r="D1467" t="str">
            <v xml:space="preserve">PLASTIC HOOK </v>
          </cell>
          <cell r="E1467">
            <v>0</v>
          </cell>
          <cell r="F1467" t="str">
            <v>Bỏ chọn</v>
          </cell>
          <cell r="G1467"/>
          <cell r="H1467"/>
        </row>
        <row r="1468">
          <cell r="A1468" t="str">
            <v>V39.000.001</v>
          </cell>
          <cell r="B1468" t="str">
            <v>APRON NDFC</v>
          </cell>
          <cell r="C1468" t="str">
            <v>TẠP DỀ NDFC</v>
          </cell>
          <cell r="D1468" t="str">
            <v>APRON NDFC</v>
          </cell>
          <cell r="E1468">
            <v>0</v>
          </cell>
          <cell r="F1468" t="str">
            <v>Chọn</v>
          </cell>
          <cell r="G1468"/>
          <cell r="H1468"/>
        </row>
        <row r="1469">
          <cell r="A1469" t="str">
            <v>V51.000.002</v>
          </cell>
          <cell r="B1469" t="str">
            <v>TOPBOARD</v>
          </cell>
          <cell r="C1469" t="str">
            <v>BẢNG TREO</v>
          </cell>
          <cell r="D1469" t="str">
            <v>TOPBOARD</v>
          </cell>
          <cell r="E1469">
            <v>0</v>
          </cell>
          <cell r="F1469" t="str">
            <v>Bỏ chọn</v>
          </cell>
          <cell r="G1469"/>
          <cell r="H1469"/>
        </row>
        <row r="1470">
          <cell r="A1470" t="str">
            <v>V51.000.003</v>
          </cell>
          <cell r="B1470" t="str">
            <v xml:space="preserve"> HANGER WITH 6 PLASTIC BOX</v>
          </cell>
          <cell r="C1470" t="str">
            <v>VỈ TREO NHỰA 6 TÚI</v>
          </cell>
          <cell r="D1470" t="str">
            <v xml:space="preserve"> HANGER WITH 6 PLASTIC BOX</v>
          </cell>
          <cell r="E1470">
            <v>0</v>
          </cell>
          <cell r="F1470" t="str">
            <v>Bỏ chọn</v>
          </cell>
          <cell r="G1470"/>
          <cell r="H1470"/>
        </row>
        <row r="1471">
          <cell r="A1471" t="str">
            <v>V39.013.036</v>
          </cell>
          <cell r="B1471" t="str">
            <v>T-SHIRT NEPTUNE GOLD</v>
          </cell>
          <cell r="C1471" t="str">
            <v>ÁO THUN NEPTUNE - 65% COTTON</v>
          </cell>
          <cell r="D1471" t="str">
            <v>T-SHIRT NEPTUNE GOLD</v>
          </cell>
          <cell r="E1471">
            <v>0</v>
          </cell>
          <cell r="F1471" t="str">
            <v>Bỏ chọn</v>
          </cell>
          <cell r="G1471"/>
          <cell r="H1471"/>
        </row>
        <row r="1472">
          <cell r="A1472" t="str">
            <v>7.5239904990501</v>
          </cell>
          <cell r="B1472" t="str">
            <v>BROWN COMPASS-25-SP</v>
          </cell>
          <cell r="C1472" t="str">
            <v>BỘT MÌ ĐA DỤNG "LA BÀN NÂU" (25KG)</v>
          </cell>
          <cell r="D1472" t="str">
            <v>BROWN COMPASS-25-SP</v>
          </cell>
          <cell r="E1472">
            <v>1</v>
          </cell>
          <cell r="F1472" t="str">
            <v>Bỏ chọn</v>
          </cell>
          <cell r="G1472"/>
          <cell r="H1472"/>
        </row>
        <row r="1473">
          <cell r="A1473" t="str">
            <v>V51.000.004</v>
          </cell>
          <cell r="B1473" t="str">
            <v>DANGLER NDFC</v>
          </cell>
          <cell r="C1473" t="str">
            <v>PHƯỚN QUẢNG CÁO NDFC</v>
          </cell>
          <cell r="D1473" t="str">
            <v>DANGLER NDFC</v>
          </cell>
          <cell r="E1473">
            <v>0</v>
          </cell>
          <cell r="F1473" t="str">
            <v>Bỏ chọn</v>
          </cell>
          <cell r="G1473"/>
          <cell r="H1473"/>
        </row>
        <row r="1474">
          <cell r="A1474" t="str">
            <v>V51.000.005</v>
          </cell>
          <cell r="B1474" t="str">
            <v>TRAY HOLDER</v>
          </cell>
          <cell r="C1474" t="str">
            <v>KHAY ĐỰNG GIA VỊ NAM DƯƠNG</v>
          </cell>
          <cell r="D1474" t="str">
            <v>TRAY HOLDER</v>
          </cell>
          <cell r="E1474">
            <v>0</v>
          </cell>
          <cell r="F1474" t="str">
            <v>Chọn</v>
          </cell>
          <cell r="G1474"/>
          <cell r="H1474"/>
        </row>
        <row r="1475">
          <cell r="A1475" t="str">
            <v>V39.000.003</v>
          </cell>
          <cell r="B1475" t="str">
            <v>T-SHIRT NDFC</v>
          </cell>
          <cell r="C1475" t="str">
            <v>ÁO THUN NDFC</v>
          </cell>
          <cell r="D1475" t="str">
            <v>T-SHIRT NDFC</v>
          </cell>
          <cell r="E1475">
            <v>0</v>
          </cell>
          <cell r="F1475" t="str">
            <v>Bỏ chọn</v>
          </cell>
          <cell r="G1475"/>
          <cell r="H1475"/>
        </row>
        <row r="1476">
          <cell r="A1476" t="str">
            <v>V51.901.045</v>
          </cell>
          <cell r="B1476" t="str">
            <v>GOLD RING 9999 (1 TAEL)</v>
          </cell>
          <cell r="C1476" t="str">
            <v>NHẪN VÀNG 9999 LOẠI 1 CHỈ</v>
          </cell>
          <cell r="D1476" t="str">
            <v>GOLD RING 9999 (1 TAEL)</v>
          </cell>
          <cell r="E1476">
            <v>0</v>
          </cell>
          <cell r="F1476" t="str">
            <v>Bỏ chọn</v>
          </cell>
          <cell r="G1476"/>
          <cell r="H1476"/>
        </row>
        <row r="1477">
          <cell r="A1477" t="str">
            <v>V39.015.221</v>
          </cell>
          <cell r="B1477" t="str">
            <v>SET OF NEPTUNE BOWL AND PLATE</v>
          </cell>
          <cell r="C1477" t="str">
            <v>BỘ BÁT ĐĨA NEPTUNE</v>
          </cell>
          <cell r="D1477" t="str">
            <v>SET OF NEPTUNE BOWL AND PLATE</v>
          </cell>
          <cell r="E1477">
            <v>4</v>
          </cell>
          <cell r="F1477" t="str">
            <v>Bỏ chọn</v>
          </cell>
          <cell r="G1477"/>
          <cell r="H1477"/>
        </row>
        <row r="1478">
          <cell r="A1478" t="str">
            <v>V78.000.001</v>
          </cell>
          <cell r="B1478" t="str">
            <v>COAT NDFC</v>
          </cell>
          <cell r="C1478" t="str">
            <v>ÁO KHOÁC NDFC</v>
          </cell>
          <cell r="D1478" t="str">
            <v>COAT NDFC</v>
          </cell>
          <cell r="E1478">
            <v>0</v>
          </cell>
          <cell r="F1478" t="str">
            <v>Bỏ chọn</v>
          </cell>
          <cell r="G1478"/>
          <cell r="H1478"/>
        </row>
        <row r="1479">
          <cell r="A1479" t="str">
            <v>V51.035.009</v>
          </cell>
          <cell r="B1479" t="str">
            <v>3M MICROFIBER KITCHEN WIPES</v>
          </cell>
          <cell r="C1479" t="str">
            <v>KHĂN LAU BẾP ĐA NĂNG MICROFIBER 3M</v>
          </cell>
          <cell r="D1479" t="str">
            <v>3M MICROFIBER KITCHEN WIPES</v>
          </cell>
          <cell r="E1479">
            <v>0</v>
          </cell>
          <cell r="F1479" t="str">
            <v>Bỏ chọn</v>
          </cell>
          <cell r="G1479"/>
          <cell r="H1479"/>
        </row>
        <row r="1480">
          <cell r="A1480" t="str">
            <v>7.131023011705840TD</v>
          </cell>
          <cell r="B1480" t="str">
            <v>KIDDY REFINED OLIVE OIL 250ML X 12BTL</v>
          </cell>
          <cell r="C1480" t="str">
            <v>DẦU Ô-LIU DINH DƯỠNG CHO TRẺ EM NHÃN HIỆU KIDDY 250 ML</v>
          </cell>
          <cell r="D1480" t="str">
            <v>KIDOLIV@025X12</v>
          </cell>
          <cell r="E1480">
            <v>2.73</v>
          </cell>
          <cell r="F1480" t="str">
            <v>Bỏ chọn</v>
          </cell>
          <cell r="G1480"/>
          <cell r="H1480"/>
        </row>
        <row r="1481">
          <cell r="A1481" t="str">
            <v>7.131023011700840TD</v>
          </cell>
          <cell r="B1481" t="str">
            <v>KIDDY REFINED OLIVE OIL IN BOTTLE@250ML</v>
          </cell>
          <cell r="C1481" t="str">
            <v>DẦU Ô-LIU DINH DƯỠNG CHO TRẺ EM NHÃN HIỆU KIDDY 250 ML</v>
          </cell>
          <cell r="D1481" t="str">
            <v>KIDOLI@025BTL</v>
          </cell>
          <cell r="E1481">
            <v>0.22700000000000001</v>
          </cell>
          <cell r="F1481" t="str">
            <v>Bỏ chọn</v>
          </cell>
          <cell r="G1481"/>
          <cell r="H1481"/>
        </row>
        <row r="1482">
          <cell r="A1482" t="str">
            <v>7.47505601010500TD</v>
          </cell>
          <cell r="B1482" t="str">
            <v>CO-OLIVOILÀ OLIVE OIL 0,25L X 12 BTL</v>
          </cell>
          <cell r="C1482" t="str">
            <v>DẦU Ô-LIU EXTRA VIRGIN NHÃN HIỆU OLIVOILÀ 250 ML</v>
          </cell>
          <cell r="D1482" t="str">
            <v>OLIVE0.25LX12BTL</v>
          </cell>
          <cell r="E1482">
            <v>2.73</v>
          </cell>
          <cell r="F1482" t="str">
            <v>Chọn</v>
          </cell>
          <cell r="G1482"/>
          <cell r="H1482"/>
        </row>
        <row r="1483">
          <cell r="A1483" t="str">
            <v>7.47505601170000TD</v>
          </cell>
          <cell r="B1483" t="str">
            <v>CO-OLIVOILÀ OLIVE OIL @ 0.25L</v>
          </cell>
          <cell r="C1483" t="str">
            <v>DẦU Ô-LIU EXTRA VIRGIN NHÃN HIỆU OLIVOILÀ 250 ML</v>
          </cell>
          <cell r="D1483" t="str">
            <v>OLIVE@0.25L</v>
          </cell>
          <cell r="E1483">
            <v>0.22800000000000001</v>
          </cell>
          <cell r="F1483" t="str">
            <v>Bỏ chọn</v>
          </cell>
          <cell r="G1483"/>
          <cell r="H1483"/>
        </row>
        <row r="1484">
          <cell r="A1484" t="str">
            <v>7.47505617010400TD</v>
          </cell>
          <cell r="B1484" t="str">
            <v>CO-OLIVOILÀ OLIVE OIL @ 0.75L X 6 BTL</v>
          </cell>
          <cell r="C1484" t="str">
            <v>DẦU Ô-LIU EXTRA VIRGIN NHÃN HIỆU OLIVOILÀ 750 ML</v>
          </cell>
          <cell r="D1484" t="str">
            <v>OLIVE0.75LX6BTL</v>
          </cell>
          <cell r="E1484">
            <v>4.0949999999999998</v>
          </cell>
          <cell r="F1484" t="str">
            <v>Chọn</v>
          </cell>
          <cell r="G1484"/>
          <cell r="H1484"/>
        </row>
        <row r="1485">
          <cell r="A1485" t="str">
            <v>7.47505617170000TD</v>
          </cell>
          <cell r="B1485" t="str">
            <v xml:space="preserve">CO-OLIVOILÀ OLIVE OIL @ 0.75L </v>
          </cell>
          <cell r="C1485" t="str">
            <v>DẦU Ô-LIU EXTRA VIRGIN NHÃN HIỆU OLIVOILÀ 750 ML</v>
          </cell>
          <cell r="D1485" t="str">
            <v>OLIVE@0.75L</v>
          </cell>
          <cell r="E1485">
            <v>0.68200000000000005</v>
          </cell>
          <cell r="F1485" t="str">
            <v>Chọn</v>
          </cell>
          <cell r="G1485"/>
          <cell r="H1485"/>
        </row>
        <row r="1486">
          <cell r="A1486" t="str">
            <v>7.475056011705020TD</v>
          </cell>
          <cell r="B1486" t="str">
            <v>CO-OLIVOILA POMACE OLIVE OIL 250MLX12BTL</v>
          </cell>
          <cell r="C1486" t="str">
            <v>DẦU Ô-LIU POMACE NHÃN HIỆU OLIVOILÀ 0,25L</v>
          </cell>
          <cell r="D1486" t="str">
            <v>CO-OLI0.25LX12BTL</v>
          </cell>
          <cell r="E1486">
            <v>2.73</v>
          </cell>
          <cell r="F1486" t="str">
            <v>Bỏ chọn</v>
          </cell>
          <cell r="G1486"/>
          <cell r="H1486"/>
        </row>
        <row r="1487">
          <cell r="A1487" t="str">
            <v>7.475056011700020TD</v>
          </cell>
          <cell r="B1487" t="str">
            <v>CO-OLIVOILA POMACE OLIVE OIL @250ML</v>
          </cell>
          <cell r="C1487" t="str">
            <v>DẦU Ô-LIU POMACE NHÃN HIỆU OLIVOILÀ 0,25L</v>
          </cell>
          <cell r="D1487" t="str">
            <v>CO-P.OLIVE @0.25L</v>
          </cell>
          <cell r="E1487">
            <v>0.22800000000000001</v>
          </cell>
          <cell r="F1487" t="str">
            <v>Bỏ chọn</v>
          </cell>
          <cell r="G1487"/>
          <cell r="H1487"/>
        </row>
        <row r="1488">
          <cell r="A1488" t="str">
            <v>7.475056031705020TD</v>
          </cell>
          <cell r="B1488" t="str">
            <v>CO-OLIVOILA POMACE OLIVE OIL 1LX12BTL</v>
          </cell>
          <cell r="C1488" t="str">
            <v>DẦU Ô-LIU POMACE NHÃN HIỆU OLIVOILÀ 1L</v>
          </cell>
          <cell r="D1488" t="str">
            <v>CO-OLI1LX12BTL</v>
          </cell>
          <cell r="E1488">
            <v>10.92</v>
          </cell>
          <cell r="F1488" t="str">
            <v>Bỏ chọn</v>
          </cell>
          <cell r="G1488"/>
          <cell r="H1488"/>
        </row>
        <row r="1489">
          <cell r="A1489" t="str">
            <v>7.475056031700020TD</v>
          </cell>
          <cell r="B1489" t="str">
            <v>CO-OLIVOILA POMACE OLIVE OIL @1L</v>
          </cell>
          <cell r="C1489" t="str">
            <v>DẦU Ô-LIU POMACE NHÃN HIỆU OLIVOILÀ 1L</v>
          </cell>
          <cell r="D1489" t="str">
            <v>CO-P.OLIVE @1L</v>
          </cell>
          <cell r="E1489">
            <v>0.91</v>
          </cell>
          <cell r="F1489" t="str">
            <v>Bỏ chọn</v>
          </cell>
          <cell r="G1489"/>
          <cell r="H1489"/>
        </row>
        <row r="1490">
          <cell r="A1490" t="str">
            <v>V39.000.004</v>
          </cell>
          <cell r="B1490" t="str">
            <v>POP JAR (GLASS LID) B02517 (500ML) HŨ THỦY TINH B02517</v>
          </cell>
          <cell r="C1490" t="str">
            <v>LỌ (HŨ) THỦY TINH (GLASS LID) B02517 500ML</v>
          </cell>
          <cell r="D1490" t="str">
            <v>POP JAR (GLASS LID) B02517 (500ML) HŨ THỦY TINH B02517</v>
          </cell>
          <cell r="E1490">
            <v>0</v>
          </cell>
          <cell r="F1490" t="str">
            <v>Bỏ chọn</v>
          </cell>
          <cell r="G1490"/>
          <cell r="H1490"/>
        </row>
        <row r="1491">
          <cell r="A1491" t="str">
            <v>V39.000.005</v>
          </cell>
          <cell r="B1491" t="str">
            <v>LUCKYGLASS LG-312311 (2 CÁI/HỘP)</v>
          </cell>
          <cell r="C1491" t="str">
            <v>LY THỦY TINH LUCKYGLASS LG-312311</v>
          </cell>
          <cell r="D1491" t="str">
            <v>LUCKYGLASS LG-312311 (2 CÁI/HỘP)</v>
          </cell>
          <cell r="E1491">
            <v>0.8</v>
          </cell>
          <cell r="F1491" t="str">
            <v>Bỏ chọn</v>
          </cell>
          <cell r="G1491"/>
          <cell r="H1491"/>
        </row>
        <row r="1492">
          <cell r="A1492" t="str">
            <v>V51.000.006</v>
          </cell>
          <cell r="B1492" t="str">
            <v>3M BABY FACE MASK PACK 2</v>
          </cell>
          <cell r="C1492" t="str">
            <v>KHẨU TRANG TRẺ EM 3 LỚP</v>
          </cell>
          <cell r="D1492" t="str">
            <v>3M BABY FACE MASK PACK 2</v>
          </cell>
          <cell r="E1492">
            <v>0</v>
          </cell>
          <cell r="F1492" t="str">
            <v>Bỏ chọn</v>
          </cell>
          <cell r="G1492"/>
          <cell r="H1492"/>
        </row>
        <row r="1493">
          <cell r="A1493" t="str">
            <v>V51.000.007</v>
          </cell>
          <cell r="B1493" t="str">
            <v>TOWEL OLIVOILA DIM (35X35)CM</v>
          </cell>
          <cell r="C1493" t="str">
            <v>KHĂN OLIVOILA LOẠI NHỎ</v>
          </cell>
          <cell r="D1493" t="str">
            <v>TOWEL OLIVOILA DIM (35X35)CM</v>
          </cell>
          <cell r="E1493">
            <v>0.08</v>
          </cell>
          <cell r="F1493" t="str">
            <v>Bỏ chọn</v>
          </cell>
          <cell r="G1493"/>
          <cell r="H1493"/>
        </row>
        <row r="1494">
          <cell r="A1494" t="str">
            <v>V34.000.001</v>
          </cell>
          <cell r="B1494" t="str">
            <v>KIDDY HELMET</v>
          </cell>
          <cell r="C1494" t="str">
            <v>NÓN BẢO HIỂM KIDDY</v>
          </cell>
          <cell r="D1494" t="str">
            <v>KIDDY HELMET</v>
          </cell>
          <cell r="E1494">
            <v>0</v>
          </cell>
          <cell r="F1494" t="str">
            <v>Bỏ chọn</v>
          </cell>
          <cell r="G1494"/>
          <cell r="H1494"/>
        </row>
        <row r="1495">
          <cell r="A1495" t="str">
            <v>V39.000.006</v>
          </cell>
          <cell r="B1495" t="str">
            <v>RAINCOAT KIDDY</v>
          </cell>
          <cell r="C1495" t="str">
            <v>ÁO MƯA KIDDY</v>
          </cell>
          <cell r="D1495" t="str">
            <v>RAINCOAT KIDDY</v>
          </cell>
          <cell r="E1495">
            <v>0</v>
          </cell>
          <cell r="F1495" t="str">
            <v>Bỏ chọn</v>
          </cell>
          <cell r="G1495"/>
          <cell r="H1495"/>
        </row>
        <row r="1496">
          <cell r="A1496" t="str">
            <v>V39.000.007</v>
          </cell>
          <cell r="B1496" t="str">
            <v>SPOON KIDDY STAINLESS STEEL (L=15.5CM)</v>
          </cell>
          <cell r="C1496" t="str">
            <v>THÌA INOX KIDDY</v>
          </cell>
          <cell r="D1496" t="str">
            <v>SPOON KIDDY STAINLESS STEEL (L=15.5CM)</v>
          </cell>
          <cell r="E1496">
            <v>0</v>
          </cell>
          <cell r="F1496" t="str">
            <v>Bỏ chọn</v>
          </cell>
          <cell r="G1496"/>
          <cell r="H1496"/>
        </row>
        <row r="1497">
          <cell r="A1497" t="str">
            <v>V86.000.001</v>
          </cell>
          <cell r="B1497" t="str">
            <v>KIDDY OLIVE OIL 250ML, SUB LABEL</v>
          </cell>
          <cell r="C1497" t="str">
            <v>NHÃN PHỤ KIDDY OLIVE 250ML</v>
          </cell>
          <cell r="D1497" t="str">
            <v>KIDDY OLIVE OIL 250ML, SUB LABEL</v>
          </cell>
          <cell r="E1497">
            <v>0</v>
          </cell>
          <cell r="F1497" t="str">
            <v>Bỏ chọn</v>
          </cell>
          <cell r="G1497"/>
          <cell r="H1497"/>
        </row>
        <row r="1498">
          <cell r="A1498" t="str">
            <v>V86.000.002</v>
          </cell>
          <cell r="B1498" t="str">
            <v>OLIVOILA LABEL 0.25L, SUBLABEL</v>
          </cell>
          <cell r="C1498" t="str">
            <v>NHÃN PHỤ OLIVOILA EXTRA VIRGIN 250ML</v>
          </cell>
          <cell r="D1498" t="str">
            <v>OLIVOILA LABEL 0.25L, SUBLABEL</v>
          </cell>
          <cell r="E1498">
            <v>0</v>
          </cell>
          <cell r="F1498" t="str">
            <v>Bỏ chọn</v>
          </cell>
          <cell r="G1498"/>
          <cell r="H1498"/>
        </row>
        <row r="1499">
          <cell r="A1499" t="str">
            <v>V39.000.008</v>
          </cell>
          <cell r="B1499" t="str">
            <v>UNION GLASS UG350</v>
          </cell>
          <cell r="C1499" t="str">
            <v>LY THỦY TINH UNION UG350</v>
          </cell>
          <cell r="D1499" t="str">
            <v>UNION GLASS UG350</v>
          </cell>
          <cell r="E1499">
            <v>0.253</v>
          </cell>
          <cell r="F1499" t="str">
            <v>Bỏ chọn</v>
          </cell>
          <cell r="G1499"/>
          <cell r="H1499"/>
        </row>
        <row r="1500">
          <cell r="A1500" t="str">
            <v>V39.000.009</v>
          </cell>
          <cell r="B1500" t="str">
            <v>KIDDY GLASS BOWL UG 317</v>
          </cell>
          <cell r="C1500" t="str">
            <v>CHÉN THỦY TINH UNION UG 317</v>
          </cell>
          <cell r="D1500" t="str">
            <v>KIDDY GLASS BOWL UG 317</v>
          </cell>
          <cell r="E1500">
            <v>0.253</v>
          </cell>
          <cell r="F1500" t="str">
            <v>Bỏ chọn</v>
          </cell>
          <cell r="G1500"/>
          <cell r="H1500"/>
        </row>
        <row r="1501">
          <cell r="A1501" t="str">
            <v>V56.052.023</v>
          </cell>
          <cell r="B1501" t="str">
            <v>IPAD PRO 9.7 WI-FI 4G 128GB</v>
          </cell>
          <cell r="C1501" t="str">
            <v>MÁY TÍNH BẢNG IPAD PRO 9.7 WI-FI 4G 128G</v>
          </cell>
          <cell r="D1501" t="str">
            <v>IPAD PRO 9.7 WI-FI 4G 128GB</v>
          </cell>
          <cell r="E1501">
            <v>0</v>
          </cell>
          <cell r="F1501" t="str">
            <v>Bỏ chọn</v>
          </cell>
          <cell r="G1501"/>
          <cell r="H1501"/>
        </row>
        <row r="1502">
          <cell r="A1502" t="str">
            <v>7.1060120208608010</v>
          </cell>
          <cell r="B1502" t="str">
            <v>MEIZAN LOW FAT SHORT MP48-52 PEBAG@20KG</v>
          </cell>
          <cell r="C1502" t="str">
            <v>SHORTENING LF NHÃN HIỆU MEIZAN 20KG</v>
          </cell>
          <cell r="D1502" t="str">
            <v>MEIZAN LOW FAT SHORT MP48-52 PEBAG@20KG</v>
          </cell>
          <cell r="E1502">
            <v>20</v>
          </cell>
          <cell r="F1502" t="str">
            <v>Chọn</v>
          </cell>
          <cell r="G1502"/>
          <cell r="H1502"/>
        </row>
        <row r="1503">
          <cell r="A1503" t="str">
            <v>7.131069011720A00TD</v>
          </cell>
          <cell r="B1503" t="str">
            <v>NEPTUNE GOLD 0.25L X 30 BTL</v>
          </cell>
          <cell r="C1503" t="str">
            <v>DẦU ĂN THƯỢNG HẠNG HIỆU NEPTUNE GOLD 0,25L</v>
          </cell>
          <cell r="D1503" t="str">
            <v>NEPTUNE GOLD 0.25L X 30 BTL</v>
          </cell>
          <cell r="E1503">
            <v>6.8250000000000002</v>
          </cell>
          <cell r="F1503" t="str">
            <v>Bỏ chọn</v>
          </cell>
          <cell r="G1503"/>
          <cell r="H1503"/>
        </row>
        <row r="1504">
          <cell r="A1504" t="str">
            <v>7.131069011700A00TD</v>
          </cell>
          <cell r="B1504" t="str">
            <v>NEPTUNE GOLD BTL @0.25L</v>
          </cell>
          <cell r="C1504" t="str">
            <v>DẦU ĂN THƯỢNG HẠNG HIỆU NEPTUNE GOLD 0,25L</v>
          </cell>
          <cell r="D1504" t="str">
            <v>NEPTUNE GOLD BTL @0.25L</v>
          </cell>
          <cell r="E1504">
            <v>0.22750000000000001</v>
          </cell>
          <cell r="F1504" t="str">
            <v>Bỏ chọn</v>
          </cell>
          <cell r="G1504"/>
          <cell r="H1504"/>
        </row>
        <row r="1505">
          <cell r="A1505" t="str">
            <v>7.131069121712A00TD</v>
          </cell>
          <cell r="B1505" t="str">
            <v>NEPTUNE GOLD 0.4L X 20 BTL</v>
          </cell>
          <cell r="C1505" t="str">
            <v>DẦU ĂN THƯỢNG HẠNG HIỆU NEPTUNE GOLD 0.4L</v>
          </cell>
          <cell r="D1505" t="str">
            <v>NEPTUNE GOLD 0.4L X 20 BTL</v>
          </cell>
          <cell r="E1505">
            <v>7.28</v>
          </cell>
          <cell r="F1505" t="str">
            <v>Bỏ chọn</v>
          </cell>
          <cell r="G1505"/>
          <cell r="H1505"/>
        </row>
        <row r="1506">
          <cell r="A1506" t="str">
            <v>7.131069121700A00TD</v>
          </cell>
          <cell r="B1506" t="str">
            <v>NEPTUNE GOLD BTL @0.4L</v>
          </cell>
          <cell r="C1506" t="str">
            <v>DẦU ĂN THƯỢNG HẠNG HIỆU NEPTUNE GOLD 0.4L</v>
          </cell>
          <cell r="D1506" t="str">
            <v>NEPTUNE GOLD BTL @0.4L</v>
          </cell>
          <cell r="E1506">
            <v>0.36399999999999999</v>
          </cell>
          <cell r="F1506" t="str">
            <v>Bỏ chọn</v>
          </cell>
          <cell r="G1506"/>
          <cell r="H1506"/>
        </row>
        <row r="1507">
          <cell r="A1507" t="str">
            <v>7.131069031705A00TD</v>
          </cell>
          <cell r="B1507" t="str">
            <v>NEPTUNE GOLD 1L X 12 BTL</v>
          </cell>
          <cell r="C1507" t="str">
            <v>DẦU ĂN THƯỢNG HẠNG HIỆU NEPTUNE GOLD 1L</v>
          </cell>
          <cell r="D1507" t="str">
            <v>NEPTUNE GOLD 1L X 12 BTL</v>
          </cell>
          <cell r="E1507">
            <v>10.92</v>
          </cell>
          <cell r="F1507" t="str">
            <v>Bỏ chọn</v>
          </cell>
          <cell r="G1507"/>
          <cell r="H1507"/>
        </row>
        <row r="1508">
          <cell r="A1508" t="str">
            <v>7.460050440112030TD</v>
          </cell>
          <cell r="B1508" t="str">
            <v>SIMPLY RBDRBO 0.4L X 20 BTL</v>
          </cell>
          <cell r="C1508" t="str">
            <v>DẦU GẠO NGUYÊN CHẤT NHÃN HIỆU SIMPLY 0.4L</v>
          </cell>
          <cell r="D1508" t="str">
            <v>SIMPLY RBDRBO 0.4L X 20 BTL</v>
          </cell>
          <cell r="E1508">
            <v>7.28</v>
          </cell>
          <cell r="F1508" t="str">
            <v>Bỏ chọn</v>
          </cell>
          <cell r="G1508"/>
          <cell r="H1508"/>
        </row>
        <row r="1509">
          <cell r="A1509" t="str">
            <v>7.460050441700030TD</v>
          </cell>
          <cell r="B1509" t="str">
            <v>SIMPLY RBDRBO @ 0.4L</v>
          </cell>
          <cell r="C1509" t="str">
            <v>DẦU GẠO NGUYÊN CHẤT NHÃN HIỆU SIMPLY 0.4L</v>
          </cell>
          <cell r="D1509" t="str">
            <v>SIMPLY RBDRBO @ 0.4L</v>
          </cell>
          <cell r="E1509">
            <v>0.36399999999999999</v>
          </cell>
          <cell r="F1509" t="str">
            <v>Bỏ chọn</v>
          </cell>
          <cell r="G1509"/>
          <cell r="H1509"/>
        </row>
        <row r="1510">
          <cell r="A1510" t="str">
            <v>7.460050030105030TD</v>
          </cell>
          <cell r="B1510" t="str">
            <v>SIMPLY RBDRBO 1L X 12 BTL</v>
          </cell>
          <cell r="C1510" t="str">
            <v>DẦU GẠO LỨT NHÃN HIỆU SIMPLY 1L</v>
          </cell>
          <cell r="D1510" t="str">
            <v>SIMPLY RBDRBO 1L X 12 BTL</v>
          </cell>
          <cell r="E1510">
            <v>10.92</v>
          </cell>
          <cell r="F1510" t="str">
            <v>Chọn</v>
          </cell>
          <cell r="G1510"/>
          <cell r="H1510"/>
        </row>
        <row r="1511">
          <cell r="A1511" t="str">
            <v>7.45105044011200TD</v>
          </cell>
          <cell r="B1511" t="str">
            <v>SIMPLY SBO 0.4L X 20 BTL</v>
          </cell>
          <cell r="C1511" t="str">
            <v>DẦU ĐẬU NÀNH NHÃN HIỆU SIMPLY 400 ML</v>
          </cell>
          <cell r="D1511" t="str">
            <v>SIMPLY SBO 0.4L X 20 BTL</v>
          </cell>
          <cell r="E1511">
            <v>7.28</v>
          </cell>
          <cell r="F1511" t="str">
            <v>Bỏ chọn</v>
          </cell>
          <cell r="G1511"/>
          <cell r="H1511"/>
        </row>
        <row r="1512">
          <cell r="A1512" t="str">
            <v>7.45105044170000TD</v>
          </cell>
          <cell r="B1512" t="str">
            <v>SIMPLY SBO @ 0.4L</v>
          </cell>
          <cell r="C1512" t="str">
            <v>DẦU ĐẬU NÀNH NHÃN HIỆU SIMPLY 400 ML</v>
          </cell>
          <cell r="D1512" t="str">
            <v>SIMPLY SBO @ 0.4L</v>
          </cell>
          <cell r="E1512">
            <v>0.36399999999999999</v>
          </cell>
          <cell r="F1512" t="str">
            <v>Bỏ chọn</v>
          </cell>
          <cell r="G1512"/>
          <cell r="H1512"/>
        </row>
        <row r="1513">
          <cell r="A1513" t="str">
            <v>7.45105003010500TD</v>
          </cell>
          <cell r="B1513" t="str">
            <v>SIMPLY SBO 1L X 12 BTL</v>
          </cell>
          <cell r="C1513" t="str">
            <v>DẦU ĐẬU NÀNH NHÃN HIỆU SIMPLY 1L</v>
          </cell>
          <cell r="D1513" t="str">
            <v>SIMPLY SBO 1L X 12 BTL</v>
          </cell>
          <cell r="E1513">
            <v>10.92</v>
          </cell>
          <cell r="F1513" t="str">
            <v>Chọn</v>
          </cell>
          <cell r="G1513"/>
          <cell r="H1513"/>
        </row>
        <row r="1514">
          <cell r="A1514" t="str">
            <v>7.45105003170000TD</v>
          </cell>
          <cell r="B1514" t="str">
            <v>SIMPLY SBO @ 1L</v>
          </cell>
          <cell r="C1514" t="str">
            <v>DẦU ĐẬU NÀNH NHÃN HIỆU SIMPLY 1L</v>
          </cell>
          <cell r="D1514" t="str">
            <v>SIMPLY SBO @ 1L</v>
          </cell>
          <cell r="E1514">
            <v>0.91</v>
          </cell>
          <cell r="F1514" t="str">
            <v>Chọn</v>
          </cell>
          <cell r="G1514"/>
          <cell r="H1514"/>
        </row>
        <row r="1515">
          <cell r="A1515" t="str">
            <v>V39.013.052</v>
          </cell>
          <cell r="B1515" t="str">
            <v>NEPTUNE LIS T-SHIRT DARK RED</v>
          </cell>
          <cell r="C1515" t="str">
            <v>ÁO THUN LIS NEPTUNE ĐỎ ĐẬM</v>
          </cell>
          <cell r="D1515" t="str">
            <v>NEPTUNE LIS T-SHIRT DARK RED</v>
          </cell>
          <cell r="E1515">
            <v>0</v>
          </cell>
          <cell r="F1515" t="str">
            <v>Bỏ chọn</v>
          </cell>
          <cell r="G1515"/>
          <cell r="H1515"/>
        </row>
        <row r="1516">
          <cell r="A1516" t="str">
            <v>V39.013.051</v>
          </cell>
          <cell r="B1516" t="str">
            <v>NEPTUNE LIS T-SHIRT DARK BLUE</v>
          </cell>
          <cell r="C1516" t="str">
            <v>ÁO THUN LIS NETUNE XANH DƯƠNG ĐẬM</v>
          </cell>
          <cell r="D1516" t="str">
            <v>NEPTUNE LIS T-SHIRT DARK BLUE</v>
          </cell>
          <cell r="E1516">
            <v>0</v>
          </cell>
          <cell r="F1516" t="str">
            <v>Bỏ chọn</v>
          </cell>
          <cell r="G1516"/>
          <cell r="H1516"/>
        </row>
        <row r="1517">
          <cell r="A1517" t="str">
            <v>7.5239952990501</v>
          </cell>
          <cell r="B1517" t="str">
            <v>GREEN CLV 01-25</v>
          </cell>
          <cell r="C1517" t="str">
            <v>BỘT MÌ CHUYÊN DỤNG GREEN CLV-01 (25KG)</v>
          </cell>
          <cell r="D1517" t="str">
            <v>GREEN CLV 01-25</v>
          </cell>
          <cell r="E1517">
            <v>1</v>
          </cell>
          <cell r="F1517" t="str">
            <v>Bỏ chọn</v>
          </cell>
          <cell r="G1517"/>
          <cell r="H1517"/>
        </row>
        <row r="1518">
          <cell r="A1518" t="str">
            <v>7.70526</v>
          </cell>
          <cell r="B1518" t="str">
            <v>ALKYL KETENE DIMER (AKD 1840) IN JUMBO BAG 500KGS</v>
          </cell>
          <cell r="C1518" t="str">
            <v>SÁP NHÂN TẠO AKD ( ALKYL KETENE DIMER ), BAO 500KG</v>
          </cell>
          <cell r="D1518" t="str">
            <v>ALKYL KETENE DIMER (AKD 1840) IN JUMBO BAG 500KGS</v>
          </cell>
          <cell r="E1518">
            <v>1</v>
          </cell>
          <cell r="F1518" t="str">
            <v>Bỏ chọn</v>
          </cell>
          <cell r="G1518"/>
          <cell r="H1518"/>
        </row>
        <row r="1519">
          <cell r="A1519" t="str">
            <v>7.70527</v>
          </cell>
          <cell r="B1519" t="str">
            <v>ALKYL KETENE DIMER (AKD 1840) IN PLASTIC BAG 25KGS</v>
          </cell>
          <cell r="C1519" t="str">
            <v>SÁP NHÂN TẠO AKD ( ALKYL KETENE DIMER ), BAO 25KG</v>
          </cell>
          <cell r="D1519" t="str">
            <v>ALKYL KETENE DIMER (AKD 1840) IN PLASTIC BAG 25KGS</v>
          </cell>
          <cell r="E1519">
            <v>1</v>
          </cell>
          <cell r="F1519" t="str">
            <v>Bỏ chọn</v>
          </cell>
          <cell r="G1519"/>
          <cell r="H1519"/>
        </row>
        <row r="1520">
          <cell r="A1520" t="str">
            <v>7.C35015599490101</v>
          </cell>
          <cell r="B1520" t="str">
            <v>DISHWASHING LIQUID POWER100, 3,8KG</v>
          </cell>
          <cell r="C1520" t="str">
            <v>NƯỚC RỬA CHÉN POWER100, LOẠI 3,8 KG</v>
          </cell>
          <cell r="D1520" t="str">
            <v>DISHWASHING LIQUID POWER100, 3,8KG</v>
          </cell>
          <cell r="E1520">
            <v>3.8</v>
          </cell>
          <cell r="F1520" t="str">
            <v>Bỏ chọn</v>
          </cell>
          <cell r="G1520"/>
          <cell r="H1520"/>
        </row>
        <row r="1521">
          <cell r="A1521" t="str">
            <v>7.C350155994901</v>
          </cell>
          <cell r="B1521" t="str">
            <v>DISHWASHING LIQUID POWER100, 3,8KG X 4 JRG</v>
          </cell>
          <cell r="C1521" t="str">
            <v>NƯỚC RỬA CHÉN POWER100, LOẠI 3,8 KG X 4 CAN</v>
          </cell>
          <cell r="D1521" t="str">
            <v>DISHWASHING LIQUID POWER100, 3,8KG X 4 JRG</v>
          </cell>
          <cell r="E1521">
            <v>15.2</v>
          </cell>
          <cell r="F1521" t="str">
            <v>Bỏ chọn</v>
          </cell>
          <cell r="G1521"/>
          <cell r="H1521"/>
        </row>
        <row r="1522">
          <cell r="A1522" t="str">
            <v>7.C350155995001</v>
          </cell>
          <cell r="B1522" t="str">
            <v>DISHWASHING LIQUID POWER100, 9,5KG</v>
          </cell>
          <cell r="C1522" t="str">
            <v>NƯỚC RỬA CHÉN POWER100, LOẠI 9,5 KG</v>
          </cell>
          <cell r="D1522" t="str">
            <v>DISHWASHING LIQUID POWER100, 9,5KG</v>
          </cell>
          <cell r="E1522">
            <v>9.5</v>
          </cell>
          <cell r="F1522" t="str">
            <v>Bỏ chọn</v>
          </cell>
          <cell r="G1522"/>
          <cell r="H1522"/>
        </row>
        <row r="1523">
          <cell r="A1523" t="str">
            <v>7.5239941990501</v>
          </cell>
          <cell r="B1523" t="str">
            <v>AP-25</v>
          </cell>
          <cell r="C1523" t="str">
            <v>BỘT MÌ CHĂN NUÔI AP (25KG)</v>
          </cell>
          <cell r="D1523" t="str">
            <v>AP-25</v>
          </cell>
          <cell r="E1523">
            <v>1</v>
          </cell>
          <cell r="F1523" t="str">
            <v>Bỏ chọn</v>
          </cell>
          <cell r="G1523"/>
          <cell r="H1523"/>
        </row>
        <row r="1524">
          <cell r="A1524" t="str">
            <v>7.460050051704050</v>
          </cell>
          <cell r="B1524" t="str">
            <v>SIMPLY RBO 2L X 6 BTL</v>
          </cell>
          <cell r="C1524" t="str">
            <v>DẦU GẠO LỨT NHÃN HIỆU SIMPLY 2L</v>
          </cell>
          <cell r="D1524" t="str">
            <v>SIMPLY RBO 2L X 6 BTL</v>
          </cell>
          <cell r="E1524">
            <v>10.92</v>
          </cell>
          <cell r="F1524" t="str">
            <v>Bỏ chọn</v>
          </cell>
          <cell r="G1524"/>
          <cell r="H1524"/>
        </row>
        <row r="1525">
          <cell r="A1525" t="str">
            <v>7.458050051704000</v>
          </cell>
          <cell r="B1525" t="str">
            <v>SIMPLY SFO 2L X 6 BTL</v>
          </cell>
          <cell r="C1525" t="str">
            <v>DẦU HƯỚNG DƯƠNG NHÃN HIỆU SIMPLY 2L</v>
          </cell>
          <cell r="D1525" t="str">
            <v>SIMPLY SFO 2L X 6 BTL</v>
          </cell>
          <cell r="E1525">
            <v>10.92</v>
          </cell>
          <cell r="F1525" t="str">
            <v>Chọn</v>
          </cell>
          <cell r="G1525"/>
          <cell r="H1525" t="str">
            <v>7.458050051700000</v>
          </cell>
        </row>
        <row r="1526">
          <cell r="A1526" t="str">
            <v>6.1212A68</v>
          </cell>
          <cell r="B1526" t="str">
            <v>REFINED PO IV56 CP5 LC2.5R RSPO MB</v>
          </cell>
          <cell r="C1526" t="str">
            <v>DẦU OLEIN CỌ TINH LUYỆN TRONG XE BỒN (RSPO/MB)</v>
          </cell>
          <cell r="D1526" t="str">
            <v>REFINED PO IV56 CP5 LC2.5R RSPO MB</v>
          </cell>
          <cell r="E1526">
            <v>1</v>
          </cell>
          <cell r="F1526" t="str">
            <v>Chọn</v>
          </cell>
          <cell r="G1526"/>
          <cell r="H1526"/>
        </row>
        <row r="1527">
          <cell r="A1527" t="str">
            <v>V51.153.008</v>
          </cell>
          <cell r="B1527" t="str">
            <v>KIDDY PLASTIC BAG</v>
          </cell>
          <cell r="C1527" t="str">
            <v>TÚI NHỰA KIDDY</v>
          </cell>
          <cell r="D1527" t="str">
            <v>KIDDY PLASTIC BAG</v>
          </cell>
          <cell r="E1527">
            <v>0</v>
          </cell>
          <cell r="F1527" t="str">
            <v>Bỏ chọn</v>
          </cell>
          <cell r="G1527"/>
          <cell r="H1527"/>
        </row>
        <row r="1528">
          <cell r="A1528" t="str">
            <v>7.1100120200808010</v>
          </cell>
          <cell r="B1528" t="str">
            <v>MEIZAN TRHPKO CBS WILKOTE380 INPEBG@20KG</v>
          </cell>
          <cell r="C1528" t="str">
            <v>DẦU NHÂN CỌ ĐÃ TINH LUYỆN VÀ HYDRO HÓA, HIỆU MEIZAN WILKOTE 380</v>
          </cell>
          <cell r="D1528" t="str">
            <v>MEIZAN TRHPKO CBS WILKOTE380 INPEBG@20KG</v>
          </cell>
          <cell r="E1528">
            <v>20</v>
          </cell>
          <cell r="F1528" t="str">
            <v>Bỏ chọn</v>
          </cell>
          <cell r="G1528"/>
          <cell r="H1528"/>
        </row>
        <row r="1529">
          <cell r="A1529" t="str">
            <v>6.1212A64</v>
          </cell>
          <cell r="B1529" t="str">
            <v>REFINED PALM OLEIN IV 58-61/RSPO MB</v>
          </cell>
          <cell r="C1529" t="str">
            <v>DẦU OLEIN CỌ TINH LUYỆN TRONG XE BỒN (RSPO/MB)</v>
          </cell>
          <cell r="D1529" t="str">
            <v>REFINED PALM OLEIN IV 58-61/RSPO MB</v>
          </cell>
          <cell r="E1529">
            <v>1</v>
          </cell>
          <cell r="F1529" t="str">
            <v>Chọn</v>
          </cell>
          <cell r="G1529"/>
          <cell r="H1529"/>
        </row>
        <row r="1530">
          <cell r="A1530" t="str">
            <v>V12.201.001</v>
          </cell>
          <cell r="B1530" t="str">
            <v>MIXED TOCOPHEROL, 95% (VITAMIN E)</v>
          </cell>
          <cell r="C1530" t="str">
            <v>TOCOPHEROL HỖN HỢP TỰ NHIÊN WILMOX 90</v>
          </cell>
          <cell r="D1530" t="str">
            <v>FORTIUM MT 95 LIQUID</v>
          </cell>
          <cell r="E1530">
            <v>1</v>
          </cell>
          <cell r="F1530" t="str">
            <v>Bỏ chọn</v>
          </cell>
          <cell r="G1530"/>
          <cell r="H1530"/>
        </row>
        <row r="1531">
          <cell r="A1531" t="str">
            <v>7.1060000224008010TD</v>
          </cell>
          <cell r="B1531" t="str">
            <v xml:space="preserve">SHORTENING WILMAX 1200, IN CARTON 20KG </v>
          </cell>
          <cell r="C1531" t="str">
            <v>DẦU THỰC VẬT WILMAX 1200, THÙNG 20KG</v>
          </cell>
          <cell r="D1531" t="str">
            <v xml:space="preserve">SHORTENING WILMAX 1200, IN CARTON 20KG </v>
          </cell>
          <cell r="E1531">
            <v>20</v>
          </cell>
          <cell r="F1531" t="str">
            <v>Bỏ chọn</v>
          </cell>
          <cell r="G1531"/>
          <cell r="H1531"/>
        </row>
        <row r="1532">
          <cell r="A1532" t="str">
            <v>7.1060050201908010TD</v>
          </cell>
          <cell r="B1532" t="str">
            <v xml:space="preserve">SHORTENING WILSHORT 4750, BRAND NAME SANIA, IN CARTON 20KG </v>
          </cell>
          <cell r="C1532" t="str">
            <v>DẦU THỰC VẬT WILSHORT 4750, NHÃN HIỆU SANIA, THÙNG 20KG</v>
          </cell>
          <cell r="D1532" t="str">
            <v xml:space="preserve">SHORTENING WILSHORT 4750, BRAND NAME SANIA, IN CARTON 20KG </v>
          </cell>
          <cell r="E1532">
            <v>20</v>
          </cell>
          <cell r="F1532" t="str">
            <v>Bỏ chọn</v>
          </cell>
          <cell r="G1532"/>
          <cell r="H1532"/>
        </row>
        <row r="1533">
          <cell r="A1533" t="str">
            <v>7.B2401239940010401TD</v>
          </cell>
          <cell r="B1533" t="str">
            <v>PREMIUM SOY SAUCE 210ML</v>
          </cell>
          <cell r="C1533" t="str">
            <v>NƯỚC TƯƠNG THƯỢNG HẠNG 210ML</v>
          </cell>
          <cell r="D1533" t="str">
            <v>PREMIUM SOY SAUCE 210ML</v>
          </cell>
          <cell r="E1533">
            <v>0.24</v>
          </cell>
          <cell r="F1533" t="str">
            <v>Bỏ chọn</v>
          </cell>
          <cell r="G1533"/>
          <cell r="H1533"/>
        </row>
        <row r="1534">
          <cell r="A1534" t="str">
            <v>7.B24012399400104TD</v>
          </cell>
          <cell r="B1534" t="str">
            <v>PREMIUM SOY SAUCE 210ML X 20 BOT</v>
          </cell>
          <cell r="C1534" t="str">
            <v>NƯỚC TƯƠNG THƯỢNG HẠNG 210ML</v>
          </cell>
          <cell r="D1534" t="str">
            <v>PREMIUM SOY SAUCE 210ML X 20 BOT</v>
          </cell>
          <cell r="E1534">
            <v>4.7</v>
          </cell>
          <cell r="F1534" t="str">
            <v>Bỏ chọn</v>
          </cell>
          <cell r="G1534"/>
          <cell r="H1534"/>
        </row>
        <row r="1535">
          <cell r="A1535" t="str">
            <v>7.B2402239918010301TD</v>
          </cell>
          <cell r="B1535" t="str">
            <v>SPECIAL HOT CHILI SAUCE 250G</v>
          </cell>
          <cell r="C1535" t="str">
            <v>TƯƠNG ỚT ĐẶC BIỆT CAY 250G</v>
          </cell>
          <cell r="D1535" t="str">
            <v>SPECIAL HOT CHILI SAUCE 250G</v>
          </cell>
          <cell r="E1535">
            <v>0.25</v>
          </cell>
          <cell r="F1535" t="str">
            <v>Bỏ chọn</v>
          </cell>
          <cell r="G1535"/>
          <cell r="H1535"/>
        </row>
        <row r="1536">
          <cell r="A1536" t="str">
            <v>7.B24022399180103TD</v>
          </cell>
          <cell r="B1536" t="str">
            <v>SPECIAL HOT CHILI SAUCE 250G X 24 BOT</v>
          </cell>
          <cell r="C1536" t="str">
            <v>TƯƠNG ỚT ĐẶC BIỆT CAY 250G</v>
          </cell>
          <cell r="D1536" t="str">
            <v>SPECIAL HOT CHILI SAUCE 250G X 24 BOT</v>
          </cell>
          <cell r="E1536">
            <v>6</v>
          </cell>
          <cell r="F1536" t="str">
            <v>Bỏ chọn</v>
          </cell>
          <cell r="G1536"/>
          <cell r="H1536"/>
        </row>
        <row r="1537">
          <cell r="A1537" t="str">
            <v>7.B2508549942920501TD</v>
          </cell>
          <cell r="B1537" t="str">
            <v xml:space="preserve">PORK BOUILLON GRANULE 380G </v>
          </cell>
          <cell r="C1537" t="str">
            <v>THỰC PHẨM BỔ SUNG HẠT NÊM 4 TRONG 1 - VỊ HEO 380G</v>
          </cell>
          <cell r="D1537" t="str">
            <v xml:space="preserve">PORK BOUILLON GRANULE 380G </v>
          </cell>
          <cell r="E1537">
            <v>0.38</v>
          </cell>
          <cell r="F1537" t="str">
            <v>Bỏ chọn</v>
          </cell>
          <cell r="G1537"/>
          <cell r="H1537"/>
        </row>
        <row r="1538">
          <cell r="A1538" t="str">
            <v>7.B24025399329415</v>
          </cell>
          <cell r="B1538" t="str">
            <v>MIVIMEX ASSORTED CHILI SAUCE 200G X 30 BTL</v>
          </cell>
          <cell r="C1538" t="str">
            <v>TƯƠNG ỚT HỖN HỢP XUẤT KHẨU MIVIMEX 200G</v>
          </cell>
          <cell r="D1538" t="str">
            <v>MIVIMEX ASSORTED CHILI SAUCE 200G X 30 BTL</v>
          </cell>
          <cell r="E1538">
            <v>6</v>
          </cell>
          <cell r="F1538" t="str">
            <v>Bỏ chọn</v>
          </cell>
          <cell r="G1538"/>
          <cell r="H1538"/>
        </row>
        <row r="1539">
          <cell r="A1539" t="str">
            <v>7.B25085499429205TD</v>
          </cell>
          <cell r="B1539" t="str">
            <v>PORK BOUILLON GRANULE 380G X 20 PAC</v>
          </cell>
          <cell r="C1539" t="str">
            <v>THỰC PHẨM BỔ SUNG HẠT NÊM 4 TRONG 1 - VỊ HEO 380G</v>
          </cell>
          <cell r="D1539" t="str">
            <v>PORK BOUILLON GRANULE 380G X 20 PAC</v>
          </cell>
          <cell r="E1539">
            <v>7.6</v>
          </cell>
          <cell r="F1539" t="str">
            <v>Bỏ chọn</v>
          </cell>
          <cell r="G1539"/>
          <cell r="H1539"/>
        </row>
        <row r="1540">
          <cell r="A1540" t="str">
            <v>7.B2402539932941501</v>
          </cell>
          <cell r="B1540" t="str">
            <v>MIVIMEX ASSORTED CHILI SAUCE 200G</v>
          </cell>
          <cell r="C1540" t="str">
            <v>TƯƠNG ỚT HỖN HỢP XUẤT KHẨU MIVIMEX 200G</v>
          </cell>
          <cell r="D1540" t="str">
            <v>MIVIMEX ASSORTED CHILI SAUCE 200G</v>
          </cell>
          <cell r="E1540">
            <v>0.2</v>
          </cell>
          <cell r="F1540" t="str">
            <v>Bỏ chọn</v>
          </cell>
          <cell r="G1540"/>
          <cell r="H1540"/>
        </row>
        <row r="1541">
          <cell r="A1541" t="str">
            <v>7.B24072399359116</v>
          </cell>
          <cell r="B1541" t="str">
            <v>HORECA TOMATO SAUCE 2.2KG X 6 BTL</v>
          </cell>
          <cell r="C1541" t="str">
            <v>TƯƠNG CÀ HORECA 2.2KG</v>
          </cell>
          <cell r="D1541" t="str">
            <v>HORECA TOMATO SAUCE 2.2KG X 6 BTL</v>
          </cell>
          <cell r="E1541">
            <v>13.2</v>
          </cell>
          <cell r="F1541" t="str">
            <v>Bỏ chọn</v>
          </cell>
          <cell r="G1541" t="str">
            <v>2000000008</v>
          </cell>
          <cell r="H1541" t="str">
            <v>7.B2407239935911601</v>
          </cell>
        </row>
        <row r="1542">
          <cell r="A1542" t="str">
            <v>7.B2407239935911601</v>
          </cell>
          <cell r="B1542" t="str">
            <v>HORECA TOMATO SAUCE 2.2KG</v>
          </cell>
          <cell r="C1542" t="str">
            <v>TƯƠNG CÀ HORECA 2.2KG</v>
          </cell>
          <cell r="D1542" t="str">
            <v>HORECA TOMATO SAUCE 2.2KG</v>
          </cell>
          <cell r="E1542">
            <v>2.2000000000000002</v>
          </cell>
          <cell r="F1542" t="str">
            <v>Bỏ chọn</v>
          </cell>
          <cell r="G1542" t="str">
            <v>2000000008</v>
          </cell>
          <cell r="H1542"/>
        </row>
        <row r="1543">
          <cell r="A1543" t="str">
            <v>V10.000.001</v>
          </cell>
          <cell r="B1543" t="str">
            <v>TV SONY KD -65X7000E VN3</v>
          </cell>
          <cell r="C1543" t="str">
            <v>TIVI SONY KD-65X7000E VN3</v>
          </cell>
          <cell r="D1543" t="str">
            <v>TV SONY KD -65X7000E VN3</v>
          </cell>
          <cell r="E1543">
            <v>0</v>
          </cell>
          <cell r="F1543" t="str">
            <v>Bỏ chọn</v>
          </cell>
          <cell r="G1543"/>
          <cell r="H1543"/>
        </row>
        <row r="1544">
          <cell r="A1544" t="str">
            <v>V10.000.002</v>
          </cell>
          <cell r="B1544" t="str">
            <v>TV SONY KD-55X7000E VN3</v>
          </cell>
          <cell r="C1544" t="str">
            <v>TIVI SONY KD-55X7000E VN3</v>
          </cell>
          <cell r="D1544" t="str">
            <v>TV SONY KD-55X7000E VN3</v>
          </cell>
          <cell r="E1544">
            <v>0</v>
          </cell>
          <cell r="F1544" t="str">
            <v>Bỏ chọn</v>
          </cell>
          <cell r="G1544"/>
          <cell r="H1544"/>
        </row>
        <row r="1545">
          <cell r="A1545" t="str">
            <v>V39.000.010</v>
          </cell>
          <cell r="B1545" t="str">
            <v>SKYLINK SUITCASE</v>
          </cell>
          <cell r="C1545" t="str">
            <v>VALI SKYLINK SUITCASE (TP SONY)</v>
          </cell>
          <cell r="D1545" t="str">
            <v>SKYLINK SUITCASE</v>
          </cell>
          <cell r="E1545">
            <v>0</v>
          </cell>
          <cell r="F1545" t="str">
            <v>Bỏ chọn</v>
          </cell>
          <cell r="G1545"/>
          <cell r="H1545"/>
        </row>
        <row r="1546">
          <cell r="A1546" t="str">
            <v>V52.000.001</v>
          </cell>
          <cell r="B1546" t="str">
            <v>SUZUKI CAR-F10A-ID731374</v>
          </cell>
          <cell r="C1546" t="str">
            <v>XE Ô TÔ TẢI NHÃN HIỆU SUZUKI SK410K4 MỚI 100%, MÀU TRẮNG</v>
          </cell>
          <cell r="D1546" t="str">
            <v>SUZUKI CAR-F10A-ID731374</v>
          </cell>
          <cell r="E1546">
            <v>0</v>
          </cell>
          <cell r="F1546" t="str">
            <v>Bỏ chọn</v>
          </cell>
          <cell r="G1546"/>
          <cell r="H1546"/>
        </row>
        <row r="1547">
          <cell r="A1547" t="str">
            <v>V52.000.002</v>
          </cell>
          <cell r="B1547" t="str">
            <v>FOR RANGER CAR-P4AT 2560252</v>
          </cell>
          <cell r="C1547" t="str">
            <v>XE Ô-TÔ TẢI - PINK UP, CABIN KÉP NHẬP KHẨU MỚI, NHÃN HIỆU: FORD RANGER</v>
          </cell>
          <cell r="D1547" t="str">
            <v>FOR RANGER CAR-P4AT 2560252</v>
          </cell>
          <cell r="E1547">
            <v>0</v>
          </cell>
          <cell r="F1547" t="str">
            <v>Bỏ chọn</v>
          </cell>
          <cell r="G1547"/>
          <cell r="H1547"/>
        </row>
        <row r="1548">
          <cell r="A1548" t="str">
            <v>V52.000.003</v>
          </cell>
          <cell r="B1548" t="str">
            <v>FOR RANGER CAR-P4AT 2562347</v>
          </cell>
          <cell r="C1548" t="str">
            <v>XE Ô-TÔ TẢI - PINK UP, CABIN KÉP NHẬP KHẨU MỚI, NHÃN HIỆU: FORD RANGER</v>
          </cell>
          <cell r="D1548" t="str">
            <v>FOR RANGER CAR-P4AT 2562347</v>
          </cell>
          <cell r="E1548">
            <v>0</v>
          </cell>
          <cell r="F1548" t="str">
            <v>Bỏ chọn</v>
          </cell>
          <cell r="G1548"/>
          <cell r="H1548"/>
        </row>
        <row r="1549">
          <cell r="A1549" t="str">
            <v>V52.000.004</v>
          </cell>
          <cell r="B1549" t="str">
            <v>CRV CAR-L15BG 1111079</v>
          </cell>
          <cell r="C1549" t="str">
            <v>Ô TÔ HONDA CR-V 15TOP MỚI 100% TAY LÁI THUẬN</v>
          </cell>
          <cell r="D1549" t="str">
            <v>CRV CAR-L15BG 1111079</v>
          </cell>
          <cell r="E1549">
            <v>0</v>
          </cell>
          <cell r="F1549" t="str">
            <v>Bỏ chọn</v>
          </cell>
          <cell r="G1549"/>
          <cell r="H1549"/>
        </row>
        <row r="1550">
          <cell r="A1550" t="str">
            <v>V52.000.005</v>
          </cell>
          <cell r="B1550" t="str">
            <v>MERCEDES-BENZ CAR-RLMWF4CX7HV004359</v>
          </cell>
          <cell r="C1550" t="str">
            <v>XE MERCEDES-BENZ C 200 (205042 R032P0)</v>
          </cell>
          <cell r="D1550" t="str">
            <v>MERCEDES-BENZ CAR-RLMWF4CX7HV004359</v>
          </cell>
          <cell r="E1550">
            <v>0</v>
          </cell>
          <cell r="F1550" t="str">
            <v>Bỏ chọn</v>
          </cell>
          <cell r="G1550"/>
          <cell r="H1550"/>
        </row>
        <row r="1551">
          <cell r="A1551" t="str">
            <v>V15.000.001</v>
          </cell>
          <cell r="B1551" t="str">
            <v>IPHONE 7 PLUS IMEI: 353811087580380</v>
          </cell>
          <cell r="C1551" t="str">
            <v>BỘ SẢN PHẨM VIETTEL ĐTDĐ IPHONE 7 PLUS BLACK 128GB (IMEI: 353811087580380)</v>
          </cell>
          <cell r="D1551" t="str">
            <v>IPHONE 7 PLUS IMEI: 353811087580380</v>
          </cell>
          <cell r="E1551">
            <v>0</v>
          </cell>
          <cell r="F1551" t="str">
            <v>Bỏ chọn</v>
          </cell>
          <cell r="G1551"/>
          <cell r="H1551"/>
        </row>
        <row r="1552">
          <cell r="A1552" t="str">
            <v>V15.000.002</v>
          </cell>
          <cell r="B1552" t="str">
            <v>IPHONE 7 PLUS IMEI: 355349081135255</v>
          </cell>
          <cell r="C1552" t="str">
            <v>BỘ SẢN PHẨM VIETTEL ĐTDĐ IPHONE 7 PLUS BLACK 128GB (IMEI: 355349081135255)</v>
          </cell>
          <cell r="D1552" t="str">
            <v>IPHONE 7 PLUS IMEI: 355349081135255</v>
          </cell>
          <cell r="E1552">
            <v>0</v>
          </cell>
          <cell r="F1552" t="str">
            <v>Bỏ chọn</v>
          </cell>
          <cell r="G1552"/>
          <cell r="H1552"/>
        </row>
        <row r="1553">
          <cell r="A1553" t="str">
            <v>V15.000.003</v>
          </cell>
          <cell r="B1553" t="str">
            <v>IPAD-4G 128GB IMEI: 355807083699263</v>
          </cell>
          <cell r="C1553" t="str">
            <v>IPAD (2017) WI-FI + 4G 128GB GOLD (IMEI: 355807083699263)</v>
          </cell>
          <cell r="D1553" t="str">
            <v>IPAD-4G 128GB IMEI: 355807083699263</v>
          </cell>
          <cell r="E1553">
            <v>0</v>
          </cell>
          <cell r="F1553" t="str">
            <v>Bỏ chọn</v>
          </cell>
          <cell r="G1553"/>
          <cell r="H1553"/>
        </row>
        <row r="1554">
          <cell r="A1554" t="str">
            <v>V15.000.004</v>
          </cell>
          <cell r="B1554" t="str">
            <v>IPAD-4G 128GB IMEI: 359454082059359</v>
          </cell>
          <cell r="C1554" t="str">
            <v>IPAD (2017) WI-FI + 4G 128GB GOLD (IMEI: 359454082059359)</v>
          </cell>
          <cell r="D1554" t="str">
            <v>IPAD-4G 128GB IMEI: 359454082059359</v>
          </cell>
          <cell r="E1554">
            <v>0</v>
          </cell>
          <cell r="F1554" t="str">
            <v>Bỏ chọn</v>
          </cell>
          <cell r="G1554"/>
          <cell r="H1554"/>
        </row>
        <row r="1555">
          <cell r="A1555" t="str">
            <v>V15.000.005</v>
          </cell>
          <cell r="B1555" t="str">
            <v>IPAD-4G 128GB IMEI: 359454082320967</v>
          </cell>
          <cell r="C1555" t="str">
            <v>IPAD (2017) WI-FI + 4G 128GB GOLD (IMEI: 359454082320967)</v>
          </cell>
          <cell r="D1555" t="str">
            <v>IPAD-4G 128GB IMEI: 359454082320967</v>
          </cell>
          <cell r="E1555">
            <v>0</v>
          </cell>
          <cell r="F1555" t="str">
            <v>Bỏ chọn</v>
          </cell>
          <cell r="G1555"/>
          <cell r="H1555"/>
        </row>
        <row r="1556">
          <cell r="A1556" t="str">
            <v>V52.000.006</v>
          </cell>
          <cell r="B1556" t="str">
            <v>HONDA KF251 SH 150I</v>
          </cell>
          <cell r="C1556" t="str">
            <v>XE HONDA KF251 SH 150I</v>
          </cell>
          <cell r="D1556" t="str">
            <v>HONDA KF251 SH 150I</v>
          </cell>
          <cell r="E1556">
            <v>0</v>
          </cell>
          <cell r="F1556" t="str">
            <v>Bỏ chọn</v>
          </cell>
          <cell r="G1556"/>
          <cell r="H1556"/>
        </row>
        <row r="1557">
          <cell r="A1557" t="str">
            <v>V39.000.011</v>
          </cell>
          <cell r="B1557" t="str">
            <v>3M KITCHEN GLOVES LONG SIZE 39CM</v>
          </cell>
          <cell r="C1557" t="str">
            <v>3M GĂNG TAY DÀI 39CM</v>
          </cell>
          <cell r="D1557" t="str">
            <v>3M KITCHEN GLOVES LONG SIZE 39CM</v>
          </cell>
          <cell r="E1557">
            <v>0</v>
          </cell>
          <cell r="F1557" t="str">
            <v>Bỏ chọn</v>
          </cell>
          <cell r="G1557"/>
          <cell r="H1557"/>
        </row>
        <row r="1558">
          <cell r="A1558" t="str">
            <v>V78.000.029</v>
          </cell>
          <cell r="B1558" t="str">
            <v>T-SHIRT UNIFORM POWER100</v>
          </cell>
          <cell r="C1558" t="str">
            <v>ÁO THUN ĐỒNG PHỤC POWER100</v>
          </cell>
          <cell r="D1558" t="str">
            <v>T-SHIRT UNIFORM POWER100</v>
          </cell>
          <cell r="E1558">
            <v>0</v>
          </cell>
          <cell r="F1558" t="str">
            <v>Bỏ chọn</v>
          </cell>
          <cell r="G1558"/>
          <cell r="H1558"/>
        </row>
        <row r="1559">
          <cell r="A1559" t="str">
            <v>7.5239901990595</v>
          </cell>
          <cell r="B1559" t="str">
            <v>ACE 1-25-TTH</v>
          </cell>
          <cell r="C1559" t="str">
            <v>BỘT MÌ CHUYÊN DỤNG "ACE 1" (25KG)</v>
          </cell>
          <cell r="D1559" t="str">
            <v>ACE 1-25-TTH</v>
          </cell>
          <cell r="E1559">
            <v>1</v>
          </cell>
          <cell r="F1559" t="str">
            <v>Bỏ chọn</v>
          </cell>
          <cell r="G1559"/>
          <cell r="H1559"/>
        </row>
        <row r="1560">
          <cell r="A1560" t="str">
            <v>7.5239941990595</v>
          </cell>
          <cell r="B1560" t="str">
            <v>AP-25-TTH</v>
          </cell>
          <cell r="C1560" t="str">
            <v>BỘT MÌ CHĂN NUÔI AP (25KG)</v>
          </cell>
          <cell r="D1560" t="str">
            <v>AP-25-TTH</v>
          </cell>
          <cell r="E1560">
            <v>1</v>
          </cell>
          <cell r="F1560" t="str">
            <v>Bỏ chọn</v>
          </cell>
          <cell r="G1560"/>
          <cell r="H1560"/>
        </row>
        <row r="1561">
          <cell r="A1561" t="str">
            <v>7.B24022399469199</v>
          </cell>
          <cell r="B1561" t="str">
            <v>HORECA CHILI SAUCE 4.8 KG X 4 BOT</v>
          </cell>
          <cell r="C1561" t="str">
            <v>TƯƠNG ỚT HORECA 4.8 KG</v>
          </cell>
          <cell r="D1561" t="str">
            <v>HORECA CHILI SAUCE 4.8 KG X 4 BOT</v>
          </cell>
          <cell r="E1561">
            <v>19.2</v>
          </cell>
          <cell r="F1561" t="str">
            <v>Bỏ chọn</v>
          </cell>
          <cell r="G1561" t="str">
            <v>2000000008</v>
          </cell>
          <cell r="H1561" t="str">
            <v>7.B2402239946919901</v>
          </cell>
        </row>
        <row r="1562">
          <cell r="A1562" t="str">
            <v>7.B2402239946919901</v>
          </cell>
          <cell r="B1562" t="str">
            <v>HORECA CHILI SAUCE 4.8 KG</v>
          </cell>
          <cell r="C1562" t="str">
            <v>TƯƠNG ỚT HORECA 4.8 KG</v>
          </cell>
          <cell r="D1562" t="str">
            <v>HORECA CHILI SAUCE 4.8 KG</v>
          </cell>
          <cell r="E1562">
            <v>4.8</v>
          </cell>
          <cell r="F1562" t="str">
            <v>Bỏ chọn</v>
          </cell>
          <cell r="G1562" t="str">
            <v>2000000008</v>
          </cell>
          <cell r="H1562"/>
        </row>
        <row r="1563">
          <cell r="A1563" t="str">
            <v>V51.000.008</v>
          </cell>
          <cell r="B1563" t="str">
            <v>DISPLAY SHELF</v>
          </cell>
          <cell r="C1563" t="str">
            <v>KỆ TRƯNG BÀY</v>
          </cell>
          <cell r="D1563" t="str">
            <v>DISPLAY SHELF</v>
          </cell>
          <cell r="E1563">
            <v>0</v>
          </cell>
          <cell r="F1563" t="str">
            <v>Bỏ chọn</v>
          </cell>
          <cell r="G1563"/>
          <cell r="H1563"/>
        </row>
        <row r="1564">
          <cell r="A1564" t="str">
            <v>V51.000.009</v>
          </cell>
          <cell r="B1564" t="str">
            <v>DECAL FOR MOBIKE BOOT ( 28 X 20)</v>
          </cell>
          <cell r="C1564" t="str">
            <v>DECAL THÙNG XE MẶT TRƯỚC (28 X 20)</v>
          </cell>
          <cell r="D1564" t="str">
            <v>DECAL FOR MOBIKE BOOT ( 28 X 20)</v>
          </cell>
          <cell r="E1564">
            <v>0</v>
          </cell>
          <cell r="F1564" t="str">
            <v>Bỏ chọn</v>
          </cell>
          <cell r="G1564"/>
          <cell r="H1564"/>
        </row>
        <row r="1565">
          <cell r="A1565" t="str">
            <v>V51.000.010</v>
          </cell>
          <cell r="B1565" t="str">
            <v>DECAL FOR MOBIKE BOOT ( 28 X 24)</v>
          </cell>
          <cell r="C1565" t="str">
            <v>DECAL THÙNG XE MẶT SAU ( 28 X 24)</v>
          </cell>
          <cell r="D1565" t="str">
            <v>DECAL FOR MOBIKE BOOT ( 28 X 24)</v>
          </cell>
          <cell r="E1565">
            <v>0</v>
          </cell>
          <cell r="F1565" t="str">
            <v>Bỏ chọn</v>
          </cell>
          <cell r="G1565"/>
          <cell r="H1565"/>
        </row>
        <row r="1566">
          <cell r="A1566" t="str">
            <v>7.A31990899080117</v>
          </cell>
          <cell r="B1566" t="str">
            <v>MEIZAN SEASONED CRISPY FRYING MIX 150G X 24 PAC</v>
          </cell>
          <cell r="C1566" t="str">
            <v>BỘT CHIÊN GIÒN MEIZAN ĐÃ NÊM SẴN GIA VỊ 150G</v>
          </cell>
          <cell r="D1566" t="str">
            <v>MEIZAN SEASONED CRISPY FRYING MIX 150G X 24 PAC</v>
          </cell>
          <cell r="E1566">
            <v>3.6</v>
          </cell>
          <cell r="F1566" t="str">
            <v>Bỏ chọn</v>
          </cell>
          <cell r="G1566"/>
          <cell r="H1566"/>
        </row>
        <row r="1567">
          <cell r="A1567" t="str">
            <v>7.A3199089908011701</v>
          </cell>
          <cell r="B1567" t="str">
            <v>MEIZAN SEASONED CRISPY FRYING MIX 150G</v>
          </cell>
          <cell r="C1567" t="str">
            <v>BỘT CHIÊN GIÒN MEIZAN ĐÃ NÊM SẴN GIA VỊ 150G</v>
          </cell>
          <cell r="D1567" t="str">
            <v>MEIZAN SEASONED CRISPY FRYING MIX 150G</v>
          </cell>
          <cell r="E1567">
            <v>0.15</v>
          </cell>
          <cell r="F1567" t="str">
            <v>Bỏ chọn</v>
          </cell>
          <cell r="G1567"/>
          <cell r="H1567"/>
        </row>
        <row r="1568">
          <cell r="A1568" t="str">
            <v>V51.000.011</v>
          </cell>
          <cell r="B1568" t="str">
            <v>LEAFLET POWER100</v>
          </cell>
          <cell r="C1568" t="str">
            <v>TỜ RƠI POWER100</v>
          </cell>
          <cell r="D1568" t="str">
            <v>LEAFLET POWER100</v>
          </cell>
          <cell r="E1568">
            <v>0</v>
          </cell>
          <cell r="F1568" t="str">
            <v>Bỏ chọn</v>
          </cell>
          <cell r="G1568"/>
          <cell r="H1568"/>
        </row>
        <row r="1569">
          <cell r="A1569" t="str">
            <v>6.1231000TD</v>
          </cell>
          <cell r="B1569" t="str">
            <v>REFINED COCONUT OIL</v>
          </cell>
          <cell r="C1569" t="str">
            <v>DẦU DỪA TINH LUYỆN TRONG XE BỒN</v>
          </cell>
          <cell r="D1569" t="str">
            <v>REFINED COCONUT OIL</v>
          </cell>
          <cell r="E1569">
            <v>1</v>
          </cell>
          <cell r="F1569" t="str">
            <v>Bỏ chọn</v>
          </cell>
          <cell r="G1569"/>
          <cell r="H1569"/>
        </row>
        <row r="1570">
          <cell r="A1570" t="str">
            <v>7.1040932620TD</v>
          </cell>
          <cell r="B1570" t="str">
            <v>TRHPKL BESSCOTE 38-40 @ 20 KG</v>
          </cell>
          <cell r="C1570" t="str">
            <v>DẦU OLEIN NHÂN CỌ ĐÃ ĐƯỢC TINH LUYỆN VÀ HYDRO HÓA HIỆU BESSCOTE 38-40 TRONG THÙNG CARTON 20KG</v>
          </cell>
          <cell r="D1570" t="str">
            <v>TRHPKL BESSCOTE 38-40 @ 20 KG</v>
          </cell>
          <cell r="E1570">
            <v>20</v>
          </cell>
          <cell r="F1570" t="str">
            <v>Bỏ chọn</v>
          </cell>
          <cell r="G1570"/>
          <cell r="H1570"/>
        </row>
        <row r="1571">
          <cell r="A1571" t="str">
            <v>7.460050051700050</v>
          </cell>
          <cell r="B1571" t="str">
            <v>SIMPLY RBO IN BOTTLE @2L</v>
          </cell>
          <cell r="C1571" t="str">
            <v>DẦU GẠO LỨT NHÃN HIỆU SIMPLY 2L</v>
          </cell>
          <cell r="D1571" t="str">
            <v>SIMPLY RBO IN BOTTLE @2L</v>
          </cell>
          <cell r="E1571">
            <v>1.82</v>
          </cell>
          <cell r="F1571" t="str">
            <v>Bỏ chọn</v>
          </cell>
          <cell r="G1571"/>
          <cell r="H1571"/>
        </row>
        <row r="1572">
          <cell r="A1572" t="str">
            <v>7.458050051700000</v>
          </cell>
          <cell r="B1572" t="str">
            <v>SIMPLY SFO IN BOTTLE @2L</v>
          </cell>
          <cell r="C1572" t="str">
            <v>DẦU HƯỚNG DƯƠNG NHÃN HIỆU SIMPLY 2L</v>
          </cell>
          <cell r="D1572" t="str">
            <v>SIMPLY SFO IN BOTTLE @2L</v>
          </cell>
          <cell r="E1572">
            <v>1.82</v>
          </cell>
          <cell r="F1572" t="str">
            <v>Chọn</v>
          </cell>
          <cell r="G1572"/>
          <cell r="H1572"/>
        </row>
        <row r="1573">
          <cell r="A1573" t="str">
            <v>7.13101112011204TD</v>
          </cell>
          <cell r="B1573" t="str">
            <v>CO-CAI LAN A  0.4L X 20 BTL</v>
          </cell>
          <cell r="C1573" t="str">
            <v>DẦU THỰC VẬT TINH LUYỆN NHÃN HIỆU CÁI LÂN 400 ML</v>
          </cell>
          <cell r="D1573" t="str">
            <v>CO-CAI LAN A  0.4L X 20 BTL</v>
          </cell>
          <cell r="E1573">
            <v>7.28</v>
          </cell>
          <cell r="F1573" t="str">
            <v>Bỏ chọn</v>
          </cell>
          <cell r="G1573"/>
          <cell r="H1573"/>
        </row>
        <row r="1574">
          <cell r="A1574" t="str">
            <v>7.13101112170004TD</v>
          </cell>
          <cell r="B1574" t="str">
            <v>CO-CAI LAN A  BTL @ 0.4L</v>
          </cell>
          <cell r="C1574" t="str">
            <v>DẦU THỰC VẬT TINH LUYỆN NHÃN HIỆU CÁI LÂN 400 ML</v>
          </cell>
          <cell r="D1574" t="str">
            <v>CO-CAI LAN A  BTL @ 0.4L</v>
          </cell>
          <cell r="E1574">
            <v>0.36399999999999999</v>
          </cell>
          <cell r="F1574" t="str">
            <v>Chọn</v>
          </cell>
          <cell r="G1574"/>
          <cell r="H1574"/>
        </row>
        <row r="1575">
          <cell r="A1575" t="str">
            <v>7.13101103010504TD</v>
          </cell>
          <cell r="B1575" t="str">
            <v>CO-CAI LAN A 1L X 12 BTL</v>
          </cell>
          <cell r="C1575" t="str">
            <v>DẦU THỰC VẬT TINH LUYỆN NHÃN HIỆU CÁI LÂN 1L</v>
          </cell>
          <cell r="D1575" t="str">
            <v>CO-CAI LAN A 1L X 12 BTL</v>
          </cell>
          <cell r="E1575">
            <v>10.92</v>
          </cell>
          <cell r="F1575" t="str">
            <v>Bỏ chọn</v>
          </cell>
          <cell r="G1575"/>
          <cell r="H1575"/>
        </row>
        <row r="1576">
          <cell r="A1576" t="str">
            <v>7.13101103170004TD</v>
          </cell>
          <cell r="B1576" t="str">
            <v>CO-CAI LAN A  BTL @ 1L</v>
          </cell>
          <cell r="C1576" t="str">
            <v>DẦU THỰC VẬT TINH LUYỆN NHÃN HIỆU CÁI LÂN 1L</v>
          </cell>
          <cell r="D1576" t="str">
            <v>CO-CAI LAN A  BTL @ 1L</v>
          </cell>
          <cell r="E1576">
            <v>0.91</v>
          </cell>
          <cell r="F1576" t="str">
            <v>Chọn</v>
          </cell>
          <cell r="G1576"/>
          <cell r="H1576"/>
        </row>
        <row r="1577">
          <cell r="A1577" t="str">
            <v>7.131036560800D60</v>
          </cell>
          <cell r="B1577" t="str">
            <v>ORCHID BOS PINK IN PEBAG@15KG</v>
          </cell>
          <cell r="C1577" t="str">
            <v>DẦU BƠ THAY THẾ ĐA DỤNG NHÃN HIỆU ORCHIRD TRONG THÙNG 15KG</v>
          </cell>
          <cell r="D1577" t="str">
            <v>ORCHID BOS PINK IN PEBAG@15KG</v>
          </cell>
          <cell r="E1577">
            <v>15</v>
          </cell>
          <cell r="F1577" t="str">
            <v>Chọn</v>
          </cell>
          <cell r="G1577"/>
          <cell r="H1577"/>
        </row>
        <row r="1578">
          <cell r="A1578" t="str">
            <v>7.70528</v>
          </cell>
          <cell r="B1578" t="str">
            <v>FATTY ALCOHOL 1699 LAMINATED PAPERBAG @25KG</v>
          </cell>
          <cell r="C1578" t="str">
            <v>RƯỢU CETYL - WILFAROL 1699; BAO 25KG</v>
          </cell>
          <cell r="D1578" t="str">
            <v>FATTY ALCOHOL 1699 LAMINATED PAPERBAG @25KG</v>
          </cell>
          <cell r="E1578">
            <v>1</v>
          </cell>
          <cell r="F1578" t="str">
            <v>Bỏ chọn</v>
          </cell>
          <cell r="G1578"/>
          <cell r="H1578"/>
        </row>
        <row r="1579">
          <cell r="A1579" t="str">
            <v>7.70529</v>
          </cell>
          <cell r="B1579" t="str">
            <v>OLEAMIDE; LAMINATED PAPERBAG @25KG</v>
          </cell>
          <cell r="C1579" t="str">
            <v>OLEAMIDE; BAO 25KG</v>
          </cell>
          <cell r="D1579" t="str">
            <v>OLEAMIDE; LAMINATED PAPERBAG @25KG</v>
          </cell>
          <cell r="E1579">
            <v>1</v>
          </cell>
          <cell r="F1579" t="str">
            <v>Bỏ chọn</v>
          </cell>
          <cell r="G1579"/>
          <cell r="H1579"/>
        </row>
        <row r="1580">
          <cell r="A1580" t="str">
            <v>7.1100003600822000TD</v>
          </cell>
          <cell r="B1580" t="str">
            <v>WILKOTE 380 (REFINED HYDROGENATED PALM KERNEL OIL) IN FLEXIBAG</v>
          </cell>
          <cell r="C1580" t="str">
            <v>DẦU NHÂN CỌ HYDRO HÓA , TINH LUYỆN WILKOTE 380 TRONG FLEXIBAG</v>
          </cell>
          <cell r="D1580" t="str">
            <v>WILKOTE 380 (REFINED HYDROGENATED PALM KERNEL OIL) IN FLEXIBAG</v>
          </cell>
          <cell r="E1580">
            <v>1</v>
          </cell>
          <cell r="F1580" t="str">
            <v>Chọn</v>
          </cell>
          <cell r="G1580"/>
          <cell r="H1580"/>
        </row>
        <row r="1581">
          <cell r="A1581" t="str">
            <v>7.101001570901970TD</v>
          </cell>
          <cell r="B1581" t="str">
            <v>SANIA BRAND RBD PALM OLEIN (MASS BALANCE)</v>
          </cell>
          <cell r="C1581" t="str">
            <v>DẦU OLEIN CỌ TINH LUYỆN (MASS BALANCE) NHÃN HIỆU SANIA</v>
          </cell>
          <cell r="D1581" t="str">
            <v>SANIA BRAND RBD PALM OLEIN (MASS BALANCE)</v>
          </cell>
          <cell r="E1581">
            <v>18</v>
          </cell>
          <cell r="F1581" t="str">
            <v>Bỏ chọn</v>
          </cell>
          <cell r="G1581"/>
          <cell r="H1581"/>
        </row>
        <row r="1582">
          <cell r="A1582" t="str">
            <v>V39.000.012</v>
          </cell>
          <cell r="B1582" t="str">
            <v>AQUA WASHING MACHINE 8.5 KG AQW-S85AT H</v>
          </cell>
          <cell r="C1582" t="str">
            <v>MÁY GIẶT AQUA 8.5 KG AQW-S85AT H</v>
          </cell>
          <cell r="D1582" t="str">
            <v>AQUA WASHING MACHINE 8.5 KG AQW-S85AT H</v>
          </cell>
          <cell r="E1582">
            <v>0</v>
          </cell>
          <cell r="F1582" t="str">
            <v>Bỏ chọn</v>
          </cell>
          <cell r="G1582"/>
          <cell r="H1582"/>
        </row>
        <row r="1583">
          <cell r="A1583" t="str">
            <v>V39.000.013</v>
          </cell>
          <cell r="B1583" t="str">
            <v>SAMSUNG WASHING MACHINE WA90M5120SG/SV</v>
          </cell>
          <cell r="C1583" t="str">
            <v>MÁY GIẶT SAMSUNG WA90M5120SG/SV</v>
          </cell>
          <cell r="D1583" t="str">
            <v>SAMSUNG WASHING MACHINE WA90M5120SG/SV</v>
          </cell>
          <cell r="E1583">
            <v>0</v>
          </cell>
          <cell r="F1583" t="str">
            <v>Bỏ chọn</v>
          </cell>
          <cell r="G1583"/>
          <cell r="H1583"/>
        </row>
        <row r="1584">
          <cell r="A1584" t="str">
            <v>V39.000.014</v>
          </cell>
          <cell r="B1584" t="str">
            <v>SUNHOUSE ELECTRIC PRESSURE COOKER  SHD 1767 6.0L</v>
          </cell>
          <cell r="C1584" t="str">
            <v>NỒI ÁP SUẤT ĐIỆN SUNHOUSE SHD 1767 6.0 LÍT</v>
          </cell>
          <cell r="D1584" t="str">
            <v>SUNHOUSE ELECTRIC PRESSURE COOKER  SHD 1767 6.0L</v>
          </cell>
          <cell r="E1584">
            <v>0</v>
          </cell>
          <cell r="F1584" t="str">
            <v>Bỏ chọn</v>
          </cell>
          <cell r="G1584"/>
          <cell r="H1584"/>
        </row>
        <row r="1585">
          <cell r="A1585" t="str">
            <v>V39.000.015</v>
          </cell>
          <cell r="B1585" t="str">
            <v>SUNHOUSE INFRARED STOVES SHD 6015</v>
          </cell>
          <cell r="C1585" t="str">
            <v>BẾP HỒNG NGOẠI SUNHOUSE SHD 6015</v>
          </cell>
          <cell r="D1585" t="str">
            <v>SUNHOUSE INFRARED STOVES SHD 6015</v>
          </cell>
          <cell r="E1585">
            <v>0</v>
          </cell>
          <cell r="F1585" t="str">
            <v>Bỏ chọn</v>
          </cell>
          <cell r="G1585"/>
          <cell r="H1585"/>
        </row>
        <row r="1586">
          <cell r="A1586" t="str">
            <v>V39.000.016</v>
          </cell>
          <cell r="B1586" t="str">
            <v>BATHROOM HEAT LAMP KANGAROO</v>
          </cell>
          <cell r="C1586" t="str">
            <v>ĐÈN SƯỞI NHÀ TẮM KANGAROO 03 BÓNG CÓ QUẠT KG250</v>
          </cell>
          <cell r="D1586" t="str">
            <v>BATHROOM HEAT LAMP KANGAROO</v>
          </cell>
          <cell r="E1586">
            <v>0</v>
          </cell>
          <cell r="F1586" t="str">
            <v>Bỏ chọn</v>
          </cell>
          <cell r="G1586"/>
          <cell r="H1586"/>
        </row>
        <row r="1587">
          <cell r="A1587" t="str">
            <v>V39.000.017</v>
          </cell>
          <cell r="B1587" t="str">
            <v>ASIA STANDING FAN D16011</v>
          </cell>
          <cell r="C1587" t="str">
            <v>QUẠT ĐỨNG ASIA D16011</v>
          </cell>
          <cell r="D1587" t="str">
            <v>ASIA STANDING FAN D16011</v>
          </cell>
          <cell r="E1587">
            <v>0</v>
          </cell>
          <cell r="F1587" t="str">
            <v>Bỏ chọn</v>
          </cell>
          <cell r="G1587"/>
          <cell r="H1587"/>
        </row>
        <row r="1588">
          <cell r="A1588" t="str">
            <v>V39.000.018</v>
          </cell>
          <cell r="B1588" t="str">
            <v>HAPPYCOOK RICE COOKER 1.8L HC-180A</v>
          </cell>
          <cell r="C1588" t="str">
            <v>NỒI CƠM ĐIỆN HAPPYCOOK 1.8 LÍT HC-180A</v>
          </cell>
          <cell r="D1588" t="str">
            <v>HAPPYCOOK RICE COOKER 1.8L HC-180A</v>
          </cell>
          <cell r="E1588">
            <v>0</v>
          </cell>
          <cell r="F1588" t="str">
            <v>Bỏ chọn</v>
          </cell>
          <cell r="G1588"/>
          <cell r="H1588"/>
        </row>
        <row r="1589">
          <cell r="A1589" t="str">
            <v>V51.000.012</v>
          </cell>
          <cell r="B1589" t="str">
            <v>LEAFLET WILMAR PLUS</v>
          </cell>
          <cell r="C1589" t="str">
            <v>TỜ RƠI WILMAR PLUS</v>
          </cell>
          <cell r="D1589" t="str">
            <v>LEAFLET WILMAR PLUS</v>
          </cell>
          <cell r="E1589">
            <v>0</v>
          </cell>
          <cell r="F1589" t="str">
            <v>Chọn</v>
          </cell>
          <cell r="G1589"/>
          <cell r="H1589"/>
        </row>
        <row r="1590">
          <cell r="A1590" t="str">
            <v>7.A33020899330118</v>
          </cell>
          <cell r="B1590" t="str">
            <v>MEIZAN PREMIUM MACARONI - SPIRAL 400G X 6 BAG</v>
          </cell>
          <cell r="C1590" t="str">
            <v>NUI CAO CẤP MEIZAN - HÌNH XOẮN 400G X 6 GÓI</v>
          </cell>
          <cell r="D1590" t="str">
            <v>MEIZAN PREMIUM MACARONI - SPIRAL 400G X 6 BAG</v>
          </cell>
          <cell r="E1590">
            <v>2.4</v>
          </cell>
          <cell r="F1590" t="str">
            <v>Bỏ chọn</v>
          </cell>
          <cell r="G1590"/>
          <cell r="H1590"/>
        </row>
        <row r="1591">
          <cell r="A1591" t="str">
            <v>7.A3302089933011801</v>
          </cell>
          <cell r="B1591" t="str">
            <v>MEIZAN PREMIUM MACARONI - SPIRAL 400G</v>
          </cell>
          <cell r="C1591" t="str">
            <v>NUI CAO CẤP MEIZAN - HÌNH XOẮN 400G</v>
          </cell>
          <cell r="D1591" t="str">
            <v>MEIZAN PREMIUM MACARONI - SPIRAL 400G</v>
          </cell>
          <cell r="E1591">
            <v>0.4</v>
          </cell>
          <cell r="F1591" t="str">
            <v>Bỏ chọn</v>
          </cell>
          <cell r="G1591"/>
          <cell r="H1591"/>
        </row>
        <row r="1592">
          <cell r="A1592" t="str">
            <v>7.A33020899320118</v>
          </cell>
          <cell r="B1592" t="str">
            <v>MEIZAN PREMIUM MACARONI - SPIRAL 200G X 12 BAG</v>
          </cell>
          <cell r="C1592" t="str">
            <v>NUI CAO CẤP MEIZAN - HÌNH XOẮN 200G X 12 GÓI</v>
          </cell>
          <cell r="D1592" t="str">
            <v>MEIZAN PREMIUM MACARONI - SPIRAL 200G X 12 BAG</v>
          </cell>
          <cell r="E1592">
            <v>2.4</v>
          </cell>
          <cell r="F1592" t="str">
            <v>Bỏ chọn</v>
          </cell>
          <cell r="G1592"/>
          <cell r="H1592"/>
        </row>
        <row r="1593">
          <cell r="A1593" t="str">
            <v>7.A3302089932011801</v>
          </cell>
          <cell r="B1593" t="str">
            <v>MEIZAN PREMIUM MACARONI - SPIRAL 200G</v>
          </cell>
          <cell r="C1593" t="str">
            <v>NUI CAO CẤP MEIZAN - HÌNH XOẮN 200G</v>
          </cell>
          <cell r="D1593" t="str">
            <v>MEIZAN PREMIUM MACARONI - SPIRAL 200G</v>
          </cell>
          <cell r="E1593">
            <v>0.2</v>
          </cell>
          <cell r="F1593" t="str">
            <v>Bỏ chọn</v>
          </cell>
          <cell r="G1593"/>
          <cell r="H1593"/>
        </row>
        <row r="1594">
          <cell r="A1594" t="str">
            <v>7.A33020899330119</v>
          </cell>
          <cell r="B1594" t="str">
            <v>MEIZAN PREMIUM MACARONI - ELBOW 400G X 6 BAG</v>
          </cell>
          <cell r="C1594" t="str">
            <v>NUI CAO CẤP MEIZAN - CHỮ "C" 400G X 6 GÓI</v>
          </cell>
          <cell r="D1594" t="str">
            <v>MEIZAN PREMIUM MACARONI - ELBOW 400G X 6 BAG</v>
          </cell>
          <cell r="E1594">
            <v>2.4</v>
          </cell>
          <cell r="F1594" t="str">
            <v>Bỏ chọn</v>
          </cell>
          <cell r="G1594"/>
          <cell r="H1594"/>
        </row>
        <row r="1595">
          <cell r="A1595" t="str">
            <v>7.A3302089933011901</v>
          </cell>
          <cell r="B1595" t="str">
            <v>MEIZAN PREMIUM MACARONI - ELBOW 400G</v>
          </cell>
          <cell r="C1595" t="str">
            <v>NUI CAO CẤP MEIZAN - CHỮ "C" 400G</v>
          </cell>
          <cell r="D1595" t="str">
            <v>MEIZAN PREMIUM MACARONI - ELBOW 400G</v>
          </cell>
          <cell r="E1595">
            <v>0.4</v>
          </cell>
          <cell r="F1595" t="str">
            <v>Bỏ chọn</v>
          </cell>
          <cell r="G1595"/>
          <cell r="H1595"/>
        </row>
        <row r="1596">
          <cell r="A1596" t="str">
            <v>7.A33020899320119</v>
          </cell>
          <cell r="B1596" t="str">
            <v>MEIZAN PREMIUM MACARONI - ELBOW 200G X 12 BAG</v>
          </cell>
          <cell r="C1596" t="str">
            <v>NUI CAO CẤP MEIZAN - CHỮ "C" 200G X 12 GÓI</v>
          </cell>
          <cell r="D1596" t="str">
            <v>MEIZAN PREMIUM MACARONI - ELBOW 200G X 12 BAG</v>
          </cell>
          <cell r="E1596">
            <v>2.4</v>
          </cell>
          <cell r="F1596" t="str">
            <v>Bỏ chọn</v>
          </cell>
          <cell r="G1596"/>
          <cell r="H1596"/>
        </row>
        <row r="1597">
          <cell r="A1597" t="str">
            <v>7.A3302089932011901</v>
          </cell>
          <cell r="B1597" t="str">
            <v>MEIZAN PREMIUM MACARONI - ELBOW 200G</v>
          </cell>
          <cell r="C1597" t="str">
            <v>NUI CAO CẤP MEIZAN - CHỮ "C" 200G</v>
          </cell>
          <cell r="D1597" t="str">
            <v>MEIZAN PREMIUM MACARONI - ELBOW 200G</v>
          </cell>
          <cell r="E1597">
            <v>0.2</v>
          </cell>
          <cell r="F1597" t="str">
            <v>Bỏ chọn</v>
          </cell>
          <cell r="G1597"/>
          <cell r="H1597"/>
        </row>
        <row r="1598">
          <cell r="A1598" t="str">
            <v>7.C350155993301</v>
          </cell>
          <cell r="B1598" t="str">
            <v>DISHWASHING LIQUID POWER100, 0,4KG X 24 BOT</v>
          </cell>
          <cell r="C1598" t="str">
            <v>NƯỚC RỬA CHÉN POWER100, LOẠI 0,4 KG X 24 CHAI</v>
          </cell>
          <cell r="D1598" t="str">
            <v>DISHWASHING LIQUID POWER100, 0,4KG X 24 BOT</v>
          </cell>
          <cell r="E1598">
            <v>9.6</v>
          </cell>
          <cell r="F1598" t="str">
            <v>Bỏ chọn</v>
          </cell>
          <cell r="G1598"/>
          <cell r="H1598"/>
        </row>
        <row r="1599">
          <cell r="A1599" t="str">
            <v>7.C35015599330101</v>
          </cell>
          <cell r="B1599" t="str">
            <v>DISHWASHING LIQUID POWER100, 0,4KG</v>
          </cell>
          <cell r="C1599" t="str">
            <v>NƯỚC RỬA CHÉN POWER100, LOẠI 0,4 KG</v>
          </cell>
          <cell r="D1599" t="str">
            <v>DISHWASHING LIQUID POWER100, 0,4KG</v>
          </cell>
          <cell r="E1599">
            <v>0.4</v>
          </cell>
          <cell r="F1599" t="str">
            <v>Bỏ chọn</v>
          </cell>
          <cell r="G1599"/>
          <cell r="H1599"/>
        </row>
        <row r="1600">
          <cell r="A1600" t="str">
            <v>V51.041.006</v>
          </cell>
          <cell r="B1600" t="str">
            <v>MEIZAN RICE 5KG</v>
          </cell>
          <cell r="C1600" t="str">
            <v>GẠO MEIZAN 5 KG</v>
          </cell>
          <cell r="D1600" t="str">
            <v>MEIZAN RICE 5KG</v>
          </cell>
          <cell r="E1600">
            <v>0</v>
          </cell>
          <cell r="F1600" t="str">
            <v>Bỏ chọn</v>
          </cell>
          <cell r="G1600"/>
          <cell r="H1600"/>
        </row>
        <row r="1601">
          <cell r="A1601" t="str">
            <v>V39.001.057</v>
          </cell>
          <cell r="B1601" t="str">
            <v>SMART TIVI SAMSUNG 40 INCH UA40J5200D</v>
          </cell>
          <cell r="C1601" t="str">
            <v>TIVI SMART SAMSUNG 40 INCH MÃ SẢN PHẨM UA40J5200D</v>
          </cell>
          <cell r="D1601" t="str">
            <v>SMART TIVI SAMSUNG 40 INCH UA40J5200D</v>
          </cell>
          <cell r="E1601">
            <v>0</v>
          </cell>
          <cell r="F1601" t="str">
            <v>Bỏ chọn</v>
          </cell>
          <cell r="G1601"/>
          <cell r="H1601"/>
        </row>
        <row r="1602">
          <cell r="A1602" t="str">
            <v>V39.003.015</v>
          </cell>
          <cell r="B1602" t="str">
            <v>REFRIGERATOR SAMSUNG RT20K300ASE/SV</v>
          </cell>
          <cell r="C1602" t="str">
            <v>TỦ LẠNH SAMSUNG 208 LÍT MÃ SẢN PHẨM RT20K300ASE/SV</v>
          </cell>
          <cell r="D1602" t="str">
            <v>REFRIGERATOR SAMSUNG RT20K300ASE/SV</v>
          </cell>
          <cell r="E1602">
            <v>0</v>
          </cell>
          <cell r="F1602" t="str">
            <v>Bỏ chọn</v>
          </cell>
          <cell r="G1602"/>
          <cell r="H1602"/>
        </row>
        <row r="1603">
          <cell r="A1603" t="str">
            <v>V39.014.022</v>
          </cell>
          <cell r="B1603" t="str">
            <v>ELECTROLUX RICE COOKERS ERC3505 1.8L</v>
          </cell>
          <cell r="C1603" t="str">
            <v>NỒI CƠM ĐIỆN ELECTROLUX 1.8 LÍT ERC35005</v>
          </cell>
          <cell r="D1603" t="str">
            <v>ELECTROLUX RICE COOKERS ERC3505 1.8L</v>
          </cell>
          <cell r="E1603">
            <v>0</v>
          </cell>
          <cell r="F1603" t="str">
            <v>Bỏ chọn</v>
          </cell>
          <cell r="G1603"/>
          <cell r="H1603"/>
        </row>
        <row r="1604">
          <cell r="A1604" t="str">
            <v>V39.003.016</v>
          </cell>
          <cell r="B1604" t="str">
            <v>REFRIGERATOR SAMSUNG RT20HAR8DSA</v>
          </cell>
          <cell r="C1604" t="str">
            <v>TỦ LẠNH SAMSUNG RT20HAR8DSA</v>
          </cell>
          <cell r="D1604" t="str">
            <v>REFRIGERATOR SAMSUNG RT20HAR8DSA</v>
          </cell>
          <cell r="E1604">
            <v>0</v>
          </cell>
          <cell r="F1604" t="str">
            <v>Bỏ chọn</v>
          </cell>
          <cell r="G1604"/>
          <cell r="H1604"/>
        </row>
        <row r="1605">
          <cell r="A1605" t="str">
            <v>V52.000.007</v>
          </cell>
          <cell r="B1605" t="str">
            <v>TOYOTA VIOS E_NSP151L-BEXRKU</v>
          </cell>
          <cell r="C1605" t="str">
            <v>XE Ô TÔ CON 05 CHỖ NGỒI HIỆU TOYOTA VIOS E, NSP151L-BEXRKU, MỚI 100%</v>
          </cell>
          <cell r="D1605" t="str">
            <v>TOYOTA VIOS E_NSP151L-BEXRKU</v>
          </cell>
          <cell r="E1605">
            <v>0</v>
          </cell>
          <cell r="F1605" t="str">
            <v>Bỏ chọn</v>
          </cell>
          <cell r="G1605"/>
          <cell r="H1605"/>
        </row>
        <row r="1606">
          <cell r="A1606" t="str">
            <v>V15.000.006</v>
          </cell>
          <cell r="B1606" t="str">
            <v>BSP ĐTDĐ IPHONE 7 PLUS BLACK 128GB</v>
          </cell>
          <cell r="C1606" t="str">
            <v>(BSP ĐTDĐ) IPHONE 7 PLUS BLACK 128GB (BỘ SẢN PHẨM ĐTDĐ)</v>
          </cell>
          <cell r="D1606" t="str">
            <v>BSP ĐTDĐ IPHONE 7 PLUS BLACK 128GB</v>
          </cell>
          <cell r="E1606">
            <v>0</v>
          </cell>
          <cell r="F1606" t="str">
            <v>Bỏ chọn</v>
          </cell>
          <cell r="G1606"/>
          <cell r="H1606"/>
        </row>
        <row r="1607">
          <cell r="A1607" t="str">
            <v>V15.000.007</v>
          </cell>
          <cell r="B1607" t="str">
            <v>MTB APPLE IPAD (2017) WI-FI + 4G 128GB GOLD</v>
          </cell>
          <cell r="C1607" t="str">
            <v>(MTB) APPLE IPAD (2017) WI-FI + 4G 128GB GOLD (MÁY TÍNH BẢNG)</v>
          </cell>
          <cell r="D1607" t="str">
            <v>MTB APPLE IPAD (2017) WI-FI + 4G 128GB GOLD</v>
          </cell>
          <cell r="E1607">
            <v>0</v>
          </cell>
          <cell r="F1607" t="str">
            <v>Bỏ chọn</v>
          </cell>
          <cell r="G1607"/>
          <cell r="H1607"/>
        </row>
        <row r="1608">
          <cell r="A1608" t="str">
            <v>V51.000.013</v>
          </cell>
          <cell r="B1608" t="str">
            <v>NDFC KITCHEN TOWEL</v>
          </cell>
          <cell r="C1608" t="str">
            <v>KHĂN BẾP NDFC</v>
          </cell>
          <cell r="D1608" t="str">
            <v>NDFC KITCHEN TOWEL</v>
          </cell>
          <cell r="E1608">
            <v>0</v>
          </cell>
          <cell r="F1608" t="str">
            <v>Bỏ chọn</v>
          </cell>
          <cell r="G1608"/>
          <cell r="H1608"/>
        </row>
        <row r="1609">
          <cell r="A1609" t="str">
            <v>V39.001.059</v>
          </cell>
          <cell r="B1609" t="str">
            <v>TIVI LED SAMSUNG MODEL:UA40J5200DKXXV</v>
          </cell>
          <cell r="C1609" t="str">
            <v>TIVI LED SAMSUNG MODEL:UA40J5200DKXXV</v>
          </cell>
          <cell r="D1609" t="str">
            <v>TIVI LED SAMSUNG MODEL:UA40J5200DKXXV</v>
          </cell>
          <cell r="E1609">
            <v>0</v>
          </cell>
          <cell r="F1609" t="str">
            <v>Bỏ chọn</v>
          </cell>
          <cell r="G1609"/>
          <cell r="H1609"/>
        </row>
        <row r="1610">
          <cell r="A1610" t="str">
            <v>V39.000.019</v>
          </cell>
          <cell r="B1610" t="str">
            <v>OLIVOILA PORCELAIN PLATE</v>
          </cell>
          <cell r="C1610" t="str">
            <v>ĐĨA SỨ OLIVOILA</v>
          </cell>
          <cell r="D1610" t="str">
            <v>OLIVOILA PORCELAIN PLATE</v>
          </cell>
          <cell r="E1610">
            <v>0</v>
          </cell>
          <cell r="F1610" t="str">
            <v>Bỏ chọn</v>
          </cell>
          <cell r="G1610"/>
          <cell r="H1610"/>
        </row>
        <row r="1611">
          <cell r="A1611" t="str">
            <v>V39.000.020</v>
          </cell>
          <cell r="B1611" t="str">
            <v>OLIVOILA PORCELAIN CUP</v>
          </cell>
          <cell r="C1611" t="str">
            <v>LY SỨ CÓ QUAI OLIVOILA</v>
          </cell>
          <cell r="D1611" t="str">
            <v>OLIVOILA PORCELAIN CUP</v>
          </cell>
          <cell r="E1611">
            <v>0</v>
          </cell>
          <cell r="F1611" t="str">
            <v>Bỏ chọn</v>
          </cell>
          <cell r="G1611"/>
          <cell r="H1611"/>
        </row>
        <row r="1612">
          <cell r="A1612" t="str">
            <v>V39.000.021</v>
          </cell>
          <cell r="B1612" t="str">
            <v>SET OF INOX SPOON - FORK - CHOPSTICKS</v>
          </cell>
          <cell r="C1612" t="str">
            <v>BỘ MUỖNG - NĨA - ĐŨA INOX</v>
          </cell>
          <cell r="D1612" t="str">
            <v>SET OF INOX SPOON - FORK - CHOPSTICKS</v>
          </cell>
          <cell r="E1612">
            <v>0</v>
          </cell>
          <cell r="F1612" t="str">
            <v>Bỏ chọn</v>
          </cell>
          <cell r="G1612"/>
          <cell r="H1612"/>
        </row>
        <row r="1613">
          <cell r="A1613" t="str">
            <v>V51.000.014</v>
          </cell>
          <cell r="B1613" t="str">
            <v>HANDHELD COSMETIC BAG</v>
          </cell>
          <cell r="C1613" t="str">
            <v>TÚI CẦM TAY ĐỰNG MỸ PHẨM</v>
          </cell>
          <cell r="D1613" t="str">
            <v>HANDHELD COSMETIC BAG</v>
          </cell>
          <cell r="E1613">
            <v>0</v>
          </cell>
          <cell r="F1613" t="str">
            <v>Bỏ chọn</v>
          </cell>
          <cell r="G1613"/>
          <cell r="H1613"/>
        </row>
        <row r="1614">
          <cell r="A1614" t="str">
            <v>V51.048.010</v>
          </cell>
          <cell r="B1614" t="str">
            <v>HANG VIET SOY SAUCE 500ML</v>
          </cell>
          <cell r="C1614" t="str">
            <v>NƯỚC CHẤM HÀNG VIỆT 500ML</v>
          </cell>
          <cell r="D1614" t="str">
            <v>HANG VIET SOY SAUCE 500ML</v>
          </cell>
          <cell r="E1614">
            <v>0.54</v>
          </cell>
          <cell r="F1614" t="str">
            <v>Bỏ chọn</v>
          </cell>
          <cell r="G1614"/>
          <cell r="H1614"/>
        </row>
        <row r="1615">
          <cell r="A1615" t="str">
            <v>7.131014570901D70</v>
          </cell>
          <cell r="B1615" t="str">
            <v>SATELLITE VEGETABLE OIL-A IN BIB@18KG</v>
          </cell>
          <cell r="C1615" t="str">
            <v>DẦU THỰC VẬT -A NHÃN HIỆU SATELLITE TRONG TÚI BÓNG 18KG</v>
          </cell>
          <cell r="D1615" t="str">
            <v>SATELLITE VEGETABLE OIL-A IN BIB@18KG</v>
          </cell>
          <cell r="E1615">
            <v>18</v>
          </cell>
          <cell r="F1615" t="str">
            <v>Bỏ chọn</v>
          </cell>
          <cell r="G1615"/>
          <cell r="H1615"/>
        </row>
        <row r="1616">
          <cell r="A1616" t="str">
            <v>V51.046.002</v>
          </cell>
          <cell r="B1616" t="str">
            <v>SUPPLEMENT FOOD SEASONING 4 IN 1 - PORK 380G</v>
          </cell>
          <cell r="C1616" t="str">
            <v>THỰC PHẨM BỔ SUNG HẠT NÊM 4 TRONG 1 -VỊ HEO 380G</v>
          </cell>
          <cell r="D1616" t="str">
            <v>SUPPLEMENT FOOD SEASONING 4 IN 1 - PORK 380G</v>
          </cell>
          <cell r="E1616">
            <v>0</v>
          </cell>
          <cell r="F1616" t="str">
            <v>Bỏ chọn</v>
          </cell>
          <cell r="G1616"/>
          <cell r="H1616"/>
        </row>
        <row r="1617">
          <cell r="A1617" t="str">
            <v>V51.046.003</v>
          </cell>
          <cell r="B1617" t="str">
            <v>SUPPLEMENT FOOD SEASONING 4 IN 1 -PORK 170G</v>
          </cell>
          <cell r="C1617" t="str">
            <v>THỰC PHẨM BỔ SUNG HẠT NÊM 4 TRONG 1 -VỊ HEO 170G</v>
          </cell>
          <cell r="D1617" t="str">
            <v>SUPPLEMENT FOOD SEASONING 4 IN 1 -PORK 170G</v>
          </cell>
          <cell r="E1617">
            <v>0</v>
          </cell>
          <cell r="F1617" t="str">
            <v>Bỏ chọn</v>
          </cell>
          <cell r="G1617"/>
          <cell r="H1617"/>
        </row>
        <row r="1618">
          <cell r="A1618" t="str">
            <v>V51.000.015</v>
          </cell>
          <cell r="B1618" t="str">
            <v>PLASTIC BASKET SET</v>
          </cell>
          <cell r="C1618" t="str">
            <v>BỘ THAU RỔ NHỰA (BỘ THAU RỔ BẦU)</v>
          </cell>
          <cell r="D1618" t="str">
            <v>PLASTIC BASKET SET</v>
          </cell>
          <cell r="E1618">
            <v>0.25</v>
          </cell>
          <cell r="F1618" t="str">
            <v>Bỏ chọn</v>
          </cell>
          <cell r="G1618"/>
          <cell r="H1618"/>
        </row>
        <row r="1619">
          <cell r="A1619" t="str">
            <v>V39.000.022</v>
          </cell>
          <cell r="B1619" t="str">
            <v>PLASTIC BOX</v>
          </cell>
          <cell r="C1619" t="str">
            <v>HỘP NHỰA (HỘP KIWI NHỎ)</v>
          </cell>
          <cell r="D1619" t="str">
            <v>PLASTIC BOX</v>
          </cell>
          <cell r="E1619">
            <v>0.1</v>
          </cell>
          <cell r="F1619" t="str">
            <v>Bỏ chọn</v>
          </cell>
          <cell r="G1619"/>
          <cell r="H1619"/>
        </row>
        <row r="1620">
          <cell r="A1620" t="str">
            <v>7.A33020899510118</v>
          </cell>
          <cell r="B1620" t="str">
            <v>MEIZAN PREMIUM MACARONI - SPIRAL 6.5KG</v>
          </cell>
          <cell r="C1620" t="str">
            <v>NUI CAO CẤP MEIZAN - HÌNH XOẮN 6.5KG</v>
          </cell>
          <cell r="D1620" t="str">
            <v>MEIZAN PREMIUM MACARONI - SPIRAL 6.5KG</v>
          </cell>
          <cell r="E1620">
            <v>6.5</v>
          </cell>
          <cell r="F1620" t="str">
            <v>Bỏ chọn</v>
          </cell>
          <cell r="G1620"/>
          <cell r="H1620"/>
        </row>
        <row r="1621">
          <cell r="A1621" t="str">
            <v>7.A33020899530119</v>
          </cell>
          <cell r="B1621" t="str">
            <v>MEIZAN PREMIUM MACARONI - ELBOW 8.5KG</v>
          </cell>
          <cell r="C1621" t="str">
            <v>NUI CAO CẤP MEIZAN - CHỮ "C" 8.5KG</v>
          </cell>
          <cell r="D1621" t="str">
            <v>MEIZAN PREMIUM MACARONI - ELBOW 8.5KG</v>
          </cell>
          <cell r="E1621">
            <v>8.5</v>
          </cell>
          <cell r="F1621" t="str">
            <v>Bỏ chọn</v>
          </cell>
          <cell r="G1621"/>
          <cell r="H1621"/>
        </row>
        <row r="1622">
          <cell r="A1622" t="str">
            <v>7.A33020899520120</v>
          </cell>
          <cell r="B1622" t="str">
            <v>MEIZAN PREMIUM MACARONI - LONG TUBE 8KG</v>
          </cell>
          <cell r="C1622" t="str">
            <v>NUI CAO CẤP MEIZAN - ỐNG DÀI 8KG</v>
          </cell>
          <cell r="D1622" t="str">
            <v>MEIZAN PREMIUM MACARONI - LONG TUBE 8KG</v>
          </cell>
          <cell r="E1622">
            <v>8</v>
          </cell>
          <cell r="F1622" t="str">
            <v>Bỏ chọn</v>
          </cell>
          <cell r="G1622"/>
          <cell r="H1622"/>
        </row>
        <row r="1623">
          <cell r="A1623" t="str">
            <v>V51.047.005</v>
          </cell>
          <cell r="B1623" t="str">
            <v>MEIZAN SEASONED CRISPY FRYING MIX 150G</v>
          </cell>
          <cell r="C1623" t="str">
            <v>BỘT CHIÊN GIÒN MEIZAN ĐÃ NÊM SẴN GIA VỊ 150G</v>
          </cell>
          <cell r="D1623" t="str">
            <v>MEIZAN SEASONED CRISPY FRYING MIX 150G</v>
          </cell>
          <cell r="E1623">
            <v>0.15</v>
          </cell>
          <cell r="F1623" t="str">
            <v>Bỏ chọn</v>
          </cell>
          <cell r="G1623"/>
          <cell r="H1623"/>
        </row>
        <row r="1624">
          <cell r="A1624" t="str">
            <v>V51.048.008</v>
          </cell>
          <cell r="B1624" t="str">
            <v>NAM DUONG CONCENTRATED SOY SAUCE 280ML</v>
          </cell>
          <cell r="C1624" t="str">
            <v>THỰC PHẨM BỔ SUNG NƯỚC TƯƠNG NAM DƯƠNG ĐẬM ĐẶC 280ML</v>
          </cell>
          <cell r="D1624" t="str">
            <v>NAM DUONG CONCENTRATED SOY SAUCE 280ML</v>
          </cell>
          <cell r="E1624">
            <v>0.31</v>
          </cell>
          <cell r="F1624" t="str">
            <v>Bỏ chọn</v>
          </cell>
          <cell r="G1624"/>
          <cell r="H1624"/>
        </row>
        <row r="1625">
          <cell r="A1625" t="str">
            <v>V39.000.023</v>
          </cell>
          <cell r="B1625" t="str">
            <v xml:space="preserve">TOSHIBA RC-10NMFVN(WT) 1L ELECTRIC RICE COOKER </v>
          </cell>
          <cell r="C1625" t="str">
            <v>NỒI CƠM ĐIỆN TOSHIBA RC-10NMFVN(WT) 1L</v>
          </cell>
          <cell r="D1625" t="str">
            <v xml:space="preserve">TOSHIBA RC-10NMFVN(WT) 1L ELECTRIC RICE COOKER </v>
          </cell>
          <cell r="E1625">
            <v>0</v>
          </cell>
          <cell r="F1625" t="str">
            <v>Bỏ chọn</v>
          </cell>
          <cell r="G1625"/>
          <cell r="H1625"/>
        </row>
        <row r="1626">
          <cell r="A1626" t="str">
            <v>V15.000.008</v>
          </cell>
          <cell r="B1626" t="str">
            <v xml:space="preserve"> SAMSUNG J7 PLUS SMARTPHONE </v>
          </cell>
          <cell r="C1626" t="str">
            <v>ĐIỆN THOẠI SAMSUNG J7 PLUS</v>
          </cell>
          <cell r="D1626" t="str">
            <v xml:space="preserve"> SAMSUNG J7 PLUS SMARTPHONE</v>
          </cell>
          <cell r="E1626">
            <v>0</v>
          </cell>
          <cell r="F1626" t="str">
            <v>Bỏ chọn</v>
          </cell>
          <cell r="G1626"/>
          <cell r="H1626"/>
        </row>
        <row r="1627">
          <cell r="A1627" t="str">
            <v>V51.000.016</v>
          </cell>
          <cell r="B1627" t="str">
            <v>A TAEL OF SJC 999.9</v>
          </cell>
          <cell r="C1627" t="str">
            <v>CHỈ VÀNG SJC</v>
          </cell>
          <cell r="D1627" t="str">
            <v>A TAEL OF SJC 999.9</v>
          </cell>
          <cell r="E1627">
            <v>0</v>
          </cell>
          <cell r="F1627" t="str">
            <v>Bỏ chọn</v>
          </cell>
          <cell r="G1627"/>
          <cell r="H1627"/>
        </row>
        <row r="1628">
          <cell r="A1628" t="str">
            <v>7.B24022399209104</v>
          </cell>
          <cell r="B1628" t="str">
            <v>HORECA PREMIUM CHILI SAUCE2.1KG X 6 BOT</v>
          </cell>
          <cell r="C1628" t="str">
            <v>TƯƠNG ỚT HORECA PREMIUM 2.1KG</v>
          </cell>
          <cell r="D1628" t="str">
            <v>HORECA PREMIUM CHILI SAUCE2.1KG X 6 BOT</v>
          </cell>
          <cell r="E1628">
            <v>12.6</v>
          </cell>
          <cell r="F1628" t="str">
            <v>Bỏ chọn</v>
          </cell>
          <cell r="G1628" t="str">
            <v>2000000008</v>
          </cell>
          <cell r="H1628" t="str">
            <v>7.B2402239920910401</v>
          </cell>
        </row>
        <row r="1629">
          <cell r="A1629" t="str">
            <v>7.B2402239920910401</v>
          </cell>
          <cell r="B1629" t="str">
            <v>HORECA PREMIUM CHILI SAUCE2.1KG</v>
          </cell>
          <cell r="C1629" t="str">
            <v>TƯƠNG ỚT HORECA PREMIUM 2.1KG</v>
          </cell>
          <cell r="D1629" t="str">
            <v>HORECA PREMIUM CHILI SAUCE2.1KG</v>
          </cell>
          <cell r="E1629">
            <v>2.1</v>
          </cell>
          <cell r="F1629" t="str">
            <v>Bỏ chọn</v>
          </cell>
          <cell r="G1629" t="str">
            <v>2000000008</v>
          </cell>
          <cell r="H1629"/>
        </row>
        <row r="1630">
          <cell r="A1630" t="str">
            <v>V30.000.001</v>
          </cell>
          <cell r="B1630" t="str">
            <v>NDFC TABLE</v>
          </cell>
          <cell r="C1630" t="str">
            <v>BÀN NDFC</v>
          </cell>
          <cell r="D1630" t="str">
            <v>NDFC TABLE</v>
          </cell>
          <cell r="E1630">
            <v>0</v>
          </cell>
          <cell r="F1630" t="str">
            <v>Bỏ chọn</v>
          </cell>
          <cell r="G1630"/>
          <cell r="H1630"/>
        </row>
        <row r="1631">
          <cell r="A1631" t="str">
            <v>V51.000.017</v>
          </cell>
          <cell r="B1631" t="str">
            <v>NDFC TENT</v>
          </cell>
          <cell r="C1631" t="str">
            <v>LỀU NDFC</v>
          </cell>
          <cell r="D1631" t="str">
            <v>NDFC TENT</v>
          </cell>
          <cell r="E1631">
            <v>0</v>
          </cell>
          <cell r="F1631" t="str">
            <v>Bỏ chọn</v>
          </cell>
          <cell r="G1631"/>
          <cell r="H1631"/>
        </row>
        <row r="1632">
          <cell r="A1632" t="str">
            <v>V51.000.018</v>
          </cell>
          <cell r="B1632" t="str">
            <v>NDFC UMBRELLA</v>
          </cell>
          <cell r="C1632" t="str">
            <v>DÙ NDFC</v>
          </cell>
          <cell r="D1632" t="str">
            <v>NDFC UMBRELLA</v>
          </cell>
          <cell r="E1632">
            <v>0</v>
          </cell>
          <cell r="F1632" t="str">
            <v>Chọn</v>
          </cell>
          <cell r="G1632"/>
          <cell r="H1632"/>
        </row>
        <row r="1633">
          <cell r="A1633" t="str">
            <v>V86.000.003</v>
          </cell>
          <cell r="B1633" t="str">
            <v>OLIVOILA LABEL 750ML, SUBLABEL</v>
          </cell>
          <cell r="C1633" t="str">
            <v>NHÃN PHỤ OLIVOILA EXTRA VIRGIN 750ML</v>
          </cell>
          <cell r="D1633" t="str">
            <v>OLIVOILA LABEL 750ML, SUBLABEL</v>
          </cell>
          <cell r="E1633">
            <v>0</v>
          </cell>
          <cell r="F1633" t="str">
            <v>Bỏ chọn</v>
          </cell>
          <cell r="G1633"/>
          <cell r="H1633"/>
        </row>
        <row r="1634">
          <cell r="A1634" t="str">
            <v>V86.000.004</v>
          </cell>
          <cell r="B1634" t="str">
            <v>OLIVOILA POMACE SUBLABEL 1L</v>
          </cell>
          <cell r="C1634" t="str">
            <v>NHÃN PHỤ OLIVOILA POMACE 1L</v>
          </cell>
          <cell r="D1634" t="str">
            <v>OLIVOILA POMACE SUBLABEL 1L</v>
          </cell>
          <cell r="E1634">
            <v>0</v>
          </cell>
          <cell r="F1634" t="str">
            <v>Bỏ chọn</v>
          </cell>
          <cell r="G1634"/>
          <cell r="H1634"/>
        </row>
        <row r="1635">
          <cell r="A1635" t="str">
            <v>V51.050.005</v>
          </cell>
          <cell r="B1635" t="str">
            <v>MEIZAN PREMIUM MACARONI 200G</v>
          </cell>
          <cell r="C1635" t="str">
            <v>NUI CAO CẤP MEIZAN 200G</v>
          </cell>
          <cell r="D1635" t="str">
            <v>MEIZAN PREMIUM MACARONI 200G</v>
          </cell>
          <cell r="E1635">
            <v>0.2</v>
          </cell>
          <cell r="F1635" t="str">
            <v>Bỏ chọn</v>
          </cell>
          <cell r="G1635"/>
          <cell r="H1635"/>
        </row>
        <row r="1636">
          <cell r="A1636" t="str">
            <v>V39.000.024</v>
          </cell>
          <cell r="B1636" t="str">
            <v>NDFC BOWL - CAT SHAPE</v>
          </cell>
          <cell r="C1636" t="str">
            <v>CHÉN CHẤM CON MÈO NDFC</v>
          </cell>
          <cell r="D1636" t="str">
            <v>NDFC BOWL - CAT SHAPE</v>
          </cell>
          <cell r="E1636">
            <v>0</v>
          </cell>
          <cell r="F1636" t="str">
            <v>Bỏ chọn</v>
          </cell>
          <cell r="G1636"/>
          <cell r="H1636"/>
        </row>
        <row r="1637">
          <cell r="A1637" t="str">
            <v>V51.050.006</v>
          </cell>
          <cell r="B1637" t="str">
            <v>MEIZAN PREMIUM MACARONI 400G</v>
          </cell>
          <cell r="C1637" t="str">
            <v>NUI CAO CẤP MEIZAN 400G</v>
          </cell>
          <cell r="D1637" t="str">
            <v>MEIZAN PREMIUM MACARONI 400G</v>
          </cell>
          <cell r="E1637">
            <v>0.4</v>
          </cell>
          <cell r="F1637" t="str">
            <v>Bỏ chọn</v>
          </cell>
          <cell r="G1637"/>
          <cell r="H1637"/>
        </row>
        <row r="1638">
          <cell r="A1638" t="str">
            <v>7.70530</v>
          </cell>
          <cell r="B1638" t="str">
            <v>ERCAWAX CS 25 V/FD; 20KG BAG</v>
          </cell>
          <cell r="C1638" t="str">
            <v>CHẤT HỮU CƠ HOẠT ĐỘNG BỀ MẶT DẠNG KHÔNG PHÂN LY ERCAWAX CS 25 V/FD</v>
          </cell>
          <cell r="D1638" t="str">
            <v>ERCAWAX CS 25 V/FD; 20KG BAG</v>
          </cell>
          <cell r="E1638">
            <v>20</v>
          </cell>
          <cell r="F1638" t="str">
            <v>Chọn</v>
          </cell>
          <cell r="G1638"/>
          <cell r="H1638"/>
        </row>
        <row r="1639">
          <cell r="A1639" t="str">
            <v>7.C350155995401</v>
          </cell>
          <cell r="B1639" t="str">
            <v>DISHWASHING LIQUID POWER100, 1,5 KG X 8 JRG</v>
          </cell>
          <cell r="C1639" t="str">
            <v>NƯỚC RỬA CHÉN POWER100, LOẠI 1,5 KG X 8 CAN</v>
          </cell>
          <cell r="D1639" t="str">
            <v>DISHWASHING LIQUID POWER100, 1,5 KG X 8 JRG</v>
          </cell>
          <cell r="E1639">
            <v>12</v>
          </cell>
          <cell r="F1639" t="str">
            <v>Bỏ chọn</v>
          </cell>
          <cell r="G1639"/>
          <cell r="H1639"/>
        </row>
        <row r="1640">
          <cell r="A1640" t="str">
            <v>7.C35015599540101</v>
          </cell>
          <cell r="B1640" t="str">
            <v>DISHWASHING LIQUID POWER100, 1,5 KG</v>
          </cell>
          <cell r="C1640" t="str">
            <v>NƯỚC RỬA CHÉN POWER100, LOẠI 1,5 KG</v>
          </cell>
          <cell r="D1640" t="str">
            <v>DISHWASHING LIQUID POWER100, 1,5 KG</v>
          </cell>
          <cell r="E1640">
            <v>1.5</v>
          </cell>
          <cell r="F1640" t="str">
            <v>Bỏ chọn</v>
          </cell>
          <cell r="G1640"/>
          <cell r="H1640"/>
        </row>
        <row r="1641">
          <cell r="A1641" t="str">
            <v>6.522A056990201TD</v>
          </cell>
          <cell r="B1641" t="str">
            <v>MILLING WHEAT</v>
          </cell>
          <cell r="C1641" t="str">
            <v>LÚA MÌ MILLING</v>
          </cell>
          <cell r="D1641" t="str">
            <v>MILLING WHEAT</v>
          </cell>
          <cell r="E1641">
            <v>1</v>
          </cell>
          <cell r="F1641" t="str">
            <v>Bỏ chọn</v>
          </cell>
          <cell r="G1641"/>
          <cell r="H1641"/>
        </row>
        <row r="1642">
          <cell r="A1642" t="str">
            <v>7.1060140425308010</v>
          </cell>
          <cell r="B1642" t="str">
            <v>SATELLITE SHORTENINGB(BLUE LBL)PBAG@16KG</v>
          </cell>
          <cell r="C1642" t="str">
            <v>SHORTENING B HIỆU SATELLITE NHÃN XANH</v>
          </cell>
          <cell r="D1642" t="str">
            <v>SATELLITE SHORTENINGB(BLUE LBL)PBAG@16KG</v>
          </cell>
          <cell r="E1642">
            <v>16</v>
          </cell>
          <cell r="F1642" t="str">
            <v>Bỏ chọn</v>
          </cell>
          <cell r="G1642"/>
          <cell r="H1642"/>
        </row>
        <row r="1643">
          <cell r="A1643" t="str">
            <v>V51.000.019</v>
          </cell>
          <cell r="B1643" t="str">
            <v>STANDEE 0.6 X 1.6 M</v>
          </cell>
          <cell r="C1643" t="str">
            <v>KHUNG STANDEE 0,6 X 1,6M</v>
          </cell>
          <cell r="D1643" t="str">
            <v>STANDEE 0.6 X 1.6 M</v>
          </cell>
          <cell r="E1643">
            <v>4.3</v>
          </cell>
          <cell r="F1643" t="str">
            <v>Bỏ chọn</v>
          </cell>
          <cell r="G1643"/>
          <cell r="H1643"/>
        </row>
        <row r="1644">
          <cell r="A1644" t="str">
            <v>V51.047.006</v>
          </cell>
          <cell r="B1644" t="str">
            <v>VIETNAMESE PANCAKE MIX 400G</v>
          </cell>
          <cell r="C1644" t="str">
            <v>BỘT BÁNH XÈO MEIZAN 400G</v>
          </cell>
          <cell r="D1644" t="str">
            <v>VIETNAMESE PANCAKE MIX 400G</v>
          </cell>
          <cell r="E1644">
            <v>0.4</v>
          </cell>
          <cell r="F1644" t="str">
            <v>Bỏ chọn</v>
          </cell>
          <cell r="G1644"/>
          <cell r="H1644"/>
        </row>
        <row r="1645">
          <cell r="A1645" t="str">
            <v>V51.050.003</v>
          </cell>
          <cell r="B1645" t="str">
            <v>MEIZAN PREMIUM MACARONI 200G- ELBOW</v>
          </cell>
          <cell r="C1645" t="str">
            <v>NUI CAO CẤP MEIZAN-CHỮ "C" 200G</v>
          </cell>
          <cell r="D1645" t="str">
            <v>MEIZAN PREMIUM MACARONI 200G- ELBOW</v>
          </cell>
          <cell r="E1645">
            <v>0</v>
          </cell>
          <cell r="F1645" t="str">
            <v>Bỏ chọn</v>
          </cell>
          <cell r="G1645"/>
          <cell r="H1645"/>
        </row>
        <row r="1646">
          <cell r="A1646" t="str">
            <v>V51.050.004</v>
          </cell>
          <cell r="B1646" t="str">
            <v>MEIZAN PREMIUM MACARONI 200G- SPIRAL</v>
          </cell>
          <cell r="C1646" t="str">
            <v>NUI CAO CẤP MEIZAN-HÌNH XOẮN 200G</v>
          </cell>
          <cell r="D1646" t="str">
            <v>MEIZAN PREMIUM MACARONI 200G- SPIRAL</v>
          </cell>
          <cell r="E1646">
            <v>0</v>
          </cell>
          <cell r="F1646" t="str">
            <v>Bỏ chọn</v>
          </cell>
          <cell r="G1646"/>
          <cell r="H1646"/>
        </row>
        <row r="1647">
          <cell r="A1647" t="str">
            <v>6.7011000TD</v>
          </cell>
          <cell r="B1647" t="str">
            <v xml:space="preserve">SPLIT PALM KERNEL OIL FATTY ACID; 850KG IBC TANK </v>
          </cell>
          <cell r="C1647" t="str">
            <v>AXIT BÉO TÁCH TỪ NHÂN HẠT CỌ CHƯA QUA CHƯNG CẤT PHÂN ĐOẠN; PHUY IBC 850KG</v>
          </cell>
          <cell r="D1647" t="str">
            <v xml:space="preserve">SPLIT PALM KERNEL OIL FATTY ACID; 850KG IBC TANK </v>
          </cell>
          <cell r="E1647">
            <v>850</v>
          </cell>
          <cell r="F1647" t="str">
            <v>Bỏ chọn</v>
          </cell>
          <cell r="G1647"/>
          <cell r="H1647"/>
        </row>
        <row r="1648">
          <cell r="A1648" t="str">
            <v>V51.046.005</v>
          </cell>
          <cell r="B1648" t="str">
            <v>PORK BOUILLON GRANULE 380G</v>
          </cell>
          <cell r="C1648" t="str">
            <v>THỰC PHẨM BỔ SUNG HẠT NÊM 4 TRONG 1 VỊ HEO 380G </v>
          </cell>
          <cell r="D1648" t="str">
            <v>PORK BOUILLON GRANULE 380G</v>
          </cell>
          <cell r="E1648">
            <v>0.38</v>
          </cell>
          <cell r="F1648" t="str">
            <v>Bỏ chọn</v>
          </cell>
          <cell r="G1648"/>
          <cell r="H1648"/>
        </row>
        <row r="1649">
          <cell r="A1649" t="str">
            <v>V51.046.006</v>
          </cell>
          <cell r="B1649" t="str">
            <v>PORK BOUILLON GRANULE 170G</v>
          </cell>
          <cell r="C1649" t="str">
            <v>THỰC PHẨM BỔ SUNG HẠT NÊM 4 TRONG 1 - VỊ HEO 170G</v>
          </cell>
          <cell r="D1649" t="str">
            <v>PORK BOUILLON GRANULE 170G</v>
          </cell>
          <cell r="E1649">
            <v>0.17</v>
          </cell>
          <cell r="F1649" t="str">
            <v>Bỏ chọn</v>
          </cell>
          <cell r="G1649"/>
          <cell r="H1649"/>
        </row>
        <row r="1650">
          <cell r="A1650" t="str">
            <v>7.5239937260601</v>
          </cell>
          <cell r="B1650" t="str">
            <v>SF- 1  40KG</v>
          </cell>
          <cell r="C1650" t="str">
            <v>BỘT MÌ - NGUYÊN LIỆU LÀM THỨC ĂN CHĂN NUÔI HIỆU SF-1 (40KG)</v>
          </cell>
          <cell r="D1650" t="str">
            <v>SF- 1  40KG</v>
          </cell>
          <cell r="E1650">
            <v>40</v>
          </cell>
          <cell r="F1650" t="str">
            <v>Bỏ chọn</v>
          </cell>
          <cell r="G1650"/>
          <cell r="H1650"/>
        </row>
        <row r="1651">
          <cell r="A1651" t="str">
            <v>7.5239937990601</v>
          </cell>
          <cell r="B1651" t="str">
            <v>SF- 40KG</v>
          </cell>
          <cell r="C1651" t="str">
            <v>BỘT MÌ - NGUYÊN LIỆU LÀM THỨC ĂN CHO TÔM HIỆU SF (40KG)</v>
          </cell>
          <cell r="D1651" t="str">
            <v>SF- 40KG</v>
          </cell>
          <cell r="E1651">
            <v>40</v>
          </cell>
          <cell r="F1651" t="str">
            <v>Bỏ chọn</v>
          </cell>
          <cell r="G1651"/>
          <cell r="H1651"/>
        </row>
        <row r="1652">
          <cell r="A1652" t="str">
            <v>7.5239957270601</v>
          </cell>
          <cell r="B1652" t="str">
            <v>VI VI-BLUE 40KG</v>
          </cell>
          <cell r="C1652" t="str">
            <v>BỘT MÌ VI VI (40KG)</v>
          </cell>
          <cell r="D1652" t="str">
            <v>VI VI-BLUE 40KG</v>
          </cell>
          <cell r="E1652">
            <v>40</v>
          </cell>
          <cell r="F1652" t="str">
            <v>Bỏ chọn</v>
          </cell>
          <cell r="G1652"/>
          <cell r="H1652"/>
        </row>
        <row r="1653">
          <cell r="A1653" t="str">
            <v>7.5239957280601</v>
          </cell>
          <cell r="B1653" t="str">
            <v>VI VI-GREEN 40KG</v>
          </cell>
          <cell r="C1653" t="str">
            <v>BỘT MÌ VI VI (40KG)</v>
          </cell>
          <cell r="D1653" t="str">
            <v>VI VI-GREEN 40KG</v>
          </cell>
          <cell r="E1653">
            <v>40</v>
          </cell>
          <cell r="F1653" t="str">
            <v>Bỏ chọn</v>
          </cell>
          <cell r="G1653"/>
          <cell r="H1653"/>
        </row>
        <row r="1654">
          <cell r="A1654" t="str">
            <v>7.5239957290601</v>
          </cell>
          <cell r="B1654" t="str">
            <v>VI VI-RED 40KG</v>
          </cell>
          <cell r="C1654" t="str">
            <v>BỘT MÌ VI VI (40KG)</v>
          </cell>
          <cell r="D1654" t="str">
            <v>VI VI-RED 40KG</v>
          </cell>
          <cell r="E1654">
            <v>40</v>
          </cell>
          <cell r="F1654" t="str">
            <v>Bỏ chọn</v>
          </cell>
          <cell r="G1654"/>
          <cell r="H1654"/>
        </row>
        <row r="1655">
          <cell r="A1655" t="str">
            <v>V51.050.010</v>
          </cell>
          <cell r="B1655" t="str">
            <v>MEIZAN PREMIUM EGG NOODLE 500G</v>
          </cell>
          <cell r="C1655" t="str">
            <v>MÌ TRỨNG CAO CẤP MEIZAN 500G</v>
          </cell>
          <cell r="D1655" t="str">
            <v>MEIZAN PREMIUM EGG NOODLE 500G</v>
          </cell>
          <cell r="E1655">
            <v>0</v>
          </cell>
          <cell r="F1655" t="str">
            <v>Bỏ chọn</v>
          </cell>
          <cell r="G1655"/>
          <cell r="H1655"/>
        </row>
        <row r="1656">
          <cell r="A1656" t="str">
            <v>V51.043.012</v>
          </cell>
          <cell r="B1656" t="str">
            <v>HEINEKEN BEER, 330ML/CAN</v>
          </cell>
          <cell r="C1656" t="str">
            <v>BIA HEINEKEN</v>
          </cell>
          <cell r="D1656" t="str">
            <v>HEINEKEN BEER, 330ML/CAN</v>
          </cell>
          <cell r="E1656">
            <v>0</v>
          </cell>
          <cell r="F1656" t="str">
            <v>Bỏ chọn</v>
          </cell>
          <cell r="G1656"/>
          <cell r="H1656"/>
        </row>
        <row r="1657">
          <cell r="A1657" t="str">
            <v>7.A320108991801</v>
          </cell>
          <cell r="B1657" t="str">
            <v>MEIZAN PREMIUM EGG NOODLE 250G X 12 BAG</v>
          </cell>
          <cell r="C1657" t="str">
            <v>MÌ TRỨNG CAO CẤP MEIZAN 250G</v>
          </cell>
          <cell r="D1657" t="str">
            <v>MEIZAN PREMIUM EGG NOODLE 250G X 12 BAG</v>
          </cell>
          <cell r="E1657">
            <v>3</v>
          </cell>
          <cell r="F1657" t="str">
            <v>Bỏ chọn</v>
          </cell>
          <cell r="G1657"/>
          <cell r="H1657"/>
        </row>
        <row r="1658">
          <cell r="A1658" t="str">
            <v>7.A32010899180101</v>
          </cell>
          <cell r="B1658" t="str">
            <v>MEIZAN PREMIUM EGG NOODLE 250G</v>
          </cell>
          <cell r="C1658" t="str">
            <v>MÌ TRỨNG CAO CẤP MEIZAN 250G</v>
          </cell>
          <cell r="D1658" t="str">
            <v>MEIZAN PREMIUM EGG NOODLE 250G</v>
          </cell>
          <cell r="E1658">
            <v>0.25</v>
          </cell>
          <cell r="F1658" t="str">
            <v>Bỏ chọn</v>
          </cell>
          <cell r="G1658"/>
          <cell r="H1658"/>
        </row>
        <row r="1659">
          <cell r="A1659" t="str">
            <v>7.A320108995101</v>
          </cell>
          <cell r="B1659" t="str">
            <v>MEIZAN PREMIUM EGG NOODLE 6.5KG</v>
          </cell>
          <cell r="C1659" t="str">
            <v>MÌ TRỨNG CAO CẤP MEIZAN 6,5KG</v>
          </cell>
          <cell r="D1659" t="str">
            <v>MEIZAN PREMIUM EGG NOODLE 6.5KG</v>
          </cell>
          <cell r="E1659">
            <v>6.5</v>
          </cell>
          <cell r="F1659" t="str">
            <v>Bỏ chọn</v>
          </cell>
          <cell r="G1659"/>
          <cell r="H1659"/>
        </row>
        <row r="1660">
          <cell r="A1660" t="str">
            <v>V39.000.025</v>
          </cell>
          <cell r="B1660" t="str">
            <v>MINH CHÂU BOWL MC-C06</v>
          </cell>
          <cell r="C1660" t="str">
            <v>CHÉN SỨ MINH CHÂU MC-C06</v>
          </cell>
          <cell r="D1660" t="str">
            <v>MINH CHÂU BOWL MC-C06</v>
          </cell>
          <cell r="E1660">
            <v>0.2</v>
          </cell>
          <cell r="F1660" t="str">
            <v>Bỏ chọn</v>
          </cell>
          <cell r="G1660"/>
          <cell r="H1660"/>
        </row>
        <row r="1661">
          <cell r="A1661" t="str">
            <v>7.1140120202608010TD</v>
          </cell>
          <cell r="B1661" t="str">
            <v>MEIZAN CBR WILLARINE 820 IN PEBAG@20KG</v>
          </cell>
          <cell r="C1661" t="str">
            <v>DẦU THỰC VẬT WILLARINE 820 NHÃN HIỆU MEIZAN TRONG THÙNG CARTON 20KG</v>
          </cell>
          <cell r="D1661" t="str">
            <v>MEIZAN CBR WILLARINE 820 IN PEBAG@20KG</v>
          </cell>
          <cell r="E1661">
            <v>20</v>
          </cell>
          <cell r="F1661" t="str">
            <v>Bỏ chọn</v>
          </cell>
          <cell r="G1661"/>
          <cell r="H1661"/>
        </row>
        <row r="1662">
          <cell r="A1662" t="str">
            <v>7.B250854994192053</v>
          </cell>
          <cell r="B1662" t="str">
            <v>PORK BOUILLON GRANULE 170G X 40 PAC ON PACK 40 SPOONS</v>
          </cell>
          <cell r="C1662" t="str">
            <v>THỰC PHẨM BỔ SUNG HẠT NÊM 4 TRONG 1 - VỊ HEO 170G ĐÓNG KÈM 40 MUỖNG NHỰA BỚI CƠM / THÙNG</v>
          </cell>
          <cell r="D1662" t="str">
            <v>PORK BOUILLON GRANULE 170G X 40 PAC ON PACK 40 SPOONS</v>
          </cell>
          <cell r="E1662">
            <v>8.6</v>
          </cell>
          <cell r="F1662" t="str">
            <v>Bỏ chọn</v>
          </cell>
          <cell r="G1662"/>
          <cell r="H1662"/>
        </row>
        <row r="1663">
          <cell r="A1663" t="str">
            <v>7.B25085499419205301</v>
          </cell>
          <cell r="B1663" t="str">
            <v>PORK BOUILLON GRANULE 170G X 1 PAC ON PACK 01 SPOON</v>
          </cell>
          <cell r="C1663" t="str">
            <v>THỰC PHẨM BỔ SUNG HẠT NÊM 4 TRONG 1 - VỊ HEO 170G ĐÓNG KÈM 1 MUỖNG NHỰA BỚI CƠM</v>
          </cell>
          <cell r="D1663" t="str">
            <v>PORK BOUILLON GRANULE 170G X 1 PAC ON PACK 01 SPOON</v>
          </cell>
          <cell r="E1663">
            <v>0.215</v>
          </cell>
          <cell r="F1663" t="str">
            <v>Bỏ chọn</v>
          </cell>
          <cell r="G1663"/>
          <cell r="H1663"/>
        </row>
        <row r="1664">
          <cell r="A1664" t="str">
            <v>7.B250854994292054</v>
          </cell>
          <cell r="B1664" t="str">
            <v>PORK BOUILLON GRANULE 380G X 20 PAC ON PACK 20 BOT NAM DUONG CONDENSED SOY SAUCE 280ML</v>
          </cell>
          <cell r="C1664" t="str">
            <v>THỰC PHẨM BỔ SUNG HẠT NÊM 4 TRONG 1 - VỊ HEO 380G ĐÓNG KÈM 20 CHAI THỰC PHẨM BỔ SUNG NƯỚC TƯƠNG NAM DƯƠNG ĐẬM ĐẶC 280ML / THÙNG</v>
          </cell>
          <cell r="D1664" t="str">
            <v>PORK BOUILLON GRANULE 380G X 20 PAC ON PACK 20 BOT NAM DUONG CONDENSED SOY SAUCE 280ML</v>
          </cell>
          <cell r="E1664">
            <v>13.82</v>
          </cell>
          <cell r="F1664" t="str">
            <v>Bỏ chọn</v>
          </cell>
          <cell r="G1664"/>
          <cell r="H1664"/>
        </row>
        <row r="1665">
          <cell r="A1665" t="str">
            <v>7.B25085499429205401</v>
          </cell>
          <cell r="B1665" t="str">
            <v xml:space="preserve">PORK BOUILLON GRANULE 380G X 1 PAC ON PACK 01 BOT NAM DUONG CONDENSED SOY SAUCE 280ML </v>
          </cell>
          <cell r="C1665" t="str">
            <v>THỰC PHẨM BỔ SUNG HẠT NÊM 4 TRONG 1 - VỊ HEO 380G ĐÓNG KÈM 01 CHAI THỰC PHẨM BỔ SUNG NƯỚC TƯƠNG NAM DƯƠNG ĐẬM ĐẶC 280ML</v>
          </cell>
          <cell r="D1665" t="str">
            <v>PORK BOUILLON GRANULE 380G X 1 PAC ON PACK 01 BOT NAM DUONG CONDENSED SOY SAUCE 280ML</v>
          </cell>
          <cell r="E1665">
            <v>0</v>
          </cell>
          <cell r="F1665" t="str">
            <v>Bỏ chọn</v>
          </cell>
          <cell r="G1665"/>
          <cell r="H1665"/>
        </row>
        <row r="1666">
          <cell r="A1666" t="str">
            <v>7.B250854994292055</v>
          </cell>
          <cell r="B1666" t="str">
            <v>PORK BOUILLON GRANULE 380G X 20 PAC ON PACK 20 BOT CHILI SAUCE 250G</v>
          </cell>
          <cell r="C1666" t="str">
            <v>THỰC PHẨM BỔ SUNG HẠT NÊM 4 TRONG 1 - VỊ HEO 380G ĐÓNG KÈM 20 CHAI TƯƠNG ỚT 250G / THÙNG</v>
          </cell>
          <cell r="D1666" t="str">
            <v>PORK BOUILLON GRANULE 380G X 20 PAC ON PACK 20 BOT CHILI SAUCE 250G</v>
          </cell>
          <cell r="E1666">
            <v>12.6</v>
          </cell>
          <cell r="F1666" t="str">
            <v>Bỏ chọn</v>
          </cell>
          <cell r="G1666"/>
          <cell r="H1666"/>
        </row>
        <row r="1667">
          <cell r="A1667" t="str">
            <v>7.B25085499429205501</v>
          </cell>
          <cell r="B1667" t="str">
            <v>PORK BOUILLON GRANULE 380G X 1 PAC ON PACK 01 BOT CHILI SAUCE 250G</v>
          </cell>
          <cell r="C1667" t="str">
            <v>THỰC PHẨM BỔ SUNG HẠT NÊM 4 TRONG 1 - VỊ HEO 380G ĐÓNG KÈM 01 CHAI TƯƠNG ỚT 250G</v>
          </cell>
          <cell r="D1667" t="str">
            <v>PORK BOUILLON GRANULE 380G X 1 PAC ON PACK 01 BOT CHILI SAUCE 250G</v>
          </cell>
          <cell r="E1667">
            <v>0.63</v>
          </cell>
          <cell r="F1667" t="str">
            <v>Bỏ chọn</v>
          </cell>
          <cell r="G1667"/>
          <cell r="H1667"/>
        </row>
        <row r="1668">
          <cell r="A1668" t="str">
            <v>7.B25085499559205</v>
          </cell>
          <cell r="B1668" t="str">
            <v>PORK BOUILLON GRANULE 170G X 16 PAC</v>
          </cell>
          <cell r="C1668" t="str">
            <v>THỰC PHẨM BỔ SUNG HẠT NÊM 4 TRONG 1 - VỊ HEO 170G (16 GÓI / THÙNG)</v>
          </cell>
          <cell r="D1668" t="str">
            <v>PORK BOUILLON GRANULE 170G X 16 PAC</v>
          </cell>
          <cell r="E1668">
            <v>2.72</v>
          </cell>
          <cell r="F1668" t="str">
            <v>Bỏ chọn</v>
          </cell>
          <cell r="G1668"/>
          <cell r="H1668"/>
        </row>
        <row r="1669">
          <cell r="A1669" t="str">
            <v>V51.006.059</v>
          </cell>
          <cell r="B1669" t="str">
            <v>NEPTUNE WINDOW FRAME 0.8M</v>
          </cell>
          <cell r="C1669" t="str">
            <v>THANH TRƯNG BÀY SẢN PHẨM 0.8M</v>
          </cell>
          <cell r="D1669" t="str">
            <v>NEPTUNE WINDOW FRAME 0.8M</v>
          </cell>
          <cell r="E1669">
            <v>0</v>
          </cell>
          <cell r="F1669" t="str">
            <v>Bỏ chọn</v>
          </cell>
          <cell r="G1669"/>
          <cell r="H1669"/>
        </row>
        <row r="1670">
          <cell r="A1670" t="str">
            <v>V51.006.060</v>
          </cell>
          <cell r="B1670" t="str">
            <v>NEPTUNE WINDOW FRAME 1.2M</v>
          </cell>
          <cell r="C1670" t="str">
            <v>THANH TRƯNG BÀY SẢN PHẨM 1.2M</v>
          </cell>
          <cell r="D1670" t="str">
            <v>NEPTUNE WINDOW FRAME 1.2M</v>
          </cell>
          <cell r="E1670">
            <v>0</v>
          </cell>
          <cell r="F1670" t="str">
            <v>Bỏ chọn</v>
          </cell>
          <cell r="G1670"/>
          <cell r="H1670"/>
        </row>
        <row r="1671">
          <cell r="A1671" t="str">
            <v>V51.006.061</v>
          </cell>
          <cell r="B1671" t="str">
            <v>NEPTUNE WINDOW FRAME 1.6M</v>
          </cell>
          <cell r="C1671" t="str">
            <v>THANH TRƯNG BÀY SẢN PHẨM 1.6M</v>
          </cell>
          <cell r="D1671" t="str">
            <v>NEPTUNE WINDOW FRAME 1.6M</v>
          </cell>
          <cell r="E1671">
            <v>0</v>
          </cell>
          <cell r="F1671" t="str">
            <v>Bỏ chọn</v>
          </cell>
          <cell r="G1671"/>
          <cell r="H1671"/>
        </row>
        <row r="1672">
          <cell r="A1672" t="str">
            <v>V51.006.062</v>
          </cell>
          <cell r="B1672" t="str">
            <v>NEPTUNE WINDOW FRAME 1.0M (WITH LOGO)</v>
          </cell>
          <cell r="C1672" t="str">
            <v>THANH TRƯNG BÀY SẢN PHẨM 1.0M (CÓ LOGO)</v>
          </cell>
          <cell r="D1672" t="str">
            <v>NEPTUNE WINDOW FRAME 1.0M (WITH LOGO)</v>
          </cell>
          <cell r="E1672">
            <v>0</v>
          </cell>
          <cell r="F1672" t="str">
            <v>Bỏ chọn</v>
          </cell>
          <cell r="G1672"/>
          <cell r="H1672"/>
        </row>
        <row r="1673">
          <cell r="A1673" t="str">
            <v>V51.006.063</v>
          </cell>
          <cell r="B1673" t="str">
            <v>NEPTUNE WINDOW FRAME 1.6M (WITH LOGO)</v>
          </cell>
          <cell r="C1673" t="str">
            <v>THANH TRƯNG BÀY SẢN PHẨM 1.6M (CÓ LOGO)</v>
          </cell>
          <cell r="D1673" t="str">
            <v>NEPTUNE WINDOW FRAME 1.6M (WITH LOGO)</v>
          </cell>
          <cell r="E1673">
            <v>0</v>
          </cell>
          <cell r="F1673" t="str">
            <v>Bỏ chọn</v>
          </cell>
          <cell r="G1673"/>
          <cell r="H1673"/>
        </row>
        <row r="1674">
          <cell r="A1674" t="str">
            <v>V51.501.025</v>
          </cell>
          <cell r="B1674" t="str">
            <v>NEPTUNE BOTTLE MOCK-UP</v>
          </cell>
          <cell r="C1674" t="str">
            <v>MÔ HÌNH CHAI DẦU NEPTUNE</v>
          </cell>
          <cell r="D1674" t="str">
            <v>NEPTUNE BOTTLE MOCK-UP</v>
          </cell>
          <cell r="E1674">
            <v>0</v>
          </cell>
          <cell r="F1674" t="str">
            <v>Bỏ chọn</v>
          </cell>
          <cell r="G1674"/>
          <cell r="H1674"/>
        </row>
        <row r="1675">
          <cell r="A1675" t="str">
            <v>V51.600.059</v>
          </cell>
          <cell r="B1675" t="str">
            <v>MEIZAN BOOTH (1,5M X 2M)</v>
          </cell>
          <cell r="C1675" t="str">
            <v>BỘ KHUNG LỀU, BẠT MEIZAN</v>
          </cell>
          <cell r="D1675" t="str">
            <v>MEIZAN BOOTH (1,5M X 2M)</v>
          </cell>
          <cell r="E1675">
            <v>0</v>
          </cell>
          <cell r="F1675" t="str">
            <v>Bỏ chọn</v>
          </cell>
          <cell r="G1675"/>
          <cell r="H1675"/>
        </row>
        <row r="1676">
          <cell r="A1676" t="str">
            <v>V51.600.061</v>
          </cell>
          <cell r="B1676" t="str">
            <v>MEIZAN COUNTER TABLE</v>
          </cell>
          <cell r="C1676" t="str">
            <v>BÀN MEIZAN</v>
          </cell>
          <cell r="D1676" t="str">
            <v>MEIZAN COUNTER TABLE</v>
          </cell>
          <cell r="E1676">
            <v>0</v>
          </cell>
          <cell r="F1676" t="str">
            <v>Bỏ chọn</v>
          </cell>
          <cell r="G1676"/>
          <cell r="H1676"/>
        </row>
        <row r="1677">
          <cell r="A1677" t="str">
            <v>V51.600.060</v>
          </cell>
          <cell r="B1677" t="str">
            <v>MEIZAN ARTWORK FOR TABLE</v>
          </cell>
          <cell r="C1677" t="str">
            <v>HÌNH ẢNH LẮP GHÉP BÀN MEIZAN</v>
          </cell>
          <cell r="D1677" t="str">
            <v>MEIZAN ARTWORK FOR TABLE</v>
          </cell>
          <cell r="E1677">
            <v>0</v>
          </cell>
          <cell r="F1677" t="str">
            <v>Bỏ chọn</v>
          </cell>
          <cell r="G1677"/>
          <cell r="H1677"/>
        </row>
        <row r="1678">
          <cell r="A1678" t="str">
            <v>7.70531</v>
          </cell>
          <cell r="B1678" t="str">
            <v>REFINED HYDROGENATED PALM STEARIN FLAKES</v>
          </cell>
          <cell r="C1678" t="str">
            <v>DẦU STEARIN CỌ ĐÃ TINH LUYỆN VÀ HYDRO HÓA, DẠNG VẢY; BAO 20KG</v>
          </cell>
          <cell r="D1678" t="str">
            <v>REFINED HYDROGENATED PALM STEARIN FLAKES</v>
          </cell>
          <cell r="E1678">
            <v>20</v>
          </cell>
          <cell r="F1678" t="str">
            <v>Bỏ chọn</v>
          </cell>
          <cell r="G1678"/>
          <cell r="H1678"/>
        </row>
        <row r="1679">
          <cell r="A1679" t="str">
            <v>V58.000.001</v>
          </cell>
          <cell r="B1679" t="str">
            <v>OPP TAPE 48MM X 80M, W/O LOGO</v>
          </cell>
          <cell r="C1679" t="str">
            <v>BĂNG KEO OPP TRONG, KHÔNG IN CHỮ, 48MM X 80M</v>
          </cell>
          <cell r="D1679" t="str">
            <v>OPP TAPE 48MM X 80M, W/O LOGO</v>
          </cell>
          <cell r="E1679">
            <v>1</v>
          </cell>
          <cell r="F1679" t="str">
            <v>Bỏ chọn</v>
          </cell>
          <cell r="G1679"/>
          <cell r="H1679"/>
        </row>
        <row r="1680">
          <cell r="A1680" t="str">
            <v>7.B24022399469104</v>
          </cell>
          <cell r="B1680" t="str">
            <v>HORECA PREMIUM CHILI SAUCE 4.8 KG X 4 BOT</v>
          </cell>
          <cell r="C1680" t="str">
            <v>TƯƠNG ỚT HORECA PREMIUM 4.8 KG</v>
          </cell>
          <cell r="D1680" t="str">
            <v>HORECA PREMIUM CHILI SAUCE 4.8 KG X 4 BOT</v>
          </cell>
          <cell r="E1680">
            <v>19.2</v>
          </cell>
          <cell r="F1680" t="str">
            <v>Bỏ chọn</v>
          </cell>
          <cell r="G1680"/>
          <cell r="H1680"/>
        </row>
        <row r="1681">
          <cell r="A1681" t="str">
            <v>7.B2402239946910401</v>
          </cell>
          <cell r="B1681" t="str">
            <v>HORECA PREMIUM CHILI SAUCE 4.8 KG</v>
          </cell>
          <cell r="C1681" t="str">
            <v>TƯƠNG ỚT HORECA PREMIUM 4.8 KG</v>
          </cell>
          <cell r="D1681" t="str">
            <v>HORECA PREMIUM CHILI SAUCE 4.8 KG</v>
          </cell>
          <cell r="E1681">
            <v>4.8</v>
          </cell>
          <cell r="F1681" t="str">
            <v>Bỏ chọn</v>
          </cell>
          <cell r="G1681"/>
          <cell r="H1681"/>
        </row>
        <row r="1682">
          <cell r="A1682" t="str">
            <v>7.1110120200208010TD</v>
          </cell>
          <cell r="B1682" t="str">
            <v>MEIZAN TRHPKL WILFIL380 IN PE BAG@20KG</v>
          </cell>
          <cell r="C1682" t="str">
            <v>DẦU OLEIN NHÂN CỌ HYDRO HÓA, TINH LUYỆN WIFILL 380 NHÃN HIỆU MEIZAN TRONG THÙNG CARTON 20KG</v>
          </cell>
          <cell r="D1682" t="str">
            <v>MEIZAN TRHPKL WILFIL380 IN PE BAG@20KG</v>
          </cell>
          <cell r="E1682">
            <v>20</v>
          </cell>
          <cell r="F1682" t="str">
            <v>Bỏ chọn</v>
          </cell>
          <cell r="G1682"/>
          <cell r="H1682"/>
        </row>
        <row r="1683">
          <cell r="A1683" t="str">
            <v>7.1110120201308010TD</v>
          </cell>
          <cell r="B1683" t="str">
            <v>MEIZAN TRHPKL WILFIL 400 IN PE BAG@20KG</v>
          </cell>
          <cell r="C1683" t="str">
            <v>DẦU OLEIN NHÂN CỌ HYDRO HÓA, TINH LUYỆN WIFILL 400 NHÃN HIỆU MEIZAN TRONG THÙNG CARTON 20KG</v>
          </cell>
          <cell r="D1683" t="str">
            <v>MEIZAN TRHPKL WILFIL 400 IN PE BAG@20KG</v>
          </cell>
          <cell r="E1683">
            <v>20</v>
          </cell>
          <cell r="F1683" t="str">
            <v>Bỏ chọn</v>
          </cell>
          <cell r="G1683"/>
          <cell r="H1683"/>
        </row>
        <row r="1684">
          <cell r="A1684" t="str">
            <v>V51.043.010</v>
          </cell>
          <cell r="B1684" t="str">
            <v>TIGER BEER</v>
          </cell>
          <cell r="C1684" t="str">
            <v>BIA TIGER</v>
          </cell>
          <cell r="D1684" t="str">
            <v>TIGER BEER</v>
          </cell>
          <cell r="E1684">
            <v>0</v>
          </cell>
          <cell r="F1684" t="str">
            <v>Bỏ chọn</v>
          </cell>
          <cell r="G1684"/>
          <cell r="H1684"/>
        </row>
        <row r="1685">
          <cell r="A1685" t="str">
            <v>V51.901.053</v>
          </cell>
          <cell r="B1685" t="str">
            <v>MEIZAN STANDEE (HIGH 1,6M)</v>
          </cell>
          <cell r="C1685" t="str">
            <v>PHƯỚN ĐỨNG MEIZAN (1,6M)</v>
          </cell>
          <cell r="D1685" t="str">
            <v>MEIZAN STANDEE (HIGH 1,6M)</v>
          </cell>
          <cell r="E1685">
            <v>0</v>
          </cell>
          <cell r="F1685" t="str">
            <v>Bỏ chọn</v>
          </cell>
          <cell r="G1685"/>
          <cell r="H1685"/>
        </row>
        <row r="1686">
          <cell r="A1686" t="str">
            <v>7.5239914990509</v>
          </cell>
          <cell r="B1686" t="str">
            <v>RED COMPASS-25-MICOEM</v>
          </cell>
          <cell r="C1686" t="str">
            <v>BỘT MÌ HIỆU "LA BÀN ĐỎ"</v>
          </cell>
          <cell r="D1686" t="str">
            <v>RED COMPASS-25-MICOEM</v>
          </cell>
          <cell r="E1686">
            <v>25</v>
          </cell>
          <cell r="F1686" t="str">
            <v>Bỏ chọn</v>
          </cell>
          <cell r="G1686"/>
          <cell r="H1686"/>
        </row>
        <row r="1687">
          <cell r="A1687" t="str">
            <v>7.5239952990596</v>
          </cell>
          <cell r="B1687" t="str">
            <v>GREEN CLV 01-25-SANTA</v>
          </cell>
          <cell r="C1687" t="str">
            <v>BỘT MÌ CHUYÊN DỤNG GREEN CLV-01 (25KG)</v>
          </cell>
          <cell r="D1687" t="str">
            <v>GREEN CLV 01-25-SANTA</v>
          </cell>
          <cell r="E1687">
            <v>25</v>
          </cell>
          <cell r="F1687" t="str">
            <v>Bỏ chọn</v>
          </cell>
          <cell r="G1687"/>
          <cell r="H1687"/>
        </row>
        <row r="1688">
          <cell r="A1688" t="str">
            <v>V51.050.009</v>
          </cell>
          <cell r="B1688" t="str">
            <v>MEIZAN PREMIUM EGG NOODLE 250G</v>
          </cell>
          <cell r="C1688" t="str">
            <v>MÌ TRỨNG CAO CẤP MEIZAN 250G</v>
          </cell>
          <cell r="D1688" t="str">
            <v>MEIZAN PREMIUM EGG NOODLE 250G</v>
          </cell>
          <cell r="E1688">
            <v>0</v>
          </cell>
          <cell r="F1688" t="str">
            <v>Bỏ chọn</v>
          </cell>
          <cell r="G1688"/>
          <cell r="H1688"/>
        </row>
        <row r="1689">
          <cell r="A1689" t="str">
            <v>7.5239940190601</v>
          </cell>
          <cell r="B1689" t="str">
            <v>VFM - 2 40KG</v>
          </cell>
          <cell r="C1689" t="str">
            <v>BỘT MÌ HIỆU VFM-2 40KG</v>
          </cell>
          <cell r="D1689" t="str">
            <v>VFM - 2 40KG</v>
          </cell>
          <cell r="E1689">
            <v>40</v>
          </cell>
          <cell r="F1689" t="str">
            <v>Bỏ chọn</v>
          </cell>
          <cell r="G1689"/>
          <cell r="H1689"/>
        </row>
        <row r="1690">
          <cell r="A1690" t="str">
            <v>7.5239958990501</v>
          </cell>
          <cell r="B1690" t="str">
            <v>FLAG 25KG</v>
          </cell>
          <cell r="C1690" t="str">
            <v>BỘT MÌ HIỆU LÁ CỜ (25KG)</v>
          </cell>
          <cell r="D1690" t="str">
            <v>FLAG 25KG</v>
          </cell>
          <cell r="E1690">
            <v>25</v>
          </cell>
          <cell r="F1690" t="str">
            <v>Bỏ chọn</v>
          </cell>
          <cell r="G1690"/>
          <cell r="H1690"/>
        </row>
        <row r="1691">
          <cell r="A1691" t="str">
            <v>7.5239959990501</v>
          </cell>
          <cell r="B1691" t="str">
            <v>GREEN CLV 02-25</v>
          </cell>
          <cell r="C1691" t="str">
            <v>BỘT MÌ CHUYÊN DỤNG GREEN CLV-02 (25KG)</v>
          </cell>
          <cell r="D1691" t="str">
            <v>GREEN CLV 02-25</v>
          </cell>
          <cell r="E1691">
            <v>25</v>
          </cell>
          <cell r="F1691" t="str">
            <v>Bỏ chọn</v>
          </cell>
          <cell r="G1691"/>
          <cell r="H1691"/>
        </row>
        <row r="1692">
          <cell r="A1692" t="str">
            <v>7.70532</v>
          </cell>
          <cell r="B1692" t="str">
            <v>METHYL ESTER SULPHONATE FLAKES C16FR 75% ACTIVE MATTER BULKER BAG PALLETISED @600KG</v>
          </cell>
          <cell r="C1692" t="str">
            <v>CHẾ PHẨM HOẠT ĐỘNG BỀ MẶT DẠNG ANION - WILFAMES C16FR 75%; BAO 600 KG</v>
          </cell>
          <cell r="D1692" t="str">
            <v>METHYL ESTER SULPHONATE FLAKES C16FR 75% ACTIVE MATTER BULKER BAG PALLETISED @600KG</v>
          </cell>
          <cell r="E1692">
            <v>600</v>
          </cell>
          <cell r="F1692" t="str">
            <v>Bỏ chọn</v>
          </cell>
          <cell r="G1692"/>
          <cell r="H1692"/>
        </row>
        <row r="1693">
          <cell r="A1693" t="str">
            <v>V56.000.001</v>
          </cell>
          <cell r="B1693" t="str">
            <v>SAMSUNG GALAXY TAB A6 10.1 SPEN</v>
          </cell>
          <cell r="C1693" t="str">
            <v>MÁY TÍNH BẢNG  SAMSUNG GALAXY  A6 10.1 SPEN</v>
          </cell>
          <cell r="D1693" t="str">
            <v>SAMSUNG GALAXY TAB A6 10.1 SPEN</v>
          </cell>
          <cell r="E1693">
            <v>0</v>
          </cell>
          <cell r="F1693" t="str">
            <v>Bỏ chọn</v>
          </cell>
          <cell r="G1693"/>
          <cell r="H1693"/>
        </row>
        <row r="1694">
          <cell r="A1694" t="str">
            <v>V56.000.002</v>
          </cell>
          <cell r="B1694" t="str">
            <v>FUJI XEROX DC  S2320 PHOTOCOPIER</v>
          </cell>
          <cell r="C1694" t="str">
            <v>MÁY PHOTOCOPY - IN - QUÉT ĐEN TRẮNG FUJI XEROX DC S2320</v>
          </cell>
          <cell r="D1694" t="str">
            <v>FUJI XEROX DC  S2320 PHOTOCOPIER</v>
          </cell>
          <cell r="E1694">
            <v>0</v>
          </cell>
          <cell r="F1694" t="str">
            <v>Bỏ chọn</v>
          </cell>
          <cell r="G1694"/>
          <cell r="H1694"/>
        </row>
        <row r="1695">
          <cell r="A1695" t="str">
            <v>7.A33030899320120</v>
          </cell>
          <cell r="B1695" t="str">
            <v>MEIZAN PREMIUM RICE MACARONI 200G - LONG TUBE X12 BAG</v>
          </cell>
          <cell r="C1695" t="str">
            <v>NUI GẠO CAO CẤP MEIZAN - ỐNG DÀI 200G</v>
          </cell>
          <cell r="D1695" t="str">
            <v>MEIZAN PREMIUM RICE MACARONI 200G - LONG TUBE X12 BAG</v>
          </cell>
          <cell r="E1695">
            <v>2.4</v>
          </cell>
          <cell r="F1695" t="str">
            <v>Bỏ chọn</v>
          </cell>
          <cell r="G1695"/>
          <cell r="H1695"/>
        </row>
        <row r="1696">
          <cell r="A1696" t="str">
            <v>7.A3303089932012001</v>
          </cell>
          <cell r="B1696" t="str">
            <v>MEIZAN PREMIUM RICE MACARONI 200G - LONG TUBE</v>
          </cell>
          <cell r="C1696" t="str">
            <v>NUI GẠO CAO CẤP MEIZAN - ỐNG DÀI 200G</v>
          </cell>
          <cell r="D1696" t="str">
            <v>MEIZAN PREMIUM RICE MACARONI 200G - LONG TUBE</v>
          </cell>
          <cell r="E1696">
            <v>0.2</v>
          </cell>
          <cell r="F1696" t="str">
            <v>Bỏ chọn</v>
          </cell>
          <cell r="G1696"/>
          <cell r="H1696"/>
        </row>
        <row r="1697">
          <cell r="A1697" t="str">
            <v>7.A33030899330120</v>
          </cell>
          <cell r="B1697" t="str">
            <v>MEIZAN PREMIUM RICE MACARONI 400G - LONG TUBE X 6 BAG</v>
          </cell>
          <cell r="C1697" t="str">
            <v>NUI GẠO CAO CẤP MEIZAN - ỐNG DÀI 400G</v>
          </cell>
          <cell r="D1697" t="str">
            <v>MEIZAN PREMIUM RICE MACARONI 400G - LONG TUBE X 6 BAG</v>
          </cell>
          <cell r="E1697">
            <v>2.4</v>
          </cell>
          <cell r="F1697" t="str">
            <v>Bỏ chọn</v>
          </cell>
          <cell r="G1697"/>
          <cell r="H1697"/>
        </row>
        <row r="1698">
          <cell r="A1698" t="str">
            <v>7.A3303089933012001</v>
          </cell>
          <cell r="B1698" t="str">
            <v>MEIZAN PREMIUM RICE MACARONI 400G - LONG TUBE</v>
          </cell>
          <cell r="C1698" t="str">
            <v>NUI GẠO CAO CẤP MEIZAN - ỐNG DÀI 400G</v>
          </cell>
          <cell r="D1698" t="str">
            <v>MEIZAN PREMIUM RICE MACARONI 400G - LONG TUBE</v>
          </cell>
          <cell r="E1698">
            <v>0.4</v>
          </cell>
          <cell r="F1698" t="str">
            <v>Bỏ chọn</v>
          </cell>
          <cell r="G1698"/>
          <cell r="H1698"/>
        </row>
        <row r="1699">
          <cell r="A1699" t="str">
            <v>7.A33030899320119</v>
          </cell>
          <cell r="B1699" t="str">
            <v>MEIZAN PREMIUM RICE MACARONI 200G - ELBOW X 12 BAG</v>
          </cell>
          <cell r="C1699" t="str">
            <v>NUI GẠO CAO CẤP MEIZAN - CHỮ "C" 200G</v>
          </cell>
          <cell r="D1699" t="str">
            <v>MEIZAN PREMIUM RICE MACARONI 200G - ELBOW X 12 BAG</v>
          </cell>
          <cell r="E1699">
            <v>2.4</v>
          </cell>
          <cell r="F1699" t="str">
            <v>Bỏ chọn</v>
          </cell>
          <cell r="G1699"/>
          <cell r="H1699"/>
        </row>
        <row r="1700">
          <cell r="A1700" t="str">
            <v>7.A3303089932011901</v>
          </cell>
          <cell r="B1700" t="str">
            <v xml:space="preserve">MEIZAN PREMIUM RICE MACARONI 200G - ELBOW </v>
          </cell>
          <cell r="C1700" t="str">
            <v>NUI GẠO CAO CẤP MEIZAN - CHỮ "C" 200G</v>
          </cell>
          <cell r="D1700" t="str">
            <v xml:space="preserve">MEIZAN PREMIUM RICE MACARONI 200G - ELBOW </v>
          </cell>
          <cell r="E1700">
            <v>0.2</v>
          </cell>
          <cell r="F1700" t="str">
            <v>Bỏ chọn</v>
          </cell>
          <cell r="G1700"/>
          <cell r="H1700"/>
        </row>
        <row r="1701">
          <cell r="A1701" t="str">
            <v>7.A33030899330119</v>
          </cell>
          <cell r="B1701" t="str">
            <v>MEIZAN PREMIUM RICE MACARONI 400G - ELBOW X 6 BAG</v>
          </cell>
          <cell r="C1701" t="str">
            <v>NUI GẠO CAO CẤP MEIZAN - CHỮ "C" 400G</v>
          </cell>
          <cell r="D1701" t="str">
            <v>MEIZAN PREMIUM RICE MACARONI 400G - ELBOW X 6 BAG</v>
          </cell>
          <cell r="E1701">
            <v>2.4</v>
          </cell>
          <cell r="F1701" t="str">
            <v>Bỏ chọn</v>
          </cell>
          <cell r="G1701"/>
          <cell r="H1701"/>
        </row>
        <row r="1702">
          <cell r="A1702" t="str">
            <v>7.A3303089933011901</v>
          </cell>
          <cell r="B1702" t="str">
            <v>MEIZAN PREMIUM RICE MACARONI 400G - ELBOW</v>
          </cell>
          <cell r="C1702" t="str">
            <v>NUI GẠO CAO CẤP MEIZAN - CHỮ "C" 400G</v>
          </cell>
          <cell r="D1702" t="str">
            <v>MEIZAN PREMIUM RICE MACARONI 400G - ELBOW</v>
          </cell>
          <cell r="E1702">
            <v>0.4</v>
          </cell>
          <cell r="F1702" t="str">
            <v>Bỏ chọn</v>
          </cell>
          <cell r="G1702"/>
          <cell r="H1702"/>
        </row>
        <row r="1703">
          <cell r="A1703" t="str">
            <v>7.A320408991801</v>
          </cell>
          <cell r="B1703" t="str">
            <v>MEIZAN PREMIUM VEGETARIAN NOODLE 250G X 12 BAG</v>
          </cell>
          <cell r="C1703" t="str">
            <v>MÌ CHAY CAO CẤP MEIZAN 250G</v>
          </cell>
          <cell r="D1703" t="str">
            <v>MEIZAN PREMIUM VEGETARIAN NOODLE 250G X 12 BAG</v>
          </cell>
          <cell r="E1703">
            <v>3</v>
          </cell>
          <cell r="F1703" t="str">
            <v>Bỏ chọn</v>
          </cell>
          <cell r="G1703"/>
          <cell r="H1703"/>
        </row>
        <row r="1704">
          <cell r="A1704" t="str">
            <v>7.A32040899180101</v>
          </cell>
          <cell r="B1704" t="str">
            <v>MEIZAN PREMIUM VEGETARIAN NOODLE 250G</v>
          </cell>
          <cell r="C1704" t="str">
            <v>MÌ CHAY CAO CẤP MEIZAN 250G</v>
          </cell>
          <cell r="D1704" t="str">
            <v>MEIZAN PREMIUM VEGETARIAN NOODLE 250G</v>
          </cell>
          <cell r="E1704">
            <v>0.25</v>
          </cell>
          <cell r="F1704" t="str">
            <v>Bỏ chọn</v>
          </cell>
          <cell r="G1704"/>
          <cell r="H1704"/>
        </row>
        <row r="1705">
          <cell r="A1705" t="str">
            <v>7.101071031800550</v>
          </cell>
          <cell r="B1705" t="str">
            <v>CAILAN ROL CP8 IN POUCH@1L</v>
          </cell>
          <cell r="C1705" t="str">
            <v>DẦU THỰC VẬT TINH LUYỆN NHÃN HIỆU CÁI LÂN 1L</v>
          </cell>
          <cell r="D1705" t="str">
            <v>CAILAN ROL CP8 IN POUCH@1L</v>
          </cell>
          <cell r="E1705">
            <v>0.91</v>
          </cell>
          <cell r="F1705" t="str">
            <v>Chọn</v>
          </cell>
          <cell r="G1705"/>
          <cell r="H1705"/>
        </row>
        <row r="1706">
          <cell r="A1706" t="str">
            <v>V51.047.009</v>
          </cell>
          <cell r="B1706" t="str">
            <v>MEIZAN CRISPY FRYING MIX 1KG</v>
          </cell>
          <cell r="C1706" t="str">
            <v>BỘT CHIÊN GIÒN HIỆU MEIZAN 1KG</v>
          </cell>
          <cell r="D1706" t="str">
            <v>MEIZAN CRISPY FRYING MIX 1KG</v>
          </cell>
          <cell r="E1706">
            <v>1</v>
          </cell>
          <cell r="F1706" t="str">
            <v>Bỏ chọn</v>
          </cell>
          <cell r="G1706"/>
          <cell r="H1706"/>
        </row>
        <row r="1707">
          <cell r="A1707" t="str">
            <v>V51.048.007</v>
          </cell>
          <cell r="B1707" t="str">
            <v>PREMIUM SOYA SAUCE 210 ML</v>
          </cell>
          <cell r="C1707" t="str">
            <v>NƯỚC TƯƠNG THƯỢNG HẠNG 210 ML</v>
          </cell>
          <cell r="D1707" t="str">
            <v>PREMIUM SOYA SAUCE 210 ML</v>
          </cell>
          <cell r="E1707">
            <v>0.24</v>
          </cell>
          <cell r="F1707" t="str">
            <v>Bỏ chọn</v>
          </cell>
          <cell r="G1707"/>
          <cell r="H1707"/>
        </row>
        <row r="1708">
          <cell r="A1708" t="str">
            <v>V51.046.007</v>
          </cell>
          <cell r="B1708" t="str">
            <v>PORK BOUILLON GRANULE 50G</v>
          </cell>
          <cell r="C1708" t="str">
            <v>THỰC PHẨM BỔ SUNG HẠT NÊM 4 TRONG 1 - VỊ HEO 50G</v>
          </cell>
          <cell r="D1708" t="str">
            <v>PORK BOUILLON GRANULE 50G</v>
          </cell>
          <cell r="E1708">
            <v>0.05</v>
          </cell>
          <cell r="F1708" t="str">
            <v>Bỏ chọn</v>
          </cell>
          <cell r="G1708"/>
          <cell r="H1708"/>
        </row>
        <row r="1709">
          <cell r="A1709" t="str">
            <v>V51.048.009</v>
          </cell>
          <cell r="B1709" t="str">
            <v> NAM DUONG CONDENSED SOY SAUCE 500ML</v>
          </cell>
          <cell r="C1709" t="str">
            <v>THỰC PHẨM BỔ SUNG NƯỚC TƯƠNG NAM DƯƠNG ĐẬM ĐẶC 500ML</v>
          </cell>
          <cell r="D1709" t="str">
            <v> NAM DUONG CONDENSED SOY SAUCE 500ML</v>
          </cell>
          <cell r="E1709">
            <v>0.56000000000000005</v>
          </cell>
          <cell r="F1709" t="str">
            <v>Bỏ chọn</v>
          </cell>
          <cell r="G1709"/>
          <cell r="H1709"/>
        </row>
        <row r="1710">
          <cell r="A1710" t="str">
            <v>7.1070120303608010</v>
          </cell>
          <cell r="B1710" t="str">
            <v>MEIZAN MARGARINE VN SAMPLE PEBAG@25KG</v>
          </cell>
          <cell r="C1710" t="str">
            <v>BƠ LOẠI 25KG</v>
          </cell>
          <cell r="D1710" t="str">
            <v>MEIZAN MARGARINE VN SAMPLE PEBAG@25KG</v>
          </cell>
          <cell r="E1710">
            <v>25</v>
          </cell>
          <cell r="F1710" t="str">
            <v>Bỏ chọn</v>
          </cell>
          <cell r="G1710"/>
          <cell r="H1710"/>
        </row>
        <row r="1711">
          <cell r="A1711" t="str">
            <v>V51.000.020</v>
          </cell>
          <cell r="B1711" t="str">
            <v>3M SCOTCH-BRITE SCOURER PACK 3</v>
          </cell>
          <cell r="C1711" t="str">
            <v>BỘ 3 MIẾNG RỬA CHÉN SCOTCH-BRITE 3M</v>
          </cell>
          <cell r="D1711" t="str">
            <v>3M SCOTCH-BRITE SCOURER PACK 3</v>
          </cell>
          <cell r="E1711">
            <v>0</v>
          </cell>
          <cell r="F1711" t="str">
            <v>Bỏ chọn</v>
          </cell>
          <cell r="G1711"/>
          <cell r="H1711"/>
        </row>
        <row r="1712">
          <cell r="A1712" t="str">
            <v>V78.000.002</v>
          </cell>
          <cell r="B1712" t="str">
            <v>YELLOW &amp; BROWN SHIRT -LONG SLEEVE</v>
          </cell>
          <cell r="C1712" t="str">
            <v>ÁO SƠMI DÀI TAY NAM MÀU VÀNG</v>
          </cell>
          <cell r="D1712" t="str">
            <v>YELLOW &amp; BROWN SHIRT -LONG SLEEVE</v>
          </cell>
          <cell r="E1712">
            <v>0</v>
          </cell>
          <cell r="F1712" t="str">
            <v>Chọn</v>
          </cell>
          <cell r="G1712"/>
          <cell r="H1712"/>
        </row>
        <row r="1713">
          <cell r="A1713" t="str">
            <v>V78.000.003</v>
          </cell>
          <cell r="B1713" t="str">
            <v>WINTER JACKET - DARK RED +LOGO</v>
          </cell>
          <cell r="C1713" t="str">
            <v>ÁO KHOÁC MÙA ĐÔNG MÀU ĐỎ + LOGO</v>
          </cell>
          <cell r="D1713" t="str">
            <v>WINTER JACKET - DARK RED +LOGO</v>
          </cell>
          <cell r="E1713">
            <v>0</v>
          </cell>
          <cell r="F1713" t="str">
            <v>Bỏ chọn</v>
          </cell>
          <cell r="G1713"/>
          <cell r="H1713"/>
        </row>
        <row r="1714">
          <cell r="A1714" t="str">
            <v>V39.000.026</v>
          </cell>
          <cell r="B1714" t="str">
            <v>HOTPOT COOKER HAPPYCOOK</v>
          </cell>
          <cell r="C1714" t="str">
            <v>NỒI LẨU ĐIỆN HAPPYCOOK</v>
          </cell>
          <cell r="D1714" t="str">
            <v>HOTPOT COOKER HAPPYCOOK</v>
          </cell>
          <cell r="E1714">
            <v>0</v>
          </cell>
          <cell r="F1714" t="str">
            <v>Bỏ chọn</v>
          </cell>
          <cell r="G1714"/>
          <cell r="H1714"/>
        </row>
        <row r="1715">
          <cell r="A1715" t="str">
            <v>V78.000.004</v>
          </cell>
          <cell r="B1715" t="str">
            <v>MEDIUM DRESS; VEST FOR F</v>
          </cell>
          <cell r="C1715" t="str">
            <v>VÁY LIỀN; VEST</v>
          </cell>
          <cell r="D1715" t="str">
            <v>MEDIUM DRESS; VEST FOR F</v>
          </cell>
          <cell r="E1715">
            <v>0</v>
          </cell>
          <cell r="F1715" t="str">
            <v>Bỏ chọn</v>
          </cell>
          <cell r="G1715"/>
          <cell r="H1715"/>
        </row>
        <row r="1716">
          <cell r="A1716" t="str">
            <v>V78.000.005</v>
          </cell>
          <cell r="B1716" t="str">
            <v>TYPE 7: SHIRT FOR MAN, TROUSERS, VEST</v>
          </cell>
          <cell r="C1716" t="str">
            <v>MẪU 7: ÁO SƠ MI NAM, QUẦN ÂU NAM, VEST</v>
          </cell>
          <cell r="D1716" t="str">
            <v>TYPE 7: SHIRT FOR MAN, TROUSERS, VEST</v>
          </cell>
          <cell r="E1716">
            <v>0</v>
          </cell>
          <cell r="F1716" t="str">
            <v>Bỏ chọn</v>
          </cell>
          <cell r="G1716"/>
          <cell r="H1716"/>
        </row>
        <row r="1717">
          <cell r="A1717" t="str">
            <v>V78.000.006</v>
          </cell>
          <cell r="B1717" t="str">
            <v>SHIRT; SKIRT; VEST FOR F</v>
          </cell>
          <cell r="C1717" t="str">
            <v>ÁO SƠ MI NỮ; VÁY NGẮN; VEST</v>
          </cell>
          <cell r="D1717" t="str">
            <v>SHIRT; SKIRT; VEST FOR F</v>
          </cell>
          <cell r="E1717">
            <v>0</v>
          </cell>
          <cell r="F1717" t="str">
            <v>Bỏ chọn</v>
          </cell>
          <cell r="G1717"/>
          <cell r="H1717"/>
        </row>
        <row r="1718">
          <cell r="A1718" t="str">
            <v>V51.000.021</v>
          </cell>
          <cell r="B1718" t="str">
            <v>SET GIFT PACK,PEN &amp; SPARE BATTERY CHARGER</v>
          </cell>
          <cell r="C1718" t="str">
            <v>BỘ HỘP QUÀ, BÚT VÀ SẠC PIN DỰ PHÒNG</v>
          </cell>
          <cell r="D1718" t="str">
            <v>SET GIFT PACK,PEN &amp; SPARE BATTERY CHARGER</v>
          </cell>
          <cell r="E1718">
            <v>0</v>
          </cell>
          <cell r="F1718" t="str">
            <v>Bỏ chọn</v>
          </cell>
          <cell r="G1718"/>
          <cell r="H1718"/>
        </row>
        <row r="1719">
          <cell r="A1719" t="str">
            <v>V78.000.007</v>
          </cell>
          <cell r="B1719" t="str">
            <v>GREEN SHIRT WITH GRAY LINES</v>
          </cell>
          <cell r="C1719" t="str">
            <v>ÁO PHÔNG XANH VIỀN XÁM</v>
          </cell>
          <cell r="D1719" t="str">
            <v>GREEN SHIRT WITH GRAY LINES</v>
          </cell>
          <cell r="E1719">
            <v>0</v>
          </cell>
          <cell r="F1719" t="str">
            <v>Bỏ chọn</v>
          </cell>
          <cell r="G1719"/>
          <cell r="H1719"/>
        </row>
        <row r="1720">
          <cell r="A1720" t="str">
            <v>V39.000.027</v>
          </cell>
          <cell r="B1720" t="str">
            <v>SPOON</v>
          </cell>
          <cell r="C1720" t="str">
            <v>MUỖNG NHỰA BỚI CƠM</v>
          </cell>
          <cell r="D1720" t="str">
            <v>SPOON</v>
          </cell>
          <cell r="E1720">
            <v>4.2999999999999997E-2</v>
          </cell>
          <cell r="F1720" t="str">
            <v>Bỏ chọn</v>
          </cell>
          <cell r="G1720"/>
          <cell r="H1720"/>
        </row>
        <row r="1721">
          <cell r="A1721" t="str">
            <v>V51.000.022</v>
          </cell>
          <cell r="B1721" t="str">
            <v>TOPBOARD WITH 4 HOOKS</v>
          </cell>
          <cell r="C1721" t="str">
            <v>VỈ TREO 4 DÂY NHỰA</v>
          </cell>
          <cell r="D1721" t="str">
            <v>TOPBOARD WITH 4 HOOKS</v>
          </cell>
          <cell r="E1721">
            <v>0.31</v>
          </cell>
          <cell r="F1721" t="str">
            <v>Bỏ chọn</v>
          </cell>
          <cell r="G1721"/>
          <cell r="H1721"/>
        </row>
        <row r="1722">
          <cell r="A1722" t="str">
            <v>V39.000.028</v>
          </cell>
          <cell r="B1722" t="str">
            <v>ELECTRIC RICE COOKER TOSHIBA 1.8L RC-18NMFVN(WT)</v>
          </cell>
          <cell r="C1722" t="str">
            <v>NỒI CƠM ĐIỆN TOSHIBA RC-18NMFVN(WT) 1,8L</v>
          </cell>
          <cell r="D1722" t="str">
            <v>ELECTRIC RICE COOKER TOSHIBA 1.8L RC-18NMFVN(WT)</v>
          </cell>
          <cell r="E1722">
            <v>0</v>
          </cell>
          <cell r="F1722" t="str">
            <v>Bỏ chọn</v>
          </cell>
          <cell r="G1722"/>
          <cell r="H1722"/>
        </row>
        <row r="1723">
          <cell r="A1723" t="str">
            <v>7.70533</v>
          </cell>
          <cell r="B1723" t="str">
            <v>YELLOW GLYCERINE 95%</v>
          </cell>
          <cell r="C1723" t="str">
            <v>GLYXERIN MÀU VÀNG 95% ; FLEXIBAG</v>
          </cell>
          <cell r="D1723" t="str">
            <v>YELLOW GLYCERINE 95%</v>
          </cell>
          <cell r="E1723">
            <v>1</v>
          </cell>
          <cell r="F1723" t="str">
            <v>Bỏ chọn</v>
          </cell>
          <cell r="G1723"/>
          <cell r="H1723"/>
        </row>
        <row r="1724">
          <cell r="A1724" t="str">
            <v>7.101089591200A80</v>
          </cell>
          <cell r="B1724" t="str">
            <v>SATELLITE RBD OL1008 JRG @25KG/RSPO MB</v>
          </cell>
          <cell r="C1724" t="str">
            <v>DẦU OLEIN TINH LUYỆN HIỆU SATELLITE TRONG CAN 25KG (RSPO/MB)</v>
          </cell>
          <cell r="D1724" t="str">
            <v>SATELLITE RBD OL1008 JRG @25KG/RSPO MB</v>
          </cell>
          <cell r="E1724">
            <v>25</v>
          </cell>
          <cell r="F1724" t="str">
            <v>Chọn</v>
          </cell>
          <cell r="G1724"/>
          <cell r="H1724"/>
        </row>
        <row r="1725">
          <cell r="A1725" t="str">
            <v>7.1160010203608010TD</v>
          </cell>
          <cell r="B1725" t="str">
            <v>GOLDEN ORIOLE REFINED HYDROGENATED SOYA OIL 20KG IN CARTON</v>
          </cell>
          <cell r="C1725" t="str">
            <v>DẦU ĐẬU NÀNH TINH LUYỆN ĐÃ HYDRO HÓA HIỆU GOLDEN ORIOLE ĐÓNG THÙNG CARTON 20KG</v>
          </cell>
          <cell r="D1725" t="str">
            <v>GOLDEN ORIOLE REFINED HYDROGENATED SOYA OIL 20KG IN CARTON</v>
          </cell>
          <cell r="E1725">
            <v>20</v>
          </cell>
          <cell r="F1725" t="str">
            <v>Bỏ chọn</v>
          </cell>
          <cell r="G1725"/>
          <cell r="H1725"/>
        </row>
        <row r="1726">
          <cell r="A1726" t="str">
            <v>V51.049.006</v>
          </cell>
          <cell r="B1726" t="str">
            <v>CHILI SAUCE 250G</v>
          </cell>
          <cell r="C1726" t="str">
            <v>TƯƠNG ỚT 250G</v>
          </cell>
          <cell r="D1726" t="str">
            <v>CHILI SAUCE 250G</v>
          </cell>
          <cell r="E1726">
            <v>0</v>
          </cell>
          <cell r="F1726" t="str">
            <v>Bỏ chọn</v>
          </cell>
          <cell r="G1726"/>
          <cell r="H1726"/>
        </row>
        <row r="1727">
          <cell r="A1727" t="str">
            <v>7.B250854994292056</v>
          </cell>
          <cell r="B1727" t="str">
            <v>PORK BOUILLON GRANULE 380G X 20 PAC ON PACK 10 PEACE PLASTIC BASKET</v>
          </cell>
          <cell r="C1727" t="str">
            <v>THỰC PHẨM BỔ SUNG HẠT NÊM 4 TRONG 1 - VỊ HEO 380G X 20 GÓI ĐÓNG KÈM 10 BỘ RỔ NHỰA / THÙNG</v>
          </cell>
          <cell r="D1727" t="str">
            <v>PORK BOUILLON GRANULE 380G X 20 PAC ON PACK 10 PEACE PLASTIC BASKET</v>
          </cell>
          <cell r="E1727">
            <v>10.199999999999999</v>
          </cell>
          <cell r="F1727" t="str">
            <v>Bỏ chọn</v>
          </cell>
          <cell r="G1727"/>
          <cell r="H1727"/>
        </row>
        <row r="1728">
          <cell r="A1728" t="str">
            <v>7.B25085499429205601</v>
          </cell>
          <cell r="B1728" t="str">
            <v>PORK BOUILLON GRANULE 380G X 02 PAC ON PACK 01 PEACE PLASTIC BASKET</v>
          </cell>
          <cell r="C1728" t="str">
            <v>THỰC PHẨM BỔ SUNG HẠT NÊM 4 TRONG 1 - VỊ HEO 380G X 2 GÓI ĐÓNG KÈM 01 BỘ RỔ NHỰA</v>
          </cell>
          <cell r="D1728" t="str">
            <v>PORK BOUILLON GRANULE 380G X 02 PAC ON PACK 01 PEACE PLASTIC BASKET</v>
          </cell>
          <cell r="E1728">
            <v>1.02</v>
          </cell>
          <cell r="F1728" t="str">
            <v>Bỏ chọn</v>
          </cell>
          <cell r="G1728"/>
          <cell r="H1728"/>
        </row>
        <row r="1729">
          <cell r="A1729" t="str">
            <v>7.B250854994492056</v>
          </cell>
          <cell r="B1729" t="str">
            <v>PORK BOUILLON GRANULE 850G X 10 PAC ON PACK 10 PEACE PLASTIC BASKET</v>
          </cell>
          <cell r="C1729" t="str">
            <v>THỰC PHẨM BỔ SUNG HẠT NÊM 4 TRONG 1 - VỊ HEO 850G X10 GÓI ĐÓNG KÈM 10 BỘ RỔ NHỰA / THÙNG</v>
          </cell>
          <cell r="D1729" t="str">
            <v>PORK BOUILLON GRANULE 850G X 10 PAC ON PACK 10 PEACE PLASTIC BASKET</v>
          </cell>
          <cell r="E1729">
            <v>11.1</v>
          </cell>
          <cell r="F1729" t="str">
            <v>Bỏ chọn</v>
          </cell>
          <cell r="G1729"/>
          <cell r="H1729"/>
        </row>
        <row r="1730">
          <cell r="A1730" t="str">
            <v>7.B25085499449205601</v>
          </cell>
          <cell r="B1730" t="str">
            <v>PORK BOUILLON GRANULE 850G X 01 PAC ON PACK 01 PEACE PLASTIC BASKET.</v>
          </cell>
          <cell r="C1730" t="str">
            <v>THỰC PHẨM BỔ SUNG HẠT NÊM 4 TRONG 1 - VỊ HEO 850G X 1 GÓI ĐÓNG KÈM 01 BỘ RỔ NHỰA</v>
          </cell>
          <cell r="D1730" t="str">
            <v>PORK BOUILLON GRANULE 850G X 01 PAC ON PACK 01 PEACE PLASTIC BASKET.</v>
          </cell>
          <cell r="E1730">
            <v>1.1100000000000001</v>
          </cell>
          <cell r="F1730" t="str">
            <v>Bỏ chọn</v>
          </cell>
          <cell r="G1730"/>
          <cell r="H1730"/>
        </row>
        <row r="1731">
          <cell r="A1731" t="str">
            <v>7.B25085499259205</v>
          </cell>
          <cell r="B1731" t="str">
            <v>PORK BOUILLON GRANULE 2KG X 6 PAC</v>
          </cell>
          <cell r="C1731" t="str">
            <v>HẠT NÊM 4 TRONG 1 - VỊ HEO 2KG X 6 GÓI</v>
          </cell>
          <cell r="D1731" t="str">
            <v>PORK BOUILLON GRANULE 2KG X 6 PAC</v>
          </cell>
          <cell r="E1731">
            <v>12</v>
          </cell>
          <cell r="F1731" t="str">
            <v>Bỏ chọn</v>
          </cell>
          <cell r="G1731" t="str">
            <v>2000000008</v>
          </cell>
          <cell r="H1731" t="str">
            <v>7.B2508549925920501</v>
          </cell>
        </row>
        <row r="1732">
          <cell r="A1732" t="str">
            <v>7.B2508549925920501</v>
          </cell>
          <cell r="B1732" t="str">
            <v xml:space="preserve">PORK BOUILLON GRANULE 2KG </v>
          </cell>
          <cell r="C1732" t="str">
            <v>HẠT NÊM 4 TRONG 1 - VỊ HEO 2KG</v>
          </cell>
          <cell r="D1732" t="str">
            <v xml:space="preserve">PORK BOUILLON GRANULE 2KG </v>
          </cell>
          <cell r="E1732">
            <v>2</v>
          </cell>
          <cell r="F1732" t="str">
            <v>Bỏ chọn</v>
          </cell>
          <cell r="G1732" t="str">
            <v>2000000008</v>
          </cell>
          <cell r="H1732"/>
        </row>
        <row r="1733">
          <cell r="A1733" t="str">
            <v>7.B24012399589213</v>
          </cell>
          <cell r="B1733" t="str">
            <v>NAM DUONG CONDENSED SOY SAUCE 280ML X 24 BOT</v>
          </cell>
          <cell r="C1733" t="str">
            <v>THỰC PHẨM BỔ SUNG NƯỚC TƯƠNG NAM DƯƠNG ĐẬM ĐẶC 280ML X 24 CHAI</v>
          </cell>
          <cell r="D1733" t="str">
            <v>NAM DUONG CONDENSED SOY SAUCE 280ML X 24 BOT</v>
          </cell>
          <cell r="E1733">
            <v>7.5365000000000002</v>
          </cell>
          <cell r="F1733" t="str">
            <v>Bỏ chọn</v>
          </cell>
          <cell r="G1733" t="str">
            <v>2000000008</v>
          </cell>
          <cell r="H1733" t="str">
            <v>7.B2401239939921301</v>
          </cell>
        </row>
        <row r="1734">
          <cell r="A1734" t="str">
            <v>7.B24012399599213</v>
          </cell>
          <cell r="B1734" t="str">
            <v>NAM DUONG CONDENSED SOY SAUCE 500ML X 24 BOT</v>
          </cell>
          <cell r="C1734" t="str">
            <v>THỰC PHẨM BỔ SUNG NƯỚC TƯƠNG NAM DƯƠNG ĐẬM ĐẶC 500ML X 24 CHAI</v>
          </cell>
          <cell r="D1734" t="str">
            <v>NAM DUONG CONDENSED SOY SAUCE 500ML X 24 BOT</v>
          </cell>
          <cell r="E1734">
            <v>13.458</v>
          </cell>
          <cell r="F1734" t="str">
            <v>Bỏ chọn</v>
          </cell>
          <cell r="G1734" t="str">
            <v>2000000008</v>
          </cell>
          <cell r="H1734" t="str">
            <v>7.B2401239937921301</v>
          </cell>
        </row>
        <row r="1735">
          <cell r="A1735" t="str">
            <v>V51.049.005</v>
          </cell>
          <cell r="B1735" t="str">
            <v>SPECIAL HOT CHILI SAUCE 250 GR</v>
          </cell>
          <cell r="C1735" t="str">
            <v>TƯƠNG ỚT ĐẶC BIỆT CAY 250 GR</v>
          </cell>
          <cell r="D1735" t="str">
            <v>SPECIAL HOT CHILI SAUCE 250 GR</v>
          </cell>
          <cell r="E1735">
            <v>0</v>
          </cell>
          <cell r="F1735" t="str">
            <v>Bỏ chọn</v>
          </cell>
          <cell r="G1735"/>
          <cell r="H1735"/>
        </row>
        <row r="1736">
          <cell r="A1736" t="str">
            <v>V34.000.002</v>
          </cell>
          <cell r="B1736" t="str">
            <v>SAMPLING HAT</v>
          </cell>
          <cell r="C1736" t="str">
            <v>NÓN SAMPLING</v>
          </cell>
          <cell r="D1736" t="str">
            <v>SAMPLING HAT</v>
          </cell>
          <cell r="E1736">
            <v>0</v>
          </cell>
          <cell r="F1736" t="str">
            <v>Bỏ chọn</v>
          </cell>
          <cell r="G1736"/>
          <cell r="H1736"/>
        </row>
        <row r="1737">
          <cell r="A1737" t="str">
            <v>7.131078011720E10</v>
          </cell>
          <cell r="B1737" t="str">
            <v>CO-MEIZAN GOLD 0.25L X 30 BTL</v>
          </cell>
          <cell r="C1737" t="str">
            <v>DẦU ĂN CAO CẤP NHÃN HIỆU MEIZAN GOLD 0.25L</v>
          </cell>
          <cell r="D1737" t="str">
            <v>CO-MEIZAN GOLD 0.25L X 30 BTL</v>
          </cell>
          <cell r="E1737">
            <v>6.83</v>
          </cell>
          <cell r="F1737" t="str">
            <v>Chọn</v>
          </cell>
          <cell r="G1737"/>
          <cell r="H1737" t="str">
            <v>7.131078011700E10</v>
          </cell>
        </row>
        <row r="1738">
          <cell r="A1738" t="str">
            <v>7.131078121712E10</v>
          </cell>
          <cell r="B1738" t="str">
            <v>CO-MEIZAN GOLD 0.4L X 20 BTL</v>
          </cell>
          <cell r="C1738" t="str">
            <v>DẦU ĂN CAO CẤP NHÃN HIỆU MEIZAN GOLD 0.4L</v>
          </cell>
          <cell r="D1738" t="str">
            <v>CO-MEIZAN GOLD 0.4L X 20 BTL</v>
          </cell>
          <cell r="E1738">
            <v>7.28</v>
          </cell>
          <cell r="F1738" t="str">
            <v>Bỏ chọn</v>
          </cell>
          <cell r="G1738"/>
          <cell r="H1738"/>
        </row>
        <row r="1739">
          <cell r="A1739" t="str">
            <v>7.131078031705E10</v>
          </cell>
          <cell r="B1739" t="str">
            <v>CO-MEIZAN GOLD 1L X 12 BTL</v>
          </cell>
          <cell r="C1739" t="str">
            <v>DẦU ĂN CAO CẤP NHÃN HIỆU MEIZAN GOLD 1L</v>
          </cell>
          <cell r="D1739" t="str">
            <v>CO-MEIZAN GOLD 1L X 12 BTL</v>
          </cell>
          <cell r="E1739">
            <v>10.92</v>
          </cell>
          <cell r="F1739" t="str">
            <v>Chọn</v>
          </cell>
          <cell r="G1739"/>
          <cell r="H1739" t="str">
            <v>7.131078031700E10</v>
          </cell>
        </row>
        <row r="1740">
          <cell r="A1740" t="str">
            <v>7.131078041704E10</v>
          </cell>
          <cell r="B1740" t="str">
            <v>CO-MEIZAN GOLD 2L X 6 BTL</v>
          </cell>
          <cell r="C1740" t="str">
            <v>DẦU ĂN CAO CẤP NHÃN HIỆU MEIZAN GOLD 2L</v>
          </cell>
          <cell r="D1740" t="str">
            <v>CO-MEIZAN GOLD 2L X 6 BTL</v>
          </cell>
          <cell r="E1740">
            <v>10.92</v>
          </cell>
          <cell r="F1740" t="str">
            <v>Chọn</v>
          </cell>
          <cell r="G1740"/>
          <cell r="H1740" t="str">
            <v>7.131078041700E10</v>
          </cell>
        </row>
        <row r="1741">
          <cell r="A1741" t="str">
            <v>7.131078061703E10</v>
          </cell>
          <cell r="B1741" t="str">
            <v>CO-MEIZAN GOLD 5L X 4 BTL</v>
          </cell>
          <cell r="C1741" t="str">
            <v>DẦU ĂN CAO CẤP NHÃN HIỆU MEIZAN GOLD 5L</v>
          </cell>
          <cell r="D1741" t="str">
            <v>CO-MEIZAN GOLD 5L X 4 BTL</v>
          </cell>
          <cell r="E1741">
            <v>18.2</v>
          </cell>
          <cell r="F1741" t="str">
            <v>Chọn</v>
          </cell>
          <cell r="G1741"/>
          <cell r="H1741" t="str">
            <v>7.131078061700E10</v>
          </cell>
        </row>
        <row r="1742">
          <cell r="A1742" t="str">
            <v>7.101172577901020</v>
          </cell>
          <cell r="B1742" t="str">
            <v>SATELITE RDLABEL RBDLCP8 BIB@18KG W/LOGO</v>
          </cell>
          <cell r="C1742" t="str">
            <v>DẦU OLEIN CỌ TINH LUYỆN HIỆU SATELLITE TRONG THÙNG 18KG</v>
          </cell>
          <cell r="D1742" t="str">
            <v>SATELITE RDLABEL RBDLCP8 BIB@18KG W/LOGO</v>
          </cell>
          <cell r="E1742">
            <v>18</v>
          </cell>
          <cell r="F1742" t="str">
            <v>Chọn</v>
          </cell>
          <cell r="G1742"/>
          <cell r="H1742"/>
        </row>
        <row r="1743">
          <cell r="A1743" t="str">
            <v>V51.000.023</v>
          </cell>
          <cell r="B1743" t="str">
            <v>BOUILLON PROMOTION BAG</v>
          </cell>
          <cell r="C1743" t="str">
            <v>TÚI KHUYẾN MÃI HẠT NÊM 20 OPP/25 CPP</v>
          </cell>
          <cell r="D1743" t="str">
            <v>BOUILLON PROMOTION BAG</v>
          </cell>
          <cell r="E1743">
            <v>0</v>
          </cell>
          <cell r="F1743" t="str">
            <v>Bỏ chọn</v>
          </cell>
          <cell r="G1743"/>
          <cell r="H1743"/>
        </row>
        <row r="1744">
          <cell r="A1744" t="str">
            <v>V51.061.012</v>
          </cell>
          <cell r="B1744" t="str">
            <v>SIMPLY COOK BOOK 2018</v>
          </cell>
          <cell r="C1744" t="str">
            <v>SÁCH NẤU ĂN SIMPLY 2018</v>
          </cell>
          <cell r="D1744" t="str">
            <v>SIMPLY COOK BOOK 2018</v>
          </cell>
          <cell r="E1744">
            <v>0</v>
          </cell>
          <cell r="F1744" t="str">
            <v>Bỏ chọn</v>
          </cell>
          <cell r="G1744"/>
          <cell r="H1744"/>
        </row>
        <row r="1745">
          <cell r="A1745" t="str">
            <v>7.5239920990649</v>
          </cell>
          <cell r="B1745" t="str">
            <v>MS 2-40</v>
          </cell>
          <cell r="C1745" t="str">
            <v>BỘT MÌ CHUYÊN DỤNG "MS 2" (40KG)</v>
          </cell>
          <cell r="D1745" t="str">
            <v>MS 2-40</v>
          </cell>
          <cell r="E1745">
            <v>40</v>
          </cell>
          <cell r="F1745" t="str">
            <v>Bỏ chọn</v>
          </cell>
          <cell r="G1745"/>
          <cell r="H1745"/>
        </row>
        <row r="1746">
          <cell r="A1746" t="str">
            <v>7.B25081099259107</v>
          </cell>
          <cell r="B1746" t="str">
            <v>HORECA CHICKEN BOUILLON GRANULE 2KG X 6 PAC</v>
          </cell>
          <cell r="C1746" t="str">
            <v>HẠT NÊM HORECA VỊ GÀ 2KG X 6 GÓI</v>
          </cell>
          <cell r="D1746" t="str">
            <v>HORECA CHICKEN BOUILLON GRANULE 2KG X 6 PAC</v>
          </cell>
          <cell r="E1746">
            <v>12</v>
          </cell>
          <cell r="F1746" t="str">
            <v>Bỏ chọn</v>
          </cell>
          <cell r="G1746"/>
          <cell r="H1746"/>
        </row>
        <row r="1747">
          <cell r="A1747" t="str">
            <v>7.B2508109925910701</v>
          </cell>
          <cell r="B1747" t="str">
            <v xml:space="preserve">HORECA CHICKEN BOUILLON GRANULE 2KG </v>
          </cell>
          <cell r="C1747" t="str">
            <v>HẠT NÊM HORECA VỊ GÀ 2KG</v>
          </cell>
          <cell r="D1747" t="str">
            <v xml:space="preserve">HORECA CHICKEN BOUILLON GRANULE 2KG </v>
          </cell>
          <cell r="E1747">
            <v>2</v>
          </cell>
          <cell r="F1747" t="str">
            <v>Bỏ chọn</v>
          </cell>
          <cell r="G1747"/>
          <cell r="H1747"/>
        </row>
        <row r="1748">
          <cell r="A1748" t="str">
            <v>V51.000.024</v>
          </cell>
          <cell r="B1748" t="str">
            <v>DISPLAY SHELF (60X50X26)</v>
          </cell>
          <cell r="C1748" t="str">
            <v>KỆ TRƯNG BÀY (60X50X26)</v>
          </cell>
          <cell r="D1748" t="str">
            <v>DISPLAY SHELF (60X50X26)</v>
          </cell>
          <cell r="E1748">
            <v>2.15</v>
          </cell>
          <cell r="F1748" t="str">
            <v>Bỏ chọn</v>
          </cell>
          <cell r="G1748"/>
          <cell r="H1748"/>
        </row>
        <row r="1749">
          <cell r="A1749" t="str">
            <v>V86.000.005</v>
          </cell>
          <cell r="B1749" t="str">
            <v>LABEL OF GOLDEN CROWN BUTTER OIL SUBSTITUTE 18KG</v>
          </cell>
          <cell r="C1749" t="str">
            <v>NHÃN PHỤ DẦU BƠ THAY THẾ NHÃN HIỆU GOLDEN CROWN 18KG</v>
          </cell>
          <cell r="D1749" t="str">
            <v>LABEL OF GOLDEN CROWN BUTTER OIL SUBSTITUTE 18KG</v>
          </cell>
          <cell r="E1749">
            <v>0</v>
          </cell>
          <cell r="F1749" t="str">
            <v>Bỏ chọn</v>
          </cell>
          <cell r="G1749"/>
          <cell r="H1749"/>
        </row>
        <row r="1750">
          <cell r="A1750" t="str">
            <v>V51.046.009</v>
          </cell>
          <cell r="B1750" t="str">
            <v>HORECA CHICKEN BOUILLON GRANULE 2KG</v>
          </cell>
          <cell r="C1750" t="str">
            <v>HẠT NÊM HORECA VỊ GÀ 2KG  </v>
          </cell>
          <cell r="D1750" t="str">
            <v>HORECA CHICKEN BOUILLON GRANULE 2KG</v>
          </cell>
          <cell r="E1750">
            <v>2</v>
          </cell>
          <cell r="F1750" t="str">
            <v>Bỏ chọn</v>
          </cell>
          <cell r="G1750"/>
          <cell r="H1750"/>
        </row>
        <row r="1751">
          <cell r="A1751" t="str">
            <v>V51.000.025</v>
          </cell>
          <cell r="B1751" t="str">
            <v>TWO LINE DISPLAY SHELF (42X47X12)</v>
          </cell>
          <cell r="C1751" t="str">
            <v>KỆ TRƯNG BÀY 2 TẦNG (42X47X12)</v>
          </cell>
          <cell r="D1751" t="str">
            <v>TWO LINE DISPLAY SHELF (42X47X12)</v>
          </cell>
          <cell r="E1751">
            <v>1.2</v>
          </cell>
          <cell r="F1751" t="str">
            <v>Bỏ chọn</v>
          </cell>
          <cell r="G1751"/>
          <cell r="H1751"/>
        </row>
        <row r="1752">
          <cell r="A1752" t="str">
            <v>7.C350160993201</v>
          </cell>
          <cell r="B1752" t="str">
            <v>DISHWASHING LIQUID POWER100- 0,2 KGX50 BOTTLES IN CARTON</v>
          </cell>
          <cell r="C1752" t="str">
            <v>NƯỚC RỬA CHÉN POWER100 LOẠI 0,2KG X 50 CHAI TRONG THÙNG CATTON</v>
          </cell>
          <cell r="D1752" t="str">
            <v>DISHWASHING LIQUID POWER100- 0,2 KGX50 BOTTLES IN CARTON</v>
          </cell>
          <cell r="E1752">
            <v>10</v>
          </cell>
          <cell r="F1752" t="str">
            <v>Bỏ chọn</v>
          </cell>
          <cell r="G1752"/>
          <cell r="H1752"/>
        </row>
        <row r="1753">
          <cell r="A1753" t="str">
            <v>7.C35016099320101</v>
          </cell>
          <cell r="B1753" t="str">
            <v>DISHWASHING LIQUID POWER100- 0,2 KG</v>
          </cell>
          <cell r="C1753" t="str">
            <v>NƯỚC RỬA CHÉN POWER100 LOẠI 0,2KG</v>
          </cell>
          <cell r="D1753" t="str">
            <v>DISHWASHING LIQUID POWER100- 0,2 KG</v>
          </cell>
          <cell r="E1753">
            <v>0.2</v>
          </cell>
          <cell r="F1753" t="str">
            <v>Bỏ chọn</v>
          </cell>
          <cell r="G1753"/>
          <cell r="H1753"/>
        </row>
        <row r="1754">
          <cell r="A1754" t="str">
            <v>V51.000.026</v>
          </cell>
          <cell r="B1754" t="str">
            <v>TOPBOARD WITH 6 PLASTIC BOXES</v>
          </cell>
          <cell r="C1754" t="str">
            <v>VỈ TREO 6 HỘC NHỰA</v>
          </cell>
          <cell r="D1754" t="str">
            <v>TOPBOARD WITH 6 PLASTIC BOXES</v>
          </cell>
          <cell r="E1754">
            <v>0.16</v>
          </cell>
          <cell r="F1754" t="str">
            <v>Chọn</v>
          </cell>
          <cell r="G1754"/>
          <cell r="H1754"/>
        </row>
        <row r="1755">
          <cell r="A1755" t="str">
            <v>7.5239961990561</v>
          </cell>
          <cell r="B1755" t="str">
            <v>HOA KEN FLOUR 25KG</v>
          </cell>
          <cell r="C1755" t="str">
            <v>BỘT MÌ HIỆU HOA KÈN (25KG)</v>
          </cell>
          <cell r="D1755" t="str">
            <v>HOA KEN FLOUR 25KG</v>
          </cell>
          <cell r="E1755">
            <v>25</v>
          </cell>
          <cell r="F1755" t="str">
            <v>Bỏ chọn</v>
          </cell>
          <cell r="G1755"/>
          <cell r="H1755"/>
        </row>
        <row r="1756">
          <cell r="A1756" t="str">
            <v>7.1060120206608010TD</v>
          </cell>
          <cell r="B1756" t="str">
            <v>MEIZAN WILSHORT PLIN3438 IN CARTON@20KG</v>
          </cell>
          <cell r="C1756" t="str">
            <v>NGUYÊN LIỆU THỰC PHẨM WILSHORT PLIN 3438 NHÃN HIỆU MEIZAN TRONG THÙNG CARTON 20KG</v>
          </cell>
          <cell r="D1756" t="str">
            <v>MEIZAN WILSHORT PLIN3438 IN CARTON@20KG</v>
          </cell>
          <cell r="E1756">
            <v>20</v>
          </cell>
          <cell r="F1756" t="str">
            <v>Bỏ chọn</v>
          </cell>
          <cell r="G1756"/>
          <cell r="H1756"/>
        </row>
        <row r="1757">
          <cell r="A1757" t="str">
            <v>V51.000.027</v>
          </cell>
          <cell r="B1757" t="str">
            <v>GRANULE BOUILLON DISPLAY SHELF</v>
          </cell>
          <cell r="C1757" t="str">
            <v>CÂY TRƯNG BÀY SẢN PHẨM HẠT NÊM NEPTUNE</v>
          </cell>
          <cell r="D1757" t="str">
            <v>GRANULE BOUILLON DISPLAY SHELF</v>
          </cell>
          <cell r="E1757">
            <v>1.75</v>
          </cell>
          <cell r="F1757" t="str">
            <v>Bỏ chọn</v>
          </cell>
          <cell r="G1757"/>
          <cell r="H1757"/>
        </row>
        <row r="1758">
          <cell r="A1758" t="str">
            <v>7.5239916990512</v>
          </cell>
          <cell r="B1758" t="str">
            <v>RED PEN LAOS-25</v>
          </cell>
          <cell r="C1758" t="str">
            <v>BỘT MÌ CAO CẤP "CÂY VIẾT ĐỎ" (TIẾNG LÀO) (25KG)</v>
          </cell>
          <cell r="D1758" t="str">
            <v>RED PEN LAOS-25</v>
          </cell>
          <cell r="E1758">
            <v>25</v>
          </cell>
          <cell r="F1758" t="str">
            <v>Bỏ chọn</v>
          </cell>
          <cell r="G1758"/>
          <cell r="H1758"/>
        </row>
        <row r="1759">
          <cell r="A1759" t="str">
            <v>7.5239911990512</v>
          </cell>
          <cell r="B1759" t="str">
            <v>ORANGE KEY LAOS-25</v>
          </cell>
          <cell r="C1759" t="str">
            <v>BỘT MÌ THƯỢNG HẠNG "CHÌA KHÓA CAM" (TIẾNG LÀO) (25KG)</v>
          </cell>
          <cell r="D1759" t="str">
            <v>ORANGE KEY LAOS-25</v>
          </cell>
          <cell r="E1759">
            <v>25</v>
          </cell>
          <cell r="F1759" t="str">
            <v>Bỏ chọn</v>
          </cell>
          <cell r="G1759"/>
          <cell r="H1759"/>
        </row>
        <row r="1760">
          <cell r="A1760" t="str">
            <v>7.5239915990512</v>
          </cell>
          <cell r="B1760" t="str">
            <v>RED KEY LAOS-25</v>
          </cell>
          <cell r="C1760" t="str">
            <v>BỘT MÌ THƯỢNG HẠNG "CHÌA KHÓA ĐỎ" (TIẾNG LÀO) (25KG)</v>
          </cell>
          <cell r="D1760" t="str">
            <v>RED KEY LAOS-25</v>
          </cell>
          <cell r="E1760">
            <v>25</v>
          </cell>
          <cell r="F1760" t="str">
            <v>Bỏ chọn</v>
          </cell>
          <cell r="G1760"/>
          <cell r="H1760"/>
        </row>
        <row r="1761">
          <cell r="A1761" t="str">
            <v>7.5239914990512</v>
          </cell>
          <cell r="B1761" t="str">
            <v>RED COMPASS LAOS-25</v>
          </cell>
          <cell r="C1761" t="str">
            <v>BỘT MÌ HIỆU "LA BÀN ĐỎ" (TIẾNG LÀO) (25KG)</v>
          </cell>
          <cell r="D1761" t="str">
            <v>RED COMPASS LAOS-25</v>
          </cell>
          <cell r="E1761">
            <v>25</v>
          </cell>
          <cell r="F1761" t="str">
            <v>Bỏ chọn</v>
          </cell>
          <cell r="G1761"/>
          <cell r="H1761"/>
        </row>
        <row r="1762">
          <cell r="A1762" t="str">
            <v>7.A319905996001</v>
          </cell>
          <cell r="B1762" t="str">
            <v>COMPASS CRISPY FRYING MIX 100G X 60 PAC</v>
          </cell>
          <cell r="C1762" t="str">
            <v>BỘT CHIÊN GIÒN LA BÀN 100G</v>
          </cell>
          <cell r="D1762" t="str">
            <v>COMPASS CRISPY FRYING MIX 100G X 60 PAC</v>
          </cell>
          <cell r="E1762">
            <v>6</v>
          </cell>
          <cell r="F1762" t="str">
            <v>Bỏ chọn</v>
          </cell>
          <cell r="G1762"/>
          <cell r="H1762"/>
        </row>
        <row r="1763">
          <cell r="A1763" t="str">
            <v>7.A31990599600101</v>
          </cell>
          <cell r="B1763" t="str">
            <v>COMPASS CRISPY FRYING MIX 100G</v>
          </cell>
          <cell r="C1763" t="str">
            <v>BỘT CHIÊN GIÒN LA BÀN 100G</v>
          </cell>
          <cell r="D1763" t="str">
            <v>COMPASS CRISPY FRYING MIX 100G</v>
          </cell>
          <cell r="E1763">
            <v>0.1</v>
          </cell>
          <cell r="F1763" t="str">
            <v>Bỏ chọn</v>
          </cell>
          <cell r="G1763"/>
          <cell r="H1763"/>
        </row>
        <row r="1764">
          <cell r="A1764" t="str">
            <v>7.A319905990201</v>
          </cell>
          <cell r="B1764" t="str">
            <v>COMPASS CRISPY FRYING MIX 1KG X 10 PAC</v>
          </cell>
          <cell r="C1764" t="str">
            <v>BỘT CHIÊN GIÒN LA BÀN 1KG</v>
          </cell>
          <cell r="D1764" t="str">
            <v>COMPASS CRISPY FRYING MIX 1KG X 10 PAC</v>
          </cell>
          <cell r="E1764">
            <v>10</v>
          </cell>
          <cell r="F1764" t="str">
            <v>Bỏ chọn</v>
          </cell>
          <cell r="G1764"/>
          <cell r="H1764"/>
        </row>
        <row r="1765">
          <cell r="A1765" t="str">
            <v>7.A31990599020101</v>
          </cell>
          <cell r="B1765" t="str">
            <v>COMPASS CRISPY FRYING MIX 1KG</v>
          </cell>
          <cell r="C1765" t="str">
            <v>BỘT CHIÊN GIÒN LA BÀN 1KG</v>
          </cell>
          <cell r="D1765" t="str">
            <v>COMPASS CRISPY FRYING MIX 1KG</v>
          </cell>
          <cell r="E1765">
            <v>1</v>
          </cell>
          <cell r="F1765" t="str">
            <v>Bỏ chọn</v>
          </cell>
          <cell r="G1765"/>
          <cell r="H1765"/>
        </row>
        <row r="1766">
          <cell r="A1766" t="str">
            <v>7.5239952990597</v>
          </cell>
          <cell r="B1766" t="str">
            <v>GREEN CLV 01 FLOUR 25KG</v>
          </cell>
          <cell r="C1766" t="str">
            <v>BỘT MÌ HIỆU"GREEN CLV 01" (25KG)</v>
          </cell>
          <cell r="D1766" t="str">
            <v>GREEN CLV 01 FLOUR 25KG</v>
          </cell>
          <cell r="E1766">
            <v>25</v>
          </cell>
          <cell r="F1766" t="str">
            <v>Bỏ chọn</v>
          </cell>
          <cell r="G1766"/>
          <cell r="H1766"/>
        </row>
        <row r="1767">
          <cell r="A1767" t="str">
            <v>7.B250854244101063</v>
          </cell>
          <cell r="B1767" t="str">
            <v>MUSHROOM BOUILLON GRANULE 170G X 40 PAC ON PACK 40 SPOONS</v>
          </cell>
          <cell r="C1767" t="str">
            <v>HẠT NÊM TAM BẢO VỊ NẤM 170G X 40 GÓI ĐÓNG KÈM 40 MUỖNG NHỰA BỚI CƠM/ THÙNG</v>
          </cell>
          <cell r="D1767" t="str">
            <v>MUSHROOM BOUILLON GRANULE 170G X 40 PAC ON PACK 40 SPOONS</v>
          </cell>
          <cell r="E1767">
            <v>8.52</v>
          </cell>
          <cell r="F1767" t="str">
            <v>Bỏ chọn</v>
          </cell>
          <cell r="G1767"/>
          <cell r="H1767"/>
        </row>
        <row r="1768">
          <cell r="A1768" t="str">
            <v>7.B25085424410106301</v>
          </cell>
          <cell r="B1768" t="str">
            <v>MUSHROOM BOUILLON GRANULE 170G X 40 PAC ON PACK 01 SPOON</v>
          </cell>
          <cell r="C1768" t="str">
            <v>HẠT NÊM TAM BẢO VỊ NẤM 170G X 01 GÓI ĐÓNG KÈM 01 MUỖNG NHỰA BỚI CƠM</v>
          </cell>
          <cell r="D1768" t="str">
            <v>MUSHROOM BOUILLON GRANULE 170G X 40 PAC ON PACK 01 SPOON</v>
          </cell>
          <cell r="E1768">
            <v>0.21</v>
          </cell>
          <cell r="F1768" t="str">
            <v>Bỏ chọn</v>
          </cell>
          <cell r="G1768"/>
          <cell r="H1768"/>
        </row>
        <row r="1769">
          <cell r="A1769" t="str">
            <v>7.101089570901880</v>
          </cell>
          <cell r="B1769" t="str">
            <v>SATELLITE-OL1008 + TOCOPHEROL BIB @18KG</v>
          </cell>
          <cell r="C1769" t="str">
            <v>DẦU OLEIN CỌ TINH LUYỆN – A NHÃN HIỆU SATELLITE TRONG TÚI BÓNG 18KG</v>
          </cell>
          <cell r="D1769" t="str">
            <v>SATELLITE-OL1008 + TOCOPHEROL BIB @18KG</v>
          </cell>
          <cell r="E1769">
            <v>18</v>
          </cell>
          <cell r="F1769" t="str">
            <v>Chọn</v>
          </cell>
          <cell r="G1769"/>
          <cell r="H1769"/>
        </row>
        <row r="1770">
          <cell r="A1770" t="str">
            <v>7.101089570901890</v>
          </cell>
          <cell r="B1770" t="str">
            <v>SATELLITE-OL1008 + BHT BIB @18KG</v>
          </cell>
          <cell r="C1770" t="str">
            <v>DẦU OLEIN CỌ TINH LUYỆN - B NHÃN HIỆU SATELLITE TRONG TÚI BÓNG 18KG</v>
          </cell>
          <cell r="D1770" t="str">
            <v>SATELLITE-OL1008 + BHT BIB @18KG</v>
          </cell>
          <cell r="E1770">
            <v>18</v>
          </cell>
          <cell r="F1770" t="str">
            <v>Chọn</v>
          </cell>
          <cell r="G1770"/>
          <cell r="H1770"/>
        </row>
        <row r="1771">
          <cell r="A1771" t="str">
            <v>V51.046.008</v>
          </cell>
          <cell r="B1771" t="str">
            <v>PORK BOUILLON GRANULE 850G</v>
          </cell>
          <cell r="C1771" t="str">
            <v>THỰC PHẨM BỔ SUNG HẠT NÊM 4 TRONG 1-VỊ HEO 850G</v>
          </cell>
          <cell r="D1771" t="str">
            <v>PORK BOUILLON GRANULE 850G</v>
          </cell>
          <cell r="E1771">
            <v>0</v>
          </cell>
          <cell r="F1771" t="str">
            <v>Bỏ chọn</v>
          </cell>
          <cell r="G1771"/>
          <cell r="H1771"/>
        </row>
        <row r="1772">
          <cell r="A1772" t="str">
            <v>V51.046.004</v>
          </cell>
          <cell r="B1772" t="str">
            <v>PORK BOUILLON GRANULE 850G</v>
          </cell>
          <cell r="C1772" t="str">
            <v>THỰC PHẨM BỔ SUNG HẠT NÊM 4 TRONG 1 – VỊ HEO 850G</v>
          </cell>
          <cell r="D1772" t="str">
            <v>PORK BOUILLON GRANULE 850G</v>
          </cell>
          <cell r="E1772">
            <v>0</v>
          </cell>
          <cell r="F1772" t="str">
            <v>Bỏ chọn</v>
          </cell>
          <cell r="G1772"/>
          <cell r="H1772"/>
        </row>
        <row r="1773">
          <cell r="A1773" t="str">
            <v>7.131078031700E10</v>
          </cell>
          <cell r="B1773" t="str">
            <v>CO-MEIZAN GOLD IN BOTTLE @1L</v>
          </cell>
          <cell r="C1773" t="str">
            <v>DẦU ĂN CAO CẤP NHÃN HIỆU MEIZAN GOLD 1L</v>
          </cell>
          <cell r="D1773" t="str">
            <v>CO-MEIZAN GOLD IN BOTTLE @1L</v>
          </cell>
          <cell r="E1773">
            <v>0.91</v>
          </cell>
          <cell r="F1773" t="str">
            <v>Chọn</v>
          </cell>
          <cell r="G1773"/>
          <cell r="H1773"/>
        </row>
        <row r="1774">
          <cell r="A1774" t="str">
            <v>6.1212A71</v>
          </cell>
          <cell r="B1774" t="str">
            <v>DOUBLE FRACTINATION RBD PALMOLEIN IV56</v>
          </cell>
          <cell r="C1774" t="str">
            <v>DẦU OLEIN CỌ TINH LUYỆN TRONG XE BỒN</v>
          </cell>
          <cell r="D1774" t="str">
            <v>DOUBLE FRACTINATION RBD PALMOLEIN IV56</v>
          </cell>
          <cell r="E1774">
            <v>1</v>
          </cell>
          <cell r="F1774" t="str">
            <v>Bỏ chọn</v>
          </cell>
          <cell r="G1774"/>
          <cell r="H1774"/>
        </row>
        <row r="1775">
          <cell r="A1775" t="str">
            <v>7.5239957300698</v>
          </cell>
          <cell r="B1775" t="str">
            <v>VI VI - BROWN 40KG</v>
          </cell>
          <cell r="C1775" t="str">
            <v>BỘT MÌ VI VI (40KG)</v>
          </cell>
          <cell r="D1775" t="str">
            <v>VI VI - BROWN 40KG</v>
          </cell>
          <cell r="E1775">
            <v>40</v>
          </cell>
          <cell r="F1775" t="str">
            <v>Bỏ chọn</v>
          </cell>
          <cell r="G1775"/>
          <cell r="H1775"/>
        </row>
        <row r="1776">
          <cell r="A1776" t="str">
            <v>V39.000.029</v>
          </cell>
          <cell r="B1776" t="str">
            <v>NEPTUNE PORCELAIN PLATES AND PLATES SET</v>
          </cell>
          <cell r="C1776" t="str">
            <v>BỘ 8 SẢN PHẨM IN LOGO NEPTUNE NHIỀU MÀU</v>
          </cell>
          <cell r="D1776" t="str">
            <v>NEPTUNE PORCELAIN PLATES AND PLATES SET</v>
          </cell>
          <cell r="E1776">
            <v>0</v>
          </cell>
          <cell r="F1776" t="str">
            <v>Bỏ chọn</v>
          </cell>
          <cell r="G1776"/>
          <cell r="H1776"/>
        </row>
        <row r="1777">
          <cell r="A1777" t="str">
            <v>7.5239917990699</v>
          </cell>
          <cell r="B1777" t="str">
            <v>SATELLITE 40KG - KINH DO MDLZ</v>
          </cell>
          <cell r="C1777" t="str">
            <v>BỘT MÌ HIỆU VỆ TINH 40KG (BỘT MÌ HARD)</v>
          </cell>
          <cell r="D1777" t="str">
            <v>SATELLITE 40KG - KINH DO MDLZ</v>
          </cell>
          <cell r="E1777">
            <v>40</v>
          </cell>
          <cell r="F1777" t="str">
            <v>Bỏ chọn</v>
          </cell>
          <cell r="G1777"/>
          <cell r="H1777"/>
        </row>
        <row r="1778">
          <cell r="A1778" t="str">
            <v>V58.000.002</v>
          </cell>
          <cell r="B1778" t="str">
            <v>OPP TAPE 48MM X 80M, WITH LOGO KIDDY</v>
          </cell>
          <cell r="C1778" t="str">
            <v>BĂNG KEO, LOGO KIDDY, 48MM X 80M</v>
          </cell>
          <cell r="D1778" t="str">
            <v>OPP TAPE 48MM X 80M, WITH LOGO KIDDY</v>
          </cell>
          <cell r="E1778">
            <v>0</v>
          </cell>
          <cell r="F1778" t="str">
            <v>Bỏ chọn</v>
          </cell>
          <cell r="G1778"/>
          <cell r="H1778"/>
        </row>
        <row r="1779">
          <cell r="A1779" t="str">
            <v>V58.000.003</v>
          </cell>
          <cell r="B1779" t="str">
            <v>OPP TAPE 48MM X 80M, WITH LOGO OLIVOILA</v>
          </cell>
          <cell r="C1779" t="str">
            <v>BĂNG KEO, LOGO OLIVOILÀ, 48MM X 80M</v>
          </cell>
          <cell r="D1779" t="str">
            <v>OPP TAPE 48MM X 80M, WITH LOGO OLIVOILA</v>
          </cell>
          <cell r="E1779">
            <v>0</v>
          </cell>
          <cell r="F1779" t="str">
            <v>Bỏ chọn</v>
          </cell>
          <cell r="G1779"/>
          <cell r="H1779"/>
        </row>
        <row r="1780">
          <cell r="A1780" t="str">
            <v>7.131078011700E10</v>
          </cell>
          <cell r="B1780" t="str">
            <v>CO-MEIZAN GOLD IN BOTTLE @0.25L</v>
          </cell>
          <cell r="C1780" t="str">
            <v>DẦU ĂN CAO CẤP NHÃN HIỆU MEIZAN GOLD 250 ML</v>
          </cell>
          <cell r="D1780" t="str">
            <v>CO-MEIZAN GOLD IN BOTTLE @0.25L</v>
          </cell>
          <cell r="E1780">
            <v>0.23</v>
          </cell>
          <cell r="F1780" t="str">
            <v>Chọn</v>
          </cell>
          <cell r="G1780"/>
          <cell r="H1780"/>
        </row>
        <row r="1781">
          <cell r="A1781" t="str">
            <v>V39.013.403</v>
          </cell>
          <cell r="B1781" t="str">
            <v>MEIZAN GOLD T-SHIRT</v>
          </cell>
          <cell r="C1781" t="str">
            <v>ÁO THUN MEIZAN GOLD</v>
          </cell>
          <cell r="D1781" t="str">
            <v>MEIZAN GOLD T-SHIRT</v>
          </cell>
          <cell r="E1781">
            <v>0</v>
          </cell>
          <cell r="F1781" t="str">
            <v>Bỏ chọn</v>
          </cell>
          <cell r="G1781"/>
          <cell r="H1781"/>
        </row>
        <row r="1782">
          <cell r="A1782" t="str">
            <v>6.1212A73</v>
          </cell>
          <cell r="B1782" t="str">
            <v>DOUBLE FRACTIONATION OLEIN IV58</v>
          </cell>
          <cell r="C1782" t="str">
            <v>DẦU OLEIN CỌ TINH LUYỆN</v>
          </cell>
          <cell r="D1782" t="str">
            <v>DOUBLE FRACTIONATION OLEIN IV58</v>
          </cell>
          <cell r="E1782">
            <v>1</v>
          </cell>
          <cell r="F1782" t="str">
            <v>Chọn</v>
          </cell>
          <cell r="G1782"/>
          <cell r="H1782"/>
        </row>
        <row r="1783">
          <cell r="A1783" t="str">
            <v>7.A33020899610118</v>
          </cell>
          <cell r="B1783" t="str">
            <v>MEIZAN PREMIUM MACARONI - SPIRAL 300G X 6 PACK</v>
          </cell>
          <cell r="C1783" t="str">
            <v>NUI CAO CẤP MEIZAN - HÌNH XOẮN 300G</v>
          </cell>
          <cell r="D1783" t="str">
            <v>MEIZAN PREMIUM MACARONI - SPIRAL 300G X 6 PACK</v>
          </cell>
          <cell r="E1783">
            <v>1.8</v>
          </cell>
          <cell r="F1783" t="str">
            <v>Bỏ chọn</v>
          </cell>
          <cell r="G1783"/>
          <cell r="H1783"/>
        </row>
        <row r="1784">
          <cell r="A1784" t="str">
            <v>7.A3302089961011801</v>
          </cell>
          <cell r="B1784" t="str">
            <v>MEIZAN PREMIUM MACARONI - SPIRAL 300G</v>
          </cell>
          <cell r="C1784" t="str">
            <v>NUI CAO CẤP MEIZAN - HÌNH XOẮN 300G</v>
          </cell>
          <cell r="D1784" t="str">
            <v>MEIZAN PREMIUM MACARONI - SPIRAL 300G</v>
          </cell>
          <cell r="E1784">
            <v>0.3</v>
          </cell>
          <cell r="F1784" t="str">
            <v>Bỏ chọn</v>
          </cell>
          <cell r="G1784"/>
          <cell r="H1784"/>
        </row>
        <row r="1785">
          <cell r="A1785" t="str">
            <v>7.B2508549942920507</v>
          </cell>
          <cell r="B1785" t="str">
            <v>PORK BOUILLON GRANULE 380G X 20 PACK ON PACK 10 PAC NEPTUNE GOLD 0.25L</v>
          </cell>
          <cell r="C1785" t="str">
            <v>THỰC PHẨM BỔ SUNG HẠT NÊM 4 TRONG 1 - VỊ HEO 380G X 20 GÓI ĐÓNG KÈM 10 CHAI DẦU ĂN THƯỢNG HẠNG NHÃN HIỆU NEPTUNE GOLD 0.25L</v>
          </cell>
          <cell r="D1785" t="str">
            <v>PORK BOUILLON GRANULE 380G X 20 PACK ON PACK 10 PAC NEPTUNE GOLD 0.25L</v>
          </cell>
          <cell r="E1785">
            <v>10.19</v>
          </cell>
          <cell r="F1785" t="str">
            <v>Bỏ chọn</v>
          </cell>
          <cell r="G1785"/>
          <cell r="H1785"/>
        </row>
        <row r="1786">
          <cell r="A1786" t="str">
            <v>7.131078121700E10</v>
          </cell>
          <cell r="B1786" t="str">
            <v>CO-MEIZAN GOLD IN BOTTLE @0.4L</v>
          </cell>
          <cell r="C1786" t="str">
            <v>DẦU ĂN CAO CẤP NHÃN HIỆU MEIZAN GOLD 400 ML</v>
          </cell>
          <cell r="D1786" t="str">
            <v>CO-MEIZAN GOLD IN BOTTLE @0.4L</v>
          </cell>
          <cell r="E1786">
            <v>0.36399999999999999</v>
          </cell>
          <cell r="F1786" t="str">
            <v>Chọn</v>
          </cell>
          <cell r="G1786"/>
          <cell r="H1786"/>
        </row>
        <row r="1787">
          <cell r="A1787" t="str">
            <v>7.B250854994292050701</v>
          </cell>
          <cell r="B1787" t="str">
            <v>PORK BOUILLON GRANULE 380G X 02 PAC ON PACK 01 NEPTUNE GOLD 0.25L</v>
          </cell>
          <cell r="C1787" t="str">
            <v>THỰC PHẨM BỔ SUNG HẠT NÊM 4 TRONG 1 - VỊ HEO 380G X 02 GÓI ĐÓNG KÈM 01 CHAI DẦU ĂN THƯỢNG HẠNG NHÃN HIỆU NEPTUNE GOLD 0.25L</v>
          </cell>
          <cell r="D1787" t="str">
            <v>PORK BOUILLON GRANULE 380G X 02 PAC ON PACK 01 NEPTUNE GOLD 0.25L</v>
          </cell>
          <cell r="E1787">
            <v>1.0580000000000001</v>
          </cell>
          <cell r="F1787" t="str">
            <v>Bỏ chọn</v>
          </cell>
          <cell r="G1787"/>
          <cell r="H1787"/>
        </row>
        <row r="1788">
          <cell r="A1788" t="str">
            <v>V51.043.020</v>
          </cell>
          <cell r="B1788" t="str">
            <v>MEDOW FULLCREAM MILK 200ML ( SET 3 BOX)</v>
          </cell>
          <cell r="C1788" t="str">
            <v>SỮA MEDOW FULLCREAM 200ML (LỐC 3 HỘP)</v>
          </cell>
          <cell r="D1788" t="str">
            <v>MEDOW FULLCREAM MILK 200ML ( SET 3 BOX)</v>
          </cell>
          <cell r="E1788">
            <v>0</v>
          </cell>
          <cell r="F1788" t="str">
            <v>Bỏ chọn</v>
          </cell>
          <cell r="G1788"/>
          <cell r="H1788"/>
        </row>
        <row r="1789">
          <cell r="A1789" t="str">
            <v>7.131036D11705E40</v>
          </cell>
          <cell r="B1789" t="str">
            <v>REFINED VEGETABLE OIL ORCHID 0.88L*12BTL</v>
          </cell>
          <cell r="C1789" t="str">
            <v>DẦU THỰC VẬT TINH LUYỆN NHÃN HIỆU ORCHID 0.88L</v>
          </cell>
          <cell r="D1789" t="str">
            <v>REFINED VEGETABLE OIL ORCHID 0.88L*12BTL</v>
          </cell>
          <cell r="E1789">
            <v>9.61</v>
          </cell>
          <cell r="F1789" t="str">
            <v>Chọn</v>
          </cell>
          <cell r="G1789"/>
          <cell r="H1789" t="str">
            <v>7.131036D11701E40</v>
          </cell>
        </row>
        <row r="1790">
          <cell r="A1790" t="str">
            <v>7.131036161704E40</v>
          </cell>
          <cell r="B1790" t="str">
            <v>REFINED VEGETABLE OIL ORCHID 1.8L*6BTL</v>
          </cell>
          <cell r="C1790" t="str">
            <v>DẦU THỰC VẬT TINH LUYỆN NHÃN HIỆU ORCHID 1.8L</v>
          </cell>
          <cell r="D1790" t="str">
            <v>REFINED VEGETABLE OIL ORCHID 1.8L*6BTL</v>
          </cell>
          <cell r="E1790">
            <v>9.8279999999999994</v>
          </cell>
          <cell r="F1790" t="str">
            <v>Bỏ chọn</v>
          </cell>
          <cell r="G1790"/>
          <cell r="H1790"/>
        </row>
        <row r="1791">
          <cell r="A1791" t="str">
            <v>7.131036F01703E40</v>
          </cell>
          <cell r="B1791" t="str">
            <v>REFINED VEGETABLE OIL ORCHID 4.5L*4BTL</v>
          </cell>
          <cell r="C1791" t="str">
            <v>DẦU THỰC VẬT TINH LUYỆN NHÃN HIỆU ORCHID 4.5L</v>
          </cell>
          <cell r="D1791" t="str">
            <v>REFINED VEGETABLE OIL ORCHID 4.5L*4BTL</v>
          </cell>
          <cell r="E1791">
            <v>16.38</v>
          </cell>
          <cell r="F1791" t="str">
            <v>Chọn</v>
          </cell>
          <cell r="G1791"/>
          <cell r="H1791" t="str">
            <v>7.131036F01701E40</v>
          </cell>
        </row>
        <row r="1792">
          <cell r="A1792" t="str">
            <v>7.131036F01701E40</v>
          </cell>
          <cell r="B1792" t="str">
            <v>REFINED VEGETABLE OIL ORCHID 4.5L</v>
          </cell>
          <cell r="C1792" t="str">
            <v>DẦU THỰC VẬT TINH LUYỆN NHÃN HIỆU ORCHID 4.5L</v>
          </cell>
          <cell r="D1792" t="str">
            <v>REFINED VEGETABLE OIL ORCHID 4.5L</v>
          </cell>
          <cell r="E1792">
            <v>4.0949999999999998</v>
          </cell>
          <cell r="F1792" t="str">
            <v>Chọn</v>
          </cell>
          <cell r="G1792"/>
          <cell r="H1792"/>
        </row>
        <row r="1793">
          <cell r="A1793" t="str">
            <v>7.131036161701E40</v>
          </cell>
          <cell r="B1793" t="str">
            <v>REFINED VEGETABLE OIL ORCHID 1.8L</v>
          </cell>
          <cell r="C1793" t="str">
            <v>DẦU THỰC VẬT TINH LUYỆN NHÃN HIỆU ORCHID 1.8L</v>
          </cell>
          <cell r="D1793" t="str">
            <v>REFINED VEGETABLE OIL ORCHID 1.8L</v>
          </cell>
          <cell r="E1793">
            <v>1.6379999999999999</v>
          </cell>
          <cell r="F1793" t="str">
            <v>Chọn</v>
          </cell>
          <cell r="G1793"/>
          <cell r="H1793"/>
        </row>
        <row r="1794">
          <cell r="A1794" t="str">
            <v>7.C350155996201</v>
          </cell>
          <cell r="B1794" t="str">
            <v>DISHWASHING LIQUID POWER100, 750ML X 12 BOTTLES IN CARTON</v>
          </cell>
          <cell r="C1794" t="str">
            <v>NƯỚC RỬA CHÉN POWER100, LOẠI 750ML X 12 CHAI NHỰA TRONG THÙNG CARTON</v>
          </cell>
          <cell r="D1794" t="str">
            <v>DISHWASHING LIQUID POWER100, 750ML X 12 BOTTLES IN CARTON</v>
          </cell>
          <cell r="E1794">
            <v>9.36</v>
          </cell>
          <cell r="F1794" t="str">
            <v>Bỏ chọn</v>
          </cell>
          <cell r="G1794"/>
          <cell r="H1794"/>
        </row>
        <row r="1795">
          <cell r="A1795" t="str">
            <v>7.C35015599620101</v>
          </cell>
          <cell r="B1795" t="str">
            <v>DISHWASHING LIQUID POWER100, 750ML</v>
          </cell>
          <cell r="C1795" t="str">
            <v>NƯỚC RỬA CHÉN POWER100, LOẠI 750ML</v>
          </cell>
          <cell r="D1795" t="str">
            <v>DISHWASHING LIQUID POWER100, 750ML</v>
          </cell>
          <cell r="E1795">
            <v>0.78</v>
          </cell>
          <cell r="F1795" t="str">
            <v>Bỏ chọn</v>
          </cell>
          <cell r="G1795"/>
          <cell r="H1795"/>
        </row>
        <row r="1796">
          <cell r="A1796" t="str">
            <v>V51.000.028</v>
          </cell>
          <cell r="B1796" t="str">
            <v>2,7M NDFC UMBRELL</v>
          </cell>
          <cell r="C1796" t="str">
            <v>DÙ NDFC 2,7M</v>
          </cell>
          <cell r="D1796" t="str">
            <v>2,7M NDFC UMBRELL</v>
          </cell>
          <cell r="E1796">
            <v>0</v>
          </cell>
          <cell r="F1796" t="str">
            <v>Bỏ chọn</v>
          </cell>
          <cell r="G1796"/>
          <cell r="H1796"/>
        </row>
        <row r="1797">
          <cell r="A1797" t="str">
            <v>7.101159381704030</v>
          </cell>
          <cell r="B1797" t="str">
            <v>CO-ORCHID 1.8LX6BTL</v>
          </cell>
          <cell r="C1797" t="str">
            <v>DẦU THỰC VẬT TINH LUYỆN NHÃN HIỆU ORCHID 1.8L</v>
          </cell>
          <cell r="D1797" t="str">
            <v>CO-ORCHID 1.8LX6BTL</v>
          </cell>
          <cell r="E1797">
            <v>9.83</v>
          </cell>
          <cell r="F1797" t="str">
            <v>Bỏ chọn</v>
          </cell>
          <cell r="G1797"/>
          <cell r="H1797"/>
        </row>
        <row r="1798">
          <cell r="A1798" t="str">
            <v>7.131060D11705E50</v>
          </cell>
          <cell r="B1798" t="str">
            <v>CO-ORCHID S 0.88L X 12BTL</v>
          </cell>
          <cell r="C1798" t="str">
            <v>DẦU THỰC VẬT TINH LUYỆN NHÃN HIỆU ORCHID 880ML</v>
          </cell>
          <cell r="D1798" t="str">
            <v>CO-ORCHID S 0.88L X 12BTL</v>
          </cell>
          <cell r="E1798">
            <v>9.61</v>
          </cell>
          <cell r="F1798" t="str">
            <v>Bỏ chọn</v>
          </cell>
          <cell r="G1798"/>
          <cell r="H1798"/>
        </row>
        <row r="1799">
          <cell r="A1799" t="str">
            <v>7.131060D11700E50</v>
          </cell>
          <cell r="B1799" t="str">
            <v>CO-ORCHID S BTL @ 0.88L</v>
          </cell>
          <cell r="C1799" t="str">
            <v>DẦU THỰC VẬT TINH LUYỆN NHÃN HIỆU ORCHID 880ML</v>
          </cell>
          <cell r="D1799" t="str">
            <v>CO-ORCHID S BTL @ 0.88L</v>
          </cell>
          <cell r="E1799">
            <v>0.8</v>
          </cell>
          <cell r="F1799" t="str">
            <v>Bỏ chọn</v>
          </cell>
          <cell r="G1799"/>
          <cell r="H1799"/>
        </row>
        <row r="1800">
          <cell r="A1800" t="str">
            <v>7.131060381704E50</v>
          </cell>
          <cell r="B1800" t="str">
            <v>CO-ORCHID S 1.8L X 6BTL</v>
          </cell>
          <cell r="C1800" t="str">
            <v>DẦU THỰC VẬT TINH LUYỆN NHÃN HIỆU ORCHID 1.8L</v>
          </cell>
          <cell r="D1800" t="str">
            <v>CO-ORCHID S 1.8L X 6BTL</v>
          </cell>
          <cell r="E1800">
            <v>9.83</v>
          </cell>
          <cell r="F1800" t="str">
            <v>Bỏ chọn</v>
          </cell>
          <cell r="G1800"/>
          <cell r="H1800"/>
        </row>
        <row r="1801">
          <cell r="A1801" t="str">
            <v>7.131060381700E50</v>
          </cell>
          <cell r="B1801" t="str">
            <v>CO-ORCHID S BTL @1.8L</v>
          </cell>
          <cell r="C1801" t="str">
            <v>DẦU THỰC VẬT TINH LUYỆN NHÃN HIỆU ORCHID 1.8L</v>
          </cell>
          <cell r="D1801" t="str">
            <v>CO-ORCHID S BTL @1.8L</v>
          </cell>
          <cell r="E1801">
            <v>1.64</v>
          </cell>
          <cell r="F1801" t="str">
            <v>Bỏ chọn</v>
          </cell>
          <cell r="G1801"/>
          <cell r="H1801"/>
        </row>
        <row r="1802">
          <cell r="A1802" t="str">
            <v>7.131060F01703E50</v>
          </cell>
          <cell r="B1802" t="str">
            <v>CO-ORCHID S 4.5L X 4BTL</v>
          </cell>
          <cell r="C1802" t="str">
            <v>DẦU THỰC VẬT TINH LUYỆN NHÃN HIỆU ORCHID 4.5L</v>
          </cell>
          <cell r="D1802" t="str">
            <v>CO-ORCHID S 4.5L X 4BTL</v>
          </cell>
          <cell r="E1802">
            <v>16.38</v>
          </cell>
          <cell r="F1802" t="str">
            <v>Bỏ chọn</v>
          </cell>
          <cell r="G1802"/>
          <cell r="H1802"/>
        </row>
        <row r="1803">
          <cell r="A1803" t="str">
            <v>7.131060F01700E50</v>
          </cell>
          <cell r="B1803" t="str">
            <v>CO-ORCHID S BTL @ 4.5L</v>
          </cell>
          <cell r="C1803" t="str">
            <v>DẦU THỰC VẬT TINH LUYỆN NHÃN HIỆU ORCHID 4.5L</v>
          </cell>
          <cell r="D1803" t="str">
            <v>CO-ORCHID S BTL @ 4.5L</v>
          </cell>
          <cell r="E1803">
            <v>4.0999999999999996</v>
          </cell>
          <cell r="F1803" t="str">
            <v>Bỏ chọn</v>
          </cell>
          <cell r="G1803"/>
          <cell r="H1803"/>
        </row>
        <row r="1804">
          <cell r="A1804" t="str">
            <v>7.1070120201608010</v>
          </cell>
          <cell r="B1804" t="str">
            <v>MEIZAN CONFECTIONARY MARGARINE PBAG@20KG</v>
          </cell>
          <cell r="C1804" t="str">
            <v>BƠ THỰC VẬT ĐA DỤNG NHÃN HIỆU MEIZAN TRONG THÙNG CARTON 20KG</v>
          </cell>
          <cell r="D1804" t="str">
            <v>MEIZAN CONFECTIONARY MARGARINE PBAG@20KG</v>
          </cell>
          <cell r="E1804">
            <v>20</v>
          </cell>
          <cell r="F1804" t="str">
            <v>Chọn</v>
          </cell>
          <cell r="G1804"/>
          <cell r="H1804"/>
        </row>
        <row r="1805">
          <cell r="A1805" t="str">
            <v>V39.000.030</v>
          </cell>
          <cell r="B1805" t="str">
            <v>BOWL NEPTUNE PORCELAIN (6PCS/SET)</v>
          </cell>
          <cell r="C1805" t="str">
            <v>BỘ 6 CHÉN SỨ NEPTUNE</v>
          </cell>
          <cell r="D1805" t="str">
            <v>BOWL NEPTUNE PORCELAIN (6PCS/SET)</v>
          </cell>
          <cell r="E1805">
            <v>0</v>
          </cell>
          <cell r="F1805" t="str">
            <v>Bỏ chọn</v>
          </cell>
          <cell r="G1805"/>
          <cell r="H1805"/>
        </row>
        <row r="1806">
          <cell r="A1806" t="str">
            <v>7.A320108992501</v>
          </cell>
          <cell r="B1806" t="str">
            <v>MEIZAN PASTA ALL'UOVO 2KG</v>
          </cell>
          <cell r="C1806" t="str">
            <v>MÌ Ý SỢI DẸT MEIZAN 2KG</v>
          </cell>
          <cell r="D1806" t="str">
            <v>MEIZAN PASTA ALL'UOVO 2KG</v>
          </cell>
          <cell r="E1806">
            <v>2</v>
          </cell>
          <cell r="F1806" t="str">
            <v>Bỏ chọn</v>
          </cell>
          <cell r="G1806"/>
          <cell r="H1806"/>
        </row>
        <row r="1807">
          <cell r="A1807" t="str">
            <v>7.A31990899020121</v>
          </cell>
          <cell r="B1807" t="str">
            <v>MEIZAN CORN STARCH 1KG X 10 PACK</v>
          </cell>
          <cell r="C1807" t="str">
            <v>BỘT BẮP MEIZAN 1KG</v>
          </cell>
          <cell r="D1807" t="str">
            <v>MEIZAN CORN STARCH 1KG X 10 PACK</v>
          </cell>
          <cell r="E1807">
            <v>10</v>
          </cell>
          <cell r="F1807" t="str">
            <v>Bỏ chọn</v>
          </cell>
          <cell r="G1807"/>
          <cell r="H1807"/>
        </row>
        <row r="1808">
          <cell r="A1808" t="str">
            <v>7.A3199089902012101</v>
          </cell>
          <cell r="B1808" t="str">
            <v xml:space="preserve">MEIZAN CORN STARCH 1KG </v>
          </cell>
          <cell r="C1808" t="str">
            <v>BỘT BẮP MEIZAN 1KG</v>
          </cell>
          <cell r="D1808" t="str">
            <v xml:space="preserve">MEIZAN CORN STARCH 1KG </v>
          </cell>
          <cell r="E1808">
            <v>1</v>
          </cell>
          <cell r="F1808" t="str">
            <v>Bỏ chọn</v>
          </cell>
          <cell r="G1808"/>
          <cell r="H1808"/>
        </row>
        <row r="1809">
          <cell r="A1809" t="str">
            <v>7.A31990899080121</v>
          </cell>
          <cell r="B1809" t="str">
            <v>MEIZAN CORN STARCH 150G X 22 PACK</v>
          </cell>
          <cell r="C1809" t="str">
            <v>BỘT BẮP MEIZAN 150G</v>
          </cell>
          <cell r="D1809" t="str">
            <v>MEIZAN CORN STARCH 150G X 22 PACK</v>
          </cell>
          <cell r="E1809">
            <v>3.3</v>
          </cell>
          <cell r="F1809" t="str">
            <v>Bỏ chọn</v>
          </cell>
          <cell r="G1809"/>
          <cell r="H1809"/>
        </row>
        <row r="1810">
          <cell r="A1810" t="str">
            <v>7.A3199089908012101</v>
          </cell>
          <cell r="B1810" t="str">
            <v>MEIZAN CORN STARCH 150G</v>
          </cell>
          <cell r="C1810" t="str">
            <v>BỘT BẮP MEIZAN 150G</v>
          </cell>
          <cell r="D1810" t="str">
            <v>MEIZAN CORN STARCH 150G</v>
          </cell>
          <cell r="E1810">
            <v>0.15</v>
          </cell>
          <cell r="F1810" t="str">
            <v>Bỏ chọn</v>
          </cell>
          <cell r="G1810"/>
          <cell r="H1810"/>
        </row>
        <row r="1811">
          <cell r="A1811" t="str">
            <v>7.A319905996201</v>
          </cell>
          <cell r="B1811" t="str">
            <v>COMPASS CRISPY FRYING MIX 100G X 28 PACK</v>
          </cell>
          <cell r="C1811" t="str">
            <v>BỘT CHIÊN GIÒN LA BÀN 100G</v>
          </cell>
          <cell r="D1811" t="str">
            <v>COMPASS CRISPY FRYING MIX 100G X 28 PACK</v>
          </cell>
          <cell r="E1811">
            <v>2.8</v>
          </cell>
          <cell r="F1811" t="str">
            <v>Bỏ chọn</v>
          </cell>
          <cell r="G1811"/>
          <cell r="H1811"/>
        </row>
        <row r="1812">
          <cell r="A1812" t="str">
            <v>7.C350155995472</v>
          </cell>
          <cell r="B1812" t="str">
            <v>DISHWASHING LIQUID POWER100, 1,5 KG X 8 JRG IN CARTON, EXPORT</v>
          </cell>
          <cell r="C1812" t="str">
            <v>NƯỚC RỬA CHÉN POWER100, LOẠI 1,5 KG X 8 CAN TRONG THÙNG CARTON, XUẤT KHẨU</v>
          </cell>
          <cell r="D1812" t="str">
            <v>DISHWASHING LIQUID POWER100, 1,5 KG X 8 JRG IN CARTON, EXPORT</v>
          </cell>
          <cell r="E1812">
            <v>12</v>
          </cell>
          <cell r="F1812" t="str">
            <v>Bỏ chọn</v>
          </cell>
          <cell r="G1812"/>
          <cell r="H1812"/>
        </row>
        <row r="1813">
          <cell r="A1813" t="str">
            <v>7.C35015599547201</v>
          </cell>
          <cell r="B1813" t="str">
            <v>DISHWASHING LIQUID POWER100, 1,5 KG , EXPORT</v>
          </cell>
          <cell r="C1813" t="str">
            <v>NƯỚC RỬA CHÉN POWER100, LOẠI 1,5 KG, XUẤT KHẨU</v>
          </cell>
          <cell r="D1813" t="str">
            <v>DISHWASHING LIQUID POWER100, 1,5 KG , EXPORT</v>
          </cell>
          <cell r="E1813">
            <v>1.5</v>
          </cell>
          <cell r="F1813" t="str">
            <v>Bỏ chọn</v>
          </cell>
          <cell r="G1813"/>
          <cell r="H1813"/>
        </row>
        <row r="1814">
          <cell r="A1814" t="str">
            <v>7.C350155994972</v>
          </cell>
          <cell r="B1814" t="str">
            <v xml:space="preserve">DISHWASHING LIQUID POWER100, 3,8 KG X 4 JRG IN CARTON, EXPORT </v>
          </cell>
          <cell r="C1814" t="str">
            <v>NƯỚC RỬA CHÉN POWER100, LOẠI 3,8 KG X 4 CAN TRONG THÙNG CARTON, XUẤT KHẨU</v>
          </cell>
          <cell r="D1814" t="str">
            <v xml:space="preserve">DISHWASHING LIQUID POWER100, 3,8 KG X 4 JRG IN CARTON, EXPORT </v>
          </cell>
          <cell r="E1814">
            <v>15.2</v>
          </cell>
          <cell r="F1814" t="str">
            <v>Bỏ chọn</v>
          </cell>
          <cell r="G1814"/>
          <cell r="H1814"/>
        </row>
        <row r="1815">
          <cell r="A1815" t="str">
            <v>7.C35015599497201</v>
          </cell>
          <cell r="B1815" t="str">
            <v xml:space="preserve">DISHWASHING LIQUID POWER100, 3,8 KG, EXPORT </v>
          </cell>
          <cell r="C1815" t="str">
            <v>NƯỚC RỬA CHÉN POWER100, LOẠI 3,8 KG, XUẤT KHẨU</v>
          </cell>
          <cell r="D1815" t="str">
            <v xml:space="preserve">DISHWASHING LIQUID POWER100, 3,8 KG, EXPORT </v>
          </cell>
          <cell r="E1815">
            <v>3.8</v>
          </cell>
          <cell r="F1815" t="str">
            <v>Bỏ chọn</v>
          </cell>
          <cell r="G1815"/>
          <cell r="H1815"/>
        </row>
        <row r="1816">
          <cell r="A1816" t="str">
            <v>7.13103606170024</v>
          </cell>
          <cell r="B1816" t="str">
            <v>CO-ORCHID BTL @ 5L</v>
          </cell>
          <cell r="C1816" t="str">
            <v>DẦU THỰC VẬT TINH LUYỆN NHÃN HIỆU ORCHID 5L</v>
          </cell>
          <cell r="D1816" t="str">
            <v>CO-ORCHID BTL @ 5L</v>
          </cell>
          <cell r="E1816">
            <v>4.5</v>
          </cell>
          <cell r="F1816" t="str">
            <v>Chọn</v>
          </cell>
          <cell r="G1816"/>
          <cell r="H1816"/>
        </row>
        <row r="1817">
          <cell r="A1817" t="str">
            <v>V51.048.012</v>
          </cell>
          <cell r="B1817" t="str">
            <v>HORECA SOY SAUCE 1.96L</v>
          </cell>
          <cell r="C1817" t="str">
            <v>NƯỚC CHẤM HORECA 1.96L</v>
          </cell>
          <cell r="D1817" t="str">
            <v>HORECA SOY SAUCE 1.96L</v>
          </cell>
          <cell r="E1817">
            <v>0</v>
          </cell>
          <cell r="F1817" t="str">
            <v>Bỏ chọn</v>
          </cell>
          <cell r="G1817"/>
          <cell r="H1817"/>
        </row>
        <row r="1818">
          <cell r="A1818" t="str">
            <v>7.C35015599500199</v>
          </cell>
          <cell r="B1818" t="str">
            <v>DISHWASHING LIQUID POWER100, 9,5 KG X 2 JRG IN CARTON</v>
          </cell>
          <cell r="C1818" t="str">
            <v>NƯỚC RỬA CHÉN POWER100, LOẠI 9,5KG X 2 CAN TRONG THÙNG CARTON</v>
          </cell>
          <cell r="D1818" t="str">
            <v>DISHWASHING LIQUID POWER100, 9,5 KG X 2 JRG IN CARTON</v>
          </cell>
          <cell r="E1818">
            <v>19</v>
          </cell>
          <cell r="F1818" t="str">
            <v>Bỏ chọn</v>
          </cell>
          <cell r="G1818"/>
          <cell r="H1818"/>
        </row>
        <row r="1819">
          <cell r="A1819" t="str">
            <v>V39.000.031</v>
          </cell>
          <cell r="B1819" t="str">
            <v>SPOON PLASTIC SPICE</v>
          </cell>
          <cell r="C1819" t="str">
            <v>VỈ MUỖNG NHỰA GIA VỊ 4 CÁI</v>
          </cell>
          <cell r="D1819" t="str">
            <v>SPOON PLASTIC SPICE</v>
          </cell>
          <cell r="E1819">
            <v>0</v>
          </cell>
          <cell r="F1819" t="str">
            <v>Bỏ chọn</v>
          </cell>
          <cell r="G1819"/>
          <cell r="H1819"/>
        </row>
        <row r="1820">
          <cell r="A1820" t="str">
            <v>7.1070120201508010</v>
          </cell>
          <cell r="B1820" t="str">
            <v>MEIZAN SUPERIOR MARGARINE(RED) PBG@20KG</v>
          </cell>
          <cell r="C1820" t="str">
            <v>BƠ THỰC VẬT CAO CẤP NHÃN HIỆU MEIZAN 20KG</v>
          </cell>
          <cell r="D1820" t="str">
            <v>MEIZAN SUPERIOR MARGARINE(RED) PBG@20KG</v>
          </cell>
          <cell r="E1820">
            <v>20</v>
          </cell>
          <cell r="F1820" t="str">
            <v>Chọn</v>
          </cell>
          <cell r="G1820"/>
          <cell r="H1820"/>
        </row>
        <row r="1821">
          <cell r="A1821" t="str">
            <v>7.B2508542441010601TD</v>
          </cell>
          <cell r="B1821" t="str">
            <v xml:space="preserve">MUSHROOM BOUILLON GRANULE 170G </v>
          </cell>
          <cell r="C1821" t="str">
            <v>HẠT NÊM TAM BẢO VỊ NẤM 170G</v>
          </cell>
          <cell r="D1821" t="str">
            <v>MUSHROOM BOUILLON GRANULE 170G</v>
          </cell>
          <cell r="E1821">
            <v>0.17</v>
          </cell>
          <cell r="F1821" t="str">
            <v>Bỏ chọn</v>
          </cell>
          <cell r="G1821"/>
          <cell r="H1821"/>
        </row>
        <row r="1822">
          <cell r="A1822" t="str">
            <v>7.B2508542441010608</v>
          </cell>
          <cell r="B1822" t="str">
            <v>MUSHROOM BOUILLON GRANULE 170G X 40 PAC ON PACK 40 SPOONS PLASTIC SPICE</v>
          </cell>
          <cell r="C1822" t="str">
            <v>HẠT NÊM TAM BẢO VỊ NẤM 170G X 40 GÓI ĐÓNG KÈM 40 VỈ MUỖNG NHỰA GIA VỊ 4 CÁI/ THÙNG</v>
          </cell>
          <cell r="D1822" t="str">
            <v>MUSHROOM BOUILLON GRANULE 170G X 40 PAC ON PACK 40 SPOONS PLASTIC SPICE</v>
          </cell>
          <cell r="E1822">
            <v>7.8</v>
          </cell>
          <cell r="F1822" t="str">
            <v>Bỏ chọn</v>
          </cell>
          <cell r="G1822"/>
          <cell r="H1822"/>
        </row>
        <row r="1823">
          <cell r="A1823" t="str">
            <v>7.B250854244101060801</v>
          </cell>
          <cell r="B1823" t="str">
            <v>MUSHROOM BOUILLON GRANULE 170G X 40 PAC ON PACK 01 SPOON PLASTIC SPICE</v>
          </cell>
          <cell r="C1823" t="str">
            <v>HẠT NÊM TAM BẢO VỊ NẤM 170G X 01 GÓI ĐÓNG KÈM 01 VỈ MUỖNG NHỰA GIA VỊ 4 CÁI</v>
          </cell>
          <cell r="D1823" t="str">
            <v>MUSHROOM BOUILLON GRANULE 170G X 40 PAC ON PACK 01 SPOON PLASTIC SPICE</v>
          </cell>
          <cell r="E1823">
            <v>0.19500000000000001</v>
          </cell>
          <cell r="F1823" t="str">
            <v>Bỏ chọn</v>
          </cell>
          <cell r="G1823"/>
          <cell r="H1823"/>
        </row>
        <row r="1824">
          <cell r="A1824" t="str">
            <v>7.B2508549941920508</v>
          </cell>
          <cell r="B1824" t="str">
            <v>PORK BOUILLON GRANULE 170G X 40 PAC ON PACK 40 SPOONS PLASTIC SPICE</v>
          </cell>
          <cell r="C1824" t="str">
            <v>THỰC PHẨM BỔ SUNG HẠT NÊM 4 TRONG 1 - VỊ HEO 170G X 40 GÓI ĐÓNG KÈM 40 VỈ MUỖNG NHỰA GIA VỊ 4 CÁI/ THÙNG</v>
          </cell>
          <cell r="D1824" t="str">
            <v>PORK BOUILLON GRANULE 170G X 40 PAC ON PACK 40 SPOONS PLASTIC SPICE</v>
          </cell>
          <cell r="E1824">
            <v>7.8</v>
          </cell>
          <cell r="F1824" t="str">
            <v>Bỏ chọn</v>
          </cell>
          <cell r="G1824"/>
          <cell r="H1824"/>
        </row>
        <row r="1825">
          <cell r="A1825" t="str">
            <v>7.B250854994192050801</v>
          </cell>
          <cell r="B1825" t="str">
            <v>PORK BOUILLON GRANULE 170G X 01 PAC ON PACK 01 SPOON PLASTIC SPICE</v>
          </cell>
          <cell r="C1825" t="str">
            <v>THỰC PHẨM BỔ SUNG HẠT NÊM 4 TRONG 1 - VỊ HEO 170G X 1 GÓI ĐÓNG KÈM 01 VỈ MUỖNG NHỰA GIA VỊ 4 CÁI</v>
          </cell>
          <cell r="D1825" t="str">
            <v>PORK BOUILLON GRANULE 170G X 01 PAC ON PACK 01 SPOON PLASTIC SPICE</v>
          </cell>
          <cell r="E1825">
            <v>0.19500000000000001</v>
          </cell>
          <cell r="F1825" t="str">
            <v>Bỏ chọn</v>
          </cell>
          <cell r="G1825"/>
          <cell r="H1825"/>
        </row>
        <row r="1826">
          <cell r="A1826" t="str">
            <v>7.5239907990598</v>
          </cell>
          <cell r="B1826" t="str">
            <v>GREEN KEY A-25KG</v>
          </cell>
          <cell r="C1826" t="str">
            <v>BỘT MÌ CHÌA KHÓA XANH LÁ (25KG)</v>
          </cell>
          <cell r="D1826" t="str">
            <v>GREEN KEY A-25KG</v>
          </cell>
          <cell r="E1826">
            <v>25</v>
          </cell>
          <cell r="F1826" t="str">
            <v>Bỏ chọn</v>
          </cell>
          <cell r="G1826"/>
          <cell r="H1826"/>
        </row>
        <row r="1827">
          <cell r="A1827" t="str">
            <v>7.5239917990598</v>
          </cell>
          <cell r="B1827" t="str">
            <v>SATELLITE HORECA-25KG</v>
          </cell>
          <cell r="C1827" t="str">
            <v>BỘT MÌ VỆ TINH (25KG)</v>
          </cell>
          <cell r="D1827" t="str">
            <v>SATELLITE HORECA-25KG</v>
          </cell>
          <cell r="E1827">
            <v>25</v>
          </cell>
          <cell r="F1827" t="str">
            <v>Bỏ chọn</v>
          </cell>
          <cell r="G1827"/>
          <cell r="H1827"/>
        </row>
        <row r="1828">
          <cell r="A1828" t="str">
            <v>7.5239950996401</v>
          </cell>
          <cell r="B1828" t="str">
            <v>WHOLE WHEAT FLOUR 15KG</v>
          </cell>
          <cell r="C1828" t="str">
            <v>BỘT MÌ HIỆU "WHOLE WHEAT FLOUR" 15KG</v>
          </cell>
          <cell r="D1828" t="str">
            <v>WHOLE WHEAT FLOUR 15KG</v>
          </cell>
          <cell r="E1828">
            <v>15</v>
          </cell>
          <cell r="F1828" t="str">
            <v>Bỏ chọn</v>
          </cell>
          <cell r="G1828"/>
          <cell r="H1828"/>
        </row>
        <row r="1829">
          <cell r="A1829" t="str">
            <v>7.131014E41700E20</v>
          </cell>
          <cell r="B1829" t="str">
            <v>SATELLITE VEG.OIL FOR PRO.CHEF INBTL@9KG</v>
          </cell>
          <cell r="C1829" t="str">
            <v>DẦU THỰC VẬT CHO ĐẦU BẾP CHUYÊN NGHIỆP NHÃN HIỆU SATELLITE 9KG</v>
          </cell>
          <cell r="D1829" t="str">
            <v>SATELLITE VEG.OIL FOR PRO.CHEF INBTL@9KG</v>
          </cell>
          <cell r="E1829">
            <v>9</v>
          </cell>
          <cell r="F1829" t="str">
            <v>Chọn</v>
          </cell>
          <cell r="G1829"/>
          <cell r="H1829"/>
        </row>
        <row r="1830">
          <cell r="A1830" t="str">
            <v>7.131014E41702E20</v>
          </cell>
          <cell r="B1830" t="str">
            <v>SATELLITE VEG.OIL FOR PRO.CHEF 9KG*2BTL</v>
          </cell>
          <cell r="C1830" t="str">
            <v>DẦU THỰC VẬT CHO ĐẦU BẾP CHUYÊN NGHIỆP NHÃN HIỆU SATELLITE 9KG</v>
          </cell>
          <cell r="D1830" t="str">
            <v>SATELLITE VEG.OIL FOR PRO.CHEF 9KG*2BTL</v>
          </cell>
          <cell r="E1830">
            <v>18</v>
          </cell>
          <cell r="F1830" t="str">
            <v>Chọn</v>
          </cell>
          <cell r="G1830"/>
          <cell r="H1830" t="str">
            <v>7.131014E41700E20</v>
          </cell>
        </row>
        <row r="1831">
          <cell r="A1831" t="str">
            <v>7.131014570901E30</v>
          </cell>
          <cell r="B1831" t="str">
            <v>SATELLITE VEG.OIL FOR PRO.CHEF BIB@18KG</v>
          </cell>
          <cell r="C1831" t="str">
            <v>DẦU THỰC VẬT CHO ĐẦU BẾP CHUYÊN NGHIỆP NHÃN HIỆU SATELLITE ĐÓNG TRONG TÚI 18KG</v>
          </cell>
          <cell r="D1831" t="str">
            <v>SATELLITE VEG.OIL FOR PRO.CHEF BIB@18KG</v>
          </cell>
          <cell r="E1831">
            <v>18</v>
          </cell>
          <cell r="F1831" t="str">
            <v>Chọn</v>
          </cell>
          <cell r="G1831"/>
          <cell r="H1831"/>
        </row>
        <row r="1832">
          <cell r="A1832" t="str">
            <v>7.131014591200E30</v>
          </cell>
          <cell r="B1832" t="str">
            <v>SATELLITE VEG.OIL FOR PRO.CHEF INJC@25KG</v>
          </cell>
          <cell r="C1832" t="str">
            <v>DẦU THỰC VẬT CHO ĐẦU BẾP CHUYÊN NGHIỆP NHÃN HIỆU SATELLITE ĐÓNG TRONG CAN 25KG</v>
          </cell>
          <cell r="D1832" t="str">
            <v>SATELLITE VEG.OIL FOR PRO.CHEF INJC@25KG</v>
          </cell>
          <cell r="E1832">
            <v>25</v>
          </cell>
          <cell r="F1832" t="str">
            <v>Chọn</v>
          </cell>
          <cell r="G1832"/>
          <cell r="H1832"/>
        </row>
        <row r="1833">
          <cell r="A1833" t="str">
            <v>V51.041.008</v>
          </cell>
          <cell r="B1833" t="str">
            <v>NEPTUNE PREMIUM RICE 5KG</v>
          </cell>
          <cell r="C1833" t="str">
            <v>NEPTUNE GẠO THƠM THƯỢNG HẠNG 5 KG</v>
          </cell>
          <cell r="D1833" t="str">
            <v>NEPTUNE PREMIUM RICE 5KG</v>
          </cell>
          <cell r="E1833">
            <v>0</v>
          </cell>
          <cell r="F1833" t="str">
            <v>Bỏ chọn</v>
          </cell>
          <cell r="G1833"/>
          <cell r="H1833"/>
        </row>
        <row r="1834">
          <cell r="A1834" t="str">
            <v>V51.050.012</v>
          </cell>
          <cell r="B1834" t="str">
            <v>MEIZAN PREMIUM MACARONI 400G- SPIRAL</v>
          </cell>
          <cell r="C1834" t="str">
            <v>NUI CAO CẤP MEIZAN-HÌNH XOẮN 400G</v>
          </cell>
          <cell r="D1834" t="str">
            <v>MEIZAN PREMIUM MACARONI 400G- SPIRAL</v>
          </cell>
          <cell r="E1834">
            <v>0</v>
          </cell>
          <cell r="F1834" t="str">
            <v>Bỏ chọn</v>
          </cell>
          <cell r="G1834"/>
          <cell r="H1834"/>
        </row>
        <row r="1835">
          <cell r="A1835" t="str">
            <v>V51.046.010</v>
          </cell>
          <cell r="B1835" t="str">
            <v>MUSHROOM BOUILLON GRANULE 170G</v>
          </cell>
          <cell r="C1835" t="str">
            <v>HẠT NÊM TAM BẢO VỊ NẤM 170G</v>
          </cell>
          <cell r="D1835" t="str">
            <v>MUSHROOM BOUILLON GRANULE 170G</v>
          </cell>
          <cell r="E1835">
            <v>0</v>
          </cell>
          <cell r="F1835" t="str">
            <v>Bỏ chọn</v>
          </cell>
          <cell r="G1835"/>
          <cell r="H1835"/>
        </row>
        <row r="1836">
          <cell r="A1836" t="str">
            <v>V51.000.029</v>
          </cell>
          <cell r="B1836" t="str">
            <v>MEIZAN JASMINE RICE 5KG</v>
          </cell>
          <cell r="C1836" t="str">
            <v>MEIZAN GẠO NGON HẢO HẠNG LÀI SỮA 5KG</v>
          </cell>
          <cell r="D1836" t="str">
            <v>MEIZAN JASMINE RICE 5KG</v>
          </cell>
          <cell r="E1836">
            <v>0</v>
          </cell>
          <cell r="F1836" t="str">
            <v>Bỏ chọn</v>
          </cell>
          <cell r="G1836"/>
          <cell r="H1836"/>
        </row>
        <row r="1837">
          <cell r="A1837" t="str">
            <v>V51.000.030</v>
          </cell>
          <cell r="B1837" t="str">
            <v>MEIZAN FRAGRANT RICE 5KG</v>
          </cell>
          <cell r="C1837" t="str">
            <v>MEIZAN GẠO NGON HẢO HẠNG TÁM THƠM 5KG</v>
          </cell>
          <cell r="D1837" t="str">
            <v>MEIZAN FRAGRANT RICE 5KG</v>
          </cell>
          <cell r="E1837">
            <v>0</v>
          </cell>
          <cell r="F1837" t="str">
            <v>Bỏ chọn</v>
          </cell>
          <cell r="G1837"/>
          <cell r="H1837"/>
        </row>
        <row r="1838">
          <cell r="A1838" t="str">
            <v>7.460050031704030TD</v>
          </cell>
          <cell r="B1838" t="str">
            <v>CO-SIMPLY RBDRBO 1L X 6BTL</v>
          </cell>
          <cell r="C1838" t="str">
            <v>DẦU GẠO CAO CẤP SIMPLY 1L</v>
          </cell>
          <cell r="D1838" t="str">
            <v>CO-SPRBO1LX6BTL</v>
          </cell>
          <cell r="E1838">
            <v>5.46</v>
          </cell>
          <cell r="F1838" t="str">
            <v>Bỏ chọn</v>
          </cell>
          <cell r="G1838"/>
          <cell r="H1838"/>
        </row>
        <row r="1839">
          <cell r="A1839" t="str">
            <v>7.45705003010500TD</v>
          </cell>
          <cell r="B1839" t="str">
            <v>CO-SIMPLY CANOLA 1L X 12 BTL</v>
          </cell>
          <cell r="C1839" t="str">
            <v>DẦU HẠT CẢI NHÃN HIỆU SIMPLY 1L</v>
          </cell>
          <cell r="D1839" t="str">
            <v>CO-SPCNL1LX12BTL</v>
          </cell>
          <cell r="E1839">
            <v>10.92</v>
          </cell>
          <cell r="F1839" t="str">
            <v>Bỏ chọn</v>
          </cell>
          <cell r="G1839"/>
          <cell r="H1839"/>
        </row>
        <row r="1840">
          <cell r="A1840" t="str">
            <v>V51.000.031</v>
          </cell>
          <cell r="B1840" t="str">
            <v>WILMAR SJC 999 GOLD LOGO FOR 15 YEAR</v>
          </cell>
          <cell r="C1840" t="str">
            <v>VÀNG SJC LOGO WILMAR 15 NĂM</v>
          </cell>
          <cell r="D1840" t="str">
            <v>WILMAR SJC 999 GOLD LOGO FOR 15 YEAR</v>
          </cell>
          <cell r="E1840">
            <v>0</v>
          </cell>
          <cell r="F1840" t="str">
            <v>Bỏ chọn</v>
          </cell>
          <cell r="G1840"/>
          <cell r="H1840"/>
        </row>
        <row r="1841">
          <cell r="A1841" t="str">
            <v>V51.000.032</v>
          </cell>
          <cell r="B1841" t="str">
            <v>WILMAR SJC 999 GOLD LOGO FOR 20 YEAR</v>
          </cell>
          <cell r="C1841" t="str">
            <v>VÀNG SJC LOGO WILMAR 20 NĂM</v>
          </cell>
          <cell r="D1841" t="str">
            <v>WILMAR SJC 999 GOLD LOGO FOR 20 YEAR</v>
          </cell>
          <cell r="E1841">
            <v>0</v>
          </cell>
          <cell r="F1841" t="str">
            <v>Bỏ chọn</v>
          </cell>
          <cell r="G1841"/>
          <cell r="H1841"/>
        </row>
        <row r="1842">
          <cell r="A1842" t="str">
            <v>V51.060.006</v>
          </cell>
          <cell r="B1842" t="str">
            <v>TET BLOC CALENDAR</v>
          </cell>
          <cell r="C1842" t="str">
            <v>BỘ LỊCH TẾT</v>
          </cell>
          <cell r="D1842" t="str">
            <v>TET BLOC CALENDAR</v>
          </cell>
          <cell r="E1842">
            <v>0</v>
          </cell>
          <cell r="F1842" t="str">
            <v>Bỏ chọn</v>
          </cell>
          <cell r="G1842"/>
          <cell r="H1842"/>
        </row>
        <row r="1843">
          <cell r="A1843" t="str">
            <v>7.131014F11702E90</v>
          </cell>
          <cell r="B1843" t="str">
            <v>SATELLITE VEG.OIL FOR PRO.CHEF 9KG (9.8L*2BTL)</v>
          </cell>
          <cell r="C1843" t="str">
            <v>DẦU THỰC VẬT CHO ĐẦU BẾP CHUYÊN NGHIỆP SATELLITE 9KG (9,8LÍT)</v>
          </cell>
          <cell r="D1843" t="str">
            <v>SATELLITE VEG.OIL FOR PRO.CHEF 9KG (9.8L*2BTL)</v>
          </cell>
          <cell r="E1843">
            <v>9</v>
          </cell>
          <cell r="F1843" t="str">
            <v>Bỏ chọn</v>
          </cell>
          <cell r="G1843"/>
          <cell r="H1843"/>
        </row>
        <row r="1844">
          <cell r="A1844" t="str">
            <v>7.131014570901F00</v>
          </cell>
          <cell r="B1844" t="str">
            <v>SATELLITE VEG.OIL FOR PRO.CHEF 18KG</v>
          </cell>
          <cell r="C1844" t="str">
            <v>DẦU THỰC VẬT CHO ĐẦU BẾP CHUYÊN NGHIỆP SATELLITE 18KG</v>
          </cell>
          <cell r="D1844" t="str">
            <v>SATELLITE VEG.OIL FOR PRO.CHEF 18KG</v>
          </cell>
          <cell r="E1844">
            <v>18</v>
          </cell>
          <cell r="F1844" t="str">
            <v>Bỏ chọn</v>
          </cell>
          <cell r="G1844"/>
          <cell r="H1844"/>
        </row>
        <row r="1845">
          <cell r="A1845" t="str">
            <v>7.6269808310301</v>
          </cell>
          <cell r="B1845" t="str">
            <v>MEIZAN JASMINE RICE 5KG</v>
          </cell>
          <cell r="C1845" t="str">
            <v>MEIZAN GẠO NGON HẢO HẠNG LÀI SỮA 5KG</v>
          </cell>
          <cell r="D1845" t="str">
            <v>MEIZAN JASMINE RICE 5KG</v>
          </cell>
          <cell r="E1845">
            <v>5</v>
          </cell>
          <cell r="F1845" t="str">
            <v>Bỏ chọn</v>
          </cell>
          <cell r="G1845"/>
          <cell r="H1845"/>
        </row>
        <row r="1846">
          <cell r="A1846" t="str">
            <v>7.6269808320301</v>
          </cell>
          <cell r="B1846" t="str">
            <v>MEIZAN FRAGRANT RICE 5KG</v>
          </cell>
          <cell r="C1846" t="str">
            <v>MEIZAN GẠO NGON HẢO HẠNG TÁM THƠM 5KG</v>
          </cell>
          <cell r="D1846" t="str">
            <v>MEIZAN FRAGRANT RICE 5KG</v>
          </cell>
          <cell r="E1846">
            <v>5</v>
          </cell>
          <cell r="F1846" t="str">
            <v>Bỏ chọn</v>
          </cell>
          <cell r="G1846"/>
          <cell r="H1846"/>
        </row>
        <row r="1847">
          <cell r="A1847" t="str">
            <v>7.1060120228108010</v>
          </cell>
          <cell r="B1847" t="str">
            <v>MEIZAN SHORTENING 47 IN PEBAG@20KG</v>
          </cell>
          <cell r="C1847" t="str">
            <v>SHORRTENING 47 NHÃN HIỆU MEIZAN 20KG</v>
          </cell>
          <cell r="D1847" t="str">
            <v>MEIZAN SHORTENING 47 IN PEBAG@20KG</v>
          </cell>
          <cell r="E1847">
            <v>20</v>
          </cell>
          <cell r="F1847" t="str">
            <v>Bỏ chọn</v>
          </cell>
          <cell r="G1847"/>
          <cell r="H1847"/>
        </row>
        <row r="1848">
          <cell r="A1848" t="str">
            <v>V51.000.033</v>
          </cell>
          <cell r="B1848" t="str">
            <v>CRYSTAL TROPHY</v>
          </cell>
          <cell r="C1848" t="str">
            <v>KỶ NIỆM CHƯƠNG</v>
          </cell>
          <cell r="D1848" t="str">
            <v>CRYSTAL TROPHY</v>
          </cell>
          <cell r="E1848">
            <v>0</v>
          </cell>
          <cell r="F1848" t="str">
            <v>Chọn</v>
          </cell>
          <cell r="G1848"/>
          <cell r="H1848"/>
        </row>
        <row r="1849">
          <cell r="A1849" t="str">
            <v>V51.049.007</v>
          </cell>
          <cell r="B1849" t="str">
            <v>HORECA PREMIUM CHILI SAUCE 2.1KG</v>
          </cell>
          <cell r="C1849" t="str">
            <v>TƯƠNG ỚT HORECA PREMIUM 2.1KG</v>
          </cell>
          <cell r="D1849" t="str">
            <v>HORECA PREMIUM CHILI SAUCE 2.1KG</v>
          </cell>
          <cell r="E1849">
            <v>0</v>
          </cell>
          <cell r="F1849" t="str">
            <v>Bỏ chọn</v>
          </cell>
          <cell r="G1849"/>
          <cell r="H1849"/>
        </row>
        <row r="1850">
          <cell r="A1850" t="str">
            <v>7.1070120291508010</v>
          </cell>
          <cell r="B1850" t="str">
            <v>MEIZAN BOS(BROWN) IN PEBAG@20KG</v>
          </cell>
          <cell r="C1850" t="str">
            <v>DẦU BƠ THAY THẾ NHÃN HIỆU MEIZAN 20KG</v>
          </cell>
          <cell r="D1850" t="str">
            <v>MEIZAN BOS(BROWN) IN PEBAG@20KG</v>
          </cell>
          <cell r="E1850">
            <v>20</v>
          </cell>
          <cell r="F1850" t="str">
            <v>Chọn</v>
          </cell>
          <cell r="G1850"/>
          <cell r="H1850"/>
        </row>
        <row r="1851">
          <cell r="A1851" t="str">
            <v>7.B24106333300199</v>
          </cell>
          <cell r="B1851" t="str">
            <v>MAYONNAISE SIMPLY FOR PROFESSIONAL CHEFS 3KG X 4 PAIL/CAR</v>
          </cell>
          <cell r="C1851" t="str">
            <v>MAYONNAISE SIMPLY FOR PROFESSIONAL CHEFS 3KG X 4 XÔ/THÙNG</v>
          </cell>
          <cell r="D1851" t="str">
            <v>MAYONNAISE SIMPLY FOR PROFESSIONAL CHEFS 3KG X 4 PAIL/CAR</v>
          </cell>
          <cell r="E1851">
            <v>12</v>
          </cell>
          <cell r="F1851" t="str">
            <v>Bỏ chọn</v>
          </cell>
          <cell r="G1851"/>
          <cell r="H1851"/>
        </row>
        <row r="1852">
          <cell r="A1852" t="str">
            <v>7.B2410633330019901</v>
          </cell>
          <cell r="B1852" t="str">
            <v>MAYONNAISE SIMPLY FOR PROFESSIONAL CHEFS 3KG</v>
          </cell>
          <cell r="C1852" t="str">
            <v>MAYONNAISE SIMPLY FOR PROFESSIONAL CHEFS 3KG</v>
          </cell>
          <cell r="D1852" t="str">
            <v>MAYONNAISE SIMPLY FOR PROFESSIONAL CHEFS 3KG</v>
          </cell>
          <cell r="E1852">
            <v>3</v>
          </cell>
          <cell r="F1852" t="str">
            <v>Bỏ chọn</v>
          </cell>
          <cell r="G1852"/>
          <cell r="H1852"/>
        </row>
        <row r="1853">
          <cell r="A1853" t="str">
            <v>V51.106.005</v>
          </cell>
          <cell r="B1853" t="str">
            <v>MEIZAN GOLD UMBRELLA</v>
          </cell>
          <cell r="C1853" t="str">
            <v>DÙ (Ô) MEIZAN GOLD</v>
          </cell>
          <cell r="D1853" t="str">
            <v>MEIZAN GOLD UMBRELLA</v>
          </cell>
          <cell r="E1853">
            <v>0</v>
          </cell>
          <cell r="F1853" t="str">
            <v>Bỏ chọn</v>
          </cell>
          <cell r="G1853"/>
          <cell r="H1853"/>
        </row>
        <row r="1854">
          <cell r="A1854" t="str">
            <v>7.131069036014E60</v>
          </cell>
          <cell r="B1854" t="str">
            <v>NEPTUNE GOLD TET GIFTPACK 1L X 8 BTL</v>
          </cell>
          <cell r="C1854" t="str">
            <v>DẦU ĂN THƯỢNG HẠNG HIỆU NEPTUNE GOLD 1L (8 CHAI/ THÙNG) - ĐÓNG KÈM 4 GÓI THỰC PHẨM BỔ SUNG HẠT NÊM 4 TRONG 1 - VỊ HEO 250G/ THÙNG</v>
          </cell>
          <cell r="D1854" t="str">
            <v>NEPTUNE GOLD TET GIFTPACK 1L X 8 BTL</v>
          </cell>
          <cell r="E1854">
            <v>7.28</v>
          </cell>
          <cell r="F1854" t="str">
            <v>Bỏ chọn</v>
          </cell>
          <cell r="G1854"/>
          <cell r="H1854"/>
        </row>
        <row r="1855">
          <cell r="A1855" t="str">
            <v>7.131077031705E80</v>
          </cell>
          <cell r="B1855" t="str">
            <v>HAPPY PRICE COOKING OIL 1L X 12BTL</v>
          </cell>
          <cell r="C1855" t="str">
            <v>DẦU ĂN HAPPY PRICE 1 LÍT</v>
          </cell>
          <cell r="D1855" t="str">
            <v>HAPPY PRICE COOKING OIL 1L X 12BTL</v>
          </cell>
          <cell r="E1855">
            <v>10.92</v>
          </cell>
          <cell r="F1855" t="str">
            <v>Chọn</v>
          </cell>
          <cell r="G1855"/>
          <cell r="H1855"/>
        </row>
        <row r="1856">
          <cell r="A1856" t="str">
            <v>7.131077061703E80</v>
          </cell>
          <cell r="B1856" t="str">
            <v>HAPPY PRICE COOKING OIL 5L X 4BTL</v>
          </cell>
          <cell r="C1856" t="str">
            <v>DẦU ĂN HAPPY PRICE 5L</v>
          </cell>
          <cell r="D1856" t="str">
            <v>HAPPY PRICE COOKING OIL 5L X 4BTL</v>
          </cell>
          <cell r="E1856">
            <v>18.2</v>
          </cell>
          <cell r="F1856" t="str">
            <v>Chọn</v>
          </cell>
          <cell r="G1856"/>
          <cell r="H1856"/>
        </row>
        <row r="1857">
          <cell r="A1857" t="str">
            <v>V39.000.032</v>
          </cell>
          <cell r="B1857" t="str">
            <v>SUNHOUSE ELECTRIC GRILL SHD 4603</v>
          </cell>
          <cell r="C1857" t="str">
            <v>BẾP NƯỚNG ĐIỆN SUNHOUSE SHD 4603</v>
          </cell>
          <cell r="D1857" t="str">
            <v>SUNHOUSE ELECTRIC GRILL SHD 4603</v>
          </cell>
          <cell r="E1857">
            <v>0</v>
          </cell>
          <cell r="F1857" t="str">
            <v>Bỏ chọn</v>
          </cell>
          <cell r="G1857"/>
          <cell r="H1857"/>
        </row>
        <row r="1858">
          <cell r="A1858" t="str">
            <v>V39.000.033</v>
          </cell>
          <cell r="B1858" t="str">
            <v>PHILIPS ELECTRIC PRESSURE COOKER HS2103/66</v>
          </cell>
          <cell r="C1858" t="str">
            <v>NỒI ÁP SUẤT ĐIỆN PHILIPS HD2103/66</v>
          </cell>
          <cell r="D1858" t="str">
            <v>PHILIPS ELECTRIC PRESSURE COOKER HS2103/66</v>
          </cell>
          <cell r="E1858">
            <v>0</v>
          </cell>
          <cell r="F1858" t="str">
            <v>Bỏ chọn</v>
          </cell>
          <cell r="G1858"/>
          <cell r="H1858"/>
        </row>
        <row r="1859">
          <cell r="A1859" t="str">
            <v>V39.000.034</v>
          </cell>
          <cell r="B1859" t="str">
            <v>GREYISH MITSUIBISHI FAN LV16-RV SF-GY</v>
          </cell>
          <cell r="C1859" t="str">
            <v>QUẠT ĐỨNG MITSUBISHI LV16-RV SF-GY XÁM NHẠT</v>
          </cell>
          <cell r="D1859" t="str">
            <v>GREYISH MITSUIBISHI FAN LV16-RV SF-GY</v>
          </cell>
          <cell r="E1859">
            <v>0</v>
          </cell>
          <cell r="F1859" t="str">
            <v>Bỏ chọn</v>
          </cell>
          <cell r="G1859"/>
          <cell r="H1859"/>
        </row>
        <row r="1860">
          <cell r="A1860" t="str">
            <v>7.B24012302650122</v>
          </cell>
          <cell r="B1860" t="str">
            <v>SAVE HANG VIET SOY SAUCE 470ML X 24 BOT/CAR</v>
          </cell>
          <cell r="C1860" t="str">
            <v>NƯỚC CHẤM HÀNG VIỆT TIẾT KIỆM 470ML X 24 CHAI/THÙNG</v>
          </cell>
          <cell r="D1860" t="str">
            <v>SAVE HANG VIET SOY SAUCE 470ML X 24 BOT/CAR</v>
          </cell>
          <cell r="E1860">
            <v>12.047000000000001</v>
          </cell>
          <cell r="F1860" t="str">
            <v>Bỏ chọn</v>
          </cell>
          <cell r="G1860" t="str">
            <v>2000000008</v>
          </cell>
          <cell r="H1860" t="str">
            <v>7.B2401230265012201</v>
          </cell>
        </row>
        <row r="1861">
          <cell r="A1861" t="str">
            <v>7.B2401230265012201</v>
          </cell>
          <cell r="B1861" t="str">
            <v>SAVE HANG VIET SOY SAUCE 470ML</v>
          </cell>
          <cell r="C1861" t="str">
            <v>NƯỚC CHẤM HÀNG VIỆT TIẾT KIỆM 470ML</v>
          </cell>
          <cell r="D1861" t="str">
            <v>SAVE HANG VIET SOY SAUCE 470ML</v>
          </cell>
          <cell r="E1861">
            <v>0.502</v>
          </cell>
          <cell r="F1861" t="str">
            <v>Bỏ chọn</v>
          </cell>
          <cell r="G1861" t="str">
            <v>2000000008</v>
          </cell>
          <cell r="H1861"/>
        </row>
        <row r="1862">
          <cell r="A1862" t="str">
            <v>7.B24012399360123</v>
          </cell>
          <cell r="B1862" t="str">
            <v>TASTE NORTH SOY SAUCE 1.96L X 6 BOT/CAR</v>
          </cell>
          <cell r="C1862" t="str">
            <v>NƯỚC TƯƠNG VỊ BẮC 1.96L X 6 CHAI/THÙNG</v>
          </cell>
          <cell r="D1862" t="str">
            <v>TASTE NORTH SOY SAUCE 1.96L X 6 BOT/CAR</v>
          </cell>
          <cell r="E1862">
            <v>12.8607</v>
          </cell>
          <cell r="F1862" t="str">
            <v>Bỏ chọn</v>
          </cell>
          <cell r="G1862" t="str">
            <v>2000000008</v>
          </cell>
          <cell r="H1862" t="str">
            <v>7.B2401239936012301</v>
          </cell>
        </row>
        <row r="1863">
          <cell r="A1863" t="str">
            <v>7.B2401239936012301</v>
          </cell>
          <cell r="B1863" t="str">
            <v>TASTE NORTH SOY SAUCE</v>
          </cell>
          <cell r="C1863" t="str">
            <v>NƯỚC TƯƠNG VỊ BẮC 1.96L</v>
          </cell>
          <cell r="D1863" t="str">
            <v>TASTE NORTH SOY SAUCE</v>
          </cell>
          <cell r="E1863">
            <v>2.1435</v>
          </cell>
          <cell r="F1863" t="str">
            <v>Bỏ chọn</v>
          </cell>
          <cell r="G1863" t="str">
            <v>2000000008</v>
          </cell>
          <cell r="H1863"/>
        </row>
        <row r="1864">
          <cell r="A1864" t="str">
            <v>V51.046.011</v>
          </cell>
          <cell r="B1864" t="str">
            <v>PORK BOUILLON GRANULE 250G</v>
          </cell>
          <cell r="C1864" t="str">
            <v>THỰC PHẨM BỔ SUNG HẠT NÊM 4 TRONG 1 - VỊ HEO 250G</v>
          </cell>
          <cell r="D1864" t="str">
            <v>PORK BOUILLON GRANULE 250G</v>
          </cell>
          <cell r="E1864">
            <v>0</v>
          </cell>
          <cell r="F1864" t="str">
            <v>Bỏ chọn</v>
          </cell>
          <cell r="G1864"/>
          <cell r="H1864"/>
        </row>
        <row r="1865">
          <cell r="A1865" t="str">
            <v>7.1060120228308010</v>
          </cell>
          <cell r="B1865" t="str">
            <v>MEIZAN CHOCOFAT MP45MAX IN PEBAG 20KG</v>
          </cell>
          <cell r="C1865" t="str">
            <v>CHẤT BÉO CHOCO NHÃN HIỆU MEIZAN 20KG</v>
          </cell>
          <cell r="D1865" t="str">
            <v>MEIZAN CHOCOFAT MP45MAX IN PEBAG 20KG</v>
          </cell>
          <cell r="E1865">
            <v>28</v>
          </cell>
          <cell r="F1865" t="str">
            <v>Bỏ chọn</v>
          </cell>
          <cell r="G1865"/>
          <cell r="H1865"/>
        </row>
        <row r="1866">
          <cell r="A1866" t="str">
            <v>7.1060120328308010</v>
          </cell>
          <cell r="B1866" t="str">
            <v>MEIZAN CHOCOFAT MP45MAX IN PEBAG 25KG</v>
          </cell>
          <cell r="C1866" t="str">
            <v>CHẤT BÉO CHOCO NHÃN HIỆU MEIZAN 25KG</v>
          </cell>
          <cell r="D1866" t="str">
            <v>MEIZAN CHOCOFAT MP45MAX IN PEBAG 25KG</v>
          </cell>
          <cell r="E1866">
            <v>25</v>
          </cell>
          <cell r="F1866" t="str">
            <v>Bỏ chọn</v>
          </cell>
          <cell r="G1866"/>
          <cell r="H1866"/>
        </row>
        <row r="1867">
          <cell r="A1867" t="str">
            <v>V51.00A.001</v>
          </cell>
          <cell r="B1867" t="str">
            <v>NAM DUONG SPICE TRAY (NO PARTITION)</v>
          </cell>
          <cell r="C1867" t="str">
            <v>KHAY GIA VỊ NAM DƯƠNG (KHÔNG VÁCH)</v>
          </cell>
          <cell r="D1867" t="str">
            <v>NAM DUONG SPICE TRAY (NO PARTITION)</v>
          </cell>
          <cell r="E1867">
            <v>0</v>
          </cell>
          <cell r="F1867" t="str">
            <v>Bỏ chọn</v>
          </cell>
          <cell r="G1867"/>
          <cell r="H1867"/>
        </row>
        <row r="1868">
          <cell r="A1868" t="str">
            <v>7.A3302089933011901TD</v>
          </cell>
          <cell r="B1868" t="str">
            <v>MEIZAN PREMIUM MACARONI - ELBOW 400G</v>
          </cell>
          <cell r="C1868" t="str">
            <v>NUI CAO CẤP MEIZAN - CHỮ "C" 400G</v>
          </cell>
          <cell r="D1868" t="str">
            <v>MEIZAN PREMIUM MACARONI - ELBOW 400G</v>
          </cell>
          <cell r="E1868">
            <v>0.4</v>
          </cell>
          <cell r="F1868" t="str">
            <v>Bỏ chọn</v>
          </cell>
          <cell r="G1868"/>
          <cell r="H1868"/>
        </row>
        <row r="1869">
          <cell r="A1869" t="str">
            <v>V51.050.015</v>
          </cell>
          <cell r="B1869" t="str">
            <v>MEIZAN PREMIUM MACARONI 300G- SPIRAL</v>
          </cell>
          <cell r="C1869" t="str">
            <v>NUI CAO CẤP MEIZAN-HÌNH XOẮN 300G</v>
          </cell>
          <cell r="D1869" t="str">
            <v>MEIZAN PREMIUM MACARONI 300G- SPIRAL</v>
          </cell>
          <cell r="E1869">
            <v>0</v>
          </cell>
          <cell r="F1869" t="str">
            <v>Bỏ chọn</v>
          </cell>
          <cell r="G1869"/>
          <cell r="H1869"/>
        </row>
        <row r="1870">
          <cell r="A1870" t="str">
            <v>V51.000.034</v>
          </cell>
          <cell r="B1870" t="str">
            <v>TET BLOC CALENDAR</v>
          </cell>
          <cell r="C1870" t="str">
            <v>BỘ LỊCH TẾT</v>
          </cell>
          <cell r="D1870" t="str">
            <v>TET BLOC CALENDAR</v>
          </cell>
          <cell r="E1870">
            <v>0</v>
          </cell>
          <cell r="F1870" t="str">
            <v>Chọn</v>
          </cell>
          <cell r="G1870"/>
          <cell r="H1870"/>
        </row>
        <row r="1871">
          <cell r="A1871" t="str">
            <v>V78.000.008</v>
          </cell>
          <cell r="B1871" t="str">
            <v>SHIRT; WAISTCOAT; TROUSERS FOR F</v>
          </cell>
          <cell r="C1871" t="str">
            <v>ÁO NGẮN TAY; GHI LÊ; QUẦN DÀI</v>
          </cell>
          <cell r="D1871" t="str">
            <v>SHIRT; WAISTCOAT; TROUSERS FOR F</v>
          </cell>
          <cell r="E1871">
            <v>0</v>
          </cell>
          <cell r="F1871" t="str">
            <v>Bỏ chọn</v>
          </cell>
          <cell r="G1871"/>
          <cell r="H1871"/>
        </row>
        <row r="1872">
          <cell r="A1872" t="str">
            <v>7.A319910990501TD</v>
          </cell>
          <cell r="B1872" t="str">
            <v>EDIBLE CORN STARCH IN WOVEN BAG 25KG</v>
          </cell>
          <cell r="C1872" t="str">
            <v>NGUYÊN LIỆU THỰC PHẨM TINH BỘT NGÔ TRONG BAO 25KG</v>
          </cell>
          <cell r="D1872" t="str">
            <v>EDIBLE CORN STARCH IN WOVEN BAG 25KG</v>
          </cell>
          <cell r="E1872">
            <v>25</v>
          </cell>
          <cell r="F1872" t="str">
            <v>Bỏ chọn</v>
          </cell>
          <cell r="G1872"/>
          <cell r="H1872"/>
        </row>
        <row r="1873">
          <cell r="A1873" t="str">
            <v>7.131069045900A00</v>
          </cell>
          <cell r="B1873" t="str">
            <v>NEPTUNE GOLD TET BTL@2L</v>
          </cell>
          <cell r="C1873" t="str">
            <v>DẦU ĂN THƯỢNG HẠNG HIỆU NEPTUNE GOLD 2L</v>
          </cell>
          <cell r="D1873" t="str">
            <v>NEPTUNE GOLD TET BTL@2L</v>
          </cell>
          <cell r="E1873">
            <v>1.82</v>
          </cell>
          <cell r="F1873" t="str">
            <v>Bỏ chọn</v>
          </cell>
          <cell r="G1873"/>
          <cell r="H1873"/>
        </row>
        <row r="1874">
          <cell r="A1874" t="str">
            <v>7.131069065900A00</v>
          </cell>
          <cell r="B1874" t="str">
            <v>NEPTUNE GOLD TET BTL@5L</v>
          </cell>
          <cell r="C1874" t="str">
            <v>DẦU ĂN THƯỢNG HẠNG HIỆU NEPTUNE GOLD 5L</v>
          </cell>
          <cell r="D1874" t="str">
            <v>NEPTUNE GOLD TET BTL@5L</v>
          </cell>
          <cell r="E1874">
            <v>4.55</v>
          </cell>
          <cell r="F1874" t="str">
            <v>Bỏ chọn</v>
          </cell>
          <cell r="G1874"/>
          <cell r="H1874"/>
        </row>
        <row r="1875">
          <cell r="A1875" t="str">
            <v>7.131078041700E10</v>
          </cell>
          <cell r="B1875" t="str">
            <v>CO-MEIZAN GOLD IN BOTTLE @2L</v>
          </cell>
          <cell r="C1875" t="str">
            <v>DẦU ĂN CAO CẤP NHÃN HIỆU MEIZAN GOLD 2L</v>
          </cell>
          <cell r="D1875" t="str">
            <v>CO-MEIZAN GOLD IN BOTTLE @2L</v>
          </cell>
          <cell r="E1875">
            <v>1.82</v>
          </cell>
          <cell r="F1875" t="str">
            <v>Chọn</v>
          </cell>
          <cell r="G1875"/>
          <cell r="H1875"/>
        </row>
        <row r="1876">
          <cell r="A1876" t="str">
            <v>V51.00A.002</v>
          </cell>
          <cell r="B1876" t="str">
            <v>PLASTIC CHOPSTICKS TRAY</v>
          </cell>
          <cell r="C1876" t="str">
            <v>KHAY ĐŨA NHỰA</v>
          </cell>
          <cell r="D1876" t="str">
            <v>PLASTIC CHOPSTICKS TRAY</v>
          </cell>
          <cell r="E1876">
            <v>0</v>
          </cell>
          <cell r="F1876" t="str">
            <v>Bỏ chọn</v>
          </cell>
          <cell r="G1876"/>
          <cell r="H1876"/>
        </row>
        <row r="1877">
          <cell r="A1877" t="str">
            <v>V78.000.009</v>
          </cell>
          <cell r="B1877" t="str">
            <v>TYPE 1: DRESSES, VEST</v>
          </cell>
          <cell r="C1877" t="str">
            <v>MẪU 1: VÁY LIỀN, VEST</v>
          </cell>
          <cell r="D1877" t="str">
            <v>TYPE 1: DRESSES, VEST</v>
          </cell>
          <cell r="E1877">
            <v>0</v>
          </cell>
          <cell r="F1877" t="str">
            <v>Bỏ chọn</v>
          </cell>
          <cell r="G1877"/>
          <cell r="H1877"/>
        </row>
        <row r="1878">
          <cell r="A1878" t="str">
            <v>V78.000.010</v>
          </cell>
          <cell r="B1878" t="str">
            <v>TYPE 8: SHIRT FOR FEMALE, SKIRT, VEST</v>
          </cell>
          <cell r="C1878" t="str">
            <v>MẪU 8: ÁO SƠ MI NỮ, VÁY NGẮN, VEST</v>
          </cell>
          <cell r="D1878" t="str">
            <v>TYPE 8: SHIRT FOR FEMALE, SKIRT, VEST</v>
          </cell>
          <cell r="E1878">
            <v>0</v>
          </cell>
          <cell r="F1878" t="str">
            <v>Bỏ chọn</v>
          </cell>
          <cell r="G1878"/>
          <cell r="H1878"/>
        </row>
        <row r="1879">
          <cell r="A1879" t="str">
            <v>V78.000.011</v>
          </cell>
          <cell r="B1879" t="str">
            <v>TYPE 5: LONG SLEEVE SHIRT, SKIRT_x000D_</v>
          </cell>
          <cell r="C1879" t="str">
            <v>MẪU 5: ÁO DÀI TAY, VÁY NGẮN</v>
          </cell>
          <cell r="D1879" t="str">
            <v>TYPE 5: LONG SLEEVE SHIRT, SKIRT_x000D_</v>
          </cell>
          <cell r="E1879">
            <v>0</v>
          </cell>
          <cell r="F1879" t="str">
            <v>Bỏ chọn</v>
          </cell>
          <cell r="G1879"/>
          <cell r="H1879"/>
        </row>
        <row r="1880">
          <cell r="A1880" t="str">
            <v>V78.000.012</v>
          </cell>
          <cell r="B1880" t="str">
            <v>TYPE 2: SHORT-SLEEVED SHIRTS, VEST NOT HAND, TROUSERS</v>
          </cell>
          <cell r="C1880" t="str">
            <v>MẪU 2: ÁO NGẮN TAY, GHI LÊ, QUẦN DÀI</v>
          </cell>
          <cell r="D1880" t="str">
            <v>TYPE 2: SHORT-SLEEVED SHIRTS, VEST NOT HAND, TROUSERS</v>
          </cell>
          <cell r="E1880">
            <v>0</v>
          </cell>
          <cell r="F1880" t="str">
            <v>Bỏ chọn</v>
          </cell>
          <cell r="G1880"/>
          <cell r="H1880"/>
        </row>
        <row r="1881">
          <cell r="A1881" t="str">
            <v>V78.000.013</v>
          </cell>
          <cell r="B1881" t="str">
            <v>TYPE 4: SHIRT, TROUSERS FOR FEMALE</v>
          </cell>
          <cell r="C1881" t="str">
            <v>MẪU 4: ÁO SƠ MI, QUẦN ÂU NỮ</v>
          </cell>
          <cell r="D1881" t="str">
            <v>TYPE 4: SHIRT, TROUSERS FOR FEMALE</v>
          </cell>
          <cell r="E1881">
            <v>0</v>
          </cell>
          <cell r="F1881" t="str">
            <v>Bỏ chọn</v>
          </cell>
          <cell r="G1881"/>
          <cell r="H1881"/>
        </row>
        <row r="1882">
          <cell r="A1882" t="str">
            <v>V51.600.065</v>
          </cell>
          <cell r="B1882" t="str">
            <v>MEIZAN GOLD AW FOR TENT</v>
          </cell>
          <cell r="C1882" t="str">
            <v>BỘ BẠT MEIZAN GOLD LẮP LỀU</v>
          </cell>
          <cell r="D1882" t="str">
            <v>MEIZAN GOLD AW FOR TENT</v>
          </cell>
          <cell r="E1882">
            <v>0</v>
          </cell>
          <cell r="F1882" t="str">
            <v>Bỏ chọn</v>
          </cell>
          <cell r="G1882"/>
          <cell r="H1882"/>
        </row>
        <row r="1883">
          <cell r="A1883" t="str">
            <v>V51.600.066</v>
          </cell>
          <cell r="B1883" t="str">
            <v>MEIZAN GOLD TABLE (INCLUDE AW)</v>
          </cell>
          <cell r="C1883" t="str">
            <v>BÀN MEIZAN GOLD (BAO GỒM HÌNH ẢNH)</v>
          </cell>
          <cell r="D1883" t="str">
            <v>MEIZAN GOLD TABLE (INCLUDE AW)</v>
          </cell>
          <cell r="E1883">
            <v>0</v>
          </cell>
          <cell r="F1883" t="str">
            <v>Bỏ chọn</v>
          </cell>
          <cell r="G1883"/>
          <cell r="H1883"/>
        </row>
        <row r="1884">
          <cell r="A1884" t="str">
            <v>V51.600.067</v>
          </cell>
          <cell r="B1884" t="str">
            <v>MEIZAN GOLD AW FOR TABLE</v>
          </cell>
          <cell r="C1884" t="str">
            <v>BỘ HÌNH ẢNH LẮP BÀN MEIZAN GOLD</v>
          </cell>
          <cell r="D1884" t="str">
            <v>MEIZAN GOLD AW FOR TABLE</v>
          </cell>
          <cell r="E1884">
            <v>0</v>
          </cell>
          <cell r="F1884" t="str">
            <v>Bỏ chọn</v>
          </cell>
          <cell r="G1884"/>
          <cell r="H1884"/>
        </row>
        <row r="1885">
          <cell r="A1885" t="str">
            <v>6.70534</v>
          </cell>
          <cell r="B1885" t="str">
            <v>PALM METHYL ESTER (PME)</v>
          </cell>
          <cell r="C1885" t="str">
            <v>METHYL ESTER TỪ CỌ</v>
          </cell>
          <cell r="D1885" t="str">
            <v>PALM METHYL ESTER (PME)</v>
          </cell>
          <cell r="E1885">
            <v>1</v>
          </cell>
          <cell r="F1885" t="str">
            <v>Bỏ chọn</v>
          </cell>
          <cell r="G1885"/>
          <cell r="H1885"/>
        </row>
        <row r="1886">
          <cell r="A1886" t="str">
            <v>6.70535</v>
          </cell>
          <cell r="B1886" t="str">
            <v>EHTHOXYLATED LAURETH (C12C14) ALCOHOL  1EO</v>
          </cell>
          <cell r="C1886" t="str">
            <v>RƯỢU BÉO ĐÃ ĐƯỢC ETHOXYLATE HÓA 1 MOL</v>
          </cell>
          <cell r="D1886" t="str">
            <v>EHTHOXYLATED LAURETH (C12C14) ALCOHOL  1EO</v>
          </cell>
          <cell r="E1886">
            <v>1</v>
          </cell>
          <cell r="F1886" t="str">
            <v>Bỏ chọn</v>
          </cell>
          <cell r="G1886"/>
          <cell r="H1886"/>
        </row>
        <row r="1887">
          <cell r="A1887" t="str">
            <v>V51.000.035</v>
          </cell>
          <cell r="B1887" t="str">
            <v>IRON SHELF</v>
          </cell>
          <cell r="C1887" t="str">
            <v>KỆ SẮT</v>
          </cell>
          <cell r="D1887" t="str">
            <v>IRON SHELF</v>
          </cell>
          <cell r="E1887">
            <v>0</v>
          </cell>
          <cell r="F1887" t="str">
            <v>Bỏ chọn</v>
          </cell>
          <cell r="G1887"/>
          <cell r="H1887"/>
        </row>
        <row r="1888">
          <cell r="A1888" t="str">
            <v>7.131078061700E10</v>
          </cell>
          <cell r="B1888" t="str">
            <v>CO-MEIZAN GOLD IN BOTTLE @5L</v>
          </cell>
          <cell r="C1888" t="str">
            <v>DẦU ĂN CAO CẤP NHÃN HIỆU MEIZAN GOLD 5L</v>
          </cell>
          <cell r="D1888" t="str">
            <v>CO-MEIZAN GOLD IN BOTTLE @5L</v>
          </cell>
          <cell r="E1888">
            <v>4.55</v>
          </cell>
          <cell r="F1888" t="str">
            <v>Chọn</v>
          </cell>
          <cell r="G1888"/>
          <cell r="H1888"/>
        </row>
        <row r="1889">
          <cell r="A1889" t="str">
            <v>7.B25085499660105</v>
          </cell>
          <cell r="B1889" t="str">
            <v>PORK BOUILLON GRANULE 380G X 40 PAC/CAR</v>
          </cell>
          <cell r="C1889" t="str">
            <v>HẠT NÊM 4 TRONG 1 - VỊ HEO 380G X 40 GÓI/THÙNG</v>
          </cell>
          <cell r="D1889" t="str">
            <v>PORK BOUILLON GRANULE 380G X 40 PAC/CAR</v>
          </cell>
          <cell r="E1889">
            <v>15.2</v>
          </cell>
          <cell r="F1889" t="str">
            <v>Bỏ chọn</v>
          </cell>
          <cell r="G1889"/>
          <cell r="H1889"/>
        </row>
        <row r="1890">
          <cell r="A1890" t="str">
            <v>7.B2508549966010501</v>
          </cell>
          <cell r="B1890" t="str">
            <v>PORK BOUILLON GRANULE 380G</v>
          </cell>
          <cell r="C1890" t="str">
            <v>HẠT NÊM 4 TRONG 1 - VỊ HEO 380G</v>
          </cell>
          <cell r="D1890" t="str">
            <v>PORK BOUILLON GRANULE 380G</v>
          </cell>
          <cell r="E1890">
            <v>0.38</v>
          </cell>
          <cell r="F1890" t="str">
            <v>Bỏ chọn</v>
          </cell>
          <cell r="G1890"/>
          <cell r="H1890"/>
        </row>
        <row r="1891">
          <cell r="A1891" t="str">
            <v>7.B24022399670103</v>
          </cell>
          <cell r="B1891" t="str">
            <v>SPECIAL HOT CHILI SAUCE 10G X 1200 PACK/CAR</v>
          </cell>
          <cell r="C1891" t="str">
            <v>TƯƠNG ỚT ĐẶC BIỆT CAY 10G X 1200 GÓI/THÙNG</v>
          </cell>
          <cell r="D1891" t="str">
            <v>SPECIAL HOT CHILI SAUCE 10G X 1200 PACK/CAR</v>
          </cell>
          <cell r="E1891">
            <v>12</v>
          </cell>
          <cell r="F1891" t="str">
            <v>Bỏ chọn</v>
          </cell>
          <cell r="G1891" t="str">
            <v>2000000008</v>
          </cell>
          <cell r="H1891" t="str">
            <v>7.B2402239967010301</v>
          </cell>
        </row>
        <row r="1892">
          <cell r="A1892" t="str">
            <v>7.B2402239967010301</v>
          </cell>
          <cell r="B1892" t="str">
            <v>SPECIAL HOT CHILI SAUCE 10G</v>
          </cell>
          <cell r="C1892" t="str">
            <v>TƯƠNG ỚT ĐẶC BIỆT CAY 10G</v>
          </cell>
          <cell r="D1892" t="str">
            <v>SPECIAL HOT CHILI SAUCE 10GR</v>
          </cell>
          <cell r="E1892">
            <v>0.01</v>
          </cell>
          <cell r="F1892" t="str">
            <v>Bỏ chọn</v>
          </cell>
          <cell r="G1892" t="str">
            <v>2000000008</v>
          </cell>
          <cell r="H1892"/>
        </row>
        <row r="1893">
          <cell r="A1893" t="str">
            <v>V51.050.011</v>
          </cell>
          <cell r="B1893" t="str">
            <v>MEI PREMIUM RICE MACARONI 200G-ELBOW</v>
          </cell>
          <cell r="C1893" t="str">
            <v>NUI GẠO CAO CẤP MEIZAN - CHỮ "C" 200G</v>
          </cell>
          <cell r="D1893" t="str">
            <v>MEI PREMIUM RICE MACARONI 200G-ELBOW</v>
          </cell>
          <cell r="E1893">
            <v>0</v>
          </cell>
          <cell r="F1893" t="str">
            <v>Bỏ chọn</v>
          </cell>
          <cell r="G1893"/>
          <cell r="H1893"/>
        </row>
        <row r="1894">
          <cell r="A1894" t="str">
            <v>7.45105008010300TD</v>
          </cell>
          <cell r="B1894" t="str">
            <v>CO-SIMPLY SBO 5L X 4 BTL</v>
          </cell>
          <cell r="C1894" t="str">
            <v>DẦU ĐẬU NÀNH NHÃN HIỆU SIMPLY 5L</v>
          </cell>
          <cell r="D1894" t="str">
            <v>CO-SPSBO5LX4BTL</v>
          </cell>
          <cell r="E1894">
            <v>18.2</v>
          </cell>
          <cell r="F1894" t="str">
            <v>Chọn</v>
          </cell>
          <cell r="G1894"/>
          <cell r="H1894"/>
        </row>
        <row r="1895">
          <cell r="A1895" t="str">
            <v>7.45105008170000TD</v>
          </cell>
          <cell r="B1895" t="str">
            <v>CO-SIMPLY SBO  BTL @ 5L</v>
          </cell>
          <cell r="C1895" t="str">
            <v>DẦU ĐẬU NÀNH NHÃN HIỆU SIMPLY 5L</v>
          </cell>
          <cell r="D1895" t="str">
            <v>CO-SPSBO@5LBTL</v>
          </cell>
          <cell r="E1895">
            <v>4.55</v>
          </cell>
          <cell r="F1895" t="str">
            <v>Chọn</v>
          </cell>
          <cell r="G1895"/>
          <cell r="H1895"/>
        </row>
        <row r="1896">
          <cell r="A1896" t="str">
            <v>V51.102.013</v>
          </cell>
          <cell r="B1896" t="str">
            <v>DISHWASHING LIQUID POWER100 SIZE: 1.5KG</v>
          </cell>
          <cell r="C1896" t="str">
            <v>NƯỚC RỬA CHÉN 1.5KG</v>
          </cell>
          <cell r="D1896" t="str">
            <v>DISHWASHING LIQUID POWER100 SIZE: 1.5KG</v>
          </cell>
          <cell r="E1896">
            <v>0</v>
          </cell>
          <cell r="F1896" t="str">
            <v>Bỏ chọn</v>
          </cell>
          <cell r="G1896"/>
          <cell r="H1896"/>
        </row>
        <row r="1897">
          <cell r="A1897" t="str">
            <v>V51.046.012</v>
          </cell>
          <cell r="B1897" t="str">
            <v>PORK BOUILLON GRANULE 380G (X 40 PAC/CAR)</v>
          </cell>
          <cell r="C1897" t="str">
            <v>HẠT NÊM 4 TRONG 1 - VỊ HEO 380G</v>
          </cell>
          <cell r="D1897" t="str">
            <v>PORK BOUILLON GRANULE 380G (X 40 PAC/CAR)</v>
          </cell>
          <cell r="E1897">
            <v>0</v>
          </cell>
          <cell r="F1897" t="str">
            <v>Bỏ chọn</v>
          </cell>
          <cell r="G1897"/>
          <cell r="H1897"/>
        </row>
        <row r="1898">
          <cell r="A1898" t="str">
            <v>V51.102.014</v>
          </cell>
          <cell r="B1898" t="str">
            <v>DISHWASHING LIQUID POWER100, 1.5 KG</v>
          </cell>
          <cell r="C1898" t="str">
            <v>NƯỚC RỬA CHÉN POWER100, LOẠI 1.5 KG</v>
          </cell>
          <cell r="D1898" t="str">
            <v>DISHWASHING LIQUID POWER100, 1.5 KG</v>
          </cell>
          <cell r="E1898">
            <v>0</v>
          </cell>
          <cell r="F1898" t="str">
            <v>Bỏ chọn</v>
          </cell>
          <cell r="G1898"/>
          <cell r="H1898"/>
        </row>
        <row r="1899">
          <cell r="A1899" t="str">
            <v>7.52399109903A0</v>
          </cell>
          <cell r="B1899" t="str">
            <v>FLOUR SAMPLE 5KG</v>
          </cell>
          <cell r="C1899" t="str">
            <v>BỘT MÌ MẪU 5KG</v>
          </cell>
          <cell r="D1899" t="str">
            <v>FLOUR SAMPLE 5KG</v>
          </cell>
          <cell r="E1899">
            <v>5</v>
          </cell>
          <cell r="F1899" t="str">
            <v>Bỏ chọn</v>
          </cell>
          <cell r="G1899"/>
          <cell r="H1899"/>
        </row>
        <row r="1900">
          <cell r="A1900" t="str">
            <v>7.5239932990301</v>
          </cell>
          <cell r="B1900" t="str">
            <v>PINK COMPASS 5KG</v>
          </cell>
          <cell r="C1900" t="str">
            <v>BỘT MÌ HIỆU LA BÀN HỒNG 5KG</v>
          </cell>
          <cell r="D1900" t="str">
            <v>PINK COMPASS 5KG</v>
          </cell>
          <cell r="E1900">
            <v>5</v>
          </cell>
          <cell r="F1900" t="str">
            <v>Bỏ chọn</v>
          </cell>
          <cell r="G1900"/>
          <cell r="H1900"/>
        </row>
        <row r="1901">
          <cell r="A1901" t="str">
            <v>7.5239902990301</v>
          </cell>
          <cell r="B1901" t="str">
            <v>BLUE KEY (5KG)</v>
          </cell>
          <cell r="C1901" t="str">
            <v>BỘT MÌ CHÌA KHÓA XANH (5KG)</v>
          </cell>
          <cell r="D1901" t="str">
            <v>BLUE KEY (5KG)</v>
          </cell>
          <cell r="E1901">
            <v>5</v>
          </cell>
          <cell r="F1901" t="str">
            <v>Bỏ chọn</v>
          </cell>
          <cell r="G1901"/>
          <cell r="H1901"/>
        </row>
        <row r="1902">
          <cell r="A1902" t="str">
            <v>7.5239907990501</v>
          </cell>
          <cell r="B1902" t="str">
            <v>GREEN KEY</v>
          </cell>
          <cell r="C1902" t="str">
            <v>BỘT MÌ HIỆU"CHÌA KHÓA XANH LÁ"</v>
          </cell>
          <cell r="D1902" t="str">
            <v>GREEN KEY</v>
          </cell>
          <cell r="E1902">
            <v>25</v>
          </cell>
          <cell r="F1902" t="str">
            <v>Bỏ chọn</v>
          </cell>
          <cell r="G1902"/>
          <cell r="H1902"/>
        </row>
        <row r="1903">
          <cell r="A1903" t="str">
            <v>7.B25085499030105</v>
          </cell>
          <cell r="B1903" t="str">
            <v>PORK BOUILLON GRANULE 5KG X 3 PACK/CAR</v>
          </cell>
          <cell r="C1903" t="str">
            <v>HẠT NÊM 4 TRONG 1 VỊ HEO 5KG X 3 TÚI/THÙNG</v>
          </cell>
          <cell r="D1903" t="str">
            <v>PORK BOUILLON GRANULE 5KG X 3 PACK/CAR</v>
          </cell>
          <cell r="E1903">
            <v>15</v>
          </cell>
          <cell r="F1903" t="str">
            <v>Bỏ chọn</v>
          </cell>
          <cell r="G1903" t="str">
            <v>2000000008</v>
          </cell>
          <cell r="H1903" t="str">
            <v>7.B2508549903010501</v>
          </cell>
        </row>
        <row r="1904">
          <cell r="A1904" t="str">
            <v>7.B2508549903010501</v>
          </cell>
          <cell r="B1904" t="str">
            <v>PORK BOUILLON GRANULE 5KG</v>
          </cell>
          <cell r="C1904" t="str">
            <v>HẠT NÊM 4 TRONG 1 VỊ HEO 5KG</v>
          </cell>
          <cell r="D1904" t="str">
            <v>PORK BOUILLON GRANULE 5KG</v>
          </cell>
          <cell r="E1904">
            <v>5.0659999999999998</v>
          </cell>
          <cell r="F1904" t="str">
            <v>Bỏ chọn</v>
          </cell>
          <cell r="G1904" t="str">
            <v>2000000008</v>
          </cell>
          <cell r="H1904"/>
        </row>
        <row r="1905">
          <cell r="A1905" t="str">
            <v>V51.000.036</v>
          </cell>
          <cell r="B1905" t="str">
            <v>HANGING BANNER POWER100</v>
          </cell>
          <cell r="C1905" t="str">
            <v>BĂNG RÔN THẢ TRẦN POWER100</v>
          </cell>
          <cell r="D1905" t="str">
            <v>HANGING BANNER POWER100</v>
          </cell>
          <cell r="E1905">
            <v>0</v>
          </cell>
          <cell r="F1905" t="str">
            <v>Bỏ chọn</v>
          </cell>
          <cell r="G1905"/>
          <cell r="H1905"/>
        </row>
        <row r="1906">
          <cell r="A1906" t="str">
            <v>V39.000.035</v>
          </cell>
          <cell r="B1906" t="str">
            <v>APRON POWER100</v>
          </cell>
          <cell r="C1906" t="str">
            <v>TẠP DỀ POWER100</v>
          </cell>
          <cell r="D1906" t="str">
            <v>APRON POWER100</v>
          </cell>
          <cell r="E1906">
            <v>0</v>
          </cell>
          <cell r="F1906" t="str">
            <v>Bỏ chọn</v>
          </cell>
          <cell r="G1906"/>
          <cell r="H1906"/>
        </row>
        <row r="1907">
          <cell r="A1907" t="str">
            <v>7.131069036014E60TD</v>
          </cell>
          <cell r="B1907" t="str">
            <v>NEPTUNE GOLD TET GIFTPACK 1L X 8 BTL</v>
          </cell>
          <cell r="C1907" t="str">
            <v>DẦU ĂN THƯỢNG HẠNG HIỆU NEPTUNE GOLD 1L (8 CHAI/ THÙNG) - ĐÓNG KÈM 4 GÓI THỰC PHẨM BỔ SUNG HẠT NÊM 4 TRONG 1 - VỊ HEO 250G/ THÙNG</v>
          </cell>
          <cell r="D1907" t="str">
            <v>NEPTUNE GOLD TET GIFTPACK 1L X 8 BTL</v>
          </cell>
          <cell r="E1907">
            <v>7.28</v>
          </cell>
          <cell r="F1907" t="str">
            <v>Bỏ chọn</v>
          </cell>
          <cell r="G1907"/>
          <cell r="H1907"/>
        </row>
        <row r="1908">
          <cell r="A1908" t="str">
            <v>V51.00A.003</v>
          </cell>
          <cell r="B1908" t="str">
            <v>CALENDAR 2019</v>
          </cell>
          <cell r="C1908" t="str">
            <v>LỊCH BLOC 2019</v>
          </cell>
          <cell r="D1908" t="str">
            <v>CALENDAR 2019</v>
          </cell>
          <cell r="E1908">
            <v>0</v>
          </cell>
          <cell r="F1908" t="str">
            <v>Bỏ chọn</v>
          </cell>
          <cell r="G1908"/>
          <cell r="H1908"/>
        </row>
        <row r="1909">
          <cell r="A1909" t="str">
            <v>V51.00A.004</v>
          </cell>
          <cell r="B1909" t="str">
            <v>TET GIFT</v>
          </cell>
          <cell r="C1909" t="str">
            <v>QUÀ TẾT</v>
          </cell>
          <cell r="D1909" t="str">
            <v>TET GIFT</v>
          </cell>
          <cell r="E1909">
            <v>0</v>
          </cell>
          <cell r="F1909" t="str">
            <v>Bỏ chọn</v>
          </cell>
          <cell r="G1909"/>
          <cell r="H1909"/>
        </row>
        <row r="1910">
          <cell r="A1910" t="str">
            <v>7.D37011099050124TD</v>
          </cell>
          <cell r="B1910" t="str">
            <v>WHITE COMPOUND SLW-3200B, BLOCK, (2.5 X 10 PCS), 25KG</v>
          </cell>
          <cell r="C1910" t="str">
            <v>NGUYÊN LIỆU THỰC PHẨM SÔ-CÔ-LA TRẮNG SLW-3200B</v>
          </cell>
          <cell r="D1910" t="str">
            <v>WHITE COMPOUND SLW-3200B, BLOCK, (2.5 X 10 PCS), 25KG</v>
          </cell>
          <cell r="E1910">
            <v>25</v>
          </cell>
          <cell r="F1910" t="str">
            <v>Bỏ chọn</v>
          </cell>
          <cell r="G1910"/>
          <cell r="H1910"/>
        </row>
        <row r="1911">
          <cell r="A1911" t="str">
            <v>7.D37011099050125TD</v>
          </cell>
          <cell r="B1911" t="str">
            <v>DARK COMPOUND SLD-3836Z, BLOCK, (2.5 X 10 PCS), 25KG</v>
          </cell>
          <cell r="C1911" t="str">
            <v>NGUYÊN LIỆU THỰC PHẨM SÔ-CÔ-LA ĐEN SLD-3836Z</v>
          </cell>
          <cell r="D1911" t="str">
            <v>DARK COMPOUND SLD-3836Z, BLOCK, (2.5 X 10 PCS), 25KG</v>
          </cell>
          <cell r="E1911">
            <v>25</v>
          </cell>
          <cell r="F1911" t="str">
            <v>Bỏ chọn</v>
          </cell>
          <cell r="G1911"/>
          <cell r="H1911"/>
        </row>
        <row r="1912">
          <cell r="A1912" t="str">
            <v>6.1213210TD</v>
          </cell>
          <cell r="B1912" t="str">
            <v>RBD TEXTURIZED HYDROGENATED PALM KERNEL OIL WILKOTE 357-A IN FLEXIBAG</v>
          </cell>
          <cell r="C1912" t="str">
            <v>DẦU NHÂN CỌ ĐƯỢC HYDRO HÓA , TINH LUYỆN WILKOTE 357-A</v>
          </cell>
          <cell r="D1912" t="str">
            <v>RBD TEXTURIZED HYDROGENATED PALM KERNEL OIL WILKOTE 357-A IN FLEXIBAG</v>
          </cell>
          <cell r="E1912">
            <v>1</v>
          </cell>
          <cell r="F1912" t="str">
            <v>Bỏ chọn</v>
          </cell>
          <cell r="G1912"/>
          <cell r="H1912"/>
        </row>
        <row r="1913">
          <cell r="A1913" t="str">
            <v>7.70534</v>
          </cell>
          <cell r="B1913" t="str">
            <v>TEXTURIZED REFINED HYDROGERATED COCONUT OIL</v>
          </cell>
          <cell r="C1913" t="str">
            <v>DẦU DỪA TINH LUYỆN ĐÃ HYDRO HÓA</v>
          </cell>
          <cell r="D1913" t="str">
            <v>TEXTURIZED REFINED HYDROGERATED COCONUT OIL</v>
          </cell>
          <cell r="E1913">
            <v>1</v>
          </cell>
          <cell r="F1913" t="str">
            <v>Bỏ chọn</v>
          </cell>
          <cell r="G1913"/>
          <cell r="H1913"/>
        </row>
        <row r="1914">
          <cell r="A1914" t="str">
            <v>7.131069036002E60TD</v>
          </cell>
          <cell r="B1914" t="str">
            <v>NEPTUNE GOLD TET GIFTPACK 1L X 2BTL</v>
          </cell>
          <cell r="C1914" t="str">
            <v>DẦU ĂN THƯỢNG HẠNG HIỆU NEPTUNE GOLD 1L (2 CHAI/ HỘP) - ĐÓNG KÈM 1 GÓI THỰC PHẨM BỔ SUNG HẠT NÊM 4 TRONG 1 - VỊ HEO 250G/ HỘP</v>
          </cell>
          <cell r="D1914" t="str">
            <v>NEPTUNE GOLD TET GIFTPACK 1L X 2BTL</v>
          </cell>
          <cell r="E1914">
            <v>1.82</v>
          </cell>
          <cell r="F1914" t="str">
            <v>Bỏ chọn</v>
          </cell>
          <cell r="G1914"/>
          <cell r="H1914"/>
        </row>
        <row r="1915">
          <cell r="A1915" t="str">
            <v>6.70536</v>
          </cell>
          <cell r="B1915" t="str">
            <v>SPLIT PALM KERNEL OIL FATTY ACID; FLEXIBAG</v>
          </cell>
          <cell r="C1915" t="str">
            <v>AXIT BÉO TÁCH TỪ NHÂN HẠT CỌ CHƯA QUA CHƯNG CẤT PHÂN ĐOẠN; FLEXIBAG</v>
          </cell>
          <cell r="D1915" t="str">
            <v>SPLIT PALM KERNEL OIL FATTY ACID; FLEXIBAG</v>
          </cell>
          <cell r="E1915">
            <v>1</v>
          </cell>
          <cell r="F1915" t="str">
            <v>Bỏ chọn</v>
          </cell>
          <cell r="G1915"/>
          <cell r="H1915"/>
        </row>
        <row r="1916">
          <cell r="A1916" t="str">
            <v>V39.000.036</v>
          </cell>
          <cell r="B1916" t="str">
            <v>3M BASIC GLOVES 26CM POWER100</v>
          </cell>
          <cell r="C1916" t="str">
            <v>3M GĂNG TAY DÀI 26CM</v>
          </cell>
          <cell r="D1916" t="str">
            <v>3M BASIC GLOVES 26CM POWER100</v>
          </cell>
          <cell r="E1916">
            <v>0</v>
          </cell>
          <cell r="F1916" t="str">
            <v>Bỏ chọn</v>
          </cell>
          <cell r="G1916"/>
          <cell r="H1916"/>
        </row>
        <row r="1917">
          <cell r="A1917" t="str">
            <v>V51.000.037</v>
          </cell>
          <cell r="B1917" t="str">
            <v>3M NON-SCRATCH SCRUB SPONGE 70X90MM POWER100</v>
          </cell>
          <cell r="C1917" t="str">
            <v>3M CƯỚC CỌ RỬA SIÊU SẠCH CÓ MÚT CHỮ NHẬT 70X90MM</v>
          </cell>
          <cell r="D1917" t="str">
            <v>3M NON-SCRATCH SCRUB SPONGE 70X90MM POWER100</v>
          </cell>
          <cell r="E1917">
            <v>0</v>
          </cell>
          <cell r="F1917" t="str">
            <v>Bỏ chọn</v>
          </cell>
          <cell r="G1917"/>
          <cell r="H1917"/>
        </row>
        <row r="1918">
          <cell r="A1918" t="str">
            <v>V51.000.038</v>
          </cell>
          <cell r="B1918" t="str">
            <v>MESH SPONGE POWER100</v>
          </cell>
          <cell r="C1918" t="str">
            <v>MIẾNG LƯỚI RỬA CHÉN</v>
          </cell>
          <cell r="D1918" t="str">
            <v>MESH SPONGE POWER100</v>
          </cell>
          <cell r="E1918">
            <v>0</v>
          </cell>
          <cell r="F1918" t="str">
            <v>Bỏ chọn</v>
          </cell>
          <cell r="G1918"/>
          <cell r="H1918"/>
        </row>
        <row r="1919">
          <cell r="A1919" t="str">
            <v>7.5239902990501</v>
          </cell>
          <cell r="B1919" t="str">
            <v>BLUE KEY (25KG)</v>
          </cell>
          <cell r="C1919" t="str">
            <v>BỘT MÌ HIỆU CHÌA KHÓA XANH</v>
          </cell>
          <cell r="D1919" t="str">
            <v>BLUE KEY (25KG)</v>
          </cell>
          <cell r="E1919">
            <v>25</v>
          </cell>
          <cell r="F1919" t="str">
            <v>Bỏ chọn</v>
          </cell>
          <cell r="G1919"/>
          <cell r="H1919"/>
        </row>
        <row r="1920">
          <cell r="A1920" t="str">
            <v>7.52399449902A0</v>
          </cell>
          <cell r="B1920" t="str">
            <v>LWW - 1 1KG</v>
          </cell>
          <cell r="C1920" t="str">
            <v>BỘT MÌ LWW - 1 (1KG)</v>
          </cell>
          <cell r="D1920" t="str">
            <v>LWW - 1 1KG</v>
          </cell>
          <cell r="E1920">
            <v>1</v>
          </cell>
          <cell r="F1920" t="str">
            <v>Bỏ chọn</v>
          </cell>
          <cell r="G1920"/>
          <cell r="H1920"/>
        </row>
        <row r="1921">
          <cell r="A1921" t="str">
            <v>7.52399359902A0</v>
          </cell>
          <cell r="B1921" t="str">
            <v>LWW - 2 1KG</v>
          </cell>
          <cell r="C1921" t="str">
            <v>BỘT MÌ LWW - 2 (1KG)</v>
          </cell>
          <cell r="D1921" t="str">
            <v>LWW - 2 1KG</v>
          </cell>
          <cell r="E1921">
            <v>1</v>
          </cell>
          <cell r="F1921" t="str">
            <v>Bỏ chọn</v>
          </cell>
          <cell r="G1921"/>
          <cell r="H1921"/>
        </row>
        <row r="1922">
          <cell r="A1922" t="str">
            <v>7.52399369902A0</v>
          </cell>
          <cell r="B1922" t="str">
            <v>LWW - 3 1KG</v>
          </cell>
          <cell r="C1922" t="str">
            <v>BỘT MÌ LWW - 3 (1KG)</v>
          </cell>
          <cell r="D1922" t="str">
            <v>LWW - 3 1KG</v>
          </cell>
          <cell r="E1922">
            <v>1</v>
          </cell>
          <cell r="F1922" t="str">
            <v>Bỏ chọn</v>
          </cell>
          <cell r="G1922"/>
          <cell r="H1922"/>
        </row>
        <row r="1923">
          <cell r="A1923" t="str">
            <v>7.C350155994901RT</v>
          </cell>
          <cell r="B1923" t="str">
            <v>DISHWASHING LIQUID POWER100, 3,8KG X 4 JRG</v>
          </cell>
          <cell r="C1923" t="str">
            <v>NƯỚC RỬA CHÉN POWER100, LOẠI 3,8 KG X 4 CAN</v>
          </cell>
          <cell r="D1923" t="str">
            <v>DISHWASHING LIQUID POWER100, 3,8KG X 4 JRG</v>
          </cell>
          <cell r="E1923">
            <v>15.2</v>
          </cell>
          <cell r="F1923" t="str">
            <v>Bỏ chọn</v>
          </cell>
          <cell r="G1923"/>
          <cell r="H1923"/>
        </row>
        <row r="1924">
          <cell r="A1924" t="str">
            <v>7.C350155995001RT</v>
          </cell>
          <cell r="B1924" t="str">
            <v>DISHWASHING LIQUID POWER100, 9,5KG</v>
          </cell>
          <cell r="C1924" t="str">
            <v>NƯỚC RỬA CHÉN POWER100, LOẠI 9,5 KG</v>
          </cell>
          <cell r="D1924" t="str">
            <v>DISHWASHING LIQUID POWER100, 9,5KG</v>
          </cell>
          <cell r="E1924">
            <v>9.5</v>
          </cell>
          <cell r="F1924" t="str">
            <v>Bỏ chọn</v>
          </cell>
          <cell r="G1924"/>
          <cell r="H1924"/>
        </row>
        <row r="1925">
          <cell r="A1925" t="str">
            <v>6.5239964990501</v>
          </cell>
          <cell r="B1925" t="str">
            <v>HI RATIO FLOUR</v>
          </cell>
          <cell r="C1925" t="str">
            <v>BỘT MÌ HIỆU"HI RATIO FLOUR"</v>
          </cell>
          <cell r="D1925" t="str">
            <v>HI RATIO FLOUR</v>
          </cell>
          <cell r="E1925">
            <v>25</v>
          </cell>
          <cell r="F1925" t="str">
            <v>Bỏ chọn</v>
          </cell>
          <cell r="G1925"/>
          <cell r="H1925"/>
        </row>
        <row r="1926">
          <cell r="A1926" t="str">
            <v>V78.000.014</v>
          </cell>
          <cell r="B1926" t="str">
            <v>YELLOW SHIRT -LONG SLEEVE</v>
          </cell>
          <cell r="C1926" t="str">
            <v>ÁO SƠ MI DÀI TAY NỮ MÀU VÀNG</v>
          </cell>
          <cell r="D1926" t="str">
            <v>YELLOW SHIRT -LONG SLEEVE</v>
          </cell>
          <cell r="E1926">
            <v>0</v>
          </cell>
          <cell r="F1926" t="str">
            <v>Chọn</v>
          </cell>
          <cell r="G1926"/>
          <cell r="H1926"/>
        </row>
        <row r="1927">
          <cell r="A1927" t="str">
            <v>7.B24022899450126</v>
          </cell>
          <cell r="B1927" t="str">
            <v>CHILI SAUCE 470G X 12 BOT/CAR</v>
          </cell>
          <cell r="C1927" t="str">
            <v>TƯƠNG ỚT 470G X 12 CHAI/THÙNG</v>
          </cell>
          <cell r="D1927" t="str">
            <v>CHILI SAUCE 470G X 12 BOT/CAR</v>
          </cell>
          <cell r="E1927">
            <v>5.64</v>
          </cell>
          <cell r="F1927" t="str">
            <v>Bỏ chọn</v>
          </cell>
          <cell r="G1927" t="str">
            <v>2000000008</v>
          </cell>
          <cell r="H1927" t="str">
            <v>7.B2402289945012601</v>
          </cell>
        </row>
        <row r="1928">
          <cell r="A1928" t="str">
            <v>7.B2402289945012601</v>
          </cell>
          <cell r="B1928" t="str">
            <v>CHILI SAUCE 470G</v>
          </cell>
          <cell r="C1928" t="str">
            <v>TƯƠNG ỚT 470G</v>
          </cell>
          <cell r="D1928" t="str">
            <v>CHILI SAUCE 470G</v>
          </cell>
          <cell r="E1928">
            <v>0.47</v>
          </cell>
          <cell r="F1928" t="str">
            <v>Bỏ chọn</v>
          </cell>
          <cell r="G1928" t="str">
            <v>2000000008</v>
          </cell>
          <cell r="H1928"/>
        </row>
        <row r="1929">
          <cell r="A1929" t="str">
            <v>7.B24012399680110</v>
          </cell>
          <cell r="B1929" t="str">
            <v>GARLIC CHILI SOY SAUCE 205G X 30 BOT/CAR</v>
          </cell>
          <cell r="C1929" t="str">
            <v>NƯỚC TƯƠNG TỎI ỚT TƯƠI 205G X 30 CHAI/THÙNG</v>
          </cell>
          <cell r="D1929" t="str">
            <v>GARLIC CHILI SOY SAUCE 205G X 30 BOT/CAR</v>
          </cell>
          <cell r="E1929">
            <v>6.15</v>
          </cell>
          <cell r="F1929" t="str">
            <v>Bỏ chọn</v>
          </cell>
          <cell r="G1929"/>
          <cell r="H1929"/>
        </row>
        <row r="1930">
          <cell r="A1930" t="str">
            <v>7.B2401239968011001</v>
          </cell>
          <cell r="B1930" t="str">
            <v>GARLIC CHILI SOY SAUCE 205G</v>
          </cell>
          <cell r="C1930" t="str">
            <v>NƯỚC TƯƠNG TỎI ỚT TƯƠI 205G</v>
          </cell>
          <cell r="D1930" t="str">
            <v>GARLIC CHILI SOY SAUCE 205G</v>
          </cell>
          <cell r="E1930">
            <v>0.20499999999999999</v>
          </cell>
          <cell r="F1930" t="str">
            <v>Bỏ chọn</v>
          </cell>
          <cell r="G1930"/>
          <cell r="H1930"/>
        </row>
        <row r="1931">
          <cell r="A1931" t="str">
            <v>V51.000.039</v>
          </cell>
          <cell r="B1931" t="str">
            <v>NEPTUNE FRAGRANT RICE 5KG</v>
          </cell>
          <cell r="C1931" t="str">
            <v>NEPTUNE GẠO THƠM THƯỢNG HẠNG 5KG</v>
          </cell>
          <cell r="D1931" t="str">
            <v>NEPTUNE FRAGRANT RICE 5KG</v>
          </cell>
          <cell r="E1931">
            <v>0</v>
          </cell>
          <cell r="F1931" t="str">
            <v>Bỏ chọn</v>
          </cell>
          <cell r="G1931"/>
          <cell r="H1931"/>
        </row>
        <row r="1932">
          <cell r="A1932" t="str">
            <v>V39.000.037</v>
          </cell>
          <cell r="B1932" t="str">
            <v>PHILIPS FLAT IRON, MODEL: GC2676</v>
          </cell>
          <cell r="C1932" t="str">
            <v>BÀN ỦI PHILIPS GC2676</v>
          </cell>
          <cell r="D1932" t="str">
            <v>PHILIPS FLAT IRON, MODEL: GC2676</v>
          </cell>
          <cell r="E1932">
            <v>0</v>
          </cell>
          <cell r="F1932" t="str">
            <v>Bỏ chọn</v>
          </cell>
          <cell r="G1932"/>
          <cell r="H1932"/>
        </row>
        <row r="1933">
          <cell r="A1933" t="str">
            <v>V39.000.038</v>
          </cell>
          <cell r="B1933" t="str">
            <v>SHARP ELECTRIC RICE COOKER,KSCOM186EV-GL</v>
          </cell>
          <cell r="C1933" t="str">
            <v>NỒI CƠM ĐIỆN TỬ SHARP, KS-COM186EV-GL</v>
          </cell>
          <cell r="D1933" t="str">
            <v>SHARP ELECTRIC RICE COOKER,KSCOM186EV-GL</v>
          </cell>
          <cell r="E1933">
            <v>0</v>
          </cell>
          <cell r="F1933" t="str">
            <v>Bỏ chọn</v>
          </cell>
          <cell r="G1933"/>
          <cell r="H1933"/>
        </row>
        <row r="1934">
          <cell r="A1934" t="str">
            <v>V39.000.039</v>
          </cell>
          <cell r="B1934" t="str">
            <v>HAPPYCALL PRESSURE COOKER, BLUE 24CM</v>
          </cell>
          <cell r="C1934" t="str">
            <v>NỒI ÁP SUẤT ĐÁY TỪ HAPPYCALL, XANH 24CM</v>
          </cell>
          <cell r="D1934" t="str">
            <v>HAPPYCALL PRESSURE COOKER, BLUE 24CM</v>
          </cell>
          <cell r="E1934">
            <v>0</v>
          </cell>
          <cell r="F1934" t="str">
            <v>Bỏ chọn</v>
          </cell>
          <cell r="G1934"/>
          <cell r="H1934"/>
        </row>
        <row r="1935">
          <cell r="A1935" t="str">
            <v>V39.000.040</v>
          </cell>
          <cell r="B1935" t="str">
            <v>PHILIPS ELECTRIC STOVE : HD4921/00</v>
          </cell>
          <cell r="C1935" t="str">
            <v>BẾP ĐIỆN TỪ PHILIPS, HD4921/00</v>
          </cell>
          <cell r="D1935" t="str">
            <v>PHILIPS ELECTRIC STOVE : HD4921/00</v>
          </cell>
          <cell r="E1935">
            <v>0</v>
          </cell>
          <cell r="F1935" t="str">
            <v>Bỏ chọn</v>
          </cell>
          <cell r="G1935"/>
          <cell r="H1935"/>
        </row>
        <row r="1936">
          <cell r="A1936" t="str">
            <v>V39.000.041</v>
          </cell>
          <cell r="B1936" t="str">
            <v>FIVESTAR INOX 3 BOTTOMS COOKER SET 3 PCS</v>
          </cell>
          <cell r="C1936" t="str">
            <v>BỘ COOL 3 NỒI FIVESTAR 3 ĐÁY NẮP INOX FS06C</v>
          </cell>
          <cell r="D1936" t="str">
            <v>FIVESTAR INOX 3 BOTTOMS COOKER SET 3 PCS</v>
          </cell>
          <cell r="E1936">
            <v>0</v>
          </cell>
          <cell r="F1936" t="str">
            <v>Bỏ chọn</v>
          </cell>
          <cell r="G1936"/>
          <cell r="H1936"/>
        </row>
        <row r="1937">
          <cell r="A1937" t="str">
            <v>V39.000.042</v>
          </cell>
          <cell r="B1937" t="str">
            <v>PHILIPS FLAT IRON, MODEL: GC1430</v>
          </cell>
          <cell r="C1937" t="str">
            <v>BÀN ỦI PHILIPS GC1430</v>
          </cell>
          <cell r="D1937" t="str">
            <v>PHILIPS FLAT IRON, MODEL: GC1430</v>
          </cell>
          <cell r="E1937">
            <v>0</v>
          </cell>
          <cell r="F1937" t="str">
            <v>Bỏ chọn</v>
          </cell>
          <cell r="G1937"/>
          <cell r="H1937"/>
        </row>
        <row r="1938">
          <cell r="A1938" t="str">
            <v>V39.000.043</v>
          </cell>
          <cell r="B1938" t="str">
            <v>SHARP R -G226VN-S MICROWAVE</v>
          </cell>
          <cell r="C1938" t="str">
            <v>LÒ VI SÓNG SHARP R-G226VN-S</v>
          </cell>
          <cell r="D1938" t="str">
            <v>SHARP R -G226VN-S MICROWAVE</v>
          </cell>
          <cell r="E1938">
            <v>0</v>
          </cell>
          <cell r="F1938" t="str">
            <v>Bỏ chọn</v>
          </cell>
          <cell r="G1938"/>
          <cell r="H1938"/>
        </row>
        <row r="1939">
          <cell r="A1939" t="str">
            <v>7.70535</v>
          </cell>
          <cell r="B1939" t="str">
            <v>BLEND OF PALM OIL FRACTION AND HYDROGENATED PALM OIL FRACTION - WILMAX 1050 20KG IN CARTON</v>
          </cell>
          <cell r="C1939" t="str">
            <v>HỖN HỢP PHÂN ĐOẠN DẦU CỌ VÀ PHÂN ĐOẠN DẦU CỌ HYDRO HÓA - WILMAX 1050 ĐÓNG THÙNG CARTON 20KG</v>
          </cell>
          <cell r="D1939" t="str">
            <v>BLEND OF PALM OIL FRACTION AND HYDROGENATED PALM OIL FRACTION - WILMAX 1050 20KG IN CARTON</v>
          </cell>
          <cell r="E1939">
            <v>20</v>
          </cell>
          <cell r="F1939" t="str">
            <v>Bỏ chọn</v>
          </cell>
          <cell r="G1939"/>
          <cell r="H1939"/>
        </row>
        <row r="1940">
          <cell r="A1940" t="str">
            <v>7.B24106333030199</v>
          </cell>
          <cell r="B1940" t="str">
            <v>MAYONNAISE SIMPLY FOR PROFESSIONAL CHEFS 5KG X 4 SHOVE/CAR</v>
          </cell>
          <cell r="C1940" t="str">
            <v>MAYONNAISE SIMPLY FOR PROFESSIONAL CHEFS 5KG X 4 XÔ/THÙNG</v>
          </cell>
          <cell r="D1940" t="str">
            <v>MAYONNAISE SIMPLY FOR PROFESSIONAL CHEFS 5KG X 4 SHOVE/CAR</v>
          </cell>
          <cell r="E1940">
            <v>20</v>
          </cell>
          <cell r="F1940" t="str">
            <v>Bỏ chọn</v>
          </cell>
          <cell r="G1940"/>
          <cell r="H1940"/>
        </row>
        <row r="1941">
          <cell r="A1941" t="str">
            <v>7.B2410633303019901</v>
          </cell>
          <cell r="B1941" t="str">
            <v>MAYONNAISE SIMPLY FOR PROFESSIONAL CHEFS 5KG</v>
          </cell>
          <cell r="C1941" t="str">
            <v>MAYONNAISE SIMPLY FOR PROFESSIONAL CHEFS 5KG</v>
          </cell>
          <cell r="D1941" t="str">
            <v>MAYONNAISE SIMPLY FOR PROFESSIONAL CHEFS 5KG</v>
          </cell>
          <cell r="E1941">
            <v>5</v>
          </cell>
          <cell r="F1941" t="str">
            <v>Bỏ chọn</v>
          </cell>
          <cell r="G1941"/>
          <cell r="H1941"/>
        </row>
        <row r="1942">
          <cell r="A1942" t="str">
            <v>V51.00A.005</v>
          </cell>
          <cell r="B1942" t="str">
            <v>ARTWORK - 41 SET</v>
          </cell>
          <cell r="C1942" t="str">
            <v>BỘ HÌNH ẢNH THIẾT KẾ DỰ PHÒNG DÁN BÀN</v>
          </cell>
          <cell r="D1942" t="str">
            <v>ARTWORK - 41 SET</v>
          </cell>
          <cell r="E1942">
            <v>1.75</v>
          </cell>
          <cell r="F1942" t="str">
            <v>Bỏ chọn</v>
          </cell>
          <cell r="G1942"/>
          <cell r="H1942"/>
        </row>
        <row r="1943">
          <cell r="A1943" t="str">
            <v>7.5239965990501</v>
          </cell>
          <cell r="B1943" t="str">
            <v>PINK SATELLITE (25KG )</v>
          </cell>
          <cell r="C1943" t="str">
            <v>BỘT MÌ HIỆU"VỆ TINH HỒNG" (25KG)</v>
          </cell>
          <cell r="D1943" t="str">
            <v>PINK SATELLITE (25KG )</v>
          </cell>
          <cell r="E1943">
            <v>25</v>
          </cell>
          <cell r="F1943" t="str">
            <v>Bỏ chọn</v>
          </cell>
          <cell r="G1943"/>
          <cell r="H1943"/>
        </row>
        <row r="1944">
          <cell r="A1944" t="str">
            <v>V51.000.040</v>
          </cell>
          <cell r="B1944" t="str">
            <v>HDPE PLASTIC BAG 27X46CM-POWER100</v>
          </cell>
          <cell r="C1944" t="str">
            <v>TÚI NHỰA HDPE 27X46CM HIỆU POWER100</v>
          </cell>
          <cell r="D1944" t="str">
            <v>HDPE PLASTIC BAG 27X46CM-POWER100</v>
          </cell>
          <cell r="E1944">
            <v>0</v>
          </cell>
          <cell r="F1944" t="str">
            <v>Bỏ chọn</v>
          </cell>
          <cell r="G1944"/>
          <cell r="H1944"/>
        </row>
        <row r="1945">
          <cell r="A1945" t="str">
            <v>7.52399109905A0</v>
          </cell>
          <cell r="B1945" t="str">
            <v>SAMPLE 25KG</v>
          </cell>
          <cell r="C1945" t="str">
            <v>HÀNG MẪU 25KG</v>
          </cell>
          <cell r="D1945" t="str">
            <v>SAMPLE 25KG</v>
          </cell>
          <cell r="E1945">
            <v>25</v>
          </cell>
          <cell r="F1945" t="str">
            <v>Bỏ chọn</v>
          </cell>
          <cell r="G1945"/>
          <cell r="H1945"/>
        </row>
        <row r="1946">
          <cell r="A1946" t="str">
            <v>7.52399109906A0</v>
          </cell>
          <cell r="B1946" t="str">
            <v>SAMPLE 40KG</v>
          </cell>
          <cell r="C1946" t="str">
            <v>HÀNG MẪU 40KG</v>
          </cell>
          <cell r="D1946" t="str">
            <v>SAMPLE 40KG</v>
          </cell>
          <cell r="E1946">
            <v>40</v>
          </cell>
          <cell r="F1946" t="str">
            <v>Bỏ chọn</v>
          </cell>
          <cell r="G1946"/>
          <cell r="H1946"/>
        </row>
        <row r="1947">
          <cell r="A1947" t="str">
            <v>7.52399319903A0</v>
          </cell>
          <cell r="B1947" t="str">
            <v>BCR - 1 5KG</v>
          </cell>
          <cell r="C1947" t="str">
            <v>BỘT MÌ HIỆU BCR-1 (5KG)</v>
          </cell>
          <cell r="D1947" t="str">
            <v>BCR - 1 5KG</v>
          </cell>
          <cell r="E1947">
            <v>5</v>
          </cell>
          <cell r="F1947" t="str">
            <v>Bỏ chọn</v>
          </cell>
          <cell r="G1947"/>
          <cell r="H1947"/>
        </row>
        <row r="1948">
          <cell r="A1948" t="str">
            <v>7.52399153403A0</v>
          </cell>
          <cell r="B1948" t="str">
            <v>RED KEY N 5KG</v>
          </cell>
          <cell r="C1948" t="str">
            <v>BỘT MÌ HIỆU CHÌA KHÓA ĐỎ MÌ SỢI (5KG)</v>
          </cell>
          <cell r="D1948" t="str">
            <v>RED KEY N 5KG</v>
          </cell>
          <cell r="E1948">
            <v>5</v>
          </cell>
          <cell r="F1948" t="str">
            <v>Bỏ chọn</v>
          </cell>
          <cell r="G1948"/>
          <cell r="H1948"/>
        </row>
        <row r="1949">
          <cell r="A1949" t="str">
            <v>7.5239966990601</v>
          </cell>
          <cell r="B1949" t="str">
            <v>ORANGE COMPASS (40KG )</v>
          </cell>
          <cell r="C1949" t="str">
            <v>BỘT MÌ HIỆU"LA BÀN CAM" (40KG)</v>
          </cell>
          <cell r="D1949" t="str">
            <v>ORANGE COMPASS (40KG )</v>
          </cell>
          <cell r="E1949">
            <v>40</v>
          </cell>
          <cell r="F1949" t="str">
            <v>Bỏ chọn</v>
          </cell>
          <cell r="G1949"/>
          <cell r="H1949"/>
        </row>
        <row r="1950">
          <cell r="A1950" t="str">
            <v>7.C350155996901</v>
          </cell>
          <cell r="B1950" t="str">
            <v>DISHWASHING LIQUID POWER100, 750G X 16 BOTTLES IN CARTON</v>
          </cell>
          <cell r="C1950" t="str">
            <v>NƯỚC RỬA CHÉN POWER100, LOẠI 750G X 16 CHAI TRONG THÙNG CARTON</v>
          </cell>
          <cell r="D1950" t="str">
            <v>DISHWASHING LIQUID POWER100, 750G X 16 BOTTLES IN CARTON</v>
          </cell>
          <cell r="E1950">
            <v>12</v>
          </cell>
          <cell r="F1950" t="str">
            <v>Bỏ chọn</v>
          </cell>
          <cell r="G1950"/>
          <cell r="H1950"/>
        </row>
        <row r="1951">
          <cell r="A1951" t="str">
            <v>7.C35015599690101</v>
          </cell>
          <cell r="B1951" t="str">
            <v>DISHWASHING LIQUID POWER100, 750G</v>
          </cell>
          <cell r="C1951" t="str">
            <v>NƯỚC RỬA CHÉN POWER100, LOẠI 750G</v>
          </cell>
          <cell r="D1951" t="str">
            <v>DISHWASHING LIQUID POWER100, 750G</v>
          </cell>
          <cell r="E1951">
            <v>0.75</v>
          </cell>
          <cell r="F1951" t="str">
            <v>Bỏ chọn</v>
          </cell>
          <cell r="G1951"/>
          <cell r="H1951"/>
        </row>
        <row r="1952">
          <cell r="A1952" t="str">
            <v>V51.047.011</v>
          </cell>
          <cell r="B1952" t="str">
            <v>MEIZAN CORN STARCH 1KG</v>
          </cell>
          <cell r="C1952" t="str">
            <v>BỘT BẮP MEIZAN 1KG</v>
          </cell>
          <cell r="D1952" t="str">
            <v>MEIZAN CORN STARCH 1KG</v>
          </cell>
          <cell r="E1952">
            <v>1</v>
          </cell>
          <cell r="F1952" t="str">
            <v>Bỏ chọn</v>
          </cell>
          <cell r="G1952"/>
          <cell r="H1952"/>
        </row>
        <row r="1953">
          <cell r="A1953" t="str">
            <v>V51.000.041</v>
          </cell>
          <cell r="B1953" t="str">
            <v>WOODEN PALLET 1.2M X 1M</v>
          </cell>
          <cell r="C1953" t="str">
            <v>PALLET GỖ 1.2M X 1M</v>
          </cell>
          <cell r="D1953" t="str">
            <v>WOODEN PALLET 1.2M X 1M</v>
          </cell>
          <cell r="E1953">
            <v>0</v>
          </cell>
          <cell r="F1953" t="str">
            <v>Bỏ chọn</v>
          </cell>
          <cell r="G1953"/>
          <cell r="H1953"/>
        </row>
        <row r="1954">
          <cell r="A1954" t="str">
            <v>7.B24072399160116</v>
          </cell>
          <cell r="B1954" t="str">
            <v>TOMATO SAUCE 265G X 24 BOT/CAR</v>
          </cell>
          <cell r="C1954" t="str">
            <v>TƯƠNG CÀ 265G X 24 CHAI/THÙNG</v>
          </cell>
          <cell r="D1954" t="str">
            <v>TOMATO SAUCE 265G X 24 BOT/CAR</v>
          </cell>
          <cell r="E1954">
            <v>6.36</v>
          </cell>
          <cell r="F1954" t="str">
            <v>Bỏ chọn</v>
          </cell>
          <cell r="G1954" t="str">
            <v>2000000008</v>
          </cell>
          <cell r="H1954" t="str">
            <v>7.B2407239916011601</v>
          </cell>
        </row>
        <row r="1955">
          <cell r="A1955" t="str">
            <v>7.B2407239916011601</v>
          </cell>
          <cell r="B1955" t="str">
            <v>TOMATO SAUCE 265G</v>
          </cell>
          <cell r="C1955" t="str">
            <v>TƯƠNG CÀ 265G</v>
          </cell>
          <cell r="D1955" t="str">
            <v>TOMATO SAUCE 265G</v>
          </cell>
          <cell r="E1955">
            <v>0.26500000000000001</v>
          </cell>
          <cell r="F1955" t="str">
            <v>Bỏ chọn</v>
          </cell>
          <cell r="G1955" t="str">
            <v>2000000008</v>
          </cell>
          <cell r="H1955"/>
        </row>
        <row r="1956">
          <cell r="A1956" t="str">
            <v>V51.047.012</v>
          </cell>
          <cell r="B1956" t="str">
            <v>MEIZAN CORN STARCH 150G</v>
          </cell>
          <cell r="C1956" t="str">
            <v>BỘT BẮP MEIZAN 150G</v>
          </cell>
          <cell r="D1956" t="str">
            <v>MEIZAN CORN STARCH 150G</v>
          </cell>
          <cell r="E1956">
            <v>0.15</v>
          </cell>
          <cell r="F1956" t="str">
            <v>Bỏ chọn</v>
          </cell>
          <cell r="G1956"/>
          <cell r="H1956"/>
        </row>
        <row r="1957">
          <cell r="A1957" t="str">
            <v>V51.047.013</v>
          </cell>
          <cell r="B1957" t="str">
            <v>COMPASS CRISPY FRYING MIX 100G</v>
          </cell>
          <cell r="C1957" t="str">
            <v>BỘT CHIÊN GIÒN LA BÀN 100G</v>
          </cell>
          <cell r="D1957" t="str">
            <v>COMPASS CRISPY FRYING MIX 100G</v>
          </cell>
          <cell r="E1957">
            <v>0.1</v>
          </cell>
          <cell r="F1957" t="str">
            <v>Bỏ chọn</v>
          </cell>
          <cell r="G1957"/>
          <cell r="H1957"/>
        </row>
        <row r="1958">
          <cell r="A1958" t="str">
            <v>7.B250854994492051</v>
          </cell>
          <cell r="B1958" t="str">
            <v>PORK BOUILLON GRANULE 850G X 10 PAC ON PACK 10 PAC NEPTUNE GOLD 0.25L/CAR</v>
          </cell>
          <cell r="C1958" t="str">
            <v>THỰC PHẨM BỔ SUNG HẠT NÊM 4 TRONG 1 - VỊ HEO 850G X 10 GÓI ĐÓNG KÈM 10 CHAI DẦU ĂN THƯỢNG HẠNG NHÃN HIỆU NEPTUNE GOLD 0.25L/THÙNG</v>
          </cell>
          <cell r="D1958" t="str">
            <v>PORK BOUILLON GRANULE 850G X 10 PAC ON PACK 10 PAC NEPTUNE GOLD 0.25L/CAR</v>
          </cell>
          <cell r="E1958">
            <v>11.03</v>
          </cell>
          <cell r="F1958" t="str">
            <v>Bỏ chọn</v>
          </cell>
          <cell r="G1958"/>
          <cell r="H1958"/>
        </row>
        <row r="1959">
          <cell r="A1959" t="str">
            <v>7.B25085499449205101</v>
          </cell>
          <cell r="B1959" t="str">
            <v>PORK BOUILLON GRANULE 850G X 01 PAC ON PAC 01 PACK NEPTUNE GOLD 0.25L</v>
          </cell>
          <cell r="C1959" t="str">
            <v>THỰC PHẨM BỔ SUNG HẠT NÊM 4 TRONG 1 - VỊ HEO 850G X 01 GÓI ĐÓNG KÈM 01 CHAI DẦU ĂN THƯỢNG HẠNG NHÃN HIỆU NEPTUNE GOLD 0.25L</v>
          </cell>
          <cell r="D1959" t="str">
            <v>PORK BOUILLON GRANULE 850G X 01 PAC ON PAC 01 PACK NEPTUNE GOLD 0.25L</v>
          </cell>
          <cell r="E1959">
            <v>1.103</v>
          </cell>
          <cell r="F1959" t="str">
            <v>Bỏ chọn</v>
          </cell>
          <cell r="G1959"/>
          <cell r="H1959"/>
        </row>
        <row r="1960">
          <cell r="A1960" t="str">
            <v>7.70536</v>
          </cell>
          <cell r="B1960" t="str">
            <v>PALM OIL FRACTION - WILMAX 1050 RSPO MB 20KG IN CARTON</v>
          </cell>
          <cell r="C1960" t="str">
            <v>PHÂN ĐOẠN DẦU CỌ - WILMAX 1050 RSPO MB ĐÓNG THÙNG CARTON 20KG</v>
          </cell>
          <cell r="D1960" t="str">
            <v>PALM OIL FRACTION - WILMAX 1050 RSPO MB 20KG IN CARTON</v>
          </cell>
          <cell r="E1960">
            <v>20</v>
          </cell>
          <cell r="F1960" t="str">
            <v>Bỏ chọn</v>
          </cell>
          <cell r="G1960"/>
          <cell r="H1960"/>
        </row>
        <row r="1961">
          <cell r="A1961" t="str">
            <v>7.1070140294408010</v>
          </cell>
          <cell r="B1961" t="str">
            <v>SATELLITE BOS (RED) IN PEBAG@20KG</v>
          </cell>
          <cell r="C1961" t="str">
            <v>DẦU BƠ THAY THẾ NHÃN HIỆU SATELLITE 20KG</v>
          </cell>
          <cell r="D1961" t="str">
            <v>SATELLITE BOS (RED) IN PEBAG@20KG</v>
          </cell>
          <cell r="E1961">
            <v>20</v>
          </cell>
          <cell r="F1961" t="str">
            <v>Chọn</v>
          </cell>
          <cell r="G1961"/>
          <cell r="H1961"/>
        </row>
        <row r="1962">
          <cell r="A1962" t="str">
            <v>7.5239967990501</v>
          </cell>
          <cell r="B1962" t="str">
            <v>PURPLE COMPASS (25KG )</v>
          </cell>
          <cell r="C1962" t="str">
            <v>BỘT MÌ HIỆU"LA BÀN TÍM" (25KG)</v>
          </cell>
          <cell r="D1962" t="str">
            <v>PURPLE COMPASS (25KG )</v>
          </cell>
          <cell r="E1962">
            <v>1</v>
          </cell>
          <cell r="F1962" t="str">
            <v>Bỏ chọn</v>
          </cell>
          <cell r="G1962"/>
          <cell r="H1962"/>
        </row>
        <row r="1963">
          <cell r="A1963" t="str">
            <v>7.B25085499180105TD</v>
          </cell>
          <cell r="B1963" t="str">
            <v>NEPTUNE PORK BOUILLON GRANULE 250G X 50 PACKS IN CARTON</v>
          </cell>
          <cell r="C1963" t="str">
            <v>THỰC PHẨM BỔ SUNG HẠT NÊM NEPTUNE 4 TRONG 1 - VỊ HEO 250G X 50 GÓI ĐÓNG TRONG THÙNG CARTON</v>
          </cell>
          <cell r="D1963" t="str">
            <v>NEPTUNE PORK BOUILLON GRANULE 250G X 50 PACKS IN CARTON</v>
          </cell>
          <cell r="E1963">
            <v>12.5</v>
          </cell>
          <cell r="F1963" t="str">
            <v>Bỏ chọn</v>
          </cell>
          <cell r="G1963"/>
          <cell r="H1963"/>
        </row>
        <row r="1964">
          <cell r="A1964" t="str">
            <v>7.B2508549918010501TD</v>
          </cell>
          <cell r="B1964" t="str">
            <v>NEPTUNE PORK BOUILLON GRANULE 250G</v>
          </cell>
          <cell r="C1964" t="str">
            <v>THỰC PHẨM BỔ SUNG HẠT NÊM NEPTUNE 4 TRONG 1 - VỊ HEO 250G</v>
          </cell>
          <cell r="D1964" t="str">
            <v xml:space="preserve">NEPTUNE PORK BOUILLON GRANULE 250G </v>
          </cell>
          <cell r="E1964">
            <v>0.25</v>
          </cell>
          <cell r="F1964" t="str">
            <v>Bỏ chọn</v>
          </cell>
          <cell r="G1964"/>
          <cell r="H1964"/>
        </row>
        <row r="1965">
          <cell r="A1965" t="str">
            <v>7.70537</v>
          </cell>
          <cell r="B1965" t="str">
            <v>12-HYDROXY STEARIC ACID, PAPER BAG 25 KG</v>
          </cell>
          <cell r="C1965" t="str">
            <v>12-HYDROXY STEARIC ACID, BAO 25 KG</v>
          </cell>
          <cell r="D1965" t="str">
            <v>12-HYDROXY STEARIC ACID, PAPER BAG 25 KG</v>
          </cell>
          <cell r="E1965">
            <v>25</v>
          </cell>
          <cell r="F1965" t="str">
            <v>Chọn</v>
          </cell>
          <cell r="G1965"/>
          <cell r="H1965"/>
        </row>
        <row r="1966">
          <cell r="A1966" t="str">
            <v>7.131036E41700910</v>
          </cell>
          <cell r="B1966" t="str">
            <v>CO-ORCHID IN BOTTLE @9KG</v>
          </cell>
          <cell r="C1966" t="str">
            <v>DẦU THỰC VẬT TINH LUYỆN NHÃN HIỆU ORCHID 9KG</v>
          </cell>
          <cell r="D1966" t="str">
            <v>CO-ORCHID IN BOTTLE @9KG</v>
          </cell>
          <cell r="E1966">
            <v>9</v>
          </cell>
          <cell r="F1966" t="str">
            <v>Chọn</v>
          </cell>
          <cell r="G1966"/>
          <cell r="H1966"/>
        </row>
        <row r="1967">
          <cell r="A1967" t="str">
            <v>7.131036E41702910</v>
          </cell>
          <cell r="B1967" t="str">
            <v>CO-ORCHID 9KG X 2BTL</v>
          </cell>
          <cell r="C1967" t="str">
            <v>DẦU THỰC VẬT TINH LUYỆN NHÃN HIỆU ORCHID 9KG</v>
          </cell>
          <cell r="D1967" t="str">
            <v>ORCHID 9KG X 2BTL</v>
          </cell>
          <cell r="E1967">
            <v>18</v>
          </cell>
          <cell r="F1967" t="str">
            <v>Chọn</v>
          </cell>
          <cell r="G1967"/>
          <cell r="H1967" t="str">
            <v>7.131036E41700910</v>
          </cell>
        </row>
        <row r="1968">
          <cell r="A1968" t="str">
            <v>7.5239967990601</v>
          </cell>
          <cell r="B1968" t="str">
            <v>PURPLE COMPASS (40KG )</v>
          </cell>
          <cell r="C1968" t="str">
            <v>BỘT MÌ HIỆU"LA BÀN TÍM" (40KG)</v>
          </cell>
          <cell r="D1968" t="str">
            <v>PURPLE COMPASS (40KG )</v>
          </cell>
          <cell r="E1968">
            <v>1</v>
          </cell>
          <cell r="F1968" t="str">
            <v>Bỏ chọn</v>
          </cell>
          <cell r="G1968"/>
          <cell r="H1968"/>
        </row>
        <row r="1969">
          <cell r="A1969" t="str">
            <v>7.52399109902A0</v>
          </cell>
          <cell r="B1969" t="str">
            <v>SAMPLE 1KG</v>
          </cell>
          <cell r="C1969" t="str">
            <v>HÀNG MẪU 1KG</v>
          </cell>
          <cell r="D1969" t="str">
            <v>SAMPLE 1KG</v>
          </cell>
          <cell r="E1969">
            <v>1</v>
          </cell>
          <cell r="F1969" t="str">
            <v>Bỏ chọn</v>
          </cell>
          <cell r="G1969"/>
          <cell r="H1969"/>
        </row>
        <row r="1970">
          <cell r="A1970" t="str">
            <v>7.5239968990501</v>
          </cell>
          <cell r="B1970" t="str">
            <v>YELLOW KEY 25KG</v>
          </cell>
          <cell r="C1970" t="str">
            <v>BỘT MÌ HIỆU "CHÌA KHÓA VÀNG" (25KG)</v>
          </cell>
          <cell r="D1970" t="str">
            <v>YELLOW KEY 25KG</v>
          </cell>
          <cell r="E1970">
            <v>1</v>
          </cell>
          <cell r="F1970" t="str">
            <v>Bỏ chọn</v>
          </cell>
          <cell r="G1970"/>
          <cell r="H1970"/>
        </row>
        <row r="1971">
          <cell r="A1971" t="str">
            <v>7.5239968990601</v>
          </cell>
          <cell r="B1971" t="str">
            <v>YELLOW KEY 40KG</v>
          </cell>
          <cell r="C1971" t="str">
            <v>BỘT MÌ HIỆU "CHÌA KHÓA VÀNG" (40KG)</v>
          </cell>
          <cell r="D1971" t="str">
            <v>YELLOW KEY 40KG</v>
          </cell>
          <cell r="E1971">
            <v>1</v>
          </cell>
          <cell r="F1971" t="str">
            <v>Bỏ chọn</v>
          </cell>
          <cell r="G1971"/>
          <cell r="H1971"/>
        </row>
        <row r="1972">
          <cell r="A1972" t="str">
            <v>V39.000.044</v>
          </cell>
          <cell r="B1972" t="str">
            <v>WILMAR'S SHORT-SLEEVED T-SHIRT</v>
          </cell>
          <cell r="C1972" t="str">
            <v>ÁO THUN WILMAR NGẮN TAY</v>
          </cell>
          <cell r="D1972" t="str">
            <v>WILMAR'S SHORT-SLEEVED T-SHIRT</v>
          </cell>
          <cell r="E1972">
            <v>0</v>
          </cell>
          <cell r="F1972" t="str">
            <v>Chọn</v>
          </cell>
          <cell r="G1972"/>
          <cell r="H1972"/>
        </row>
        <row r="1973">
          <cell r="A1973" t="str">
            <v>7.52399109925A0</v>
          </cell>
          <cell r="B1973" t="str">
            <v>SAMPLE 2KG</v>
          </cell>
          <cell r="C1973" t="str">
            <v>HÀNG MẪU 2KG</v>
          </cell>
          <cell r="D1973" t="str">
            <v>SAMPLE 2KG</v>
          </cell>
          <cell r="E1973">
            <v>2</v>
          </cell>
          <cell r="F1973" t="str">
            <v>Bỏ chọn</v>
          </cell>
          <cell r="G1973"/>
          <cell r="H1973"/>
        </row>
        <row r="1974">
          <cell r="A1974" t="str">
            <v>7.B24012399700104</v>
          </cell>
          <cell r="B1974" t="str">
            <v>PREMIUM SOY SAUCE 210ML X 36 BOT</v>
          </cell>
          <cell r="C1974" t="str">
            <v>NƯỚC TƯƠNG THƯỢNG HẠNG 210ML X 36 CHAI</v>
          </cell>
          <cell r="D1974" t="str">
            <v>PREMIUM SOY SAUCE 210ML X 36 BOT</v>
          </cell>
          <cell r="E1974">
            <v>8.4331999999999994</v>
          </cell>
          <cell r="F1974" t="str">
            <v>Bỏ chọn</v>
          </cell>
          <cell r="G1974"/>
          <cell r="H1974"/>
        </row>
        <row r="1975">
          <cell r="A1975" t="str">
            <v>7.B24012399719213</v>
          </cell>
          <cell r="B1975" t="str">
            <v>NAM DUONG CONDENSED SOY SAUCE 280ML X 36 BOT</v>
          </cell>
          <cell r="C1975" t="str">
            <v>THỰC PHẨM BỔ SUNG NƯỚC TƯƠNG NAM DƯƠNG ĐẬM ĐẶC 280ML X 36 CHAI</v>
          </cell>
          <cell r="D1975" t="str">
            <v>NAM DUONG CONDENSED SOY SAUCE 280ML X 36 BOT</v>
          </cell>
          <cell r="E1975">
            <v>11.3047</v>
          </cell>
          <cell r="F1975" t="str">
            <v>Bỏ chọn</v>
          </cell>
          <cell r="G1975"/>
          <cell r="H1975"/>
        </row>
        <row r="1976">
          <cell r="A1976" t="str">
            <v>7.B24012399729213</v>
          </cell>
          <cell r="B1976" t="str">
            <v>NAM DUONG CONDENSED SOY SAUCE 500ML X 36 BOT</v>
          </cell>
          <cell r="C1976" t="str">
            <v>THỰC PHẨM BỔ SUNG NƯỚC TƯƠNG NAM DƯƠNG ĐẬM ĐẶC 500ML X 36 CHAI</v>
          </cell>
          <cell r="D1976" t="str">
            <v>NAM DUONG CONDENSED SOY SAUCE 500ML X 36 BOT</v>
          </cell>
          <cell r="E1976">
            <v>20.187000000000001</v>
          </cell>
          <cell r="F1976" t="str">
            <v>Bỏ chọn</v>
          </cell>
          <cell r="G1976"/>
          <cell r="H1976"/>
        </row>
        <row r="1977">
          <cell r="A1977" t="str">
            <v>7.B24012302720199</v>
          </cell>
          <cell r="B1977" t="str">
            <v>HANG VIET SOY SAUCE 500ML X 36 BOT</v>
          </cell>
          <cell r="C1977" t="str">
            <v>NƯỚC CHẤM HÀNG VIỆT 500ML X 36 CHAI</v>
          </cell>
          <cell r="D1977" t="str">
            <v>HANG VIET SOY SAUCE 500ML X 36 BOT</v>
          </cell>
          <cell r="E1977">
            <v>19.6434</v>
          </cell>
          <cell r="F1977" t="str">
            <v>Bỏ chọn</v>
          </cell>
          <cell r="G1977"/>
          <cell r="H1977"/>
        </row>
        <row r="1978">
          <cell r="A1978" t="str">
            <v>7.B25085499739205</v>
          </cell>
          <cell r="B1978" t="str">
            <v>PORK BOUILLON GRANULE 170G X 36 PAC</v>
          </cell>
          <cell r="C1978" t="str">
            <v>THỰC PHẨM BỔ SUNG HẠT NÊM 4 TRONG 1 - VỊ HEO 170G X 36 GÓI</v>
          </cell>
          <cell r="D1978" t="str">
            <v>PORK BOUILLON GRANULE 170G X 36 PAC</v>
          </cell>
          <cell r="E1978">
            <v>6.12</v>
          </cell>
          <cell r="F1978" t="str">
            <v>Bỏ chọn</v>
          </cell>
          <cell r="G1978"/>
          <cell r="H1978"/>
        </row>
        <row r="1979">
          <cell r="A1979" t="str">
            <v>7.B25085499749205</v>
          </cell>
          <cell r="B1979" t="str">
            <v>PORK BOUILLON GRANULE 380G X 24 PAC</v>
          </cell>
          <cell r="C1979" t="str">
            <v>THỰC PHẨM BỔ SUNG HẠT NÊM 4 TRONG 1 - VỊ HEO 380G X 24 GÓI</v>
          </cell>
          <cell r="D1979" t="str">
            <v>PORK BOUILLON GRANULE 380G X 24 PAC</v>
          </cell>
          <cell r="E1979">
            <v>9.1199999999999992</v>
          </cell>
          <cell r="F1979" t="str">
            <v>Bỏ chọn</v>
          </cell>
          <cell r="G1979"/>
          <cell r="H1979"/>
        </row>
        <row r="1980">
          <cell r="A1980" t="str">
            <v>7.B25085499759205</v>
          </cell>
          <cell r="B1980" t="str">
            <v>PORK BOUILLON GRANULE 850G X 12 PAC</v>
          </cell>
          <cell r="C1980" t="str">
            <v>THỰC PHẨM BỔ SUNG HẠT NÊM 4 TRONG 1 - VỊ HEO 850G X 12 GÓI</v>
          </cell>
          <cell r="D1980" t="str">
            <v>PORK BOUILLON GRANULE 850G X 12 PAC</v>
          </cell>
          <cell r="E1980">
            <v>10.199999999999999</v>
          </cell>
          <cell r="F1980" t="str">
            <v>Bỏ chọn</v>
          </cell>
          <cell r="G1980"/>
          <cell r="H1980"/>
        </row>
        <row r="1981">
          <cell r="A1981" t="str">
            <v>7.C350155997601</v>
          </cell>
          <cell r="B1981" t="str">
            <v>MINT SCENT GLASS CLEANER POWER100, 580ML X 12 BOTTLES IN CARTON</v>
          </cell>
          <cell r="C1981" t="str">
            <v>NƯỚC LAU KÍNH HƯƠNG BẠC HÀ POWER100 580MLX12 CHAI TRONG THÙNG CARTON</v>
          </cell>
          <cell r="D1981" t="str">
            <v>MINT SCENT GLASS CLEANER POWER100, 580ML X 12 BOTTLES IN CARTON</v>
          </cell>
          <cell r="E1981">
            <v>6.8879999999999999</v>
          </cell>
          <cell r="F1981" t="str">
            <v>Bỏ chọn</v>
          </cell>
          <cell r="G1981"/>
          <cell r="H1981"/>
        </row>
        <row r="1982">
          <cell r="A1982" t="str">
            <v>7.C35015599760101</v>
          </cell>
          <cell r="B1982" t="str">
            <v xml:space="preserve">MINT SCENT GLASS CLEANER POWER100, 580ML </v>
          </cell>
          <cell r="C1982" t="str">
            <v>NƯỚC LAU KÍNH HƯƠNG BẠC HÀ POWER100 580ML</v>
          </cell>
          <cell r="D1982" t="str">
            <v xml:space="preserve">MINT SCENT GLASS CLEANER POWER100, 580ML </v>
          </cell>
          <cell r="E1982">
            <v>0.57399999999999995</v>
          </cell>
          <cell r="F1982" t="str">
            <v>Bỏ chọn</v>
          </cell>
          <cell r="G1982"/>
          <cell r="H1982"/>
        </row>
        <row r="1983">
          <cell r="A1983" t="str">
            <v>7.52399529903A0</v>
          </cell>
          <cell r="B1983" t="str">
            <v>SAMPLE-5-GREEN CLV 01</v>
          </cell>
          <cell r="C1983" t="str">
            <v>BỘT MÌ CHUYÊN DỤNG GREEN CLV-01 (5KG)</v>
          </cell>
          <cell r="D1983" t="str">
            <v>SAMPLE-5-GREEN CLV 01</v>
          </cell>
          <cell r="E1983">
            <v>1</v>
          </cell>
          <cell r="F1983" t="str">
            <v>Bỏ chọn</v>
          </cell>
          <cell r="G1983"/>
          <cell r="H1983"/>
        </row>
        <row r="1984">
          <cell r="A1984" t="str">
            <v>7.5239969990501</v>
          </cell>
          <cell r="B1984" t="str">
            <v>YELLOW COMPASS 25KG</v>
          </cell>
          <cell r="C1984" t="str">
            <v>BỘT MÌ HIỆU "LA BÀN VÀNG" (25KG)</v>
          </cell>
          <cell r="D1984" t="str">
            <v>YELLOW COMPASS 25KG</v>
          </cell>
          <cell r="E1984">
            <v>1</v>
          </cell>
          <cell r="F1984" t="str">
            <v>Bỏ chọn</v>
          </cell>
          <cell r="G1984"/>
          <cell r="H1984"/>
        </row>
        <row r="1985">
          <cell r="A1985" t="str">
            <v>7.5239969990601</v>
          </cell>
          <cell r="B1985" t="str">
            <v>YELLOW COMPASS 40KG</v>
          </cell>
          <cell r="C1985" t="str">
            <v>BỘT MÌ HIỆU "LA BÀN VÀNG" (40KG)</v>
          </cell>
          <cell r="D1985" t="str">
            <v>YELLOW COMPASS 40KG</v>
          </cell>
          <cell r="E1985">
            <v>1</v>
          </cell>
          <cell r="F1985" t="str">
            <v>Bỏ chọn</v>
          </cell>
          <cell r="G1985"/>
          <cell r="H1985"/>
        </row>
        <row r="1986">
          <cell r="A1986" t="str">
            <v>7.1140120203208010TD</v>
          </cell>
          <cell r="B1986" t="str">
            <v>MEIZAN BRAND OF COCOA BUTTER REPLACE WILLARINE 890 LT IN CARTON 20KG</v>
          </cell>
          <cell r="C1986" t="str">
            <v>CHẤT BÉO THỰC VẬT WILLARINE 890LT MEIZAN TRONG THÙNG CARTON 20KG</v>
          </cell>
          <cell r="D1986" t="str">
            <v>MEIZAN BRAND OF COCOA BUTTER REPLACE WILLARINE 890 LT IN CARTON 20KG</v>
          </cell>
          <cell r="E1986">
            <v>20</v>
          </cell>
          <cell r="F1986" t="str">
            <v>Bỏ chọn</v>
          </cell>
          <cell r="G1986"/>
          <cell r="H1986"/>
        </row>
        <row r="1987">
          <cell r="A1987" t="str">
            <v>V51.102.016</v>
          </cell>
          <cell r="B1987" t="str">
            <v>DISHWASHING LIQUID POWER100, 750ML</v>
          </cell>
          <cell r="C1987" t="str">
            <v>NƯỚC RỬA CHÉN POWER100, LOẠI 750ML</v>
          </cell>
          <cell r="D1987" t="str">
            <v>DISHWASHING LIQUID POWER100, 750ML</v>
          </cell>
          <cell r="E1987">
            <v>0</v>
          </cell>
          <cell r="F1987" t="str">
            <v>Bỏ chọn</v>
          </cell>
          <cell r="G1987"/>
          <cell r="H1987"/>
        </row>
        <row r="1988">
          <cell r="A1988" t="str">
            <v>7.5239970990501</v>
          </cell>
          <cell r="B1988" t="str">
            <v>HONG KONG PAU (25KG)</v>
          </cell>
          <cell r="C1988" t="str">
            <v>BỘT MÌ HIỆU "HONG KONG PAU" ( 25KG)</v>
          </cell>
          <cell r="D1988" t="str">
            <v>HONG KONG PAU (25KG)</v>
          </cell>
          <cell r="E1988">
            <v>1</v>
          </cell>
          <cell r="F1988" t="str">
            <v>Bỏ chọn</v>
          </cell>
          <cell r="G1988"/>
          <cell r="H1988"/>
        </row>
        <row r="1989">
          <cell r="A1989" t="str">
            <v>7.5239970990601</v>
          </cell>
          <cell r="B1989" t="str">
            <v>HONG KONG PAU (40KG)</v>
          </cell>
          <cell r="C1989" t="str">
            <v>BỘT MÌ HIỆU "HONG KONG PAU" ( 40KG)</v>
          </cell>
          <cell r="D1989" t="str">
            <v>HONG KONG PAU (40KG)</v>
          </cell>
          <cell r="E1989">
            <v>1</v>
          </cell>
          <cell r="F1989" t="str">
            <v>Bỏ chọn</v>
          </cell>
          <cell r="G1989"/>
          <cell r="H1989"/>
        </row>
        <row r="1990">
          <cell r="A1990" t="str">
            <v>7.B25085499189205</v>
          </cell>
          <cell r="B1990" t="str">
            <v>PORK BOUILLON GRANULE 250G X 50 PAC/CAR</v>
          </cell>
          <cell r="C1990" t="str">
            <v>THỰC PHẨM BỔ SUNG HẠT NÊM 4 TRONG 1 - VỊ HEO 250G X 50 GÓI/THÙNG</v>
          </cell>
          <cell r="D1990" t="str">
            <v>PORK BOUILLON GRANULE 250G X 50 PAC/CAR</v>
          </cell>
          <cell r="E1990">
            <v>12.5</v>
          </cell>
          <cell r="F1990" t="str">
            <v>Bỏ chọn</v>
          </cell>
          <cell r="G1990"/>
          <cell r="H1990"/>
        </row>
        <row r="1991">
          <cell r="A1991" t="str">
            <v>7.B2508549918920501</v>
          </cell>
          <cell r="B1991" t="str">
            <v xml:space="preserve">PORK BOUILLON GRANULE 250G </v>
          </cell>
          <cell r="C1991" t="str">
            <v>THỰC PHẨM BỔ SUNG HẠT NÊM 4 TRONG 1 - VỊ HEO 250G</v>
          </cell>
          <cell r="D1991" t="str">
            <v>PORK BOUILLON GRANULE 250G</v>
          </cell>
          <cell r="E1991">
            <v>0.25</v>
          </cell>
          <cell r="F1991" t="str">
            <v>Bỏ chọn</v>
          </cell>
          <cell r="G1991"/>
          <cell r="H1991"/>
        </row>
        <row r="1992">
          <cell r="A1992" t="str">
            <v>7.5239973990501</v>
          </cell>
          <cell r="B1992" t="str">
            <v>VI VI - RED 25KG</v>
          </cell>
          <cell r="C1992" t="str">
            <v>BỘT MÌ VI VI ĐỎ (25KG)</v>
          </cell>
          <cell r="D1992" t="str">
            <v>VI VI - RED 25KG</v>
          </cell>
          <cell r="E1992">
            <v>1</v>
          </cell>
          <cell r="F1992" t="str">
            <v>Bỏ chọn</v>
          </cell>
          <cell r="G1992"/>
          <cell r="H1992"/>
        </row>
        <row r="1993">
          <cell r="A1993" t="str">
            <v>7.5239971990501</v>
          </cell>
          <cell r="B1993" t="str">
            <v>VI VI - BLUE 25KG</v>
          </cell>
          <cell r="C1993" t="str">
            <v>BỘT MÌ VI VI XANH (25KG)</v>
          </cell>
          <cell r="D1993" t="str">
            <v>VI VI - BLUE 25KG</v>
          </cell>
          <cell r="E1993">
            <v>1</v>
          </cell>
          <cell r="F1993" t="str">
            <v>Bỏ chọn</v>
          </cell>
          <cell r="G1993"/>
          <cell r="H1993"/>
        </row>
        <row r="1994">
          <cell r="A1994" t="str">
            <v>7.5239972990501</v>
          </cell>
          <cell r="B1994" t="str">
            <v>VI VI - GREEN 25KG</v>
          </cell>
          <cell r="C1994" t="str">
            <v>BỘT MÌ VI VI XANH LÁ (25KG)</v>
          </cell>
          <cell r="D1994" t="str">
            <v>VI VI - GREEN 25KG</v>
          </cell>
          <cell r="E1994">
            <v>1</v>
          </cell>
          <cell r="F1994" t="str">
            <v>Bỏ chọn</v>
          </cell>
          <cell r="G1994"/>
          <cell r="H1994"/>
        </row>
        <row r="1995">
          <cell r="A1995" t="str">
            <v>7.5239973990601</v>
          </cell>
          <cell r="B1995" t="str">
            <v>VI VI - RED 40KG</v>
          </cell>
          <cell r="C1995" t="str">
            <v>BỘT MÌ VI VI ĐỎ (40KG)</v>
          </cell>
          <cell r="D1995" t="str">
            <v>VI VI - RED 40KG</v>
          </cell>
          <cell r="E1995">
            <v>1</v>
          </cell>
          <cell r="F1995" t="str">
            <v>Bỏ chọn</v>
          </cell>
          <cell r="G1995"/>
          <cell r="H1995"/>
        </row>
        <row r="1996">
          <cell r="A1996" t="str">
            <v>7.5239971990601</v>
          </cell>
          <cell r="B1996" t="str">
            <v>VI VI - BLUE 40KG</v>
          </cell>
          <cell r="C1996" t="str">
            <v>BỘT MÌ VI VI XANH (40KG)</v>
          </cell>
          <cell r="D1996" t="str">
            <v>VI VI - BLUE 40KG</v>
          </cell>
          <cell r="E1996">
            <v>1</v>
          </cell>
          <cell r="F1996" t="str">
            <v>Bỏ chọn</v>
          </cell>
          <cell r="G1996"/>
          <cell r="H1996"/>
        </row>
        <row r="1997">
          <cell r="A1997" t="str">
            <v>7.5239972990601</v>
          </cell>
          <cell r="B1997" t="str">
            <v>VI VI - GREEN 40KG</v>
          </cell>
          <cell r="C1997" t="str">
            <v>BỘT MÌ VI VI XANH LÁ (40KG)</v>
          </cell>
          <cell r="D1997" t="str">
            <v>VI VI - GREEN 40KG</v>
          </cell>
          <cell r="E1997">
            <v>1</v>
          </cell>
          <cell r="F1997" t="str">
            <v>Bỏ chọn</v>
          </cell>
          <cell r="G1997"/>
          <cell r="H1997"/>
        </row>
        <row r="1998">
          <cell r="A1998" t="str">
            <v>7.5239937350601</v>
          </cell>
          <cell r="B1998" t="str">
            <v>SF-3 (40KG)</v>
          </cell>
          <cell r="C1998" t="str">
            <v>BỘT MÌ - NGUYÊN LIỆU LÀM THỨC ĂN CHĂN NUÔI HIỆU SF-3 (40KG)</v>
          </cell>
          <cell r="D1998" t="str">
            <v>SF-3 (40KG)</v>
          </cell>
          <cell r="E1998">
            <v>1</v>
          </cell>
          <cell r="F1998" t="str">
            <v>Bỏ chọn</v>
          </cell>
          <cell r="G1998"/>
          <cell r="H1998"/>
        </row>
        <row r="1999">
          <cell r="A1999" t="str">
            <v>7.A33020899320119TD</v>
          </cell>
          <cell r="B1999" t="str">
            <v>MEIZAN PREMIUM MACARONI - ELBOW 200G X 12 BAG</v>
          </cell>
          <cell r="C1999" t="str">
            <v>NUI CAO CẤP MEIZAN - CHỮ "C" 200G X 12 GÓI</v>
          </cell>
          <cell r="D1999" t="str">
            <v>MEIZAN PREMIUM MACARONI - ELBOW 200G X 12 BAG</v>
          </cell>
          <cell r="E1999">
            <v>2.4</v>
          </cell>
          <cell r="F1999" t="str">
            <v>Bỏ chọn</v>
          </cell>
          <cell r="G1999"/>
          <cell r="H1999"/>
        </row>
        <row r="2000">
          <cell r="A2000" t="str">
            <v>7.A3302089932011901TD</v>
          </cell>
          <cell r="B2000" t="str">
            <v>MEIZAN PREMIUM MACARONI - ELBOW 200G</v>
          </cell>
          <cell r="C2000" t="str">
            <v>NUI CAO CẤP MEIZAN - CHỮ "C" 200G</v>
          </cell>
          <cell r="D2000" t="str">
            <v>MEIZAN PREMIUM MACARONI - ELBOW 200G</v>
          </cell>
          <cell r="E2000">
            <v>0.2</v>
          </cell>
          <cell r="F2000" t="str">
            <v>Bỏ chọn</v>
          </cell>
          <cell r="G2000"/>
          <cell r="H2000"/>
        </row>
        <row r="2001">
          <cell r="A2001" t="str">
            <v>7.A319908994301</v>
          </cell>
          <cell r="B2001" t="str">
            <v>MEIZAN SEASONED CRISPY CHICKEN MIX 50G X 60 BAG</v>
          </cell>
          <cell r="C2001" t="str">
            <v>BỘT CHIÊN GÀ GIÒN NHÃN HIỆU MEIZAN 50G</v>
          </cell>
          <cell r="D2001" t="str">
            <v>MEIZAN SEASONED CRISPY CHICKEN MIX 50G X 60 BAG</v>
          </cell>
          <cell r="E2001">
            <v>3</v>
          </cell>
          <cell r="F2001" t="str">
            <v>Bỏ chọn</v>
          </cell>
          <cell r="G2001"/>
          <cell r="H2001"/>
        </row>
        <row r="2002">
          <cell r="A2002" t="str">
            <v>7.A31990899430101</v>
          </cell>
          <cell r="B2002" t="str">
            <v>MEIZAN SEASONED CRISPY CHICKEN MIX 50G</v>
          </cell>
          <cell r="C2002" t="str">
            <v>BỘT CHIÊN GÀ GIÒN NHÃN HIỆU MEIZAN 50G</v>
          </cell>
          <cell r="D2002" t="str">
            <v>MEIZAN SEASONED CRISPY CHICKEN MIX 50G</v>
          </cell>
          <cell r="E2002">
            <v>0.05</v>
          </cell>
          <cell r="F2002" t="str">
            <v>Bỏ chọn</v>
          </cell>
          <cell r="G2002"/>
          <cell r="H2002"/>
        </row>
        <row r="2003">
          <cell r="A2003" t="str">
            <v>7.B24022399770199</v>
          </cell>
          <cell r="B2003" t="str">
            <v>CHILI SAUCE 250G X 36 BOT/CAR</v>
          </cell>
          <cell r="C2003" t="str">
            <v>TƯƠNG ỚT 250G X 36 CHAI/THÙNG</v>
          </cell>
          <cell r="D2003" t="str">
            <v>CHILI SAUCE 250G X 36 BOT/CAR</v>
          </cell>
          <cell r="E2003">
            <v>9</v>
          </cell>
          <cell r="F2003" t="str">
            <v>Bỏ chọn</v>
          </cell>
          <cell r="G2003"/>
          <cell r="H2003"/>
        </row>
        <row r="2004">
          <cell r="A2004" t="str">
            <v>7.B24022399770103</v>
          </cell>
          <cell r="B2004" t="str">
            <v>SPECIAL HOT CHILI SAUCE 250G X 36 BOT/CAR</v>
          </cell>
          <cell r="C2004" t="str">
            <v>TƯƠNG ỚT ĐẶC BIỆT CAY 250G X 36 CHAI/THÙNG</v>
          </cell>
          <cell r="D2004" t="str">
            <v>SPECIAL HOT CHILI SAUCE 250G X 36 BOT/CAR</v>
          </cell>
          <cell r="E2004">
            <v>9</v>
          </cell>
          <cell r="F2004" t="str">
            <v>Bỏ chọn</v>
          </cell>
          <cell r="G2004"/>
          <cell r="H2004"/>
        </row>
        <row r="2005">
          <cell r="A2005" t="str">
            <v>7.B25085499739205TD</v>
          </cell>
          <cell r="B2005" t="str">
            <v>NEPTUNE PORK BOUILLON GRANULE 170G X 36 PACKS IN CARTON</v>
          </cell>
          <cell r="C2005" t="str">
            <v>THỰC PHẨM BỔ SUNG HẠT NÊM NEPTUNE 4 TRONG 1-VỊ HEO 170GX36 GÓI TRONG THÙNG CARTON</v>
          </cell>
          <cell r="D2005" t="str">
            <v>NEPTUNE PORK BOUILLON GRANULE 170G X 36 PACKS IN CARTON</v>
          </cell>
          <cell r="E2005">
            <v>6.12</v>
          </cell>
          <cell r="F2005" t="str">
            <v>Bỏ chọn</v>
          </cell>
          <cell r="G2005"/>
          <cell r="H2005"/>
        </row>
        <row r="2006">
          <cell r="A2006" t="str">
            <v>7.B2508549941920501TD</v>
          </cell>
          <cell r="B2006" t="str">
            <v>NEPTUNE PORK BOUILLON GRANULE 170G</v>
          </cell>
          <cell r="C2006" t="str">
            <v>THỰC PHẨM BỔ SUNG HẠT NÊM NEPTUNE 4 TRONG 1-VỊ HEO 170G</v>
          </cell>
          <cell r="D2006" t="str">
            <v>NEPTUNE PORK BOUILLON GRANULE 170G</v>
          </cell>
          <cell r="E2006">
            <v>0.17</v>
          </cell>
          <cell r="F2006" t="str">
            <v>Bỏ chọn</v>
          </cell>
          <cell r="G2006"/>
          <cell r="H2006"/>
        </row>
        <row r="2007">
          <cell r="A2007" t="str">
            <v>7.5239917990601</v>
          </cell>
          <cell r="B2007" t="str">
            <v>SATELLITE  40KG</v>
          </cell>
          <cell r="C2007" t="str">
            <v>BỘT MÌ HIỆU VỆ TINH 40KG</v>
          </cell>
          <cell r="D2007" t="str">
            <v>SATELLITE  40KG</v>
          </cell>
          <cell r="E2007">
            <v>1</v>
          </cell>
          <cell r="F2007" t="str">
            <v>Bỏ chọn</v>
          </cell>
          <cell r="G2007"/>
          <cell r="H2007"/>
        </row>
        <row r="2008">
          <cell r="A2008" t="str">
            <v>V51.000.042</v>
          </cell>
          <cell r="B2008" t="str">
            <v>HDPE PLASTIC BAG 27X46CM-POWER100</v>
          </cell>
          <cell r="C2008" t="str">
            <v>TÚI NHỰA HDPE 27X46CM HIỆU POWER100</v>
          </cell>
          <cell r="D2008" t="str">
            <v>HDPE PLASTIC BAG 27X46CM-POWER100</v>
          </cell>
          <cell r="E2008">
            <v>1</v>
          </cell>
          <cell r="F2008" t="str">
            <v>Bỏ chọn</v>
          </cell>
          <cell r="G2008"/>
          <cell r="H2008"/>
        </row>
        <row r="2009">
          <cell r="A2009" t="str">
            <v>V51.000.043</v>
          </cell>
          <cell r="B2009" t="str">
            <v>THE GIOI DI DONG-DIEN MAY XANH VOUCHER, 500,000 VND VALUE WITH VAT</v>
          </cell>
          <cell r="C2009" t="str">
            <v>PHIẾU MUA HÀNG THẾ GIỚI DI ĐỘNG-ĐIỆN MÁY XANH 500,000 VND SAU VAT</v>
          </cell>
          <cell r="D2009" t="str">
            <v>THE GIOI DI DONG-DIEN MAY XANH VOUCHER, 500,000 VND VALUE WITH VAT</v>
          </cell>
          <cell r="E2009">
            <v>0</v>
          </cell>
          <cell r="F2009" t="str">
            <v>Bỏ chọn</v>
          </cell>
          <cell r="G2009"/>
          <cell r="H2009"/>
        </row>
        <row r="2010">
          <cell r="A2010" t="str">
            <v>V51.000.044</v>
          </cell>
          <cell r="B2010" t="str">
            <v>THE GIOI DI DONG-DIEN MAY XANH VOUCHER, 2,200,000 VND VALUE WITH VAT</v>
          </cell>
          <cell r="C2010" t="str">
            <v>PHIẾU MUA HÀNG THẾ GIỚI DI ĐỘNG-ĐIỆN MÁY XANH 2,200,000 VND SAU VAT</v>
          </cell>
          <cell r="D2010" t="str">
            <v>THE GIOI DI DONG-DIEN MAY XANH VOUCHER, 2,200,000 VND VALUE WITH VAT</v>
          </cell>
          <cell r="E2010">
            <v>0</v>
          </cell>
          <cell r="F2010" t="str">
            <v>Bỏ chọn</v>
          </cell>
          <cell r="G2010"/>
          <cell r="H2010"/>
        </row>
        <row r="2011">
          <cell r="A2011" t="str">
            <v>V51.000.045</v>
          </cell>
          <cell r="B2011" t="str">
            <v>THE GIOI DI DONG-DIEN MAY XANH VOUCHER, 4,000,000 VND VALUE WITH VAT</v>
          </cell>
          <cell r="C2011" t="str">
            <v>PHIẾU MUA HÀNG THẾ GIỚI DI ĐỘNG-ĐIỆN MÁY XANH 4,000,000 VND SAU VAT</v>
          </cell>
          <cell r="D2011" t="str">
            <v>THE GIOI DI DONG-DIEN MAY XANH VOUCHER, 4,000,000 VND VALUE WITH VAT</v>
          </cell>
          <cell r="E2011">
            <v>0</v>
          </cell>
          <cell r="F2011" t="str">
            <v>Bỏ chọn</v>
          </cell>
          <cell r="G2011"/>
          <cell r="H2011"/>
        </row>
        <row r="2012">
          <cell r="A2012" t="str">
            <v>V51.000.046</v>
          </cell>
          <cell r="B2012" t="str">
            <v>THE GIOI DI DONG-DIEN MAY XANH VOUCHER, 7,700,000 VND VALUE WITH VAT</v>
          </cell>
          <cell r="C2012" t="str">
            <v>PHIẾU MUA HÀNG THẾ GIỚI DI ĐỘNG-ĐIỆN MÁY XANH 7,700,000 VND SAU VAT</v>
          </cell>
          <cell r="D2012" t="str">
            <v>THE GIOI DI DONG-DIEN MAY XANH VOUCHER, 7,700,000 VND VALUE WITH VAT</v>
          </cell>
          <cell r="E2012">
            <v>0</v>
          </cell>
          <cell r="F2012" t="str">
            <v>Bỏ chọn</v>
          </cell>
          <cell r="G2012"/>
          <cell r="H2012"/>
        </row>
        <row r="2013">
          <cell r="A2013" t="str">
            <v>7.460050051700050TD</v>
          </cell>
          <cell r="B2013" t="str">
            <v>SIMPLY RBO 2L BOTTLE</v>
          </cell>
          <cell r="C2013" t="str">
            <v>DẦU GẠO NGUYÊN CHẤT SIMPLY 2L</v>
          </cell>
          <cell r="D2013" t="str">
            <v>SIMPLY RBO 2L BOTTLE</v>
          </cell>
          <cell r="E2013">
            <v>1.82</v>
          </cell>
          <cell r="F2013" t="str">
            <v>Bỏ chọn</v>
          </cell>
          <cell r="G2013"/>
          <cell r="H2013"/>
        </row>
        <row r="2014">
          <cell r="A2014" t="str">
            <v>7.45105005170000TD</v>
          </cell>
          <cell r="B2014" t="str">
            <v>SIMPLY SBO 2L BOTTLE</v>
          </cell>
          <cell r="C2014" t="str">
            <v>DẦU ĐẬU NÀNH NHÃN HIỆU SIMPLY 2L</v>
          </cell>
          <cell r="D2014" t="str">
            <v>SIMPLY SBO 2L BOTTLE</v>
          </cell>
          <cell r="E2014">
            <v>1.82</v>
          </cell>
          <cell r="F2014" t="str">
            <v>Chọn</v>
          </cell>
          <cell r="G2014"/>
          <cell r="H2014"/>
        </row>
        <row r="2015">
          <cell r="A2015" t="str">
            <v>7.B25085499449205TD</v>
          </cell>
          <cell r="B2015" t="str">
            <v>4-IN-1 PORK FLAVOR BOUILLON GRANULE 850GX10 BAGS IN CARTON</v>
          </cell>
          <cell r="C2015" t="str">
            <v>THỰC PHẨM BỔ SUNG HẠT NÊM 4 TRONG 1 VỊ HEO 850GX10 GÓI TRONG THÙNG CARTON</v>
          </cell>
          <cell r="D2015" t="str">
            <v>4-IN-1 PORK FLAVOR BOUILLON GRANULE 850GX10 BAGS IN CARTON</v>
          </cell>
          <cell r="E2015">
            <v>8.5</v>
          </cell>
          <cell r="F2015" t="str">
            <v>Bỏ chọn</v>
          </cell>
          <cell r="G2015"/>
          <cell r="H2015"/>
        </row>
        <row r="2016">
          <cell r="A2016" t="str">
            <v>7.131069061703A00TD</v>
          </cell>
          <cell r="B2016" t="str">
            <v>NEPTUNE GOLD 5LX4 BOTTLES IN CARTON</v>
          </cell>
          <cell r="C2016" t="str">
            <v>DẦU ĂN NEPTUNE GOLD 5LX4 CHAI TRONG THÙNG CARTON</v>
          </cell>
          <cell r="D2016" t="str">
            <v>NEPTUNE GOLD 5LX4 BOTTLES IN CARTON</v>
          </cell>
          <cell r="E2016">
            <v>18.2</v>
          </cell>
          <cell r="F2016" t="str">
            <v>Bỏ chọn</v>
          </cell>
          <cell r="G2016"/>
          <cell r="H2016"/>
        </row>
        <row r="2017">
          <cell r="A2017" t="str">
            <v>V51.00A.006</v>
          </cell>
          <cell r="B2017" t="str">
            <v>SHELFTALKER</v>
          </cell>
          <cell r="C2017" t="str">
            <v>KHAY SẮT TRAY L NDFC</v>
          </cell>
          <cell r="D2017" t="str">
            <v>SHELFTALKER</v>
          </cell>
          <cell r="E2017">
            <v>0.2</v>
          </cell>
          <cell r="F2017" t="str">
            <v>Bỏ chọn</v>
          </cell>
          <cell r="G2017"/>
          <cell r="H2017"/>
        </row>
        <row r="2018">
          <cell r="A2018" t="str">
            <v>7.C35015599320127</v>
          </cell>
          <cell r="B2018" t="str">
            <v>DISHWASHING LIQUID POWER100 LEMON, 200G X 50 BOTTLES IN CARTON</v>
          </cell>
          <cell r="C2018" t="str">
            <v>NƯỚC RỬA CHÉN POWER100 HƯƠNG CHANH, LOẠI 200G X 50 CHAI TRONG THÙNG CARTON</v>
          </cell>
          <cell r="D2018" t="str">
            <v>DISHWASHING LIQUID POWER100 LEMON, 200G X 50 BOTTLES IN CARTON</v>
          </cell>
          <cell r="E2018">
            <v>10</v>
          </cell>
          <cell r="F2018" t="str">
            <v>Bỏ chọn</v>
          </cell>
          <cell r="G2018"/>
          <cell r="H2018"/>
        </row>
        <row r="2019">
          <cell r="A2019" t="str">
            <v>7.C3501559932012701</v>
          </cell>
          <cell r="B2019" t="str">
            <v>DISHWASHING LIQUID POWER100 LEMON, 200G</v>
          </cell>
          <cell r="C2019" t="str">
            <v>NƯỚC RỬA CHÉN POWER100 HƯƠNG CHANH, LOẠI 200G</v>
          </cell>
          <cell r="D2019" t="str">
            <v>DISHWASHING LIQUID POWER100 LEMON, 200G</v>
          </cell>
          <cell r="E2019">
            <v>0.2</v>
          </cell>
          <cell r="F2019" t="str">
            <v>Bỏ chọn</v>
          </cell>
          <cell r="G2019"/>
          <cell r="H2019"/>
        </row>
        <row r="2020">
          <cell r="A2020" t="str">
            <v>7.C35015599330127</v>
          </cell>
          <cell r="B2020" t="str">
            <v>DISHWASHING LIQUID POWER100 LEMON, 400G X 24 BOTTLES IN CARTON</v>
          </cell>
          <cell r="C2020" t="str">
            <v>NƯỚC RỬA CHÉN POWER100 HƯƠNG CHANH, LOẠI 400G X 24 CHAI TRONG THÙNG CARTON</v>
          </cell>
          <cell r="D2020" t="str">
            <v>DISHWASHING LIQUID POWER100 LEMON, 400G X 24 BOTTLES IN CARTON</v>
          </cell>
          <cell r="E2020">
            <v>9.6</v>
          </cell>
          <cell r="F2020" t="str">
            <v>Bỏ chọn</v>
          </cell>
          <cell r="G2020"/>
          <cell r="H2020"/>
        </row>
        <row r="2021">
          <cell r="A2021" t="str">
            <v>7.C3501559933012701</v>
          </cell>
          <cell r="B2021" t="str">
            <v>DISHWASHING LIQUID POWER100 LEMON, 400G</v>
          </cell>
          <cell r="C2021" t="str">
            <v>NƯỚC RỬA CHÉN POWER100 HƯƠNG CHANH, LOẠI 400G</v>
          </cell>
          <cell r="D2021" t="str">
            <v>DISHWASHING LIQUID POWER100 LEMON, 400G</v>
          </cell>
          <cell r="E2021">
            <v>0.4</v>
          </cell>
          <cell r="F2021" t="str">
            <v>Bỏ chọn</v>
          </cell>
          <cell r="G2021"/>
          <cell r="H2021"/>
        </row>
        <row r="2022">
          <cell r="A2022" t="str">
            <v>7.C35015599690127</v>
          </cell>
          <cell r="B2022" t="str">
            <v>DISHWASHING LIQUID POWER100 LEMON, 750G X 16 BOTTLES IN CARTON</v>
          </cell>
          <cell r="C2022" t="str">
            <v>NƯỚC RỬA CHÉN POWER100 HƯƠNG CHANH, LOẠI 750G X 16 CHAI TRONG THÙNG CARTON</v>
          </cell>
          <cell r="D2022" t="str">
            <v>DISHWASHING LIQUID POWER100 LEMON, 750G X 16 BOTTLES IN CARTON</v>
          </cell>
          <cell r="E2022">
            <v>12</v>
          </cell>
          <cell r="F2022" t="str">
            <v>Bỏ chọn</v>
          </cell>
          <cell r="G2022"/>
          <cell r="H2022"/>
        </row>
        <row r="2023">
          <cell r="A2023" t="str">
            <v>7.C3501559969012701</v>
          </cell>
          <cell r="B2023" t="str">
            <v xml:space="preserve">DISHWASHING LIQUID POWER100 LEMON, 750G </v>
          </cell>
          <cell r="C2023" t="str">
            <v>NƯỚC RỬA CHÉN POWER100 HƯƠNG CHANH, LOẠI 750G</v>
          </cell>
          <cell r="D2023" t="str">
            <v xml:space="preserve">DISHWASHING LIQUID POWER100 LEMON, 750G </v>
          </cell>
          <cell r="E2023">
            <v>0.75</v>
          </cell>
          <cell r="F2023" t="str">
            <v>Bỏ chọn</v>
          </cell>
          <cell r="G2023"/>
          <cell r="H2023"/>
        </row>
        <row r="2024">
          <cell r="A2024" t="str">
            <v>7.C35015599540127</v>
          </cell>
          <cell r="B2024" t="str">
            <v>DISHWASHING LIQUID POWER100 LEMON, 1,5 KG X 8 JRG IN CARTON</v>
          </cell>
          <cell r="C2024" t="str">
            <v>NƯỚC RỬA CHÉN POWER100 HƯƠNG CHANH, LOẠI 1,5 KG X 8 CAN TRONG THÙNG CARTON</v>
          </cell>
          <cell r="D2024" t="str">
            <v>DISHWASHING LIQUID POWER100 LEMON, 1,5 KG X 8 JRG IN CARTON</v>
          </cell>
          <cell r="E2024">
            <v>12</v>
          </cell>
          <cell r="F2024" t="str">
            <v>Bỏ chọn</v>
          </cell>
          <cell r="G2024"/>
          <cell r="H2024"/>
        </row>
        <row r="2025">
          <cell r="A2025" t="str">
            <v>7.C3501559954012701</v>
          </cell>
          <cell r="B2025" t="str">
            <v>DISHWASHING LIQUID POWER100 LEMON, 1,5 KG</v>
          </cell>
          <cell r="C2025" t="str">
            <v>NƯỚC RỬA CHÉN POWER100 HƯƠNG CHANH, LOẠI 1,5 KG</v>
          </cell>
          <cell r="D2025" t="str">
            <v>DISHWASHING LIQUID POWER100 LEMON, 1,5 KG</v>
          </cell>
          <cell r="E2025">
            <v>1.5</v>
          </cell>
          <cell r="F2025" t="str">
            <v>Bỏ chọn</v>
          </cell>
          <cell r="G2025"/>
          <cell r="H2025"/>
        </row>
        <row r="2026">
          <cell r="A2026" t="str">
            <v>7.C35015599490127</v>
          </cell>
          <cell r="B2026" t="str">
            <v>DISHWASHING LIQUID POWER100 LEMON, 3,8 KG X 4 JRG IN CARTON</v>
          </cell>
          <cell r="C2026" t="str">
            <v>NƯỚC RỬA CHÉN POWER100 HƯƠNG CHANH, LOẠI 3,8 KG X 4 CAN TRONG THÙNG CARTON</v>
          </cell>
          <cell r="D2026" t="str">
            <v>DISHWASHING LIQUID POWER100 LEMON, 3,8 KG X 4 JRG IN CARTON</v>
          </cell>
          <cell r="E2026">
            <v>15.2</v>
          </cell>
          <cell r="F2026" t="str">
            <v>Bỏ chọn</v>
          </cell>
          <cell r="G2026"/>
          <cell r="H2026"/>
        </row>
        <row r="2027">
          <cell r="A2027" t="str">
            <v>7.C3501559949012701</v>
          </cell>
          <cell r="B2027" t="str">
            <v>DISHWASHING LIQUID POWER100 LEMON, 3,8 KG</v>
          </cell>
          <cell r="C2027" t="str">
            <v>NƯỚC RỬA CHÉN POWER100 HƯƠNG CHANH, LOẠI 3,8 KG</v>
          </cell>
          <cell r="D2027" t="str">
            <v>DISHWASHING LIQUID POWER100 LEMON, 3,8 KG</v>
          </cell>
          <cell r="E2027">
            <v>3.8</v>
          </cell>
          <cell r="F2027" t="str">
            <v>Bỏ chọn</v>
          </cell>
          <cell r="G2027"/>
          <cell r="H2027"/>
        </row>
        <row r="2028">
          <cell r="A2028" t="str">
            <v>7.C35015599500127</v>
          </cell>
          <cell r="B2028" t="str">
            <v>DISHWASHING LIQUID POWER100 LEMON, 9,5 KG X 2 JRG IN CARTON</v>
          </cell>
          <cell r="C2028" t="str">
            <v>NƯỚC RỬA CHÉN POWER100 HƯƠNG CHANH, LOẠI 9,5 KG X 2 CAN TRONG THÙNG CARTON</v>
          </cell>
          <cell r="D2028" t="str">
            <v>DISHWASHING LIQUID POWER100 LEMON, 9,5 KG X 2 JRG IN CARTON</v>
          </cell>
          <cell r="E2028">
            <v>19</v>
          </cell>
          <cell r="F2028" t="str">
            <v>Bỏ chọn</v>
          </cell>
          <cell r="G2028"/>
          <cell r="H2028"/>
        </row>
        <row r="2029">
          <cell r="A2029" t="str">
            <v>7.C3501559950012701</v>
          </cell>
          <cell r="B2029" t="str">
            <v>DISHWASHING LIQUID POWER100 LEMON, 9,5 KG</v>
          </cell>
          <cell r="C2029" t="str">
            <v>NƯỚC RỬA CHÉN POWER100 HƯƠNG CHANH, LOẠI 9,5 KG</v>
          </cell>
          <cell r="D2029" t="str">
            <v>DISHWASHING LIQUID POWER100 LEMON, 9,5 KG</v>
          </cell>
          <cell r="E2029">
            <v>9.5</v>
          </cell>
          <cell r="F2029" t="str">
            <v>Bỏ chọn</v>
          </cell>
          <cell r="G2029"/>
          <cell r="H2029"/>
        </row>
        <row r="2030">
          <cell r="A2030" t="str">
            <v>7.C35015599620128</v>
          </cell>
          <cell r="B2030" t="str">
            <v>DISHWASHING LIQUID POWER100 NATURAL, 750ML X 12 BOTTLES IN CARTON</v>
          </cell>
          <cell r="C2030" t="str">
            <v>NƯỚC RỬA CHÉN POWER100 NATURAL, LOẠI 750ML X 12 CHAI TRONG THÙNG CARTON</v>
          </cell>
          <cell r="D2030" t="str">
            <v>DISHWASHING LIQUID POWER100 NATURAL, 750ML X 12 BOTTLES IN CARTON</v>
          </cell>
          <cell r="E2030">
            <v>9.36</v>
          </cell>
          <cell r="F2030" t="str">
            <v>Bỏ chọn</v>
          </cell>
          <cell r="G2030"/>
          <cell r="H2030"/>
        </row>
        <row r="2031">
          <cell r="A2031" t="str">
            <v>7.C3501559962012801</v>
          </cell>
          <cell r="B2031" t="str">
            <v xml:space="preserve">DISHWASHING LIQUID POWER100 NATURAL, 750ML </v>
          </cell>
          <cell r="C2031" t="str">
            <v>NƯỚC RỬA CHÉN POWER100 NATURAL, LOẠI 750ML</v>
          </cell>
          <cell r="D2031" t="str">
            <v>DISHWASHING LIQUID POWER100 NATURAL, 750ML</v>
          </cell>
          <cell r="E2031">
            <v>0.78</v>
          </cell>
          <cell r="F2031" t="str">
            <v>Bỏ chọn</v>
          </cell>
          <cell r="G2031"/>
          <cell r="H2031"/>
        </row>
        <row r="2032">
          <cell r="A2032" t="str">
            <v>7.C35015599547227</v>
          </cell>
          <cell r="B2032" t="str">
            <v>DISHWASHING LIQUID POWER100 LEMON, 1,5 KG X 8 JRG IN CARTON, EXPORT TO CAMBODIA</v>
          </cell>
          <cell r="C2032" t="str">
            <v>NƯỚC RỬA CHÉN POWER100 HƯƠNG CHANH, LOẠI 1,5 KG X 8 CAN TRONG THÙNG CARTON, XK CAMPUCHIA</v>
          </cell>
          <cell r="D2032" t="str">
            <v>DISHWASHING LIQUID POWER100 LEMON, 1,5 KG X 8 JRG IN CARTON, EXPORT TO CAMBODIA</v>
          </cell>
          <cell r="E2032">
            <v>12</v>
          </cell>
          <cell r="F2032" t="str">
            <v>Bỏ chọn</v>
          </cell>
          <cell r="G2032"/>
          <cell r="H2032"/>
        </row>
        <row r="2033">
          <cell r="A2033" t="str">
            <v>7.C3501559954722701</v>
          </cell>
          <cell r="B2033" t="str">
            <v>DISHWASHING LIQUID POWER100 LEMON, 1,5 KG, EXPORT TO CAMBODIA</v>
          </cell>
          <cell r="C2033" t="str">
            <v>NƯỚC RỬA CHÉN POWER100 HƯƠNG CHANH, LOẠI 1,5 KG, XK CAMPUCHIA</v>
          </cell>
          <cell r="D2033" t="str">
            <v>DISHWASHING LIQUID POWER100 LEMON, 1,5 KG, EXPORT TO CAMBODIA</v>
          </cell>
          <cell r="E2033">
            <v>1.5</v>
          </cell>
          <cell r="F2033" t="str">
            <v>Bỏ chọn</v>
          </cell>
          <cell r="G2033"/>
          <cell r="H2033"/>
        </row>
        <row r="2034">
          <cell r="A2034" t="str">
            <v>7.C35015599497227</v>
          </cell>
          <cell r="B2034" t="str">
            <v>DISHWASHING LIQUID POWER100 LEMON, 3,8 KG X 4 JRG IN CARTON, EXPORT TO CAMBODIA</v>
          </cell>
          <cell r="C2034" t="str">
            <v>NƯỚC RỬA CHÉN POWER100 HƯƠNG CHANH, LOẠI 3,8KG X 4 CAN TRONG THÙNG CARTON, XK CAMPUCHIA</v>
          </cell>
          <cell r="D2034" t="str">
            <v>DISHWASHING LIQUID POWER100 LEMON, 3,8 KG X 4 JRG IN CARTON, EXPORT TO CAMBODIA</v>
          </cell>
          <cell r="E2034">
            <v>15.2</v>
          </cell>
          <cell r="F2034" t="str">
            <v>Bỏ chọn</v>
          </cell>
          <cell r="G2034"/>
          <cell r="H2034"/>
        </row>
        <row r="2035">
          <cell r="A2035" t="str">
            <v>7.C3501559949722701</v>
          </cell>
          <cell r="B2035" t="str">
            <v>DISHWASHING LIQUID POWER100 LEMON, 3,8 KG, EXPORT TO CAMBODIA</v>
          </cell>
          <cell r="C2035" t="str">
            <v>NƯỚC RỬA CHÉN POWER100 HƯƠNG CHANH, LOẠI 3,8KG, XK CAMPUCHIA</v>
          </cell>
          <cell r="D2035" t="str">
            <v>DISHWASHING LIQUID POWER100 LEMON, 3,8 KG, EXPORT TO CAMBODIA</v>
          </cell>
          <cell r="E2035">
            <v>3.8</v>
          </cell>
          <cell r="F2035" t="str">
            <v>Bỏ chọn</v>
          </cell>
          <cell r="G2035"/>
          <cell r="H2035"/>
        </row>
        <row r="2036">
          <cell r="A2036" t="str">
            <v>V51.000.047</v>
          </cell>
          <cell r="B2036" t="str">
            <v>BANNER POWER100</v>
          </cell>
          <cell r="C2036" t="str">
            <v>BĂNG RÔN POWER100</v>
          </cell>
          <cell r="D2036" t="str">
            <v>BANNER POWER100</v>
          </cell>
          <cell r="E2036">
            <v>0</v>
          </cell>
          <cell r="F2036" t="str">
            <v>Bỏ chọn</v>
          </cell>
          <cell r="G2036"/>
          <cell r="H2036"/>
        </row>
        <row r="2037">
          <cell r="A2037" t="str">
            <v>V51.00A.007</v>
          </cell>
          <cell r="B2037" t="str">
            <v>RED PEN LAOS PP BAG - 25</v>
          </cell>
          <cell r="C2037" t="str">
            <v>BAO PP CÂY VIẾT ĐỎ LÀO (RED PEN LAOS) - 25</v>
          </cell>
          <cell r="D2037" t="str">
            <v>RED PEN LAOS PP BAG - 25</v>
          </cell>
          <cell r="E2037">
            <v>0</v>
          </cell>
          <cell r="F2037" t="str">
            <v>Bỏ chọn</v>
          </cell>
          <cell r="G2037"/>
          <cell r="H2037"/>
        </row>
        <row r="2038">
          <cell r="A2038" t="str">
            <v>V39.015.114</v>
          </cell>
          <cell r="B2038" t="str">
            <v>SPOON KIDDY STAINLESS STEEL (L=15.5CM)</v>
          </cell>
          <cell r="C2038" t="str">
            <v>MUỖNG INOX KIDDY (L=15.5CM)</v>
          </cell>
          <cell r="D2038" t="str">
            <v>SPOON KIDDY STAINLESS STEEL (L=15.5CM)</v>
          </cell>
          <cell r="E2038">
            <v>0</v>
          </cell>
          <cell r="F2038" t="str">
            <v>Bỏ chọn</v>
          </cell>
          <cell r="G2038"/>
          <cell r="H2038"/>
        </row>
        <row r="2039">
          <cell r="A2039" t="str">
            <v>V51.00A.008</v>
          </cell>
          <cell r="B2039" t="str">
            <v>RED KEY LAOS PP BAG - 25</v>
          </cell>
          <cell r="C2039" t="str">
            <v>BAO PP CHÌA KHÓA ĐỎ LÀO (RED KEY LAOS) - 25</v>
          </cell>
          <cell r="D2039" t="str">
            <v>RED KEY LAOS PP BAG - 25</v>
          </cell>
          <cell r="E2039">
            <v>0</v>
          </cell>
          <cell r="F2039" t="str">
            <v>Bỏ chọn</v>
          </cell>
          <cell r="G2039"/>
          <cell r="H2039"/>
        </row>
        <row r="2040">
          <cell r="A2040" t="str">
            <v>V51.00A.009</v>
          </cell>
          <cell r="B2040" t="str">
            <v>RED COMPASS LAOS PP BAG - 25</v>
          </cell>
          <cell r="C2040" t="str">
            <v>BAO PP LA BÀN ĐỎ LÀO (RED COMPASS LAOS) - 25</v>
          </cell>
          <cell r="D2040" t="str">
            <v>RED COMPASS LAOS PP BAG - 25</v>
          </cell>
          <cell r="E2040">
            <v>0</v>
          </cell>
          <cell r="F2040" t="str">
            <v>Bỏ chọn</v>
          </cell>
          <cell r="G2040"/>
          <cell r="H2040"/>
        </row>
        <row r="2041">
          <cell r="A2041" t="str">
            <v>7.B24032399780199</v>
          </cell>
          <cell r="B2041" t="str">
            <v>OYSTER SAUCE 615G X  20 BOT/CAR</v>
          </cell>
          <cell r="C2041" t="str">
            <v>DẦU HÀO 615G X 20 CHAI/THÙNG</v>
          </cell>
          <cell r="D2041" t="str">
            <v>OYSTER SAUCE 615G X  20 BOT/CAR</v>
          </cell>
          <cell r="E2041">
            <v>12.3</v>
          </cell>
          <cell r="F2041" t="str">
            <v>Bỏ chọn</v>
          </cell>
          <cell r="G2041" t="str">
            <v>2000000008</v>
          </cell>
          <cell r="H2041" t="str">
            <v>7.B2403239978019901</v>
          </cell>
        </row>
        <row r="2042">
          <cell r="A2042" t="str">
            <v>7.B2403239978019901</v>
          </cell>
          <cell r="B2042" t="str">
            <v xml:space="preserve">OYSTER SAUCE 615G </v>
          </cell>
          <cell r="C2042" t="str">
            <v>DẦU HÀO 615G</v>
          </cell>
          <cell r="D2042" t="str">
            <v>OYSTER SAUCE 615G</v>
          </cell>
          <cell r="E2042">
            <v>0.61499999999999999</v>
          </cell>
          <cell r="F2042" t="str">
            <v>Bỏ chọn</v>
          </cell>
          <cell r="G2042" t="str">
            <v>2000000008</v>
          </cell>
          <cell r="H2042"/>
        </row>
        <row r="2043">
          <cell r="A2043" t="str">
            <v>7.C35015599337227</v>
          </cell>
          <cell r="B2043" t="str">
            <v>DISHWASHING LIQUID POWER100 LEMON, 400G X 24 BOTTLES IN CARTON, EXPORT TO CAMBODIA</v>
          </cell>
          <cell r="C2043" t="str">
            <v>NƯỚC RỬA CHÉN POWER100 HƯƠNG CHANH, LOẠI 400G  X 24 CHAI TRONG THÙNG CARTON, XK CAMPUCHIA</v>
          </cell>
          <cell r="D2043" t="str">
            <v>DISHWASHING LIQUID POWER100 LEMON, 400G X 24 BOTTLES IN CARTON, EXPORT TO CAMBODIA</v>
          </cell>
          <cell r="E2043">
            <v>9.6</v>
          </cell>
          <cell r="F2043" t="str">
            <v>Bỏ chọn</v>
          </cell>
          <cell r="G2043"/>
          <cell r="H2043"/>
        </row>
        <row r="2044">
          <cell r="A2044" t="str">
            <v>7.C3501559933722701</v>
          </cell>
          <cell r="B2044" t="str">
            <v>DISHWASHING LIQUID POWER100 LEMON, EXPORT TO CAMBODIA</v>
          </cell>
          <cell r="C2044" t="str">
            <v>NƯỚC RỬA CHÉN POWER100 HƯƠNG CHANH, LOẠI 400G, XK CAMPUCHIA</v>
          </cell>
          <cell r="D2044" t="str">
            <v>DISHWASHING LIQUID POWER100 LEMON, EXPORT TO CAMBODIA</v>
          </cell>
          <cell r="E2044">
            <v>0.4</v>
          </cell>
          <cell r="F2044" t="str">
            <v>Bỏ chọn</v>
          </cell>
          <cell r="G2044"/>
          <cell r="H2044"/>
        </row>
        <row r="2045">
          <cell r="A2045" t="str">
            <v>7.C35015599697227</v>
          </cell>
          <cell r="B2045" t="str">
            <v>DISHWASHING LIQUID POWER100 LEMON, 750G X 16 BOTTLES IN CARTON, EXPORT TO CAMBODIA</v>
          </cell>
          <cell r="C2045" t="str">
            <v>NƯỚC RỬA CHÉN POWER100 HƯƠNG CHANH, LOẠI 750G X 16 CHAI TRONG THÙNG CARTON, XK CAMPUCHIA</v>
          </cell>
          <cell r="D2045" t="str">
            <v>DISHWASHING LIQUID POWER100 LEMON, 750G X 16 BOTTLES IN CARTON, EXPORT TO CAMBODIA</v>
          </cell>
          <cell r="E2045">
            <v>12</v>
          </cell>
          <cell r="F2045" t="str">
            <v>Bỏ chọn</v>
          </cell>
          <cell r="G2045"/>
          <cell r="H2045"/>
        </row>
        <row r="2046">
          <cell r="A2046" t="str">
            <v>7.C3501559969722701</v>
          </cell>
          <cell r="B2046" t="str">
            <v>DISHWASHING LIQUID POWER100 LEMON, 750G, EXPORT TO CAMBODIA</v>
          </cell>
          <cell r="C2046" t="str">
            <v>NƯỚC RỬA CHÉN POWER100 HƯƠNG CHANH, LOẠI 750G, XK CAMPUCHIA</v>
          </cell>
          <cell r="D2046" t="str">
            <v>DISHWASHING LIQUID POWER100 LEMON, 750G, EXPORT TO CAMBODIA</v>
          </cell>
          <cell r="E2046">
            <v>0.75</v>
          </cell>
          <cell r="F2046" t="str">
            <v>Bỏ chọn</v>
          </cell>
          <cell r="G2046"/>
          <cell r="H2046"/>
        </row>
        <row r="2047">
          <cell r="A2047" t="str">
            <v>7.5239938990701</v>
          </cell>
          <cell r="B2047" t="str">
            <v>POLLARD (50KG)</v>
          </cell>
          <cell r="C2047" t="str">
            <v>CÁM MÌ - NGUYÊN LIỆU LÀM THỨC ĂN CHĂN NUÔI HIỆU “POLLARD” (50KG)</v>
          </cell>
          <cell r="D2047" t="str">
            <v>POLLARD (50KG)</v>
          </cell>
          <cell r="E2047">
            <v>1</v>
          </cell>
          <cell r="F2047" t="str">
            <v>Bỏ chọn</v>
          </cell>
          <cell r="G2047"/>
          <cell r="H2047"/>
        </row>
        <row r="2048">
          <cell r="A2048" t="str">
            <v>V39.013.054</v>
          </cell>
          <cell r="B2048" t="str">
            <v>MEIZAN SBO T-SHIRT</v>
          </cell>
          <cell r="C2048" t="str">
            <v>ÁO THUN MEIZAN SBO</v>
          </cell>
          <cell r="D2048" t="str">
            <v>MEIZAN SBO T-SHIRT</v>
          </cell>
          <cell r="E2048">
            <v>0</v>
          </cell>
          <cell r="F2048" t="str">
            <v>Bỏ chọn</v>
          </cell>
          <cell r="G2048"/>
          <cell r="H2048"/>
        </row>
        <row r="2049">
          <cell r="A2049" t="str">
            <v>V51.600.075</v>
          </cell>
          <cell r="B2049" t="str">
            <v>MEIZAN SBO BOOTH</v>
          </cell>
          <cell r="C2049" t="str">
            <v>BỘ BÀN MEIZAN SBO</v>
          </cell>
          <cell r="D2049" t="str">
            <v>MEIZAN SBO BOOTH</v>
          </cell>
          <cell r="E2049">
            <v>0</v>
          </cell>
          <cell r="F2049" t="str">
            <v>Bỏ chọn</v>
          </cell>
          <cell r="G2049"/>
          <cell r="H2049"/>
        </row>
        <row r="2050">
          <cell r="A2050" t="str">
            <v>V51.106.006</v>
          </cell>
          <cell r="B2050" t="str">
            <v>MEIZAN SBO UMBRELLA</v>
          </cell>
          <cell r="C2050" t="str">
            <v>DÙ MEIZAN SBO</v>
          </cell>
          <cell r="D2050" t="str">
            <v>MEIZAN SBO UMBRELLA</v>
          </cell>
          <cell r="E2050">
            <v>0</v>
          </cell>
          <cell r="F2050" t="str">
            <v>Bỏ chọn</v>
          </cell>
          <cell r="G2050"/>
          <cell r="H2050"/>
        </row>
        <row r="2051">
          <cell r="A2051" t="str">
            <v>V51.901.068</v>
          </cell>
          <cell r="B2051" t="str">
            <v>MEIZAN SBO STANDEE</v>
          </cell>
          <cell r="C2051" t="str">
            <v>PHƯỚN ĐỨNG MEIZAN SBO</v>
          </cell>
          <cell r="D2051" t="str">
            <v>MEIZAN SBO STANDEE</v>
          </cell>
          <cell r="E2051">
            <v>0</v>
          </cell>
          <cell r="F2051" t="str">
            <v>Bỏ chọn</v>
          </cell>
          <cell r="G2051"/>
          <cell r="H2051"/>
        </row>
        <row r="2052">
          <cell r="A2052" t="str">
            <v>V51.153.025</v>
          </cell>
          <cell r="B2052" t="str">
            <v>MEIZAN NYLONG PACK</v>
          </cell>
          <cell r="C2052" t="str">
            <v>TÚI NYLONG MEIZAN</v>
          </cell>
          <cell r="D2052" t="str">
            <v>MEIZAN NYLONG PACK</v>
          </cell>
          <cell r="E2052">
            <v>1</v>
          </cell>
          <cell r="F2052" t="str">
            <v>Bỏ chọn</v>
          </cell>
          <cell r="G2052"/>
          <cell r="H2052"/>
        </row>
        <row r="2053">
          <cell r="A2053" t="str">
            <v>V51.600.079</v>
          </cell>
          <cell r="B2053" t="str">
            <v>MEIZAN DISPLAY SHELF</v>
          </cell>
          <cell r="C2053" t="str">
            <v>KỆ TRƯNG BÀY MEIZAN</v>
          </cell>
          <cell r="D2053" t="str">
            <v>MEIZAN DISPLAY SHELF</v>
          </cell>
          <cell r="E2053">
            <v>0</v>
          </cell>
          <cell r="F2053" t="str">
            <v>Bỏ chọn</v>
          </cell>
          <cell r="G2053"/>
          <cell r="H2053"/>
        </row>
        <row r="2054">
          <cell r="A2054" t="str">
            <v>V51.600.076</v>
          </cell>
          <cell r="B2054" t="str">
            <v>MEIZAN SBO BANNER (4M X 1.2M)</v>
          </cell>
          <cell r="C2054" t="str">
            <v>BĂNG RÔN MEIZAN SBO (4M X 1.2M)</v>
          </cell>
          <cell r="D2054" t="str">
            <v>MEIZAN SBO BANNER (4M X 1.2M)</v>
          </cell>
          <cell r="E2054">
            <v>0</v>
          </cell>
          <cell r="F2054" t="str">
            <v>Bỏ chọn</v>
          </cell>
          <cell r="G2054"/>
          <cell r="H2054"/>
        </row>
        <row r="2055">
          <cell r="A2055" t="str">
            <v>V51.600.077</v>
          </cell>
          <cell r="B2055" t="str">
            <v>MEIZAN SBO BANNER (5M X 1.5M)</v>
          </cell>
          <cell r="C2055" t="str">
            <v>BĂNG RÔN MEIZAN SBO (5M X 1.5M)</v>
          </cell>
          <cell r="D2055" t="str">
            <v>MEIZAN SBO BANNER (5M X 1.5M)</v>
          </cell>
          <cell r="E2055">
            <v>0</v>
          </cell>
          <cell r="F2055" t="str">
            <v>Bỏ chọn</v>
          </cell>
          <cell r="G2055"/>
          <cell r="H2055"/>
        </row>
        <row r="2056">
          <cell r="A2056" t="str">
            <v>V51.600.078</v>
          </cell>
          <cell r="B2056" t="str">
            <v>MEIZAN SBO BANNER (6M X 1.5M)</v>
          </cell>
          <cell r="C2056" t="str">
            <v>BĂNG RÔN MEIZAN SBO (6M X 1.5M)</v>
          </cell>
          <cell r="D2056" t="str">
            <v>MEIZAN SBO BANNER (6M X 1.5M)</v>
          </cell>
          <cell r="E2056">
            <v>0</v>
          </cell>
          <cell r="F2056" t="str">
            <v>Bỏ chọn</v>
          </cell>
          <cell r="G2056"/>
          <cell r="H2056"/>
        </row>
        <row r="2057">
          <cell r="A2057" t="str">
            <v>V51.000.048</v>
          </cell>
          <cell r="B2057" t="str">
            <v>KIDDY SMALL SHELF (31 X 30)</v>
          </cell>
          <cell r="C2057" t="str">
            <v>KỆ TRƯNG BÀY KIDDY (NGANG 31 CM X CAO 30 CM)</v>
          </cell>
          <cell r="D2057" t="str">
            <v>KIDDY SMALL SHELF (31 X 30)</v>
          </cell>
          <cell r="E2057">
            <v>0</v>
          </cell>
          <cell r="F2057" t="str">
            <v>Bỏ chọn</v>
          </cell>
          <cell r="G2057"/>
          <cell r="H2057"/>
        </row>
        <row r="2058">
          <cell r="A2058" t="str">
            <v>V51.000.049</v>
          </cell>
          <cell r="B2058" t="str">
            <v>KIDDY MINISHELF (40 X 140)</v>
          </cell>
          <cell r="C2058" t="str">
            <v>KỆ TRƯNG BÀY KIDDY (NGANG 40 CM X CAO 140 CM)</v>
          </cell>
          <cell r="D2058" t="str">
            <v>KIDDY MINISHELF (40 X 140)</v>
          </cell>
          <cell r="E2058">
            <v>0</v>
          </cell>
          <cell r="F2058" t="str">
            <v>Bỏ chọn</v>
          </cell>
          <cell r="G2058"/>
          <cell r="H2058"/>
        </row>
        <row r="2059">
          <cell r="A2059" t="str">
            <v>7.B25085499799205</v>
          </cell>
          <cell r="B2059" t="str">
            <v>PORK BOUILLON GRANULE 50G X 120 PAC/CAR</v>
          </cell>
          <cell r="C2059" t="str">
            <v>THỰC PHẨM BỔ SUNG HẠT NÊM 4 TRONG 1 - VỊ HEO 50G X 120 GÓI/THÙNG</v>
          </cell>
          <cell r="D2059" t="str">
            <v>PORK BOUILLON GRANULE 50G X 120 PAC/CAR</v>
          </cell>
          <cell r="E2059">
            <v>6</v>
          </cell>
          <cell r="F2059" t="str">
            <v>Bỏ chọn</v>
          </cell>
          <cell r="G2059"/>
          <cell r="H2059"/>
        </row>
        <row r="2060">
          <cell r="A2060" t="str">
            <v>V39.000.045</v>
          </cell>
          <cell r="B2060" t="str">
            <v>SAMSUNG TV ULTRA HD 4K 55-UA55RU7200</v>
          </cell>
          <cell r="C2060" t="str">
            <v>TIVI SAMSUNG ULTRA HD 4K 55-UA55RU7200</v>
          </cell>
          <cell r="D2060" t="str">
            <v>SAMSUNG TV ULTRA HD 4K 55-UA55RU7200</v>
          </cell>
          <cell r="E2060">
            <v>0</v>
          </cell>
          <cell r="F2060" t="str">
            <v>Bỏ chọn</v>
          </cell>
          <cell r="G2060"/>
          <cell r="H2060"/>
        </row>
        <row r="2061">
          <cell r="A2061" t="str">
            <v>V15.000.009</v>
          </cell>
          <cell r="B2061" t="str">
            <v>SAMSUNG GALAXY TAB A 8 SM-T385 - GOLD</v>
          </cell>
          <cell r="C2061" t="str">
            <v>MÁY TÍNH BẢNG SAMSUNG GALAXY TAB A 8 SM-T385-GOLD</v>
          </cell>
          <cell r="D2061" t="str">
            <v>SAMSUNG GALAXY TAB A 8 SM-T385 - GOLD</v>
          </cell>
          <cell r="E2061">
            <v>0</v>
          </cell>
          <cell r="F2061" t="str">
            <v>Bỏ chọn</v>
          </cell>
          <cell r="G2061"/>
          <cell r="H2061"/>
        </row>
        <row r="2062">
          <cell r="A2062" t="str">
            <v>V51.000.050</v>
          </cell>
          <cell r="B2062" t="str">
            <v>OLIVOILA SHELF (1M X 2,87M X 0,4M)</v>
          </cell>
          <cell r="C2062" t="str">
            <v>KỆ TRƯNG BÀY OLIVOILA (NGANG 1M X CAO 2,87M X SÂU 0,4M)</v>
          </cell>
          <cell r="D2062" t="str">
            <v>OLIVOILA SHELF (1M X 2,87M X 0,4M)</v>
          </cell>
          <cell r="E2062">
            <v>0</v>
          </cell>
          <cell r="F2062" t="str">
            <v>Bỏ chọn</v>
          </cell>
          <cell r="G2062"/>
          <cell r="H2062"/>
        </row>
        <row r="2063">
          <cell r="A2063" t="str">
            <v>7.1070120494108010</v>
          </cell>
          <cell r="B2063" t="str">
            <v>MEIZAN SUPERIOR MARGARINEBLUE PEBAG@16KG</v>
          </cell>
          <cell r="C2063" t="str">
            <v>BƠ THỰC VẬT CAO CẤP NHÃN HIỆU MEIZAN (NHÃN MÀU XANH)</v>
          </cell>
          <cell r="D2063" t="str">
            <v>MEIZAN SUPERIOR MARGARINEBLUE PEBAG@16KG</v>
          </cell>
          <cell r="E2063">
            <v>16</v>
          </cell>
          <cell r="F2063" t="str">
            <v>Chọn</v>
          </cell>
          <cell r="G2063"/>
          <cell r="H2063"/>
        </row>
        <row r="2064">
          <cell r="A2064" t="str">
            <v>V51.102.017</v>
          </cell>
          <cell r="B2064" t="str">
            <v>DISHWASHING LIQUID POWER100 NATURAL750ML</v>
          </cell>
          <cell r="C2064" t="str">
            <v>NƯỚC RỬA CHÉN POWER100 NATURAL, LOẠI 750ML</v>
          </cell>
          <cell r="D2064" t="str">
            <v>DISHWASHING LIQUID POWER100 NATURAL750ML</v>
          </cell>
          <cell r="E2064">
            <v>0</v>
          </cell>
          <cell r="F2064" t="str">
            <v>Bỏ chọn</v>
          </cell>
          <cell r="G2064"/>
          <cell r="H2064"/>
        </row>
        <row r="2065">
          <cell r="A2065" t="str">
            <v>6.1231002TD</v>
          </cell>
          <cell r="B2065" t="str">
            <v>DOUBLE REFINED COCONUT OIL</v>
          </cell>
          <cell r="C2065" t="str">
            <v>DẦU DỪA TINH LUYỆN</v>
          </cell>
          <cell r="D2065" t="str">
            <v>DOUBLE REFINED COCONUT OIL</v>
          </cell>
          <cell r="E2065">
            <v>1</v>
          </cell>
          <cell r="F2065" t="str">
            <v>Bỏ chọn</v>
          </cell>
          <cell r="G2065"/>
          <cell r="H2065"/>
        </row>
        <row r="2066">
          <cell r="A2066" t="str">
            <v>V51.000.051</v>
          </cell>
          <cell r="B2066" t="str">
            <v xml:space="preserve">ARTWORK POWER100 FOR STANDEE 0,6M X 1,64M </v>
          </cell>
          <cell r="C2066" t="str">
            <v>HÌNH ẢNH POWER100 CHO PHƯỚN ĐỨNG 0,6M X 1,64M</v>
          </cell>
          <cell r="D2066" t="str">
            <v xml:space="preserve">ARTWORK POWER100 FOR STANDEE 0,6M X 1,64M </v>
          </cell>
          <cell r="E2066">
            <v>0</v>
          </cell>
          <cell r="F2066" t="str">
            <v>Bỏ chọn</v>
          </cell>
          <cell r="G2066"/>
          <cell r="H2066"/>
        </row>
        <row r="2067">
          <cell r="A2067" t="str">
            <v>V51.000.052</v>
          </cell>
          <cell r="B2067" t="str">
            <v>UMBRELLA POWER100 2,4M</v>
          </cell>
          <cell r="C2067" t="str">
            <v>DÙ POWER100 2,4M</v>
          </cell>
          <cell r="D2067" t="str">
            <v>UMBRELLA POWER100 2,4M</v>
          </cell>
          <cell r="E2067">
            <v>0</v>
          </cell>
          <cell r="F2067" t="str">
            <v>Bỏ chọn</v>
          </cell>
          <cell r="G2067"/>
          <cell r="H2067"/>
        </row>
        <row r="2068">
          <cell r="A2068" t="str">
            <v>V51.000.053</v>
          </cell>
          <cell r="B2068" t="str">
            <v>ARTWORK POWER100 FOR BOOTH, 3 PCS PER SET</v>
          </cell>
          <cell r="C2068" t="str">
            <v>HÌNH ẢNH POWER100 CHO BÀN, BỘ 3 CÁI</v>
          </cell>
          <cell r="D2068" t="str">
            <v>ARTWORK POWER100 FOR BOOTH, 3 PCS PER SET</v>
          </cell>
          <cell r="E2068">
            <v>0</v>
          </cell>
          <cell r="F2068" t="str">
            <v>Bỏ chọn</v>
          </cell>
          <cell r="G2068"/>
          <cell r="H2068"/>
        </row>
        <row r="2069">
          <cell r="A2069" t="str">
            <v>V51.000.054</v>
          </cell>
          <cell r="B2069" t="str">
            <v>THE GIOI DI DONG-DIEN MAY XANH VOUCHER, 100,000 VND VALUE WITH VAT</v>
          </cell>
          <cell r="C2069" t="str">
            <v>PHIẾU MUA HÀNG THẾ GIỚI DI ĐỘNG-ĐIỆN MÁY XANH 100,000 VND SAU VAT</v>
          </cell>
          <cell r="D2069" t="str">
            <v>THE GIOI DI DONG-DIEN MAY XANH VOUCHER, 100,000 VND VALUE WITH VAT</v>
          </cell>
          <cell r="E2069">
            <v>0</v>
          </cell>
          <cell r="F2069" t="str">
            <v>Bỏ chọn</v>
          </cell>
          <cell r="G2069"/>
          <cell r="H2069"/>
        </row>
        <row r="2070">
          <cell r="A2070" t="str">
            <v>V51.000.055</v>
          </cell>
          <cell r="B2070" t="str">
            <v>THE GIOI DI DONG-DIEN MAY XANH VOUCHER, 1,000,000 VND VALUE WITH VAT</v>
          </cell>
          <cell r="C2070" t="str">
            <v>PHIẾU MUA HÀNG THẾ GIỚI DI ĐỘNG-ĐIỆN MÁY XANH 1,000,000 VND SAU VAT</v>
          </cell>
          <cell r="D2070" t="str">
            <v>THE GIOI DI DONG-DIEN MAY XANH VOUCHER, 1,000,000 VND VALUE WITH VAT</v>
          </cell>
          <cell r="E2070">
            <v>0</v>
          </cell>
          <cell r="F2070" t="str">
            <v>Bỏ chọn</v>
          </cell>
          <cell r="G2070"/>
          <cell r="H2070"/>
        </row>
        <row r="2071">
          <cell r="A2071" t="str">
            <v>V51.000.056</v>
          </cell>
          <cell r="B2071" t="str">
            <v>THE GIOI DI DONG-DIEN MAY XANH VOUCHER, 2,000,000 VND VALUE WITH VAT</v>
          </cell>
          <cell r="C2071" t="str">
            <v>PHIẾU MUA HÀNG THẾ GIỚI DI ĐỘNG-ĐIỆN MÁY XANH 2,000,000 VND SAU VAT</v>
          </cell>
          <cell r="D2071" t="str">
            <v>THE GIOI DI DONG-DIEN MAY XANH VOUCHER, 2,000,000 VND VALUE WITH VAT</v>
          </cell>
          <cell r="E2071">
            <v>0</v>
          </cell>
          <cell r="F2071" t="str">
            <v>Bỏ chọn</v>
          </cell>
          <cell r="G2071"/>
          <cell r="H2071"/>
        </row>
        <row r="2072">
          <cell r="A2072" t="str">
            <v>V51.000.057</v>
          </cell>
          <cell r="B2072" t="str">
            <v>PHIẾU MUA HÀNG THẾ GIỚI DI ĐỘNG-ĐIỆN MÁY XANH 5,000,000 VND SAU VAT</v>
          </cell>
          <cell r="C2072" t="str">
            <v>PHIẾU MUA HÀNG THẾ GIỚI DI ĐỘNG-ĐIỆN MÁY XANH 5,000,000 VND SAU VAT</v>
          </cell>
          <cell r="D2072" t="str">
            <v>PHIẾU MUA HÀNG THẾ GIỚI DI ĐỘNG-ĐIỆN MÁY XANH 5,000,000 VND SAU VAT</v>
          </cell>
          <cell r="E2072">
            <v>0</v>
          </cell>
          <cell r="F2072" t="str">
            <v>Bỏ chọn</v>
          </cell>
          <cell r="G2072"/>
          <cell r="H2072"/>
        </row>
        <row r="2073">
          <cell r="A2073" t="str">
            <v>7.101089570901840</v>
          </cell>
          <cell r="B2073" t="str">
            <v>RBDPO SATELLITE IN BIB 18KG (RSPO MB)</v>
          </cell>
          <cell r="C2073" t="str">
            <v>DẦU CỌ TINH LUYỆN NHÃN HIỆU SATELLITE (RSPO/MB) TRONG TÚI BÓNG 18KG</v>
          </cell>
          <cell r="D2073" t="str">
            <v>RBDPO SATELLITE IN BIB 18KG (RSPO MB)</v>
          </cell>
          <cell r="E2073">
            <v>18</v>
          </cell>
          <cell r="F2073" t="str">
            <v>Chọn</v>
          </cell>
          <cell r="G2073"/>
          <cell r="H2073"/>
        </row>
        <row r="2074">
          <cell r="A2074" t="str">
            <v>V51.000.058</v>
          </cell>
          <cell r="B2074" t="str">
            <v>MR. WIL MASCOT</v>
          </cell>
          <cell r="C2074" t="str">
            <v>LINH VẬT ÔNG WIL</v>
          </cell>
          <cell r="D2074" t="str">
            <v>MR. WIL MASCOT</v>
          </cell>
          <cell r="E2074">
            <v>0</v>
          </cell>
          <cell r="F2074" t="str">
            <v>Bỏ chọn</v>
          </cell>
          <cell r="G2074"/>
          <cell r="H2074"/>
        </row>
        <row r="2075">
          <cell r="A2075" t="str">
            <v>7.B2409239918019901TD</v>
          </cell>
          <cell r="B2075" t="str">
            <v>SALAD DRESSING 250G (LNS)</v>
          </cell>
          <cell r="C2075" t="str">
            <v>SỐT DẦU DẤM TRỘN SALAD 250G</v>
          </cell>
          <cell r="D2075" t="str">
            <v>SALAD DRESSING 250G (LNS)</v>
          </cell>
          <cell r="E2075">
            <v>0.25</v>
          </cell>
          <cell r="F2075" t="str">
            <v>Bỏ chọn</v>
          </cell>
          <cell r="G2075"/>
          <cell r="H2075"/>
        </row>
        <row r="2076">
          <cell r="A2076" t="str">
            <v>7.B2407239916011601TD</v>
          </cell>
          <cell r="B2076" t="str">
            <v>TOMATO SAUCE 265G</v>
          </cell>
          <cell r="C2076" t="str">
            <v>TƯƠNG CÀ 265G</v>
          </cell>
          <cell r="D2076" t="str">
            <v>TOMATO SAUCE 265G</v>
          </cell>
          <cell r="E2076">
            <v>0.26500000000000001</v>
          </cell>
          <cell r="F2076" t="str">
            <v>Bỏ chọn</v>
          </cell>
          <cell r="G2076"/>
          <cell r="H2076"/>
        </row>
        <row r="2077">
          <cell r="A2077" t="str">
            <v>7.B2401239937921301TD</v>
          </cell>
          <cell r="B2077" t="str">
            <v>NAM DUONG CONDENSED SOY SAUCE 500ML</v>
          </cell>
          <cell r="C2077" t="str">
            <v>THỰC PHẨM BỔ SUNG NƯỚC TƯƠNG NAM DƯƠNG ĐẬM ĐẶC 500ML</v>
          </cell>
          <cell r="D2077" t="str">
            <v>NAM DUONG CONDENSED SOY SAUCE 500ML</v>
          </cell>
          <cell r="E2077">
            <v>0.56000000000000005</v>
          </cell>
          <cell r="F2077" t="str">
            <v>Bỏ chọn</v>
          </cell>
          <cell r="G2077"/>
          <cell r="H2077"/>
        </row>
        <row r="2078">
          <cell r="A2078" t="str">
            <v>7.B24012399800104</v>
          </cell>
          <cell r="B2078" t="str">
            <v>PREMIUM SOY SAUCE 95ML X 60 BOT/CAR</v>
          </cell>
          <cell r="C2078" t="str">
            <v>NƯỚC TƯƠNG THƯỢNG HẠNG 95ML X 60 CHAI/THÙNG</v>
          </cell>
          <cell r="D2078" t="str">
            <v>PREMIUM SOY SAUCE 95ML X 60 BOT/CAR</v>
          </cell>
          <cell r="E2078">
            <v>6.3583999999999996</v>
          </cell>
          <cell r="F2078" t="str">
            <v>Bỏ chọn</v>
          </cell>
          <cell r="G2078" t="str">
            <v>2000000008</v>
          </cell>
          <cell r="H2078" t="str">
            <v>7.B2401239980010401</v>
          </cell>
        </row>
        <row r="2079">
          <cell r="A2079" t="str">
            <v>V39.000.046</v>
          </cell>
          <cell r="B2079" t="str">
            <v>MINH LONG TABLEWARE SET</v>
          </cell>
          <cell r="C2079" t="str">
            <v>BỘ ĐỒ ĂN MINH LONG</v>
          </cell>
          <cell r="D2079" t="str">
            <v>MINH LONG TABLEWARE SET</v>
          </cell>
          <cell r="E2079">
            <v>0</v>
          </cell>
          <cell r="F2079" t="str">
            <v>Bỏ chọn</v>
          </cell>
          <cell r="G2079"/>
          <cell r="H2079"/>
        </row>
        <row r="2080">
          <cell r="A2080" t="str">
            <v>7.B2401239980010401</v>
          </cell>
          <cell r="B2080" t="str">
            <v xml:space="preserve">PREMIUM SOY SAUCE 95ML </v>
          </cell>
          <cell r="C2080" t="str">
            <v>NƯỚC TƯƠNG THƯỢNG HẠNG 95ML</v>
          </cell>
          <cell r="D2080" t="str">
            <v xml:space="preserve">PREMIUM SOY SAUCE 95ML </v>
          </cell>
          <cell r="E2080">
            <v>0.12509999999999999</v>
          </cell>
          <cell r="F2080" t="str">
            <v>Bỏ chọn</v>
          </cell>
          <cell r="G2080" t="str">
            <v>2000000008</v>
          </cell>
          <cell r="H2080"/>
        </row>
        <row r="2081">
          <cell r="A2081" t="str">
            <v>V39.000.047</v>
          </cell>
          <cell r="B2081" t="str">
            <v>SUNHOUSE SHD 2301 650W HAIRDRYER</v>
          </cell>
          <cell r="C2081" t="str">
            <v>MÁY SẤY TÓC SUNHOUSE SHD2301 650W</v>
          </cell>
          <cell r="D2081" t="str">
            <v>SUNHOUSE SHD 2301 650W HAIRDRYER</v>
          </cell>
          <cell r="E2081">
            <v>0</v>
          </cell>
          <cell r="F2081" t="str">
            <v>Bỏ chọn</v>
          </cell>
          <cell r="G2081"/>
          <cell r="H2081"/>
        </row>
        <row r="2082">
          <cell r="A2082" t="str">
            <v>V46.000.001</v>
          </cell>
          <cell r="B2082" t="str">
            <v xml:space="preserve">ELMICH K5 500ML THERMOSTATS </v>
          </cell>
          <cell r="C2082" t="str">
            <v>PHÍCH GIỮ NHIỆT ELMICH K5 2246386 500 ML</v>
          </cell>
          <cell r="D2082" t="str">
            <v xml:space="preserve">ELMICH K5 500ML THERMOSTATS </v>
          </cell>
          <cell r="E2082">
            <v>0</v>
          </cell>
          <cell r="F2082" t="str">
            <v>Bỏ chọn</v>
          </cell>
          <cell r="G2082"/>
          <cell r="H2082"/>
        </row>
        <row r="2083">
          <cell r="A2083" t="str">
            <v>V51.000.059</v>
          </cell>
          <cell r="B2083" t="str">
            <v xml:space="preserve">ARPENAZ 10L BACKPACKS  </v>
          </cell>
          <cell r="C2083" t="str">
            <v>BA LÔ LEO NÚI DÃ NGOẠI ARPENAZ 10L</v>
          </cell>
          <cell r="D2083" t="str">
            <v xml:space="preserve">ARPENAZ 10L BACKPACKS  </v>
          </cell>
          <cell r="E2083">
            <v>0</v>
          </cell>
          <cell r="F2083" t="str">
            <v>Bỏ chọn</v>
          </cell>
          <cell r="G2083"/>
          <cell r="H2083"/>
        </row>
        <row r="2084">
          <cell r="A2084" t="str">
            <v>V51.000.063</v>
          </cell>
          <cell r="B2084" t="str">
            <v>HEINEKEN BEER 330ML X 24BOT/CAR</v>
          </cell>
          <cell r="C2084" t="str">
            <v>BIA HEINEKEN 330ML X 24LON/THÙNG</v>
          </cell>
          <cell r="D2084" t="str">
            <v>HEINEKEN BEER 330ML X 24BOT/CAR</v>
          </cell>
          <cell r="E2084">
            <v>0</v>
          </cell>
          <cell r="F2084" t="str">
            <v>Bỏ chọn</v>
          </cell>
          <cell r="G2084"/>
          <cell r="H2084"/>
        </row>
        <row r="2085">
          <cell r="A2085" t="str">
            <v>7.5239974990501</v>
          </cell>
          <cell r="B2085" t="str">
            <v>RED PEGASUS (25KG)</v>
          </cell>
          <cell r="C2085" t="str">
            <v>BỘT MÌ HIỆU "THIÊN MÃ ĐỎ" (25KG)</v>
          </cell>
          <cell r="D2085" t="str">
            <v>RED PEGASUS (25KG)</v>
          </cell>
          <cell r="E2085">
            <v>1</v>
          </cell>
          <cell r="F2085" t="str">
            <v>Bỏ chọn</v>
          </cell>
          <cell r="G2085"/>
          <cell r="H2085"/>
        </row>
        <row r="2086">
          <cell r="A2086" t="str">
            <v>7.5239974990601</v>
          </cell>
          <cell r="B2086" t="str">
            <v>RED PEGASUS (40KG)</v>
          </cell>
          <cell r="C2086" t="str">
            <v>BỘT MÌ HIỆU "THIÊN MÃ ĐỎ" (40KG)</v>
          </cell>
          <cell r="D2086" t="str">
            <v>RED PEGASUS (40KG)</v>
          </cell>
          <cell r="E2086">
            <v>1</v>
          </cell>
          <cell r="F2086" t="str">
            <v>Bỏ chọn</v>
          </cell>
          <cell r="G2086"/>
          <cell r="H2086"/>
        </row>
        <row r="2087">
          <cell r="A2087" t="str">
            <v>V51.00A.010</v>
          </cell>
          <cell r="B2087" t="str">
            <v>GREEN KEY PP BAG - 25</v>
          </cell>
          <cell r="C2087" t="str">
            <v>BAO PP CHÌA KHÓA XANH LÁ (GREEN KEY) - 25</v>
          </cell>
          <cell r="D2087" t="str">
            <v>GREEN KEY PP BAG - 25</v>
          </cell>
          <cell r="E2087">
            <v>0</v>
          </cell>
          <cell r="F2087" t="str">
            <v>Bỏ chọn</v>
          </cell>
          <cell r="G2087"/>
          <cell r="H2087"/>
        </row>
        <row r="2088">
          <cell r="A2088" t="str">
            <v>7.5239937360601</v>
          </cell>
          <cell r="B2088" t="str">
            <v>BROWN KING SHRIMP (40KG)</v>
          </cell>
          <cell r="C2088" t="str">
            <v>BỘT MÌ - NGUYÊN LIỆU LÀM THỨC ĂN THỦY SẢN HIỆU “TÔM VUA NÂU” (40KG)</v>
          </cell>
          <cell r="D2088" t="str">
            <v>BROWN KING SHRIMP (40KG)</v>
          </cell>
          <cell r="E2088">
            <v>1</v>
          </cell>
          <cell r="F2088" t="str">
            <v>Bỏ chọn</v>
          </cell>
          <cell r="G2088"/>
          <cell r="H2088"/>
        </row>
        <row r="2089">
          <cell r="A2089" t="str">
            <v>7.B24106399030199</v>
          </cell>
          <cell r="B2089" t="str">
            <v>MAYONNAISE SIMPLY FOR PROFESSIONAL CHEFS 5KG X 2 PAIL/CAR</v>
          </cell>
          <cell r="C2089" t="str">
            <v>MAYONNAISE SIMPLY FOR PROFESSIONAL CHEFS 5KG X 2 XÔ/THÙNG</v>
          </cell>
          <cell r="D2089" t="str">
            <v>MAYONNAISE SIMPLY FOR PROFESSIONAL CHEFS 5KG X 2 PAIL/CAR</v>
          </cell>
          <cell r="E2089">
            <v>10</v>
          </cell>
          <cell r="F2089" t="str">
            <v>Bỏ chọn</v>
          </cell>
          <cell r="G2089"/>
          <cell r="H2089"/>
        </row>
        <row r="2090">
          <cell r="A2090" t="str">
            <v>7.B2410639903019901</v>
          </cell>
          <cell r="B2090" t="str">
            <v>MAYONNAISE SIMPLY FOR PROFESSIONAL CHEFS 5KG</v>
          </cell>
          <cell r="C2090" t="str">
            <v>MAYONNAISE SIMPLY FOR PROFESSIONAL CHEFS 5KG</v>
          </cell>
          <cell r="D2090" t="str">
            <v>MAYONNAISE SIMPLY FOR PROFESSIONAL CHEFS 5KG</v>
          </cell>
          <cell r="E2090">
            <v>5</v>
          </cell>
          <cell r="F2090" t="str">
            <v>Bỏ chọn</v>
          </cell>
          <cell r="G2090"/>
          <cell r="H2090"/>
        </row>
        <row r="2091">
          <cell r="A2091" t="str">
            <v>7.5239975990512</v>
          </cell>
          <cell r="B2091" t="str">
            <v>ORANGE KEY LAOS 111-25</v>
          </cell>
          <cell r="C2091" t="str">
            <v>BỘT MÌ THƯỢNG HẠNG CHÌA KHÓA CAM-111 (TIẾNG LÀO) (25KG)</v>
          </cell>
          <cell r="D2091" t="str">
            <v>ORANGE KEY LAOS 111-25</v>
          </cell>
          <cell r="E2091">
            <v>1</v>
          </cell>
          <cell r="F2091" t="str">
            <v>Bỏ chọn</v>
          </cell>
          <cell r="G2091"/>
          <cell r="H2091"/>
        </row>
        <row r="2092">
          <cell r="A2092" t="str">
            <v>7.5239937370601</v>
          </cell>
          <cell r="B2092" t="str">
            <v>PURPLE KING SHRIMP (40KG)</v>
          </cell>
          <cell r="C2092" t="str">
            <v>BỘT MÌ - NGUYÊN LIỆU LÀM THỨC ĂN THỦY SẢN HIỆU “TÔM VUA TÍM” (40KG)</v>
          </cell>
          <cell r="D2092" t="str">
            <v>PURPLE KING SHRIMP (40KG)</v>
          </cell>
          <cell r="E2092">
            <v>1</v>
          </cell>
          <cell r="F2092" t="str">
            <v>Bỏ chọn</v>
          </cell>
          <cell r="G2092"/>
          <cell r="H2092"/>
        </row>
        <row r="2093">
          <cell r="A2093" t="str">
            <v>7.A31990899330129</v>
          </cell>
          <cell r="B2093" t="str">
            <v>MEIZAN ALL- PURPOSE TAPIOCA STARCH 400G  X 12 BAG</v>
          </cell>
          <cell r="C2093" t="str">
            <v>BỘT NĂNG ĐA DỤNG MEIZAN 400G</v>
          </cell>
          <cell r="D2093" t="str">
            <v>MEIZAN ALL- PURPOSE TAPIOCA STARCH 400G  X 12 BAG</v>
          </cell>
          <cell r="E2093">
            <v>4.8</v>
          </cell>
          <cell r="F2093" t="str">
            <v>Bỏ chọn</v>
          </cell>
          <cell r="G2093"/>
          <cell r="H2093"/>
        </row>
        <row r="2094">
          <cell r="A2094" t="str">
            <v>7.A3199089933012901</v>
          </cell>
          <cell r="B2094" t="str">
            <v>MEIZAN ALL- PURPOSE TAPIOCA STARCH 400G</v>
          </cell>
          <cell r="C2094" t="str">
            <v>BỘT NĂNG ĐA DỤNG MEIZAN 400G</v>
          </cell>
          <cell r="D2094" t="str">
            <v>MEIZAN ALL- PURPOSE TAPIOCA STARCH 400G</v>
          </cell>
          <cell r="E2094">
            <v>0.4</v>
          </cell>
          <cell r="F2094" t="str">
            <v>Bỏ chọn</v>
          </cell>
          <cell r="G2094"/>
          <cell r="H2094"/>
        </row>
        <row r="2095">
          <cell r="A2095" t="str">
            <v>V51.047.014</v>
          </cell>
          <cell r="B2095" t="str">
            <v>MEIZAN SEASONED CRISPY CHICKEN MIX 50G</v>
          </cell>
          <cell r="C2095" t="str">
            <v>BỘT CHIÊN GÀ GIÒN NHÃN HIỆU MEIZAN 50G</v>
          </cell>
          <cell r="D2095" t="str">
            <v>MEIZAN SEASONED CRISPY CHICKEN MIX 50G</v>
          </cell>
          <cell r="E2095">
            <v>0</v>
          </cell>
          <cell r="F2095" t="str">
            <v>Bỏ chọn</v>
          </cell>
          <cell r="G2095"/>
          <cell r="H2095"/>
        </row>
        <row r="2096">
          <cell r="A2096" t="str">
            <v>7.5239908380201</v>
          </cell>
          <cell r="B2096" t="str">
            <v>MEIZAN BREAD FLOUR_1</v>
          </cell>
          <cell r="C2096" t="str">
            <v>MEIZAN BỘT MÌ CHUYÊN DỤNG CHO BÁNH MÌ "MEIZAN BREAD FLOUR" (1KG*10 GÓI/THÙNG)</v>
          </cell>
          <cell r="D2096" t="str">
            <v>MEIZAN BREAD FLOUR_1</v>
          </cell>
          <cell r="E2096">
            <v>10</v>
          </cell>
          <cell r="F2096" t="str">
            <v>Bỏ chọn</v>
          </cell>
          <cell r="G2096"/>
          <cell r="H2096"/>
        </row>
        <row r="2097">
          <cell r="A2097" t="str">
            <v>7.5239908390201</v>
          </cell>
          <cell r="B2097" t="str">
            <v>MEIZAN HI-RATIO CAKE FLOUR_1</v>
          </cell>
          <cell r="C2097" t="str">
            <v>MEIZAN BỘT MÌ CHUYÊN DỤNG CHO BÁNH BÔNG LAN "MEIZAN HI-RATIO CAKE FLOUR" (1KG*10 GÓI/THÙNG)</v>
          </cell>
          <cell r="D2097" t="str">
            <v>MEIZAN HI-RATIO CAKE FLOUR_1</v>
          </cell>
          <cell r="E2097">
            <v>10</v>
          </cell>
          <cell r="F2097" t="str">
            <v>Bỏ chọn</v>
          </cell>
          <cell r="G2097"/>
          <cell r="H2097"/>
        </row>
        <row r="2098">
          <cell r="A2098" t="str">
            <v>V39.000.048</v>
          </cell>
          <cell r="B2098" t="str">
            <v>HAND FAN</v>
          </cell>
          <cell r="C2098" t="str">
            <v>QUẠT CẦM TAY</v>
          </cell>
          <cell r="D2098" t="str">
            <v>HAND FAN</v>
          </cell>
          <cell r="E2098">
            <v>0</v>
          </cell>
          <cell r="F2098" t="str">
            <v>Bỏ chọn</v>
          </cell>
          <cell r="G2098"/>
          <cell r="H2098"/>
        </row>
        <row r="2099">
          <cell r="A2099" t="str">
            <v>V39.000.049</v>
          </cell>
          <cell r="B2099" t="str">
            <v>THERMOS CUP</v>
          </cell>
          <cell r="C2099" t="str">
            <v>LY GIỮ NHIỆT</v>
          </cell>
          <cell r="D2099" t="str">
            <v>THERMOS CUP</v>
          </cell>
          <cell r="E2099">
            <v>0</v>
          </cell>
          <cell r="F2099" t="str">
            <v>Bỏ chọn</v>
          </cell>
          <cell r="G2099"/>
          <cell r="H2099"/>
        </row>
        <row r="2100">
          <cell r="A2100" t="str">
            <v>V74.000.001</v>
          </cell>
          <cell r="B2100" t="str">
            <v>BACKUP BATTERY CHARGER 7500MAH AVALJ JP197 BLUE</v>
          </cell>
          <cell r="C2100" t="str">
            <v>PIN SẠC DỰ PHÒNG 7500MAH AVALJ JP197 XANH</v>
          </cell>
          <cell r="D2100" t="str">
            <v>BACKUP BATTERY CHARGER 7500MAH AVALJ JP197 BLUE</v>
          </cell>
          <cell r="E2100">
            <v>0</v>
          </cell>
          <cell r="F2100" t="str">
            <v>Bỏ chọn</v>
          </cell>
          <cell r="G2100"/>
          <cell r="H2100"/>
        </row>
        <row r="2101">
          <cell r="A2101" t="str">
            <v>V74.000.002</v>
          </cell>
          <cell r="B2101" t="str">
            <v>BACKUP BATTERY CHARGER 7500MAH AVALJ JP197 WHITE</v>
          </cell>
          <cell r="C2101" t="str">
            <v>PIN SẠC DỰ PHÒNG 7500MAH AVALJ JP197 TRẮNG</v>
          </cell>
          <cell r="D2101" t="str">
            <v>BACKUP BATTERY CHARGER 7500MAH AVALJ JP197 WHITE</v>
          </cell>
          <cell r="E2101">
            <v>0</v>
          </cell>
          <cell r="F2101" t="str">
            <v>Bỏ chọn</v>
          </cell>
          <cell r="G2101"/>
          <cell r="H2101"/>
        </row>
        <row r="2102">
          <cell r="A2102" t="str">
            <v>7.B2508549941920509</v>
          </cell>
          <cell r="B2102" t="str">
            <v>PORK BOUILLON GRANULE 170G X 40 PAC ON PACK 40 BOT PREMIUM SOY SAUCE 95ML</v>
          </cell>
          <cell r="C2102" t="str">
            <v>THỰC PHẨM BỔ SUNG HẠT NÊM 4 TRONG 1 - VỊ HEO 170G X 40 GÓI ĐÓNG KÈM 40 CHAI NƯỚC TƯƠNG THƯỢNG HẠNG 95ML</v>
          </cell>
          <cell r="D2102" t="str">
            <v>PORK BOUILLON GRANULE 170G X 40 PAC ON PACK 40 BOT PREMIUM SOY SAUCE 95ML</v>
          </cell>
          <cell r="E2102">
            <v>12.183999999999999</v>
          </cell>
          <cell r="F2102" t="str">
            <v>Bỏ chọn</v>
          </cell>
          <cell r="G2102"/>
          <cell r="H2102"/>
        </row>
        <row r="2103">
          <cell r="A2103" t="str">
            <v>7.B250854994192050901</v>
          </cell>
          <cell r="B2103" t="str">
            <v>PORK BOUILLON GRANULE 170G X 01 PAC ON PACK 01 BOT PREMIUM SOY SAUCE 95ML</v>
          </cell>
          <cell r="C2103" t="str">
            <v>THỰC PHẨM BỔ SUNG HẠT NÊM 4 TRONG 1 - VỊ HEO 170G ĐÓNG KÈM 01 CHAI NƯỚC TƯƠNG THƯỢNG HẠNG 95ML</v>
          </cell>
          <cell r="D2103" t="str">
            <v>PORK BOUILLON GRANULE 170G X 01 PAC ON PACK 01 BOT PREMIUM SOY SAUCE 95ML</v>
          </cell>
          <cell r="E2103">
            <v>0.29499999999999998</v>
          </cell>
          <cell r="F2103" t="str">
            <v>Bỏ chọn</v>
          </cell>
          <cell r="G2103"/>
          <cell r="H2103"/>
        </row>
        <row r="2104">
          <cell r="A2104" t="str">
            <v>7.1070140295008010</v>
          </cell>
          <cell r="B2104" t="str">
            <v>SATELLITE BOS ORANGE IN PEBAG@20KG</v>
          </cell>
          <cell r="C2104" t="str">
            <v>DẦU BƠ THAY THẾ NHÃN HIỆU SATELLITE (NHÃN MÀU CAM) TRONG THÙNG 20KG</v>
          </cell>
          <cell r="D2104" t="str">
            <v>SATELLITE BOS ORANGE IN PEBAG@20KG</v>
          </cell>
          <cell r="E2104">
            <v>20</v>
          </cell>
          <cell r="F2104" t="str">
            <v>Chọn</v>
          </cell>
          <cell r="G2104"/>
          <cell r="H2104"/>
        </row>
        <row r="2105">
          <cell r="A2105" t="str">
            <v>7.1070140214008010</v>
          </cell>
          <cell r="B2105" t="str">
            <v>SATELLITE BAKERY MARGARINE PEBAG@20KG</v>
          </cell>
          <cell r="C2105" t="str">
            <v>BƠ THƠM NHÃN HIỆU SATELLITE TRONG THÙNG 20KG</v>
          </cell>
          <cell r="D2105" t="str">
            <v>SATELLITE BAKERY MARGARINE PEBAG@20KG</v>
          </cell>
          <cell r="E2105">
            <v>20</v>
          </cell>
          <cell r="F2105" t="str">
            <v>Chọn</v>
          </cell>
          <cell r="G2105"/>
          <cell r="H2105"/>
        </row>
        <row r="2106">
          <cell r="A2106" t="str">
            <v>7.5239922400501</v>
          </cell>
          <cell r="B2106" t="str">
            <v>BLUE COMPASS - 111 (25KG)</v>
          </cell>
          <cell r="C2106" t="str">
            <v>BỘT MÌ HIỆU "LA BÀN XANH - 111" (25KG)</v>
          </cell>
          <cell r="D2106" t="str">
            <v>BLUE COMPASS - 111 (25KG)</v>
          </cell>
          <cell r="E2106">
            <v>1</v>
          </cell>
          <cell r="F2106" t="str">
            <v>Bỏ chọn</v>
          </cell>
          <cell r="G2106"/>
          <cell r="H2106"/>
        </row>
        <row r="2107">
          <cell r="A2107" t="str">
            <v>7.5239922400601</v>
          </cell>
          <cell r="B2107" t="str">
            <v>BLUE COMPASS - 111 (40KG)</v>
          </cell>
          <cell r="C2107" t="str">
            <v>BỘT MÌ HIỆU "LA BÀN XANH - 111" (40KG)</v>
          </cell>
          <cell r="D2107" t="str">
            <v>BLUE COMPASS - 111 (40KG)</v>
          </cell>
          <cell r="E2107">
            <v>1</v>
          </cell>
          <cell r="F2107" t="str">
            <v>Bỏ chọn</v>
          </cell>
          <cell r="G2107"/>
          <cell r="H2107"/>
        </row>
        <row r="2108">
          <cell r="A2108" t="str">
            <v>7.5239922410501</v>
          </cell>
          <cell r="B2108" t="str">
            <v>BLUE COMPASS - 333 (25KG)</v>
          </cell>
          <cell r="C2108" t="str">
            <v>BỘT MÌ HIỆU "LA BÀN XANH - 333" (25KG)</v>
          </cell>
          <cell r="D2108" t="str">
            <v>BLUE COMPASS - 333 (25KG)</v>
          </cell>
          <cell r="E2108">
            <v>1</v>
          </cell>
          <cell r="F2108" t="str">
            <v>Bỏ chọn</v>
          </cell>
          <cell r="G2108"/>
          <cell r="H2108"/>
        </row>
        <row r="2109">
          <cell r="A2109" t="str">
            <v>7.5239922410601</v>
          </cell>
          <cell r="B2109" t="str">
            <v>BLUE COMPASS - 333 (40KG)</v>
          </cell>
          <cell r="C2109" t="str">
            <v>BỘT MÌ HIỆU "LA BÀN XANH - 333" (40KG)</v>
          </cell>
          <cell r="D2109" t="str">
            <v>BLUE COMPASS - 333 (40KG)</v>
          </cell>
          <cell r="E2109">
            <v>1</v>
          </cell>
          <cell r="F2109" t="str">
            <v>Bỏ chọn</v>
          </cell>
          <cell r="G2109"/>
          <cell r="H2109"/>
        </row>
        <row r="2110">
          <cell r="A2110" t="str">
            <v>7.5239922420501</v>
          </cell>
          <cell r="B2110" t="str">
            <v>BLUE COMPASS - 555 (25KG)</v>
          </cell>
          <cell r="C2110" t="str">
            <v>BỘT MÌ HIỆU "LA BÀN XANH - 555" (25KG)</v>
          </cell>
          <cell r="D2110" t="str">
            <v>BLUE COMPASS - 555 (25KG)</v>
          </cell>
          <cell r="E2110">
            <v>1</v>
          </cell>
          <cell r="F2110" t="str">
            <v>Bỏ chọn</v>
          </cell>
          <cell r="G2110"/>
          <cell r="H2110"/>
        </row>
        <row r="2111">
          <cell r="A2111" t="str">
            <v>7.5239922420601</v>
          </cell>
          <cell r="B2111" t="str">
            <v>BLUE COMPASS - 555 (40KG)</v>
          </cell>
          <cell r="C2111" t="str">
            <v>BỘT MÌ HIỆU "LA BÀN XANH - 555" (40KG)</v>
          </cell>
          <cell r="D2111" t="str">
            <v>BLUE COMPASS - 555 (40KG)</v>
          </cell>
          <cell r="E2111">
            <v>1</v>
          </cell>
          <cell r="F2111" t="str">
            <v>Bỏ chọn</v>
          </cell>
          <cell r="G2111"/>
          <cell r="H2111"/>
        </row>
        <row r="2112">
          <cell r="A2112" t="str">
            <v>7.5239922430501</v>
          </cell>
          <cell r="B2112" t="str">
            <v>BLUE COMPASS - 666 (25KG)</v>
          </cell>
          <cell r="C2112" t="str">
            <v>BỘT MÌ HIỆU "LA BÀN XANH - 666" (25KG)</v>
          </cell>
          <cell r="D2112" t="str">
            <v>BLUE COMPASS - 666 (25KG)</v>
          </cell>
          <cell r="E2112">
            <v>1</v>
          </cell>
          <cell r="F2112" t="str">
            <v>Bỏ chọn</v>
          </cell>
          <cell r="G2112"/>
          <cell r="H2112"/>
        </row>
        <row r="2113">
          <cell r="A2113" t="str">
            <v>7.5239922430601</v>
          </cell>
          <cell r="B2113" t="str">
            <v>BLUE COMPASS - 666 (40KG)</v>
          </cell>
          <cell r="C2113" t="str">
            <v>BỘT MÌ HIỆU "LA BÀN XANH - 666" (40KG)</v>
          </cell>
          <cell r="D2113" t="str">
            <v>BLUE COMPASS - 666 (40KG)</v>
          </cell>
          <cell r="E2113">
            <v>1</v>
          </cell>
          <cell r="F2113" t="str">
            <v>Bỏ chọn</v>
          </cell>
          <cell r="G2113"/>
          <cell r="H2113"/>
        </row>
        <row r="2114">
          <cell r="A2114" t="str">
            <v>7.5239922440501</v>
          </cell>
          <cell r="B2114" t="str">
            <v>BLUE COMPASS - 888 (25KG)</v>
          </cell>
          <cell r="C2114" t="str">
            <v>BỘT MÌ HIỆU "LA BÀN XANH - 888" (25KG)</v>
          </cell>
          <cell r="D2114" t="str">
            <v>BLUE COMPASS - 888 (25KG)</v>
          </cell>
          <cell r="E2114">
            <v>1</v>
          </cell>
          <cell r="F2114" t="str">
            <v>Bỏ chọn</v>
          </cell>
          <cell r="G2114"/>
          <cell r="H2114"/>
        </row>
        <row r="2115">
          <cell r="A2115" t="str">
            <v>7.5239922440601</v>
          </cell>
          <cell r="B2115" t="str">
            <v>BLUE COMPASS - 888 (40KG)</v>
          </cell>
          <cell r="C2115" t="str">
            <v>BỘT MÌ HIỆU "LA BÀN XANH - 888" (40KG)</v>
          </cell>
          <cell r="D2115" t="str">
            <v>BLUE COMPASS - 888 (40KG)</v>
          </cell>
          <cell r="E2115">
            <v>1</v>
          </cell>
          <cell r="F2115" t="str">
            <v>Bỏ chọn</v>
          </cell>
          <cell r="G2115"/>
          <cell r="H2115"/>
        </row>
        <row r="2116">
          <cell r="A2116" t="str">
            <v>7.5239922450501</v>
          </cell>
          <cell r="B2116" t="str">
            <v>BLUE COMPASS - 999 (25KG)</v>
          </cell>
          <cell r="C2116" t="str">
            <v>BỘT MÌ HIỆU "LA BÀN XANH - 999" (25KG)</v>
          </cell>
          <cell r="D2116" t="str">
            <v>BLUE COMPASS - 999 (25KG)</v>
          </cell>
          <cell r="E2116">
            <v>1</v>
          </cell>
          <cell r="F2116" t="str">
            <v>Bỏ chọn</v>
          </cell>
          <cell r="G2116"/>
          <cell r="H2116"/>
        </row>
        <row r="2117">
          <cell r="A2117" t="str">
            <v>7.5239922450601</v>
          </cell>
          <cell r="B2117" t="str">
            <v>BLUE COMPASS - 999 (40KG)</v>
          </cell>
          <cell r="C2117" t="str">
            <v>BỘT MÌ HIỆU "LA BÀN XANH - 999" (40KG)</v>
          </cell>
          <cell r="D2117" t="str">
            <v>BLUE COMPASS - 999 (40KG)</v>
          </cell>
          <cell r="E2117">
            <v>1</v>
          </cell>
          <cell r="F2117" t="str">
            <v>Bỏ chọn</v>
          </cell>
          <cell r="G2117"/>
          <cell r="H2117"/>
        </row>
        <row r="2118">
          <cell r="A2118" t="str">
            <v>7.D37011099810130TD</v>
          </cell>
          <cell r="B2118" t="str">
            <v>TWIN COMPOUND CHIPS SLT-2506-261, 15000 CTS/KG, 25KG</v>
          </cell>
          <cell r="C2118" t="str">
            <v>NGUYÊN LIỆU THỰC PHẨM SÔ-CÔ-LA HAI MÀU SLT-2506</v>
          </cell>
          <cell r="D2118" t="str">
            <v>TWIN COMPOUND CHIPS SLT-2506-261, 15000 CTS/KG, 25KG</v>
          </cell>
          <cell r="E2118">
            <v>25</v>
          </cell>
          <cell r="F2118" t="str">
            <v>Bỏ chọn</v>
          </cell>
          <cell r="G2118"/>
          <cell r="H2118"/>
        </row>
        <row r="2119">
          <cell r="A2119" t="str">
            <v>7.D37011099810124TD</v>
          </cell>
          <cell r="B2119" t="str">
            <v>WHITE COMPOUND SLW-38022X-115CI, BLOCK (2.5KG X 10 PCS), 25KG</v>
          </cell>
          <cell r="C2119" t="str">
            <v>NGUYÊN LIỆU THỰC PHẨM SÔ-CÔ-LA TRẮNG SLW-38022X</v>
          </cell>
          <cell r="D2119" t="str">
            <v>WHITE COMPOUND SLW-38022X-115CI, BLOCK (2.5KG X 10 PCS), 25KG</v>
          </cell>
          <cell r="E2119">
            <v>25</v>
          </cell>
          <cell r="F2119" t="str">
            <v>Bỏ chọn</v>
          </cell>
          <cell r="G2119"/>
          <cell r="H2119"/>
        </row>
        <row r="2120">
          <cell r="A2120" t="str">
            <v>V51.600.080</v>
          </cell>
          <cell r="B2120" t="str">
            <v>SIMPLY RBO BANNER (4M X 0.8M)</v>
          </cell>
          <cell r="C2120" t="str">
            <v>BĂNG RÔN SIMPLY (4M X 0.8M)</v>
          </cell>
          <cell r="D2120" t="str">
            <v>SIMPLY RBO BANNER (4M X 0.8M)</v>
          </cell>
          <cell r="E2120">
            <v>0</v>
          </cell>
          <cell r="F2120" t="str">
            <v>Bỏ chọn</v>
          </cell>
          <cell r="G2120"/>
          <cell r="H2120"/>
        </row>
        <row r="2121">
          <cell r="A2121" t="str">
            <v>7.5239917460501</v>
          </cell>
          <cell r="B2121" t="str">
            <v>GREEN SATELLITE HI-RATIO CAKE FLOUR (25KG)</v>
          </cell>
          <cell r="C2121" t="str">
            <v>BỘT MÌ HIỆU VỆ TINH XANH LÁ - HI-RATIO CAKE FLOUR (25KG)</v>
          </cell>
          <cell r="D2121" t="str">
            <v>GREEN SATELLITE HI-RATIO CAKE FLOUR (25KG)</v>
          </cell>
          <cell r="E2121">
            <v>1</v>
          </cell>
          <cell r="F2121" t="str">
            <v>Bỏ chọn</v>
          </cell>
          <cell r="G2121"/>
          <cell r="H2121"/>
        </row>
        <row r="2122">
          <cell r="A2122" t="str">
            <v>7.5239917460601</v>
          </cell>
          <cell r="B2122" t="str">
            <v>GREEN SATELLITE HI-RATIO CAKE FLOUR (40KG)</v>
          </cell>
          <cell r="C2122" t="str">
            <v>BỘT MÌ HIỆU VỆ TINH XANH LÁ - HI-RATIO CAKE FLOUR (40KG)</v>
          </cell>
          <cell r="D2122" t="str">
            <v>GREEN SATELLITE HI-RATIO CAKE FLOUR (40KG)</v>
          </cell>
          <cell r="E2122">
            <v>1</v>
          </cell>
          <cell r="F2122" t="str">
            <v>Bỏ chọn</v>
          </cell>
          <cell r="G2122"/>
          <cell r="H2122"/>
        </row>
        <row r="2123">
          <cell r="A2123" t="str">
            <v>7.5239917470501</v>
          </cell>
          <cell r="B2123" t="str">
            <v>BLUE SATELLITE HONG KONG PAU (25KG)</v>
          </cell>
          <cell r="C2123" t="str">
            <v>BỘT MÌ HIỆU VỆ TINH XANH - HONG KONG PAU (25KG)</v>
          </cell>
          <cell r="D2123" t="str">
            <v>BLUE SATELLITE HONG KONG PAU (25KG)</v>
          </cell>
          <cell r="E2123">
            <v>1</v>
          </cell>
          <cell r="F2123" t="str">
            <v>Bỏ chọn</v>
          </cell>
          <cell r="G2123"/>
          <cell r="H2123"/>
        </row>
        <row r="2124">
          <cell r="A2124" t="str">
            <v>7.5239917470601</v>
          </cell>
          <cell r="B2124" t="str">
            <v>BLUE SATELLITE HONG KONG PAU (40KG)</v>
          </cell>
          <cell r="C2124" t="str">
            <v>BỘT MÌ HIỆU VỆ TINH XANH - HONG KONG PAU (40KG)</v>
          </cell>
          <cell r="D2124" t="str">
            <v>BLUE SATELLITE HONG KONG PAU (40KG)</v>
          </cell>
          <cell r="E2124">
            <v>1</v>
          </cell>
          <cell r="F2124" t="str">
            <v>Bỏ chọn</v>
          </cell>
          <cell r="G2124"/>
          <cell r="H2124"/>
        </row>
        <row r="2125">
          <cell r="A2125" t="str">
            <v>7.5239917480501</v>
          </cell>
          <cell r="B2125" t="str">
            <v>RED SATELLITE (25KG)</v>
          </cell>
          <cell r="C2125" t="str">
            <v>BỘT MÌ HIỆU VỆ TINH ĐỎ (25KG)</v>
          </cell>
          <cell r="D2125" t="str">
            <v>RED SATELLITE (25KG)</v>
          </cell>
          <cell r="E2125">
            <v>1</v>
          </cell>
          <cell r="F2125" t="str">
            <v>Bỏ chọn</v>
          </cell>
          <cell r="G2125"/>
          <cell r="H2125"/>
        </row>
        <row r="2126">
          <cell r="A2126" t="str">
            <v>7.5239917480601</v>
          </cell>
          <cell r="B2126" t="str">
            <v>RED SATELLITE (40KG)</v>
          </cell>
          <cell r="C2126" t="str">
            <v>BỘT MÌ HIỆU VỆ TINH ĐỎ (40KG)</v>
          </cell>
          <cell r="D2126" t="str">
            <v>RED SATELLITE (40KG)</v>
          </cell>
          <cell r="E2126">
            <v>1</v>
          </cell>
          <cell r="F2126" t="str">
            <v>Bỏ chọn</v>
          </cell>
          <cell r="G2126"/>
          <cell r="H2126"/>
        </row>
        <row r="2127">
          <cell r="A2127" t="str">
            <v>7.B24022399180131</v>
          </cell>
          <cell r="B2127" t="str">
            <v>SUPER TASTY CHILI SAUCE 250GR X 24 BOT</v>
          </cell>
          <cell r="C2127" t="str">
            <v>TƯƠNG ỚT SIÊU NGON 250G X 24 CHAI</v>
          </cell>
          <cell r="D2127" t="str">
            <v>SUPER TASTY CHILI SAUCE 250GR X 24 BOT</v>
          </cell>
          <cell r="E2127">
            <v>6</v>
          </cell>
          <cell r="F2127" t="str">
            <v>Bỏ chọn</v>
          </cell>
          <cell r="G2127"/>
          <cell r="H2127"/>
        </row>
        <row r="2128">
          <cell r="A2128" t="str">
            <v>7.B2402239918013101</v>
          </cell>
          <cell r="B2128" t="str">
            <v>SUPER TASTY CHILI SAUCE 250GR</v>
          </cell>
          <cell r="C2128" t="str">
            <v>TƯƠNG ỚT SIÊU NGON 250G</v>
          </cell>
          <cell r="D2128" t="str">
            <v>SUPER TASTY CHILI SAUCE 250GR</v>
          </cell>
          <cell r="E2128">
            <v>0.25</v>
          </cell>
          <cell r="F2128" t="str">
            <v>Bỏ chọn</v>
          </cell>
          <cell r="G2128"/>
          <cell r="H2128"/>
        </row>
        <row r="2129">
          <cell r="A2129" t="str">
            <v>7.B24022399829199</v>
          </cell>
          <cell r="B2129" t="str">
            <v>HORECA CHILI SAUCE 800G X 12 BOT</v>
          </cell>
          <cell r="C2129" t="str">
            <v>TƯƠNG ỚT HORECA 800G X 12CHAI</v>
          </cell>
          <cell r="D2129" t="str">
            <v>HORECA CHILI SAUCE 800G X 12 BOT</v>
          </cell>
          <cell r="E2129">
            <v>9.6</v>
          </cell>
          <cell r="F2129" t="str">
            <v>Bỏ chọn</v>
          </cell>
          <cell r="G2129" t="str">
            <v>2000000008</v>
          </cell>
          <cell r="H2129" t="str">
            <v>7.B2402239982919901</v>
          </cell>
        </row>
        <row r="2130">
          <cell r="A2130" t="str">
            <v>7.B2402239982919901</v>
          </cell>
          <cell r="B2130" t="str">
            <v>HORECA CHILI SAUCE 800G</v>
          </cell>
          <cell r="C2130" t="str">
            <v>TƯƠNG ỚT HORECA 800G</v>
          </cell>
          <cell r="D2130" t="str">
            <v>HORECA CHILI SAUCE 800G</v>
          </cell>
          <cell r="E2130">
            <v>0.8</v>
          </cell>
          <cell r="F2130" t="str">
            <v>Bỏ chọn</v>
          </cell>
          <cell r="G2130" t="str">
            <v>2000000008</v>
          </cell>
          <cell r="H2130"/>
        </row>
        <row r="2131">
          <cell r="A2131" t="str">
            <v>V39.00A.001</v>
          </cell>
          <cell r="B2131" t="str">
            <v>MEIZAN RAINCOAT</v>
          </cell>
          <cell r="C2131" t="str">
            <v>ÁO MƯA MEIZAN</v>
          </cell>
          <cell r="D2131" t="str">
            <v>MEIZAN RAINCOAT</v>
          </cell>
          <cell r="E2131">
            <v>0.6</v>
          </cell>
          <cell r="F2131" t="str">
            <v>Bỏ chọn</v>
          </cell>
          <cell r="G2131"/>
          <cell r="H2131"/>
        </row>
        <row r="2132">
          <cell r="A2132" t="str">
            <v>7.B25085499089205</v>
          </cell>
          <cell r="B2132" t="str">
            <v>PORK BOUILLON GRANULE 150G X 36 PAC</v>
          </cell>
          <cell r="C2132" t="str">
            <v>THỰC PHẨM BỔ SUNG HẠT NÊM 4 TRONG 1 - VỊ HEO 150G X 36 GÓI</v>
          </cell>
          <cell r="D2132" t="str">
            <v>PORK BOUILLON GRANULE 150G X 36 PAC</v>
          </cell>
          <cell r="E2132">
            <v>5.4</v>
          </cell>
          <cell r="F2132" t="str">
            <v>Bỏ chọn</v>
          </cell>
          <cell r="G2132"/>
          <cell r="H2132"/>
        </row>
        <row r="2133">
          <cell r="A2133" t="str">
            <v>7.B2508549908920501</v>
          </cell>
          <cell r="B2133" t="str">
            <v>PORK BOUILLON GRANULE 150G</v>
          </cell>
          <cell r="C2133" t="str">
            <v>THỰC PHẨM BỔ SUNG HẠT NÊM 4 TRONG 1 - VỊ HEO 150G</v>
          </cell>
          <cell r="D2133" t="str">
            <v>PORK BOUILLON GRANULE 150G</v>
          </cell>
          <cell r="E2133">
            <v>0.15</v>
          </cell>
          <cell r="F2133" t="str">
            <v>Bỏ chọn</v>
          </cell>
          <cell r="G2133"/>
          <cell r="H2133"/>
        </row>
        <row r="2134">
          <cell r="A2134" t="str">
            <v>7.B25085499839205</v>
          </cell>
          <cell r="B2134" t="str">
            <v>PORK BOUILLON GRANULE 350G X 24 PAC</v>
          </cell>
          <cell r="C2134" t="str">
            <v>THỰC PHẨM BỔ SUNG HẠT NÊM 4 TRONG 1 - VỊ HEO 350G X 24 GÓI</v>
          </cell>
          <cell r="D2134" t="str">
            <v>PORK BOUILLON GRANULE 350G X 24 PAC</v>
          </cell>
          <cell r="E2134">
            <v>8.4</v>
          </cell>
          <cell r="F2134" t="str">
            <v>Bỏ chọn</v>
          </cell>
          <cell r="G2134"/>
          <cell r="H2134"/>
        </row>
        <row r="2135">
          <cell r="A2135" t="str">
            <v>7.B2508549983920501</v>
          </cell>
          <cell r="B2135" t="str">
            <v xml:space="preserve">PORK BOUILLON GRANULE 350G </v>
          </cell>
          <cell r="C2135" t="str">
            <v>THỰC PHẨM BỔ SUNG HẠT NÊM 4 TRONG 1 - VỊ HEO 350G</v>
          </cell>
          <cell r="D2135" t="str">
            <v xml:space="preserve">PORK BOUILLON GRANULE 350G </v>
          </cell>
          <cell r="E2135">
            <v>0.36480000000000001</v>
          </cell>
          <cell r="F2135" t="str">
            <v>Bỏ chọn</v>
          </cell>
          <cell r="G2135"/>
          <cell r="H2135"/>
        </row>
        <row r="2136">
          <cell r="A2136" t="str">
            <v>6.70537</v>
          </cell>
          <cell r="B2136" t="str">
            <v>DISTILLED TOPPED PALM KERNEL FATTY ACID (DK1218), 850KG IBC TANK</v>
          </cell>
          <cell r="C2136" t="str">
            <v>AXIT BÉO TỪ NHÂN CỌ ĐÃ QUA TINH CHẾ DISTILLED TOPPED PALM KERNEL FATTY ACID (DK1218), IBC TANK 850KG</v>
          </cell>
          <cell r="D2136" t="str">
            <v>DISTILLED TOPPED PALM KERNEL FATTY ACID (DK1218), 850KG IBC TANK</v>
          </cell>
          <cell r="E2136">
            <v>1</v>
          </cell>
          <cell r="F2136" t="str">
            <v>Chọn</v>
          </cell>
          <cell r="G2136"/>
          <cell r="H2136"/>
        </row>
        <row r="2137">
          <cell r="A2137" t="str">
            <v>V51.00A.011</v>
          </cell>
          <cell r="B2137" t="str">
            <v>ARTWORK</v>
          </cell>
          <cell r="C2137" t="str">
            <v>HÌNH ẢNH BÀN BOOTH</v>
          </cell>
          <cell r="D2137" t="str">
            <v>ARTWORK</v>
          </cell>
          <cell r="E2137">
            <v>4.5</v>
          </cell>
          <cell r="F2137" t="str">
            <v>Bỏ chọn</v>
          </cell>
          <cell r="G2137"/>
          <cell r="H2137"/>
        </row>
        <row r="2138">
          <cell r="A2138" t="str">
            <v>7.5239943990567</v>
          </cell>
          <cell r="B2138" t="str">
            <v>GREEN KEY - K 25KG</v>
          </cell>
          <cell r="C2138" t="str">
            <v>BỘT MÌ HIỆU CHÌA KHÓA XANH LÁ K 25KG</v>
          </cell>
          <cell r="D2138" t="str">
            <v>GREEN KEY - K 25KG</v>
          </cell>
          <cell r="E2138">
            <v>1</v>
          </cell>
          <cell r="F2138" t="str">
            <v>Bỏ chọn</v>
          </cell>
          <cell r="G2138"/>
          <cell r="H2138"/>
        </row>
        <row r="2139">
          <cell r="A2139" t="str">
            <v>V51.00A.012</v>
          </cell>
          <cell r="B2139" t="str">
            <v>EGG NOODLE STANDEE</v>
          </cell>
          <cell r="C2139" t="str">
            <v>STANDEE MÌ TRỨNG</v>
          </cell>
          <cell r="D2139" t="str">
            <v>EGG NOODLE STANDEE</v>
          </cell>
          <cell r="E2139">
            <v>5.21</v>
          </cell>
          <cell r="F2139" t="str">
            <v>Bỏ chọn</v>
          </cell>
          <cell r="G2139"/>
          <cell r="H2139"/>
        </row>
        <row r="2140">
          <cell r="A2140" t="str">
            <v>V51.00A.013</v>
          </cell>
          <cell r="B2140" t="str">
            <v>SUPER PROMOTIONS STANDEE</v>
          </cell>
          <cell r="C2140" t="str">
            <v>STANDEE KHUYẾN MÃI SIÊU HẤP DẪN</v>
          </cell>
          <cell r="D2140" t="str">
            <v>SUPER PROMOTIONS STANDEE</v>
          </cell>
          <cell r="E2140">
            <v>5.21</v>
          </cell>
          <cell r="F2140" t="str">
            <v>Bỏ chọn</v>
          </cell>
          <cell r="G2140"/>
          <cell r="H2140"/>
        </row>
        <row r="2141">
          <cell r="A2141" t="str">
            <v>V51.000.064</v>
          </cell>
          <cell r="B2141" t="str">
            <v xml:space="preserve">BACKPACK WITH EMBROIDERED LOGO WILMAR MARKETING CLV
</v>
          </cell>
          <cell r="C2141" t="str">
            <v>BA LÔ CÓ LOGO CÔNG TY WILMAR MARKETING CLV</v>
          </cell>
          <cell r="D2141" t="str">
            <v xml:space="preserve">BACKPACK WITH EMBROIDERED LOGO WILMAR MARKETING CLV
</v>
          </cell>
          <cell r="E2141">
            <v>0</v>
          </cell>
          <cell r="F2141" t="str">
            <v>Chọn</v>
          </cell>
          <cell r="G2141"/>
          <cell r="H2141"/>
        </row>
        <row r="2142">
          <cell r="A2142" t="str">
            <v>7.5239904510501</v>
          </cell>
          <cell r="B2142" t="str">
            <v>BROWN COMPASS - 555 (25KG)</v>
          </cell>
          <cell r="C2142" t="str">
            <v>BỘT MÌ HIỆU LA BÀN NÂU - 555 (25KG)</v>
          </cell>
          <cell r="D2142" t="str">
            <v>BROWN COMPASS - 555 (25KG)</v>
          </cell>
          <cell r="E2142">
            <v>1</v>
          </cell>
          <cell r="F2142" t="str">
            <v>Bỏ chọn</v>
          </cell>
          <cell r="G2142"/>
          <cell r="H2142"/>
        </row>
        <row r="2143">
          <cell r="A2143" t="str">
            <v>7.5239904510601</v>
          </cell>
          <cell r="B2143" t="str">
            <v>BROWN COMPASS - 555 (40KG)</v>
          </cell>
          <cell r="C2143" t="str">
            <v>BỘT MÌ HIỆU LA BÀN NÂU - 555 (40KG)</v>
          </cell>
          <cell r="D2143" t="str">
            <v>BROWN COMPASS - 555 (40KG)</v>
          </cell>
          <cell r="E2143">
            <v>1</v>
          </cell>
          <cell r="F2143" t="str">
            <v>Bỏ chọn</v>
          </cell>
          <cell r="G2143"/>
          <cell r="H2143"/>
        </row>
        <row r="2144">
          <cell r="A2144" t="str">
            <v>7.5239904490501</v>
          </cell>
          <cell r="B2144" t="str">
            <v>BROWN COMPASS - 111 (25KG)</v>
          </cell>
          <cell r="C2144" t="str">
            <v>BỘT MÌ HIỆU LA BÀN NÂU - 111 (25KG)</v>
          </cell>
          <cell r="D2144" t="str">
            <v>BROWN COMPASS - 111 (25KG)</v>
          </cell>
          <cell r="E2144">
            <v>1</v>
          </cell>
          <cell r="F2144" t="str">
            <v>Bỏ chọn</v>
          </cell>
          <cell r="G2144"/>
          <cell r="H2144"/>
        </row>
        <row r="2145">
          <cell r="A2145" t="str">
            <v>7.5239904490601</v>
          </cell>
          <cell r="B2145" t="str">
            <v>BROWN COMPASS - 111 (40KG)</v>
          </cell>
          <cell r="C2145" t="str">
            <v>BỘT MÌ HIỆU LA BÀN NÂU - 111 (40KG)</v>
          </cell>
          <cell r="D2145" t="str">
            <v>BROWN COMPASS - 111 (40KG)</v>
          </cell>
          <cell r="E2145">
            <v>1</v>
          </cell>
          <cell r="F2145" t="str">
            <v>Bỏ chọn</v>
          </cell>
          <cell r="G2145"/>
          <cell r="H2145"/>
        </row>
        <row r="2146">
          <cell r="A2146" t="str">
            <v>7.5239904500501</v>
          </cell>
          <cell r="B2146" t="str">
            <v>BROWN COMPASS - 333 (25KG)</v>
          </cell>
          <cell r="C2146" t="str">
            <v>BỘT MÌ HIỆU LA BÀN NÂU - 333 (25KG)</v>
          </cell>
          <cell r="D2146" t="str">
            <v>BROWN COMPASS - 333 (25KG)</v>
          </cell>
          <cell r="E2146">
            <v>1</v>
          </cell>
          <cell r="F2146" t="str">
            <v>Bỏ chọn</v>
          </cell>
          <cell r="G2146"/>
          <cell r="H2146"/>
        </row>
        <row r="2147">
          <cell r="A2147" t="str">
            <v>7.5239904500601</v>
          </cell>
          <cell r="B2147" t="str">
            <v>BROWN COMPASS - 333 (40KG)</v>
          </cell>
          <cell r="C2147" t="str">
            <v>BỘT MÌ HIỆU LA BÀN NÂU - 333 (40KG)</v>
          </cell>
          <cell r="D2147" t="str">
            <v>BROWN COMPASS - 333 (40KG)</v>
          </cell>
          <cell r="E2147">
            <v>1</v>
          </cell>
          <cell r="F2147" t="str">
            <v>Bỏ chọn</v>
          </cell>
          <cell r="G2147"/>
          <cell r="H2147"/>
        </row>
        <row r="2148">
          <cell r="A2148" t="str">
            <v>7.5239904520501</v>
          </cell>
          <cell r="B2148" t="str">
            <v>BROWN COMPASS - 666 (25KG)</v>
          </cell>
          <cell r="C2148" t="str">
            <v>BỘT MÌ HIỆU LA BÀN NÂU - 666 (25KG)</v>
          </cell>
          <cell r="D2148" t="str">
            <v>BROWN COMPASS - 666 (25KG)</v>
          </cell>
          <cell r="E2148">
            <v>1</v>
          </cell>
          <cell r="F2148" t="str">
            <v>Bỏ chọn</v>
          </cell>
          <cell r="G2148"/>
          <cell r="H2148"/>
        </row>
        <row r="2149">
          <cell r="A2149" t="str">
            <v>7.5239904520601</v>
          </cell>
          <cell r="B2149" t="str">
            <v>BROWN COMPASS - 666 (40KG)</v>
          </cell>
          <cell r="C2149" t="str">
            <v>BỘT MÌ HIỆU LA BÀN NÂU - 666 (40KG)</v>
          </cell>
          <cell r="D2149" t="str">
            <v>BROWN COMPASS - 666 (40KG)</v>
          </cell>
          <cell r="E2149">
            <v>1</v>
          </cell>
          <cell r="F2149" t="str">
            <v>Bỏ chọn</v>
          </cell>
          <cell r="G2149"/>
          <cell r="H2149"/>
        </row>
        <row r="2150">
          <cell r="A2150" t="str">
            <v>7.5239904530501</v>
          </cell>
          <cell r="B2150" t="str">
            <v>BROWN COMPASS - 888 (25KG)</v>
          </cell>
          <cell r="C2150" t="str">
            <v>BỘT MÌ HIỆU LA BÀN NÂU - 888 (25KG)</v>
          </cell>
          <cell r="D2150" t="str">
            <v>BROWN COMPASS - 888 (25KG)</v>
          </cell>
          <cell r="E2150">
            <v>1</v>
          </cell>
          <cell r="F2150" t="str">
            <v>Bỏ chọn</v>
          </cell>
          <cell r="G2150"/>
          <cell r="H2150"/>
        </row>
        <row r="2151">
          <cell r="A2151" t="str">
            <v>7.5239904530601</v>
          </cell>
          <cell r="B2151" t="str">
            <v>BROWN COMPASS - 888 (40KG)</v>
          </cell>
          <cell r="C2151" t="str">
            <v>BỘT MÌ HIỆU LA BÀN NÂU - 888 (40KG)</v>
          </cell>
          <cell r="D2151" t="str">
            <v>BROWN COMPASS - 888 (40KG)</v>
          </cell>
          <cell r="E2151">
            <v>1</v>
          </cell>
          <cell r="F2151" t="str">
            <v>Bỏ chọn</v>
          </cell>
          <cell r="G2151"/>
          <cell r="H2151"/>
        </row>
        <row r="2152">
          <cell r="A2152" t="str">
            <v>7.5239904540501</v>
          </cell>
          <cell r="B2152" t="str">
            <v>BROWN COMPASS - 999 (25KG)</v>
          </cell>
          <cell r="C2152" t="str">
            <v>BỘT MÌ HIỆU LA BÀN NÂU - 999 (25KG)</v>
          </cell>
          <cell r="D2152" t="str">
            <v>BROWN COMPASS - 999 (25KG)</v>
          </cell>
          <cell r="E2152">
            <v>1</v>
          </cell>
          <cell r="F2152" t="str">
            <v>Bỏ chọn</v>
          </cell>
          <cell r="G2152"/>
          <cell r="H2152"/>
        </row>
        <row r="2153">
          <cell r="A2153" t="str">
            <v>7.5239904540601</v>
          </cell>
          <cell r="B2153" t="str">
            <v>BROWN COMPASS - 999 (40KG)</v>
          </cell>
          <cell r="C2153" t="str">
            <v>BỘT MÌ HIỆU LA BÀN NÂU - 999 (40KG)</v>
          </cell>
          <cell r="D2153" t="str">
            <v>BROWN COMPASS - 999 (40KG)</v>
          </cell>
          <cell r="E2153">
            <v>1</v>
          </cell>
          <cell r="F2153" t="str">
            <v>Bỏ chọn</v>
          </cell>
          <cell r="G2153"/>
          <cell r="H2153"/>
        </row>
        <row r="2154">
          <cell r="A2154" t="str">
            <v>7.5239914550501</v>
          </cell>
          <cell r="B2154" t="str">
            <v>RED COMPASS - 111 (25KG)</v>
          </cell>
          <cell r="C2154" t="str">
            <v>BỘT MÌ HIỆU LA BÀN ĐỎ - 111 (25KG)</v>
          </cell>
          <cell r="D2154" t="str">
            <v>RED COMPASS - 111 (25KG)</v>
          </cell>
          <cell r="E2154">
            <v>1</v>
          </cell>
          <cell r="F2154" t="str">
            <v>Bỏ chọn</v>
          </cell>
          <cell r="G2154"/>
          <cell r="H2154"/>
        </row>
        <row r="2155">
          <cell r="A2155" t="str">
            <v>7.5239914550601</v>
          </cell>
          <cell r="B2155" t="str">
            <v>RED COMPASS - 111 (40KG)</v>
          </cell>
          <cell r="C2155" t="str">
            <v>BỘT MÌ HIỆU LA BÀN ĐỎ - 111 (40KG)</v>
          </cell>
          <cell r="D2155" t="str">
            <v>RED COMPASS - 111 (40KG)</v>
          </cell>
          <cell r="E2155">
            <v>1</v>
          </cell>
          <cell r="F2155" t="str">
            <v>Bỏ chọn</v>
          </cell>
          <cell r="G2155"/>
          <cell r="H2155"/>
        </row>
        <row r="2156">
          <cell r="A2156" t="str">
            <v>7.5239914560501</v>
          </cell>
          <cell r="B2156" t="str">
            <v>RED COMPASS - 333 (25KG)</v>
          </cell>
          <cell r="C2156" t="str">
            <v>BỘT MÌ HIỆU LA BÀN ĐỎ - 333 (25KG)</v>
          </cell>
          <cell r="D2156" t="str">
            <v>RED COMPASS - 333 (25KG)</v>
          </cell>
          <cell r="E2156">
            <v>1</v>
          </cell>
          <cell r="F2156" t="str">
            <v>Bỏ chọn</v>
          </cell>
          <cell r="G2156"/>
          <cell r="H2156"/>
        </row>
        <row r="2157">
          <cell r="A2157" t="str">
            <v>7.5239914560601</v>
          </cell>
          <cell r="B2157" t="str">
            <v>RED COMPASS - 333 (40KG)</v>
          </cell>
          <cell r="C2157" t="str">
            <v>BỘT MÌ HIỆU LA BÀN ĐỎ - 333 (40KG)</v>
          </cell>
          <cell r="D2157" t="str">
            <v>RED COMPASS - 333 (40KG)</v>
          </cell>
          <cell r="E2157">
            <v>1</v>
          </cell>
          <cell r="F2157" t="str">
            <v>Bỏ chọn</v>
          </cell>
          <cell r="G2157"/>
          <cell r="H2157"/>
        </row>
        <row r="2158">
          <cell r="A2158" t="str">
            <v>7.5239914570501</v>
          </cell>
          <cell r="B2158" t="str">
            <v>RED COMPASS - 555 (25KG)</v>
          </cell>
          <cell r="C2158" t="str">
            <v>BỘT MÌ HIỆU LA BÀN ĐỎ - 555 (25KG)</v>
          </cell>
          <cell r="D2158" t="str">
            <v>RED COMPASS - 555 (25KG)</v>
          </cell>
          <cell r="E2158">
            <v>1</v>
          </cell>
          <cell r="F2158" t="str">
            <v>Bỏ chọn</v>
          </cell>
          <cell r="G2158"/>
          <cell r="H2158"/>
        </row>
        <row r="2159">
          <cell r="A2159" t="str">
            <v>7.5239914570601</v>
          </cell>
          <cell r="B2159" t="str">
            <v>RED COMPASS - 555 (40KG)</v>
          </cell>
          <cell r="C2159" t="str">
            <v>BỘT MÌ HIỆU LA BÀN ĐỎ - 555 (40KG)</v>
          </cell>
          <cell r="D2159" t="str">
            <v>RED COMPASS - 555 (40KG)</v>
          </cell>
          <cell r="E2159">
            <v>1</v>
          </cell>
          <cell r="F2159" t="str">
            <v>Bỏ chọn</v>
          </cell>
          <cell r="G2159"/>
          <cell r="H2159"/>
        </row>
        <row r="2160">
          <cell r="A2160" t="str">
            <v>7.5239914580501</v>
          </cell>
          <cell r="B2160" t="str">
            <v>RED COMPASS - 666 (25KG)</v>
          </cell>
          <cell r="C2160" t="str">
            <v>BỘT MÌ HIỆU LA BÀN ĐỎ - 666 (25KG)</v>
          </cell>
          <cell r="D2160" t="str">
            <v>RED COMPASS - 666 (25KG)</v>
          </cell>
          <cell r="E2160">
            <v>1</v>
          </cell>
          <cell r="F2160" t="str">
            <v>Bỏ chọn</v>
          </cell>
          <cell r="G2160"/>
          <cell r="H2160"/>
        </row>
        <row r="2161">
          <cell r="A2161" t="str">
            <v>7.5239914580601</v>
          </cell>
          <cell r="B2161" t="str">
            <v>RED COMPASS - 666 (40KG)</v>
          </cell>
          <cell r="C2161" t="str">
            <v>BỘT MÌ HIỆU LA BÀN ĐỎ - 666 (40KG)</v>
          </cell>
          <cell r="D2161" t="str">
            <v>RED COMPASS - 666 (40KG)</v>
          </cell>
          <cell r="E2161">
            <v>1</v>
          </cell>
          <cell r="F2161" t="str">
            <v>Bỏ chọn</v>
          </cell>
          <cell r="G2161"/>
          <cell r="H2161"/>
        </row>
        <row r="2162">
          <cell r="A2162" t="str">
            <v>7.5239914590501</v>
          </cell>
          <cell r="B2162" t="str">
            <v>RED COMPASS - 888 (25KG)</v>
          </cell>
          <cell r="C2162" t="str">
            <v>BỘT MÌ HIỆU LA BÀN ĐỎ - 888 (25KG)</v>
          </cell>
          <cell r="D2162" t="str">
            <v>RED COMPASS - 888 (25KG)</v>
          </cell>
          <cell r="E2162">
            <v>1</v>
          </cell>
          <cell r="F2162" t="str">
            <v>Bỏ chọn</v>
          </cell>
          <cell r="G2162"/>
          <cell r="H2162"/>
        </row>
        <row r="2163">
          <cell r="A2163" t="str">
            <v>7.5239914590601</v>
          </cell>
          <cell r="B2163" t="str">
            <v>RED COMPASS - 888 (40KG)</v>
          </cell>
          <cell r="C2163" t="str">
            <v>BỘT MÌ HIỆU LA BÀN ĐỎ - 888 (40KG)</v>
          </cell>
          <cell r="D2163" t="str">
            <v>RED COMPASS - 888 (40KG)</v>
          </cell>
          <cell r="E2163">
            <v>1</v>
          </cell>
          <cell r="F2163" t="str">
            <v>Bỏ chọn</v>
          </cell>
          <cell r="G2163"/>
          <cell r="H2163"/>
        </row>
        <row r="2164">
          <cell r="A2164" t="str">
            <v>7.5239914600501</v>
          </cell>
          <cell r="B2164" t="str">
            <v>RED COMPASS - 999 (25KG)</v>
          </cell>
          <cell r="C2164" t="str">
            <v>BỘT MÌ HIỆU LA BÀN ĐỎ - 999 (25KG)</v>
          </cell>
          <cell r="D2164" t="str">
            <v>RED COMPASS - 999 (25KG)</v>
          </cell>
          <cell r="E2164">
            <v>1</v>
          </cell>
          <cell r="F2164" t="str">
            <v>Bỏ chọn</v>
          </cell>
          <cell r="G2164"/>
          <cell r="H2164"/>
        </row>
        <row r="2165">
          <cell r="A2165" t="str">
            <v>7.5239914600601</v>
          </cell>
          <cell r="B2165" t="str">
            <v>RED COMPASS - 999 (40KG)</v>
          </cell>
          <cell r="C2165" t="str">
            <v>BỘT MÌ HIỆU LA BÀN ĐỎ - 999 (40KG)</v>
          </cell>
          <cell r="D2165" t="str">
            <v>RED COMPASS - 999 (40KG)</v>
          </cell>
          <cell r="E2165">
            <v>1</v>
          </cell>
          <cell r="F2165" t="str">
            <v>Bỏ chọn</v>
          </cell>
          <cell r="G2165"/>
          <cell r="H2165"/>
        </row>
        <row r="2166">
          <cell r="A2166" t="str">
            <v>7.1060120229508010</v>
          </cell>
          <cell r="B2166" t="str">
            <v>MEIZAN SHORTENING PM IN PEBAG @20KG</v>
          </cell>
          <cell r="C2166" t="str">
            <v>SHORTENING PM NHÃN HIỆU MEIZAN 20KG</v>
          </cell>
          <cell r="D2166" t="str">
            <v>MEIZAN SHORTENING PM IN PEBAG @20KG</v>
          </cell>
          <cell r="E2166">
            <v>20</v>
          </cell>
          <cell r="F2166" t="str">
            <v>Chọn</v>
          </cell>
          <cell r="G2166"/>
          <cell r="H2166"/>
        </row>
        <row r="2167">
          <cell r="A2167" t="str">
            <v>V51.000.065</v>
          </cell>
          <cell r="B2167" t="str">
            <v>SAIGON BEER 330ML X 24BOT/CAR</v>
          </cell>
          <cell r="C2167" t="str">
            <v>BIA SÀI GÒN 330ML X 24LON/THÙNG</v>
          </cell>
          <cell r="D2167" t="str">
            <v>SAIGON BEER 330ML X 24BOT/CAR</v>
          </cell>
          <cell r="E2167">
            <v>0</v>
          </cell>
          <cell r="F2167" t="str">
            <v>Bỏ chọn</v>
          </cell>
          <cell r="G2167"/>
          <cell r="H2167"/>
        </row>
        <row r="2168">
          <cell r="A2168" t="str">
            <v>V51.046.013</v>
          </cell>
          <cell r="B2168" t="str">
            <v>PORK BOUILLON GRANULE 150G</v>
          </cell>
          <cell r="C2168" t="str">
            <v>THỰC PHẨM BỔ SUNG HẠT NÊM 4 TRONG 1 – VỊ HEO 150G</v>
          </cell>
          <cell r="D2168" t="str">
            <v>PORK BOUILLON GRANULE 150G</v>
          </cell>
          <cell r="E2168">
            <v>0</v>
          </cell>
          <cell r="F2168" t="str">
            <v>Bỏ chọn</v>
          </cell>
          <cell r="G2168"/>
          <cell r="H2168"/>
        </row>
        <row r="2169">
          <cell r="A2169" t="str">
            <v>V51.046.014</v>
          </cell>
          <cell r="B2169" t="str">
            <v>PORK BOUILLON GRANULE 350G</v>
          </cell>
          <cell r="C2169" t="str">
            <v>THỰC PHẨM BỔ SUNG HẠT NÊM 4 TRONG 1 - VỊ HEO 350G</v>
          </cell>
          <cell r="D2169" t="str">
            <v>PORK BOUILLON GRANULE 350G</v>
          </cell>
          <cell r="E2169">
            <v>0</v>
          </cell>
          <cell r="F2169" t="str">
            <v>Bỏ chọn</v>
          </cell>
          <cell r="G2169"/>
          <cell r="H2169"/>
        </row>
        <row r="2170">
          <cell r="A2170" t="str">
            <v>7.134017699040199</v>
          </cell>
          <cell r="B2170" t="str">
            <v>GOLDEN ORIOLE PASTRY MARGARINE 10KG IN CARTON</v>
          </cell>
          <cell r="C2170" t="str">
            <v>BƠ LÁ GOLDEN ORIOLE</v>
          </cell>
          <cell r="D2170" t="str">
            <v>GOLDEN ORIOLE PASTRY MARGARINE 10KG IN CARTON</v>
          </cell>
          <cell r="E2170">
            <v>10</v>
          </cell>
          <cell r="F2170" t="str">
            <v>Bỏ chọn</v>
          </cell>
          <cell r="G2170"/>
          <cell r="H2170"/>
        </row>
        <row r="2171">
          <cell r="A2171" t="str">
            <v>7.A330208998401</v>
          </cell>
          <cell r="B2171" t="str">
            <v>MEIZAN PREMIUM MACARONI 200G X 48 BAG</v>
          </cell>
          <cell r="C2171" t="str">
            <v>NUI CAO CẤP MEIZAN 200G X 48 GÓI</v>
          </cell>
          <cell r="D2171" t="str">
            <v>MEIZAN PREMIUM MACARONI 200G X 48 BAG</v>
          </cell>
          <cell r="E2171">
            <v>9.6</v>
          </cell>
          <cell r="F2171" t="str">
            <v>Bỏ chọn</v>
          </cell>
          <cell r="G2171"/>
          <cell r="H2171"/>
        </row>
        <row r="2172">
          <cell r="A2172" t="str">
            <v>V51.600.081</v>
          </cell>
          <cell r="B2172" t="str">
            <v>SIMPLY FOOD WRAP (30CM)</v>
          </cell>
          <cell r="C2172" t="str">
            <v>MÀNG BỌC THỰC PHẨM NHÃN SIMPLY (30CM)</v>
          </cell>
          <cell r="D2172" t="str">
            <v>SIMPLY FOOD WRAP (30CM)</v>
          </cell>
          <cell r="E2172">
            <v>0</v>
          </cell>
          <cell r="F2172" t="str">
            <v>Bỏ chọn</v>
          </cell>
          <cell r="G2172"/>
          <cell r="H2172"/>
        </row>
        <row r="2173">
          <cell r="A2173" t="str">
            <v>7.131078036014E10</v>
          </cell>
          <cell r="B2173" t="str">
            <v>MEIZAN GOLD TET GIFTPACK 1L X 8 BTL</v>
          </cell>
          <cell r="C2173" t="str">
            <v>DẦU ĂN CAO CẤP NHÃN HIỆU MEIZAN GOLD 1L (8 CHAI/THÙNG)-ĐÓNG KÈM 4 GÓI MÌ TRỨNG CAO CẤP MEIZAN 250G/THÙNG</v>
          </cell>
          <cell r="D2173" t="str">
            <v>MEIZAN GOLD TET GIFTPACK 1L X 8 BTL</v>
          </cell>
          <cell r="E2173">
            <v>7.28</v>
          </cell>
          <cell r="F2173" t="str">
            <v>Bỏ chọn</v>
          </cell>
          <cell r="G2173"/>
          <cell r="H2173"/>
        </row>
        <row r="2174">
          <cell r="A2174" t="str">
            <v>V51.00A.014</v>
          </cell>
          <cell r="B2174" t="str">
            <v>HANGER WITH 3 PLASTIC STRINGS</v>
          </cell>
          <cell r="C2174" t="str">
            <v>VỈ TREO 3 DÂY</v>
          </cell>
          <cell r="D2174" t="str">
            <v>HANGER WITH 3 PLASTIC STRINGS</v>
          </cell>
          <cell r="E2174">
            <v>0.3</v>
          </cell>
          <cell r="F2174" t="str">
            <v>Bỏ chọn</v>
          </cell>
          <cell r="G2174"/>
          <cell r="H2174"/>
        </row>
        <row r="2175">
          <cell r="A2175" t="str">
            <v>V51.00A.015</v>
          </cell>
          <cell r="B2175" t="str">
            <v>PP BREAD CART 0,5M X 1,1M</v>
          </cell>
          <cell r="C2175" t="str">
            <v>PP DÁN XE BÁNH MÌ 0,5M X 1,1M</v>
          </cell>
          <cell r="D2175" t="str">
            <v>PP BREAD CART 0,5M X 1,1M</v>
          </cell>
          <cell r="E2175">
            <v>0.1</v>
          </cell>
          <cell r="F2175" t="str">
            <v>Bỏ chọn</v>
          </cell>
          <cell r="G2175"/>
          <cell r="H2175"/>
        </row>
        <row r="2176">
          <cell r="A2176" t="str">
            <v>7.5239977990501</v>
          </cell>
          <cell r="B2176" t="str">
            <v>GREEN KEY 111-25</v>
          </cell>
          <cell r="C2176" t="str">
            <v>BỘT MÌ CHUYÊN DỤNG CHÌA KHÓA XANH LÁ -111 (25KG)</v>
          </cell>
          <cell r="D2176" t="str">
            <v>GREEN KEY 111-25</v>
          </cell>
          <cell r="E2176">
            <v>1</v>
          </cell>
          <cell r="F2176" t="str">
            <v>Bỏ chọn</v>
          </cell>
          <cell r="G2176"/>
          <cell r="H2176"/>
        </row>
        <row r="2177">
          <cell r="A2177" t="str">
            <v>7.E38017899850132</v>
          </cell>
          <cell r="B2177" t="str">
            <v>MF UHT FULL CREAM PURE MILK 1LX12</v>
          </cell>
          <cell r="C2177" t="str">
            <v>SỮA TƯƠI TIỆT TRÙNG NGUYÊN KEM NHÃN HIỆU MEADOW FRESH 1LX12</v>
          </cell>
          <cell r="D2177" t="str">
            <v>MF UHT FULL CREAM PURE MILK 1LX12</v>
          </cell>
          <cell r="E2177">
            <v>12</v>
          </cell>
          <cell r="F2177" t="str">
            <v>Bỏ chọn</v>
          </cell>
          <cell r="G2177"/>
          <cell r="H2177"/>
        </row>
        <row r="2178">
          <cell r="A2178" t="str">
            <v>7.E3801789985013201</v>
          </cell>
          <cell r="B2178" t="str">
            <v>MF UHT FULL CREAM PURE MILK 1L</v>
          </cell>
          <cell r="C2178" t="str">
            <v>SỮA TƯƠI TIỆT TRÙNG NGUYÊN KEM NHÃN HIỆU MEADOW FRESH 1L</v>
          </cell>
          <cell r="D2178" t="str">
            <v>MF UHT FULL CREAM PURE MILK 1L</v>
          </cell>
          <cell r="E2178">
            <v>1</v>
          </cell>
          <cell r="F2178" t="str">
            <v>Bỏ chọn</v>
          </cell>
          <cell r="G2178"/>
          <cell r="H2178"/>
        </row>
        <row r="2179">
          <cell r="A2179" t="str">
            <v>7.E38017899850133</v>
          </cell>
          <cell r="B2179" t="str">
            <v>MF UHT SKIMMED PURE MILK 1LX12</v>
          </cell>
          <cell r="C2179" t="str">
            <v>SỮA TƯƠI TIỆT TRÙNG TÁCH BÉO NHÃN HIỆU MEADOW FRESH 1LX12</v>
          </cell>
          <cell r="D2179" t="str">
            <v>MF UHT SKIMMED PURE MILK 1LX12</v>
          </cell>
          <cell r="E2179">
            <v>12</v>
          </cell>
          <cell r="F2179" t="str">
            <v>Bỏ chọn</v>
          </cell>
          <cell r="G2179"/>
          <cell r="H2179"/>
        </row>
        <row r="2180">
          <cell r="A2180" t="str">
            <v>7.E3801789985013301</v>
          </cell>
          <cell r="B2180" t="str">
            <v>MF UHT SKIMMED PURE MILK 1L</v>
          </cell>
          <cell r="C2180" t="str">
            <v>SỮA TƯƠI TIỆT TRÙNG TÁCH BÉO NHÃN HIỆU MEADOW FRESH 1L</v>
          </cell>
          <cell r="D2180" t="str">
            <v>MF UHT SKIMMED PURE MILK 1L</v>
          </cell>
          <cell r="E2180">
            <v>1</v>
          </cell>
          <cell r="F2180" t="str">
            <v>Bỏ chọn</v>
          </cell>
          <cell r="G2180"/>
          <cell r="H2180"/>
        </row>
        <row r="2181">
          <cell r="A2181" t="str">
            <v>7.E38017899850135</v>
          </cell>
          <cell r="B2181" t="str">
            <v>MF UHT LOW FAT PURE MILK 1LX12</v>
          </cell>
          <cell r="C2181" t="str">
            <v>SỮA TƯƠI TIỆT TRÙNG ÍT BÉO NHÃN HIỆU MEADOW FRESH 1LX12</v>
          </cell>
          <cell r="D2181" t="str">
            <v>MF UHT LOW FAT PURE MILK 1LX12</v>
          </cell>
          <cell r="E2181">
            <v>12</v>
          </cell>
          <cell r="F2181" t="str">
            <v>Bỏ chọn</v>
          </cell>
          <cell r="G2181"/>
          <cell r="H2181"/>
        </row>
        <row r="2182">
          <cell r="A2182" t="str">
            <v>7.E3801789985013501</v>
          </cell>
          <cell r="B2182" t="str">
            <v>MF UHT LOW FAT PURE MILK 1L</v>
          </cell>
          <cell r="C2182" t="str">
            <v>SỮA TƯƠI TIỆT TRÙNG ÍT BÉO NHÃN HIỆU MEADOW FRESH 1L</v>
          </cell>
          <cell r="D2182" t="str">
            <v>MF UHT LOW FAT PURE MILK 1L</v>
          </cell>
          <cell r="E2182">
            <v>1</v>
          </cell>
          <cell r="F2182" t="str">
            <v>Bỏ chọn</v>
          </cell>
          <cell r="G2182"/>
          <cell r="H2182"/>
        </row>
        <row r="2183">
          <cell r="A2183" t="str">
            <v>7.E38017899850138</v>
          </cell>
          <cell r="B2183" t="str">
            <v>MF UHT CALCI MAX MILK 1LX12</v>
          </cell>
          <cell r="C2183" t="str">
            <v>SỮA TƯƠI TIỆT TRÙNG GIÀU CANXI ÍT BÉO NHÃN HIỆU MEADOW FRESH 1LX12</v>
          </cell>
          <cell r="D2183" t="str">
            <v>MF UHT CALCI MAX MILK 1LX12</v>
          </cell>
          <cell r="E2183">
            <v>12</v>
          </cell>
          <cell r="F2183" t="str">
            <v>Bỏ chọn</v>
          </cell>
          <cell r="G2183"/>
          <cell r="H2183"/>
        </row>
        <row r="2184">
          <cell r="A2184" t="str">
            <v>7.E3801789985013801</v>
          </cell>
          <cell r="B2184" t="str">
            <v>MF UHT CALCI MAX MILK 1L</v>
          </cell>
          <cell r="C2184" t="str">
            <v>SỮA TƯƠI TIỆT TRÙNG GIÀU CANXI ÍT BÉO NHÃN HIỆU MEADOW FRESH 1L</v>
          </cell>
          <cell r="D2184" t="str">
            <v>MF UHT CALCI MAX MILK 1L</v>
          </cell>
          <cell r="E2184">
            <v>1</v>
          </cell>
          <cell r="F2184" t="str">
            <v>Bỏ chọn</v>
          </cell>
          <cell r="G2184"/>
          <cell r="H2184"/>
        </row>
        <row r="2185">
          <cell r="A2185" t="str">
            <v>7.E38017899130138</v>
          </cell>
          <cell r="B2185" t="str">
            <v>MF UHT CALCI MAX MILK 200MLX3X8</v>
          </cell>
          <cell r="C2185" t="str">
            <v>SỮA TƯƠI TIỆT TRÙNG GIÀU CANXI ÍT BÉO NHÃN HIỆU MEADOW FRESH 200MLX3X8</v>
          </cell>
          <cell r="D2185" t="str">
            <v>MF UHT CALCI MAX MILK 200MLX3X8</v>
          </cell>
          <cell r="E2185">
            <v>4.8</v>
          </cell>
          <cell r="F2185" t="str">
            <v>Bỏ chọn</v>
          </cell>
          <cell r="G2185"/>
          <cell r="H2185"/>
        </row>
        <row r="2186">
          <cell r="A2186" t="str">
            <v>7.E3801789913013801</v>
          </cell>
          <cell r="B2186" t="str">
            <v>MF UHT CALCI MAX MILK 200ML</v>
          </cell>
          <cell r="C2186" t="str">
            <v>SỮA TƯƠI TIỆT TRÙNG GIÀU CANXI ÍT BÉO NHÃN HIỆU MEADOW FRESH 200ML</v>
          </cell>
          <cell r="D2186" t="str">
            <v>MF UHT CALCI MAX MILK 200ML</v>
          </cell>
          <cell r="E2186">
            <v>0.2</v>
          </cell>
          <cell r="F2186" t="str">
            <v>Bỏ chọn</v>
          </cell>
          <cell r="G2186"/>
          <cell r="H2186"/>
        </row>
        <row r="2187">
          <cell r="A2187" t="str">
            <v>7.E38017899130132</v>
          </cell>
          <cell r="B2187" t="str">
            <v>MF UHT FULL CREAM PURE MILK 200MLX3X8</v>
          </cell>
          <cell r="C2187" t="str">
            <v>SỮA TƯƠI TIỆT TRÙNG NGUYÊN KEM NHÃN HIỆU MEADOW FRESH 200MLX3X8</v>
          </cell>
          <cell r="D2187" t="str">
            <v>MF UHT FULL CREAM PURE MILK 200MLX3X8</v>
          </cell>
          <cell r="E2187">
            <v>4.8</v>
          </cell>
          <cell r="F2187" t="str">
            <v>Bỏ chọn</v>
          </cell>
          <cell r="G2187"/>
          <cell r="H2187"/>
        </row>
        <row r="2188">
          <cell r="A2188" t="str">
            <v>7.E3801789913013201</v>
          </cell>
          <cell r="B2188" t="str">
            <v>MF UHT FULL CREAM PURE MILK 200ML</v>
          </cell>
          <cell r="C2188" t="str">
            <v>SỮA TƯƠI TIỆT TRÙNG NGUYÊN KEM NHÃN HIỆU MEADOW FRESH 200ML</v>
          </cell>
          <cell r="D2188" t="str">
            <v>MF UHT FULL CREAM PURE MILK 200ML</v>
          </cell>
          <cell r="E2188">
            <v>0.2</v>
          </cell>
          <cell r="F2188" t="str">
            <v>Bỏ chọn</v>
          </cell>
          <cell r="G2188"/>
          <cell r="H2188"/>
        </row>
        <row r="2189">
          <cell r="A2189" t="str">
            <v>7.E38017899130135</v>
          </cell>
          <cell r="B2189" t="str">
            <v>MF UHT LOW FAT PURE MILK 200MLX3X8</v>
          </cell>
          <cell r="C2189" t="str">
            <v>SỮA TƯƠI TIỆT TRÙNG ÍT BÉO NHÃN HIỆU MEADOW FRESH 200MLX3X8</v>
          </cell>
          <cell r="D2189" t="str">
            <v>MF UHT LOW FAT PURE MILK 200MLX3X8</v>
          </cell>
          <cell r="E2189">
            <v>4.8</v>
          </cell>
          <cell r="F2189" t="str">
            <v>Bỏ chọn</v>
          </cell>
          <cell r="G2189"/>
          <cell r="H2189"/>
        </row>
        <row r="2190">
          <cell r="A2190" t="str">
            <v>7.E3801789913013501</v>
          </cell>
          <cell r="B2190" t="str">
            <v>MF UHT LOW FAT PURE MILK 200ML</v>
          </cell>
          <cell r="C2190" t="str">
            <v>SỮA TƯƠI TIỆT TRÙNG ÍT BÉO NHÃN HIỆU MEADOW FRESH 200ML</v>
          </cell>
          <cell r="D2190" t="str">
            <v>MF UHT LOW FAT PURE MILK 200ML</v>
          </cell>
          <cell r="E2190">
            <v>0.2</v>
          </cell>
          <cell r="F2190" t="str">
            <v>Bỏ chọn</v>
          </cell>
          <cell r="G2190"/>
          <cell r="H2190"/>
        </row>
        <row r="2191">
          <cell r="A2191" t="str">
            <v>7.E38017899130136</v>
          </cell>
          <cell r="B2191" t="str">
            <v>MF UHT STRAWBERRY FLAVOUR MILK 200MLX3X8</v>
          </cell>
          <cell r="C2191" t="str">
            <v>SỮA TIỆT TRÙNG HƯƠNG DÂU NHÃN HIỆU MEADOW FRESH 200MLX3X8</v>
          </cell>
          <cell r="D2191" t="str">
            <v>MF UHT STRAWBERRY FLAVOUR MILK 200MLX3X8</v>
          </cell>
          <cell r="E2191">
            <v>4.8</v>
          </cell>
          <cell r="F2191" t="str">
            <v>Bỏ chọn</v>
          </cell>
          <cell r="G2191"/>
          <cell r="H2191"/>
        </row>
        <row r="2192">
          <cell r="A2192" t="str">
            <v>7.E3801789913013601</v>
          </cell>
          <cell r="B2192" t="str">
            <v>MF UHT STRAWBERRY FLAVOUR MILK 200ML</v>
          </cell>
          <cell r="C2192" t="str">
            <v>SỮA TIỆT TRÙNG HƯƠNG DÂU NHÃN HIỆU MEADOW FRESH 200ML</v>
          </cell>
          <cell r="D2192" t="str">
            <v>MF UHT STRAWBERRY FLAVOUR MILK 200ML</v>
          </cell>
          <cell r="E2192">
            <v>0.2</v>
          </cell>
          <cell r="F2192" t="str">
            <v>Bỏ chọn</v>
          </cell>
          <cell r="G2192"/>
          <cell r="H2192"/>
        </row>
        <row r="2193">
          <cell r="A2193" t="str">
            <v>7.E38017899130137</v>
          </cell>
          <cell r="B2193" t="str">
            <v>MF UHT CHOCOCHOC FLAVOUR MILK 200MLX3X8</v>
          </cell>
          <cell r="C2193" t="str">
            <v>SỮA TIỆT TRÙNG HƯƠNG SÔ-CÔ-LA NHÃN HIỆU MEADOW FRESH 200MLX3X8</v>
          </cell>
          <cell r="D2193" t="str">
            <v>MF UHT CHOCOCHOC FLAVOUR MILK 200MLX3X8</v>
          </cell>
          <cell r="E2193">
            <v>4.8</v>
          </cell>
          <cell r="F2193" t="str">
            <v>Bỏ chọn</v>
          </cell>
          <cell r="G2193"/>
          <cell r="H2193"/>
        </row>
        <row r="2194">
          <cell r="A2194" t="str">
            <v>7.E3801789913013701</v>
          </cell>
          <cell r="B2194" t="str">
            <v>MF UHT CHOCOCHOC FLAVOUR MILK 200ML</v>
          </cell>
          <cell r="C2194" t="str">
            <v>SỮA TIỆT TRÙNG HƯƠNG SÔ-CÔ-LA NHÃN HIỆU MEADOW FRESH 200ML</v>
          </cell>
          <cell r="D2194" t="str">
            <v>MF UHT CHOCOCHOC FLAVOUR MILK 200ML</v>
          </cell>
          <cell r="E2194">
            <v>0.2</v>
          </cell>
          <cell r="F2194" t="str">
            <v>Bỏ chọn</v>
          </cell>
          <cell r="G2194"/>
          <cell r="H2194"/>
        </row>
        <row r="2195">
          <cell r="A2195" t="str">
            <v>7.5239934990501</v>
          </cell>
          <cell r="B2195" t="str">
            <v>ACE-25</v>
          </cell>
          <cell r="C2195" t="str">
            <v>BỘT MÌ ACE (25KG)</v>
          </cell>
          <cell r="D2195" t="str">
            <v>ACE-25</v>
          </cell>
          <cell r="E2195">
            <v>1</v>
          </cell>
          <cell r="F2195" t="str">
            <v>Bỏ chọn</v>
          </cell>
          <cell r="G2195"/>
          <cell r="H2195"/>
        </row>
        <row r="2196">
          <cell r="A2196" t="str">
            <v>7.B24032399860199</v>
          </cell>
          <cell r="B2196" t="str">
            <v>OYSTER SAUCE 270G X 24 BOT</v>
          </cell>
          <cell r="C2196" t="str">
            <v>DẦU HÀO 270G X 24 CHAI</v>
          </cell>
          <cell r="D2196" t="str">
            <v>OYSTER SAUCE 270G X 24 BOT</v>
          </cell>
          <cell r="E2196">
            <v>6.48</v>
          </cell>
          <cell r="F2196" t="str">
            <v>Bỏ chọn</v>
          </cell>
          <cell r="G2196" t="str">
            <v>2000000008</v>
          </cell>
          <cell r="H2196" t="str">
            <v>7.B2403239986019901</v>
          </cell>
        </row>
        <row r="2197">
          <cell r="A2197" t="str">
            <v>7.B2403239986019901</v>
          </cell>
          <cell r="B2197" t="str">
            <v>OYSTER SAUCE 270G</v>
          </cell>
          <cell r="C2197" t="str">
            <v>DẦU HÀO 270G</v>
          </cell>
          <cell r="D2197" t="str">
            <v>OYSTER SAUCE 270G</v>
          </cell>
          <cell r="E2197">
            <v>0.27</v>
          </cell>
          <cell r="F2197" t="str">
            <v>Bỏ chọn</v>
          </cell>
          <cell r="G2197" t="str">
            <v>2000000008</v>
          </cell>
          <cell r="H2197"/>
        </row>
        <row r="2198">
          <cell r="A2198" t="str">
            <v>V51.00A.016</v>
          </cell>
          <cell r="B2198" t="str">
            <v>PLASTIC STRING 2,2 X 55 CM</v>
          </cell>
          <cell r="C2198" t="str">
            <v>DÂY NHỰA 2,2 X 55 CM</v>
          </cell>
          <cell r="D2198" t="str">
            <v>PLASTIC STRING 2,2 X 55 CM</v>
          </cell>
          <cell r="E2198">
            <v>1.4E-2</v>
          </cell>
          <cell r="F2198" t="str">
            <v>Bỏ chọn</v>
          </cell>
          <cell r="G2198"/>
          <cell r="H2198"/>
        </row>
        <row r="2199">
          <cell r="A2199" t="str">
            <v>V51.000.066</v>
          </cell>
          <cell r="B2199" t="str">
            <v>WILMAR TROPHY 310X150X130MM</v>
          </cell>
          <cell r="C2199" t="str">
            <v>CÚP WILMAR 310X150X130MM</v>
          </cell>
          <cell r="D2199" t="str">
            <v>WILMAR TROPHY 310X150X130MM</v>
          </cell>
          <cell r="E2199">
            <v>0</v>
          </cell>
          <cell r="F2199" t="str">
            <v>Bỏ chọn</v>
          </cell>
          <cell r="G2199"/>
          <cell r="H2199"/>
        </row>
        <row r="2200">
          <cell r="A2200" t="str">
            <v>V51.000.067</v>
          </cell>
          <cell r="B2200" t="str">
            <v>WILMAR TROPHY 275X135X115MM</v>
          </cell>
          <cell r="C2200" t="str">
            <v>CÚP WILMAR 275X135X115MM</v>
          </cell>
          <cell r="D2200" t="str">
            <v>WILMAR TROPHY 275X135X115MM</v>
          </cell>
          <cell r="E2200">
            <v>0</v>
          </cell>
          <cell r="F2200" t="str">
            <v>Bỏ chọn</v>
          </cell>
          <cell r="G2200"/>
          <cell r="H2200"/>
        </row>
        <row r="2201">
          <cell r="A2201" t="str">
            <v>V51.000.068</v>
          </cell>
          <cell r="B2201" t="str">
            <v>WILMAR TROPHY 235X115X95MM</v>
          </cell>
          <cell r="C2201" t="str">
            <v>CÚP WILMAR 235X115X95MM</v>
          </cell>
          <cell r="D2201" t="str">
            <v>WILMAR TROPHY 235X115X95MM</v>
          </cell>
          <cell r="E2201">
            <v>0</v>
          </cell>
          <cell r="F2201" t="str">
            <v>Bỏ chọn</v>
          </cell>
          <cell r="G2201"/>
          <cell r="H2201"/>
        </row>
        <row r="2202">
          <cell r="A2202" t="str">
            <v>V51.000.069</v>
          </cell>
          <cell r="B2202" t="str">
            <v>WILMAR SJC 999 GOLD LOGO FOR 25 YEAR</v>
          </cell>
          <cell r="C2202" t="str">
            <v>VÀNG SJC LOGO WILMAR 25 NĂM</v>
          </cell>
          <cell r="D2202" t="str">
            <v>WILMAR SJC 999 GOLD LOGO FOR 25 YEAR</v>
          </cell>
          <cell r="E2202">
            <v>0</v>
          </cell>
          <cell r="F2202" t="str">
            <v>Bỏ chọn</v>
          </cell>
          <cell r="G2202"/>
          <cell r="H2202"/>
        </row>
        <row r="2203">
          <cell r="A2203" t="str">
            <v>V78.000.015</v>
          </cell>
          <cell r="B2203" t="str">
            <v>BLUE T-SHIRT WILMAR CLV</v>
          </cell>
          <cell r="C2203" t="str">
            <v>ÁO PHÔNG XANH WILMAR CLV</v>
          </cell>
          <cell r="D2203" t="str">
            <v>BLUE T-SHIRT WILMAR CLV</v>
          </cell>
          <cell r="E2203">
            <v>0</v>
          </cell>
          <cell r="F2203" t="str">
            <v>Bỏ chọn</v>
          </cell>
          <cell r="G2203"/>
          <cell r="H2203"/>
        </row>
        <row r="2204">
          <cell r="A2204" t="str">
            <v>V15.000.010</v>
          </cell>
          <cell r="B2204" t="str">
            <v>APPLE MACBOOK AIR 2019 - MVFM2SA/A</v>
          </cell>
          <cell r="C2204" t="str">
            <v>APPLE MACBOOK AIR 2019 - MVFM2SA/A</v>
          </cell>
          <cell r="D2204" t="str">
            <v>APPLE MACBOOK AIR 2019 - MVFM2SA/A</v>
          </cell>
          <cell r="E2204">
            <v>0</v>
          </cell>
          <cell r="F2204" t="str">
            <v>Bỏ chọn</v>
          </cell>
          <cell r="G2204"/>
          <cell r="H2204"/>
        </row>
        <row r="2205">
          <cell r="A2205" t="str">
            <v>V15.000.011</v>
          </cell>
          <cell r="B2205" t="str">
            <v>SAMSUNG GALAXY NOTE 10 256GB - SM-N970</v>
          </cell>
          <cell r="C2205" t="str">
            <v>ĐIỆN THOẠI SAMSUNG GALAXY NOTE 10 256GB - SM-N970</v>
          </cell>
          <cell r="D2205" t="str">
            <v>SAMSUNG GALAXY NOTE 10 256GB - SM-N970</v>
          </cell>
          <cell r="E2205">
            <v>0</v>
          </cell>
          <cell r="F2205" t="str">
            <v>Bỏ chọn</v>
          </cell>
          <cell r="G2205"/>
          <cell r="H2205"/>
        </row>
        <row r="2206">
          <cell r="A2206" t="str">
            <v>V15.000.012</v>
          </cell>
          <cell r="B2206" t="str">
            <v>IPAD AIR WIFI 64GB NEW 2019</v>
          </cell>
          <cell r="C2206" t="str">
            <v>IPAD AIR WIFI 64GB NEW 2019</v>
          </cell>
          <cell r="D2206" t="str">
            <v>IPAD AIR WIFI 64GB NEW 2019</v>
          </cell>
          <cell r="E2206">
            <v>0</v>
          </cell>
          <cell r="F2206" t="str">
            <v>Bỏ chọn</v>
          </cell>
          <cell r="G2206"/>
          <cell r="H2206"/>
        </row>
        <row r="2207">
          <cell r="A2207" t="str">
            <v>V15.000.013</v>
          </cell>
          <cell r="B2207" t="str">
            <v>SAMSUNG GALAXY WATCH ACTIVE - SM-R500</v>
          </cell>
          <cell r="C2207" t="str">
            <v>ĐỒNG HỒ THÔNG MINH SAMSUNG GALAXY WATCH ACTIVE - SM-R500</v>
          </cell>
          <cell r="D2207" t="str">
            <v>SAMSUNG GALAXY WATCH ACTIVE - SM-R500</v>
          </cell>
          <cell r="E2207">
            <v>0</v>
          </cell>
          <cell r="F2207" t="str">
            <v>Bỏ chọn</v>
          </cell>
          <cell r="G2207"/>
          <cell r="H2207"/>
        </row>
        <row r="2208">
          <cell r="A2208" t="str">
            <v>V34.000.003</v>
          </cell>
          <cell r="B2208" t="str">
            <v>BLUE CAP WILMAR CLV</v>
          </cell>
          <cell r="C2208" t="str">
            <v>NÓN LƯỠI TRAI XANH WILMAR CLV</v>
          </cell>
          <cell r="D2208" t="str">
            <v>BLUE CAP WILMAR CLV</v>
          </cell>
          <cell r="E2208">
            <v>0</v>
          </cell>
          <cell r="F2208" t="str">
            <v>Bỏ chọn</v>
          </cell>
          <cell r="G2208"/>
          <cell r="H2208"/>
        </row>
        <row r="2209">
          <cell r="A2209" t="str">
            <v>7.70538</v>
          </cell>
          <cell r="B2209" t="str">
            <v xml:space="preserve">HYDROGERATED COCONUT OIL </v>
          </cell>
          <cell r="C2209" t="str">
            <v>DẦU DỪA TINH LUYỆN ĐÃ HYDRO HÓA</v>
          </cell>
          <cell r="D2209" t="str">
            <v xml:space="preserve">HYDROGERATED COCONUT OIL </v>
          </cell>
          <cell r="E2209">
            <v>1</v>
          </cell>
          <cell r="F2209" t="str">
            <v>Bỏ chọn</v>
          </cell>
          <cell r="G2209"/>
          <cell r="H2209"/>
        </row>
        <row r="2210">
          <cell r="A2210" t="str">
            <v>V51.102.022</v>
          </cell>
          <cell r="B2210" t="str">
            <v>DISHWASHING LIQUID POWER100 LEMON 1,5KG</v>
          </cell>
          <cell r="C2210" t="str">
            <v>NƯỚC RỬA CHÉN POWER100 HƯƠNG CHANH, LOẠI 1,5 KG</v>
          </cell>
          <cell r="D2210" t="str">
            <v>DISHWASHING LIQUID POWER100 LEMON 1,5KG</v>
          </cell>
          <cell r="E2210">
            <v>0</v>
          </cell>
          <cell r="F2210" t="str">
            <v>Bỏ chọn</v>
          </cell>
          <cell r="G2210"/>
          <cell r="H2210"/>
        </row>
        <row r="2211">
          <cell r="A2211" t="str">
            <v>V51.102.021</v>
          </cell>
          <cell r="B2211" t="str">
            <v>DISHWASHING LIQUID POWER100 LEMON 400G</v>
          </cell>
          <cell r="C2211" t="str">
            <v>NƯỚC RỬA CHÉN POWER100 HƯƠNG CHANH LOẠI 400G</v>
          </cell>
          <cell r="D2211" t="str">
            <v>DISHWASHING LIQUID POWER100 LEMON 400G</v>
          </cell>
          <cell r="E2211">
            <v>0</v>
          </cell>
          <cell r="F2211" t="str">
            <v>Bỏ chọn</v>
          </cell>
          <cell r="G2211"/>
          <cell r="H2211"/>
        </row>
        <row r="2212">
          <cell r="A2212" t="str">
            <v>V78.000.016</v>
          </cell>
          <cell r="B2212" t="str">
            <v>MEN'S TROUSERS</v>
          </cell>
          <cell r="C2212" t="str">
            <v>QUẦN TÂY NAM</v>
          </cell>
          <cell r="D2212" t="str">
            <v>MEN'S TROUSERS</v>
          </cell>
          <cell r="E2212">
            <v>0</v>
          </cell>
          <cell r="F2212" t="str">
            <v>Bỏ chọn</v>
          </cell>
          <cell r="G2212"/>
          <cell r="H2212"/>
        </row>
        <row r="2213">
          <cell r="A2213" t="str">
            <v>V78.000.017</v>
          </cell>
          <cell r="B2213" t="str">
            <v>WOMEN'S TROUSERS</v>
          </cell>
          <cell r="C2213" t="str">
            <v>QUẦN TÂY NỮ</v>
          </cell>
          <cell r="D2213" t="str">
            <v>WOMEN'S TROUSERS</v>
          </cell>
          <cell r="E2213">
            <v>0</v>
          </cell>
          <cell r="F2213" t="str">
            <v>Bỏ chọn</v>
          </cell>
          <cell r="G2213"/>
          <cell r="H2213"/>
        </row>
        <row r="2214">
          <cell r="A2214" t="str">
            <v>7.5239979990501</v>
          </cell>
          <cell r="B2214" t="str">
            <v>RED SATELLITE-25</v>
          </cell>
          <cell r="C2214" t="str">
            <v>BỘT MÌ THƯỢNG HẠNG VỆ TINH ĐỎ (25KG)</v>
          </cell>
          <cell r="D2214" t="str">
            <v>RED SATELLITE-25</v>
          </cell>
          <cell r="E2214">
            <v>1</v>
          </cell>
          <cell r="F2214" t="str">
            <v>Bỏ chọn</v>
          </cell>
          <cell r="G2214"/>
          <cell r="H2214"/>
        </row>
        <row r="2215">
          <cell r="A2215" t="str">
            <v>7.5239979990535</v>
          </cell>
          <cell r="B2215" t="str">
            <v>RED SATELLITE-25-HUU NGHI</v>
          </cell>
          <cell r="C2215" t="str">
            <v>BỘT MÌ THƯỢNG HẠNG VỆ TINH ĐỎ (25KG)</v>
          </cell>
          <cell r="D2215" t="str">
            <v>RED SATELLITE-25-HUU NGHI</v>
          </cell>
          <cell r="E2215">
            <v>1</v>
          </cell>
          <cell r="F2215" t="str">
            <v>Bỏ chọn</v>
          </cell>
          <cell r="G2215"/>
          <cell r="H2215"/>
        </row>
        <row r="2216">
          <cell r="A2216" t="str">
            <v>7.5239979990518</v>
          </cell>
          <cell r="B2216" t="str">
            <v>RED SATELLITE-25-KINH DO</v>
          </cell>
          <cell r="C2216" t="str">
            <v>BỘT MÌ THƯỢNG HẠNG VỆ TINH ĐỎ (25KG)</v>
          </cell>
          <cell r="D2216" t="str">
            <v>RED SATELLITE-25-KINH DO</v>
          </cell>
          <cell r="E2216">
            <v>1</v>
          </cell>
          <cell r="F2216" t="str">
            <v>Bỏ chọn</v>
          </cell>
          <cell r="G2216"/>
          <cell r="H2216"/>
        </row>
        <row r="2217">
          <cell r="A2217" t="str">
            <v>7.C35015599541227</v>
          </cell>
          <cell r="B2217" t="str">
            <v>DISHWASHING LIQUID POWER100 LEMON, 1,5 KG X 8 JRG IN CARTON, EXPORT TO LAOS</v>
          </cell>
          <cell r="C2217" t="str">
            <v>NƯỚC RỬA CHÉN POWER100 HƯƠNG CHANH, LOẠI 1,5 KG X 8 CAN TRONG THÙNG CARTON, XK LÀO</v>
          </cell>
          <cell r="D2217" t="str">
            <v>DISHWASHING LIQUID POWER100 LEMON, 1,5 KG X 8 JRG IN CARTON, EXPORT TO LAOS</v>
          </cell>
          <cell r="E2217">
            <v>12</v>
          </cell>
          <cell r="F2217" t="str">
            <v>Bỏ chọn</v>
          </cell>
          <cell r="G2217"/>
          <cell r="H2217"/>
        </row>
        <row r="2218">
          <cell r="A2218" t="str">
            <v>7.C3501559954122701</v>
          </cell>
          <cell r="B2218" t="str">
            <v>DISHWASHING LIQUID POWER100 LEMON, 1,5 KG, EXPORT TO CAMBODIA</v>
          </cell>
          <cell r="C2218" t="str">
            <v>NƯỚC RỬA CHÉN POWER100 HƯƠNG CHANH, LOẠI 1,5 KG, XK LÀO</v>
          </cell>
          <cell r="D2218" t="str">
            <v>DISHWASHING LIQUID POWER100 LEMON, 1,5 KG, EXPORT TO LAOS</v>
          </cell>
          <cell r="E2218">
            <v>1.5</v>
          </cell>
          <cell r="F2218" t="str">
            <v>Bỏ chọn</v>
          </cell>
          <cell r="G2218"/>
          <cell r="H2218"/>
        </row>
        <row r="2219">
          <cell r="A2219" t="str">
            <v>7.C35015599490139</v>
          </cell>
          <cell r="B2219" t="str">
            <v>FLOOR CLEANER POWER100 NATURAL FLOWER, 3,8 KG X 4 JRG IN CARTON</v>
          </cell>
          <cell r="C2219" t="str">
            <v>NƯỚC LAU SÀN POWER100 HƯƠNG HOA THIÊN NHIÊN, LOẠI 3,8KG X 4 CAN TRONG THÙNG CARTON</v>
          </cell>
          <cell r="D2219" t="str">
            <v>FLOOR CLEANER POWER100 NATURAL FLOWER, 3,8 KG X 4 JRG IN CARTON</v>
          </cell>
          <cell r="E2219">
            <v>15.2</v>
          </cell>
          <cell r="F2219" t="str">
            <v>Bỏ chọn</v>
          </cell>
          <cell r="G2219"/>
          <cell r="H2219"/>
        </row>
        <row r="2220">
          <cell r="A2220" t="str">
            <v>7.C3501559949013901</v>
          </cell>
          <cell r="B2220" t="str">
            <v>FLOOR CLEANER POWER100 NATURAL FLOWER, 3,8 KG</v>
          </cell>
          <cell r="C2220" t="str">
            <v>NƯỚC LAU SÀN POWER100 HƯƠNG HOA THIÊN NHIÊN, LOẠI 3,8KG</v>
          </cell>
          <cell r="D2220" t="str">
            <v>FLOOR CLEANER POWER100 NATURAL FLOWER, 3,8 KG</v>
          </cell>
          <cell r="E2220">
            <v>3.8</v>
          </cell>
          <cell r="F2220" t="str">
            <v>Bỏ chọn</v>
          </cell>
          <cell r="G2220"/>
          <cell r="H2220"/>
        </row>
        <row r="2221">
          <cell r="A2221" t="str">
            <v>7.C35015599490140</v>
          </cell>
          <cell r="B2221" t="str">
            <v>FLOOR CLEANER POWER100 LEMONGRASS, 3,8 KG X 4 JRG IN CARTON</v>
          </cell>
          <cell r="C2221" t="str">
            <v>NƯỚC LAU SÀN POWER100 HƯƠNG CHANH SẢ, LOẠI 3,8KG X 4 CAN TRONG THÙNG CARTON</v>
          </cell>
          <cell r="D2221" t="str">
            <v>FLOOR CLEANER POWER100 LEMONGRASS, 3,8 KG X 4 JRG IN CARTON</v>
          </cell>
          <cell r="E2221">
            <v>15.2</v>
          </cell>
          <cell r="F2221" t="str">
            <v>Bỏ chọn</v>
          </cell>
          <cell r="G2221"/>
          <cell r="H2221"/>
        </row>
        <row r="2222">
          <cell r="A2222" t="str">
            <v>7.C3501559949014001</v>
          </cell>
          <cell r="B2222" t="str">
            <v>FLOOR CLEANER POWER100 LEMONGRASS, 3,8 KG</v>
          </cell>
          <cell r="C2222" t="str">
            <v>NƯỚC LAU SÀN POWER100 HƯƠNG CHANH SẢ, LOẠI 3,8KG</v>
          </cell>
          <cell r="D2222" t="str">
            <v>FLOOR CLEANER POWER100 LEMONGRASS, 3,8 KG</v>
          </cell>
          <cell r="E2222">
            <v>3.8</v>
          </cell>
          <cell r="F2222" t="str">
            <v>Bỏ chọn</v>
          </cell>
          <cell r="G2222"/>
          <cell r="H2222"/>
        </row>
        <row r="2223">
          <cell r="A2223" t="str">
            <v>7.131078031705E10TD</v>
          </cell>
          <cell r="B2223" t="str">
            <v>CO-MEIZAN GOLD 1L X 12 BTL</v>
          </cell>
          <cell r="C2223" t="str">
            <v>DẦU ĂN CAO CẤP NHÃN HIỆU MEIZAN GOLD 1L</v>
          </cell>
          <cell r="D2223" t="str">
            <v>CO-MEIZAN GOLD 1L X 12 BTL</v>
          </cell>
          <cell r="E2223">
            <v>10.92</v>
          </cell>
          <cell r="F2223" t="str">
            <v>Chọn</v>
          </cell>
          <cell r="G2223"/>
          <cell r="H2223"/>
        </row>
        <row r="2224">
          <cell r="A2224" t="str">
            <v>V51.000.070</v>
          </cell>
          <cell r="B2224" t="str">
            <v>GIFT</v>
          </cell>
          <cell r="C2224" t="str">
            <v>GIỎ QUÀ TẶNG</v>
          </cell>
          <cell r="D2224" t="str">
            <v>GIFT</v>
          </cell>
          <cell r="E2224">
            <v>0</v>
          </cell>
          <cell r="F2224" t="str">
            <v>Bỏ chọn</v>
          </cell>
          <cell r="G2224"/>
          <cell r="H2224"/>
        </row>
        <row r="2225">
          <cell r="A2225" t="str">
            <v>V78.000.030</v>
          </cell>
          <cell r="B2225" t="str">
            <v>SPORTS CLOTHING</v>
          </cell>
          <cell r="C2225" t="str">
            <v>QUẦN ÁO THỂ THAO</v>
          </cell>
          <cell r="D2225" t="str">
            <v>SPORTS CLOTHING</v>
          </cell>
          <cell r="E2225">
            <v>0</v>
          </cell>
          <cell r="F2225" t="str">
            <v>Bỏ chọn</v>
          </cell>
          <cell r="G2225"/>
          <cell r="H2225"/>
        </row>
        <row r="2226">
          <cell r="A2226" t="str">
            <v>V78.000.031</v>
          </cell>
          <cell r="B2226" t="str">
            <v>T-SHIRT</v>
          </cell>
          <cell r="C2226" t="str">
            <v>ÁO THUN</v>
          </cell>
          <cell r="D2226" t="str">
            <v>T-SHIRT</v>
          </cell>
          <cell r="E2226">
            <v>0</v>
          </cell>
          <cell r="F2226" t="str">
            <v>Bỏ chọn</v>
          </cell>
          <cell r="G2226"/>
          <cell r="H2226"/>
        </row>
        <row r="2227">
          <cell r="A2227" t="str">
            <v>V78.000.032</v>
          </cell>
          <cell r="B2227" t="str">
            <v>FEMALE TROUSSER</v>
          </cell>
          <cell r="C2227" t="str">
            <v>QUẦN NỮ</v>
          </cell>
          <cell r="D2227" t="str">
            <v>FEMALE TROUSSER</v>
          </cell>
          <cell r="E2227">
            <v>0</v>
          </cell>
          <cell r="F2227" t="str">
            <v>Bỏ chọn</v>
          </cell>
          <cell r="G2227"/>
          <cell r="H2227"/>
        </row>
        <row r="2228">
          <cell r="A2228" t="str">
            <v>V78.000.033</v>
          </cell>
          <cell r="B2228" t="str">
            <v>SHOES</v>
          </cell>
          <cell r="C2228" t="str">
            <v>GIẦY</v>
          </cell>
          <cell r="D2228" t="str">
            <v>SHOES</v>
          </cell>
          <cell r="E2228">
            <v>0</v>
          </cell>
          <cell r="F2228" t="str">
            <v>Bỏ chọn</v>
          </cell>
          <cell r="G2228"/>
          <cell r="H2228"/>
        </row>
        <row r="2229">
          <cell r="A2229" t="str">
            <v>V78.000.034</v>
          </cell>
          <cell r="B2229" t="str">
            <v>FOOTBALL SHOES</v>
          </cell>
          <cell r="C2229" t="str">
            <v>GIẦY BÓNG ĐÁ</v>
          </cell>
          <cell r="D2229" t="str">
            <v>FOOTBALL SHOES</v>
          </cell>
          <cell r="E2229">
            <v>0</v>
          </cell>
          <cell r="F2229" t="str">
            <v>Bỏ chọn</v>
          </cell>
          <cell r="G2229"/>
          <cell r="H2229"/>
        </row>
        <row r="2230">
          <cell r="A2230" t="str">
            <v>V51.000.071</v>
          </cell>
          <cell r="B2230" t="str">
            <v>SPORTS GLOVES</v>
          </cell>
          <cell r="C2230" t="str">
            <v>GĂNG TAY THỂ THAO</v>
          </cell>
          <cell r="D2230" t="str">
            <v>SPORTS GLOVES</v>
          </cell>
          <cell r="E2230">
            <v>0</v>
          </cell>
          <cell r="F2230" t="str">
            <v>Bỏ chọn</v>
          </cell>
          <cell r="G2230"/>
          <cell r="H2230"/>
        </row>
        <row r="2231">
          <cell r="A2231" t="str">
            <v>7.52399109930A0</v>
          </cell>
          <cell r="B2231" t="str">
            <v>SAMPLE 3KG</v>
          </cell>
          <cell r="C2231" t="str">
            <v>HÀNG MẪU 3KG</v>
          </cell>
          <cell r="D2231" t="str">
            <v>SAMPLE 3KG</v>
          </cell>
          <cell r="E2231">
            <v>3</v>
          </cell>
          <cell r="F2231" t="str">
            <v>Bỏ chọn</v>
          </cell>
          <cell r="G2231"/>
          <cell r="H2231"/>
        </row>
        <row r="2232">
          <cell r="A2232" t="str">
            <v>7.B24012399870110</v>
          </cell>
          <cell r="B2232" t="str">
            <v>GARLIC CHILI SOY SAUCE 310G X 24 BOT/CAR</v>
          </cell>
          <cell r="C2232" t="str">
            <v>NƯỚC TƯƠNG TỎI ỚT TƯƠI 310G X 24CHAI/THÙNG</v>
          </cell>
          <cell r="D2232" t="str">
            <v>GARLIC CHILI SOY SAUCE 310G X 24 BOT/CAR</v>
          </cell>
          <cell r="E2232">
            <v>7.44</v>
          </cell>
          <cell r="F2232" t="str">
            <v>Bỏ chọn</v>
          </cell>
          <cell r="G2232" t="str">
            <v>2000000008</v>
          </cell>
          <cell r="H2232" t="str">
            <v>7.B2401239987011001</v>
          </cell>
        </row>
        <row r="2233">
          <cell r="A2233" t="str">
            <v>7.B2401239987011001</v>
          </cell>
          <cell r="B2233" t="str">
            <v>GARLIC CHILI SOY SAUCE 310G</v>
          </cell>
          <cell r="C2233" t="str">
            <v>NƯỚC TƯƠNG TỎI ỚT TƯƠI 310G</v>
          </cell>
          <cell r="D2233" t="str">
            <v>GARLIC CHILI SOY SAUCE 310G</v>
          </cell>
          <cell r="E2233">
            <v>0.31</v>
          </cell>
          <cell r="F2233" t="str">
            <v>Bỏ chọn</v>
          </cell>
          <cell r="G2233" t="str">
            <v>2000000008</v>
          </cell>
          <cell r="H2233"/>
        </row>
        <row r="2234">
          <cell r="A2234" t="str">
            <v>7.523991748050141</v>
          </cell>
          <cell r="B2234" t="str">
            <v>RED SATELLITE - LOW ASH (25KG)</v>
          </cell>
          <cell r="C2234" t="str">
            <v>BỘT MÌ HIỆU VỆ TINH ĐỎ - ĐỘ TRO THẤP (25KG)</v>
          </cell>
          <cell r="D2234" t="str">
            <v>RED SATELLITE - LOW ASH (25KG)</v>
          </cell>
          <cell r="E2234">
            <v>1</v>
          </cell>
          <cell r="F2234" t="str">
            <v>Bỏ chọn</v>
          </cell>
          <cell r="G2234"/>
          <cell r="H2234"/>
        </row>
        <row r="2235">
          <cell r="A2235" t="str">
            <v>7.523991748060141</v>
          </cell>
          <cell r="B2235" t="str">
            <v>RED SATELLITE - LOW ASH (40KG)</v>
          </cell>
          <cell r="C2235" t="str">
            <v>BỘT MÌ HIỆU VỆ TINH ĐỎ - ĐỘ TRO THẤP (40KG)</v>
          </cell>
          <cell r="D2235" t="str">
            <v>RED SATELLITE - LOW ASH (40KG)</v>
          </cell>
          <cell r="E2235">
            <v>1</v>
          </cell>
          <cell r="F2235" t="str">
            <v>Bỏ chọn</v>
          </cell>
          <cell r="G2235"/>
          <cell r="H2235"/>
        </row>
        <row r="2236">
          <cell r="A2236" t="str">
            <v>7.70539</v>
          </cell>
          <cell r="B2236" t="str">
            <v>CAPRYLIC CAPRIC ACID C810, DRUM 180KGS</v>
          </cell>
          <cell r="C2236" t="str">
            <v>HỖN HỢP AXIT BÉO CAPRYLIC CAPRIC ACID C810, PHUY 180KG</v>
          </cell>
          <cell r="D2236" t="str">
            <v>CAPRYLIC CAPRIC ACID C810, DRUM 180KGS</v>
          </cell>
          <cell r="E2236">
            <v>1</v>
          </cell>
          <cell r="F2236" t="str">
            <v>Bỏ chọn</v>
          </cell>
          <cell r="G2236"/>
          <cell r="H2236"/>
        </row>
        <row r="2237">
          <cell r="A2237" t="str">
            <v>7.B24022399880199</v>
          </cell>
          <cell r="B2237" t="str">
            <v>CHILI SAUCE 470G X 24 BOT/CAR</v>
          </cell>
          <cell r="C2237" t="str">
            <v>TƯƠNG ỚT 470G X 24 CHAI/THÙNG</v>
          </cell>
          <cell r="D2237" t="str">
            <v>CHILI SAUCE 470G X 24 BOT/CAR</v>
          </cell>
          <cell r="E2237">
            <v>11.28</v>
          </cell>
          <cell r="F2237" t="str">
            <v>Bỏ chọn</v>
          </cell>
          <cell r="G2237"/>
          <cell r="H2237"/>
        </row>
        <row r="2238">
          <cell r="A2238" t="str">
            <v>V51.000.072</v>
          </cell>
          <cell r="B2238" t="str">
            <v>GIFT CARD 10.000.000 VNĐ</v>
          </cell>
          <cell r="C2238" t="str">
            <v>THẺ QUÀ TẶNG 10.000.000 VNĐ</v>
          </cell>
          <cell r="D2238" t="str">
            <v>GIFT CARD 10.000.000 VNĐ</v>
          </cell>
          <cell r="E2238">
            <v>0</v>
          </cell>
          <cell r="F2238" t="str">
            <v>Bỏ chọn</v>
          </cell>
          <cell r="G2238"/>
          <cell r="H2238"/>
        </row>
        <row r="2239">
          <cell r="A2239" t="str">
            <v>V51.000.073</v>
          </cell>
          <cell r="B2239" t="str">
            <v>GIFT CARD 5.000.000 VNĐ</v>
          </cell>
          <cell r="C2239" t="str">
            <v>THẺ QUÀ TẶNG 5.000.000 VNĐ</v>
          </cell>
          <cell r="D2239" t="str">
            <v>GIFT CARD 5.000.000 VNĐ</v>
          </cell>
          <cell r="E2239">
            <v>0</v>
          </cell>
          <cell r="F2239" t="str">
            <v>Bỏ chọn</v>
          </cell>
          <cell r="G2239"/>
          <cell r="H2239"/>
        </row>
        <row r="2240">
          <cell r="A2240" t="str">
            <v>6.457224C</v>
          </cell>
          <cell r="B2240" t="str">
            <v>DOUBLE DEWAXING RBD CANOLA OIL IV105-126</v>
          </cell>
          <cell r="C2240" t="str">
            <v>DẦU HẠT CẢI TINH LUYỆN TRONG XE BỒN</v>
          </cell>
          <cell r="D2240" t="str">
            <v>DOUBLE DEWAXING RBD CANOLA OIL IV105-126</v>
          </cell>
          <cell r="E2240">
            <v>1</v>
          </cell>
          <cell r="F2240" t="str">
            <v>Chọn</v>
          </cell>
          <cell r="G2240"/>
          <cell r="H2240"/>
        </row>
        <row r="2241">
          <cell r="A2241" t="str">
            <v>7.B2508549944920504</v>
          </cell>
          <cell r="B2241" t="str">
            <v xml:space="preserve">PORK BOUILLON GRANULE 850G X 10 PACK ON PACK 10 BOT NAM DUONG CONDENSED SOY SAUCE 280ML </v>
          </cell>
          <cell r="C2241" t="str">
            <v>THỰC PHẨM BỔ SUNG HẠT NÊM 4 TRONG 1 - VỊ HEO 850G X 10 GÓI ĐÓNG KÈM 10 CHAI THỰC PHẨM BỔ SUNG NƯỚC TƯƠNG NAM DƯƠNG ĐẬM ĐẶC 280ML</v>
          </cell>
          <cell r="D2241" t="str">
            <v xml:space="preserve">PORK BOUILLON GRANULE 850G X 10 PACK ON PACK 10 BOT NAM DUONG CONDENSED SOY SAUCE 280ML </v>
          </cell>
          <cell r="E2241">
            <v>12.9</v>
          </cell>
          <cell r="F2241" t="str">
            <v>Bỏ chọn</v>
          </cell>
          <cell r="G2241"/>
          <cell r="H2241"/>
        </row>
        <row r="2242">
          <cell r="A2242" t="str">
            <v>7.B250854994492050401</v>
          </cell>
          <cell r="B2242" t="str">
            <v>PORK BOUILLON GRANULE 850G ON PACK 1 BOT NAM DUONG CONDENSED SOY SAUCE 280ML</v>
          </cell>
          <cell r="C2242" t="str">
            <v>THỰC PHẨM BỔ SUNG HẠT NÊM 4 TRONG 1 - VỊ HEO 850G ĐÓNG KÈM 01 CHAI THỰC PHẨM BỔ SUNG NƯỚC TƯƠNG NAM DƯƠNG ĐẬM ĐẶC 280ML</v>
          </cell>
          <cell r="D2242" t="str">
            <v>PORK BOUILLON GRANULE 850G ON PACK 1 BOT NAM DUONG CONDENSED SOY SAUCE 280ML</v>
          </cell>
          <cell r="E2242">
            <v>1.21</v>
          </cell>
          <cell r="F2242" t="str">
            <v>Bỏ chọn</v>
          </cell>
          <cell r="G2242"/>
          <cell r="H2242"/>
        </row>
        <row r="2243">
          <cell r="A2243" t="str">
            <v>7.B2401239968011001TD</v>
          </cell>
          <cell r="B2243" t="str">
            <v>GARLIC CHILI SOY SAUCE 205G</v>
          </cell>
          <cell r="C2243" t="str">
            <v>NƯỚC TƯƠNG TỎI ỚT TƯƠI 205G</v>
          </cell>
          <cell r="D2243" t="str">
            <v>GARLIC CHILI SOY SAUCE 205G</v>
          </cell>
          <cell r="E2243">
            <v>0.20499999999999999</v>
          </cell>
          <cell r="F2243" t="str">
            <v>Bỏ chọn</v>
          </cell>
          <cell r="G2243"/>
          <cell r="H2243"/>
        </row>
        <row r="2244">
          <cell r="A2244" t="str">
            <v>7.B2402239918013101TD</v>
          </cell>
          <cell r="B2244" t="str">
            <v>SUPER TASTY CHILI SAUCE 250G</v>
          </cell>
          <cell r="C2244" t="str">
            <v>TƯƠNG ỚT SIÊU NGON 250G</v>
          </cell>
          <cell r="D2244" t="str">
            <v>SUPER TASTY CHILI SAUCE 250G</v>
          </cell>
          <cell r="E2244">
            <v>0.25</v>
          </cell>
          <cell r="F2244" t="str">
            <v>Bỏ chọn</v>
          </cell>
          <cell r="G2244"/>
          <cell r="H2244"/>
        </row>
        <row r="2245">
          <cell r="A2245" t="str">
            <v>V51.00A.017</v>
          </cell>
          <cell r="B2245" t="str">
            <v>X BANNER STANDEE FOR HORECA EGG NOODLE 60X160 CM</v>
          </cell>
          <cell r="C2245" t="str">
            <v>STANDEE CHÂN ĐỨNG CHỮ X MÌ TRỨNG CHO HORECA 60X160 CM</v>
          </cell>
          <cell r="D2245" t="str">
            <v>X BANNER STANDEE FOR HORECA EGG NOODLE 60X160 CM</v>
          </cell>
          <cell r="E2245">
            <v>1.1519999999999999</v>
          </cell>
          <cell r="F2245" t="str">
            <v>Bỏ chọn</v>
          </cell>
          <cell r="G2245"/>
          <cell r="H2245"/>
        </row>
        <row r="2246">
          <cell r="A2246" t="str">
            <v>7.5239977990514</v>
          </cell>
          <cell r="B2246" t="str">
            <v>GREEN KEY 111-25-BISCAFUN</v>
          </cell>
          <cell r="C2246" t="str">
            <v>BỘT MÌ CHUYÊN DỤNG CHÌA KHÓA XANH LÁ -111 (25KG)</v>
          </cell>
          <cell r="D2246" t="str">
            <v>GREEN KEY 111-25-BISCAFUN</v>
          </cell>
          <cell r="E2246">
            <v>1</v>
          </cell>
          <cell r="F2246" t="str">
            <v>Bỏ chọn</v>
          </cell>
          <cell r="G2246"/>
          <cell r="H2246"/>
        </row>
        <row r="2247">
          <cell r="A2247" t="str">
            <v>7.5239977990544</v>
          </cell>
          <cell r="B2247" t="str">
            <v>GREEN KEY 111-25-HAI CHAU</v>
          </cell>
          <cell r="C2247" t="str">
            <v>BỘT MÌ CHUYÊN DỤNG CHÌA KHÓA XANH LÁ -111 (25KG)</v>
          </cell>
          <cell r="D2247" t="str">
            <v>GREEN KEY 111-25-HAI CHAU</v>
          </cell>
          <cell r="E2247">
            <v>1</v>
          </cell>
          <cell r="F2247" t="str">
            <v>Bỏ chọn</v>
          </cell>
          <cell r="G2247"/>
          <cell r="H2247"/>
        </row>
        <row r="2248">
          <cell r="A2248" t="str">
            <v>7.5239977990596</v>
          </cell>
          <cell r="B2248" t="str">
            <v>GREEN KEY 111-25-SANTA</v>
          </cell>
          <cell r="C2248" t="str">
            <v>BỘT MÌ CHUYÊN DỤNG CHÌA KHÓA XANH LÁ -111 (25KG)</v>
          </cell>
          <cell r="D2248" t="str">
            <v>GREEN KEY 111-25-SANTA</v>
          </cell>
          <cell r="E2248">
            <v>1</v>
          </cell>
          <cell r="F2248" t="str">
            <v>Bỏ chọn</v>
          </cell>
          <cell r="G2248"/>
          <cell r="H2248"/>
        </row>
        <row r="2249">
          <cell r="A2249" t="str">
            <v>7.5239977990542</v>
          </cell>
          <cell r="B2249" t="str">
            <v>GREEN KEY 111-25-TRANG AN</v>
          </cell>
          <cell r="C2249" t="str">
            <v>BỘT MÌ CHUYÊN DỤNG CHÌA KHÓA XANH LÁ -111 (25KG)</v>
          </cell>
          <cell r="D2249" t="str">
            <v>GREEN KEY 111-25-TRANG AN</v>
          </cell>
          <cell r="E2249">
            <v>1</v>
          </cell>
          <cell r="F2249" t="str">
            <v>Bỏ chọn</v>
          </cell>
          <cell r="G2249"/>
          <cell r="H2249"/>
        </row>
        <row r="2250">
          <cell r="A2250" t="str">
            <v>V51.600.051</v>
          </cell>
          <cell r="B2250" t="str">
            <v>ONPACK PROMOTION DANGLER SIMPLY, NEPTUNE</v>
          </cell>
          <cell r="C2250" t="str">
            <v>TẤM QUẢNG CÁO TREO TRẦN SIMPLY, NEPTUNE</v>
          </cell>
          <cell r="D2250" t="str">
            <v>ONPACK PROMOTION DANGLER SIMPLY, NEPTUNE</v>
          </cell>
          <cell r="E2250">
            <v>0</v>
          </cell>
          <cell r="F2250" t="str">
            <v>Bỏ chọn</v>
          </cell>
          <cell r="G2250"/>
          <cell r="H2250"/>
        </row>
        <row r="2251">
          <cell r="A2251" t="str">
            <v>V56.000.003</v>
          </cell>
          <cell r="B2251" t="str">
            <v>DESKTOP LNV THINKCENTER M720S: INTEL CORE I3-8100, RAM 8GB, HDD 500GB, KEYBOARD, MOUSE, POWER SUPPLY, W10P6(10SUS0QH0N)</v>
          </cell>
          <cell r="C2251" t="str">
            <v>MÁY TÍNH ĐỂ BÀN LNV THINKCENTER M720S: INTEL CORE I3-8100, RAM 8GB, HDD 500GB, KEYBOARD, MOUSE, POWER SUPPLY, W10P6(10SUS0QH0N)</v>
          </cell>
          <cell r="D2251" t="str">
            <v>DESKTOP LNV THINKCENTER M720S: INTEL CORE I3-8100, RAM 8GB, HDD 500GB, KEYBOARD, MOUSE, POWER SUPPLY, W10P6(10SUS0QH0N)</v>
          </cell>
          <cell r="E2251">
            <v>0</v>
          </cell>
          <cell r="F2251" t="str">
            <v>Bỏ chọn</v>
          </cell>
          <cell r="G2251"/>
          <cell r="H2251"/>
        </row>
        <row r="2252">
          <cell r="A2252" t="str">
            <v>V56.000.004</v>
          </cell>
          <cell r="B2252" t="str">
            <v>MONITOR LCD LENOVO T2054P-19.5" (VGA+HDMI+DP)</v>
          </cell>
          <cell r="C2252" t="str">
            <v>MÀN HÌNH LCD LENOVO T2054P-19.5" MONITOR (VGA+HDMI+DP)</v>
          </cell>
          <cell r="D2252" t="str">
            <v>MONITOR LCD LENOVO T2054P-19.5" (VGA+HDMI+DP)</v>
          </cell>
          <cell r="E2252">
            <v>0</v>
          </cell>
          <cell r="F2252" t="str">
            <v>Bỏ chọn</v>
          </cell>
          <cell r="G2252"/>
          <cell r="H2252"/>
        </row>
        <row r="2253">
          <cell r="A2253" t="str">
            <v>V56.000.005</v>
          </cell>
          <cell r="B2253" t="str">
            <v>MOBILE MOUSE RAPOO-M200-SILENT</v>
          </cell>
          <cell r="C2253" t="str">
            <v>CHUỘT KHÔNG DÂY RAPOO-M200-SILENT</v>
          </cell>
          <cell r="D2253" t="str">
            <v>MOBILE MOUSE RAPOO-M200-SILENT</v>
          </cell>
          <cell r="E2253">
            <v>0</v>
          </cell>
          <cell r="F2253" t="str">
            <v>Bỏ chọn</v>
          </cell>
          <cell r="G2253"/>
          <cell r="H2253"/>
        </row>
        <row r="2254">
          <cell r="A2254" t="str">
            <v>V56.000.006</v>
          </cell>
          <cell r="B2254" t="str">
            <v>LAPTOP LNV THINKPAD L490 INTEL CORE I5-8265U (1.6GHZ, 6MB), 14.0", RAM 8GB, SSD 512GB, ADAPTER, W10P6 (20Q6S2MM00)</v>
          </cell>
          <cell r="C2254" t="str">
            <v>MÁY TÍNH XÁCH TAY LNV THINKPAD L490 INTEL CORE I5-8265U (1.6GHZ, 6MB), 14.0", RAM 8GB, SSD 512GB, ADAPTER, W10P6 (20Q6S2MM00)</v>
          </cell>
          <cell r="D2254" t="str">
            <v>LAPTOP LNV THINKPAD L490 INTEL CORE I5-8265U (1.6GHZ, 6MB), 14.0", RAM 8GB, SSD 512GB, ADAPTER, W10P6 (20Q6S2MM00)</v>
          </cell>
          <cell r="E2254">
            <v>0</v>
          </cell>
          <cell r="F2254" t="str">
            <v>Bỏ chọn</v>
          </cell>
          <cell r="G2254"/>
          <cell r="H2254"/>
        </row>
        <row r="2255">
          <cell r="A2255" t="str">
            <v>V56.000.007</v>
          </cell>
          <cell r="B2255" t="str">
            <v>LAPTOP LNV THINKPAD X390 INTEL CORE I5-8265U, 13.3", RAM 8GB, 512GB SSD, ADAPTER, W10P6 (20Q1S49W01)</v>
          </cell>
          <cell r="C2255" t="str">
            <v>MÁY TÍNH XÁCH TAY LNV THINKPAD X390 INTEL CORE I5-8265U, 13.3", RAM 8GB, 512GB SSD, ADAPTER, W10P6 (20Q1S49W01)</v>
          </cell>
          <cell r="D2255" t="str">
            <v>LAPTOP LNV THINKPAD X390 INTEL CORE I5-8265U, 13.3", RAM 8GB, 512GB SSD, ADAPTER, W10P6 (20Q1S49W01)</v>
          </cell>
          <cell r="E2255">
            <v>0</v>
          </cell>
          <cell r="F2255" t="str">
            <v>Bỏ chọn</v>
          </cell>
          <cell r="G2255"/>
          <cell r="H2255"/>
        </row>
        <row r="2256">
          <cell r="A2256" t="str">
            <v>7.B2402239967A199</v>
          </cell>
          <cell r="B2256" t="str">
            <v>MR THINH CHILI SAUCE 10G X 1200 PAC/CAR</v>
          </cell>
          <cell r="C2256" t="str">
            <v>TƯƠNG ỚT MR THỊNH 10G X 1200 GÓI</v>
          </cell>
          <cell r="D2256" t="str">
            <v>MR THINH CHILI SAUCE 10G X 1200 PAC/CAR</v>
          </cell>
          <cell r="E2256">
            <v>12</v>
          </cell>
          <cell r="F2256" t="str">
            <v>Bỏ chọn</v>
          </cell>
          <cell r="G2256"/>
          <cell r="H2256"/>
        </row>
        <row r="2257">
          <cell r="A2257" t="str">
            <v>7.B2402239967A19901</v>
          </cell>
          <cell r="B2257" t="str">
            <v>MR THINH CHILI SAUCE 10G</v>
          </cell>
          <cell r="C2257" t="str">
            <v>TƯƠNG ỚT MR THỊNH 10G</v>
          </cell>
          <cell r="D2257" t="str">
            <v>MR THINH CHILI SAUCE 10G</v>
          </cell>
          <cell r="E2257">
            <v>0.01</v>
          </cell>
          <cell r="F2257" t="str">
            <v>Bỏ chọn</v>
          </cell>
          <cell r="G2257"/>
          <cell r="H2257"/>
        </row>
        <row r="2258">
          <cell r="A2258" t="str">
            <v>7.B2407239967A116</v>
          </cell>
          <cell r="B2258" t="str">
            <v>MR THINH TOMATO SAUCE 10G X 1200 PAC/CAR</v>
          </cell>
          <cell r="C2258" t="str">
            <v>TƯƠNG CÀ MR THỊNH 10G X 1200 GÓI</v>
          </cell>
          <cell r="D2258" t="str">
            <v>MR THINH TOMATO SAUCE 10G X 1200 PAC/CAR</v>
          </cell>
          <cell r="E2258">
            <v>12</v>
          </cell>
          <cell r="F2258" t="str">
            <v>Bỏ chọn</v>
          </cell>
          <cell r="G2258"/>
          <cell r="H2258"/>
        </row>
        <row r="2259">
          <cell r="A2259" t="str">
            <v>7.B2407239967A11601</v>
          </cell>
          <cell r="B2259" t="str">
            <v xml:space="preserve">MR THINH TOMATO SAUCE 10G </v>
          </cell>
          <cell r="C2259" t="str">
            <v>TƯƠNG CÀ MR THỊNH 10G</v>
          </cell>
          <cell r="D2259" t="str">
            <v xml:space="preserve">MR THINH TOMATO SAUCE 10G </v>
          </cell>
          <cell r="E2259">
            <v>0.01</v>
          </cell>
          <cell r="F2259" t="str">
            <v>Bỏ chọn</v>
          </cell>
          <cell r="G2259"/>
          <cell r="H2259"/>
        </row>
        <row r="2260">
          <cell r="A2260" t="str">
            <v>7.523990899030101</v>
          </cell>
          <cell r="B2260" t="str">
            <v>MEIZAN-5KG</v>
          </cell>
          <cell r="C2260" t="str">
            <v>BỘT MÌ NHÃN HIỆU "MEIZAN" 5KG</v>
          </cell>
          <cell r="D2260" t="str">
            <v>MEIZAN-5KG</v>
          </cell>
          <cell r="E2260">
            <v>5</v>
          </cell>
          <cell r="F2260" t="str">
            <v>Bỏ chọn</v>
          </cell>
          <cell r="G2260"/>
          <cell r="H2260"/>
        </row>
        <row r="2261">
          <cell r="A2261" t="str">
            <v>V39.015.704</v>
          </cell>
          <cell r="B2261" t="str">
            <v>MEIZAN GOLD APRON</v>
          </cell>
          <cell r="C2261" t="str">
            <v>TẠP DỀ MEIZAN GOLD</v>
          </cell>
          <cell r="D2261" t="str">
            <v>MEIZAN GOLD APRON</v>
          </cell>
          <cell r="E2261">
            <v>0</v>
          </cell>
          <cell r="F2261" t="str">
            <v>Bỏ chọn</v>
          </cell>
          <cell r="G2261"/>
          <cell r="H2261"/>
        </row>
        <row r="2262">
          <cell r="A2262" t="str">
            <v>V51.00A.018</v>
          </cell>
          <cell r="B2262" t="str">
            <v>WINDOW FRAME 01</v>
          </cell>
          <cell r="C2262" t="str">
            <v>KHUNG TRƯNG BÀY SẢN PHẨM - CƠ CẤU 1</v>
          </cell>
          <cell r="D2262" t="str">
            <v>WINDOW FRAME 01</v>
          </cell>
          <cell r="E2262">
            <v>0</v>
          </cell>
          <cell r="F2262" t="str">
            <v>Bỏ chọn</v>
          </cell>
          <cell r="G2262"/>
          <cell r="H2262"/>
        </row>
        <row r="2263">
          <cell r="A2263" t="str">
            <v>V51.00A.019</v>
          </cell>
          <cell r="B2263" t="str">
            <v>WINDOW FRAME 02</v>
          </cell>
          <cell r="C2263" t="str">
            <v>KHUNG TRƯNG BÀY SẢN PHẨM - CƠ CẤU 2</v>
          </cell>
          <cell r="D2263" t="str">
            <v>WINDOW FRAME 02</v>
          </cell>
          <cell r="E2263">
            <v>0</v>
          </cell>
          <cell r="F2263" t="str">
            <v>Bỏ chọn</v>
          </cell>
          <cell r="G2263"/>
          <cell r="H2263"/>
        </row>
        <row r="2264">
          <cell r="A2264" t="str">
            <v>V51.00A.020</v>
          </cell>
          <cell r="B2264" t="str">
            <v>WINDOW FRAME 03-04</v>
          </cell>
          <cell r="C2264" t="str">
            <v>KHUNG TRƯNG BÀY SẢN PHẨM - CƠ CẤU 3 VÀ 4</v>
          </cell>
          <cell r="D2264" t="str">
            <v>WINDOW FRAME 03-04</v>
          </cell>
          <cell r="E2264">
            <v>0</v>
          </cell>
          <cell r="F2264" t="str">
            <v>Bỏ chọn</v>
          </cell>
          <cell r="G2264"/>
          <cell r="H2264"/>
        </row>
        <row r="2265">
          <cell r="A2265" t="str">
            <v>7.C35015599030127</v>
          </cell>
          <cell r="B2265" t="str">
            <v>DISHWASHING LIQUID POWER100 LEMON FOR HORECA, 5 KG X 4 JRG IN CARTON</v>
          </cell>
          <cell r="C2265" t="str">
            <v>NƯỚC RỬA CHÉN POWER100 HƯƠNG CHANH HORECA, LOẠI 5KG X 4 CAN TRONG THÙNG CARTON</v>
          </cell>
          <cell r="D2265" t="str">
            <v>DISHWASHING LIQUID POWER100 LEMON FOR HORECA, 5 KG X 4 JRG IN CARTON</v>
          </cell>
          <cell r="E2265">
            <v>20</v>
          </cell>
          <cell r="F2265" t="str">
            <v>Bỏ chọn</v>
          </cell>
          <cell r="G2265"/>
          <cell r="H2265"/>
        </row>
        <row r="2266">
          <cell r="A2266" t="str">
            <v>7.C3501559903012701</v>
          </cell>
          <cell r="B2266" t="str">
            <v>DISHWASHING LIQUID POWER100 LEMON FOR HORECA, 5 KG</v>
          </cell>
          <cell r="C2266" t="str">
            <v>NƯỚC RỬA CHÉN POWER100 HƯƠNG CHANH HORECA, LOẠI 5KG</v>
          </cell>
          <cell r="D2266" t="str">
            <v>DISHWASHING LIQUID POWER100 LEMON FOR HORECA, 5 KG</v>
          </cell>
          <cell r="E2266">
            <v>5</v>
          </cell>
          <cell r="F2266" t="str">
            <v>Bỏ chọn</v>
          </cell>
          <cell r="G2266"/>
          <cell r="H2266"/>
        </row>
        <row r="2267">
          <cell r="A2267" t="str">
            <v>7.1061590330308010</v>
          </cell>
          <cell r="B2267" t="str">
            <v>SATELLITE SHORT(GREEN LABEL)CARTON@25KG</v>
          </cell>
          <cell r="C2267" t="str">
            <v>SHORTENING NHÃN HIỆU SATELLITE (NHÃN MÀU XANH LÁ)TRONG THÙNG CARTON 25KG</v>
          </cell>
          <cell r="D2267" t="str">
            <v>SATELLITE SHORT(GREEN LABEL)CARTON@25KG</v>
          </cell>
          <cell r="E2267">
            <v>25</v>
          </cell>
          <cell r="F2267" t="str">
            <v>Chọn</v>
          </cell>
          <cell r="G2267"/>
          <cell r="H2267"/>
        </row>
        <row r="2268">
          <cell r="A2268" t="str">
            <v>7.70540</v>
          </cell>
          <cell r="B2268" t="str">
            <v>ETHYLENE BIS STEARAMIDE SUNLUBE EBS DA</v>
          </cell>
          <cell r="C2268" t="str">
            <v>ETHYLENE BIS STEARAMIDE SUNLUBE EBS DA-SÁP NHÂN TẠO DẠNG BỘT; BAO 25KG</v>
          </cell>
          <cell r="D2268" t="str">
            <v>ETHYLENE BIS STEARAMIDE SUNLUBE EBS DA</v>
          </cell>
          <cell r="E2268">
            <v>1</v>
          </cell>
          <cell r="F2268" t="str">
            <v>Bỏ chọn</v>
          </cell>
          <cell r="G2268"/>
          <cell r="H2268"/>
        </row>
        <row r="2269">
          <cell r="A2269" t="str">
            <v>V51.049.010</v>
          </cell>
          <cell r="B2269" t="str">
            <v>CHILI SAUCE 470G</v>
          </cell>
          <cell r="C2269" t="str">
            <v>TƯƠNG ỚT 470G</v>
          </cell>
          <cell r="D2269" t="str">
            <v>CHILI SAUCE 470G</v>
          </cell>
          <cell r="E2269">
            <v>0</v>
          </cell>
          <cell r="F2269" t="str">
            <v>Bỏ chọn</v>
          </cell>
          <cell r="G2269"/>
          <cell r="H2269"/>
        </row>
        <row r="2270">
          <cell r="A2270" t="str">
            <v>7.5239905990101</v>
          </cell>
          <cell r="B2270" t="str">
            <v>COMPASS-0.5KG*20 (10KG)</v>
          </cell>
          <cell r="C2270" t="str">
            <v>BỘT MÌ ĐA DỤNG LA BÀN (0.5KG*20 GÓI/BAO)</v>
          </cell>
          <cell r="D2270" t="str">
            <v>COMPASS-0.5KG*20 (10KG)</v>
          </cell>
          <cell r="E2270">
            <v>10</v>
          </cell>
          <cell r="F2270" t="str">
            <v>Bỏ chọn</v>
          </cell>
          <cell r="G2270"/>
          <cell r="H2270"/>
        </row>
        <row r="2271">
          <cell r="A2271" t="str">
            <v>7.5239905990201</v>
          </cell>
          <cell r="B2271" t="str">
            <v>COMPASS-1KG*10 (10KG)</v>
          </cell>
          <cell r="C2271" t="str">
            <v>BỘT MÌ ĐA DỤNG LA BÀN (1KG*10 GÓI/BAO)</v>
          </cell>
          <cell r="D2271" t="str">
            <v>COMPASS-1KG*10 (10KG)</v>
          </cell>
          <cell r="E2271">
            <v>10</v>
          </cell>
          <cell r="F2271" t="str">
            <v>Bỏ chọn</v>
          </cell>
          <cell r="G2271"/>
          <cell r="H2271"/>
        </row>
        <row r="2272">
          <cell r="A2272" t="str">
            <v>7.523990599010101</v>
          </cell>
          <cell r="B2272" t="str">
            <v>COMPASS-0.5KG</v>
          </cell>
          <cell r="C2272" t="str">
            <v>BỘT MÌ ĐA DỤNG LA BÀN (0.5KG)</v>
          </cell>
          <cell r="D2272" t="str">
            <v>COMPASS-0.5KG</v>
          </cell>
          <cell r="E2272">
            <v>0.5</v>
          </cell>
          <cell r="F2272" t="str">
            <v>Bỏ chọn</v>
          </cell>
          <cell r="G2272"/>
          <cell r="H2272"/>
        </row>
        <row r="2273">
          <cell r="A2273" t="str">
            <v>7.523990599020101</v>
          </cell>
          <cell r="B2273" t="str">
            <v>COMPASS-1KG</v>
          </cell>
          <cell r="C2273" t="str">
            <v>BỘT MÌ ĐA DỤNG LA BÀN (1KG)</v>
          </cell>
          <cell r="D2273" t="str">
            <v>COMPASS-1KG</v>
          </cell>
          <cell r="E2273">
            <v>1</v>
          </cell>
          <cell r="F2273" t="str">
            <v>Bỏ chọn</v>
          </cell>
          <cell r="G2273"/>
          <cell r="H2273"/>
        </row>
        <row r="2274">
          <cell r="A2274" t="str">
            <v>V51.047.016</v>
          </cell>
          <cell r="B2274" t="str">
            <v>MEIZAN ALL- PURPOSE TAPIOCA STARCH 400G</v>
          </cell>
          <cell r="C2274" t="str">
            <v>BỘT NĂNG ĐA DỤNG MEIZAN 400G</v>
          </cell>
          <cell r="D2274" t="str">
            <v>MEIZAN ALL- PURPOSE TAPIOCA STARCH 400G</v>
          </cell>
          <cell r="E2274">
            <v>0</v>
          </cell>
          <cell r="F2274" t="str">
            <v>Bỏ chọn</v>
          </cell>
          <cell r="G2274"/>
          <cell r="H2274"/>
        </row>
        <row r="2275">
          <cell r="A2275" t="str">
            <v>7.D37011099020124</v>
          </cell>
          <cell r="B2275" t="str">
            <v>WHITE COMPOUND SLW-38022X-109CI, BLOCK (1KG X 30 PCS), 30KG</v>
          </cell>
          <cell r="C2275" t="str">
            <v>NGUYÊN LIỆU THỰC PHẨM SÔ-CÔ-LA TRẮNG SLW-38022X (1KG X 30), 30KG/THÙNG</v>
          </cell>
          <cell r="D2275" t="str">
            <v>WHITE COMPOUND SLW-38022X-109CI, BLOCK (1KG X 30 PCS), 30KG</v>
          </cell>
          <cell r="E2275">
            <v>30</v>
          </cell>
          <cell r="F2275" t="str">
            <v>Bỏ chọn</v>
          </cell>
          <cell r="G2275"/>
          <cell r="H2275"/>
        </row>
        <row r="2276">
          <cell r="A2276" t="str">
            <v>V51.048.015</v>
          </cell>
          <cell r="B2276" t="str">
            <v>TASTE NORTH SOY SAUCE 1.96L</v>
          </cell>
          <cell r="C2276" t="str">
            <v>NƯỚC TƯƠNG VỊ BẮC 1.96L</v>
          </cell>
          <cell r="D2276" t="str">
            <v>TASTE NORTH SOY SAUCE 1.96L</v>
          </cell>
          <cell r="E2276">
            <v>0</v>
          </cell>
          <cell r="F2276" t="str">
            <v>Bỏ chọn</v>
          </cell>
          <cell r="G2276"/>
          <cell r="H2276"/>
        </row>
        <row r="2277">
          <cell r="A2277" t="str">
            <v>V39.000.050</v>
          </cell>
          <cell r="B2277" t="str">
            <v>T-SHIRT MEIZAN SBO</v>
          </cell>
          <cell r="C2277" t="str">
            <v>ÁO THUN MEIZAN SBO</v>
          </cell>
          <cell r="D2277" t="str">
            <v>T-SHIRT MEIZAN SBO</v>
          </cell>
          <cell r="E2277">
            <v>0</v>
          </cell>
          <cell r="F2277" t="str">
            <v>Bỏ chọn</v>
          </cell>
          <cell r="G2277"/>
          <cell r="H2277"/>
        </row>
        <row r="2278">
          <cell r="A2278" t="str">
            <v>V51.048.014</v>
          </cell>
          <cell r="B2278" t="str">
            <v>PREMIUM SOY SAUCE 95ML</v>
          </cell>
          <cell r="C2278" t="str">
            <v>NƯỚC TƯƠNG THƯỢNG HẠNG 95ML</v>
          </cell>
          <cell r="D2278" t="str">
            <v>PREMIUM SOY SAUCE 95ML</v>
          </cell>
          <cell r="E2278">
            <v>0</v>
          </cell>
          <cell r="F2278" t="str">
            <v>Bỏ chọn</v>
          </cell>
          <cell r="G2278"/>
          <cell r="H2278"/>
        </row>
        <row r="2279">
          <cell r="A2279" t="str">
            <v>V39.00A.002</v>
          </cell>
          <cell r="B2279" t="str">
            <v>APRON WITH BRONZE DRUM PATTERN</v>
          </cell>
          <cell r="C2279" t="str">
            <v>TẠP DỀ VỚI HỌA TIẾT TRỐNG ĐỒNG</v>
          </cell>
          <cell r="D2279" t="str">
            <v>APRON WITH BRONZE DRUM PATTERN</v>
          </cell>
          <cell r="E2279">
            <v>0</v>
          </cell>
          <cell r="F2279" t="str">
            <v>Bỏ chọn</v>
          </cell>
          <cell r="G2279"/>
          <cell r="H2279"/>
        </row>
        <row r="2280">
          <cell r="A2280" t="str">
            <v>7.1060120830609010</v>
          </cell>
          <cell r="B2280" t="str">
            <v>MEIZAN SHORTENING 33 IN BIB@18KG</v>
          </cell>
          <cell r="C2280" t="str">
            <v>SHORTENING 33 NHÃN HIỆU MEIZAN</v>
          </cell>
          <cell r="D2280" t="str">
            <v>MEIZAN SHORTENING 33 IN BIB@18KG</v>
          </cell>
          <cell r="E2280">
            <v>18</v>
          </cell>
          <cell r="F2280" t="str">
            <v>Chọn</v>
          </cell>
          <cell r="G2280"/>
          <cell r="H2280"/>
        </row>
        <row r="2281">
          <cell r="A2281" t="str">
            <v>7.A319908997701</v>
          </cell>
          <cell r="B2281" t="str">
            <v>MEIZAN CRISPY FRYING MIX 150G X 60 BAG</v>
          </cell>
          <cell r="C2281" t="str">
            <v>BỘT CHIÊN GIÒN MEIZAN 150G X 60 GÓI</v>
          </cell>
          <cell r="D2281" t="str">
            <v>MEIZAN CRISPY FRYING MIX 150G X 60 BAG</v>
          </cell>
          <cell r="E2281">
            <v>9</v>
          </cell>
          <cell r="F2281" t="str">
            <v>Bỏ chọn</v>
          </cell>
          <cell r="G2281"/>
          <cell r="H2281"/>
        </row>
        <row r="2282">
          <cell r="A2282" t="str">
            <v>7.A31990899770117</v>
          </cell>
          <cell r="B2282" t="str">
            <v>MEIZAN SEASONED CRISPY FRYING MIX 150G X 60 BAG</v>
          </cell>
          <cell r="C2282" t="str">
            <v>BỘT CHIÊN GIÒN MEIZAN ĐÃ NÊM SẴN GIA VỊ 150G X 60 GÓI</v>
          </cell>
          <cell r="D2282" t="str">
            <v>MEIZAN SEASONED CRISPY FRYING MIX 150G X 60 BAG</v>
          </cell>
          <cell r="E2282">
            <v>9</v>
          </cell>
          <cell r="F2282" t="str">
            <v>Bỏ chọn</v>
          </cell>
          <cell r="G2282"/>
          <cell r="H2282"/>
        </row>
        <row r="2283">
          <cell r="A2283" t="str">
            <v>7.A320108997901</v>
          </cell>
          <cell r="B2283" t="str">
            <v>MEIZAN PREMIUM EGG NOODLE 500G X 12 BAG</v>
          </cell>
          <cell r="C2283" t="str">
            <v>MÌ TRỨNG CAO CẤP MEIZAN 500G X 12 GÓI</v>
          </cell>
          <cell r="D2283" t="str">
            <v>MEIZAN PREMIUM EGG NOODLE 500G X 12 BAG</v>
          </cell>
          <cell r="E2283">
            <v>6</v>
          </cell>
          <cell r="F2283" t="str">
            <v>Bỏ chọn</v>
          </cell>
          <cell r="G2283"/>
          <cell r="H2283"/>
        </row>
        <row r="2284">
          <cell r="A2284" t="str">
            <v>7.A33020899890118</v>
          </cell>
          <cell r="B2284" t="str">
            <v>MEIZAN PREMIUM MACARONI - SPIRAL 300G X 12 PACK</v>
          </cell>
          <cell r="C2284" t="str">
            <v>NUI CAO CẤP MEIZAN - HÌNH XOẮN 300G X 12 GÓI</v>
          </cell>
          <cell r="D2284" t="str">
            <v>MEIZAN PREMIUM MACARONI - SPIRAL 300G X 12 PACK</v>
          </cell>
          <cell r="E2284">
            <v>3.6</v>
          </cell>
          <cell r="F2284" t="str">
            <v>Bỏ chọn</v>
          </cell>
          <cell r="G2284"/>
          <cell r="H2284"/>
        </row>
        <row r="2285">
          <cell r="A2285" t="str">
            <v>7.A33030899460119</v>
          </cell>
          <cell r="B2285" t="str">
            <v>MEIZAN PREMIUM RICE MACARONI 200G - ELBOW X 24 BAG</v>
          </cell>
          <cell r="C2285" t="str">
            <v>NUI GẠO CAO CẤP MEIZAN - CHỮ "C" 200G X 24 GÓI</v>
          </cell>
          <cell r="D2285" t="str">
            <v>MEIZAN PREMIUM RICE MACARONI 200G - ELBOW X 24 BAG</v>
          </cell>
          <cell r="E2285">
            <v>4.8</v>
          </cell>
          <cell r="F2285" t="str">
            <v>Bỏ chọn</v>
          </cell>
          <cell r="G2285"/>
          <cell r="H2285"/>
        </row>
        <row r="2286">
          <cell r="A2286" t="str">
            <v>7.A320108999101</v>
          </cell>
          <cell r="B2286" t="str">
            <v>MEIZAN PREMIUM EGG NOODLE 250G X 24 BAG</v>
          </cell>
          <cell r="C2286" t="str">
            <v>MÌ TRỨNG CAO CẤP MEIZAN 250G X 24 GÓI</v>
          </cell>
          <cell r="D2286" t="str">
            <v>MEIZAN PREMIUM EGG NOODLE 250G X 24 BAG</v>
          </cell>
          <cell r="E2286">
            <v>6</v>
          </cell>
          <cell r="F2286" t="str">
            <v>Bỏ chọn</v>
          </cell>
          <cell r="G2286"/>
          <cell r="H2286"/>
        </row>
        <row r="2287">
          <cell r="A2287" t="str">
            <v>7.A330208994601</v>
          </cell>
          <cell r="B2287" t="str">
            <v>MEIZAN PREMIUM MACARONI 400G X 12 BAG</v>
          </cell>
          <cell r="C2287" t="str">
            <v>NUI CAO CẤP MEIZAN 400G X 12 GÓI</v>
          </cell>
          <cell r="D2287" t="str">
            <v>MEIZAN PREMIUM MACARONI 400G X 12 BAG</v>
          </cell>
          <cell r="E2287">
            <v>4.8</v>
          </cell>
          <cell r="F2287" t="str">
            <v>Bỏ chọn</v>
          </cell>
          <cell r="G2287"/>
          <cell r="H2287"/>
        </row>
        <row r="2288">
          <cell r="A2288" t="str">
            <v>7.A330208999001</v>
          </cell>
          <cell r="B2288" t="str">
            <v>MEIZAN PREMIUM MACARONI 200G X 24 BAG</v>
          </cell>
          <cell r="C2288" t="str">
            <v>NUI CAO CẤP MEIZAN 200G X 24 GÓI</v>
          </cell>
          <cell r="D2288" t="str">
            <v>MEIZAN PREMIUM MACARONI 200G X 24 BAG</v>
          </cell>
          <cell r="E2288">
            <v>4.8</v>
          </cell>
          <cell r="F2288" t="str">
            <v>Bỏ chọn</v>
          </cell>
          <cell r="G2288"/>
          <cell r="H2288"/>
        </row>
        <row r="2289">
          <cell r="A2289" t="str">
            <v>7.A33020899460119</v>
          </cell>
          <cell r="B2289" t="str">
            <v>MEIZAN PREMIUM MACARONI - ELBOW 400G X 12 BAG</v>
          </cell>
          <cell r="C2289" t="str">
            <v>NUI CAO CẤP MEIZAN - CHỮ "C" 400G X 12 GÓI</v>
          </cell>
          <cell r="D2289" t="str">
            <v>MEIZAN PREMIUM MACARONI - ELBOW 400G X 12 BAG</v>
          </cell>
          <cell r="E2289">
            <v>4.8</v>
          </cell>
          <cell r="F2289" t="str">
            <v>Bỏ chọn</v>
          </cell>
          <cell r="G2289"/>
          <cell r="H2289"/>
        </row>
        <row r="2290">
          <cell r="A2290" t="str">
            <v>7.A33020899900119</v>
          </cell>
          <cell r="B2290" t="str">
            <v>MEIZAN PREMIUM MACARONI - ELBOW 200G X 24 BAG</v>
          </cell>
          <cell r="C2290" t="str">
            <v>NUI CAO CẤP MEIZAN - CHỮ "C" 200G X 24 GÓI</v>
          </cell>
          <cell r="D2290" t="str">
            <v>MEIZAN PREMIUM MACARONI - ELBOW 200G X 24 BAG</v>
          </cell>
          <cell r="E2290">
            <v>4.8</v>
          </cell>
          <cell r="F2290" t="str">
            <v>Bỏ chọn</v>
          </cell>
          <cell r="G2290"/>
          <cell r="H2290"/>
        </row>
        <row r="2291">
          <cell r="A2291" t="str">
            <v>7.70541</v>
          </cell>
          <cell r="B2291" t="str">
            <v>GENAGEN CAB 0200, DRUM 200KGS</v>
          </cell>
          <cell r="C2291" t="str">
            <v>CHẤT HOẠT ĐỘNG BỀ MẶT GENAGEN CAB 0200, PHUY 200KG</v>
          </cell>
          <cell r="D2291" t="str">
            <v>GENAGEN CAB 0200, DRUM 200KGS</v>
          </cell>
          <cell r="E2291">
            <v>1</v>
          </cell>
          <cell r="F2291" t="str">
            <v>Chọn</v>
          </cell>
          <cell r="G2291"/>
          <cell r="H2291"/>
        </row>
        <row r="2292">
          <cell r="A2292" t="str">
            <v>7.70542</v>
          </cell>
          <cell r="B2292" t="str">
            <v>CASTOR OIL FIRST SPECIAL GRADE, DRUM 200KGS</v>
          </cell>
          <cell r="C2292" t="str">
            <v>DẦU THẦU DẦU LOẠI ĐẶC BIỆT - CASTOR OIL FIRST SPECIAL GRADE, PHUY 200KG</v>
          </cell>
          <cell r="D2292" t="str">
            <v>CASTOR OIL FIRST SPECIAL GRADE, DRUM 200KGS</v>
          </cell>
          <cell r="E2292">
            <v>1</v>
          </cell>
          <cell r="F2292" t="str">
            <v>Chọn</v>
          </cell>
          <cell r="G2292"/>
          <cell r="H2292"/>
        </row>
        <row r="2293">
          <cell r="A2293" t="str">
            <v>V51.000.074</v>
          </cell>
          <cell r="B2293" t="str">
            <v>RED WINE - BSP R7 NERO DAVOLA 75CL+LY-19</v>
          </cell>
          <cell r="C2293" t="str">
            <v>RƯỢU VANG ĐỎ - BSP R7 NERO DAVOLA 75CL+LY-19</v>
          </cell>
          <cell r="D2293" t="str">
            <v>RED WINE - BSP R7 NERO DAVOLA 75CL+LY-19</v>
          </cell>
          <cell r="E2293">
            <v>0</v>
          </cell>
          <cell r="F2293" t="str">
            <v>Bỏ chọn</v>
          </cell>
          <cell r="G2293"/>
          <cell r="H2293"/>
        </row>
        <row r="2294">
          <cell r="A2294" t="str">
            <v>V51.000.075</v>
          </cell>
          <cell r="B2294" t="str">
            <v>PRODUCTS BROCHURE</v>
          </cell>
          <cell r="C2294" t="str">
            <v>SÁCH GIỚI THIỆU SẢN PHẨM</v>
          </cell>
          <cell r="D2294" t="str">
            <v>PRODUCTS BROCHURE</v>
          </cell>
          <cell r="E2294">
            <v>0</v>
          </cell>
          <cell r="F2294" t="str">
            <v>Chọn</v>
          </cell>
          <cell r="G2294"/>
          <cell r="H2294"/>
        </row>
        <row r="2295">
          <cell r="A2295" t="str">
            <v>V51.000.076</v>
          </cell>
          <cell r="B2295" t="str">
            <v>DANGLER POWER100</v>
          </cell>
          <cell r="C2295" t="str">
            <v>TẤM QUẢNG CÁO TREO TRẦN POWER100</v>
          </cell>
          <cell r="D2295" t="str">
            <v>DANGLER POWER100</v>
          </cell>
          <cell r="E2295">
            <v>0</v>
          </cell>
          <cell r="F2295" t="str">
            <v>Bỏ chọn</v>
          </cell>
          <cell r="G2295"/>
          <cell r="H2295"/>
        </row>
        <row r="2296">
          <cell r="A2296" t="str">
            <v>V39.000.051</v>
          </cell>
          <cell r="B2296" t="str">
            <v>SHELF TALKER POWER100</v>
          </cell>
          <cell r="C2296" t="str">
            <v>KHAY QUẢNG CÁO L POWER100</v>
          </cell>
          <cell r="D2296" t="str">
            <v>SHELF TALKER POWER100</v>
          </cell>
          <cell r="E2296">
            <v>0</v>
          </cell>
          <cell r="F2296" t="str">
            <v>Bỏ chọn</v>
          </cell>
          <cell r="G2296"/>
          <cell r="H2296"/>
        </row>
        <row r="2297">
          <cell r="A2297" t="str">
            <v>V39.000.052</v>
          </cell>
          <cell r="B2297" t="str">
            <v>RAINCOAT POWER100</v>
          </cell>
          <cell r="C2297" t="str">
            <v>ÁO MƯA POWER100</v>
          </cell>
          <cell r="D2297" t="str">
            <v>RAINCOAT POWER100</v>
          </cell>
          <cell r="E2297">
            <v>0</v>
          </cell>
          <cell r="F2297" t="str">
            <v>Bỏ chọn</v>
          </cell>
          <cell r="G2297"/>
          <cell r="H2297"/>
        </row>
        <row r="2298">
          <cell r="A2298" t="str">
            <v>7.1110000207008010TD</v>
          </cell>
          <cell r="B2298" t="str">
            <v>REFINED HYDROGENATED PALM KERNEL OLEIN (BESSCOTE 3840)</v>
          </cell>
          <cell r="C2298" t="str">
            <v>DẦU OLEIN NHÂN CỌ HYDRO HÓA, TINH LUYỆN NHÃN HIỆU BESSCOTE 3840 TRONG THÙNG CARTON 20KG</v>
          </cell>
          <cell r="D2298" t="str">
            <v>REFINED HYDROGENATED PALM KERNEL OLEIN (BESSCOTE 3840)</v>
          </cell>
          <cell r="E2298">
            <v>20</v>
          </cell>
          <cell r="F2298" t="str">
            <v>Bỏ chọn</v>
          </cell>
          <cell r="G2298"/>
          <cell r="H2298"/>
        </row>
        <row r="2299">
          <cell r="A2299" t="str">
            <v>7.70543</v>
          </cell>
          <cell r="B2299" t="str">
            <v>WILFARIN CC-0810 (CAPRYLIC/CAPRIC ACID/MCFA/MEDIUM CHAIN FATTY ACID), DRUM 180KGS</v>
          </cell>
          <cell r="C2299" t="str">
            <v>HỖN HỢP AXIT BÉO MẠCH NGẮN WILFARIN CC-0810 (CAPRYLIC/CAPRIC ACID/MCFA/MEDIUM CHAIN FATTY ACID), PHUY 180KGS</v>
          </cell>
          <cell r="D2299" t="str">
            <v>WILFARIN CC-0810 (CAPRYLIC/CAPRIC ACID/MCFA/MEDIUM CHAIN FATTY ACID), DRUM 180KGS</v>
          </cell>
          <cell r="E2299">
            <v>1</v>
          </cell>
          <cell r="F2299" t="str">
            <v>Bỏ chọn</v>
          </cell>
          <cell r="G2299"/>
          <cell r="H2299"/>
        </row>
        <row r="2300">
          <cell r="A2300" t="str">
            <v>7.70544</v>
          </cell>
          <cell r="B2300" t="str">
            <v>DISTILLED TOPPED PALM KERNEL FATTY ACID (DK1218)/ RSPO MB, 850KG IBC TANK</v>
          </cell>
          <cell r="C2300" t="str">
            <v>AXÍT BÉO TỪ NHÂN CỌ ĐÃ QUA TINH CHẾ DISTILLED TOPPED PALM KERNEL FATTY ACID (DK1218)/RSPO MB, IBC TANK 850KG</v>
          </cell>
          <cell r="D2300" t="str">
            <v>DISTILLED TOPPED PALM KERNEL FATTY ACID (DK1218)/ RSPO MB, 850KG IBC TANK</v>
          </cell>
          <cell r="E2300">
            <v>1</v>
          </cell>
          <cell r="F2300" t="str">
            <v>Chọn</v>
          </cell>
          <cell r="G2300"/>
          <cell r="H2300"/>
        </row>
        <row r="2301">
          <cell r="A2301" t="str">
            <v>V51.000.077</v>
          </cell>
          <cell r="B2301" t="str">
            <v>MEDICAL FACE MASK 4 LAYERS (50PCS/BOX)</v>
          </cell>
          <cell r="C2301" t="str">
            <v>KHẨU TRANG Y TẾ 4 LỚP (50 CHIẾC/HỘP)</v>
          </cell>
          <cell r="D2301" t="str">
            <v>MEDICAL FACE MASK 4 LAYERS (50PCS/BOX)</v>
          </cell>
          <cell r="E2301">
            <v>0</v>
          </cell>
          <cell r="F2301" t="str">
            <v>Bỏ chọn</v>
          </cell>
          <cell r="G2301"/>
          <cell r="H2301"/>
        </row>
        <row r="2302">
          <cell r="A2302" t="str">
            <v>V51.000.078</v>
          </cell>
          <cell r="B2302" t="str">
            <v>DRY HAND WASH (90ML)</v>
          </cell>
          <cell r="C2302" t="str">
            <v>NƯỚC RỬA TAY KHÔ (90ML)</v>
          </cell>
          <cell r="D2302" t="str">
            <v>DRY HAND WASH (90ML)</v>
          </cell>
          <cell r="E2302">
            <v>0</v>
          </cell>
          <cell r="F2302" t="str">
            <v>Bỏ chọn</v>
          </cell>
          <cell r="G2302"/>
          <cell r="H2302"/>
        </row>
        <row r="2303">
          <cell r="A2303" t="str">
            <v>V39.00A.003</v>
          </cell>
          <cell r="B2303" t="str">
            <v>RAINCOAT A</v>
          </cell>
          <cell r="C2303" t="str">
            <v>ÁO MƯA CHỮ A</v>
          </cell>
          <cell r="D2303" t="str">
            <v>RAINCOAT A</v>
          </cell>
          <cell r="E2303">
            <v>0</v>
          </cell>
          <cell r="F2303" t="str">
            <v>Bỏ chọn</v>
          </cell>
          <cell r="G2303"/>
          <cell r="H2303"/>
        </row>
        <row r="2304">
          <cell r="A2304" t="str">
            <v>V51.00A.021</v>
          </cell>
          <cell r="B2304" t="str">
            <v>CHILLI SAUCE DISPLAY SHELF</v>
          </cell>
          <cell r="C2304" t="str">
            <v>KỆ CARTON ĐỰNG TƯƠNG ỚT</v>
          </cell>
          <cell r="D2304" t="str">
            <v>CHILLI SAUCE DISPLAY SHELF</v>
          </cell>
          <cell r="E2304">
            <v>0</v>
          </cell>
          <cell r="F2304" t="str">
            <v>Bỏ chọn</v>
          </cell>
          <cell r="G2304"/>
          <cell r="H2304"/>
        </row>
        <row r="2305">
          <cell r="A2305" t="str">
            <v>V56.000.008</v>
          </cell>
          <cell r="B2305" t="str">
            <v>CABLE HDMI UGREEN 1.5M 10128</v>
          </cell>
          <cell r="C2305" t="str">
            <v>CÁP HDMI 1.5M UGREEN 10128</v>
          </cell>
          <cell r="D2305" t="str">
            <v>CABLE HDMI UGREEN 1.5M 10128</v>
          </cell>
          <cell r="E2305">
            <v>0</v>
          </cell>
          <cell r="F2305" t="str">
            <v>Bỏ chọn</v>
          </cell>
          <cell r="G2305"/>
          <cell r="H2305"/>
        </row>
        <row r="2306">
          <cell r="A2306" t="str">
            <v>V56.000.009</v>
          </cell>
          <cell r="B2306" t="str">
            <v xml:space="preserve">CABLE HDMI TO VGA </v>
          </cell>
          <cell r="C2306" t="str">
            <v>CÁP HDMI TO VGA</v>
          </cell>
          <cell r="D2306" t="str">
            <v xml:space="preserve">CABLE HDMI TO VGA </v>
          </cell>
          <cell r="E2306">
            <v>0</v>
          </cell>
          <cell r="F2306" t="str">
            <v>Bỏ chọn</v>
          </cell>
          <cell r="G2306"/>
          <cell r="H2306"/>
        </row>
        <row r="2307">
          <cell r="A2307" t="str">
            <v>V56.000.010</v>
          </cell>
          <cell r="B2307" t="str">
            <v>MOUSE LOGITECH M105 NON WIRELESS</v>
          </cell>
          <cell r="C2307" t="str">
            <v>CHUỘT LOGITECH M105 CÓ DÂY</v>
          </cell>
          <cell r="D2307" t="str">
            <v>MOUSE LOGITECH M105 NON WIRELESS</v>
          </cell>
          <cell r="E2307">
            <v>0</v>
          </cell>
          <cell r="F2307" t="str">
            <v>Bỏ chọn</v>
          </cell>
          <cell r="G2307"/>
          <cell r="H2307"/>
        </row>
        <row r="2308">
          <cell r="A2308" t="str">
            <v>V56.000.011</v>
          </cell>
          <cell r="B2308" t="str">
            <v>CABLE RS232 TO RJ45 1.2M</v>
          </cell>
          <cell r="C2308" t="str">
            <v>DÂY CHUYỂN ĐỔI RS232 TO RJ45 1.2M</v>
          </cell>
          <cell r="D2308" t="str">
            <v>CABLE RS232 TO RJ45 1.2M</v>
          </cell>
          <cell r="E2308">
            <v>0</v>
          </cell>
          <cell r="F2308" t="str">
            <v>Bỏ chọn</v>
          </cell>
          <cell r="G2308"/>
          <cell r="H2308"/>
        </row>
        <row r="2309">
          <cell r="A2309" t="str">
            <v>V56.000.012</v>
          </cell>
          <cell r="B2309" t="str">
            <v>CABLE E67USB -&gt; COM 9 + COM 25 UNITEK Y 105A</v>
          </cell>
          <cell r="C2309" t="str">
            <v>DÂY USB -&gt; COM 9 + COM 25 UNITEK Y 105A</v>
          </cell>
          <cell r="D2309" t="str">
            <v>CABLE E67USB -&gt; COM 9 + COM 25 UNITEK Y 105A</v>
          </cell>
          <cell r="E2309">
            <v>0</v>
          </cell>
          <cell r="F2309" t="str">
            <v>Bỏ chọn</v>
          </cell>
          <cell r="G2309"/>
          <cell r="H2309"/>
        </row>
        <row r="2310">
          <cell r="A2310" t="str">
            <v>V15.000.014</v>
          </cell>
          <cell r="B2310" t="str">
            <v>IP PHONE PANASONIC KX-HDV130</v>
          </cell>
          <cell r="C2310" t="str">
            <v>ĐIỆN THOẠI IP PHONE PANASONIC KX-HDV130</v>
          </cell>
          <cell r="D2310" t="str">
            <v>IP PHONE PANASONIC KX-HDV130</v>
          </cell>
          <cell r="E2310">
            <v>0</v>
          </cell>
          <cell r="F2310" t="str">
            <v>Bỏ chọn</v>
          </cell>
          <cell r="G2310"/>
          <cell r="H2310"/>
        </row>
        <row r="2311">
          <cell r="A2311" t="str">
            <v>V10.000.003</v>
          </cell>
          <cell r="B2311" t="str">
            <v>DOCKING ORICO 6619US3</v>
          </cell>
          <cell r="C2311" t="str">
            <v>DOCK ĐỌC Ổ CỨNG ORICO 6619US3</v>
          </cell>
          <cell r="D2311" t="str">
            <v>DOCKING ORICO 6619US3</v>
          </cell>
          <cell r="E2311">
            <v>0</v>
          </cell>
          <cell r="F2311" t="str">
            <v>Bỏ chọn</v>
          </cell>
          <cell r="G2311"/>
          <cell r="H2311"/>
        </row>
        <row r="2312">
          <cell r="A2312" t="str">
            <v>V56.000.013</v>
          </cell>
          <cell r="B2312" t="str">
            <v>NODE AMP RJ45 100 UNIT</v>
          </cell>
          <cell r="C2312" t="str">
            <v>HỘP ĐẦU MẠNG AMP RJ45</v>
          </cell>
          <cell r="D2312" t="str">
            <v>NODE AMP RJ45 100 UNIT</v>
          </cell>
          <cell r="E2312">
            <v>0</v>
          </cell>
          <cell r="F2312" t="str">
            <v>Bỏ chọn</v>
          </cell>
          <cell r="G2312"/>
          <cell r="H2312"/>
        </row>
        <row r="2313">
          <cell r="A2313" t="str">
            <v>V56.000.014</v>
          </cell>
          <cell r="B2313" t="str">
            <v>BOX FOR NETWORK TESTING CT-168 AZONE</v>
          </cell>
          <cell r="C2313" t="str">
            <v>HỘP TEST CÁP MẠNG CT-168 AZONE</v>
          </cell>
          <cell r="D2313" t="str">
            <v>BOX FOR NETWORK TESTING CT-168 AZONE</v>
          </cell>
          <cell r="E2313">
            <v>0</v>
          </cell>
          <cell r="F2313" t="str">
            <v>Bỏ chọn</v>
          </cell>
          <cell r="G2313"/>
          <cell r="H2313"/>
        </row>
        <row r="2314">
          <cell r="A2314" t="str">
            <v>V56.000.015</v>
          </cell>
          <cell r="B2314" t="str">
            <v>NETWORK NIPPERS GOLDENLINK</v>
          </cell>
          <cell r="C2314" t="str">
            <v>KỀM BẤM MẠNG GOLDENLINK</v>
          </cell>
          <cell r="D2314" t="str">
            <v>NETWORK NIPPERS GOLDENLINK</v>
          </cell>
          <cell r="E2314">
            <v>0</v>
          </cell>
          <cell r="F2314" t="str">
            <v>Bỏ chọn</v>
          </cell>
          <cell r="G2314"/>
          <cell r="H2314"/>
        </row>
        <row r="2315">
          <cell r="A2315" t="str">
            <v>V56.000.016</v>
          </cell>
          <cell r="B2315" t="str">
            <v>KEYBOARD DELL KB216B NON WIRELESS</v>
          </cell>
          <cell r="C2315" t="str">
            <v>KEYBOARD DELL KB216B CÓ DÂY</v>
          </cell>
          <cell r="D2315" t="str">
            <v>KEYBOARD DELL KB216B NON WIRELESS</v>
          </cell>
          <cell r="E2315">
            <v>0</v>
          </cell>
          <cell r="F2315" t="str">
            <v>Bỏ chọn</v>
          </cell>
          <cell r="G2315"/>
          <cell r="H2315"/>
        </row>
        <row r="2316">
          <cell r="A2316" t="str">
            <v>V56.000.017</v>
          </cell>
          <cell r="B2316" t="str">
            <v>SSD 250GB SEAGATE 2.5INCH</v>
          </cell>
          <cell r="C2316" t="str">
            <v>Ổ CỨNG SSD 250GB SEAGATE 2.5INCH</v>
          </cell>
          <cell r="D2316" t="str">
            <v>SSD 250GB SEAGATE 2.5INCH</v>
          </cell>
          <cell r="E2316">
            <v>0</v>
          </cell>
          <cell r="F2316" t="str">
            <v>Bỏ chọn</v>
          </cell>
          <cell r="G2316"/>
          <cell r="H2316"/>
        </row>
        <row r="2317">
          <cell r="A2317" t="str">
            <v>V10.000.004</v>
          </cell>
          <cell r="B2317" t="str">
            <v>ADAPTER LAPTOP LENOVO E470</v>
          </cell>
          <cell r="C2317" t="str">
            <v>SẠC LAPTOP E470 ĐẦU VÀNG VUÔNG</v>
          </cell>
          <cell r="D2317" t="str">
            <v>ADAPTER LAPTOP LENOVO E470</v>
          </cell>
          <cell r="E2317">
            <v>0</v>
          </cell>
          <cell r="F2317" t="str">
            <v>Bỏ chọn</v>
          </cell>
          <cell r="G2317"/>
          <cell r="H2317"/>
        </row>
        <row r="2318">
          <cell r="A2318" t="str">
            <v>V56.000.018</v>
          </cell>
          <cell r="B2318" t="str">
            <v>COMMSCOPE AMP CAT 5E UTP</v>
          </cell>
          <cell r="C2318" t="str">
            <v>THÙNG CÁP MẠNG AMP CAT 5E UTP 300M</v>
          </cell>
          <cell r="D2318" t="str">
            <v>COMMSCOPE AMP CAT 5E UTP</v>
          </cell>
          <cell r="E2318">
            <v>0</v>
          </cell>
          <cell r="F2318" t="str">
            <v>Bỏ chọn</v>
          </cell>
          <cell r="G2318"/>
          <cell r="H2318"/>
        </row>
        <row r="2319">
          <cell r="A2319" t="str">
            <v>V56.000.019</v>
          </cell>
          <cell r="B2319" t="str">
            <v>USB 3.0 16GB KINGSTON DT100G3</v>
          </cell>
          <cell r="C2319" t="str">
            <v>Ổ CỨNG DI ĐỘNG CỔNG USB 3.0 DUNG LƯỢNG 16GB HIỆU KINGSTON</v>
          </cell>
          <cell r="D2319" t="str">
            <v>USB 3.0 16GB KINGSTON DT100G3</v>
          </cell>
          <cell r="E2319">
            <v>0</v>
          </cell>
          <cell r="F2319" t="str">
            <v>Bỏ chọn</v>
          </cell>
          <cell r="G2319"/>
          <cell r="H2319"/>
        </row>
        <row r="2320">
          <cell r="A2320" t="str">
            <v>V51.000.079</v>
          </cell>
          <cell r="B2320" t="str">
            <v>NOTEBOOK POWER100</v>
          </cell>
          <cell r="C2320" t="str">
            <v>SỔ TAY POWER100</v>
          </cell>
          <cell r="D2320" t="str">
            <v>NOTEBOOK POWER100</v>
          </cell>
          <cell r="E2320">
            <v>0</v>
          </cell>
          <cell r="F2320" t="str">
            <v>Bỏ chọn</v>
          </cell>
          <cell r="G2320"/>
          <cell r="H2320"/>
        </row>
        <row r="2321">
          <cell r="A2321" t="str">
            <v>V51.000.080</v>
          </cell>
          <cell r="B2321" t="str">
            <v>HAND UMBRELLA POWER100</v>
          </cell>
          <cell r="C2321" t="str">
            <v>DÙ CẦM TAY POWER100</v>
          </cell>
          <cell r="D2321" t="str">
            <v>HAND UMBRELLA POWER100</v>
          </cell>
          <cell r="E2321">
            <v>0</v>
          </cell>
          <cell r="F2321" t="str">
            <v>Bỏ chọn</v>
          </cell>
          <cell r="G2321"/>
          <cell r="H2321"/>
        </row>
        <row r="2322">
          <cell r="A2322" t="str">
            <v>7.D3701109902012401</v>
          </cell>
          <cell r="B2322" t="str">
            <v>WHITE COMPOUND SLW-38022X-109CI</v>
          </cell>
          <cell r="C2322" t="str">
            <v>NGUYÊN LIỆU THỰC PHẨM SÔ-CÔ-LA TRẮNG SLW-38022X</v>
          </cell>
          <cell r="D2322" t="str">
            <v>WHITE COMPOUND SLW-38022X-109CI</v>
          </cell>
          <cell r="E2322">
            <v>1</v>
          </cell>
          <cell r="F2322" t="str">
            <v>Bỏ chọn</v>
          </cell>
          <cell r="G2322"/>
          <cell r="H2322"/>
        </row>
        <row r="2323">
          <cell r="A2323" t="str">
            <v>V51.046.019</v>
          </cell>
          <cell r="B2323" t="str">
            <v>MUSHROOM BOUILLON GRANULE 380G</v>
          </cell>
          <cell r="C2323" t="str">
            <v>HẠT NÊM TAM BẢO VỊ NẤM 380G</v>
          </cell>
          <cell r="D2323" t="str">
            <v>MUSHROOM BOUILLON GRANULE 380G</v>
          </cell>
          <cell r="E2323">
            <v>0</v>
          </cell>
          <cell r="F2323" t="str">
            <v>Bỏ chọn</v>
          </cell>
          <cell r="G2323"/>
          <cell r="H2323"/>
        </row>
        <row r="2324">
          <cell r="A2324" t="str">
            <v>V51.000.081</v>
          </cell>
          <cell r="B2324" t="str">
            <v>SHELF TALKER POWER100 (SHORT TYPE 40CM)</v>
          </cell>
          <cell r="C2324" t="str">
            <v>KHAY SẮT QUẢNG CÁO L POWER100 (LOẠI NGẮN 40CM)</v>
          </cell>
          <cell r="D2324" t="str">
            <v>SHELF TALKER POWER100 (SHORT TYPE 40CM)</v>
          </cell>
          <cell r="E2324">
            <v>0</v>
          </cell>
          <cell r="F2324" t="str">
            <v>Bỏ chọn</v>
          </cell>
          <cell r="G2324"/>
          <cell r="H2324"/>
        </row>
        <row r="2325">
          <cell r="A2325" t="str">
            <v>V51.000.082</v>
          </cell>
          <cell r="B2325" t="str">
            <v>SHELF TALKER POWER100 (LONG TYPE 80CM)</v>
          </cell>
          <cell r="C2325" t="str">
            <v>KHAY SẮT QUẢNG CÁO L POWER100 (LOẠI DÀI 80CM)</v>
          </cell>
          <cell r="D2325" t="str">
            <v>SHELF TALKER POWER100 (LONG TYPE 80CM)</v>
          </cell>
          <cell r="E2325">
            <v>0</v>
          </cell>
          <cell r="F2325" t="str">
            <v>Bỏ chọn</v>
          </cell>
          <cell r="G2325"/>
          <cell r="H2325"/>
        </row>
        <row r="2326">
          <cell r="A2326" t="str">
            <v>7.70545</v>
          </cell>
          <cell r="B2326" t="str">
            <v xml:space="preserve">PALM WAX WILMAX 1200; IN CARTON 20KG </v>
          </cell>
          <cell r="C2326" t="str">
            <v>SÁP CỌ WILMAX 1200, THÙNG 20KG</v>
          </cell>
          <cell r="D2326" t="str">
            <v xml:space="preserve">PALM WAX WILMAX 1200; IN CARTON 20KG </v>
          </cell>
          <cell r="E2326">
            <v>20</v>
          </cell>
          <cell r="F2326" t="str">
            <v>Bỏ chọn</v>
          </cell>
          <cell r="G2326"/>
          <cell r="H2326"/>
        </row>
        <row r="2327">
          <cell r="A2327" t="str">
            <v>7.70546</v>
          </cell>
          <cell r="B2327" t="str">
            <v>STEARIC ACID (WILFARIN SA-1804); IN BAG 25KG</v>
          </cell>
          <cell r="C2327" t="str">
            <v>AXIT STEARIC - WILFARIN SA1804; BAO 25KG</v>
          </cell>
          <cell r="D2327" t="str">
            <v>STEARIC ACID (WILFARIN SA-1804); IN BAG 25KG</v>
          </cell>
          <cell r="E2327">
            <v>1</v>
          </cell>
          <cell r="F2327" t="str">
            <v>Chọn</v>
          </cell>
          <cell r="G2327"/>
          <cell r="H2327"/>
        </row>
        <row r="2328">
          <cell r="A2328" t="str">
            <v>7.70547</v>
          </cell>
          <cell r="B2328" t="str">
            <v>STEARIC ACID  38% (WILFARIN SA1838); IN BAG 25KG</v>
          </cell>
          <cell r="C2328" t="str">
            <v>AXIT STEARIC 38% - WILFARIN SA1838; BAO 25KG</v>
          </cell>
          <cell r="D2328" t="str">
            <v>STEARIC ACID  38% (WILFARIN SA1838); IN BAG 25KG</v>
          </cell>
          <cell r="E2328">
            <v>1</v>
          </cell>
          <cell r="F2328" t="str">
            <v>Chọn</v>
          </cell>
          <cell r="G2328"/>
          <cell r="H2328"/>
        </row>
        <row r="2329">
          <cell r="A2329" t="str">
            <v>7.70548</v>
          </cell>
          <cell r="B2329" t="str">
            <v>SOAP NOODLE 80-20 (WILFARIN SN-8020); IN BAG 25KG</v>
          </cell>
          <cell r="C2329" t="str">
            <v>PHÔI XÀ PHÒNG - WILFARIN SN8020; BAO 25KG</v>
          </cell>
          <cell r="D2329" t="str">
            <v>SOAP NOODLE 80-20 (WILFARIN SN-8020); IN BAG 25KG</v>
          </cell>
          <cell r="E2329">
            <v>1</v>
          </cell>
          <cell r="F2329" t="str">
            <v>Chọn</v>
          </cell>
          <cell r="G2329"/>
          <cell r="H2329"/>
        </row>
        <row r="2330">
          <cell r="A2330" t="str">
            <v>6.70538</v>
          </cell>
          <cell r="B2330" t="str">
            <v>REFINED GLYCERINE WILFARIN USP 99.7%; IN STEEL DRUM 250KG</v>
          </cell>
          <cell r="C2330" t="str">
            <v>GLYXERIN- WILFARIN USP 99.7%; PHUY THÉP 250KG</v>
          </cell>
          <cell r="D2330" t="str">
            <v>REFINED GLYCERINE WILFARIN USP 99.7%; IN STEEL DRUM 250KG</v>
          </cell>
          <cell r="E2330">
            <v>1</v>
          </cell>
          <cell r="F2330" t="str">
            <v>Bỏ chọn</v>
          </cell>
          <cell r="G2330"/>
          <cell r="H2330"/>
        </row>
        <row r="2331">
          <cell r="A2331" t="str">
            <v>7.70549</v>
          </cell>
          <cell r="B2331" t="str">
            <v>STEARIC ACID  65% (WILFARIN SA1865); IN BAG 25KG</v>
          </cell>
          <cell r="C2331" t="str">
            <v>AXIT STEARIC 65% - WILFARIN SA1865; BAO 25KG</v>
          </cell>
          <cell r="D2331" t="str">
            <v>STEARIC ACID  65% (WILFARIN SA1865); IN BAG 25KG</v>
          </cell>
          <cell r="E2331">
            <v>1</v>
          </cell>
          <cell r="F2331" t="str">
            <v>Chọn</v>
          </cell>
          <cell r="G2331"/>
          <cell r="H2331"/>
        </row>
        <row r="2332">
          <cell r="A2332" t="str">
            <v>7.70550</v>
          </cell>
          <cell r="B2332" t="str">
            <v>METHYL ESTER SULFONATE FLAKES (WILFAMES C16 FR); IN BAG 25KG</v>
          </cell>
          <cell r="C2332" t="str">
            <v>CHẾ PHẨM HOẠT ĐỘNG BỀ MẶT DẠNG ANION - WILFAMES C16FR; BAO 25KG</v>
          </cell>
          <cell r="D2332" t="str">
            <v>METHYL ESTER SULFONATE FLAKES (WILFAMES C16 FR); IN BAG 25KG</v>
          </cell>
          <cell r="E2332">
            <v>1</v>
          </cell>
          <cell r="F2332" t="str">
            <v>Chọn</v>
          </cell>
          <cell r="G2332"/>
          <cell r="H2332"/>
        </row>
        <row r="2333">
          <cell r="A2333" t="str">
            <v>7.70551</v>
          </cell>
          <cell r="B2333" t="str">
            <v>FATTY ALCOHOL 1698; IN BAG 25KG</v>
          </cell>
          <cell r="C2333" t="str">
            <v>RƯỢU CETYL 1698; BAO 25KG</v>
          </cell>
          <cell r="D2333" t="str">
            <v>FATTY ALCOHOL 1698; IN BAG 25KG</v>
          </cell>
          <cell r="E2333">
            <v>1</v>
          </cell>
          <cell r="F2333" t="str">
            <v>Bỏ chọn</v>
          </cell>
          <cell r="G2333"/>
          <cell r="H2333"/>
        </row>
        <row r="2334">
          <cell r="A2334" t="str">
            <v>6.70539</v>
          </cell>
          <cell r="B2334" t="str">
            <v>REFINED GLYCERINE 99.7% (USP GRADE); IN FLEXIBAG</v>
          </cell>
          <cell r="C2334" t="str">
            <v>GLYXERIN- USP 99.7% (USP GRADE) ; TÚI FLEXIBAG</v>
          </cell>
          <cell r="D2334" t="str">
            <v>REFINED GLYCERINE 99.7% (USP GRADE); IN FLEXIBAG</v>
          </cell>
          <cell r="E2334">
            <v>1</v>
          </cell>
          <cell r="F2334" t="str">
            <v>Bỏ chọn</v>
          </cell>
          <cell r="G2334"/>
          <cell r="H2334"/>
        </row>
        <row r="2335">
          <cell r="A2335" t="str">
            <v>6.70540</v>
          </cell>
          <cell r="B2335" t="str">
            <v>YELLOW GLYCERINE; IN FLEXIBAG</v>
          </cell>
          <cell r="C2335" t="str">
            <v>GLYXERIN MÀU VÀNG ; TÚI FLEXIBAG</v>
          </cell>
          <cell r="D2335" t="str">
            <v>YELLOW GLYCERINE; IN FLEXIBAG</v>
          </cell>
          <cell r="E2335">
            <v>1</v>
          </cell>
          <cell r="F2335" t="str">
            <v>Bỏ chọn</v>
          </cell>
          <cell r="G2335"/>
          <cell r="H2335"/>
        </row>
        <row r="2336">
          <cell r="A2336" t="str">
            <v>7.B24072399010116</v>
          </cell>
          <cell r="B2336" t="str">
            <v>TOMATO SAUCE 500G X 12 BOT/CAR</v>
          </cell>
          <cell r="C2336" t="str">
            <v>TƯƠNG CÀ 500G X 12 CHAI/THÙNG</v>
          </cell>
          <cell r="D2336" t="str">
            <v>TOMATO SAUCE 500G X 12 BOT/CAR</v>
          </cell>
          <cell r="E2336">
            <v>6</v>
          </cell>
          <cell r="F2336" t="str">
            <v>Bỏ chọn</v>
          </cell>
          <cell r="G2336" t="str">
            <v>2000000008</v>
          </cell>
          <cell r="H2336" t="str">
            <v>7.B2407239901011601</v>
          </cell>
        </row>
        <row r="2337">
          <cell r="A2337" t="str">
            <v>7.B2407239901011601</v>
          </cell>
          <cell r="B2337" t="str">
            <v>TOMATO SAUCE 500G</v>
          </cell>
          <cell r="C2337" t="str">
            <v>TƯƠNG CÀ 500G</v>
          </cell>
          <cell r="D2337" t="str">
            <v>TOMATO SAUCE 500G</v>
          </cell>
          <cell r="E2337">
            <v>0.5</v>
          </cell>
          <cell r="F2337" t="str">
            <v>Bỏ chọn</v>
          </cell>
          <cell r="G2337" t="str">
            <v>2000000008</v>
          </cell>
          <cell r="H2337"/>
        </row>
        <row r="2338">
          <cell r="A2338" t="str">
            <v>7.101071281805A60</v>
          </cell>
          <cell r="B2338" t="str">
            <v>CAILAN ROL IV 56 1L X 12POUCH</v>
          </cell>
          <cell r="C2338" t="str">
            <v>DẦU THỰC VẬT TINH LUYỆN NHÃN HIỆU CÁI LÂN 1L</v>
          </cell>
          <cell r="D2338" t="str">
            <v>CAILAN ROL IV 56 1L X 12POUCH</v>
          </cell>
          <cell r="E2338">
            <v>10.92</v>
          </cell>
          <cell r="F2338" t="str">
            <v>Bỏ chọn</v>
          </cell>
          <cell r="G2338"/>
          <cell r="H2338"/>
        </row>
        <row r="2339">
          <cell r="A2339" t="str">
            <v>7.101071281800A60</v>
          </cell>
          <cell r="B2339" t="str">
            <v>CAILAN ROL IV 56 IN POUCH @1L</v>
          </cell>
          <cell r="C2339" t="str">
            <v>DẦU THỰC VẬT TINH LUYỆN NHÃN HIỆU CÁI LÂN 1L</v>
          </cell>
          <cell r="D2339" t="str">
            <v>CAILAN ROL IV 56 IN POUCH @1L</v>
          </cell>
          <cell r="E2339">
            <v>0.91</v>
          </cell>
          <cell r="F2339" t="str">
            <v>Bỏ chọn</v>
          </cell>
          <cell r="G2339"/>
          <cell r="H2339"/>
        </row>
        <row r="2340">
          <cell r="A2340" t="str">
            <v>7.101089591200D60</v>
          </cell>
          <cell r="B2340" t="str">
            <v>SATELLITE ROL-C IN JRG@ 25KG /RSPO MB</v>
          </cell>
          <cell r="C2340" t="str">
            <v>DẦU OLEIN CỌ TINH LUYỆN - C NHÃN HIỆU SATELLITE (RSPO/MB) TRONG CAN NHỰA 25KG</v>
          </cell>
          <cell r="D2340" t="str">
            <v>SATELLITE ROL-C IN JRG@ 25KG /RSPO MB</v>
          </cell>
          <cell r="E2340">
            <v>25</v>
          </cell>
          <cell r="F2340" t="str">
            <v>Chọn</v>
          </cell>
          <cell r="G2340"/>
          <cell r="H2340"/>
        </row>
        <row r="2341">
          <cell r="A2341" t="str">
            <v>V39.000.053</v>
          </cell>
          <cell r="B2341" t="str">
            <v>TULIP RUBBER GLOVES</v>
          </cell>
          <cell r="C2341" t="str">
            <v>GĂNG TAY CAO SU TULIP</v>
          </cell>
          <cell r="D2341" t="str">
            <v>TULIP RUBBER GLOVES</v>
          </cell>
          <cell r="E2341">
            <v>0</v>
          </cell>
          <cell r="F2341" t="str">
            <v>Bỏ chọn</v>
          </cell>
          <cell r="G2341"/>
          <cell r="H2341"/>
        </row>
        <row r="2342">
          <cell r="A2342" t="str">
            <v>V39.000.054</v>
          </cell>
          <cell r="B2342" t="str">
            <v>MEADOW FRESH NECK T-SHIRT-BLUE</v>
          </cell>
          <cell r="C2342" t="str">
            <v>ÁO THUN CÓ CỔ MEADOW FRESH-MÀU XANH</v>
          </cell>
          <cell r="D2342" t="str">
            <v>MEADOW FRESH NECK T-SHIRT-BLUE</v>
          </cell>
          <cell r="E2342">
            <v>0</v>
          </cell>
          <cell r="F2342" t="str">
            <v>Chọn</v>
          </cell>
          <cell r="G2342"/>
          <cell r="H2342"/>
        </row>
        <row r="2343">
          <cell r="A2343" t="str">
            <v>V51.000.083</v>
          </cell>
          <cell r="B2343" t="str">
            <v>MEADOW FRESH WOBBLER</v>
          </cell>
          <cell r="C2343" t="str">
            <v>CON LẮC QUẢNG CÁO MEADOW FRESH</v>
          </cell>
          <cell r="D2343" t="str">
            <v>MEADOW FRESH WOBBLER</v>
          </cell>
          <cell r="E2343">
            <v>0</v>
          </cell>
          <cell r="F2343" t="str">
            <v>Chọn</v>
          </cell>
          <cell r="G2343"/>
          <cell r="H2343"/>
        </row>
        <row r="2344">
          <cell r="A2344" t="str">
            <v>7.B24106333810199</v>
          </cell>
          <cell r="B2344" t="str">
            <v>MAYONNAISE SIMPLY FOR PROFESSIONAL CHEFS 2.5KG X 4 PAIL/CAR</v>
          </cell>
          <cell r="C2344" t="str">
            <v>MAYONNAISE SIMPLY FOR PROFESSIONAL CHEFS 2.5KG X 4 XÔ/THÙNG</v>
          </cell>
          <cell r="D2344" t="str">
            <v>MAYONNAISE SIMPLY FOR PROFESSIONAL CHEFS 2.5KG X 4 PAIL/CAR</v>
          </cell>
          <cell r="E2344">
            <v>10</v>
          </cell>
          <cell r="F2344" t="str">
            <v>Bỏ chọn</v>
          </cell>
          <cell r="G2344" t="str">
            <v>2000000008</v>
          </cell>
          <cell r="H2344" t="str">
            <v>7.B2410633381019901</v>
          </cell>
        </row>
        <row r="2345">
          <cell r="A2345" t="str">
            <v>7.B2410633381019901</v>
          </cell>
          <cell r="B2345" t="str">
            <v>MAYONNAISE SIMPLY FOR PROFESSIONAL CHEFS 2.5KG</v>
          </cell>
          <cell r="C2345" t="str">
            <v>MAYONNAISE SIMPLY FOR PROFESSIONAL CHEFS 2.5KG</v>
          </cell>
          <cell r="D2345" t="str">
            <v>MAYONNAISE SIMPLY FOR PROFESSIONAL CHEFS 2.5KG</v>
          </cell>
          <cell r="E2345">
            <v>2.5</v>
          </cell>
          <cell r="F2345" t="str">
            <v>Bỏ chọn</v>
          </cell>
          <cell r="G2345" t="str">
            <v>2000000008</v>
          </cell>
          <cell r="H2345"/>
        </row>
        <row r="2346">
          <cell r="A2346" t="str">
            <v>7.70552</v>
          </cell>
          <cell r="B2346" t="str">
            <v>ERCAWAX CS30 V/FD; IN BAG 20KG</v>
          </cell>
          <cell r="C2346" t="str">
            <v>CHẤT HỮU CƠ HOẠT ĐỘNG BỀ MẶT DẠNG KHÔNG PHÂN LY ERCAWAX CS30 V/FD; BAO 20KG</v>
          </cell>
          <cell r="D2346" t="str">
            <v>ERCAWAX CS30 V/FD; IN BAG 20KG</v>
          </cell>
          <cell r="E2346">
            <v>1</v>
          </cell>
          <cell r="F2346" t="str">
            <v>Bỏ chọn</v>
          </cell>
          <cell r="G2346"/>
          <cell r="H2346"/>
        </row>
        <row r="2347">
          <cell r="A2347" t="str">
            <v>V39.000.055</v>
          </cell>
          <cell r="B2347" t="str">
            <v>MEADOW FRESH NECK T-SHIR-WHITE</v>
          </cell>
          <cell r="C2347" t="str">
            <v>ÁO THUN CÓ CỔ MEADOW FRESH-MÀU TRẮNG</v>
          </cell>
          <cell r="D2347" t="str">
            <v>MEADOW FRESH NECK T-SHIR-WHITE</v>
          </cell>
          <cell r="E2347">
            <v>0</v>
          </cell>
          <cell r="F2347" t="str">
            <v>Chọn</v>
          </cell>
          <cell r="G2347"/>
          <cell r="H2347"/>
        </row>
        <row r="2348">
          <cell r="A2348" t="str">
            <v>6.1212A98</v>
          </cell>
          <cell r="B2348" t="str">
            <v>RE-REFINED PALM OLEIN (TTP/LC1)</v>
          </cell>
          <cell r="C2348" t="str">
            <v>DẦU OLEIN CỌ TINH LUYỆN TRONG XE BỒN (TTP/LC1)</v>
          </cell>
          <cell r="D2348" t="str">
            <v>RE-REFINED PALM OLEIN (TTP/LC1)</v>
          </cell>
          <cell r="E2348">
            <v>1</v>
          </cell>
          <cell r="F2348" t="str">
            <v>Chọn</v>
          </cell>
          <cell r="G2348"/>
          <cell r="H2348"/>
        </row>
        <row r="2349">
          <cell r="A2349" t="str">
            <v>7.101000792200D30</v>
          </cell>
          <cell r="B2349" t="str">
            <v>RBD PALM OLEIN FLEXIBLEBAG@20MT(TTP/LC1)</v>
          </cell>
          <cell r="C2349" t="str">
            <v>DẦU OLEIN CỌ TINH LUYỆN TRONG TÚI FLEXIBAG (TTP/LC1)</v>
          </cell>
          <cell r="D2349" t="str">
            <v>RBD PALM OLEIN FLEXIBLEBAG@20MT(TTP/LC1)</v>
          </cell>
          <cell r="E2349">
            <v>1</v>
          </cell>
          <cell r="F2349" t="str">
            <v>Chọn</v>
          </cell>
          <cell r="G2349"/>
          <cell r="H2349"/>
        </row>
        <row r="2350">
          <cell r="A2350" t="str">
            <v>7.C3501559949A227</v>
          </cell>
          <cell r="B2350" t="str">
            <v>DISHWASHING LIQUID POWER100 LEMON, 3,8KG X 4 JRG IN CARTON, MEGA MARKET</v>
          </cell>
          <cell r="C2350" t="str">
            <v>NƯỚC RỬA CHÉN POWER100 HƯƠNG CHANH, LOẠI 3,8KG X 4 CAN TRONG THÙNG CARTON, MEGA MARKET</v>
          </cell>
          <cell r="D2350" t="str">
            <v>DISHWASHING LIQUID POWER100 LEMON, 3,8KG X 4 JRG IN CARTON, MEGA MARKET</v>
          </cell>
          <cell r="E2350">
            <v>15.2</v>
          </cell>
          <cell r="F2350" t="str">
            <v>Bỏ chọn</v>
          </cell>
          <cell r="G2350"/>
          <cell r="H2350"/>
        </row>
        <row r="2351">
          <cell r="A2351" t="str">
            <v>7.C3501559949A22701</v>
          </cell>
          <cell r="B2351" t="str">
            <v>DISHWASHING LIQUID POWER100 LEMON, 3,8KG, MEGA MARKET</v>
          </cell>
          <cell r="C2351" t="str">
            <v>NƯỚC RỬA CHÉN POWER100 HƯƠNG CHANH, LOẠI 3,8KG, MEGA MARKET</v>
          </cell>
          <cell r="D2351" t="str">
            <v>DISHWASHING LIQUID POWER100 LEMON, 3,8KG, MEGA MARKET</v>
          </cell>
          <cell r="E2351">
            <v>3.8</v>
          </cell>
          <cell r="F2351" t="str">
            <v>Bỏ chọn</v>
          </cell>
          <cell r="G2351"/>
          <cell r="H2351"/>
        </row>
        <row r="2352">
          <cell r="A2352" t="str">
            <v>7.5239922990532</v>
          </cell>
          <cell r="B2352" t="str">
            <v>BLUE COMPASS-25-ASIA</v>
          </cell>
          <cell r="C2352" t="str">
            <v>BỘT MÌ THÔNG DỤNG LA BÀN XANH (25KG)</v>
          </cell>
          <cell r="D2352" t="str">
            <v>BLUE COMPASS-25-ASIA</v>
          </cell>
          <cell r="E2352">
            <v>1</v>
          </cell>
          <cell r="F2352" t="str">
            <v>Bỏ chọn</v>
          </cell>
          <cell r="G2352"/>
          <cell r="H2352"/>
        </row>
        <row r="2353">
          <cell r="A2353" t="str">
            <v>V51.000.084</v>
          </cell>
          <cell r="B2353" t="str">
            <v>ANTIBACTERIAL CLOTH MASK</v>
          </cell>
          <cell r="C2353" t="str">
            <v>KHẨU TRANG VẢI KHÁNG KHUẨN</v>
          </cell>
          <cell r="D2353" t="str">
            <v>ANTIBACTERIAL CLOTH MASK</v>
          </cell>
          <cell r="E2353">
            <v>0</v>
          </cell>
          <cell r="F2353" t="str">
            <v>Bỏ chọn</v>
          </cell>
          <cell r="G2353"/>
          <cell r="H2353"/>
        </row>
        <row r="2354">
          <cell r="A2354" t="str">
            <v>7.B24012361390142</v>
          </cell>
          <cell r="B2354" t="str">
            <v>FERMENTED SOY SAUCE 280ML X 24 BOT</v>
          </cell>
          <cell r="C2354" t="str">
            <v>NƯỚC TƯƠNG NAM DƯƠNG ĐẬU NÀNH LÊN MEN TỰ NHIÊN 280ML X 24 CHAI</v>
          </cell>
          <cell r="D2354" t="str">
            <v>FERMENTED SOY SAUCE 280ML X 24 BOT</v>
          </cell>
          <cell r="E2354">
            <v>7.7131999999999996</v>
          </cell>
          <cell r="F2354" t="str">
            <v>Bỏ chọn</v>
          </cell>
          <cell r="G2354" t="str">
            <v>2000000008</v>
          </cell>
          <cell r="H2354" t="str">
            <v>7.B2401236139014201</v>
          </cell>
        </row>
        <row r="2355">
          <cell r="A2355" t="str">
            <v>7.B2401236139014201</v>
          </cell>
          <cell r="B2355" t="str">
            <v>FERMENTED SOY SAUCE 280ML</v>
          </cell>
          <cell r="C2355" t="str">
            <v>NƯỚC TƯƠNG NAM DƯƠNG ĐẬU NÀNH LÊN MEN TỰ NHIÊN 280ML</v>
          </cell>
          <cell r="D2355" t="str">
            <v>FERMENTED SOY SAUCE 280ML</v>
          </cell>
          <cell r="E2355">
            <v>0.32140000000000002</v>
          </cell>
          <cell r="F2355" t="str">
            <v>Bỏ chọn</v>
          </cell>
          <cell r="G2355" t="str">
            <v>2000000008</v>
          </cell>
          <cell r="H2355"/>
        </row>
        <row r="2356">
          <cell r="A2356" t="str">
            <v>7.B24012361370142</v>
          </cell>
          <cell r="B2356" t="str">
            <v>FERMENTED SOY SAUCE 500ML X 24 BOT</v>
          </cell>
          <cell r="C2356" t="str">
            <v>NƯỚC TƯƠNG NAM DƯƠNG ĐẬU NÀNH LÊN MEN TỰ NHIÊN 500ML X 24 CHAI</v>
          </cell>
          <cell r="D2356" t="str">
            <v>FERMENTED SOY SAUCE 500ML X 24 BOT</v>
          </cell>
          <cell r="E2356">
            <v>13.7736</v>
          </cell>
          <cell r="F2356" t="str">
            <v>Bỏ chọn</v>
          </cell>
          <cell r="G2356" t="str">
            <v>2000000008</v>
          </cell>
          <cell r="H2356" t="str">
            <v>7.B2401236137014201</v>
          </cell>
        </row>
        <row r="2357">
          <cell r="A2357" t="str">
            <v>7.B2401236137014201</v>
          </cell>
          <cell r="B2357" t="str">
            <v>FERMENTED SOY SAUCE 500ML</v>
          </cell>
          <cell r="C2357" t="str">
            <v>NƯỚC TƯƠNG NAM DƯƠNG ĐẬU NÀNH LÊN MEN TỰ NHIÊN 500ML</v>
          </cell>
          <cell r="D2357" t="str">
            <v>FERMENTED SOY SAUCE 500ML</v>
          </cell>
          <cell r="E2357">
            <v>0.57389999999999997</v>
          </cell>
          <cell r="F2357" t="str">
            <v>Bỏ chọn</v>
          </cell>
          <cell r="G2357" t="str">
            <v>2000000008</v>
          </cell>
          <cell r="H2357"/>
        </row>
        <row r="2358">
          <cell r="A2358" t="str">
            <v>V74.000.003</v>
          </cell>
          <cell r="B2358" t="str">
            <v>WILMAR CLEAR BAG WITH DECAL</v>
          </cell>
          <cell r="C2358" t="str">
            <v>BÌA NÚT DÁN ĐỀ CAN WILMAR</v>
          </cell>
          <cell r="D2358" t="str">
            <v>WILMAR CLEAR BAG WITH DECAL</v>
          </cell>
          <cell r="E2358">
            <v>0</v>
          </cell>
          <cell r="F2358" t="str">
            <v>Chọn</v>
          </cell>
          <cell r="G2358"/>
          <cell r="H2358"/>
        </row>
        <row r="2359">
          <cell r="A2359" t="str">
            <v>7.458051B51705000</v>
          </cell>
          <cell r="B2359" t="str">
            <v>MEIZAN RBD SFO 1L(0.91KG) X 12 BTL</v>
          </cell>
          <cell r="C2359" t="str">
            <v>DẦU HƯỚNG DƯƠNG NHÃN HIỆU MEIZAN 1L</v>
          </cell>
          <cell r="D2359" t="str">
            <v>MEIZAN RBD SFO 1L(0.91KG) X 12 BTL</v>
          </cell>
          <cell r="E2359">
            <v>10.92</v>
          </cell>
          <cell r="F2359" t="str">
            <v>Chọn</v>
          </cell>
          <cell r="G2359"/>
          <cell r="H2359" t="str">
            <v>7.458051B51700000</v>
          </cell>
        </row>
        <row r="2360">
          <cell r="A2360" t="str">
            <v>7.458051B51700000</v>
          </cell>
          <cell r="B2360" t="str">
            <v>CO-MEIZAN RBDSFO IN BOTTLE @1L(0.91KG)</v>
          </cell>
          <cell r="C2360" t="str">
            <v>DẦU HƯỚNG DƯƠNG NHÃN HIỆU MEIZAN 1L</v>
          </cell>
          <cell r="D2360" t="str">
            <v>CO-MEIZAN RBDSFO IN BOTTLE @1L(0.91KG)</v>
          </cell>
          <cell r="E2360">
            <v>0.91</v>
          </cell>
          <cell r="F2360" t="str">
            <v>Chọn</v>
          </cell>
          <cell r="G2360"/>
          <cell r="H2360"/>
        </row>
        <row r="2361">
          <cell r="A2361" t="str">
            <v>7.C35015599920139</v>
          </cell>
          <cell r="B2361" t="str">
            <v>FLOOR CLEANER POWER100 NATURAL FLOWER, 990 G X 12 BOTTLES</v>
          </cell>
          <cell r="C2361" t="str">
            <v>NƯỚC LAU SÀN POWER100 HƯƠNG HOA THIÊN NHIÊN, LOẠI 990G X 12 CHAI TRONG THÙNG CARTON</v>
          </cell>
          <cell r="D2361" t="str">
            <v>FLOOR CLEANER POWER100 NATURAL FLOWER, 990 G X 12 BOTTLES</v>
          </cell>
          <cell r="E2361">
            <v>11.88</v>
          </cell>
          <cell r="F2361" t="str">
            <v>Bỏ chọn</v>
          </cell>
          <cell r="G2361"/>
          <cell r="H2361"/>
        </row>
        <row r="2362">
          <cell r="A2362" t="str">
            <v>7.C3501559992013901</v>
          </cell>
          <cell r="B2362" t="str">
            <v>FLOOR CLEANER POWER100 NATURAL FLOWER, 990G</v>
          </cell>
          <cell r="C2362" t="str">
            <v>NƯỚC LAU SÀN POWER100 HƯƠNG HOA THIÊN NHIÊN, LOẠI 990G</v>
          </cell>
          <cell r="D2362" t="str">
            <v>FLOOR CLEANER POWER100 NATURAL FLOWER, 990G</v>
          </cell>
          <cell r="E2362">
            <v>0.99</v>
          </cell>
          <cell r="F2362" t="str">
            <v>Bỏ chọn</v>
          </cell>
          <cell r="G2362"/>
          <cell r="H2362"/>
        </row>
        <row r="2363">
          <cell r="A2363" t="str">
            <v>7.C35015599920140</v>
          </cell>
          <cell r="B2363" t="str">
            <v xml:space="preserve">FLOOR CLEANER POWER100 LEMONGRASS, 990 G X 12 BOTTLES </v>
          </cell>
          <cell r="C2363" t="str">
            <v>NƯỚC LAU SÀN POWER100 HƯƠNG CHANH SẢ, LOẠI 990G X 12 CHAI TRONG THÙNG CARTON</v>
          </cell>
          <cell r="D2363" t="str">
            <v xml:space="preserve">FLOOR CLEANER POWER100 LEMONGRASS, 990 G X 12 BOTTLES </v>
          </cell>
          <cell r="E2363">
            <v>11.88</v>
          </cell>
          <cell r="F2363" t="str">
            <v>Bỏ chọn</v>
          </cell>
          <cell r="G2363"/>
          <cell r="H2363"/>
        </row>
        <row r="2364">
          <cell r="A2364" t="str">
            <v>7.C3501559992014001</v>
          </cell>
          <cell r="B2364" t="str">
            <v>FLOOR CLEANER POWER100 LEMONGRASS, 990 G</v>
          </cell>
          <cell r="C2364" t="str">
            <v>NƯỚC LAU SÀN POWER100 HƯƠNG CHANH SẢ, LOẠI 990G</v>
          </cell>
          <cell r="D2364" t="str">
            <v>FLOOR CLEANER POWER100 LEMONGRASS, 990 G</v>
          </cell>
          <cell r="E2364">
            <v>0.99</v>
          </cell>
          <cell r="F2364" t="str">
            <v>Bỏ chọn</v>
          </cell>
          <cell r="G2364"/>
          <cell r="H2364"/>
        </row>
        <row r="2365">
          <cell r="A2365" t="str">
            <v>7.B24062362180199</v>
          </cell>
          <cell r="B2365" t="str">
            <v>BLACK SAUCE 250G X 24 BOT</v>
          </cell>
          <cell r="C2365" t="str">
            <v>TƯƠNG ĐEN 250G X 24 CHAI</v>
          </cell>
          <cell r="D2365" t="str">
            <v>BLACK SAUCE 250G X 24 BOT</v>
          </cell>
          <cell r="E2365">
            <v>6</v>
          </cell>
          <cell r="F2365" t="str">
            <v>Bỏ chọn</v>
          </cell>
          <cell r="G2365" t="str">
            <v>2000000008</v>
          </cell>
          <cell r="H2365" t="str">
            <v>7.B2406236218019901</v>
          </cell>
        </row>
        <row r="2366">
          <cell r="A2366" t="str">
            <v>7.B2406236218019901</v>
          </cell>
          <cell r="B2366" t="str">
            <v>BLACK SAUCE 250G</v>
          </cell>
          <cell r="C2366" t="str">
            <v>TƯƠNG ĐEN 250G</v>
          </cell>
          <cell r="D2366" t="str">
            <v>BLACK SAUCE 250G</v>
          </cell>
          <cell r="E2366">
            <v>0.25</v>
          </cell>
          <cell r="F2366" t="str">
            <v>Bỏ chọn</v>
          </cell>
          <cell r="G2366" t="str">
            <v>2000000008</v>
          </cell>
          <cell r="H2366"/>
        </row>
        <row r="2367">
          <cell r="A2367" t="str">
            <v>7.B2406236201019901</v>
          </cell>
          <cell r="B2367" t="str">
            <v>BLACK SAUCE 500G</v>
          </cell>
          <cell r="C2367" t="str">
            <v>TƯƠNG ĐEN 500G</v>
          </cell>
          <cell r="D2367" t="str">
            <v>BLACK SAUCE 500G</v>
          </cell>
          <cell r="E2367">
            <v>0.5</v>
          </cell>
          <cell r="F2367" t="str">
            <v>Bỏ chọn</v>
          </cell>
          <cell r="G2367" t="str">
            <v>2000000008</v>
          </cell>
          <cell r="H2367"/>
        </row>
        <row r="2368">
          <cell r="A2368" t="str">
            <v>V51.00A.022</v>
          </cell>
          <cell r="B2368" t="str">
            <v>WOOD SPICE STAND</v>
          </cell>
          <cell r="C2368" t="str">
            <v>KHAY GỖ ĐỰNG GIA VỊ</v>
          </cell>
          <cell r="D2368" t="str">
            <v>WOOD SPICE STAND</v>
          </cell>
          <cell r="E2368">
            <v>0</v>
          </cell>
          <cell r="F2368" t="str">
            <v>Bỏ chọn</v>
          </cell>
          <cell r="G2368"/>
          <cell r="H2368"/>
        </row>
        <row r="2369">
          <cell r="A2369" t="str">
            <v>7.B24062362010199</v>
          </cell>
          <cell r="B2369" t="str">
            <v>BLACK SAUCE 500G X 12 BOT</v>
          </cell>
          <cell r="C2369" t="str">
            <v>TƯƠNG ĐEN 500G X 12 CHAI</v>
          </cell>
          <cell r="D2369" t="str">
            <v>BLACK SAUCE 500G X 12 BOT</v>
          </cell>
          <cell r="E2369">
            <v>6</v>
          </cell>
          <cell r="F2369" t="str">
            <v>Bỏ chọn</v>
          </cell>
          <cell r="G2369" t="str">
            <v>2000000008</v>
          </cell>
          <cell r="H2369" t="str">
            <v>7.B2406236201019901</v>
          </cell>
        </row>
        <row r="2370">
          <cell r="A2370" t="str">
            <v>7.131084031705E10</v>
          </cell>
          <cell r="B2370" t="str">
            <v>BLEND OIL CO-MEIZAN GOLD S 1L X 12 BTL</v>
          </cell>
          <cell r="C2370" t="str">
            <v>DẦU ĂN CAO CẤP NHÃN HIỆU MEIZAN GOLD 1L</v>
          </cell>
          <cell r="D2370" t="str">
            <v>BLEND OIL CO-MEIZAN GOLD S 1L X 12 BTL</v>
          </cell>
          <cell r="E2370">
            <v>10.92</v>
          </cell>
          <cell r="F2370" t="str">
            <v>Chọn</v>
          </cell>
          <cell r="G2370"/>
          <cell r="H2370"/>
        </row>
        <row r="2371">
          <cell r="A2371" t="str">
            <v>7.131084031700E10</v>
          </cell>
          <cell r="B2371" t="str">
            <v>BLEND OIL CO-MEIZAN GOLD S IN BOTTLE @1L</v>
          </cell>
          <cell r="C2371" t="str">
            <v>DẦU ĂN CAO CẤP NHÃN HIỆU MEIZAN GOLD 1L</v>
          </cell>
          <cell r="D2371" t="str">
            <v>BLEND OIL CO-MEIZAN GOLD S IN BOTTLE @1L</v>
          </cell>
          <cell r="E2371">
            <v>0.91</v>
          </cell>
          <cell r="F2371" t="str">
            <v>Chọn</v>
          </cell>
          <cell r="G2371"/>
          <cell r="H2371"/>
        </row>
        <row r="2372">
          <cell r="A2372" t="str">
            <v>7.131084041700E10</v>
          </cell>
          <cell r="B2372" t="str">
            <v>BLEND OIL CO-MEIZAN GOLD S IN BOTTLE @2L</v>
          </cell>
          <cell r="C2372" t="str">
            <v>DẦU ĂN CAO CẤP NHÃN HIỆU MEIZAN GOLD 2L</v>
          </cell>
          <cell r="D2372" t="str">
            <v>BLEND OIL CO-MEIZAN GOLD S IN BOTTLE @2L</v>
          </cell>
          <cell r="E2372">
            <v>1.82</v>
          </cell>
          <cell r="F2372" t="str">
            <v>Bỏ chọn</v>
          </cell>
          <cell r="G2372"/>
          <cell r="H2372"/>
        </row>
        <row r="2373">
          <cell r="A2373" t="str">
            <v>7.131084041704E10</v>
          </cell>
          <cell r="B2373" t="str">
            <v>BLEND OIL CO-MEIZAN GOLD S 2L X 6 BTL</v>
          </cell>
          <cell r="C2373" t="str">
            <v>DẦU ĂN CAO CẤP NHÃN HIỆU MEIZAN GOLD 2L</v>
          </cell>
          <cell r="D2373" t="str">
            <v>BLEND OIL CO-MEIZAN GOLD S 2L X 6 BTL</v>
          </cell>
          <cell r="E2373">
            <v>10.92</v>
          </cell>
          <cell r="F2373" t="str">
            <v>Chọn</v>
          </cell>
          <cell r="G2373"/>
          <cell r="H2373"/>
        </row>
        <row r="2374">
          <cell r="A2374" t="str">
            <v>7.131084061700E10</v>
          </cell>
          <cell r="B2374" t="str">
            <v>BLEND OIL CO-MEIZAN GOLD S IN BOTTLE @5L</v>
          </cell>
          <cell r="C2374" t="str">
            <v>DẦU ĂN CAO CẤP NHÃN HIỆU MEIZAN GOLD 5L</v>
          </cell>
          <cell r="D2374" t="str">
            <v>BLEND OIL CO-MEIZAN GOLD S IN BOTTLE @5L</v>
          </cell>
          <cell r="E2374">
            <v>4.55</v>
          </cell>
          <cell r="F2374" t="str">
            <v>Bỏ chọn</v>
          </cell>
          <cell r="G2374"/>
          <cell r="H2374"/>
        </row>
        <row r="2375">
          <cell r="A2375" t="str">
            <v>7.131084061703E10</v>
          </cell>
          <cell r="B2375" t="str">
            <v>BLEND OIL CO-MEIZAN GOLD S 5L X 4 BTL</v>
          </cell>
          <cell r="C2375" t="str">
            <v>DẦU ĂN CAO CẤP NHÃN HIỆU MEIZAN GOLD 5L</v>
          </cell>
          <cell r="D2375" t="str">
            <v>BLEND OIL CO-MEIZAN GOLD S 5L X 4 BTL</v>
          </cell>
          <cell r="E2375">
            <v>18.2</v>
          </cell>
          <cell r="F2375" t="str">
            <v>Chọn</v>
          </cell>
          <cell r="G2375"/>
          <cell r="H2375"/>
        </row>
        <row r="2376">
          <cell r="A2376" t="str">
            <v>7.131084121700E10</v>
          </cell>
          <cell r="B2376" t="str">
            <v>BLEND OIL CO-MEIZAN GOLD S IN BOTTLE @0.4L</v>
          </cell>
          <cell r="C2376" t="str">
            <v>DẦU ĂN CAO CẤP NHÃN HIỆU MEIZAN GOLD 0.4L</v>
          </cell>
          <cell r="D2376" t="str">
            <v>BLEND OIL CO-MEIZAN GOLD S IN BOTTLE @0.4L</v>
          </cell>
          <cell r="E2376">
            <v>0.36</v>
          </cell>
          <cell r="F2376" t="str">
            <v>Bỏ chọn</v>
          </cell>
          <cell r="G2376"/>
          <cell r="H2376"/>
        </row>
        <row r="2377">
          <cell r="A2377" t="str">
            <v>7.131084121712E10</v>
          </cell>
          <cell r="B2377" t="str">
            <v>BLEND OIL CO-MEIZAN GOLD S 0.4L X 20 BTL</v>
          </cell>
          <cell r="C2377" t="str">
            <v>DẦU ĂN CAO CẤP NHÃN HIỆU MEIZAN GOLD 0.4L</v>
          </cell>
          <cell r="D2377" t="str">
            <v>BLEND OIL CO-MEIZAN GOLD S 0.4L X 20 BTL</v>
          </cell>
          <cell r="E2377">
            <v>7.28</v>
          </cell>
          <cell r="F2377" t="str">
            <v>Bỏ chọn</v>
          </cell>
          <cell r="G2377"/>
          <cell r="H2377"/>
        </row>
        <row r="2378">
          <cell r="A2378" t="str">
            <v>7.460050030105030zz</v>
          </cell>
          <cell r="B2378" t="str">
            <v>SIMPLY RBDRBO 1L X 12 BTL</v>
          </cell>
          <cell r="C2378" t="str">
            <v>DẦU GẠO LỨT NHÃN HIỆU SIMPLY 1L</v>
          </cell>
          <cell r="D2378" t="str">
            <v>SIMPLY RBDRBO 1L X 12 BTL</v>
          </cell>
          <cell r="E2378">
            <v>10.92</v>
          </cell>
          <cell r="F2378" t="str">
            <v>Bỏ chọn</v>
          </cell>
          <cell r="G2378"/>
          <cell r="H2378"/>
        </row>
        <row r="2379">
          <cell r="A2379" t="str">
            <v>7.101041570901D30</v>
          </cell>
          <cell r="B2379" t="str">
            <v>RBD PALM OLEIN IN BIB @18KG (TTP/LC1)</v>
          </cell>
          <cell r="C2379" t="str">
            <v>DẦU OLEIN CỌ TINH LUYỆN NHÃN HIỆU SATELLITE TRONG TÚI BIB 18KG (TTP/LC1)</v>
          </cell>
          <cell r="D2379" t="str">
            <v>RBD PALM OLEIN IN BIB @18KG (TTP/LC1)</v>
          </cell>
          <cell r="E2379">
            <v>18</v>
          </cell>
          <cell r="F2379" t="str">
            <v>Chọn</v>
          </cell>
          <cell r="G2379"/>
          <cell r="H2379"/>
        </row>
        <row r="2380">
          <cell r="A2380" t="str">
            <v>7.131036D11701E40</v>
          </cell>
          <cell r="B2380" t="str">
            <v>REFINED VEGETABLE OIL ORCHID 0.88L</v>
          </cell>
          <cell r="C2380" t="str">
            <v>DẦU THỰC VẬT TINH LUYỆN NHÃN HIỆU ORCHID 0.88L</v>
          </cell>
          <cell r="D2380" t="str">
            <v>REFINED VEGETABLE OIL ORCHID 0.88L</v>
          </cell>
          <cell r="E2380">
            <v>0.80100000000000005</v>
          </cell>
          <cell r="F2380" t="str">
            <v>Chọn</v>
          </cell>
          <cell r="G2380"/>
          <cell r="H2380"/>
        </row>
        <row r="2381">
          <cell r="A2381" t="str">
            <v>7.C35025599610139</v>
          </cell>
          <cell r="B2381" t="str">
            <v>FLOOR CLEANER POWER100 NATURAL FLOWER, 300G X 36 BOTTLES  IN CARTON</v>
          </cell>
          <cell r="C2381" t="str">
            <v>NƯỚC LAU SÀN POWER100 HƯƠNG HOA THIÊN NHIÊN, LOẠI 300G X 36 CHAI TRONG THÙNG CARTON</v>
          </cell>
          <cell r="D2381" t="str">
            <v>FLOOR CLEANER POWER100 NATURAL FLOWER, 300G X 36 BOTTLES  IN CARTON</v>
          </cell>
          <cell r="E2381">
            <v>10.8</v>
          </cell>
          <cell r="F2381" t="str">
            <v>Bỏ chọn</v>
          </cell>
          <cell r="G2381"/>
          <cell r="H2381"/>
        </row>
        <row r="2382">
          <cell r="A2382" t="str">
            <v>7.C35025599610140</v>
          </cell>
          <cell r="B2382" t="str">
            <v>FLOOR CLEANER POWER100 LEMONGRASS, 300G X 36 BOTTLES  IN CARTON</v>
          </cell>
          <cell r="C2382" t="str">
            <v>NƯỚC LAU SÀN POWER100 HƯƠNG CHANH SẢ, LOẠI 300G X 36 CHAI TRONG THÙNG CARTON</v>
          </cell>
          <cell r="D2382" t="str">
            <v>FLOOR CLEANER POWER100 LEMONGRASS, 300G X 36 BOTTLES  IN CARTON</v>
          </cell>
          <cell r="E2382">
            <v>10.8</v>
          </cell>
          <cell r="F2382" t="str">
            <v>Bỏ chọn</v>
          </cell>
          <cell r="G2382"/>
          <cell r="H2382"/>
        </row>
        <row r="2383">
          <cell r="A2383" t="str">
            <v>7.C3502559961013901</v>
          </cell>
          <cell r="B2383" t="str">
            <v xml:space="preserve">FLOOR CLEANER POWER100 NATURAL FLOWER, 300G </v>
          </cell>
          <cell r="C2383" t="str">
            <v>NƯỚC LAU SÀN POWER100 HƯƠNG HOA THIÊN NHIÊN, LOẠI 300G</v>
          </cell>
          <cell r="D2383" t="str">
            <v>FLOOR CLEANER POWER100 NATURAL FLOWER, 300G</v>
          </cell>
          <cell r="E2383">
            <v>0.3</v>
          </cell>
          <cell r="F2383" t="str">
            <v>Bỏ chọn</v>
          </cell>
          <cell r="G2383"/>
          <cell r="H2383"/>
        </row>
        <row r="2384">
          <cell r="A2384" t="str">
            <v>7.C3502559961014001</v>
          </cell>
          <cell r="B2384" t="str">
            <v xml:space="preserve">FLOOR CLEANER POWER100 LEMONGRASS, 300G </v>
          </cell>
          <cell r="C2384" t="str">
            <v>NƯỚC LAU SÀN POWER100 HƯƠNG CHANH SẢ, LOẠI 300G</v>
          </cell>
          <cell r="D2384" t="str">
            <v xml:space="preserve">FLOOR CLEANER POWER100 LEMONGRASS, 300G </v>
          </cell>
          <cell r="E2384">
            <v>0.3</v>
          </cell>
          <cell r="F2384" t="str">
            <v>Bỏ chọn</v>
          </cell>
          <cell r="G2384"/>
          <cell r="H2384"/>
        </row>
        <row r="2385">
          <cell r="A2385" t="str">
            <v>7.134011099020199</v>
          </cell>
          <cell r="B2385" t="str">
            <v>169484 GFIG PUFF PASTRY MARGARINE MEDIUM IN CARTON 10KG</v>
          </cell>
          <cell r="C2385" t="str">
            <v>BƠ LÁ PUFF PASTRY MEDIUM 169484 GFIG TRONG THÙNG CARTON 10KG</v>
          </cell>
          <cell r="D2385" t="str">
            <v>169484 GFIG PUFF PASTRY MARGARINE MEDIUM IN CARTON 10KG</v>
          </cell>
          <cell r="E2385">
            <v>1</v>
          </cell>
          <cell r="F2385" t="str">
            <v>Bỏ chọn</v>
          </cell>
          <cell r="G2385"/>
          <cell r="H2385"/>
        </row>
        <row r="2386">
          <cell r="A2386" t="str">
            <v>V56.000.020</v>
          </cell>
          <cell r="B2386" t="str">
            <v>PRINTER KIM EPSON LQ 310</v>
          </cell>
          <cell r="C2386" t="str">
            <v>MÁY IN KIM EPSON LQ 310</v>
          </cell>
          <cell r="D2386" t="str">
            <v>PRINTER KIM EPSON LQ 310</v>
          </cell>
          <cell r="E2386">
            <v>0</v>
          </cell>
          <cell r="F2386" t="str">
            <v>Bỏ chọn</v>
          </cell>
          <cell r="G2386"/>
          <cell r="H2386"/>
        </row>
        <row r="2387">
          <cell r="A2387" t="str">
            <v>V56.000.021</v>
          </cell>
          <cell r="B2387" t="str">
            <v>PRINTER HP MFP M130FN</v>
          </cell>
          <cell r="C2387" t="str">
            <v>MÁY IN HP MFP M130FN</v>
          </cell>
          <cell r="D2387" t="str">
            <v>PRINTER HP MFP M130FN</v>
          </cell>
          <cell r="E2387">
            <v>0</v>
          </cell>
          <cell r="F2387" t="str">
            <v>Bỏ chọn</v>
          </cell>
          <cell r="G2387"/>
          <cell r="H2387"/>
        </row>
        <row r="2388">
          <cell r="A2388" t="str">
            <v>V56.000.022</v>
          </cell>
          <cell r="B2388" t="str">
            <v>PRINTER HP LASER JET PRO MFP M28A</v>
          </cell>
          <cell r="C2388" t="str">
            <v>MÁY IN HP LASER JET PRO MFP M28A</v>
          </cell>
          <cell r="D2388" t="str">
            <v>PRINTER HP LASER JET PRO MFP M28A</v>
          </cell>
          <cell r="E2388">
            <v>0</v>
          </cell>
          <cell r="F2388" t="str">
            <v>Bỏ chọn</v>
          </cell>
          <cell r="G2388"/>
          <cell r="H2388"/>
        </row>
        <row r="2389">
          <cell r="A2389" t="str">
            <v>7.131060061703790</v>
          </cell>
          <cell r="B2389" t="str">
            <v>CO-ORCHID S  5L X 4 BTL</v>
          </cell>
          <cell r="C2389" t="str">
            <v>DẦU THỰC VẬT TINH LUYỆN NHÃN HIỆU ORCHID 5L</v>
          </cell>
          <cell r="D2389" t="str">
            <v>CO-ORCHID S  5L X 4 BTL</v>
          </cell>
          <cell r="E2389">
            <v>18.2</v>
          </cell>
          <cell r="F2389" t="str">
            <v>Chọn</v>
          </cell>
          <cell r="G2389"/>
          <cell r="H2389" t="str">
            <v>7.131060061700790</v>
          </cell>
        </row>
        <row r="2390">
          <cell r="A2390" t="str">
            <v>7.131060041704790</v>
          </cell>
          <cell r="B2390" t="str">
            <v>CO-ORCHID S  2L X 6 BTL</v>
          </cell>
          <cell r="C2390" t="str">
            <v>DẦU THỰC VẬT TINH LUYỆN NHÃN HIỆU ORCHID 2L</v>
          </cell>
          <cell r="D2390" t="str">
            <v>CO-ORCHID S  2L X 6 BTL</v>
          </cell>
          <cell r="E2390">
            <v>10.92</v>
          </cell>
          <cell r="F2390" t="str">
            <v>Chọn</v>
          </cell>
          <cell r="G2390"/>
          <cell r="H2390" t="str">
            <v>7.131060041700790</v>
          </cell>
        </row>
        <row r="2391">
          <cell r="A2391" t="str">
            <v>7.131060031705790</v>
          </cell>
          <cell r="B2391" t="str">
            <v>CO-ORCHID S  1L X 12 BTL</v>
          </cell>
          <cell r="C2391" t="str">
            <v>DẦU THỰC VẬT TINH LUYỆN NHÃN HIỆU ORCHID 1L</v>
          </cell>
          <cell r="D2391" t="str">
            <v>CO-ORCHID S  1L X 12 BTL</v>
          </cell>
          <cell r="E2391">
            <v>10.92</v>
          </cell>
          <cell r="F2391" t="str">
            <v>Chọn</v>
          </cell>
          <cell r="G2391"/>
          <cell r="H2391" t="str">
            <v>7.131060031700790</v>
          </cell>
        </row>
        <row r="2392">
          <cell r="A2392" t="str">
            <v>V51.00A.023</v>
          </cell>
          <cell r="B2392" t="str">
            <v>SOY SAUCE HANGER</v>
          </cell>
          <cell r="C2392" t="str">
            <v>HANGER TREO 6 CHAI NƯỚC TƯƠNG</v>
          </cell>
          <cell r="D2392" t="str">
            <v>SOY SAUCE HANGER</v>
          </cell>
          <cell r="E2392">
            <v>0</v>
          </cell>
          <cell r="F2392" t="str">
            <v>Bỏ chọn</v>
          </cell>
          <cell r="G2392"/>
          <cell r="H2392"/>
        </row>
        <row r="2393">
          <cell r="A2393" t="str">
            <v>V51.00A.024</v>
          </cell>
          <cell r="B2393" t="str">
            <v>SOY SAUCE DISPLAY SHELF</v>
          </cell>
          <cell r="C2393" t="str">
            <v>KỆ TRƯNG BÀY NƯỚC TƯƠNG</v>
          </cell>
          <cell r="D2393" t="str">
            <v>SOY SAUCE DISPLAY SHELF</v>
          </cell>
          <cell r="E2393">
            <v>0</v>
          </cell>
          <cell r="F2393" t="str">
            <v>Bỏ chọn</v>
          </cell>
          <cell r="G2393"/>
          <cell r="H2393"/>
        </row>
        <row r="2394">
          <cell r="A2394" t="str">
            <v>6.70541</v>
          </cell>
          <cell r="B2394" t="str">
            <v>GENAGEN CAB UQS - H 0200, DRUM 200KGS</v>
          </cell>
          <cell r="C2394" t="str">
            <v>CHẤT HOẠT ĐỘNG BỀ MẶT GENAGEN CAB UQS - H 0200, PHUY 200KG</v>
          </cell>
          <cell r="D2394" t="str">
            <v>GENAGEN CAB UQS - H 0200, DRUM 200KGS</v>
          </cell>
          <cell r="E2394">
            <v>1</v>
          </cell>
          <cell r="F2394" t="str">
            <v>Chọn</v>
          </cell>
          <cell r="G2394"/>
          <cell r="H2394"/>
        </row>
        <row r="2395">
          <cell r="A2395" t="str">
            <v>V51.00A.025</v>
          </cell>
          <cell r="B2395" t="str">
            <v>TOPBOARD WITH PLASTIC BOXES (79 CM X 29.5 CM)</v>
          </cell>
          <cell r="C2395" t="str">
            <v>VỈ TREO HỘC NHỰA (79 CM X 29.5 CM)</v>
          </cell>
          <cell r="D2395" t="str">
            <v>TOPBOARD WITH PLASTIC BOXES (79 CM X 29.5 CM)</v>
          </cell>
          <cell r="E2395">
            <v>0.157</v>
          </cell>
          <cell r="F2395" t="str">
            <v>Bỏ chọn</v>
          </cell>
          <cell r="G2395"/>
          <cell r="H2395"/>
        </row>
        <row r="2396">
          <cell r="A2396" t="str">
            <v>V51.00A.026</v>
          </cell>
          <cell r="B2396" t="str">
            <v>PLASTIC BASKET 708</v>
          </cell>
          <cell r="C2396" t="str">
            <v>RỔ NHỰA 708</v>
          </cell>
          <cell r="D2396" t="str">
            <v>PLASTIC BASKET 708</v>
          </cell>
          <cell r="E2396">
            <v>0.2858</v>
          </cell>
          <cell r="F2396" t="str">
            <v>Bỏ chọn</v>
          </cell>
          <cell r="G2396"/>
          <cell r="H2396"/>
        </row>
        <row r="2397">
          <cell r="A2397" t="str">
            <v>V39.000.056</v>
          </cell>
          <cell r="B2397" t="str">
            <v>TULIP RUBBER GLOVES</v>
          </cell>
          <cell r="C2397" t="str">
            <v>GĂNG TAY CAO SU TULIP</v>
          </cell>
          <cell r="D2397" t="str">
            <v>TULIP RUBBER GLOVES</v>
          </cell>
          <cell r="E2397">
            <v>0</v>
          </cell>
          <cell r="F2397" t="str">
            <v>Bỏ chọn</v>
          </cell>
          <cell r="G2397"/>
          <cell r="H2397"/>
        </row>
        <row r="2398">
          <cell r="A2398" t="str">
            <v>V39.000.057</v>
          </cell>
          <cell r="B2398" t="str">
            <v>RAINCOAT POWER100</v>
          </cell>
          <cell r="C2398" t="str">
            <v>ÁO MƯA POWER100</v>
          </cell>
          <cell r="D2398" t="str">
            <v>RAINCOAT POWER100</v>
          </cell>
          <cell r="E2398">
            <v>0</v>
          </cell>
          <cell r="F2398" t="str">
            <v>Bỏ chọn</v>
          </cell>
          <cell r="G2398"/>
          <cell r="H2398"/>
        </row>
        <row r="2399">
          <cell r="A2399" t="str">
            <v>7.1070120295108010</v>
          </cell>
          <cell r="B2399" t="str">
            <v>MEIZAN BOS (ORANGE) IN PEGAG@20KG</v>
          </cell>
          <cell r="C2399" t="str">
            <v>DẦU BƠ THAY THẾ NHÃN HIỆU MEIZAN (NHÃN MÀU CAM) TRONG THÙNG CARTON 20KG</v>
          </cell>
          <cell r="D2399" t="str">
            <v>MEIZAN BOS (ORANGE) IN PEGAG@20KG</v>
          </cell>
          <cell r="E2399">
            <v>20</v>
          </cell>
          <cell r="F2399" t="str">
            <v>Chọn</v>
          </cell>
          <cell r="G2399"/>
          <cell r="H2399"/>
        </row>
        <row r="2400">
          <cell r="A2400" t="str">
            <v>7.B24022399451299</v>
          </cell>
          <cell r="B2400" t="str">
            <v>CHILLI SAUCE HORECA LAO 470G X 24 BOT</v>
          </cell>
          <cell r="C2400" t="str">
            <v>TƯƠNG ỚT HORECA LÀO 470G X 24 CHAI</v>
          </cell>
          <cell r="D2400" t="str">
            <v>CHILLI SAUCE HORECA LAO 470G X 24 BOT</v>
          </cell>
          <cell r="E2400">
            <v>11.28</v>
          </cell>
          <cell r="F2400" t="str">
            <v>Bỏ chọn</v>
          </cell>
          <cell r="G2400"/>
          <cell r="H2400"/>
        </row>
        <row r="2401">
          <cell r="A2401" t="str">
            <v>7.B2402239945129901</v>
          </cell>
          <cell r="B2401" t="str">
            <v>CHILLI SAUCE HORECA LAO 470G</v>
          </cell>
          <cell r="C2401" t="str">
            <v>TƯƠNG ỚT HORECA LÀO 470G</v>
          </cell>
          <cell r="D2401" t="str">
            <v>CHILLI SAUCE HORECA LAO 470G</v>
          </cell>
          <cell r="E2401">
            <v>0.47</v>
          </cell>
          <cell r="F2401" t="str">
            <v>Bỏ chọn</v>
          </cell>
          <cell r="G2401"/>
          <cell r="H2401"/>
        </row>
        <row r="2402">
          <cell r="A2402" t="str">
            <v>7.134011099040199</v>
          </cell>
          <cell r="B2402" t="str">
            <v>169484 GFIG PUFF PASTRY MARGARINE MEDIUM IN CARTON 10KG</v>
          </cell>
          <cell r="C2402" t="str">
            <v>BƠ LÁ PUFF PASTRY MEDIUM 169484 GFIG TRONG THÙNG CARTON 10KG</v>
          </cell>
          <cell r="D2402" t="str">
            <v>169484 GFIG PUFF PASTRY MARGARINE MEDIUM IN CARTON 10KG</v>
          </cell>
          <cell r="E2402">
            <v>10</v>
          </cell>
          <cell r="F2402" t="str">
            <v>Chọn</v>
          </cell>
          <cell r="G2402"/>
          <cell r="H2402"/>
        </row>
        <row r="2403">
          <cell r="A2403" t="str">
            <v>7.131086591200G70</v>
          </cell>
          <cell r="B2403" t="str">
            <v>SATELLITE(RED LABEL)VEG OIL IN JRG @25KG</v>
          </cell>
          <cell r="C2403" t="str">
            <v>DẦU THỰC VẬT TINH LUYỆN NHÃN HIỆU SATELLITE (NHÃN MÀU ĐỎ) TRONG CAN NHỰA 25KG</v>
          </cell>
          <cell r="D2403" t="str">
            <v>SATELLITE(RED LABEL)VEG OIL IN JRG @25KG</v>
          </cell>
          <cell r="E2403">
            <v>25</v>
          </cell>
          <cell r="F2403" t="str">
            <v>Chọn</v>
          </cell>
          <cell r="G2403"/>
          <cell r="H2403"/>
        </row>
        <row r="2404">
          <cell r="A2404" t="str">
            <v>7.B24012399651201</v>
          </cell>
          <cell r="B2404" t="str">
            <v>SOYA SOY SAUCE LAO 470ML X 24 BOT</v>
          </cell>
          <cell r="C2404" t="str">
            <v>NƯỚC CHẤM SOYA LÀO 470ML X 24 CHAI</v>
          </cell>
          <cell r="D2404" t="str">
            <v>SOYA SOY SAUCE LAO 470ML X 24 BOT</v>
          </cell>
          <cell r="E2404">
            <v>12.285</v>
          </cell>
          <cell r="F2404" t="str">
            <v>Bỏ chọn</v>
          </cell>
          <cell r="G2404"/>
          <cell r="H2404"/>
        </row>
        <row r="2405">
          <cell r="A2405" t="str">
            <v>7.B2401239965120101</v>
          </cell>
          <cell r="B2405" t="str">
            <v>SOYA SOY SAUCE LAO 470ML</v>
          </cell>
          <cell r="C2405" t="str">
            <v>NƯỚC CHẤM SOYA LÀO 470ML</v>
          </cell>
          <cell r="D2405" t="str">
            <v>SOYA SOY SAUCE LAO 470ML</v>
          </cell>
          <cell r="E2405">
            <v>0.51190000000000002</v>
          </cell>
          <cell r="F2405" t="str">
            <v>Bỏ chọn</v>
          </cell>
          <cell r="G2405"/>
          <cell r="H2405"/>
        </row>
        <row r="2406">
          <cell r="A2406" t="str">
            <v>7.B24012399805904</v>
          </cell>
          <cell r="B2406" t="str">
            <v>PREMIUM SOY SAUCE CAMBODIA 95ML X 24 BOT</v>
          </cell>
          <cell r="C2406" t="str">
            <v>NƯỚC TƯƠNG THƯỢNG HẠNG CAMBODIA 95ML X 24 CHAI</v>
          </cell>
          <cell r="D2406" t="str">
            <v>PREMIUM SOY SAUCE CAMBODIA 95ML X 24 BOT</v>
          </cell>
          <cell r="E2406">
            <v>2.5432999999999999</v>
          </cell>
          <cell r="F2406" t="str">
            <v>Bỏ chọn</v>
          </cell>
          <cell r="G2406"/>
          <cell r="H2406"/>
        </row>
        <row r="2407">
          <cell r="A2407" t="str">
            <v>7.B2401239980590401</v>
          </cell>
          <cell r="B2407" t="str">
            <v>PREMIUM SOY SAUCE CAMBODIA 95ML</v>
          </cell>
          <cell r="C2407" t="str">
            <v>NƯỚC TƯƠNG THƯỢNG HẠNG CAMBODIA 95ML</v>
          </cell>
          <cell r="D2407" t="str">
            <v>PREMIUM SOY SAUCE CAMBODIA 95ML</v>
          </cell>
          <cell r="E2407">
            <v>0.106</v>
          </cell>
          <cell r="F2407" t="str">
            <v>Bỏ chọn</v>
          </cell>
          <cell r="G2407"/>
          <cell r="H2407"/>
        </row>
        <row r="2408">
          <cell r="A2408" t="str">
            <v>V51.00A.027</v>
          </cell>
          <cell r="B2408" t="str">
            <v>PP BREAD CART 0,6M X 1,1M</v>
          </cell>
          <cell r="C2408" t="str">
            <v>PP DÁN XE BÁNH MÌ 0,6M X 1,1M</v>
          </cell>
          <cell r="D2408" t="str">
            <v>PP BREAD CART 0,6M X 1,1M</v>
          </cell>
          <cell r="E2408">
            <v>0</v>
          </cell>
          <cell r="F2408" t="str">
            <v>Bỏ chọn</v>
          </cell>
          <cell r="G2408"/>
          <cell r="H2408"/>
        </row>
        <row r="2409">
          <cell r="A2409" t="str">
            <v>V51.00A.028</v>
          </cell>
          <cell r="B2409" t="str">
            <v>PP BREAD CART 0,6M X 0,6M</v>
          </cell>
          <cell r="C2409" t="str">
            <v>PP DÁN BÊN HÔNG XE BÁNH MÌ 0,6M X 0,6M</v>
          </cell>
          <cell r="D2409" t="str">
            <v>PP BREAD CART 0,6M X 0,6M</v>
          </cell>
          <cell r="E2409">
            <v>0</v>
          </cell>
          <cell r="F2409" t="str">
            <v>Bỏ chọn</v>
          </cell>
          <cell r="G2409"/>
          <cell r="H2409"/>
        </row>
        <row r="2410">
          <cell r="A2410" t="str">
            <v>7.52399079905A3</v>
          </cell>
          <cell r="B2410" t="str">
            <v>GREEN KEY-25-ORION</v>
          </cell>
          <cell r="C2410" t="str">
            <v>BỘT MÌ THƯỢNG HẠNG "CHÌA KHÓA XANH LÁ" (25KG)</v>
          </cell>
          <cell r="D2410" t="str">
            <v>GREEN KEY-25-ORION</v>
          </cell>
          <cell r="E2410">
            <v>1</v>
          </cell>
          <cell r="F2410" t="str">
            <v>Bỏ chọn</v>
          </cell>
          <cell r="G2410"/>
          <cell r="H2410"/>
        </row>
        <row r="2411">
          <cell r="A2411" t="str">
            <v>7.B24012302370101</v>
          </cell>
          <cell r="B2411" t="str">
            <v>HANG VIET SOYA SAUCE 500ML X 24 BOT/CAR</v>
          </cell>
          <cell r="C2411" t="str">
            <v>NƯỚC CHẤM ĐẬU NÀNH HÀNG VIỆT 500ML X 24 CHAI/THÙNG</v>
          </cell>
          <cell r="D2411" t="str">
            <v>HANG VIET SOYA SAUCE 500ML X 24 BOT/CAR</v>
          </cell>
          <cell r="E2411">
            <v>13.095599999999999</v>
          </cell>
          <cell r="F2411" t="str">
            <v>Bỏ chọn</v>
          </cell>
          <cell r="G2411" t="str">
            <v>2000000008</v>
          </cell>
          <cell r="H2411" t="str">
            <v>7.B2401230237010101</v>
          </cell>
        </row>
        <row r="2412">
          <cell r="A2412" t="str">
            <v>7.B2401230237010101</v>
          </cell>
          <cell r="B2412" t="str">
            <v>HANG VIET SOYA SAUCE 500ML</v>
          </cell>
          <cell r="C2412" t="str">
            <v>NƯỚC CHẤM ĐẬU NÀNH HÀNG VIỆT 500ML</v>
          </cell>
          <cell r="D2412" t="str">
            <v>HANG VIET SOYA SAUCE 500ML</v>
          </cell>
          <cell r="E2412">
            <v>0.54569999999999996</v>
          </cell>
          <cell r="F2412" t="str">
            <v>Bỏ chọn</v>
          </cell>
          <cell r="G2412" t="str">
            <v>2000000008</v>
          </cell>
          <cell r="H2412"/>
        </row>
        <row r="2413">
          <cell r="A2413" t="str">
            <v>7.B24012302650101</v>
          </cell>
          <cell r="B2413" t="str">
            <v xml:space="preserve"> HANG VIET SAVING SOYA SAUCE 470ML X 24 BOT/CAR</v>
          </cell>
          <cell r="C2413" t="str">
            <v>NƯỚC CHẤM ĐẬU NÀNH HÀNG VIỆT TIẾT KIỆM 470ML X 24 CHAI/THÙNG</v>
          </cell>
          <cell r="D2413" t="str">
            <v xml:space="preserve"> HANG VIET SAVING SOYA SAUCE 470ML X 24 BOT/CAR</v>
          </cell>
          <cell r="E2413">
            <v>12.29</v>
          </cell>
          <cell r="F2413" t="str">
            <v>Bỏ chọn</v>
          </cell>
          <cell r="G2413"/>
          <cell r="H2413"/>
        </row>
        <row r="2414">
          <cell r="A2414" t="str">
            <v>7.B2401230265010101</v>
          </cell>
          <cell r="B2414" t="str">
            <v xml:space="preserve"> HANG VIET SAVING SOYA SAUCE 470ML</v>
          </cell>
          <cell r="C2414" t="str">
            <v>NƯỚC CHẤM ĐẬU NÀNH HÀNG VIỆT TIẾT KIỆM 470ML</v>
          </cell>
          <cell r="D2414" t="str">
            <v xml:space="preserve"> HANG VIET SAVING SOYA SAUCE 470ML</v>
          </cell>
          <cell r="E2414">
            <v>0.51219999999999999</v>
          </cell>
          <cell r="F2414" t="str">
            <v>Bỏ chọn</v>
          </cell>
          <cell r="G2414"/>
          <cell r="H2414"/>
        </row>
        <row r="2415">
          <cell r="A2415" t="str">
            <v>7.131005570801G80</v>
          </cell>
          <cell r="B2415" t="str">
            <v>MEIZAN 75%RPO+25ROL1008 PEBAG @18KG</v>
          </cell>
          <cell r="C2415" t="str">
            <v>DẦU CHUYÊN DỤNG NHÃN HIỆU MEIZAN 18KG</v>
          </cell>
          <cell r="D2415" t="str">
            <v>MEIZAN 75%RPO+25ROL1008 PEBAG @18KG</v>
          </cell>
          <cell r="E2415">
            <v>18</v>
          </cell>
          <cell r="F2415" t="str">
            <v>Chọn</v>
          </cell>
          <cell r="G2415"/>
          <cell r="H2415"/>
        </row>
        <row r="2416">
          <cell r="A2416" t="str">
            <v>7.5239907630501</v>
          </cell>
          <cell r="B2416" t="str">
            <v>GREEN KEY 333-25</v>
          </cell>
          <cell r="C2416" t="str">
            <v>BỘT MÌ CHUYÊN DỤNG "CHÌA KHÓA XANH LÁ -333" (25KG)</v>
          </cell>
          <cell r="D2416" t="str">
            <v>GREEN KEY 333-25</v>
          </cell>
          <cell r="E2416">
            <v>1</v>
          </cell>
          <cell r="F2416" t="str">
            <v>Bỏ chọn</v>
          </cell>
          <cell r="G2416"/>
          <cell r="H2416"/>
        </row>
        <row r="2417">
          <cell r="A2417" t="str">
            <v>V51.000.085</v>
          </cell>
          <cell r="B2417" t="str">
            <v>MEADOW FRESH DECAL MINI BOOTH</v>
          </cell>
          <cell r="C2417" t="str">
            <v>DECAL KỆ BÁN HÀNG MEADOW FRESH</v>
          </cell>
          <cell r="D2417" t="str">
            <v>MEADOW FRESH DECAL MINI BOOTH</v>
          </cell>
          <cell r="E2417">
            <v>0</v>
          </cell>
          <cell r="F2417" t="str">
            <v>Chọn</v>
          </cell>
          <cell r="G2417"/>
          <cell r="H2417"/>
        </row>
        <row r="2418">
          <cell r="A2418" t="str">
            <v>V39.000.058</v>
          </cell>
          <cell r="B2418" t="str">
            <v>MEADOW FRESH PAPER CUP</v>
          </cell>
          <cell r="C2418" t="str">
            <v>LY GIẤY MEADOW FRESH</v>
          </cell>
          <cell r="D2418" t="str">
            <v>MEADOW FRESH PAPER CUP</v>
          </cell>
          <cell r="E2418">
            <v>0</v>
          </cell>
          <cell r="F2418" t="str">
            <v>Chọn</v>
          </cell>
          <cell r="G2418"/>
          <cell r="H2418"/>
        </row>
        <row r="2419">
          <cell r="A2419" t="str">
            <v>V51.000.086</v>
          </cell>
          <cell r="B2419" t="str">
            <v>MEADOW FRESH BALLOON</v>
          </cell>
          <cell r="C2419" t="str">
            <v>BONG BÓNG MEADOW FRESH</v>
          </cell>
          <cell r="D2419" t="str">
            <v>MEADOW FRESH BALLOON</v>
          </cell>
          <cell r="E2419">
            <v>0</v>
          </cell>
          <cell r="F2419" t="str">
            <v>Chọn</v>
          </cell>
          <cell r="G2419"/>
          <cell r="H2419"/>
        </row>
        <row r="2420">
          <cell r="A2420" t="str">
            <v>V51.000.087</v>
          </cell>
          <cell r="B2420" t="str">
            <v>MEADOW FRESH LEAFLET A5</v>
          </cell>
          <cell r="C2420" t="str">
            <v>TỜ RƠI A5 MEADOW FRESH</v>
          </cell>
          <cell r="D2420" t="str">
            <v>MEADOW FRESH LEAFLET A5</v>
          </cell>
          <cell r="E2420">
            <v>0</v>
          </cell>
          <cell r="F2420" t="str">
            <v>Chọn</v>
          </cell>
          <cell r="G2420"/>
          <cell r="H2420"/>
        </row>
        <row r="2421">
          <cell r="A2421" t="str">
            <v>V51.000.088</v>
          </cell>
          <cell r="B2421" t="str">
            <v>MEIZAN PREMIUM NANG THOM RICE</v>
          </cell>
          <cell r="C2421" t="str">
            <v>MEIZAN GẠO NGON HẢO HẠNG NÀNG THƠM 5KG</v>
          </cell>
          <cell r="D2421" t="str">
            <v>MEIZAN PREMIUM NANG THOM RICE</v>
          </cell>
          <cell r="E2421">
            <v>5</v>
          </cell>
          <cell r="F2421" t="str">
            <v>Bỏ chọn</v>
          </cell>
          <cell r="G2421"/>
          <cell r="H2421"/>
        </row>
        <row r="2422">
          <cell r="A2422" t="str">
            <v>7.131078031700E10TD</v>
          </cell>
          <cell r="B2422" t="str">
            <v>CO-MEIZAN GOLD IN BOTTLE @1L</v>
          </cell>
          <cell r="C2422" t="str">
            <v>DẦU ĂN CAO CẤP NHÃN HIỆU MEIZAN GOLD 1L</v>
          </cell>
          <cell r="D2422" t="str">
            <v>CO-MEIZAN GOLD IN BOTTLE @1L</v>
          </cell>
          <cell r="E2422">
            <v>0.91</v>
          </cell>
          <cell r="F2422" t="str">
            <v>Chọn</v>
          </cell>
          <cell r="G2422"/>
          <cell r="H2422"/>
        </row>
        <row r="2423">
          <cell r="A2423" t="str">
            <v>7.131078041700E10TD</v>
          </cell>
          <cell r="B2423" t="str">
            <v>CO-MEIZAN GOLD IN BOTTLE @2L</v>
          </cell>
          <cell r="C2423" t="str">
            <v>DẦU ĂN CAO CẤP NHÃN HIỆU MEIZAN GOLD 2L</v>
          </cell>
          <cell r="D2423" t="str">
            <v>CO-MEIZAN GOLD IN BOTTLE @2L</v>
          </cell>
          <cell r="E2423">
            <v>1.82</v>
          </cell>
          <cell r="F2423" t="str">
            <v>Chọn</v>
          </cell>
          <cell r="G2423"/>
          <cell r="H2423"/>
        </row>
        <row r="2424">
          <cell r="A2424" t="str">
            <v>7.B24012361489143</v>
          </cell>
          <cell r="B2424" t="str">
            <v>SUPER SAVING HORECA SOYA SAUCE 4,5L X 4 BOT/CAR</v>
          </cell>
          <cell r="C2424" t="str">
            <v>NƯỚC CHẤM ĐẬU NÀNH HORECA SIÊU TIẾT KIỆM 4,5L X 4 CHAI/THÙNG</v>
          </cell>
          <cell r="D2424" t="str">
            <v>SUPER SAVING HORECA SOYA SAUCE 4,5L X 4 BOT/CAR</v>
          </cell>
          <cell r="E2424">
            <v>19.224</v>
          </cell>
          <cell r="F2424" t="str">
            <v>Bỏ chọn</v>
          </cell>
          <cell r="G2424" t="str">
            <v>2000000008</v>
          </cell>
          <cell r="H2424" t="str">
            <v>7.B2401236148914301</v>
          </cell>
        </row>
        <row r="2425">
          <cell r="A2425" t="str">
            <v>7.B2401236148914301</v>
          </cell>
          <cell r="B2425" t="str">
            <v>SUPER SAVING HORECA SOYA SAUCE 4,5L</v>
          </cell>
          <cell r="C2425" t="str">
            <v>NƯỚC CHẤM ĐẬU NÀNH HORECA SIÊU TIẾT KIỆM 4,5L</v>
          </cell>
          <cell r="D2425" t="str">
            <v>SUPER SAVING HORECA SOYA SAUCE 4,5L</v>
          </cell>
          <cell r="E2425">
            <v>4.806</v>
          </cell>
          <cell r="F2425" t="str">
            <v>Bỏ chọn</v>
          </cell>
          <cell r="G2425" t="str">
            <v>2000000008</v>
          </cell>
          <cell r="H2425"/>
        </row>
        <row r="2426">
          <cell r="A2426" t="str">
            <v>7.5239912650501</v>
          </cell>
          <cell r="B2426" t="str">
            <v>TAN HUE VIEN - PINK (25KG)</v>
          </cell>
          <cell r="C2426" t="str">
            <v>BỘT MÌ HIỆU TÂN HUÊ VIÊN-HỒNG (25KG)</v>
          </cell>
          <cell r="D2426" t="str">
            <v xml:space="preserve">TAN HUE VIEN - PINK (25KG)_x000D_
</v>
          </cell>
          <cell r="E2426">
            <v>1</v>
          </cell>
          <cell r="F2426" t="str">
            <v>Bỏ chọn</v>
          </cell>
          <cell r="G2426"/>
          <cell r="H2426"/>
        </row>
        <row r="2427">
          <cell r="A2427" t="str">
            <v>7.5239907660501</v>
          </cell>
          <cell r="B2427" t="str">
            <v>TAN HUE VIEN - GREEN (25KG)</v>
          </cell>
          <cell r="C2427" t="str">
            <v>BỘT MÌ HIỆU TÂN HUÊ VIÊN-XANH LÁ (25KG)</v>
          </cell>
          <cell r="D2427" t="str">
            <v xml:space="preserve">TAN HUE VIEN - GREEN (25KG)_x000D_
</v>
          </cell>
          <cell r="E2427">
            <v>1</v>
          </cell>
          <cell r="F2427" t="str">
            <v>Bỏ chọn</v>
          </cell>
          <cell r="G2427"/>
          <cell r="H2427"/>
        </row>
        <row r="2428">
          <cell r="A2428" t="str">
            <v>7.5239907660601</v>
          </cell>
          <cell r="B2428" t="str">
            <v>TAN HUE VIEN - GREEN (40KG)</v>
          </cell>
          <cell r="C2428" t="str">
            <v>BỘT MÌ HIỆU TÂN HUÊ VIÊN-XANH LÁ (40KG)</v>
          </cell>
          <cell r="D2428" t="str">
            <v xml:space="preserve">TAN HUE VIEN - GREEN (40KG)_x000D_
</v>
          </cell>
          <cell r="E2428">
            <v>1</v>
          </cell>
          <cell r="F2428" t="str">
            <v>Bỏ chọn</v>
          </cell>
          <cell r="G2428"/>
          <cell r="H2428"/>
        </row>
        <row r="2429">
          <cell r="A2429" t="str">
            <v>7.5239912650601</v>
          </cell>
          <cell r="B2429" t="str">
            <v>TAN HUE VIEN - PINK (40KG)</v>
          </cell>
          <cell r="C2429" t="str">
            <v>BỘT MÌ HIỆU TÂN HUÊ VIÊN-HỒNG (40KG)</v>
          </cell>
          <cell r="D2429" t="str">
            <v xml:space="preserve">TAN HUE VIEN - PINK (40KG)_x000D_
</v>
          </cell>
          <cell r="E2429">
            <v>1</v>
          </cell>
          <cell r="F2429" t="str">
            <v>Bỏ chọn</v>
          </cell>
          <cell r="G2429"/>
          <cell r="H2429"/>
        </row>
        <row r="2430">
          <cell r="A2430" t="str">
            <v>V51.00A.029</v>
          </cell>
          <cell r="B2430" t="str">
            <v>FOOTBALL STANDEE</v>
          </cell>
          <cell r="C2430" t="str">
            <v>STANDEE CẦU THỦ</v>
          </cell>
          <cell r="D2430" t="str">
            <v>FOOTBALL STANDEE</v>
          </cell>
          <cell r="E2430">
            <v>0</v>
          </cell>
          <cell r="F2430" t="str">
            <v>Bỏ chọn</v>
          </cell>
          <cell r="G2430"/>
          <cell r="H2430"/>
        </row>
        <row r="2431">
          <cell r="A2431" t="str">
            <v>7.5239907990512</v>
          </cell>
          <cell r="B2431" t="str">
            <v>GREEN KEY LAOS-25</v>
          </cell>
          <cell r="C2431" t="str">
            <v>BỘT MÌ THƯỢNG HẠNG CHÌA KHÓA XANH LÁ (TIẾNG LÀO) (25KG)</v>
          </cell>
          <cell r="D2431" t="str">
            <v>GREEN KEY LAOS-25</v>
          </cell>
          <cell r="E2431">
            <v>1</v>
          </cell>
          <cell r="F2431" t="str">
            <v>Bỏ chọn</v>
          </cell>
          <cell r="G2431"/>
          <cell r="H2431"/>
        </row>
        <row r="2432">
          <cell r="A2432" t="str">
            <v>7.101159570901030</v>
          </cell>
          <cell r="B2432" t="str">
            <v>CO-ORCHID IN BIB @18KG</v>
          </cell>
          <cell r="C2432" t="str">
            <v>DẦU THỰC VẬT TINH LUYỆN NHÃN HIỆU ORCHID 18KG BIB</v>
          </cell>
          <cell r="D2432" t="str">
            <v>CO-ORCHID IN BIB @18KG</v>
          </cell>
          <cell r="E2432">
            <v>18</v>
          </cell>
          <cell r="F2432" t="str">
            <v>Chọn</v>
          </cell>
          <cell r="G2432"/>
          <cell r="H2432"/>
        </row>
        <row r="2433">
          <cell r="A2433" t="str">
            <v>7.5239937670601</v>
          </cell>
          <cell r="B2433" t="str">
            <v>ORANGE KING SHRIMP (40KG)</v>
          </cell>
          <cell r="C2433" t="str">
            <v>BỘT MÌ - NGUYÊN LIỆU LÀM THỨC ĂN THỦY SẢN HIỆU “TÔM VUA CAM” (40KG)</v>
          </cell>
          <cell r="D2433" t="str">
            <v xml:space="preserve">ORANGE KING SHRIMP (40KG)_x000D_
</v>
          </cell>
          <cell r="E2433">
            <v>1</v>
          </cell>
          <cell r="F2433" t="str">
            <v>Bỏ chọn</v>
          </cell>
          <cell r="G2433"/>
          <cell r="H2433"/>
        </row>
        <row r="2434">
          <cell r="A2434" t="str">
            <v>7.5239907990699</v>
          </cell>
          <cell r="B2434" t="str">
            <v xml:space="preserve">GREEN KEY - KINH DO MDLZ 40KG </v>
          </cell>
          <cell r="C2434" t="str">
            <v>BỘT MÌ HIỆU CHÌA KHÓA XANH LÁ 40KG (BỘT MÌ SOFT)</v>
          </cell>
          <cell r="D2434" t="str">
            <v xml:space="preserve">GREEN KEY - KINH DO MDLZ 40KG _x000D_
</v>
          </cell>
          <cell r="E2434">
            <v>1</v>
          </cell>
          <cell r="F2434" t="str">
            <v>Bỏ chọn</v>
          </cell>
          <cell r="G2434"/>
          <cell r="H2434"/>
        </row>
        <row r="2435">
          <cell r="A2435" t="str">
            <v>7.5239914990699</v>
          </cell>
          <cell r="B2435" t="str">
            <v xml:space="preserve">RED COMPASS - KINH DO MDLZ 40KG </v>
          </cell>
          <cell r="C2435" t="str">
            <v>BỘT MÌ HIỆU LA BÀN ĐỎ 40KG (BỘT MÌ MEDIUM)</v>
          </cell>
          <cell r="D2435" t="str">
            <v xml:space="preserve">RED COMPASS - KINH DO MDLZ 40KG _x000D_
</v>
          </cell>
          <cell r="E2435">
            <v>1</v>
          </cell>
          <cell r="F2435" t="str">
            <v>Bỏ chọn</v>
          </cell>
          <cell r="G2435"/>
          <cell r="H2435"/>
        </row>
        <row r="2436">
          <cell r="A2436" t="str">
            <v>7.B25080899020105</v>
          </cell>
          <cell r="B2436" t="str">
            <v>MEIZAN PORK BOUILLON GRANULE 1KG X 10 PAC/CAR</v>
          </cell>
          <cell r="C2436" t="str">
            <v>HẠT NÊM MEIZAN THỊT, XƯƠNG ỐNG, TỦY, CÀ RỐT – VỊ HEO 1KG X 10 GÓI/THÙNG</v>
          </cell>
          <cell r="D2436" t="str">
            <v>MEIZAN PORK BOUILLON GRANULE 1KG X 10 PAC/CAR</v>
          </cell>
          <cell r="E2436">
            <v>10</v>
          </cell>
          <cell r="F2436" t="str">
            <v>Bỏ chọn</v>
          </cell>
          <cell r="G2436" t="str">
            <v>2000000008</v>
          </cell>
          <cell r="H2436" t="str">
            <v>7.B2508089902010501</v>
          </cell>
        </row>
        <row r="2437">
          <cell r="A2437" t="str">
            <v>7.B2508089902010501</v>
          </cell>
          <cell r="B2437" t="str">
            <v>MEIZAN PORK BOUILLON GRANULE 1KG</v>
          </cell>
          <cell r="C2437" t="str">
            <v>HẠT NÊM MEIZAN THỊT, XƯƠNG ỐNG, TỦY, CÀ RỐT – VỊ HEO 1KG</v>
          </cell>
          <cell r="D2437" t="str">
            <v>MEIZAN PORK BOUILLON GRANULE 1KG</v>
          </cell>
          <cell r="E2437">
            <v>1</v>
          </cell>
          <cell r="F2437" t="str">
            <v>Bỏ chọn</v>
          </cell>
          <cell r="G2437" t="str">
            <v>2000000008</v>
          </cell>
          <cell r="H2437"/>
        </row>
        <row r="2438">
          <cell r="A2438" t="str">
            <v>7.B25080899030105</v>
          </cell>
          <cell r="B2438" t="str">
            <v>MEIZAN PORK BOUILLON GRANULE 5KG X 03 PAC/CAR</v>
          </cell>
          <cell r="C2438" t="str">
            <v>HẠT NÊM MEIZAN THỊT, XƯƠNG ỐNG, TỦY, CÀ RỐT – VỊ HEO 5KG X 03 GÓI/THÙNG</v>
          </cell>
          <cell r="D2438" t="str">
            <v>MEIZAN PORK BOUILLON GRANULE 5KG X 03 PAC/CAR</v>
          </cell>
          <cell r="E2438">
            <v>15</v>
          </cell>
          <cell r="F2438" t="str">
            <v>Bỏ chọn</v>
          </cell>
          <cell r="G2438"/>
          <cell r="H2438"/>
        </row>
        <row r="2439">
          <cell r="A2439" t="str">
            <v>7.B2508089903010501</v>
          </cell>
          <cell r="B2439" t="str">
            <v>MEIZAN PORK BOUILLON GRANULE 5KG</v>
          </cell>
          <cell r="C2439" t="str">
            <v>HẠT NÊM MEIZAN THỊT, XƯƠNG ỐNG, TỦY, CÀ RỐT – VỊ HEO 5KG</v>
          </cell>
          <cell r="D2439" t="str">
            <v>MEIZAN PORK BOUILLON GRANULE 5KG</v>
          </cell>
          <cell r="E2439">
            <v>5</v>
          </cell>
          <cell r="F2439" t="str">
            <v>Bỏ chọn</v>
          </cell>
          <cell r="G2439"/>
          <cell r="H2439"/>
        </row>
        <row r="2440">
          <cell r="A2440" t="str">
            <v>V51.00A.030</v>
          </cell>
          <cell r="B2440" t="str">
            <v>SALAD DRESSING CARTON</v>
          </cell>
          <cell r="C2440" t="str">
            <v>KỆ CARTON DẦU GIẤM</v>
          </cell>
          <cell r="D2440" t="str">
            <v>SALAD DRESSING CARTON</v>
          </cell>
          <cell r="E2440">
            <v>0</v>
          </cell>
          <cell r="F2440" t="str">
            <v>Bỏ chọn</v>
          </cell>
          <cell r="G2440"/>
          <cell r="H2440"/>
        </row>
        <row r="2441">
          <cell r="A2441" t="str">
            <v>V51.00A.031</v>
          </cell>
          <cell r="B2441" t="str">
            <v>OYSTER SAUCE CARTON</v>
          </cell>
          <cell r="C2441" t="str">
            <v>KỆ CARTON DẦU HÀO</v>
          </cell>
          <cell r="D2441" t="str">
            <v>OYSTER SAUCE CARTON</v>
          </cell>
          <cell r="E2441">
            <v>0</v>
          </cell>
          <cell r="F2441" t="str">
            <v>Bỏ chọn</v>
          </cell>
          <cell r="G2441"/>
          <cell r="H2441"/>
        </row>
        <row r="2442">
          <cell r="A2442" t="str">
            <v>V51.00A.032</v>
          </cell>
          <cell r="B2442" t="str">
            <v>MARKET BANNER</v>
          </cell>
          <cell r="C2442" t="str">
            <v>BANNER CHỢ</v>
          </cell>
          <cell r="D2442" t="str">
            <v>MARKET BANNER</v>
          </cell>
          <cell r="E2442">
            <v>0</v>
          </cell>
          <cell r="F2442" t="str">
            <v>Bỏ chọn</v>
          </cell>
          <cell r="G2442"/>
          <cell r="H2442"/>
        </row>
        <row r="2443">
          <cell r="A2443" t="str">
            <v>V51.00A.033</v>
          </cell>
          <cell r="B2443" t="str">
            <v>STATION BANNER</v>
          </cell>
          <cell r="C2443" t="str">
            <v>BANNER TRẠM XE</v>
          </cell>
          <cell r="D2443" t="str">
            <v>STATION BANNER</v>
          </cell>
          <cell r="E2443">
            <v>0</v>
          </cell>
          <cell r="F2443" t="str">
            <v>Bỏ chọn</v>
          </cell>
          <cell r="G2443"/>
          <cell r="H2443"/>
        </row>
        <row r="2444">
          <cell r="A2444" t="str">
            <v>7.B24012361369199</v>
          </cell>
          <cell r="B2444" t="str">
            <v>HORECA SOYA SAUCE 1,96L X 6 BOT/CAR</v>
          </cell>
          <cell r="C2444" t="str">
            <v>NƯỚC CHẤM ĐẬU NÀNH HORECA 1.96L X 6 CHAI/THÙNG</v>
          </cell>
          <cell r="D2444" t="str">
            <v>HORECA SOYA SAUCE 1,96L X 6 BOT/CAR</v>
          </cell>
          <cell r="E2444">
            <v>12.762</v>
          </cell>
          <cell r="F2444" t="str">
            <v>Bỏ chọn</v>
          </cell>
          <cell r="G2444"/>
          <cell r="H2444"/>
        </row>
        <row r="2445">
          <cell r="A2445" t="str">
            <v>7.B2401236136919901</v>
          </cell>
          <cell r="B2445" t="str">
            <v>HORECA SOYA SAUCE 1,96L</v>
          </cell>
          <cell r="C2445" t="str">
            <v>NƯỚC CHẤM ĐẬU NÀNH HORECA 1.96L</v>
          </cell>
          <cell r="D2445" t="str">
            <v>HORECA SOYA SAUCE 1,96L</v>
          </cell>
          <cell r="E2445">
            <v>2.1269999999999998</v>
          </cell>
          <cell r="F2445" t="str">
            <v>Bỏ chọn</v>
          </cell>
          <cell r="G2445"/>
          <cell r="H2445"/>
        </row>
        <row r="2446">
          <cell r="A2446" t="str">
            <v>7.B24106333819999</v>
          </cell>
          <cell r="B2446" t="str">
            <v>MAYONNAISE 2,5KG X 4 PAIL/CAR</v>
          </cell>
          <cell r="C2446" t="str">
            <v>MAYONNAISE 2,5KG X 4 XÔ/THÙNG</v>
          </cell>
          <cell r="D2446" t="str">
            <v>MAYONNAISE 2,5KG X 4 PAIL/CAR</v>
          </cell>
          <cell r="E2446">
            <v>10</v>
          </cell>
          <cell r="F2446" t="str">
            <v>Bỏ chọn</v>
          </cell>
          <cell r="G2446"/>
          <cell r="H2446"/>
        </row>
        <row r="2447">
          <cell r="A2447" t="str">
            <v>7.B2410633381999901</v>
          </cell>
          <cell r="B2447" t="str">
            <v>MAYONNAISE 2,5KG</v>
          </cell>
          <cell r="C2447" t="str">
            <v>MAYONNAISE 2,5KG</v>
          </cell>
          <cell r="D2447" t="str">
            <v>MAYONNAISE 2,5KG</v>
          </cell>
          <cell r="E2447">
            <v>2.5</v>
          </cell>
          <cell r="F2447" t="str">
            <v>Bỏ chọn</v>
          </cell>
          <cell r="G2447"/>
          <cell r="H2447"/>
        </row>
        <row r="2448">
          <cell r="A2448" t="str">
            <v>V51.106.007</v>
          </cell>
          <cell r="B2448" t="str">
            <v>MEIZAN UMBRELLA (WITHOUT SOLE)</v>
          </cell>
          <cell r="C2448" t="str">
            <v>DÙ MEIZAN (KHÔNG CHÂN)</v>
          </cell>
          <cell r="D2448" t="str">
            <v>MEIZAN UMBRELLA (WITHOUT SOLE)</v>
          </cell>
          <cell r="E2448">
            <v>0</v>
          </cell>
          <cell r="F2448" t="str">
            <v>Bỏ chọn</v>
          </cell>
          <cell r="G2448"/>
          <cell r="H2448"/>
        </row>
        <row r="2449">
          <cell r="A2449" t="str">
            <v>V51.153.027</v>
          </cell>
          <cell r="B2449" t="str">
            <v>OLIVOILA CANVAS BAG</v>
          </cell>
          <cell r="C2449" t="str">
            <v>TÚI CANVAS NHÃN OLIVOILA</v>
          </cell>
          <cell r="D2449" t="str">
            <v>OLIVOILA CANVAS BAG</v>
          </cell>
          <cell r="E2449">
            <v>0</v>
          </cell>
          <cell r="F2449" t="str">
            <v>Bỏ chọn</v>
          </cell>
          <cell r="G2449"/>
          <cell r="H2449"/>
        </row>
        <row r="2450">
          <cell r="A2450" t="str">
            <v>6.1312154</v>
          </cell>
          <cell r="B2450" t="str">
            <v>MIX VEGETABLE OIL(95%ROL IV58-61+5%NSBO)</v>
          </cell>
          <cell r="C2450" t="str">
            <v>DẦU ĂN HỖN HỢP TRONG XE BỒN</v>
          </cell>
          <cell r="D2450" t="str">
            <v>MIX VEGETABLE OIL(95%ROL IV58-61+5%NSBO)</v>
          </cell>
          <cell r="E2450">
            <v>1</v>
          </cell>
          <cell r="F2450" t="str">
            <v>Chọn</v>
          </cell>
          <cell r="G2450"/>
          <cell r="H2450"/>
        </row>
        <row r="2451">
          <cell r="A2451" t="str">
            <v>V51.048.020</v>
          </cell>
          <cell r="B2451" t="str">
            <v>HANG VIET SOYA BEAN SAUCE 500ML</v>
          </cell>
          <cell r="C2451" t="str">
            <v>NƯỚC CHẤM ĐẬU NÀNH HÀNG VIỆT 500ML</v>
          </cell>
          <cell r="D2451" t="str">
            <v>HANG VIET SOYA BEAN SAUCE 500ML</v>
          </cell>
          <cell r="E2451">
            <v>0</v>
          </cell>
          <cell r="F2451" t="str">
            <v>Bỏ chọn</v>
          </cell>
          <cell r="G2451"/>
          <cell r="H2451"/>
        </row>
        <row r="2452">
          <cell r="A2452" t="str">
            <v>7.460050B91700030</v>
          </cell>
          <cell r="B2452" t="str">
            <v>SIMPLY RBDRBO IN BOTTLE @2L</v>
          </cell>
          <cell r="C2452" t="str">
            <v>DẦU GẠO LỨT NHÃN HIỆU SIMPLY 2L</v>
          </cell>
          <cell r="D2452" t="str">
            <v>SIMPLY RBDRBO IN BOTTLE @2L</v>
          </cell>
          <cell r="E2452">
            <v>1.82</v>
          </cell>
          <cell r="F2452" t="str">
            <v>Chọn</v>
          </cell>
          <cell r="G2452"/>
          <cell r="H2452"/>
        </row>
        <row r="2453">
          <cell r="A2453" t="str">
            <v>7.460050B91704030</v>
          </cell>
          <cell r="B2453" t="str">
            <v>SIMPLY RBDRBO 2L X 6BTL</v>
          </cell>
          <cell r="C2453" t="str">
            <v>DẦU GẠO LỨT NHÃN HIỆU SIMPLY 2L</v>
          </cell>
          <cell r="D2453" t="str">
            <v>SIMPLY RBDRBO 2L X 6BTL</v>
          </cell>
          <cell r="E2453">
            <v>10.92</v>
          </cell>
          <cell r="F2453" t="str">
            <v>Chọn</v>
          </cell>
          <cell r="G2453"/>
          <cell r="H2453" t="str">
            <v>7.460050B91700030</v>
          </cell>
        </row>
        <row r="2454">
          <cell r="A2454" t="str">
            <v>6.70542</v>
          </cell>
          <cell r="B2454" t="str">
            <v>WILMAR CAB - COCAMIDOPROPYL BETAINE; IBC TANK 1000KG</v>
          </cell>
          <cell r="C2454" t="str">
            <v>CHẤT HOẠT ĐỘNG BỀ MẶT WILMAR CAB - COCAMIDOPROPYL BETAINE; IBC TANK 1000KG</v>
          </cell>
          <cell r="D2454" t="str">
            <v>WILMAR CAB - COCAMIDOPROPYL BETAINE; IBC TANK 1000KG</v>
          </cell>
          <cell r="E2454">
            <v>1</v>
          </cell>
          <cell r="F2454" t="str">
            <v>Bỏ chọn</v>
          </cell>
          <cell r="G2454"/>
          <cell r="H2454"/>
        </row>
        <row r="2455">
          <cell r="A2455" t="str">
            <v>7.101089570901900</v>
          </cell>
          <cell r="B2455" t="str">
            <v>SATELLITE-OL1008 + BHT + BHA BIB @18KG</v>
          </cell>
          <cell r="C2455" t="str">
            <v>DẦU OLEIN CỌ TINH LUYỆN - C NHÃN HIỆU SATELLITE 18KG</v>
          </cell>
          <cell r="D2455" t="str">
            <v>SATELLITE-OL1008 + BHT + BHA BIB @18KG</v>
          </cell>
          <cell r="E2455">
            <v>18</v>
          </cell>
          <cell r="F2455" t="str">
            <v>Chọn</v>
          </cell>
          <cell r="G2455"/>
          <cell r="H2455"/>
        </row>
        <row r="2456">
          <cell r="A2456" t="str">
            <v>7.8340351993401</v>
          </cell>
          <cell r="B2456" t="str">
            <v>GOLDEN CROWN SHORTENING BOS 18KG IN PAIL</v>
          </cell>
          <cell r="C2456" t="str">
            <v>DẦU BƠ THAY THẾ NHÃN HIỆU GOLDEN CROWN TRONG THÙNG NHỰA 18KG</v>
          </cell>
          <cell r="D2456" t="str">
            <v>GOLDEN CROWN SHORTENING BOS 18KG IN PAIL</v>
          </cell>
          <cell r="E2456">
            <v>18</v>
          </cell>
          <cell r="F2456" t="str">
            <v>Bỏ chọn</v>
          </cell>
          <cell r="G2456"/>
          <cell r="H2456"/>
        </row>
        <row r="2457">
          <cell r="A2457" t="str">
            <v>7.B24022399939143</v>
          </cell>
          <cell r="B2457" t="str">
            <v>SUPER SAVING HORECA CHILI SAUCE 4,3KG X 4 BOT/CAR</v>
          </cell>
          <cell r="C2457" t="str">
            <v>TƯƠNG ỚT HORECA SIÊU TIẾT KIỆM 4,3KG X 4 CHAI/THÙNG</v>
          </cell>
          <cell r="D2457" t="str">
            <v>SUPER SAVING HORECA CHILI SAUCE 4,3KG X 4 BOT/CAR</v>
          </cell>
          <cell r="E2457">
            <v>17.2</v>
          </cell>
          <cell r="F2457" t="str">
            <v>Bỏ chọn</v>
          </cell>
          <cell r="G2457"/>
          <cell r="H2457"/>
        </row>
        <row r="2458">
          <cell r="A2458" t="str">
            <v>7.B2402239993914301</v>
          </cell>
          <cell r="B2458" t="str">
            <v>SUPER SAVING HORECA CHILI SAUCE 4,3KG</v>
          </cell>
          <cell r="C2458" t="str">
            <v>TƯƠNG ỚT HORECA SIÊU TIẾT KIỆM 4,3KG</v>
          </cell>
          <cell r="D2458" t="str">
            <v>SUPER SAVING HORECA CHILI SAUCE 4,3KG</v>
          </cell>
          <cell r="E2458">
            <v>4.3</v>
          </cell>
          <cell r="F2458" t="str">
            <v>Bỏ chọn</v>
          </cell>
          <cell r="G2458"/>
          <cell r="H2458"/>
        </row>
        <row r="2459">
          <cell r="A2459" t="str">
            <v>7.A31990899020129</v>
          </cell>
          <cell r="B2459" t="str">
            <v>MEIZAN ALL-PURPOSE TAPIOCA STARCH 1KG X 10 BAG</v>
          </cell>
          <cell r="C2459" t="str">
            <v>BỘT NĂNG ĐA DỤNG MEIZAN 1KG</v>
          </cell>
          <cell r="D2459" t="str">
            <v>MEIZAN ALL-PURPOSE TAPIOCA STARCH 1KG X 10 BAG</v>
          </cell>
          <cell r="E2459">
            <v>10</v>
          </cell>
          <cell r="F2459" t="str">
            <v>Bỏ chọn</v>
          </cell>
          <cell r="G2459"/>
          <cell r="H2459"/>
        </row>
        <row r="2460">
          <cell r="A2460" t="str">
            <v>7.A3199089902012901</v>
          </cell>
          <cell r="B2460" t="str">
            <v>MEIZAN ALL-PURPOSE TAPIOCA STARCH 1KG</v>
          </cell>
          <cell r="C2460" t="str">
            <v>BỘT NĂNG ĐA DỤNG MEIZAN 1KG</v>
          </cell>
          <cell r="D2460" t="str">
            <v>MEIZAN ALL-PURPOSE TAPIOCA STARCH 1KG</v>
          </cell>
          <cell r="E2460">
            <v>1</v>
          </cell>
          <cell r="F2460" t="str">
            <v>Bỏ chọn</v>
          </cell>
          <cell r="G2460"/>
          <cell r="H2460"/>
        </row>
        <row r="2461">
          <cell r="A2461" t="str">
            <v>800.010.001</v>
          </cell>
          <cell r="B2461" t="str">
            <v>FACE ID SPEED FACE H5</v>
          </cell>
          <cell r="C2461" t="str">
            <v>THIẾT BỊ NHẬN DIỆN KHUÔN MẶT SPEED FACE H5</v>
          </cell>
          <cell r="D2461"/>
          <cell r="E2461">
            <v>0</v>
          </cell>
          <cell r="F2461" t="str">
            <v>Bỏ chọn</v>
          </cell>
          <cell r="G2461"/>
          <cell r="H2461"/>
        </row>
        <row r="2462">
          <cell r="A2462" t="str">
            <v>7.D37011099050124</v>
          </cell>
          <cell r="B2462" t="str">
            <v>WHITE CHOCOLATE BUTTONS RCW-3704B-240, 25KG</v>
          </cell>
          <cell r="C2462" t="str">
            <v>NGUYÊN LIỆU THỰC PHẨM SÔ-CÔ-LA TRẮNG RCW-3704B, 25KG/THÙNG</v>
          </cell>
          <cell r="D2462" t="str">
            <v xml:space="preserve">WHITE CHOCOLATE BUTTONS RCW-3704B-240, 25KG_x000D_
</v>
          </cell>
          <cell r="E2462">
            <v>25</v>
          </cell>
          <cell r="F2462" t="str">
            <v>Bỏ chọn</v>
          </cell>
          <cell r="G2462"/>
          <cell r="H2462"/>
        </row>
        <row r="2463">
          <cell r="A2463" t="str">
            <v>7.D37011099050125</v>
          </cell>
          <cell r="B2463" t="str">
            <v>DARK CHOCOLATE BUTTONS RCD-3881A-240, 25KG</v>
          </cell>
          <cell r="C2463" t="str">
            <v>NGUYÊN LIỆU THỰC PHẨM SÔ-CÔ-LA ĐEN RCD-3881A, 25KG/THÙNG</v>
          </cell>
          <cell r="D2463" t="str">
            <v xml:space="preserve">DARK CHOCOLATE BUTTONS RCD-3881A-240, 25KG_x000D_
</v>
          </cell>
          <cell r="E2463">
            <v>25</v>
          </cell>
          <cell r="F2463" t="str">
            <v>Bỏ chọn</v>
          </cell>
          <cell r="G2463"/>
          <cell r="H2463"/>
        </row>
        <row r="2464">
          <cell r="A2464" t="str">
            <v>7.D37011099050130</v>
          </cell>
          <cell r="B2464" t="str">
            <v>TWIN CHOCOLATE COMPOUND SLT-2506-254, CHIPS 8800 CTS/KG, 25KG</v>
          </cell>
          <cell r="C2464" t="str">
            <v>NGUYÊN LIỆU THỰC PHẨM SÔ-CÔ-LA HAI MÀU SLT-2506, CHIPS 8800 CTS/KG, 25KG/THÙNG</v>
          </cell>
          <cell r="D2464" t="str">
            <v>TWIN CHOCOLATE COMPOUND SLT-2506-254, CHIPS 8800 CTS/KG, 25KG</v>
          </cell>
          <cell r="E2464">
            <v>25</v>
          </cell>
          <cell r="F2464" t="str">
            <v>Bỏ chọn</v>
          </cell>
          <cell r="G2464"/>
          <cell r="H2464"/>
        </row>
        <row r="2465">
          <cell r="A2465" t="str">
            <v>7.D37011099020125</v>
          </cell>
          <cell r="B2465" t="str">
            <v>DARK CHOCOLATE COMPOUND SLD-3100B-106CI, BLOCK (1KG X 10PCS), 10KG</v>
          </cell>
          <cell r="C2465" t="str">
            <v>NGUYÊN LIỆU THỰC PHẨM SÔ-CÔ-LA ĐEN SLD-3100B, BLOCK (1KG X 10), 10KG/THÙNG</v>
          </cell>
          <cell r="D2465" t="str">
            <v>DARK CHOCOLATE COMPOUND SLD-3100B-106CI, BLOCK (1KG X 10PCS), 10KG</v>
          </cell>
          <cell r="E2465">
            <v>10</v>
          </cell>
          <cell r="F2465" t="str">
            <v>Bỏ chọn</v>
          </cell>
          <cell r="G2465"/>
          <cell r="H2465"/>
        </row>
        <row r="2466">
          <cell r="A2466" t="str">
            <v>7.B2406236218019901TD</v>
          </cell>
          <cell r="B2466" t="str">
            <v>BLACK SAUCE 250G</v>
          </cell>
          <cell r="C2466" t="str">
            <v>TƯƠNG ĐEN 250G</v>
          </cell>
          <cell r="D2466" t="str">
            <v>BLACK SAUCE 250G</v>
          </cell>
          <cell r="E2466">
            <v>0.25</v>
          </cell>
          <cell r="F2466" t="str">
            <v>Bỏ chọn</v>
          </cell>
          <cell r="G2466"/>
          <cell r="H2466"/>
        </row>
        <row r="2467">
          <cell r="A2467" t="str">
            <v>7.B24062362180199TD</v>
          </cell>
          <cell r="B2467" t="str">
            <v>BLACK SAUCE 250G X 24 BOT</v>
          </cell>
          <cell r="C2467" t="str">
            <v>TƯƠNG ĐEN 250G X 24 CHAI</v>
          </cell>
          <cell r="D2467" t="str">
            <v>BLACK SAUCE 250G X 24 BOT</v>
          </cell>
          <cell r="E2467">
            <v>6</v>
          </cell>
          <cell r="F2467" t="str">
            <v>Bỏ chọn</v>
          </cell>
          <cell r="G2467"/>
          <cell r="H2467"/>
        </row>
        <row r="2468">
          <cell r="A2468" t="str">
            <v>7.B2401236139014201TD</v>
          </cell>
          <cell r="B2468" t="str">
            <v>FERMENTED SOY SAUCE 280ML</v>
          </cell>
          <cell r="C2468" t="str">
            <v>NƯỚC TƯƠNG NAM DƯƠNG ĐẬU NÀNH LÊN MEN TỰ NHIÊN 280ML</v>
          </cell>
          <cell r="D2468" t="str">
            <v>FERMENTED SOY SAUCE 280ML</v>
          </cell>
          <cell r="E2468">
            <v>0.31559999999999999</v>
          </cell>
          <cell r="F2468" t="str">
            <v>Bỏ chọn</v>
          </cell>
          <cell r="G2468"/>
          <cell r="H2468"/>
        </row>
        <row r="2469">
          <cell r="A2469" t="str">
            <v>7.C3503559976A244</v>
          </cell>
          <cell r="B2469" t="str">
            <v>MINT SCENT GLASS CLEANER POWER100, 580ML X 2 X 6 BOTTLES IN CARTON</v>
          </cell>
          <cell r="C2469" t="str">
            <v>NƯỚC LAU KÍNH HƯƠNG BẠC HÀ, NHÃN HIỆU POWER100 LOẠI 580ML X 2 X 6 CHAI TRONG THÙNG CARTON</v>
          </cell>
          <cell r="D2469" t="str">
            <v>MINT SCENT GLASS CLEANER POWER100, 580ML X 2 X 6 BOTTLES IN CARTON</v>
          </cell>
          <cell r="E2469">
            <v>6.9</v>
          </cell>
          <cell r="F2469" t="str">
            <v>Bỏ chọn</v>
          </cell>
          <cell r="G2469"/>
          <cell r="H2469"/>
        </row>
        <row r="2470">
          <cell r="A2470" t="str">
            <v>7.C3503559976A24401</v>
          </cell>
          <cell r="B2470" t="str">
            <v>MINT SCENT GLASS CLEANER POWER100, 580ML X 2 BOTTLES</v>
          </cell>
          <cell r="C2470" t="str">
            <v>NƯỚC LAU KÍNH HƯƠNG BẠC HÀ, NHÃN HIỆU POWER100 LOẠI 580ML X 2 CHAI</v>
          </cell>
          <cell r="D2470" t="str">
            <v>MINT SCENT GLASS CLEANER POWER100, 580ML X 2 BOTTLES</v>
          </cell>
          <cell r="E2470">
            <v>1.1499999999999999</v>
          </cell>
          <cell r="F2470" t="str">
            <v>Bỏ chọn</v>
          </cell>
          <cell r="G2470"/>
          <cell r="H2470"/>
        </row>
        <row r="2471">
          <cell r="A2471" t="str">
            <v>V51.600.087</v>
          </cell>
          <cell r="B2471" t="str">
            <v>SIMPLY BANNER (5M X 1.2M)</v>
          </cell>
          <cell r="C2471" t="str">
            <v>BĂNG RÔN SIMPLY (5M X 1.2M)</v>
          </cell>
          <cell r="D2471" t="str">
            <v>SIMPLY BANNER (5M X 1.2M)</v>
          </cell>
          <cell r="E2471">
            <v>0</v>
          </cell>
          <cell r="F2471" t="str">
            <v>Bỏ chọn</v>
          </cell>
          <cell r="G2471"/>
          <cell r="H2471"/>
        </row>
        <row r="2472">
          <cell r="A2472" t="str">
            <v>800.010.003</v>
          </cell>
          <cell r="B2472" t="str">
            <v>LCD DELL 23 INCH P2319H</v>
          </cell>
          <cell r="C2472" t="str">
            <v>MÀN HÌNH DELL 23 INCH P2319H</v>
          </cell>
          <cell r="D2472"/>
          <cell r="E2472">
            <v>0</v>
          </cell>
          <cell r="F2472" t="str">
            <v>Bỏ chọn</v>
          </cell>
          <cell r="G2472"/>
          <cell r="H2472"/>
        </row>
        <row r="2473">
          <cell r="A2473" t="str">
            <v>7.5239902680599</v>
          </cell>
          <cell r="B2473" t="str">
            <v>PREMIUM WHEAT FLOUR BLUE KEY - 111 (25KG)</v>
          </cell>
          <cell r="C2473" t="str">
            <v>BỘT MÌ THƯỢNG HẠNG HIỆU CHÌA KHÓA XANH - 111 (25KG)</v>
          </cell>
          <cell r="D2473" t="str">
            <v>PREMIUM WHEAT FLOUR BLUE KEY - 111 (25KG)</v>
          </cell>
          <cell r="E2473">
            <v>1</v>
          </cell>
          <cell r="F2473" t="str">
            <v>Bỏ chọn</v>
          </cell>
          <cell r="G2473"/>
          <cell r="H2473"/>
        </row>
        <row r="2474">
          <cell r="A2474" t="str">
            <v>7.5239902680699</v>
          </cell>
          <cell r="B2474" t="str">
            <v>PREMIUM WHEAT FLOUR BLUE KEY - 111 (40KG)</v>
          </cell>
          <cell r="C2474" t="str">
            <v>BỘT MÌ THƯỢNG HẠNG HIỆU CHÌA KHÓA XANH - 111 (40KG)</v>
          </cell>
          <cell r="D2474" t="str">
            <v>PREMIUM WHEAT FLOUR BLUE KEY - 111 (40KG)</v>
          </cell>
          <cell r="E2474">
            <v>1</v>
          </cell>
          <cell r="F2474" t="str">
            <v>Bỏ chọn</v>
          </cell>
          <cell r="G2474"/>
          <cell r="H2474"/>
        </row>
        <row r="2475">
          <cell r="A2475" t="str">
            <v>800.056.001</v>
          </cell>
          <cell r="B2475" t="str">
            <v>RAM LAPTOP KINGSTON DDR3L 8GB</v>
          </cell>
          <cell r="C2475" t="str">
            <v>BỘ NHỚ DDR3L 8GB CHO LAPTOP</v>
          </cell>
          <cell r="D2475"/>
          <cell r="E2475">
            <v>0</v>
          </cell>
          <cell r="F2475" t="str">
            <v>Bỏ chọn</v>
          </cell>
          <cell r="G2475"/>
          <cell r="H2475"/>
        </row>
        <row r="2476">
          <cell r="A2476" t="str">
            <v>800.056.002</v>
          </cell>
          <cell r="B2476" t="str">
            <v>RAM LAPTOP KINGSTON DDR4 8GB</v>
          </cell>
          <cell r="C2476" t="str">
            <v>BỘ NHỚ DDR4 8GB CHO LAPTOP</v>
          </cell>
          <cell r="D2476"/>
          <cell r="E2476">
            <v>0</v>
          </cell>
          <cell r="F2476" t="str">
            <v>Bỏ chọn</v>
          </cell>
          <cell r="G2476"/>
          <cell r="H2476"/>
        </row>
        <row r="2477">
          <cell r="A2477" t="str">
            <v>800.056.003</v>
          </cell>
          <cell r="B2477" t="str">
            <v>SEAGATE SSD 250GB SATA</v>
          </cell>
          <cell r="C2477" t="str">
            <v>Ổ CỨNG SSD 250 GB SATA</v>
          </cell>
          <cell r="D2477"/>
          <cell r="E2477">
            <v>0</v>
          </cell>
          <cell r="F2477" t="str">
            <v>Bỏ chọn</v>
          </cell>
          <cell r="G2477"/>
          <cell r="H2477"/>
        </row>
        <row r="2478">
          <cell r="A2478" t="str">
            <v>800.056.004</v>
          </cell>
          <cell r="B2478" t="str">
            <v>SEAGATE SSD 512GB SATA</v>
          </cell>
          <cell r="C2478" t="str">
            <v>Ổ CỨNG SSD 512 GB SATA</v>
          </cell>
          <cell r="D2478"/>
          <cell r="E2478">
            <v>0</v>
          </cell>
          <cell r="F2478" t="str">
            <v>Bỏ chọn</v>
          </cell>
          <cell r="G2478"/>
          <cell r="H2478"/>
        </row>
        <row r="2479">
          <cell r="A2479" t="str">
            <v>800.056.005</v>
          </cell>
          <cell r="B2479" t="str">
            <v>NAS SYNOLOGY DS918, 4 BAY, RAM 4GB</v>
          </cell>
          <cell r="C2479" t="str">
            <v>THIẾT BỊ LƯU TRỮ NAS HIỆU SYNOLOGY, MẪU DS918, 4 KHAY Ổ CỨNG</v>
          </cell>
          <cell r="D2479" t="str">
            <v>NAS SYNOLOGY DS918, 4 BAY, RAM 4GB</v>
          </cell>
          <cell r="E2479">
            <v>0</v>
          </cell>
          <cell r="F2479" t="str">
            <v>Bỏ chọn</v>
          </cell>
          <cell r="G2479"/>
          <cell r="H2479"/>
        </row>
        <row r="2480">
          <cell r="A2480" t="str">
            <v>800.056.006</v>
          </cell>
          <cell r="B2480" t="str">
            <v>HDD SEAGATE IRONWOLF 4TB 3.5 INCH ST4000VN007 (SATA III 64MB CACHE 5900RPM)</v>
          </cell>
          <cell r="C2480" t="str">
            <v>Ổ CỨNG CHO NAS HIỆU SEAGATE IRONWOLF DUNG LƯỢNG 4TB 3.5 INCH</v>
          </cell>
          <cell r="D2480"/>
          <cell r="E2480">
            <v>0</v>
          </cell>
          <cell r="F2480" t="str">
            <v>Bỏ chọn</v>
          </cell>
          <cell r="G2480"/>
          <cell r="H2480"/>
        </row>
        <row r="2481">
          <cell r="A2481" t="str">
            <v>7.70553</v>
          </cell>
          <cell r="B2481" t="str">
            <v>DISTILLED MONOGLYCERIDE (DMG-CF01); IN BAG 25KG</v>
          </cell>
          <cell r="C2481" t="str">
            <v>MONOGLYCERID CHƯNG CẤT (DMG-CF01); BAO 25KG</v>
          </cell>
          <cell r="D2481" t="str">
            <v>DISTILLED MONOGLYCERIDE (DMG-CF01); IN BAG 25KG</v>
          </cell>
          <cell r="E2481">
            <v>1</v>
          </cell>
          <cell r="F2481" t="str">
            <v>Bỏ chọn</v>
          </cell>
          <cell r="G2481"/>
          <cell r="H2481"/>
        </row>
        <row r="2482">
          <cell r="A2482" t="str">
            <v>800.056.007</v>
          </cell>
          <cell r="B2482" t="str">
            <v>HDD SEAGATE IRONWOLF 4TB 3.5 INCH ST4000VN008(SATA III 64MB CACHE 5900RPM)</v>
          </cell>
          <cell r="C2482" t="str">
            <v>Ổ CỨNG CHO NAS HIỆU SEAGATE IRONWOLF DUNG LƯỢNG 4TB 3.5 INCH</v>
          </cell>
          <cell r="D2482"/>
          <cell r="E2482">
            <v>0</v>
          </cell>
          <cell r="F2482" t="str">
            <v>Bỏ chọn</v>
          </cell>
          <cell r="G2482"/>
          <cell r="H2482"/>
        </row>
        <row r="2483">
          <cell r="A2483" t="str">
            <v>7.B2410633381A499</v>
          </cell>
          <cell r="B2483" t="str">
            <v>MAYONNAISE  (GREEN LABEL) 2.5KG X 4 PAIL/CAR</v>
          </cell>
          <cell r="C2483" t="str">
            <v>MAYONNAISE (GREEN LABEL) 2.5KG X 4 XÔ/THÙNG</v>
          </cell>
          <cell r="D2483" t="str">
            <v>MAYONNAISE  (GREEN LABEL) 2.5KG X 4 PAIL/CAR</v>
          </cell>
          <cell r="E2483">
            <v>10</v>
          </cell>
          <cell r="F2483" t="str">
            <v>Bỏ chọn</v>
          </cell>
          <cell r="G2483" t="str">
            <v>2000000008</v>
          </cell>
          <cell r="H2483"/>
        </row>
        <row r="2484">
          <cell r="A2484" t="str">
            <v>7.B2410633381A49901</v>
          </cell>
          <cell r="B2484" t="str">
            <v>MAYONNAISE (GREEN LABEL) 2.5KG</v>
          </cell>
          <cell r="C2484" t="str">
            <v>MAYONNAISE (GREEN LABEL) 2.5KG</v>
          </cell>
          <cell r="D2484" t="str">
            <v>MAYONNAISE (GREEN LABEL) 2.5KG</v>
          </cell>
          <cell r="E2484">
            <v>2.5</v>
          </cell>
          <cell r="F2484" t="str">
            <v>Bỏ chọn</v>
          </cell>
          <cell r="G2484" t="str">
            <v>2000000008</v>
          </cell>
          <cell r="H2484"/>
        </row>
        <row r="2485">
          <cell r="A2485" t="str">
            <v>7.B25085499940105</v>
          </cell>
          <cell r="B2485" t="str">
            <v>PORK BOUILLON GRANULE 380G X 20 PAC/CAR</v>
          </cell>
          <cell r="C2485" t="str">
            <v>HẠT NÊM 4 TRONG 1 VỊ HEO 380G X 20 GÓI/THÙNG</v>
          </cell>
          <cell r="D2485" t="str">
            <v>PORK BOUILLON GRANULE 380G X 20 PAC/CAR</v>
          </cell>
          <cell r="E2485">
            <v>7.6</v>
          </cell>
          <cell r="F2485" t="str">
            <v>Bỏ chọn</v>
          </cell>
          <cell r="G2485" t="str">
            <v>2000000008</v>
          </cell>
          <cell r="H2485" t="str">
            <v>7.B2508549994010501</v>
          </cell>
        </row>
        <row r="2486">
          <cell r="A2486" t="str">
            <v>7.B25085499950105</v>
          </cell>
          <cell r="B2486" t="str">
            <v>PORK BOUILLON GRANULE 850G X 10 PAC/CAR</v>
          </cell>
          <cell r="C2486" t="str">
            <v>HẠT NÊM 4 TRONG 1 VỊ HEO 850G X 10 GÓI/ THÙNG</v>
          </cell>
          <cell r="D2486" t="str">
            <v>PORK BOUILLON GRANULE 850G X 10 PAC/CAR</v>
          </cell>
          <cell r="E2486">
            <v>8.5</v>
          </cell>
          <cell r="F2486" t="str">
            <v>Bỏ chọn</v>
          </cell>
          <cell r="G2486" t="str">
            <v>2000000008</v>
          </cell>
          <cell r="H2486" t="str">
            <v>7.B2508549995010501</v>
          </cell>
        </row>
        <row r="2487">
          <cell r="A2487" t="str">
            <v>7.B2508549994010501</v>
          </cell>
          <cell r="B2487" t="str">
            <v>PORK BOUILLON GRANULE 380G</v>
          </cell>
          <cell r="C2487" t="str">
            <v>HẠT NÊM 4 TRONG 1 VỊ HEO 380G</v>
          </cell>
          <cell r="D2487" t="str">
            <v>PORK BOUILLON GRANULE 380G</v>
          </cell>
          <cell r="E2487">
            <v>0.38</v>
          </cell>
          <cell r="F2487" t="str">
            <v>Bỏ chọn</v>
          </cell>
          <cell r="G2487" t="str">
            <v>2000000008</v>
          </cell>
          <cell r="H2487"/>
        </row>
        <row r="2488">
          <cell r="A2488" t="str">
            <v>7.B2508549995010501</v>
          </cell>
          <cell r="B2488" t="str">
            <v>PORK BOUILLON GRANULE 850G</v>
          </cell>
          <cell r="C2488" t="str">
            <v>HẠT NÊM 4 TRONG 1 VỊ HEO 850G</v>
          </cell>
          <cell r="D2488" t="str">
            <v>PORK BOUILLON GRANULE 850G</v>
          </cell>
          <cell r="E2488">
            <v>0.85</v>
          </cell>
          <cell r="F2488" t="str">
            <v>Bỏ chọn</v>
          </cell>
          <cell r="G2488" t="str">
            <v>2000000008</v>
          </cell>
          <cell r="H2488"/>
        </row>
        <row r="2489">
          <cell r="A2489" t="str">
            <v>7.B250854999401051</v>
          </cell>
          <cell r="B2489" t="str">
            <v>PORK BOUILLON GRANULE 380G X 20 PAC ON PACK 20 PAC NEPTUNE GOLD 0.25L/ CAR</v>
          </cell>
          <cell r="C2489" t="str">
            <v>HẠT NÊM 4 TRONG 1 - VỊ HEO 380G X 20 GÓI ĐÓNG KÈM 20 CHAI DẦU ĂN THƯỢNG HẠNG NHÃN HIỆU NEPTUNE GOLD 0.25L / THÙNG</v>
          </cell>
          <cell r="D2489" t="str">
            <v>PORK BOUILLON GRANULE 380G X 20 PAC ON PACK 20 PAC NEPTUNE GOLD 0.25L/ CAR</v>
          </cell>
          <cell r="E2489">
            <v>12.1</v>
          </cell>
          <cell r="F2489" t="str">
            <v>Bỏ chọn</v>
          </cell>
          <cell r="G2489"/>
          <cell r="H2489"/>
        </row>
        <row r="2490">
          <cell r="A2490" t="str">
            <v>7.B25085499940105101</v>
          </cell>
          <cell r="B2490" t="str">
            <v>PORK BOUILLON GRANULE 380G X 01 PAC ON PACK 01 PAC NEPTUNE GOLD 0.25L</v>
          </cell>
          <cell r="C2490" t="str">
            <v>HẠT NÊM 4 TRONG 1 - VỊ HEO 380G ĐÓNG KÈM 01 CHAI DẦU ĂN THƯỢNG HẠNG NHÃN HIỆU NEPTUNE GOLD 0.25L</v>
          </cell>
          <cell r="D2490" t="str">
            <v>PORK BOUILLON GRANULE 380G X 01 PAC ON PACK 01 PAC NEPTUNE GOLD 0.25L</v>
          </cell>
          <cell r="E2490">
            <v>0.60499999999999998</v>
          </cell>
          <cell r="F2490" t="str">
            <v>Bỏ chọn</v>
          </cell>
          <cell r="G2490"/>
          <cell r="H2490"/>
        </row>
        <row r="2491">
          <cell r="A2491" t="str">
            <v>7.B2508549994010510</v>
          </cell>
          <cell r="B2491" t="str">
            <v>PORK BOUILLON GRANULE 380G X 20 PAC ON PACK 20 PAC NEPTUNE LIGHT 0.25L/ CAR</v>
          </cell>
          <cell r="C2491" t="str">
            <v>HẠT NÊM 4 TRONG 1 - VỊ HEO 380G X 20 GÓI ĐÓNG KÈM 20 CHAI DẦU ĂN THƯỢNG HẠNG NHÃN HIỆU NEPTUNE LIGHT 0.25L / THÙNG</v>
          </cell>
          <cell r="D2491" t="str">
            <v>PORK BOUILLON GRANULE 380G X 20 PAC ON PACK 20 PAC NEPTUNE LIGHT 0.25L/ CAR</v>
          </cell>
          <cell r="E2491">
            <v>12.1</v>
          </cell>
          <cell r="F2491" t="str">
            <v>Bỏ chọn</v>
          </cell>
          <cell r="G2491" t="str">
            <v>2000000008</v>
          </cell>
          <cell r="H2491" t="str">
            <v>7.B250854999401051001</v>
          </cell>
        </row>
        <row r="2492">
          <cell r="A2492" t="str">
            <v>7.B250854999401051001</v>
          </cell>
          <cell r="B2492" t="str">
            <v>PORK BOUILLON GRANULE 380G X 01 PAC ON PACK 01 PAC NEPTUNE LIGHT 0.25L</v>
          </cell>
          <cell r="C2492" t="str">
            <v>HẠT NÊM 4 TRONG 1 - VỊ HEO 380G ĐÓNG KÈM 01 CHAI DẦU ĂN THƯỢNG HẠNG NHÃN HIỆU NEPTUNE LIGHT 0.25L</v>
          </cell>
          <cell r="D2492" t="str">
            <v>PORK BOUILLON GRANULE 380G X 01 PAC ON PACK 01 PAC NEPTUNE LIGHT 0.25L</v>
          </cell>
          <cell r="E2492">
            <v>0.60499999999999998</v>
          </cell>
          <cell r="F2492" t="str">
            <v>Bỏ chọn</v>
          </cell>
          <cell r="G2492" t="str">
            <v>2000000008</v>
          </cell>
          <cell r="H2492"/>
        </row>
        <row r="2493">
          <cell r="A2493" t="str">
            <v>7.B2508549995010502</v>
          </cell>
          <cell r="B2493" t="str">
            <v>PORK BOUILLON GRANULE 850G X 10 PAC ON PACK 10 PAC NEPTUNE GOLD 0.4L/CAR</v>
          </cell>
          <cell r="C2493" t="str">
            <v>HẠT NÊM 4 TRONG 1 - VỊ HEO 850G X 10 GÓI ĐÓNG KÈM 10 CHAI DẦU ĂN THƯỢNG HẠNG NHÃN HIỆU NEPTUNE GOLD 0.4L/THÙNG</v>
          </cell>
          <cell r="D2493" t="str">
            <v>PORK BOUILLON GRANULE 850G X 10 PAC ON PACK 10 PAC NEPTUNE GOLD 0.4L/CAR</v>
          </cell>
          <cell r="E2493">
            <v>12.1</v>
          </cell>
          <cell r="F2493" t="str">
            <v>Bỏ chọn</v>
          </cell>
          <cell r="G2493"/>
          <cell r="H2493"/>
        </row>
        <row r="2494">
          <cell r="A2494" t="str">
            <v>7.B250854999501050201</v>
          </cell>
          <cell r="B2494" t="str">
            <v>PORK BOUILLON GRANULE 850G X 01 PAC ON PACK 01 PAC NEPTUNE GOLD 0.4L</v>
          </cell>
          <cell r="C2494" t="str">
            <v>HẠT NÊM 4 TRONG 1 - VỊ HEO 850G ĐÓNG KÈM 01 CHAI DẦU ĂN THƯỢNG HẠNG NHÃN HIỆU NEPTUNE GOLD 0.4L</v>
          </cell>
          <cell r="D2494" t="str">
            <v>PORK BOUILLON GRANULE 850G X 01 PAC ON PACK 01 PAC NEPTUNE GOLD 0.4L</v>
          </cell>
          <cell r="E2494">
            <v>1.21</v>
          </cell>
          <cell r="F2494" t="str">
            <v>Bỏ chọn</v>
          </cell>
          <cell r="G2494"/>
          <cell r="H2494"/>
        </row>
        <row r="2495">
          <cell r="A2495" t="str">
            <v>7.B2508549995010511</v>
          </cell>
          <cell r="B2495" t="str">
            <v>PORK BOUILLON GRANULE 850G X 10 PAC ON PACK 10 PAC NEPTUNE LIGHT 0.4L/CAR</v>
          </cell>
          <cell r="C2495" t="str">
            <v>HẠT NÊM 4 TRONG 1 - VỊ HEO 850G X 10 GÓI ĐÓNG KÈM 10 CHAI DẦU ĂN THƯỢNG HẠNG NHÃN HIỆU NEPTUNE LIGHT 0.4L/THÙNG</v>
          </cell>
          <cell r="D2495" t="str">
            <v>PORK BOUILLON GRANULE 850G X 10 PAC ON PACK 10 PAC NEPTUNE LIGHT 0.4L/CAR</v>
          </cell>
          <cell r="E2495">
            <v>12.1</v>
          </cell>
          <cell r="F2495" t="str">
            <v>Bỏ chọn</v>
          </cell>
          <cell r="G2495" t="str">
            <v>2000000008</v>
          </cell>
          <cell r="H2495" t="str">
            <v>7.B250854999501051101</v>
          </cell>
        </row>
        <row r="2496">
          <cell r="A2496" t="str">
            <v>7.B250854999501051101</v>
          </cell>
          <cell r="B2496" t="str">
            <v>PORK BOUILLON GRANULE 850G X 01 PAC ON PACK 01 PAC NEPTUNE LIGHT 0.4L</v>
          </cell>
          <cell r="C2496" t="str">
            <v>HẠT NÊM 4 TRONG 1 - VỊ HEO 850GĐÓNG KÈM 01 CHAI DẦU ĂN THƯỢNG HẠNG NHÃN HIỆU NEPTUNE LIGHT 0.4L</v>
          </cell>
          <cell r="D2496" t="str">
            <v>PORK BOUILLON GRANULE 850G X 01 PAC ON PACK 01 PAC NEPTUNE LIGHT 0.4L</v>
          </cell>
          <cell r="E2496">
            <v>1.21</v>
          </cell>
          <cell r="F2496" t="str">
            <v>Bỏ chọn</v>
          </cell>
          <cell r="G2496" t="str">
            <v>2000000008</v>
          </cell>
          <cell r="H2496"/>
        </row>
        <row r="2497">
          <cell r="A2497" t="str">
            <v>7.5239979990301</v>
          </cell>
          <cell r="B2497" t="str">
            <v>SAMPLE-5-RED SATELLITE</v>
          </cell>
          <cell r="C2497" t="str">
            <v>BỘT MÌ THƯỢNG HẠNG VỆ TINH ĐỎ (5KG)</v>
          </cell>
          <cell r="D2497" t="str">
            <v>SAMPLE-5-RED SATELLITE</v>
          </cell>
          <cell r="E2497">
            <v>1</v>
          </cell>
          <cell r="F2497" t="str">
            <v>Bỏ chọn</v>
          </cell>
          <cell r="G2497"/>
          <cell r="H2497"/>
        </row>
        <row r="2498">
          <cell r="A2498" t="str">
            <v>6.70543</v>
          </cell>
          <cell r="B2498" t="str">
            <v>CATIONIC SURFACTANT DODIGEN 226-H 0200; IN STEEL DRUM 200KG</v>
          </cell>
          <cell r="C2498" t="str">
            <v>CHẤT HOẠT ĐỘNG BỀ MẶT DODIGEN 226-H 0200; PHUY THÉP 200KG</v>
          </cell>
          <cell r="D2498" t="str">
            <v>CATIONIC SURFACTANT DODIGEN 226-H 0200; IN STEEL DRUM 200KG</v>
          </cell>
          <cell r="E2498">
            <v>1</v>
          </cell>
          <cell r="F2498" t="str">
            <v>Bỏ chọn</v>
          </cell>
          <cell r="G2498"/>
          <cell r="H2498"/>
        </row>
        <row r="2499">
          <cell r="A2499" t="str">
            <v>7.70554</v>
          </cell>
          <cell r="B2499" t="str">
            <v>STEARIC ACID SA1810; IN BAG 25KG</v>
          </cell>
          <cell r="C2499" t="str">
            <v>AXIT STEARIC SA1810; BAO 25KG</v>
          </cell>
          <cell r="D2499" t="str">
            <v>STEARIC ACID SA1810; IN BAG 25KG</v>
          </cell>
          <cell r="E2499">
            <v>1</v>
          </cell>
          <cell r="F2499" t="str">
            <v>Chọn</v>
          </cell>
          <cell r="G2499"/>
          <cell r="H2499"/>
        </row>
        <row r="2500">
          <cell r="A2500" t="str">
            <v>7.B25085499430105</v>
          </cell>
          <cell r="B2500" t="str">
            <v>PORK BOUILLON GRANULE 50G X 120 PAC/CAR</v>
          </cell>
          <cell r="C2500" t="str">
            <v>HẠT NÊM 4 TRONG 1 - VỊ HEO 50G X 120 GÓI/THÙNG</v>
          </cell>
          <cell r="D2500" t="str">
            <v>PORK BOUILLON GRANULE 50G X 120 PAC/CAR</v>
          </cell>
          <cell r="E2500">
            <v>6</v>
          </cell>
          <cell r="F2500" t="str">
            <v>Bỏ chọn</v>
          </cell>
          <cell r="G2500" t="str">
            <v>2000000008</v>
          </cell>
          <cell r="H2500" t="str">
            <v>7.B2508549943010501</v>
          </cell>
        </row>
        <row r="2501">
          <cell r="A2501" t="str">
            <v>7.B2508549943010501</v>
          </cell>
          <cell r="B2501" t="str">
            <v>PORK BOUILLON GRANULE 50G</v>
          </cell>
          <cell r="C2501" t="str">
            <v>HẠT NÊM 4 TRONG 1 - VỊ HEO 50G</v>
          </cell>
          <cell r="D2501" t="str">
            <v>PORK BOUILLON GRANULE 50G</v>
          </cell>
          <cell r="E2501">
            <v>0.05</v>
          </cell>
          <cell r="F2501" t="str">
            <v>Bỏ chọn</v>
          </cell>
          <cell r="G2501" t="str">
            <v>2000000008</v>
          </cell>
          <cell r="H2501"/>
        </row>
        <row r="2502">
          <cell r="A2502" t="str">
            <v>7.C35025599925939</v>
          </cell>
          <cell r="B2502" t="str">
            <v>FLOOR CLEANER POWER100 NATURAL FLOWER, 990G X 12 BOTTLES IN CARTON, EXPORT TO CAMBODIA</v>
          </cell>
          <cell r="C2502" t="str">
            <v>NƯỚC LAU SÀN POWER100 HƯƠNG HOA THIÊN NHIÊN, LOẠI 990G X 12 CHAI TRONG THÙNG CARTON, XK CAMPUCHIA</v>
          </cell>
          <cell r="D2502" t="str">
            <v>FLOOR CLEANER POWER100 NATURAL FLOWER, 990G X 12 BOTTLES IN CARTON, EXPORT TO CAMBODIA</v>
          </cell>
          <cell r="E2502">
            <v>11.88</v>
          </cell>
          <cell r="F2502" t="str">
            <v>Bỏ chọn</v>
          </cell>
          <cell r="G2502"/>
          <cell r="H2502"/>
        </row>
        <row r="2503">
          <cell r="A2503" t="str">
            <v>7.C3502559992593901</v>
          </cell>
          <cell r="B2503" t="str">
            <v>FLOOR CLEANER POWER100 NATURAL FLOWER, EXPORT TO CAMBODIA</v>
          </cell>
          <cell r="C2503" t="str">
            <v>NƯỚC LAU SÀN POWER100 HƯƠNG HOA THIÊN NHIÊN, LOẠI 990G, XK CAMPUCHIA</v>
          </cell>
          <cell r="D2503" t="str">
            <v>FLOOR CLEANER POWER100 NATURAL FLOWER, EXPORT TO CAMBODIA</v>
          </cell>
          <cell r="E2503">
            <v>0.99</v>
          </cell>
          <cell r="F2503" t="str">
            <v>Bỏ chọn</v>
          </cell>
          <cell r="G2503"/>
          <cell r="H2503"/>
        </row>
        <row r="2504">
          <cell r="A2504" t="str">
            <v>7.C35025599925940</v>
          </cell>
          <cell r="B2504" t="str">
            <v>FLOOR CLEANER POWER100 LEMONGRASS, 990G X 12 BOTTLES IN CARTON, EXPORT TO CAMBODIA</v>
          </cell>
          <cell r="C2504" t="str">
            <v>NƯỚC LAU SÀN POWER100 HƯƠNG CHANH SẢ, LOẠI 990G X 12 CHAI TRONG THÙNG CARTON, XK CAMPUCHIA</v>
          </cell>
          <cell r="D2504" t="str">
            <v>FLOOR CLEANER POWER100 LEMONGRASS, 990G X 12 BOTTLES IN CARTON, EXPORT TO CAMBODIA</v>
          </cell>
          <cell r="E2504">
            <v>11.88</v>
          </cell>
          <cell r="F2504" t="str">
            <v>Bỏ chọn</v>
          </cell>
          <cell r="G2504"/>
          <cell r="H2504"/>
        </row>
        <row r="2505">
          <cell r="A2505" t="str">
            <v>7.C3502559992594001</v>
          </cell>
          <cell r="B2505" t="str">
            <v>FLOOR CLEANER POWER100 LEMONGRASS, 990G, EXPORT TO CAMBODIA</v>
          </cell>
          <cell r="C2505" t="str">
            <v>NƯỚC LAU SÀN POWER100 HƯƠNG CHANH SẢ, LOẠI 990G, XK CAMPUCHIA</v>
          </cell>
          <cell r="D2505" t="str">
            <v>FLOOR CLEANER POWER100 LEMONGRASS, 990G, EXPORT TO CAMBODIA</v>
          </cell>
          <cell r="E2505">
            <v>0.99</v>
          </cell>
          <cell r="F2505" t="str">
            <v>Bỏ chọn</v>
          </cell>
          <cell r="G2505"/>
          <cell r="H2505"/>
        </row>
        <row r="2506">
          <cell r="A2506" t="str">
            <v>7.C35025599495939</v>
          </cell>
          <cell r="B2506" t="str">
            <v>FLOOR CLEANER POWER100 NATURAL FLOWER, 3,8KG X 4 JRG IN CARTON, XK CAMBODIA</v>
          </cell>
          <cell r="C2506" t="str">
            <v>NƯỚC LAU SÀN POWER100 HƯƠNG HOA THIÊN NHIÊN, LOẠI 3,8KG X 4 CAN TRONG THÙNG CARTON, XK CAMPUCHIA</v>
          </cell>
          <cell r="D2506" t="str">
            <v>FLOOR CLEANER POWER100 NATURAL FLOWER, 3,8KG X 4 JRG IN CARTON, XK CAMBODIA</v>
          </cell>
          <cell r="E2506">
            <v>15.2</v>
          </cell>
          <cell r="F2506" t="str">
            <v>Bỏ chọn</v>
          </cell>
          <cell r="G2506"/>
          <cell r="H2506"/>
        </row>
        <row r="2507">
          <cell r="A2507" t="str">
            <v>7.C3502559949593901</v>
          </cell>
          <cell r="B2507" t="str">
            <v>FLOOR CLEANER POWER100 NATURAL FLOWER, 3,8KG, XK CAMBODIA</v>
          </cell>
          <cell r="C2507" t="str">
            <v>NƯỚC LAU SÀN POWER100 HƯƠNG HOA THIÊN NHIÊN, LOẠI 3,8KG, XK CAMPUCHIA</v>
          </cell>
          <cell r="D2507" t="str">
            <v>FLOOR CLEANER POWER100 NATURAL FLOWER, 3,8KG, XK CAMBODIA</v>
          </cell>
          <cell r="E2507">
            <v>3.8</v>
          </cell>
          <cell r="F2507" t="str">
            <v>Bỏ chọn</v>
          </cell>
          <cell r="G2507"/>
          <cell r="H2507"/>
        </row>
        <row r="2508">
          <cell r="A2508" t="str">
            <v>7.C35025599495940</v>
          </cell>
          <cell r="B2508" t="str">
            <v>FLOOR CLEANER POWER100 LEMONGRASS, 3,8KG X 4 JRG IN CARTON, XK CAMBODIA</v>
          </cell>
          <cell r="C2508" t="str">
            <v>NƯỚC LAU SÀN POWER100 HƯƠNG CHANH SẢ, LOẠI 3,8KG X 4 CAN TRONG THÙNG CARTON, XK CAMPUCHIA</v>
          </cell>
          <cell r="D2508" t="str">
            <v>FLOOR CLEANER POWER100 LEMONGRASS, 3,8KG X 4 JRG IN CARTON, XK CAMBODIA</v>
          </cell>
          <cell r="E2508">
            <v>15.2</v>
          </cell>
          <cell r="F2508" t="str">
            <v>Bỏ chọn</v>
          </cell>
          <cell r="G2508"/>
          <cell r="H2508"/>
        </row>
        <row r="2509">
          <cell r="A2509" t="str">
            <v>7.C3502559949594001</v>
          </cell>
          <cell r="B2509" t="str">
            <v>FLOOR CLEANER POWER100 LEMONGRASS, 3,8KG, XK CAMBODIA</v>
          </cell>
          <cell r="C2509" t="str">
            <v>NƯỚC LAU SÀN POWER100 HƯƠNG CHANH SẢ, LOẠI 3,8KG, XK CAMPUCHIA</v>
          </cell>
          <cell r="D2509" t="str">
            <v>FLOOR CLEANER POWER100 LEMONGRASS, 3,8KG, XK CAMBODIA</v>
          </cell>
          <cell r="E2509">
            <v>3.8</v>
          </cell>
          <cell r="F2509" t="str">
            <v>Bỏ chọn</v>
          </cell>
          <cell r="G2509"/>
          <cell r="H2509"/>
        </row>
        <row r="2510">
          <cell r="A2510" t="str">
            <v>7.C35025599500139</v>
          </cell>
          <cell r="B2510" t="str">
            <v>FLOOR CLEANER POWER100 NATURAL FLOWER, 9,5KG X 2 JRG IN CARTON</v>
          </cell>
          <cell r="C2510" t="str">
            <v>NƯỚC LAU SÀN POWER100 HƯƠNG HOA THIÊN NHIÊN, LOẠI 9,5KG X 2 CAN TRONG THÙNG CARTON</v>
          </cell>
          <cell r="D2510" t="str">
            <v>FLOOR CLEANER POWER100 NATURAL FLOWER, 9,5KG X 2 JRG IN CARTON</v>
          </cell>
          <cell r="E2510">
            <v>19</v>
          </cell>
          <cell r="F2510" t="str">
            <v>Bỏ chọn</v>
          </cell>
          <cell r="G2510"/>
          <cell r="H2510"/>
        </row>
        <row r="2511">
          <cell r="A2511" t="str">
            <v>7.C3502559950013901</v>
          </cell>
          <cell r="B2511" t="str">
            <v>FLOOR CLEANER POWER100 NATURAL FLOWER, 9,5KG</v>
          </cell>
          <cell r="C2511" t="str">
            <v>NƯỚC LAU SÀN POWER100 HƯƠNG HOA THIÊN NHIÊN, LOẠI 9,5KG</v>
          </cell>
          <cell r="D2511" t="str">
            <v>FLOOR CLEANER POWER100 NATURAL FLOWER, 9,5KG</v>
          </cell>
          <cell r="E2511">
            <v>9.5</v>
          </cell>
          <cell r="F2511" t="str">
            <v>Bỏ chọn</v>
          </cell>
          <cell r="G2511"/>
          <cell r="H2511"/>
        </row>
        <row r="2512">
          <cell r="A2512" t="str">
            <v>7.C35025599500140</v>
          </cell>
          <cell r="B2512" t="str">
            <v>FLOOR CLEANER POWER100 LEMONGRASS, 9,5KG X 2 JRG IN CARTON</v>
          </cell>
          <cell r="C2512" t="str">
            <v>NƯỚC LAU SÀN POWER100 HƯƠNG CHANH SẢ, LOẠI 9,5KG X 2 CAN TRONG THÙNG CARTON</v>
          </cell>
          <cell r="D2512" t="str">
            <v>FLOOR CLEANER POWER100 LEMONGRASS, 9,5KG X 2 JRG IN CARTON</v>
          </cell>
          <cell r="E2512">
            <v>19</v>
          </cell>
          <cell r="F2512" t="str">
            <v>Bỏ chọn</v>
          </cell>
          <cell r="G2512"/>
          <cell r="H2512"/>
        </row>
        <row r="2513">
          <cell r="A2513" t="str">
            <v>7.C3502559950014001</v>
          </cell>
          <cell r="B2513" t="str">
            <v>FLOOR CLEANER POWER100 LEMONGRASS, 9,5KG</v>
          </cell>
          <cell r="C2513" t="str">
            <v>NƯỚC LAU SÀN POWER100 HƯƠNG CHANH SẢ, LOẠI 9,5KG</v>
          </cell>
          <cell r="D2513" t="str">
            <v>FLOOR CLEANER POWER100 LEMONGRASS, 9,5KG</v>
          </cell>
          <cell r="E2513">
            <v>9.5</v>
          </cell>
          <cell r="F2513" t="str">
            <v>Bỏ chọn</v>
          </cell>
          <cell r="G2513"/>
          <cell r="H2513"/>
        </row>
        <row r="2514">
          <cell r="A2514" t="str">
            <v>7.C35015599491227</v>
          </cell>
          <cell r="B2514" t="str">
            <v>DISHWASHING LIQUID POWER100 LEMON, 3,8KG X 4 JRG IN CARTON, EXPORT TO LAOS</v>
          </cell>
          <cell r="C2514" t="str">
            <v>NƯỚC RỬA CHÉN POWER100 HƯƠNG CHANH, LOẠI 3,8KG X 4 CAN TRONG THÙNG CARTON, XK LÀO</v>
          </cell>
          <cell r="D2514" t="str">
            <v>DISHWASHING LIQUID POWER100 LEMON, 3,8KG X 4 JRG IN CARTON, EXPORT TO LAOS</v>
          </cell>
          <cell r="E2514">
            <v>15.2</v>
          </cell>
          <cell r="F2514" t="str">
            <v>Bỏ chọn</v>
          </cell>
          <cell r="G2514"/>
          <cell r="H2514"/>
        </row>
        <row r="2515">
          <cell r="A2515" t="str">
            <v>7.C3501559949122701</v>
          </cell>
          <cell r="B2515" t="str">
            <v>DISHWASHING LIQUID POWER100 LEMON, 3,8KG, EXPORT TO LAOS</v>
          </cell>
          <cell r="C2515" t="str">
            <v>NƯỚC RỬA CHÉN POWER100 HƯƠNG CHANH, LOẠI 3,8KG, XK LÀO</v>
          </cell>
          <cell r="D2515" t="str">
            <v>DISHWASHING LIQUID POWER100 LEMON, 3,8KG, EXPORT TO LAOS</v>
          </cell>
          <cell r="E2515">
            <v>3.8</v>
          </cell>
          <cell r="F2515" t="str">
            <v>Bỏ chọn</v>
          </cell>
          <cell r="G2515"/>
          <cell r="H2515"/>
        </row>
        <row r="2516">
          <cell r="A2516" t="str">
            <v>7.B24022399670199</v>
          </cell>
          <cell r="B2516" t="str">
            <v>CHILLI SAUCE 10G X 1200 PAC/CA</v>
          </cell>
          <cell r="C2516" t="str">
            <v>TƯƠNG ỚT 10G X 1200 GÓI/ THÙNG</v>
          </cell>
          <cell r="D2516" t="str">
            <v>CHILLI SAUCE 10G X 1200 PAC/CA</v>
          </cell>
          <cell r="E2516">
            <v>12</v>
          </cell>
          <cell r="F2516" t="str">
            <v>Bỏ chọn</v>
          </cell>
          <cell r="G2516" t="str">
            <v>2000000008</v>
          </cell>
          <cell r="H2516" t="str">
            <v>7.B2402239967019901</v>
          </cell>
        </row>
        <row r="2517">
          <cell r="A2517" t="str">
            <v>7.B2402239967019901</v>
          </cell>
          <cell r="B2517" t="str">
            <v>CHILLI SAUCE 10G</v>
          </cell>
          <cell r="C2517" t="str">
            <v>TƯƠNG ỚT 10G</v>
          </cell>
          <cell r="D2517" t="str">
            <v>CHILLI SAUCE 10G</v>
          </cell>
          <cell r="E2517">
            <v>0.01</v>
          </cell>
          <cell r="F2517" t="str">
            <v>Bỏ chọn</v>
          </cell>
          <cell r="G2517" t="str">
            <v>2000000008</v>
          </cell>
          <cell r="H2517"/>
        </row>
        <row r="2518">
          <cell r="A2518" t="str">
            <v>7.52399059901A5</v>
          </cell>
          <cell r="B2518" t="str">
            <v>COMPASS-0.5KG*20 (10KG/CAR)</v>
          </cell>
          <cell r="C2518" t="str">
            <v>BỘT MÌ ĐA DỤNG CAO CẤP LA BÀN (0.5KG*20 GÓI/THÙNG)</v>
          </cell>
          <cell r="D2518" t="str">
            <v>COMPASS-0.5KG*20 (10KG/CAR)</v>
          </cell>
          <cell r="E2518">
            <v>10</v>
          </cell>
          <cell r="F2518" t="str">
            <v>Bỏ chọn</v>
          </cell>
          <cell r="G2518"/>
          <cell r="H2518"/>
        </row>
        <row r="2519">
          <cell r="A2519" t="str">
            <v>7.52399059902A5</v>
          </cell>
          <cell r="B2519" t="str">
            <v>COMPASS-1KG*10 (10KG/CAR)</v>
          </cell>
          <cell r="C2519" t="str">
            <v>BỘT MÌ ĐA DỤNG CAO CẤP LA BÀN (1KG*10 GÓI/THÙNG)</v>
          </cell>
          <cell r="D2519" t="str">
            <v>COMPASS-1KG*10 (10KG/CAR)</v>
          </cell>
          <cell r="E2519">
            <v>10</v>
          </cell>
          <cell r="F2519" t="str">
            <v>Bỏ chọn</v>
          </cell>
          <cell r="G2519"/>
          <cell r="H2519"/>
        </row>
        <row r="2520">
          <cell r="A2520" t="str">
            <v>V51.048.017</v>
          </cell>
          <cell r="B2520" t="str">
            <v>FERMENTED SOY SAUCE 280ML</v>
          </cell>
          <cell r="C2520" t="str">
            <v>NƯỚC TƯƠNG NAM DƯƠNG ĐẬU NÀNH LÊN MEN TỰ NHIÊN 280ML</v>
          </cell>
          <cell r="D2520" t="str">
            <v>FERMENTED SOY SAUCE 280ML</v>
          </cell>
          <cell r="E2520">
            <v>0.31</v>
          </cell>
          <cell r="F2520" t="str">
            <v>Bỏ chọn</v>
          </cell>
          <cell r="G2520"/>
          <cell r="H2520"/>
        </row>
        <row r="2521">
          <cell r="A2521" t="str">
            <v>7.A31990899180145</v>
          </cell>
          <cell r="B2521" t="str">
            <v>MEIZAN BREAD CRUMBS 250G X 24 BAG</v>
          </cell>
          <cell r="C2521" t="str">
            <v>BỘT CHIÊN XÙ MEIZAN 250G X 24 GÓI</v>
          </cell>
          <cell r="D2521" t="str">
            <v>MEIZAN BREAD CRUMBS 250G X 24 BAG</v>
          </cell>
          <cell r="E2521">
            <v>6</v>
          </cell>
          <cell r="F2521" t="str">
            <v>Bỏ chọn</v>
          </cell>
          <cell r="G2521"/>
          <cell r="H2521"/>
        </row>
        <row r="2522">
          <cell r="A2522" t="str">
            <v>7.A3199089918014501</v>
          </cell>
          <cell r="B2522" t="str">
            <v>MEIZAN BREAD CRUMBS 250G</v>
          </cell>
          <cell r="C2522" t="str">
            <v>BỘT CHIÊN XÙ MEIZAN 250G</v>
          </cell>
          <cell r="D2522" t="str">
            <v>MEIZAN BREAD CRUMBS 250G</v>
          </cell>
          <cell r="E2522">
            <v>0.25</v>
          </cell>
          <cell r="F2522" t="str">
            <v>Bỏ chọn</v>
          </cell>
          <cell r="G2522"/>
          <cell r="H2522"/>
        </row>
        <row r="2523">
          <cell r="A2523" t="str">
            <v>7.131087121712H10</v>
          </cell>
          <cell r="B2523" t="str">
            <v>CO-NEPTUNE LIGHT 400ML X 20 BTL</v>
          </cell>
          <cell r="C2523" t="str">
            <v>DẦU ĂN THƯỢNG HẠNG NHÃN HIỆU NEPTUNE LIGHT 400ML</v>
          </cell>
          <cell r="D2523" t="str">
            <v>CO-NEPTUNE LIGHT 400ML X 20 BTL</v>
          </cell>
          <cell r="E2523">
            <v>7.28</v>
          </cell>
          <cell r="F2523" t="str">
            <v>Bỏ chọn</v>
          </cell>
          <cell r="G2523"/>
          <cell r="H2523"/>
        </row>
        <row r="2524">
          <cell r="A2524" t="str">
            <v>7.131087031705H10</v>
          </cell>
          <cell r="B2524" t="str">
            <v>CO-NEPTUNE LIGHT 1L X 12 BTL</v>
          </cell>
          <cell r="C2524" t="str">
            <v>DẦU ĂN THƯỢNG HẠNG NHÃN HIỆU NEPTUNE LIGHT 1L</v>
          </cell>
          <cell r="D2524" t="str">
            <v>CO-NEPTUNE LIGHT 1L X 12 BTL</v>
          </cell>
          <cell r="E2524">
            <v>10.92</v>
          </cell>
          <cell r="F2524" t="str">
            <v>Chọn</v>
          </cell>
          <cell r="G2524"/>
          <cell r="H2524" t="str">
            <v>7.131087031700H10</v>
          </cell>
        </row>
        <row r="2525">
          <cell r="A2525" t="str">
            <v>7.131087041704H10</v>
          </cell>
          <cell r="B2525" t="str">
            <v>CO-NEPTUNE LIGHT 2L X 6 BTL</v>
          </cell>
          <cell r="C2525" t="str">
            <v>DẦU ĂN THƯỢNG HẠNG NHÃN HIỆU NEPTUNE LIGHT 2L</v>
          </cell>
          <cell r="D2525" t="str">
            <v>CO-NEPTUNE LIGHT 2L X 6 BTL</v>
          </cell>
          <cell r="E2525">
            <v>10.92</v>
          </cell>
          <cell r="F2525" t="str">
            <v>Chọn</v>
          </cell>
          <cell r="G2525"/>
          <cell r="H2525" t="str">
            <v>7.131087041700H10</v>
          </cell>
        </row>
        <row r="2526">
          <cell r="A2526" t="str">
            <v>7.131087061703H10</v>
          </cell>
          <cell r="B2526" t="str">
            <v>CO-NEPTUNE LIGHT 5L X 4 BTL</v>
          </cell>
          <cell r="C2526" t="str">
            <v>DẦU ĂN THƯỢNG HẠNG NHÃN HIỆU NEPTUNE LIGHT 5L</v>
          </cell>
          <cell r="D2526" t="str">
            <v>CO-NEPTUNE LIGHT 5L X 4 BTL</v>
          </cell>
          <cell r="E2526">
            <v>18.2</v>
          </cell>
          <cell r="F2526" t="str">
            <v>Chọn</v>
          </cell>
          <cell r="G2526"/>
          <cell r="H2526" t="str">
            <v>7.131087061700H10</v>
          </cell>
        </row>
        <row r="2527">
          <cell r="A2527" t="str">
            <v>7.131087011720H10</v>
          </cell>
          <cell r="B2527" t="str">
            <v>CO-NEPTUNE LIGHT 250ML X 30 BTL</v>
          </cell>
          <cell r="C2527" t="str">
            <v>DẦU ĂN THƯỢNG HẠNG NHÃN HIỆU NEPTUNE LIGHT 250ML</v>
          </cell>
          <cell r="D2527" t="str">
            <v>CO-NEPTUNE LIGHT 250ML X 30 BTL</v>
          </cell>
          <cell r="E2527">
            <v>6.8250000000000002</v>
          </cell>
          <cell r="F2527" t="str">
            <v>Bỏ chọn</v>
          </cell>
          <cell r="G2527"/>
          <cell r="H2527"/>
        </row>
        <row r="2528">
          <cell r="A2528" t="str">
            <v>V39.015.710</v>
          </cell>
          <cell r="B2528" t="str">
            <v>MEIZAN ICE BOX 5L</v>
          </cell>
          <cell r="C2528" t="str">
            <v>XÔ ĐÁ MEIZAN 5L</v>
          </cell>
          <cell r="D2528" t="str">
            <v>MEIZAN ICE BOX 5L</v>
          </cell>
          <cell r="E2528">
            <v>0</v>
          </cell>
          <cell r="F2528" t="str">
            <v>Bỏ chọn</v>
          </cell>
          <cell r="G2528"/>
          <cell r="H2528"/>
        </row>
        <row r="2529">
          <cell r="A2529" t="str">
            <v>V51.600.099</v>
          </cell>
          <cell r="B2529" t="str">
            <v>MEIZAN TABLE MARGARINE POSTER(0.5MX0.5M)</v>
          </cell>
          <cell r="C2529" t="str">
            <v>ÁP PHÍCH BƠ THỰC VẬT MEIZAN (0.5M X 0.5M)</v>
          </cell>
          <cell r="D2529" t="str">
            <v>MEIZAN TABLE MARGARINE POSTER(0.5MX0.5M)</v>
          </cell>
          <cell r="E2529">
            <v>0</v>
          </cell>
          <cell r="F2529" t="str">
            <v>Bỏ chọn</v>
          </cell>
          <cell r="G2529"/>
          <cell r="H2529"/>
        </row>
        <row r="2530">
          <cell r="A2530" t="str">
            <v>V51.600.098</v>
          </cell>
          <cell r="B2530" t="str">
            <v>MEIZAN TABLE MARGARINE POSTER(0.5M X 1M)</v>
          </cell>
          <cell r="C2530" t="str">
            <v>ÁP PHÍCH BƠ THỰC VẬT MEIZAN (0.5M X 1M)</v>
          </cell>
          <cell r="D2530" t="str">
            <v>MEIZAN TABLE MARGARINE POSTER(0.5M X 1M)</v>
          </cell>
          <cell r="E2530">
            <v>0</v>
          </cell>
          <cell r="F2530" t="str">
            <v>Bỏ chọn</v>
          </cell>
          <cell r="G2530"/>
          <cell r="H2530"/>
        </row>
        <row r="2531">
          <cell r="A2531" t="str">
            <v>7.B24022399969143</v>
          </cell>
          <cell r="B2531" t="str">
            <v>SAVING HORECA CHILI SAUCE 4,2KG X 4 BOT/CAR</v>
          </cell>
          <cell r="C2531" t="str">
            <v>TƯƠNG ỚT HORECA SIÊU TIẾT KIỆM 4,2KG X 4 CHAI/THÙNG</v>
          </cell>
          <cell r="D2531" t="str">
            <v>SAVING HORECA CHILI SAUCE 4,2KG X 4 BOT/CAR</v>
          </cell>
          <cell r="E2531">
            <v>16.8</v>
          </cell>
          <cell r="F2531" t="str">
            <v>Bỏ chọn</v>
          </cell>
          <cell r="G2531" t="str">
            <v>2000000008</v>
          </cell>
          <cell r="H2531" t="str">
            <v>7.B2402239996914301</v>
          </cell>
        </row>
        <row r="2532">
          <cell r="A2532" t="str">
            <v>7.B2402239996914301</v>
          </cell>
          <cell r="B2532" t="str">
            <v>SAVING HORECA CHILI SAUCE 4,2KG</v>
          </cell>
          <cell r="C2532" t="str">
            <v>TƯƠNG ỚT HORECA SIÊU TIẾT KIỆM 4,2KG</v>
          </cell>
          <cell r="D2532" t="str">
            <v>SAVING HORECA CHILI SAUCE 4,2KG</v>
          </cell>
          <cell r="E2532">
            <v>4.2</v>
          </cell>
          <cell r="F2532" t="str">
            <v>Bỏ chọn</v>
          </cell>
          <cell r="G2532" t="str">
            <v>2000000008</v>
          </cell>
          <cell r="H2532"/>
        </row>
        <row r="2533">
          <cell r="A2533" t="str">
            <v>800.056.009</v>
          </cell>
          <cell r="B2533" t="str">
            <v>LAPTOP LENOVO THINKPAD E14</v>
          </cell>
          <cell r="C2533" t="str">
            <v>MÁY TÍNH XÁCH TAY LENOVO THINKPAD E14</v>
          </cell>
          <cell r="D2533"/>
          <cell r="E2533">
            <v>0</v>
          </cell>
          <cell r="F2533" t="str">
            <v>Bỏ chọn</v>
          </cell>
          <cell r="G2533"/>
          <cell r="H2533"/>
        </row>
        <row r="2534">
          <cell r="A2534" t="str">
            <v>800.056.010</v>
          </cell>
          <cell r="B2534" t="str">
            <v>LAPTOP LENOVO THINKPAD X390</v>
          </cell>
          <cell r="C2534" t="str">
            <v>MÁY TÍNH XÁCH TAY LENOVO THINKPAD X390</v>
          </cell>
          <cell r="D2534"/>
          <cell r="E2534">
            <v>0</v>
          </cell>
          <cell r="F2534" t="str">
            <v>Bỏ chọn</v>
          </cell>
          <cell r="G2534"/>
          <cell r="H2534"/>
        </row>
        <row r="2535">
          <cell r="A2535" t="str">
            <v>800.010.004</v>
          </cell>
          <cell r="B2535" t="str">
            <v xml:space="preserve"> PHOTOCOPY MACHINE APEOSPORT 2560</v>
          </cell>
          <cell r="C2535" t="str">
            <v>MÁY PHOTOCOPY APEOSPORT 2560</v>
          </cell>
          <cell r="D2535"/>
          <cell r="E2535">
            <v>0</v>
          </cell>
          <cell r="F2535" t="str">
            <v>Bỏ chọn</v>
          </cell>
          <cell r="G2535"/>
          <cell r="H2535"/>
        </row>
        <row r="2536">
          <cell r="A2536" t="str">
            <v>V51.000.089</v>
          </cell>
          <cell r="B2536" t="str">
            <v>THIEN KIM TAY DO RICE IN PLASTIC PAC 5KG</v>
          </cell>
          <cell r="C2536" t="str">
            <v>GẠO THIÊN KIM ĐẶC SẢN TÂY ĐÔ ĐÓNG TRONG TÚI NHỰA 5KG</v>
          </cell>
          <cell r="D2536" t="str">
            <v>THIEN KIM TAY DO RICE IN PLASTIC PAC 5KG</v>
          </cell>
          <cell r="E2536">
            <v>5</v>
          </cell>
          <cell r="F2536" t="str">
            <v>Bỏ chọn</v>
          </cell>
          <cell r="G2536"/>
          <cell r="H2536"/>
        </row>
        <row r="2537">
          <cell r="A2537" t="str">
            <v>V51.061.018</v>
          </cell>
          <cell r="B2537" t="str">
            <v>HAND NOTE SIMPLY 8CM X 15CM</v>
          </cell>
          <cell r="C2537" t="str">
            <v>SỔ TAY SIMPLY 8CM X 15 CM</v>
          </cell>
          <cell r="D2537" t="str">
            <v>HAND NOTE SIMPLY 8CM X 15CM</v>
          </cell>
          <cell r="E2537">
            <v>0</v>
          </cell>
          <cell r="F2537" t="str">
            <v>Bỏ chọn</v>
          </cell>
          <cell r="G2537"/>
          <cell r="H2537"/>
        </row>
        <row r="2538">
          <cell r="A2538" t="str">
            <v>V51.600.095</v>
          </cell>
          <cell r="B2538" t="str">
            <v>KIDDY SHELF (31 X 30)</v>
          </cell>
          <cell r="C2538" t="str">
            <v>KỆ KIDDY (31 X30)</v>
          </cell>
          <cell r="D2538" t="str">
            <v>KIDDY SHELF (31 X 30)</v>
          </cell>
          <cell r="E2538">
            <v>0</v>
          </cell>
          <cell r="F2538" t="str">
            <v>Bỏ chọn</v>
          </cell>
          <cell r="G2538"/>
          <cell r="H2538"/>
        </row>
        <row r="2539">
          <cell r="A2539" t="str">
            <v>7.C35025599970144</v>
          </cell>
          <cell r="B2539" t="str">
            <v>GLASS CLEANER POWER100 MINT SCENT, 3,8L X 4 JRG IN CARTON</v>
          </cell>
          <cell r="C2539" t="str">
            <v>NƯỚC LAU KÍNH POWER100 HƯƠNG BẠC HÀ, LOẠI 3,8L X 4 CAN TRONG THÙNG CARTON</v>
          </cell>
          <cell r="D2539" t="str">
            <v>GLASS CLEANER POWER100 MINT SCENT, 3,8L X 4 JRG IN CARTON</v>
          </cell>
          <cell r="E2539">
            <v>15.04</v>
          </cell>
          <cell r="F2539" t="str">
            <v>Bỏ chọn</v>
          </cell>
          <cell r="G2539"/>
          <cell r="H2539"/>
        </row>
        <row r="2540">
          <cell r="A2540" t="str">
            <v>7.C3502559997014401</v>
          </cell>
          <cell r="B2540" t="str">
            <v>GLASS CLEANER POWER100 MINT SCENT, 3,8L</v>
          </cell>
          <cell r="C2540" t="str">
            <v>NƯỚC LAU KÍNH POWER100 HƯƠNG BẠC HÀ, LOẠI 3,8L</v>
          </cell>
          <cell r="D2540" t="str">
            <v>GLASS CLEANER POWER100 MINT SCENT, 3,8L</v>
          </cell>
          <cell r="E2540">
            <v>3.76</v>
          </cell>
          <cell r="F2540" t="str">
            <v>Bỏ chọn</v>
          </cell>
          <cell r="G2540"/>
          <cell r="H2540"/>
        </row>
        <row r="2541">
          <cell r="A2541" t="str">
            <v>7.A320108990201</v>
          </cell>
          <cell r="B2541" t="str">
            <v>MEIZAN PREMIUM EGG NOODLE 1KG X 8 BAG</v>
          </cell>
          <cell r="C2541" t="str">
            <v>MÌ TRỨNG CAO CẤP MEIZAN 1KG X 8 GÓI</v>
          </cell>
          <cell r="D2541" t="str">
            <v>MEIZAN PREMIUM EGG NOODLE 1KG X 8 BAG</v>
          </cell>
          <cell r="E2541">
            <v>8</v>
          </cell>
          <cell r="F2541" t="str">
            <v>Bỏ chọn</v>
          </cell>
          <cell r="G2541"/>
          <cell r="H2541"/>
        </row>
        <row r="2542">
          <cell r="A2542" t="str">
            <v>7.A32010899020101</v>
          </cell>
          <cell r="B2542" t="str">
            <v>MEIZAN PREMIUM EGG NOODLE 1KG</v>
          </cell>
          <cell r="C2542" t="str">
            <v>MÌ TRỨNG CAO CẤP MEIZAN 1KG</v>
          </cell>
          <cell r="D2542" t="str">
            <v>MEIZAN PREMIUM EGG NOODLE 1KG</v>
          </cell>
          <cell r="E2542">
            <v>1</v>
          </cell>
          <cell r="F2542" t="str">
            <v>Bỏ chọn</v>
          </cell>
          <cell r="G2542"/>
          <cell r="H2542"/>
        </row>
        <row r="2543">
          <cell r="A2543" t="str">
            <v>V51.048.019</v>
          </cell>
          <cell r="B2543" t="str">
            <v>FERMENTED SOY SAUCE 500ML</v>
          </cell>
          <cell r="C2543" t="str">
            <v>NƯỚC TƯƠNG NAM DƯƠNG ĐẬU NÀNH LÊN MEN TỰ NHIÊN 500ML</v>
          </cell>
          <cell r="D2543" t="str">
            <v>FERMENTED SOY SAUCE 500ML</v>
          </cell>
          <cell r="E2543">
            <v>1</v>
          </cell>
          <cell r="F2543" t="str">
            <v>Bỏ chọn</v>
          </cell>
          <cell r="G2543"/>
          <cell r="H2543"/>
        </row>
        <row r="2544">
          <cell r="A2544" t="str">
            <v>7.5239905990297</v>
          </cell>
          <cell r="B2544" t="str">
            <v>COMPASS PREMIUM ALL-PURPOSE FLOUR (1KG)</v>
          </cell>
          <cell r="C2544" t="str">
            <v>BỘT MÌ ĐA DỤNG CAO CẤP HIỆU LA BÀN (1KG)</v>
          </cell>
          <cell r="D2544" t="str">
            <v>COMPASS PREMIUM ALL-PURPOSE FLOUR (1KG)</v>
          </cell>
          <cell r="E2544">
            <v>10</v>
          </cell>
          <cell r="F2544" t="str">
            <v>Bỏ chọn</v>
          </cell>
          <cell r="G2544"/>
          <cell r="H2544"/>
        </row>
        <row r="2545">
          <cell r="A2545" t="str">
            <v>7.5239905990197</v>
          </cell>
          <cell r="B2545" t="str">
            <v>COMPASS PREMIUM ALL-PURPOSE FLOUR (0.5KG)</v>
          </cell>
          <cell r="C2545" t="str">
            <v>BỘT MÌ ĐA DỤNG CAO CẤP HIỆU LA BÀN (0.5KG)</v>
          </cell>
          <cell r="D2545" t="str">
            <v>COMPASS PREMIUM ALL-PURPOSE FLOUR (0.5KG)</v>
          </cell>
          <cell r="E2545">
            <v>10</v>
          </cell>
          <cell r="F2545" t="str">
            <v>Bỏ chọn</v>
          </cell>
          <cell r="G2545"/>
          <cell r="H2545"/>
        </row>
        <row r="2546">
          <cell r="A2546" t="str">
            <v>7.52399083902AA</v>
          </cell>
          <cell r="B2546" t="str">
            <v>MEIZAN HI-RATIO CAKE FLOUR (1KG)</v>
          </cell>
          <cell r="C2546" t="str">
            <v>BỘT MÌ CHUYÊN DỤNG CHO BÁNH BÔNG LAN HIỆU MEIZAN (1KG)</v>
          </cell>
          <cell r="D2546" t="str">
            <v>MEIZAN HI-RATIO CAKE FLOUR (1KG)</v>
          </cell>
          <cell r="E2546">
            <v>10</v>
          </cell>
          <cell r="F2546" t="str">
            <v>Bỏ chọn</v>
          </cell>
          <cell r="G2546"/>
          <cell r="H2546"/>
        </row>
        <row r="2547">
          <cell r="A2547" t="str">
            <v>7.52399083802A6</v>
          </cell>
          <cell r="B2547" t="str">
            <v>MEIZAN UNBLEACHED BREAD FLOUR (1KG)</v>
          </cell>
          <cell r="C2547" t="str">
            <v>BỘT MÌ CHUYÊN DỤNG CHO BÁNH MÌ HIỆU MEIZAN (1KG)</v>
          </cell>
          <cell r="D2547" t="str">
            <v>MEIZAN UNBLEACHED BREAD FLOUR (1KG)</v>
          </cell>
          <cell r="E2547">
            <v>10</v>
          </cell>
          <cell r="F2547" t="str">
            <v>Bỏ chọn</v>
          </cell>
          <cell r="G2547"/>
          <cell r="H2547"/>
        </row>
        <row r="2548">
          <cell r="A2548" t="str">
            <v>7.B2508549994010504</v>
          </cell>
          <cell r="B2548" t="str">
            <v>PORK BOUILLON GRANULE 380G X 20 PACK ON PACK 20 BOT NAM DUONG CONDENSED SOY SAUCE 280ML</v>
          </cell>
          <cell r="C2548" t="str">
            <v>HẠT NÊM 4 TRONG 1 - VỊ HEO 380G X 20 GÓI ĐÓNG KÈM  20 CHAI THỰC PHẨM BỔ SUNG NƯỚC TƯƠNG NAM DƯƠNG ĐẬM ĐẶC 280ML/THÙNG</v>
          </cell>
          <cell r="D2548" t="str">
            <v>PORK BOUILLON GRANULE 380G X 20 PACK ON PACK 20 BOT NAM DUONG CONDENSED SOY SAUCE 280ML</v>
          </cell>
          <cell r="E2548">
            <v>14.58</v>
          </cell>
          <cell r="F2548" t="str">
            <v>Bỏ chọn</v>
          </cell>
          <cell r="G2548" t="str">
            <v>2000000008</v>
          </cell>
          <cell r="H2548" t="str">
            <v>7.B250854999401050401</v>
          </cell>
        </row>
        <row r="2549">
          <cell r="A2549" t="str">
            <v>7.B250854999401050401</v>
          </cell>
          <cell r="B2549" t="str">
            <v>PORK BOUILLON GRANULE 380G X 01 PACK ON PACK 01 BOT NAM DUONG CONDENSED SOY SAUCE 280ML</v>
          </cell>
          <cell r="C2549" t="str">
            <v>HẠT NÊM 4 TRONG 1 - VỊ HEO 380G ĐÓNG KÈM 01 CHAI THỰC PHẨM BỔ SUNG NƯỚC TƯƠNG NAM DƯƠNG ĐẬM ĐẶC 280ML</v>
          </cell>
          <cell r="D2549" t="str">
            <v>PORK BOUILLON GRANULE 380G X 01 PACK ON PACK 01 BOT NAM DUONG CONDENSED SOY SAUCE 280ML</v>
          </cell>
          <cell r="E2549">
            <v>0.73</v>
          </cell>
          <cell r="F2549" t="str">
            <v>Bỏ chọn</v>
          </cell>
          <cell r="G2549" t="str">
            <v>2000000008</v>
          </cell>
          <cell r="H2549"/>
        </row>
        <row r="2550">
          <cell r="A2550" t="str">
            <v>7.131087F11702H10</v>
          </cell>
          <cell r="B2550" t="str">
            <v>CO-NEPTUNE LIGHT 9.8L X 2 BTL</v>
          </cell>
          <cell r="C2550" t="str">
            <v>DẦU ĂN THƯỢNG HẠNG NHÃN HIỆU NEPTUNE LIGHT 9.8L (9KG)</v>
          </cell>
          <cell r="D2550" t="str">
            <v>CO-NEPTUNE LIGHT 9.8L X 2 BTL</v>
          </cell>
          <cell r="E2550">
            <v>18</v>
          </cell>
          <cell r="F2550" t="str">
            <v>Chọn</v>
          </cell>
          <cell r="G2550"/>
          <cell r="H2550"/>
        </row>
        <row r="2551">
          <cell r="A2551" t="str">
            <v>V39.00A.004</v>
          </cell>
          <cell r="B2551" t="str">
            <v>"3 THẬT"  CHILLI SAUCE T-SHIRTS</v>
          </cell>
          <cell r="C2551" t="str">
            <v>ÁO THUN TƯƠNG ỚT 3 THẬT</v>
          </cell>
          <cell r="D2551" t="str">
            <v>"3 THẬT"  CHILLI SAUCE T-SHIRTS</v>
          </cell>
          <cell r="E2551">
            <v>0</v>
          </cell>
          <cell r="F2551" t="str">
            <v>Bỏ chọn</v>
          </cell>
          <cell r="G2551"/>
          <cell r="H2551"/>
        </row>
        <row r="2552">
          <cell r="A2552" t="str">
            <v>V39.00A.005</v>
          </cell>
          <cell r="B2552" t="str">
            <v xml:space="preserve"> T-SHIRTS</v>
          </cell>
          <cell r="C2552" t="str">
            <v>ÁO THUN</v>
          </cell>
          <cell r="D2552" t="str">
            <v xml:space="preserve"> T-SHIRTS</v>
          </cell>
          <cell r="E2552">
            <v>0</v>
          </cell>
          <cell r="F2552" t="str">
            <v>Bỏ chọn</v>
          </cell>
          <cell r="G2552"/>
          <cell r="H2552"/>
        </row>
        <row r="2553">
          <cell r="A2553" t="str">
            <v>V51.00A.034</v>
          </cell>
          <cell r="B2553" t="str">
            <v>"3 THẬT" CHILLI SAUCE CARTON RACK</v>
          </cell>
          <cell r="C2553" t="str">
            <v>KỆ CARTON TƯƠNG ỚT 3 THẬT</v>
          </cell>
          <cell r="D2553" t="str">
            <v>"3 THẬT" CHILLI SAUCE CARTON RACK</v>
          </cell>
          <cell r="E2553">
            <v>0</v>
          </cell>
          <cell r="F2553" t="str">
            <v>Bỏ chọn</v>
          </cell>
          <cell r="G2553"/>
          <cell r="H2553"/>
        </row>
        <row r="2554">
          <cell r="A2554" t="str">
            <v>7.131005580801H20</v>
          </cell>
          <cell r="B2554" t="str">
            <v>MEIZAN CREAMING FAT IN PE BAG @20KG</v>
          </cell>
          <cell r="C2554" t="str">
            <v>CHẤT BÉO KEM BÁNH HIỆU MEIZAN(NHÃN MÀU XANH)20KG</v>
          </cell>
          <cell r="D2554" t="str">
            <v>MEIZAN CREAMING FAT IN PE BAG @20KG</v>
          </cell>
          <cell r="E2554">
            <v>20</v>
          </cell>
          <cell r="F2554" t="str">
            <v>Chọn</v>
          </cell>
          <cell r="G2554"/>
          <cell r="H2554"/>
        </row>
        <row r="2555">
          <cell r="A2555" t="str">
            <v>7.458052261200000</v>
          </cell>
          <cell r="B2555" t="str">
            <v>SATELLITE RBD SUNFLOWER OIL IN JRG @25KG</v>
          </cell>
          <cell r="C2555" t="str">
            <v>DẦU HƯỚNG DƯƠNG TINH LUYỆN NHÃN HIỆU SATELLITE 25KG</v>
          </cell>
          <cell r="D2555" t="str">
            <v>SATELLITE RBD SUNFLOWER OIL IN JRG @25KG</v>
          </cell>
          <cell r="E2555">
            <v>25</v>
          </cell>
          <cell r="F2555" t="str">
            <v>Chọn</v>
          </cell>
          <cell r="G2555"/>
          <cell r="H2555"/>
        </row>
        <row r="2556">
          <cell r="A2556" t="str">
            <v>V78.000.035</v>
          </cell>
          <cell r="B2556" t="str">
            <v>TYPE 6: SHIRT, TROUSERS FOR MALE</v>
          </cell>
          <cell r="C2556" t="str">
            <v>MẪU 6: ÁO SƠ MI, QUẦN ÂU NAM</v>
          </cell>
          <cell r="D2556" t="str">
            <v>TYPE 6: SHIRT, TROUSERS FOR MALE</v>
          </cell>
          <cell r="E2556">
            <v>0</v>
          </cell>
          <cell r="F2556" t="str">
            <v>Bỏ chọn</v>
          </cell>
          <cell r="G2556"/>
          <cell r="H2556"/>
        </row>
        <row r="2557">
          <cell r="A2557" t="str">
            <v>6.70544</v>
          </cell>
          <cell r="B2557" t="str">
            <v>CASTOR OIL PALE PRESSED GRADE IN  DRUM 200KG</v>
          </cell>
          <cell r="C2557" t="str">
            <v>DẦU THẦU DẦU - CASTOR OIL PALE PRESSED GRADE ĐÓNG TRONG PHUY 200KG</v>
          </cell>
          <cell r="D2557" t="str">
            <v>CASTOR OIL PALE PRESSED GRADE IN  DRUM 200KG</v>
          </cell>
          <cell r="E2557">
            <v>1</v>
          </cell>
          <cell r="F2557" t="str">
            <v>Chọn</v>
          </cell>
          <cell r="G2557"/>
          <cell r="H2557"/>
        </row>
        <row r="2558">
          <cell r="A2558" t="str">
            <v>7.70555</v>
          </cell>
          <cell r="B2558" t="str">
            <v>MIZULAN L128-40 BRAND MES(METHYL ESTER SULFONATE) IN GLASS BOTLE  0.5KG</v>
          </cell>
          <cell r="C2558" t="str">
            <v>CHẤT HOẠT ĐỘNG BỀ MẶT MES(METHYL ESTER SULFONATE) NHÃN HIỆU MIZULAN L128-40 ĐÓNG TRONG CHAI THỦY TINH 0.5KG</v>
          </cell>
          <cell r="D2558" t="str">
            <v>MIZULAN L128-40 BRAND MES(METHYL ESTER SULFONATE) IN GLASS BOTLE  0.5KG</v>
          </cell>
          <cell r="E2558">
            <v>1</v>
          </cell>
          <cell r="F2558" t="str">
            <v>Bỏ chọn</v>
          </cell>
          <cell r="G2558"/>
          <cell r="H2558"/>
        </row>
        <row r="2559">
          <cell r="A2559" t="str">
            <v>7.D37011099AA25</v>
          </cell>
          <cell r="B2559" t="str">
            <v>DARK CHOCOLATE COMPOUND SLD-3100B-116T, NAKED BLOCK 2.5KG IN CARTON 25KG</v>
          </cell>
          <cell r="C2559" t="str">
            <v>SÔ-CÔ-LA ĐEN SLD-3100B-116T NAKED BLOCK 2.5KG ĐÓNG TRONG THÙNG CARTON 25KG</v>
          </cell>
          <cell r="D2559" t="str">
            <v>DARK CHOCOLATE COMPOUND SLD-3100B-116T, NAKED BLOCK 2.5KG IN CARTON 25KG</v>
          </cell>
          <cell r="E2559">
            <v>25</v>
          </cell>
          <cell r="F2559" t="str">
            <v>Bỏ chọn</v>
          </cell>
          <cell r="G2559"/>
          <cell r="H2559"/>
        </row>
        <row r="2560">
          <cell r="A2560" t="str">
            <v>7.D37011099AA46</v>
          </cell>
          <cell r="B2560" t="str">
            <v>MILK CHOCOLATE COMPOUND SLM-3101B-116T, NAKED BLOCK 2.5KG IN CARTON 25KG</v>
          </cell>
          <cell r="C2560" t="str">
            <v>SÔ-CÔ-LA SỮA SLM-3101B-116T, NAKED BLOCK 2.5KG ĐÓNG TRONG THÙNG CARTON 25KG</v>
          </cell>
          <cell r="D2560" t="str">
            <v>MILK CHOCOLATE COMPOUND SLM-3101B-116T, NAKED BLOCK 2.5KG IN CARTON 25KG</v>
          </cell>
          <cell r="E2560">
            <v>25</v>
          </cell>
          <cell r="F2560" t="str">
            <v>Bỏ chọn</v>
          </cell>
          <cell r="G2560"/>
          <cell r="H2560"/>
        </row>
        <row r="2561">
          <cell r="A2561" t="str">
            <v>V51.00A.035</v>
          </cell>
          <cell r="B2561" t="str">
            <v>GRANULE ONPACK BAG (28.5X39.5) VER 2</v>
          </cell>
          <cell r="C2561" t="str">
            <v>TÚI KHUYẾN MÃI HẠT NÊM (28.5X39.5) VER 2</v>
          </cell>
          <cell r="D2561" t="str">
            <v>GRANULE ONPACK BAG (28.5X39.5) VER 2</v>
          </cell>
          <cell r="E2561">
            <v>0</v>
          </cell>
          <cell r="F2561" t="str">
            <v>Bỏ chọn</v>
          </cell>
          <cell r="G2561"/>
          <cell r="H2561"/>
        </row>
        <row r="2562">
          <cell r="A2562" t="str">
            <v>V51.00A.036</v>
          </cell>
          <cell r="B2562" t="str">
            <v>GRANULE ONPACK BAG (26X32) VER 2</v>
          </cell>
          <cell r="C2562" t="str">
            <v>TÚI KHUYẾN MÃI HẠT NÊM (26X32) VER 2</v>
          </cell>
          <cell r="D2562" t="str">
            <v>GRANULE ONPACK BAG (26X32) VER 2</v>
          </cell>
          <cell r="E2562">
            <v>0</v>
          </cell>
          <cell r="F2562" t="str">
            <v>Bỏ chọn</v>
          </cell>
          <cell r="G2562"/>
          <cell r="H2562"/>
        </row>
        <row r="2563">
          <cell r="A2563" t="str">
            <v>V39.00A.006</v>
          </cell>
          <cell r="B2563" t="str">
            <v>TISSUE PLASTIC BOX</v>
          </cell>
          <cell r="C2563" t="str">
            <v>HỘP NHỰA ĐỰNG GIẤY</v>
          </cell>
          <cell r="D2563" t="str">
            <v>TISSUE PLASTIC BOX</v>
          </cell>
          <cell r="E2563">
            <v>0</v>
          </cell>
          <cell r="F2563" t="str">
            <v>Bỏ chọn</v>
          </cell>
          <cell r="G2563"/>
          <cell r="H2563"/>
        </row>
        <row r="2564">
          <cell r="A2564" t="str">
            <v>7.131087011700H10</v>
          </cell>
          <cell r="B2564" t="str">
            <v>CO-NEPTUNE LIGHT IN BOTTLE@250ML</v>
          </cell>
          <cell r="C2564" t="str">
            <v>DẦU ĂN THƯỢNG HẠNG NHÃN HIỆU NEPTUNE LIGHT 250ML</v>
          </cell>
          <cell r="D2564" t="str">
            <v>CO-NEPTUNE LIGHT IN BOTTLE@250ML</v>
          </cell>
          <cell r="E2564">
            <v>0.23</v>
          </cell>
          <cell r="F2564" t="str">
            <v>Bỏ chọn</v>
          </cell>
          <cell r="G2564"/>
          <cell r="H2564"/>
        </row>
        <row r="2565">
          <cell r="A2565" t="str">
            <v>7.131087121700H10</v>
          </cell>
          <cell r="B2565" t="str">
            <v>CO-NEPTUNE LIGHT IN BOTTLE @400ML</v>
          </cell>
          <cell r="C2565" t="str">
            <v>DẦU ĂN THƯỢNG HẠNG NHÃN HIỆU NEPTUNE LIGHT 400ML</v>
          </cell>
          <cell r="D2565" t="str">
            <v>CO-NEPTUNE LIGHT IN BOTTLE @400ML</v>
          </cell>
          <cell r="E2565">
            <v>0.36399999999999999</v>
          </cell>
          <cell r="F2565" t="str">
            <v>Chọn</v>
          </cell>
          <cell r="G2565"/>
          <cell r="H2565"/>
        </row>
        <row r="2566">
          <cell r="A2566" t="str">
            <v>7.131087031700H10</v>
          </cell>
          <cell r="B2566" t="str">
            <v>CO-NEPTUNE LIGHT IN BOTTLE@1L</v>
          </cell>
          <cell r="C2566" t="str">
            <v>DẦU ĂN THƯỢNG HẠNG NHÃN HIỆU NEPTUNE LIGHT 1L</v>
          </cell>
          <cell r="D2566" t="str">
            <v>CO-NEPTUNE LIGHT IN BOTTLE@1L</v>
          </cell>
          <cell r="E2566">
            <v>0.91</v>
          </cell>
          <cell r="F2566" t="str">
            <v>Chọn</v>
          </cell>
          <cell r="G2566"/>
          <cell r="H2566"/>
        </row>
        <row r="2567">
          <cell r="A2567" t="str">
            <v>7.131087041700H10</v>
          </cell>
          <cell r="B2567" t="str">
            <v>CO-NEPTUNE LIGHT IN BOTTLE@2L</v>
          </cell>
          <cell r="C2567" t="str">
            <v>DẦU ĂN THƯỢNG HẠNG NHÃN HIỆU NEPTUNE LIGHT 2L</v>
          </cell>
          <cell r="D2567" t="str">
            <v>CO-NEPTUNE LIGHT IN BOTTLE@2L</v>
          </cell>
          <cell r="E2567">
            <v>1.82</v>
          </cell>
          <cell r="F2567" t="str">
            <v>Chọn</v>
          </cell>
          <cell r="G2567"/>
          <cell r="H2567"/>
        </row>
        <row r="2568">
          <cell r="A2568" t="str">
            <v>7.131087061700H10</v>
          </cell>
          <cell r="B2568" t="str">
            <v>CO-NEPTUNE LIGHT IN BOTTLE@5L</v>
          </cell>
          <cell r="C2568" t="str">
            <v>DẦU ĂN THƯỢNG HẠNG NHÃN HIỆU NEPTUNE LIGHT 5L</v>
          </cell>
          <cell r="D2568" t="str">
            <v>CO-NEPTUNE LIGHT IN BOTTLE@5L</v>
          </cell>
          <cell r="E2568">
            <v>4.55</v>
          </cell>
          <cell r="F2568" t="str">
            <v>Chọn</v>
          </cell>
          <cell r="G2568"/>
          <cell r="H2568"/>
        </row>
        <row r="2569">
          <cell r="A2569" t="str">
            <v>V51.048.021</v>
          </cell>
          <cell r="B2569" t="str">
            <v>OYSTER SAUCE 270GR</v>
          </cell>
          <cell r="C2569" t="str">
            <v>DẦU HÀO 270GR</v>
          </cell>
          <cell r="D2569" t="str">
            <v>OYSTER SAUCE 270GR</v>
          </cell>
          <cell r="E2569">
            <v>0</v>
          </cell>
          <cell r="F2569" t="str">
            <v>Bỏ chọn</v>
          </cell>
          <cell r="G2569"/>
          <cell r="H2569"/>
        </row>
        <row r="2570">
          <cell r="A2570" t="str">
            <v>7.70556</v>
          </cell>
          <cell r="B2570" t="str">
            <v>ERCAMULS LF 65 IN PLASTIC BOTTLE 1KG</v>
          </cell>
          <cell r="C2570" t="str">
            <v>CHẤT NHŨ HÓA ERCAMULS LF 65 ĐÓNG TRONG CHAI NHỰA 1KG</v>
          </cell>
          <cell r="D2570" t="str">
            <v>ERCAMULS LF 65 IN PLASTIC BOTTLE 1KG</v>
          </cell>
          <cell r="E2570">
            <v>1</v>
          </cell>
          <cell r="F2570" t="str">
            <v>Bỏ chọn</v>
          </cell>
          <cell r="G2570"/>
          <cell r="H2570"/>
        </row>
        <row r="2571">
          <cell r="A2571" t="str">
            <v>7.70557</v>
          </cell>
          <cell r="B2571" t="str">
            <v>ERCAPEG 6000 DS IN PLASTIC BOTTLE 1KG</v>
          </cell>
          <cell r="C2571" t="str">
            <v>CHẤT DƯỠNG ẨM ERCAPEG 6000 DS ĐÓNG TRONG CHAI NHỰA 1KG</v>
          </cell>
          <cell r="D2571" t="str">
            <v>ERCAPEG 6000 DS IN PLASTIC BOTTLE 1KG</v>
          </cell>
          <cell r="E2571">
            <v>1</v>
          </cell>
          <cell r="F2571" t="str">
            <v>Bỏ chọn</v>
          </cell>
          <cell r="G2571"/>
          <cell r="H2571"/>
        </row>
        <row r="2572">
          <cell r="A2572" t="str">
            <v>7.70558</v>
          </cell>
          <cell r="B2572" t="str">
            <v>ERCAREL AB IN PLASTIC BOTTLE 1KG</v>
          </cell>
          <cell r="C2572" t="str">
            <v>CHẤT LÀM MỀM DA ERCAREL AB ĐÓNG TRONG CHAI NHỰA 1KG</v>
          </cell>
          <cell r="D2572" t="str">
            <v>ERCAREL AB IN PLASTIC BOTTLE 1KG</v>
          </cell>
          <cell r="E2572">
            <v>1</v>
          </cell>
          <cell r="F2572" t="str">
            <v>Bỏ chọn</v>
          </cell>
          <cell r="G2572"/>
          <cell r="H2572"/>
        </row>
        <row r="2573">
          <cell r="A2573" t="str">
            <v>7.70559</v>
          </cell>
          <cell r="B2573" t="str">
            <v>ERCAREL DCA IN PLASTIC BOTTLE 1KG</v>
          </cell>
          <cell r="C2573" t="str">
            <v>CHẤT LÀM MỀM DA ERCAREL DCA ĐÓNG TRONG CHAI NHỰA 1KG</v>
          </cell>
          <cell r="D2573" t="str">
            <v>ERCAREL DCA IN PLASTIC BOTTLE 1KG</v>
          </cell>
          <cell r="E2573">
            <v>1</v>
          </cell>
          <cell r="F2573" t="str">
            <v>Bỏ chọn</v>
          </cell>
          <cell r="G2573"/>
          <cell r="H2573"/>
        </row>
        <row r="2574">
          <cell r="A2574" t="str">
            <v>7.70560</v>
          </cell>
          <cell r="B2574" t="str">
            <v>ERCATENS PGO IN PLASTIC BOTTLE 1KG</v>
          </cell>
          <cell r="C2574" t="str">
            <v>CHẤT HOẠT ĐỘNG BỀ MẶT ERCATENS PGO ĐÓNG TRONG CHAI NHỰA 1KG</v>
          </cell>
          <cell r="D2574" t="str">
            <v>ERCATENS PGO IN PLASTIC BOTTLE 1KG</v>
          </cell>
          <cell r="E2574">
            <v>1</v>
          </cell>
          <cell r="F2574" t="str">
            <v>Bỏ chọn</v>
          </cell>
          <cell r="G2574"/>
          <cell r="H2574"/>
        </row>
        <row r="2575">
          <cell r="A2575" t="str">
            <v>7.70561</v>
          </cell>
          <cell r="B2575" t="str">
            <v>ERCAREL SHO IN PLASTIC BOTTLE 1KG</v>
          </cell>
          <cell r="C2575" t="str">
            <v>CHẤT LÀM MỀM DA ERCAREL SHO ĐÓNG TRONG CHAI NHỰA 1KG</v>
          </cell>
          <cell r="D2575" t="str">
            <v>ERCAREL SHO IN PLASTIC BOTTLE 1KG</v>
          </cell>
          <cell r="E2575">
            <v>1</v>
          </cell>
          <cell r="F2575" t="str">
            <v>Bỏ chọn</v>
          </cell>
          <cell r="G2575"/>
          <cell r="H2575"/>
        </row>
        <row r="2576">
          <cell r="A2576" t="str">
            <v>7.70562</v>
          </cell>
          <cell r="B2576" t="str">
            <v>ERCAMULS LF 3 IN PLASTIC BOTTLE 1KG</v>
          </cell>
          <cell r="C2576" t="str">
            <v>CHẤT NHŨ HÓA ERCAMULS LF 3 ĐÓNG TRONG CHAI NHỰA 1KG</v>
          </cell>
          <cell r="D2576" t="str">
            <v>ERCAMULS LF 3 IN PLASTIC BOTTLE 1KG</v>
          </cell>
          <cell r="E2576">
            <v>1</v>
          </cell>
          <cell r="F2576" t="str">
            <v>Bỏ chọn</v>
          </cell>
          <cell r="G2576"/>
          <cell r="H2576"/>
        </row>
        <row r="2577">
          <cell r="A2577" t="str">
            <v>6.52399029803</v>
          </cell>
          <cell r="B2577" t="str">
            <v>BLUE KEY NOODLE 37.5KG</v>
          </cell>
          <cell r="C2577" t="str">
            <v>BỘT MÌ HIỆU CHÌA KHÓA XANH MÌ SỢI (37,5KG)</v>
          </cell>
          <cell r="D2577" t="str">
            <v>BLUE KEY NOODLE 37.5KG</v>
          </cell>
          <cell r="E2577">
            <v>1</v>
          </cell>
          <cell r="F2577" t="str">
            <v>Bỏ chọn</v>
          </cell>
          <cell r="G2577"/>
          <cell r="H2577"/>
        </row>
        <row r="2578">
          <cell r="A2578" t="str">
            <v>V51.901.071</v>
          </cell>
          <cell r="B2578" t="str">
            <v>MEIZAN STANDEE FRAME (1.7M X 0.6M)</v>
          </cell>
          <cell r="C2578" t="str">
            <v>KHUNG PHƯỚN ĐỨNG MEIZAN (1,7M X 0,6M)</v>
          </cell>
          <cell r="D2578" t="str">
            <v>MEIZAN STANDEE FRAME (1.7M X 0.6M)</v>
          </cell>
          <cell r="E2578">
            <v>0</v>
          </cell>
          <cell r="F2578" t="str">
            <v>Bỏ chọn</v>
          </cell>
          <cell r="G2578"/>
          <cell r="H2578"/>
        </row>
        <row r="2579">
          <cell r="A2579" t="str">
            <v>V51.600.100</v>
          </cell>
          <cell r="B2579" t="str">
            <v>ARTWORK MEIZAN MARGARINE FOR STANDEE 1.6M X 0.6M</v>
          </cell>
          <cell r="C2579" t="str">
            <v>TẤM HÌNH ẢNH BƠ MEIZAN 1,6M X 0,6M</v>
          </cell>
          <cell r="D2579" t="str">
            <v>ARTWORK MEIZAN MARGARINE FOR STANDEE 1.6M X 0.6M</v>
          </cell>
          <cell r="E2579">
            <v>0</v>
          </cell>
          <cell r="F2579" t="str">
            <v>Bỏ chọn</v>
          </cell>
          <cell r="G2579"/>
          <cell r="H2579"/>
        </row>
        <row r="2580">
          <cell r="A2580" t="str">
            <v>V51.600.101</v>
          </cell>
          <cell r="B2580" t="str">
            <v>ARTWORK MEIZAN SSO FOR STANDEE 1,6MX0,6</v>
          </cell>
          <cell r="C2580" t="str">
            <v>TẤM HÌNH ẢNH DẦU MÈ MEIZAN 1,6M X 0,6M</v>
          </cell>
          <cell r="D2580" t="str">
            <v>ARTWORK MEIZAN SSO FOR STANDEE 1,6MX0,6</v>
          </cell>
          <cell r="E2580">
            <v>0</v>
          </cell>
          <cell r="F2580" t="str">
            <v>Bỏ chọn</v>
          </cell>
          <cell r="G2580"/>
          <cell r="H2580"/>
        </row>
        <row r="2581">
          <cell r="A2581" t="str">
            <v>V51.000.090</v>
          </cell>
          <cell r="B2581" t="str">
            <v>MEADOW FRESH DISPLAY SHELF</v>
          </cell>
          <cell r="C2581" t="str">
            <v>KỆ GIẤY TRƯNG BÀY MEADOW FRESH</v>
          </cell>
          <cell r="D2581" t="str">
            <v>MEADOW FRESH DISPLAY SHELF</v>
          </cell>
          <cell r="E2581">
            <v>0</v>
          </cell>
          <cell r="F2581" t="str">
            <v>Chọn</v>
          </cell>
          <cell r="G2581"/>
          <cell r="H2581"/>
        </row>
        <row r="2582">
          <cell r="A2582" t="str">
            <v>V51.000.091</v>
          </cell>
          <cell r="B2582" t="str">
            <v>MEADOW FRESH SHELF-TALKER</v>
          </cell>
          <cell r="C2582" t="str">
            <v>TẤM QUẢNG CÁO MEADOW FRESH DÁN TRÊN KỆ BÁN HÀNG</v>
          </cell>
          <cell r="D2582" t="str">
            <v>MEADOW FRESH SHELF-TALKER</v>
          </cell>
          <cell r="E2582">
            <v>0</v>
          </cell>
          <cell r="F2582" t="str">
            <v>Chọn</v>
          </cell>
          <cell r="G2582"/>
          <cell r="H2582"/>
        </row>
        <row r="2583">
          <cell r="A2583" t="str">
            <v>6.70545</v>
          </cell>
          <cell r="B2583" t="str">
            <v>WILMAR CAB - COCAMIDOPROPYL BETAINE IN DRUM 200KG</v>
          </cell>
          <cell r="C2583" t="str">
            <v>CHẤT HOẠT ĐỘNG BỀ MẶT WILMAR CAB - COCAMIDOPROPYL BETAINE ĐÓNG TRONG PHUY 200KG</v>
          </cell>
          <cell r="D2583" t="str">
            <v>WILMAR CAB - COCAMIDOPROPYL BETAINE IN DRUM 200KG</v>
          </cell>
          <cell r="E2583">
            <v>1</v>
          </cell>
          <cell r="F2583" t="str">
            <v>Bỏ chọn</v>
          </cell>
          <cell r="G2583"/>
          <cell r="H2583"/>
        </row>
        <row r="2584">
          <cell r="A2584" t="str">
            <v>7.A3199089933A7</v>
          </cell>
          <cell r="B2584" t="str">
            <v>MEIZAN CENTRAL VIETNAM PANCAKE MIX 400G X 12 BAG</v>
          </cell>
          <cell r="C2584" t="str">
            <v>BỘT BÁNH XÈO MIỀN TRUNG MEIZAN 400G X 12 GÓI</v>
          </cell>
          <cell r="D2584" t="str">
            <v>MEIZAN CENTRAL VIETNAM PANCAKE MIX 400G X 12 BAG</v>
          </cell>
          <cell r="E2584">
            <v>4.8</v>
          </cell>
          <cell r="F2584" t="str">
            <v>Bỏ chọn</v>
          </cell>
          <cell r="G2584"/>
          <cell r="H2584"/>
        </row>
        <row r="2585">
          <cell r="A2585" t="str">
            <v>7.A3199089933A701</v>
          </cell>
          <cell r="B2585" t="str">
            <v>MEIZAN CENTRAL VIETNAM PANCAKE MIX 400G</v>
          </cell>
          <cell r="C2585" t="str">
            <v>BỘT BÁNH XÈO MIỀN TRUNG MEIZAN 400G</v>
          </cell>
          <cell r="D2585" t="str">
            <v>MEIZAN CENTRAL VIETNAM PANCAKE MIX 400G</v>
          </cell>
          <cell r="E2585">
            <v>0.4</v>
          </cell>
          <cell r="F2585" t="str">
            <v>Bỏ chọn</v>
          </cell>
          <cell r="G2585"/>
          <cell r="H2585"/>
        </row>
        <row r="2586">
          <cell r="A2586" t="str">
            <v>7.A320580990101</v>
          </cell>
          <cell r="B2586" t="str">
            <v>OLIVOILÀ SPAGHETTI N.5 500G X 24 BAG</v>
          </cell>
          <cell r="C2586" t="str">
            <v>MÌ SPAGHETTI OLIVOILÀ N.5 500G X 24 GÓI</v>
          </cell>
          <cell r="D2586" t="str">
            <v>OLIVOILÀ SPAGHETTI N.5 500G X 24 BAG</v>
          </cell>
          <cell r="E2586">
            <v>12</v>
          </cell>
          <cell r="F2586" t="str">
            <v>Bỏ chọn</v>
          </cell>
          <cell r="G2586"/>
          <cell r="H2586"/>
        </row>
        <row r="2587">
          <cell r="A2587" t="str">
            <v>7.A32058099010101</v>
          </cell>
          <cell r="B2587" t="str">
            <v>OLIVOILÀ SPAGHETTI N.5 500G/ PAC</v>
          </cell>
          <cell r="C2587" t="str">
            <v>MÌ SPAGHETTI OLIVOILÀ N.5 500G/ GÓI</v>
          </cell>
          <cell r="D2587" t="str">
            <v>OLIVOILÀ SPAGHETTI N.5 500G/ PAC</v>
          </cell>
          <cell r="E2587">
            <v>0.5</v>
          </cell>
          <cell r="F2587" t="str">
            <v>Bỏ chọn</v>
          </cell>
          <cell r="G2587"/>
          <cell r="H2587"/>
        </row>
        <row r="2588">
          <cell r="A2588" t="str">
            <v>7.A320580997701</v>
          </cell>
          <cell r="B2588" t="str">
            <v>OLIVOILÀ SPAGHETTI N.5 500G X 18 BOX</v>
          </cell>
          <cell r="C2588" t="str">
            <v>MÌ SPAGHETTI OLIVOILÀ N.5 500G X 18 HỘP</v>
          </cell>
          <cell r="D2588" t="str">
            <v>OLIVOILÀ SPAGHETTI N.5 500G X 18 BOX</v>
          </cell>
          <cell r="E2588">
            <v>9</v>
          </cell>
          <cell r="F2588" t="str">
            <v>Bỏ chọn</v>
          </cell>
          <cell r="G2588"/>
          <cell r="H2588"/>
        </row>
        <row r="2589">
          <cell r="A2589" t="str">
            <v>7.A32058099770101</v>
          </cell>
          <cell r="B2589" t="str">
            <v>OLIVOILÀ SPAGHETTI N.5 500G/ BOX</v>
          </cell>
          <cell r="C2589" t="str">
            <v>MÌ SPAGHETTI OLIVOILÀ N.5 500G/ HỘP</v>
          </cell>
          <cell r="D2589" t="str">
            <v>OLIVOILÀ SPAGHETTI N.5 500G/ BOX</v>
          </cell>
          <cell r="E2589">
            <v>0.5</v>
          </cell>
          <cell r="F2589" t="str">
            <v>Bỏ chọn</v>
          </cell>
          <cell r="G2589"/>
          <cell r="H2589"/>
        </row>
        <row r="2590">
          <cell r="A2590" t="str">
            <v>V51.000.092</v>
          </cell>
          <cell r="B2590" t="str">
            <v>OYSTER SAUCE IN PLASTIC BOTTLE 270G</v>
          </cell>
          <cell r="C2590" t="str">
            <v>DẦU HÀO ĐÓNG TRONG CHAI NHỰA 270G</v>
          </cell>
          <cell r="D2590" t="str">
            <v>OYSTER SAUCE IN PLASTIC BOTTLE 270G</v>
          </cell>
          <cell r="E2590">
            <v>0.27</v>
          </cell>
          <cell r="F2590" t="str">
            <v>Chọn</v>
          </cell>
          <cell r="G2590"/>
          <cell r="H2590"/>
        </row>
        <row r="2591">
          <cell r="A2591" t="str">
            <v>V51.000.093</v>
          </cell>
          <cell r="B2591" t="str">
            <v>NEPTUNE ST24 SPECIALTY RICE IN PLASTIC BAG 5KG</v>
          </cell>
          <cell r="C2591" t="str">
            <v>NEPTUNE GẠO THƠM ĐẶC SẢN ST24 ĐÓNG TRONG TÚI NHỰA 5KG</v>
          </cell>
          <cell r="D2591" t="str">
            <v>NEPTUNE ST24 SPECIALTY RICE IN PLASTIC BAG 5KG</v>
          </cell>
          <cell r="E2591">
            <v>0</v>
          </cell>
          <cell r="F2591" t="str">
            <v>Bỏ chọn</v>
          </cell>
          <cell r="G2591"/>
          <cell r="H2591"/>
        </row>
        <row r="2592">
          <cell r="A2592" t="str">
            <v>7.101159591200A60</v>
          </cell>
          <cell r="B2592" t="str">
            <v>ORCHID ROL IV 56 IN JERRYCAN @25KG</v>
          </cell>
          <cell r="C2592" t="str">
            <v>DẦU THỰC VẬT TINH LUYỆN NHÃN HIỆU ORCHID 25KG</v>
          </cell>
          <cell r="D2592" t="str">
            <v>ORCHID ROL IV 56 IN JERRYCAN @25KG</v>
          </cell>
          <cell r="E2592">
            <v>25</v>
          </cell>
          <cell r="F2592" t="str">
            <v>Chọn</v>
          </cell>
          <cell r="G2592"/>
          <cell r="H2592"/>
        </row>
        <row r="2593">
          <cell r="A2593" t="str">
            <v>7.1340210999901</v>
          </cell>
          <cell r="B2593" t="str">
            <v>SHORTENING EMULSIFIER CME PUMP IN STEEL PAIL 12KG</v>
          </cell>
          <cell r="C2593" t="str">
            <v>CHẤT NHŨ HÓA SHORTENING EMULSIFIER CME PUMP TRONG THÙNG THÉP 12KG</v>
          </cell>
          <cell r="D2593" t="str">
            <v>SHORTENING EMULSIFIER CME PUMP IN STEEL PAIL 12KG</v>
          </cell>
          <cell r="E2593">
            <v>12</v>
          </cell>
          <cell r="F2593" t="str">
            <v>Bỏ chọn</v>
          </cell>
          <cell r="G2593"/>
          <cell r="H2593"/>
        </row>
        <row r="2594">
          <cell r="A2594" t="str">
            <v>V86.00A.001</v>
          </cell>
          <cell r="B2594" t="str">
            <v>CARTON MEIZAN 0.5 KG</v>
          </cell>
          <cell r="C2594" t="str">
            <v>THÙNG CARTON MEIZAN 0.5KG</v>
          </cell>
          <cell r="D2594" t="str">
            <v>CARTON MEIZAN 0.5 KG</v>
          </cell>
          <cell r="E2594">
            <v>0</v>
          </cell>
          <cell r="F2594" t="str">
            <v>Bỏ chọn</v>
          </cell>
          <cell r="G2594"/>
          <cell r="H2594"/>
        </row>
        <row r="2595">
          <cell r="A2595" t="str">
            <v>V86.00A.002</v>
          </cell>
          <cell r="B2595" t="str">
            <v>CARTON MEIZAN 1 KG</v>
          </cell>
          <cell r="C2595" t="str">
            <v>THÙNG CARTON MEIZAN 1KG</v>
          </cell>
          <cell r="D2595" t="str">
            <v>CARTON MEIZAN 1 KG</v>
          </cell>
          <cell r="E2595">
            <v>0</v>
          </cell>
          <cell r="F2595" t="str">
            <v>Bỏ chọn</v>
          </cell>
          <cell r="G2595"/>
          <cell r="H2595"/>
        </row>
        <row r="2596">
          <cell r="A2596" t="str">
            <v>7.B25085499830105</v>
          </cell>
          <cell r="B2596" t="str">
            <v>PORK BOUILLON GRANULE 350G X 24 PAC/CAR</v>
          </cell>
          <cell r="C2596" t="str">
            <v>HẠT NÊM 4 TRONG 1 - VỊ HEO 350G X 24 GÓI/THÙNG</v>
          </cell>
          <cell r="D2596" t="str">
            <v>PORK BOUILLON GRANULE 350G X 24 PAC/CAR</v>
          </cell>
          <cell r="E2596">
            <v>8.4</v>
          </cell>
          <cell r="F2596" t="str">
            <v>Bỏ chọn</v>
          </cell>
          <cell r="G2596" t="str">
            <v>2000000008</v>
          </cell>
          <cell r="H2596" t="str">
            <v>7.B2508549983010501</v>
          </cell>
        </row>
        <row r="2597">
          <cell r="A2597" t="str">
            <v>7.B2508549983010501</v>
          </cell>
          <cell r="B2597" t="str">
            <v>PORK BOUILLON GRANULE 350G</v>
          </cell>
          <cell r="C2597" t="str">
            <v>HẠT NÊM 4 TRONG 1 - VỊ HEO 350G</v>
          </cell>
          <cell r="D2597" t="str">
            <v>PORK BOUILLON GRANULE 350G</v>
          </cell>
          <cell r="E2597">
            <v>0.35</v>
          </cell>
          <cell r="F2597" t="str">
            <v>Bỏ chọn</v>
          </cell>
          <cell r="G2597" t="str">
            <v>2000000008</v>
          </cell>
          <cell r="H2597"/>
        </row>
        <row r="2598">
          <cell r="A2598" t="str">
            <v>6.70546</v>
          </cell>
          <cell r="B2598" t="str">
            <v>WILFARIN REFINED GLYCERINE 99.7% IN STEEL DRUM 250KG</v>
          </cell>
          <cell r="C2598" t="str">
            <v>WILFARIN GLYXERIN TINH KHIẾT 99,7% ĐÓNG TRONG PHUY THÉP 250KG</v>
          </cell>
          <cell r="D2598" t="str">
            <v>WILFARIN REFINED GLYCERINE 99.7% IN STEEL DRUM 250KG</v>
          </cell>
          <cell r="E2598">
            <v>1</v>
          </cell>
          <cell r="F2598" t="str">
            <v>Bỏ chọn</v>
          </cell>
          <cell r="G2598"/>
          <cell r="H2598"/>
        </row>
        <row r="2599">
          <cell r="A2599" t="str">
            <v>7.B25085499080105</v>
          </cell>
          <cell r="B2599" t="str">
            <v>PORK BOUILLON GRANULE 150G X 36 PAC/CAR</v>
          </cell>
          <cell r="C2599" t="str">
            <v>HẠT NÊM 4 TRONG 1 - VỊ HEO 150G X 36 GÓI/THÙNG</v>
          </cell>
          <cell r="D2599" t="str">
            <v>PORK BOUILLON GRANULE 150G X 36 PAC/CAR</v>
          </cell>
          <cell r="E2599">
            <v>5.4</v>
          </cell>
          <cell r="F2599" t="str">
            <v>Bỏ chọn</v>
          </cell>
          <cell r="G2599"/>
          <cell r="H2599"/>
        </row>
        <row r="2600">
          <cell r="A2600" t="str">
            <v>7.B2508549908010501</v>
          </cell>
          <cell r="B2600" t="str">
            <v>PORK BOUILLON GRANULE 150G</v>
          </cell>
          <cell r="C2600" t="str">
            <v>HẠT NÊM 4 TRONG 1 - VỊ HEO 150G</v>
          </cell>
          <cell r="D2600" t="str">
            <v>PORK BOUILLON GRANULE 150G</v>
          </cell>
          <cell r="E2600">
            <v>0.15</v>
          </cell>
          <cell r="F2600" t="str">
            <v>Bỏ chọn</v>
          </cell>
          <cell r="G2600"/>
          <cell r="H2600"/>
        </row>
        <row r="2601">
          <cell r="A2601" t="str">
            <v>7.B2508542442010610</v>
          </cell>
          <cell r="B2601" t="str">
            <v>MUSHROOM BOUILLON GRANULE 380G X 20 PAC ON PACK 20 BOT NEPTUNE LIGHT 0.25L/CAR</v>
          </cell>
          <cell r="C2601" t="str">
            <v>HẠT NÊM TAM BẢO VỊ NẤM 380G X 20 GÓI ĐÓNG KÈM 20 CHAI DẦU ĂN THƯỢNG HẠNG NHÃN HIỆU NEPTUNE LIGHT 0.25L / THÙNG</v>
          </cell>
          <cell r="D2601" t="str">
            <v>MUSHROOM BOUILLON GRANULE 380G X 20 PAC ON PACK 20 BOT NEPTUNE LIGHT 0.25L/CAR</v>
          </cell>
          <cell r="E2601">
            <v>7.6</v>
          </cell>
          <cell r="F2601" t="str">
            <v>Bỏ chọn</v>
          </cell>
          <cell r="G2601" t="str">
            <v>2000000008</v>
          </cell>
          <cell r="H2601" t="str">
            <v>7.B250854244201061001</v>
          </cell>
        </row>
        <row r="2602">
          <cell r="A2602" t="str">
            <v>7.B250854244201061001</v>
          </cell>
          <cell r="B2602" t="str">
            <v>MUSHROOM BOUILLON GRANULE 850G  ON PACK 01 BOT NEPTUNE LIGHT 0.25L</v>
          </cell>
          <cell r="C2602" t="str">
            <v>HẠT NÊM TAM BẢO VỊ NẤM 380G ĐÓNG KÈM 01 CHAI DẦU ĂN THƯỢNG HẠNG NHÃN HIỆU NEPTUNE LIGHT 0.25L</v>
          </cell>
          <cell r="D2602" t="str">
            <v>MUSHROOM BOUILLON GRANULE 850G  ON PACK 01 BOT NEPTUNE LIGHT 0.25L</v>
          </cell>
          <cell r="E2602">
            <v>0.38</v>
          </cell>
          <cell r="F2602" t="str">
            <v>Bỏ chọn</v>
          </cell>
          <cell r="G2602" t="str">
            <v>2000000008</v>
          </cell>
          <cell r="H2602"/>
        </row>
        <row r="2603">
          <cell r="A2603" t="str">
            <v>7.B2508549932010501</v>
          </cell>
          <cell r="B2603" t="str">
            <v>PORK BOUILLON GRANULE 200G</v>
          </cell>
          <cell r="C2603" t="str">
            <v>HẠT NÊM 4 TRONG 1 - VỊ HEO 200G</v>
          </cell>
          <cell r="D2603" t="str">
            <v>PORK BOUILLON GRANULE 200G</v>
          </cell>
          <cell r="E2603">
            <v>0.2</v>
          </cell>
          <cell r="F2603" t="str">
            <v>Bỏ chọn</v>
          </cell>
          <cell r="G2603"/>
          <cell r="H2603"/>
        </row>
        <row r="2604">
          <cell r="A2604" t="str">
            <v>7.B24106399A0014712</v>
          </cell>
          <cell r="B2604" t="str">
            <v>ROASTED FLAVORED RICE MAYONNAISE 230G X 24 BOT ONPACK 24 SET OF TWO PEELERS</v>
          </cell>
          <cell r="C2604" t="str">
            <v>MAYONNAISE HƯƠNG GẠO RANG 230G X 24 CHAI ĐÓNG KÈM 24 BỘ DAO BÀO</v>
          </cell>
          <cell r="D2604" t="str">
            <v>ROASTED FLAVORED RICE MAYONNAISE 230G X 24 BOT ONPACK 24 SET OF TWO PEELERS</v>
          </cell>
          <cell r="E2604">
            <v>5.52</v>
          </cell>
          <cell r="F2604" t="str">
            <v>Bỏ chọn</v>
          </cell>
          <cell r="G2604" t="str">
            <v>2000000008</v>
          </cell>
          <cell r="H2604" t="str">
            <v>7.B24106399A001471201</v>
          </cell>
        </row>
        <row r="2605">
          <cell r="A2605" t="str">
            <v>7.B24106399A001471201</v>
          </cell>
          <cell r="B2605" t="str">
            <v>ROASTED FLAVORED RICE MAYONNAISE 230G ONPACK 01 SET OF TWO PEELERS</v>
          </cell>
          <cell r="C2605" t="str">
            <v>MAYONNAISE HƯƠNG GẠO RANG 230G ĐÓNG KÈM 01 BỘ DAO BÀO</v>
          </cell>
          <cell r="D2605" t="str">
            <v>ROASTED FLAVORED RICE MAYONNAISE 230G ONPACK 01 SET OF TWO PEELERS</v>
          </cell>
          <cell r="E2605">
            <v>0.23</v>
          </cell>
          <cell r="F2605" t="str">
            <v>Bỏ chọn</v>
          </cell>
          <cell r="G2605" t="str">
            <v>2000000008</v>
          </cell>
          <cell r="H2605"/>
        </row>
        <row r="2606">
          <cell r="A2606" t="str">
            <v>7.B24106399A0014812</v>
          </cell>
          <cell r="B2606" t="str">
            <v>MAYONNAISE (DIPPING AND MIXING) 230G X 24 BOT ONPACK 24  SET OF TWO PEELERS</v>
          </cell>
          <cell r="C2606" t="str">
            <v>MAYONNAISE (CHẤM VÀ TRỘN ĐỀU NGON) 230G X 24 CHAI ĐÓNG KÈM 24 BỘ DAO BÀO</v>
          </cell>
          <cell r="D2606" t="str">
            <v>MAYONNAISE (DIPPING AND MIXING) 230G X 24 BOT ONPACK 24  SET OF TWO PEELERS</v>
          </cell>
          <cell r="E2606">
            <v>5.52</v>
          </cell>
          <cell r="F2606" t="str">
            <v>Bỏ chọn</v>
          </cell>
          <cell r="G2606" t="str">
            <v>2000000008</v>
          </cell>
          <cell r="H2606" t="str">
            <v>7.B24106399A001481201</v>
          </cell>
        </row>
        <row r="2607">
          <cell r="A2607" t="str">
            <v>7.B24106399A001481201</v>
          </cell>
          <cell r="B2607" t="str">
            <v>MAYONNAISE (DIPPING AND MIXING) 230G  ONPACK 01 SET OF TWO PEELERS</v>
          </cell>
          <cell r="C2607" t="str">
            <v>MAYONNAISE (CHẤM VÀ TRỘN ĐỀU NGON) 230G ĐÓNG KÈM 01 BỘ DAO BÀO</v>
          </cell>
          <cell r="D2607" t="str">
            <v>MAYONNAISE (DIPPING AND MIXING) 230G  ONPACK 01 SET OF TWO PEELERS</v>
          </cell>
          <cell r="E2607">
            <v>0.23</v>
          </cell>
          <cell r="F2607" t="str">
            <v>Bỏ chọn</v>
          </cell>
          <cell r="G2607" t="str">
            <v>2000000008</v>
          </cell>
          <cell r="H2607"/>
        </row>
        <row r="2608">
          <cell r="A2608" t="str">
            <v>V51.600.102</v>
          </cell>
          <cell r="B2608" t="str">
            <v>NEPTUNE LIGHT BANNER 5M X 1.2 M</v>
          </cell>
          <cell r="C2608" t="str">
            <v>BĂNG RÔN NEPTUNE LIGHT (5M X 1.2M)</v>
          </cell>
          <cell r="D2608" t="str">
            <v>NEPTUNE LIGHT BANNER 5M X 1.2 M</v>
          </cell>
          <cell r="E2608">
            <v>1.5</v>
          </cell>
          <cell r="F2608" t="str">
            <v>Bỏ chọn</v>
          </cell>
          <cell r="G2608"/>
          <cell r="H2608"/>
        </row>
        <row r="2609">
          <cell r="A2609" t="str">
            <v>V51.153.028</v>
          </cell>
          <cell r="B2609" t="str">
            <v>NEPTUNE LIGHT TRANSPARENT TOTE BAG</v>
          </cell>
          <cell r="C2609" t="str">
            <v>TÚI TOTE TRONG SUỐT NEPTUNE LIGHT</v>
          </cell>
          <cell r="D2609" t="str">
            <v>NEPTUNE LIGHT TRANSPARENT TOTE BAG</v>
          </cell>
          <cell r="E2609">
            <v>0.25</v>
          </cell>
          <cell r="F2609" t="str">
            <v>Bỏ chọn</v>
          </cell>
          <cell r="G2609"/>
          <cell r="H2609"/>
        </row>
        <row r="2610">
          <cell r="A2610" t="str">
            <v>7.1070123101852250TD</v>
          </cell>
          <cell r="B2610" t="str">
            <v>MEIZAN MARGARINEMP44MAX 200GX36 OVALTUBE</v>
          </cell>
          <cell r="C2610" t="str">
            <v>BƠ THỰC VẬT NHÃN HIỆU MEIZAN 200G</v>
          </cell>
          <cell r="D2610" t="str">
            <v>MZMGR200GRMX36TB</v>
          </cell>
          <cell r="E2610">
            <v>7.2</v>
          </cell>
          <cell r="F2610" t="str">
            <v>Bỏ chọn</v>
          </cell>
          <cell r="G2610"/>
          <cell r="H2610"/>
        </row>
        <row r="2611">
          <cell r="A2611" t="str">
            <v>7.131078041704E10TD</v>
          </cell>
          <cell r="B2611" t="str">
            <v>CO-MEIZAN GOLD 2L X 6 BTL</v>
          </cell>
          <cell r="C2611" t="str">
            <v>DẦU ĂN CAO CẤP NHÃN HIỆU MEIZAN GOLD 2L</v>
          </cell>
          <cell r="D2611" t="str">
            <v>CO-MEIZAN GOLD 2L X 6 BTL</v>
          </cell>
          <cell r="E2611">
            <v>10.92</v>
          </cell>
          <cell r="F2611" t="str">
            <v>Bỏ chọn</v>
          </cell>
          <cell r="G2611"/>
          <cell r="H2611"/>
        </row>
        <row r="2612">
          <cell r="A2612" t="str">
            <v>7.B24012399379213TD</v>
          </cell>
          <cell r="B2612" t="str">
            <v>NAM DUONG CONDENSED SOY SAUCE 500ML X 20 BOT</v>
          </cell>
          <cell r="C2612" t="str">
            <v>THỰC PHẨM BỔ SUNG NƯỚC TƯƠNG NAM DƯƠNG ĐẬM ĐẶC 500ML</v>
          </cell>
          <cell r="D2612" t="str">
            <v>NAM DUONG CONDENSED SOY SAUCE 500ML X 20 BOT</v>
          </cell>
          <cell r="E2612">
            <v>11.1</v>
          </cell>
          <cell r="F2612" t="str">
            <v>Bỏ chọn</v>
          </cell>
          <cell r="G2612"/>
          <cell r="H2612"/>
        </row>
        <row r="2613">
          <cell r="A2613" t="str">
            <v>V51.046.022</v>
          </cell>
          <cell r="B2613" t="str">
            <v>PORK BOUILLON GRANULE 50G(WITHOUT CANXI)</v>
          </cell>
          <cell r="C2613" t="str">
            <v>HẠT NÊM 4 TRONG 1 - VỊ HEO 50G</v>
          </cell>
          <cell r="D2613" t="str">
            <v>PORK BOUILLON GRANULE 50G(WITHOUT CANXI)</v>
          </cell>
          <cell r="E2613">
            <v>0</v>
          </cell>
          <cell r="F2613" t="str">
            <v>Bỏ chọn</v>
          </cell>
          <cell r="G2613"/>
          <cell r="H2613"/>
        </row>
        <row r="2614">
          <cell r="A2614" t="str">
            <v>V51.046.024</v>
          </cell>
          <cell r="B2614" t="str">
            <v>PORK BOUILLON GRANULE350G(WITHOUT CANXI)</v>
          </cell>
          <cell r="C2614" t="str">
            <v>HẠT NÊM 4 TRONG 1 - VỊ HEO 350G</v>
          </cell>
          <cell r="D2614" t="str">
            <v>PORK BOUILLON GRANULE350G(WITHOUT CANXI)</v>
          </cell>
          <cell r="E2614">
            <v>0</v>
          </cell>
          <cell r="F2614" t="str">
            <v>Bỏ chọn</v>
          </cell>
          <cell r="G2614"/>
          <cell r="H2614"/>
        </row>
        <row r="2615">
          <cell r="A2615" t="str">
            <v>V34.303.014</v>
          </cell>
          <cell r="B2615" t="str">
            <v>NEPTUNE LIGHT HELMETS</v>
          </cell>
          <cell r="C2615" t="str">
            <v>MŨ BẢO HIỂM NEPTUNE LIGHT</v>
          </cell>
          <cell r="D2615" t="str">
            <v>NEPTUNE LIGHT HELMETS</v>
          </cell>
          <cell r="E2615">
            <v>0</v>
          </cell>
          <cell r="F2615" t="str">
            <v>Bỏ chọn</v>
          </cell>
          <cell r="G2615"/>
          <cell r="H2615"/>
        </row>
        <row r="2616">
          <cell r="A2616" t="str">
            <v>V39.013.056</v>
          </cell>
          <cell r="B2616" t="str">
            <v>NEPTUNE LIGHT T-SHIRT</v>
          </cell>
          <cell r="C2616" t="str">
            <v>ÁO THUN NEPTUNE LIGHT</v>
          </cell>
          <cell r="D2616" t="str">
            <v>NEPTUNE LIGHT T-SHIRT</v>
          </cell>
          <cell r="E2616">
            <v>0</v>
          </cell>
          <cell r="F2616" t="str">
            <v>Bỏ chọn</v>
          </cell>
          <cell r="G2616"/>
          <cell r="H2616"/>
        </row>
        <row r="2617">
          <cell r="A2617" t="str">
            <v>7.D3701109902AA24</v>
          </cell>
          <cell r="B2617" t="str">
            <v>WHITE COMPOUND SLW-3200B, BLOCK 1KG,  IN CARTON 10KG</v>
          </cell>
          <cell r="C2617" t="str">
            <v>SÔ-CÔ-LA TRẮNG SLW-3200B, BLOCK 1KG, ĐÓNG TRONG THÙNG CARTON 10KG</v>
          </cell>
          <cell r="D2617" t="str">
            <v>WHITE COMPOUND SLW-3200B, BLOCK 1KG,  IN CARTON 10KG</v>
          </cell>
          <cell r="E2617">
            <v>10</v>
          </cell>
          <cell r="F2617" t="str">
            <v>Bỏ chọn</v>
          </cell>
          <cell r="G2617"/>
          <cell r="H2617"/>
        </row>
        <row r="2618">
          <cell r="A2618" t="str">
            <v>7.E3801789985AA32</v>
          </cell>
          <cell r="B2618" t="str">
            <v>MEADOW FRESH FULL CREAM UHT MILK INTL 1LX12</v>
          </cell>
          <cell r="C2618" t="str">
            <v>SỮA TƯƠI TIỆT TRÙNG NGUYÊN KEM NHÃN HIỆU MEADOW FRESH (INTL) 1LX12</v>
          </cell>
          <cell r="D2618" t="str">
            <v>MEADOW FRESH FULL CREAM UHT MILK INTL 1LX12</v>
          </cell>
          <cell r="E2618">
            <v>12</v>
          </cell>
          <cell r="F2618" t="str">
            <v>Bỏ chọn</v>
          </cell>
          <cell r="G2618"/>
          <cell r="H2618"/>
        </row>
        <row r="2619">
          <cell r="A2619" t="str">
            <v>7.E3801789985AA3201</v>
          </cell>
          <cell r="B2619" t="str">
            <v>MEADOW FRESH FULL CREAM UHT MILK INTL 1L</v>
          </cell>
          <cell r="C2619" t="str">
            <v>SỮA TƯƠI TIỆT TRÙNG NGUYÊN KEM NHÃN HIỆU MEADOW FRESH (INTL) 1L</v>
          </cell>
          <cell r="D2619" t="str">
            <v>MEADOW FRESH FULL CREAM UHT MILK INTL 1L</v>
          </cell>
          <cell r="E2619">
            <v>1</v>
          </cell>
          <cell r="F2619" t="str">
            <v>Bỏ chọn</v>
          </cell>
          <cell r="G2619"/>
          <cell r="H2619"/>
        </row>
        <row r="2620">
          <cell r="A2620" t="str">
            <v>7.C35045599A10144</v>
          </cell>
          <cell r="B2620" t="str">
            <v>POWER100 TOILET CLEANER MINT SCENT, 900ML X 12 BOTTLES IN CARTON</v>
          </cell>
          <cell r="C2620" t="str">
            <v>NƯỚC TẨY BỒN CẦU VÀ NHÀ TẮM POWER100 HƯƠNG BẠC HÀ, LOẠI 900ML X 12 CHAI TRONG THÙNG CARTON</v>
          </cell>
          <cell r="D2620" t="str">
            <v>POWER100 TOILET CLEANER MINT SCENT, 900ML X 12 BOTTLES IN CARTON</v>
          </cell>
          <cell r="E2620">
            <v>12.46</v>
          </cell>
          <cell r="F2620" t="str">
            <v>Bỏ chọn</v>
          </cell>
          <cell r="G2620"/>
          <cell r="H2620"/>
        </row>
        <row r="2621">
          <cell r="A2621" t="str">
            <v>7.C35045599A1014401</v>
          </cell>
          <cell r="B2621" t="str">
            <v>POWER100 TOILET CLEANER MINT SCENT, 900ML</v>
          </cell>
          <cell r="C2621" t="str">
            <v>NƯỚC TẨY BỒN CẦU VÀ NHÀ TẮM POWER100 HƯƠNG BẠC HÀ, LOẠI 900ML</v>
          </cell>
          <cell r="D2621" t="str">
            <v>POWER100 TOILET CLEANER MINT SCENT, 900ML</v>
          </cell>
          <cell r="E2621">
            <v>0.96299999999999997</v>
          </cell>
          <cell r="F2621" t="str">
            <v>Bỏ chọn</v>
          </cell>
          <cell r="G2621"/>
          <cell r="H2621"/>
        </row>
        <row r="2622">
          <cell r="A2622" t="str">
            <v>7.C35015599505927</v>
          </cell>
          <cell r="B2622" t="str">
            <v>POWER100 DISHWASHING LIQUID LEMON, 9,5 KG X 2 JRG IN CARTON, EXPORT TO CAMBODIA</v>
          </cell>
          <cell r="C2622" t="str">
            <v>NƯỚC RỬA CHÉN POWER100 HƯƠNG CHANH, LOẠI 9,5 KG X 2 CAN TRONG THÙNG CARTON, XK CAMPUCHIA</v>
          </cell>
          <cell r="D2622" t="str">
            <v>POWER100 DISHWASHING LIQUID LEMON, 9,5 KG X 2 JRG IN CARTON, EXPORT TO CAMBODIA</v>
          </cell>
          <cell r="E2622">
            <v>19</v>
          </cell>
          <cell r="F2622" t="str">
            <v>Bỏ chọn</v>
          </cell>
          <cell r="G2622"/>
          <cell r="H2622"/>
        </row>
        <row r="2623">
          <cell r="A2623" t="str">
            <v>7.C3501559950592701</v>
          </cell>
          <cell r="B2623" t="str">
            <v>POWER100 DISHWASHING LIQUID LEMON, 9,5 KG, EXPORT TO CAMBODIA</v>
          </cell>
          <cell r="C2623" t="str">
            <v>NƯỚC RỬA CHÉN POWER100 HƯƠNG CHANH, LOẠI 9,5 KG, XK CAMPUCHIA</v>
          </cell>
          <cell r="D2623" t="str">
            <v>POWER100 DISHWASHING LIQUID LEMON, 9,5 KG, EXPORT TO CAMBODIA</v>
          </cell>
          <cell r="E2623">
            <v>9.5</v>
          </cell>
          <cell r="F2623" t="str">
            <v>Bỏ chọn</v>
          </cell>
          <cell r="G2623"/>
          <cell r="H2623"/>
        </row>
        <row r="2624">
          <cell r="A2624" t="str">
            <v>V51.600.094</v>
          </cell>
          <cell r="B2624" t="str">
            <v>SIMPLY _PEELER</v>
          </cell>
          <cell r="C2624" t="str">
            <v>DAO BÀO (THIẾT KẾ TIẾNG VIỆT)</v>
          </cell>
          <cell r="D2624" t="str">
            <v>SIMPLY _PEELER</v>
          </cell>
          <cell r="E2624">
            <v>2.5999999999999999E-2</v>
          </cell>
          <cell r="F2624" t="str">
            <v>Bỏ chọn</v>
          </cell>
          <cell r="G2624"/>
          <cell r="H2624"/>
        </row>
        <row r="2625">
          <cell r="A2625" t="str">
            <v>087.001.001</v>
          </cell>
          <cell r="B2625" t="str">
            <v>W+ DMSSFA</v>
          </cell>
          <cell r="C2625" t="str">
            <v>W+ DMSSFA</v>
          </cell>
          <cell r="D2625" t="str">
            <v>W+ DMSSFA-ROOT PRODUCT</v>
          </cell>
          <cell r="E2625">
            <v>0</v>
          </cell>
          <cell r="F2625" t="str">
            <v>Bỏ chọn</v>
          </cell>
          <cell r="G2625"/>
          <cell r="H2625"/>
        </row>
        <row r="2626">
          <cell r="A2626" t="str">
            <v>087.001.002</v>
          </cell>
          <cell r="B2626" t="str">
            <v>W+ DMSSFA (GHANA WAL)</v>
          </cell>
          <cell r="C2626" t="str">
            <v>W+ DMSSFA (GHANA WAL)</v>
          </cell>
          <cell r="D2626" t="str">
            <v>W+ DMSSFA - GHANA WAL</v>
          </cell>
          <cell r="E2626">
            <v>0</v>
          </cell>
          <cell r="F2626" t="str">
            <v>Bỏ chọn</v>
          </cell>
          <cell r="G2626"/>
          <cell r="H2626"/>
        </row>
        <row r="2627">
          <cell r="A2627" t="str">
            <v>087.001.003</v>
          </cell>
          <cell r="B2627" t="str">
            <v>W+ DMSSFA (ZA)</v>
          </cell>
          <cell r="C2627" t="str">
            <v>W+ DMSSFA (ZA)</v>
          </cell>
          <cell r="D2627" t="str">
            <v>W+ DMSSFA - SOUTH AFRICA</v>
          </cell>
          <cell r="E2627">
            <v>0</v>
          </cell>
          <cell r="F2627" t="str">
            <v>Bỏ chọn</v>
          </cell>
          <cell r="G2627"/>
          <cell r="H2627"/>
        </row>
        <row r="2628">
          <cell r="A2628" t="str">
            <v>087.101.001</v>
          </cell>
          <cell r="B2628" t="str">
            <v>WAREHOUSE MANAGEMENT SYSTEM (WMS)</v>
          </cell>
          <cell r="C2628" t="str">
            <v>WAREHOUSE MANAGEMENT SYSTEM (WMS)</v>
          </cell>
          <cell r="D2628" t="str">
            <v>WAREHOUSE MANAGEMENT SYSTEM (WMS)</v>
          </cell>
          <cell r="E2628">
            <v>0</v>
          </cell>
          <cell r="F2628" t="str">
            <v>Bỏ chọn</v>
          </cell>
          <cell r="G2628"/>
          <cell r="H2628"/>
        </row>
        <row r="2629">
          <cell r="A2629" t="str">
            <v>087.101.002</v>
          </cell>
          <cell r="B2629" t="str">
            <v>WAREHOUSE MANAGEMENT SYSTEM (WMS) (CLFQN)</v>
          </cell>
          <cell r="C2629" t="str">
            <v>WAREHOUSE MANAGEMENT SYSTEM (WMS) (CLFQN)</v>
          </cell>
          <cell r="D2629" t="str">
            <v>WAREHOUSE MANAGEMENT SYSTEM (WMS) (CLFQN)</v>
          </cell>
          <cell r="E2629">
            <v>0</v>
          </cell>
          <cell r="F2629" t="str">
            <v>Bỏ chọn</v>
          </cell>
          <cell r="G2629"/>
          <cell r="H2629"/>
        </row>
        <row r="2630">
          <cell r="A2630" t="str">
            <v>7.70563</v>
          </cell>
          <cell r="B2630" t="str">
            <v>VEGETABLE FAT WILMAX 1050 PACKING IN 20KG CARTON</v>
          </cell>
          <cell r="C2630" t="str">
            <v>CHẤT BÉO THỰC VẬT WILMAX 1050 ĐÓNG TRONG THÙNG CARTON 20KG</v>
          </cell>
          <cell r="D2630" t="str">
            <v>VEGETABLE FAT WILMAX 1050 PACKING IN 20KG CARTON</v>
          </cell>
          <cell r="E2630">
            <v>1</v>
          </cell>
          <cell r="F2630" t="str">
            <v>Chọn</v>
          </cell>
          <cell r="G2630"/>
          <cell r="H2630"/>
        </row>
        <row r="2631">
          <cell r="A2631" t="str">
            <v>V51.050.025</v>
          </cell>
          <cell r="B2631" t="str">
            <v>OLIVOILA SPAGHETTI N.5 500G/BOX</v>
          </cell>
          <cell r="C2631" t="str">
            <v>MÌ SPAGHETTI OLIVOILÀ N.5 500G/ HỘP</v>
          </cell>
          <cell r="D2631" t="str">
            <v>OLIVOILA SPAGHETTI N.5 500G/BOX</v>
          </cell>
          <cell r="E2631">
            <v>0.5</v>
          </cell>
          <cell r="F2631" t="str">
            <v>Bỏ chọn</v>
          </cell>
          <cell r="G2631"/>
          <cell r="H2631"/>
        </row>
        <row r="2632">
          <cell r="A2632" t="str">
            <v>V51.600.103</v>
          </cell>
          <cell r="B2632" t="str">
            <v>NEPTUNE LIGHT WINDOW FRAME 80CM</v>
          </cell>
          <cell r="C2632" t="str">
            <v>THANH WINDOW FRAME 80CM (THANH TRƯNG BÀY 80CM "NEPTUNE LIGHT")</v>
          </cell>
          <cell r="D2632" t="str">
            <v>NEPTUNE LIGHT WINDOW FRAME 80CM</v>
          </cell>
          <cell r="E2632">
            <v>0.09</v>
          </cell>
          <cell r="F2632" t="str">
            <v>Bỏ chọn</v>
          </cell>
          <cell r="G2632"/>
          <cell r="H2632"/>
        </row>
        <row r="2633">
          <cell r="A2633" t="str">
            <v>V51.600.104</v>
          </cell>
          <cell r="B2633" t="str">
            <v>NEPTUNE LIGHT WINDOW FRAME 120CM</v>
          </cell>
          <cell r="C2633" t="str">
            <v>THANH WINDOW FRAME 120CM (THANH TRUNG BÀY 120CM " NEPTUNE LIGHT")</v>
          </cell>
          <cell r="D2633" t="str">
            <v>NEPTUNE LIGHT WINDOW FRAME 120CM</v>
          </cell>
          <cell r="E2633">
            <v>0.11</v>
          </cell>
          <cell r="F2633" t="str">
            <v>Bỏ chọn</v>
          </cell>
          <cell r="G2633"/>
          <cell r="H2633"/>
        </row>
        <row r="2634">
          <cell r="A2634" t="str">
            <v>V51.600.105</v>
          </cell>
          <cell r="B2634" t="str">
            <v>NEPTUNE LIGHT WINDOW FRAME 160CM</v>
          </cell>
          <cell r="C2634" t="str">
            <v>THANH WINDOW FRAME 160CM (THANH TRƯNG BÀY 160CM "NEPTUNE LIGHT")</v>
          </cell>
          <cell r="D2634" t="str">
            <v>NEPTUNE LIGHT WINDOW FRAME 160CM</v>
          </cell>
          <cell r="E2634">
            <v>0.16</v>
          </cell>
          <cell r="F2634" t="str">
            <v>Bỏ chọn</v>
          </cell>
          <cell r="G2634"/>
          <cell r="H2634"/>
        </row>
        <row r="2635">
          <cell r="A2635" t="str">
            <v>V51.600.106</v>
          </cell>
          <cell r="B2635" t="str">
            <v>NEPTUNE LIGHT BOTTLE MOCKUP FOR WF</v>
          </cell>
          <cell r="C2635" t="str">
            <v>MOCKUP CHAI DẦU CHO WF (MÔ HÌNH CHAI DẦU "NEPTUNE LIGHT")</v>
          </cell>
          <cell r="D2635" t="str">
            <v>NEPTUNE LIGHT BOTTLE MOCKUP FOR WF</v>
          </cell>
          <cell r="E2635">
            <v>0.03</v>
          </cell>
          <cell r="F2635" t="str">
            <v>Bỏ chọn</v>
          </cell>
          <cell r="G2635"/>
          <cell r="H2635"/>
        </row>
        <row r="2636">
          <cell r="A2636" t="str">
            <v>V51.601.003</v>
          </cell>
          <cell r="B2636" t="str">
            <v>NEPTUNE LIGHT LOGO MOCKUP FOR WF</v>
          </cell>
          <cell r="C2636" t="str">
            <v>MOCKUP LOGO ÔNG VUA CHO WF (MÔ HÌNH LOGO "NEPTUNE")</v>
          </cell>
          <cell r="D2636" t="str">
            <v>NEPTUNE LIGHT LOGO MOCKUP FOR WF</v>
          </cell>
          <cell r="E2636">
            <v>0.06</v>
          </cell>
          <cell r="F2636" t="str">
            <v>Bỏ chọn</v>
          </cell>
          <cell r="G2636"/>
          <cell r="H2636"/>
        </row>
        <row r="2637">
          <cell r="A2637" t="str">
            <v>V51.046.023</v>
          </cell>
          <cell r="B2637" t="str">
            <v>PORK BOUILLON GRANULE150G(WITHOUT CANXI)</v>
          </cell>
          <cell r="C2637" t="str">
            <v>HẠT NÊM 4 TRONG 1 - VỊ HEO 150G</v>
          </cell>
          <cell r="D2637" t="str">
            <v>PORK BOUILLON GRANULE150G(WITHOUT CANXI)</v>
          </cell>
          <cell r="E2637">
            <v>0</v>
          </cell>
          <cell r="F2637" t="str">
            <v>Bỏ chọn</v>
          </cell>
          <cell r="G2637"/>
          <cell r="H2637"/>
        </row>
        <row r="2638">
          <cell r="A2638" t="str">
            <v>V51.00A.037</v>
          </cell>
          <cell r="B2638" t="str">
            <v>CHILLI SAUCE DISPLAY IRON SHELF</v>
          </cell>
          <cell r="C2638" t="str">
            <v>KỆ TRƯNG BÀY TƯƠNG ỚT</v>
          </cell>
          <cell r="D2638" t="str">
            <v>CHILLI SAUCE DISPLAY IRON SHELF</v>
          </cell>
          <cell r="E2638">
            <v>0</v>
          </cell>
          <cell r="F2638" t="str">
            <v>Bỏ chọn</v>
          </cell>
          <cell r="G2638"/>
          <cell r="H2638"/>
        </row>
        <row r="2639">
          <cell r="A2639" t="str">
            <v>7.52399269998A8</v>
          </cell>
          <cell r="B2639" t="str">
            <v>BLUE KEY PAU THO PHAT 37.5KG</v>
          </cell>
          <cell r="C2639" t="str">
            <v>BỘT MÌ HIỆU CKX BÁNH BAO THỌ PHÁT (37,5KG)</v>
          </cell>
          <cell r="D2639" t="str">
            <v>BLUE KEY PAU THO PHAT 37.5KG</v>
          </cell>
          <cell r="E2639">
            <v>1</v>
          </cell>
          <cell r="F2639" t="str">
            <v>Bỏ chọn</v>
          </cell>
          <cell r="G2639"/>
          <cell r="H2639"/>
        </row>
        <row r="2640">
          <cell r="A2640" t="str">
            <v>V78.000.036</v>
          </cell>
          <cell r="B2640" t="str">
            <v>WILMAR WINDBREAKER JACKET</v>
          </cell>
          <cell r="C2640" t="str">
            <v>ÁO KHOÁC GIÓ WILMAR</v>
          </cell>
          <cell r="D2640" t="str">
            <v>WILMAR WINDBREAKER JACKET</v>
          </cell>
          <cell r="E2640">
            <v>0</v>
          </cell>
          <cell r="F2640" t="str">
            <v>Chọn</v>
          </cell>
          <cell r="G2640"/>
          <cell r="H2640"/>
        </row>
        <row r="2641">
          <cell r="A2641" t="str">
            <v>V78.000.037</v>
          </cell>
          <cell r="B2641" t="str">
            <v>WILMAR WINTER JACKET</v>
          </cell>
          <cell r="C2641" t="str">
            <v>ÁO KHOÁC MÙA ĐÔNG WILMAR</v>
          </cell>
          <cell r="D2641" t="str">
            <v>WILMAR WINTER JACKET</v>
          </cell>
          <cell r="E2641">
            <v>0</v>
          </cell>
          <cell r="F2641" t="str">
            <v>Chọn</v>
          </cell>
          <cell r="G2641"/>
          <cell r="H2641"/>
        </row>
        <row r="2642">
          <cell r="A2642" t="str">
            <v>7.C35015599A20127</v>
          </cell>
          <cell r="B2642" t="str">
            <v>POWER100 DISHWASHING LIQUID LEMON, 2,7 KG X 4 POUCHES IN CARTON</v>
          </cell>
          <cell r="C2642" t="str">
            <v>NƯỚC RỬA CHÉN POWER100 HƯƠNG CHANH, LOẠI 2,7 KG X 4 TÚI TRONG THÙNG CARTON</v>
          </cell>
          <cell r="D2642" t="str">
            <v>POWER100 DISHWASHING LIQUID LEMON, 2,7 KG X 4 POUCHES IN CARTON</v>
          </cell>
          <cell r="E2642">
            <v>10.8</v>
          </cell>
          <cell r="F2642" t="str">
            <v>Bỏ chọn</v>
          </cell>
          <cell r="G2642"/>
          <cell r="H2642"/>
        </row>
        <row r="2643">
          <cell r="A2643" t="str">
            <v>7.C35015599A2012701</v>
          </cell>
          <cell r="B2643" t="str">
            <v xml:space="preserve">POWER100 DISHWASHING LIQUID LEMON, 2,7 KG_x000D_
</v>
          </cell>
          <cell r="C2643" t="str">
            <v>NƯỚC RỬA CHÉN POWER100 HƯƠNG CHANH, LOẠI 2,7 KG</v>
          </cell>
          <cell r="D2643" t="str">
            <v>POWER100 DISHWASHING LIQUID LEMON, 2,7 KG</v>
          </cell>
          <cell r="E2643">
            <v>2.7</v>
          </cell>
          <cell r="F2643" t="str">
            <v>Bỏ chọn</v>
          </cell>
          <cell r="G2643"/>
          <cell r="H2643"/>
        </row>
        <row r="2644">
          <cell r="A2644" t="str">
            <v>6.70547</v>
          </cell>
          <cell r="B2644" t="str">
            <v>WILFARIN REFINED GLYCERINE 99.7% IN FLEXIBAG</v>
          </cell>
          <cell r="C2644" t="str">
            <v>PHỤ GIA THỰC PHẨM GLYXERIN TINH KHIẾT 99,7% - WILFARIN, ĐÓNG TRONG TÚI FLEXIBAG</v>
          </cell>
          <cell r="D2644" t="str">
            <v>WILFARIN REFINED GLYCERINE 99.7% IN FLEXIBAG</v>
          </cell>
          <cell r="E2644">
            <v>1</v>
          </cell>
          <cell r="F2644" t="str">
            <v>Chọn</v>
          </cell>
          <cell r="G2644"/>
          <cell r="H2644"/>
        </row>
        <row r="2645">
          <cell r="A2645" t="str">
            <v>V51.901.073</v>
          </cell>
          <cell r="B2645" t="str">
            <v>KIDDY COMBO 2 MEALS SET</v>
          </cell>
          <cell r="C2645" t="str">
            <v>BỘ 2 DỤNG CỤ ĂN DẶM KIDDY</v>
          </cell>
          <cell r="D2645" t="str">
            <v>KIDDY COMBO 2 MEALS SET</v>
          </cell>
          <cell r="E2645">
            <v>0</v>
          </cell>
          <cell r="F2645" t="str">
            <v>Bỏ chọn</v>
          </cell>
          <cell r="G2645"/>
          <cell r="H2645"/>
        </row>
        <row r="2646">
          <cell r="A2646" t="str">
            <v>V51.000.094</v>
          </cell>
          <cell r="B2646" t="str">
            <v>THIEN KIM JASMINE RICE IN PLASTIC PAC 5KG</v>
          </cell>
          <cell r="C2646" t="str">
            <v>GẠO THIÊN KIM HƯƠNG LÀI ĐÓNG TRONG TÚI NHỰA 5KG</v>
          </cell>
          <cell r="D2646" t="str">
            <v>THIEN KIM JASMINE RICE IN PLASTIC PAC 5KG</v>
          </cell>
          <cell r="E2646">
            <v>5</v>
          </cell>
          <cell r="F2646" t="str">
            <v>Bỏ chọn</v>
          </cell>
          <cell r="G2646"/>
          <cell r="H2646"/>
        </row>
        <row r="2647">
          <cell r="A2647" t="str">
            <v>V51.000.095</v>
          </cell>
          <cell r="B2647" t="str">
            <v>THIEN KIM A RICE IN PLASTIC PAC 5KG</v>
          </cell>
          <cell r="C2647" t="str">
            <v>GẠO THIÊN KIM A ĐÓNG TRONG TÚI NHỰA 5KG</v>
          </cell>
          <cell r="D2647" t="str">
            <v>THIEN KIM A RICE IN PLASTIC PAC 5KG</v>
          </cell>
          <cell r="E2647">
            <v>5</v>
          </cell>
          <cell r="F2647" t="str">
            <v>Bỏ chọn</v>
          </cell>
          <cell r="G2647"/>
          <cell r="H2647"/>
        </row>
        <row r="2648">
          <cell r="A2648" t="str">
            <v>7.B2401230237010101TD</v>
          </cell>
          <cell r="B2648" t="str">
            <v>HANG VIET SOYA SAUCE 500ML</v>
          </cell>
          <cell r="C2648" t="str">
            <v>NƯỚC CHẤM ĐẬU NÀNH HÀNG VIỆT 500ML</v>
          </cell>
          <cell r="D2648" t="str">
            <v>HANG VIET SOYA SAUCE 500ML</v>
          </cell>
          <cell r="E2648">
            <v>0.54359999999999997</v>
          </cell>
          <cell r="F2648" t="str">
            <v>Bỏ chọn</v>
          </cell>
          <cell r="G2648"/>
          <cell r="H2648"/>
        </row>
        <row r="2649">
          <cell r="A2649" t="str">
            <v>7.52399079905A9</v>
          </cell>
          <cell r="B2649" t="str">
            <v>GREEN KEY CLASSIC 25KG</v>
          </cell>
          <cell r="C2649" t="str">
            <v>BỘT MÌ HIỆU CHÌA KHÓA XANH LÁ (25KG)</v>
          </cell>
          <cell r="D2649" t="str">
            <v>GREEN KEY CLASSIC 25KG</v>
          </cell>
          <cell r="E2649">
            <v>1</v>
          </cell>
          <cell r="F2649" t="str">
            <v>Bỏ chọn</v>
          </cell>
          <cell r="G2649"/>
          <cell r="H2649"/>
        </row>
        <row r="2650">
          <cell r="A2650" t="str">
            <v>7.52399159905A9</v>
          </cell>
          <cell r="B2650" t="str">
            <v>RED KEY CLASSIC 25KG</v>
          </cell>
          <cell r="C2650" t="str">
            <v>BỘT MÌ HIỆU CHÌA KHÓA ĐỎ (25KG)</v>
          </cell>
          <cell r="D2650" t="str">
            <v>RED KEY CLASSIC 25KG</v>
          </cell>
          <cell r="E2650">
            <v>1</v>
          </cell>
          <cell r="F2650" t="str">
            <v>Bỏ chọn</v>
          </cell>
          <cell r="G2650"/>
          <cell r="H2650"/>
        </row>
        <row r="2651">
          <cell r="A2651" t="str">
            <v>7.52399129905A9</v>
          </cell>
          <cell r="B2651" t="str">
            <v>PINK KEY CLASSIC 25KG</v>
          </cell>
          <cell r="C2651" t="str">
            <v>BỘT MÌ HIỆU CHÌA KHÓA HỒNG (25KG)</v>
          </cell>
          <cell r="D2651" t="str">
            <v>PINK KEY CLASSIC 25KG</v>
          </cell>
          <cell r="E2651">
            <v>1</v>
          </cell>
          <cell r="F2651" t="str">
            <v>Bỏ chọn</v>
          </cell>
          <cell r="G2651"/>
          <cell r="H2651"/>
        </row>
        <row r="2652">
          <cell r="A2652" t="str">
            <v>7.52399799905A9</v>
          </cell>
          <cell r="B2652" t="str">
            <v>RED SATELLITE CLASSIC 25KG</v>
          </cell>
          <cell r="C2652" t="str">
            <v>BỘT MÌ HIỆU VỆ TINH ĐỎ (25KG)</v>
          </cell>
          <cell r="D2652" t="str">
            <v>RED SATELLITE CLASSIC 25KG</v>
          </cell>
          <cell r="E2652">
            <v>1</v>
          </cell>
          <cell r="F2652" t="str">
            <v>Bỏ chọn</v>
          </cell>
          <cell r="G2652"/>
          <cell r="H2652"/>
        </row>
        <row r="2653">
          <cell r="A2653" t="str">
            <v>V51.901.074</v>
          </cell>
          <cell r="B2653" t="str">
            <v>KIDDY COMBO 3 MEALS SET</v>
          </cell>
          <cell r="C2653" t="str">
            <v>BỘ 3 DỤNG CỤ ĂN DẶM KIDDY</v>
          </cell>
          <cell r="D2653" t="str">
            <v>KIDDY COMBO 3 MEALS SET</v>
          </cell>
          <cell r="E2653">
            <v>0.115</v>
          </cell>
          <cell r="F2653" t="str">
            <v>Bỏ chọn</v>
          </cell>
          <cell r="G2653"/>
          <cell r="H2653"/>
        </row>
        <row r="2654">
          <cell r="A2654" t="str">
            <v>6.1312046</v>
          </cell>
          <cell r="B2654" t="str">
            <v>BLEND [70 RSBO : 30 ROL 1005]</v>
          </cell>
          <cell r="C2654" t="str">
            <v>NGUYÊN LIỆU THỰC PHẨM DẦU THỰC VẬT TINH LUYỆN</v>
          </cell>
          <cell r="D2654" t="str">
            <v>BLEND [70 RSBO : 30 ROL 1005]</v>
          </cell>
          <cell r="E2654">
            <v>1</v>
          </cell>
          <cell r="F2654" t="str">
            <v>Chọn</v>
          </cell>
          <cell r="G2654"/>
          <cell r="H2654"/>
        </row>
        <row r="2655">
          <cell r="A2655" t="str">
            <v>7.1070120895509010</v>
          </cell>
          <cell r="B2655" t="str">
            <v>MEIZANLIQUIDBUTTEROILALTERNATIVEBIB@18KG</v>
          </cell>
          <cell r="C2655" t="str">
            <v>DẦU BƠ THAY THẾ DẠNG LỎNG NHÃN HIỆU MEIZAN 18KG</v>
          </cell>
          <cell r="D2655" t="str">
            <v>MEIZANLIQUIDBUTTEROILALTERNATIVEBIB@18KG</v>
          </cell>
          <cell r="E2655">
            <v>18</v>
          </cell>
          <cell r="F2655" t="str">
            <v>Chọn</v>
          </cell>
          <cell r="G2655"/>
          <cell r="H2655"/>
        </row>
        <row r="2656">
          <cell r="A2656" t="str">
            <v>V39.000.059</v>
          </cell>
          <cell r="B2656" t="str">
            <v>NEPTUNE LIGHT T-SHIRT</v>
          </cell>
          <cell r="C2656" t="str">
            <v>ÁO THUN NEPTUNE LIGHT</v>
          </cell>
          <cell r="D2656" t="str">
            <v>NEPTUNE LIGHT T-SHIRT</v>
          </cell>
          <cell r="E2656">
            <v>0</v>
          </cell>
          <cell r="F2656" t="str">
            <v>Bỏ chọn</v>
          </cell>
          <cell r="G2656"/>
          <cell r="H2656"/>
        </row>
        <row r="2657">
          <cell r="A2657" t="str">
            <v>7.1340310992901</v>
          </cell>
          <cell r="B2657" t="str">
            <v>REFINED HYDROGENATED PALM KERNEL OLEIN (BESSCOTE 3840) IN CARTON 20KG</v>
          </cell>
          <cell r="C2657" t="str">
            <v>DẦU OLEIN NHÂN CỌ HYDRO HÓA, TINH LUYỆN (BESSCOTE 3840) ĐÓNG TRONG THÙNG CARTON 20KG</v>
          </cell>
          <cell r="D2657" t="str">
            <v>REFINED HYDROGENATED PALM KERNEL OLEIN (BESSCOTE 3840) IN CARTON 20KG</v>
          </cell>
          <cell r="E2657">
            <v>20</v>
          </cell>
          <cell r="F2657" t="str">
            <v>Chọn</v>
          </cell>
          <cell r="G2657"/>
          <cell r="H2657"/>
        </row>
        <row r="2658">
          <cell r="A2658" t="str">
            <v>7.1340308992901</v>
          </cell>
          <cell r="B2658" t="str">
            <v>MEIZAN BRAND REFINED HYDROGENATED PALM KERNEL OLEIN-WIFIL 400 IN CARTON 20KG</v>
          </cell>
          <cell r="C2658" t="str">
            <v>DẦU OLEIN NHÂN CỌ HYDRO HÓA, TINH LUYỆN WILFIL 400 NHÃN HIỆU MEIZAN ĐÓNG TRONG THÙNG CARTON 20KG</v>
          </cell>
          <cell r="D2658" t="str">
            <v>MEIZAN BRAND REFINED HYDROGENATED PALM KERNEL OLEIN-WIFIL 400 IN CARTON 20KG</v>
          </cell>
          <cell r="E2658">
            <v>20</v>
          </cell>
          <cell r="F2658" t="str">
            <v>Bỏ chọn</v>
          </cell>
          <cell r="G2658"/>
          <cell r="H2658"/>
        </row>
        <row r="2659">
          <cell r="A2659" t="str">
            <v>V51.046.021</v>
          </cell>
          <cell r="B2659" t="str">
            <v>PORK BOUILLON GRANULE 200G</v>
          </cell>
          <cell r="C2659" t="str">
            <v>HẠT NÊM 4 TRONG 1 – VỊ HEO 200GR</v>
          </cell>
          <cell r="D2659" t="str">
            <v>PORK BOUILLON GRANULE 200G</v>
          </cell>
          <cell r="E2659">
            <v>0</v>
          </cell>
          <cell r="F2659" t="str">
            <v>Bỏ chọn</v>
          </cell>
          <cell r="G2659"/>
          <cell r="H2659"/>
        </row>
        <row r="2660">
          <cell r="A2660" t="str">
            <v>7.B25085499320105</v>
          </cell>
          <cell r="B2660" t="str">
            <v>PORK BOUILLON GRANULE 200G X 120 PAC/CAR</v>
          </cell>
          <cell r="C2660" t="str">
            <v>HẠT NÊM 4 TRONG 1 - VỊ HEO 200G X 120 GÓI/THÙNG</v>
          </cell>
          <cell r="D2660" t="str">
            <v>PORK BOUILLON GRANULE 200G X 120 PAC/CAR</v>
          </cell>
          <cell r="E2660">
            <v>24</v>
          </cell>
          <cell r="F2660" t="str">
            <v>Bỏ chọn</v>
          </cell>
          <cell r="G2660"/>
          <cell r="H2660"/>
        </row>
        <row r="2661">
          <cell r="A2661" t="str">
            <v>7.B24106399A00147</v>
          </cell>
          <cell r="B2661" t="str">
            <v>ROASTED FLAVORED RICE MAYONNAISE 230G X 24 BOT/ CAR</v>
          </cell>
          <cell r="C2661" t="str">
            <v>MAYONNAISE HƯƠNG GẠO RANG 230G X 24 CHAI/ THÙNG</v>
          </cell>
          <cell r="D2661" t="str">
            <v>ROASTED FLAVORED RICE MAYONNAISE 230G X 24 BOT/ CAR</v>
          </cell>
          <cell r="E2661">
            <v>5.52</v>
          </cell>
          <cell r="F2661" t="str">
            <v>Bỏ chọn</v>
          </cell>
          <cell r="G2661" t="str">
            <v>2000000008</v>
          </cell>
          <cell r="H2661" t="str">
            <v>7.B24106399A0014701</v>
          </cell>
        </row>
        <row r="2662">
          <cell r="A2662" t="str">
            <v>7.B24106399A0014701</v>
          </cell>
          <cell r="B2662" t="str">
            <v>ROASTED FLAVORED RICE MAYONNAISE 230G</v>
          </cell>
          <cell r="C2662" t="str">
            <v>MAYONNAISE HƯƠNG GẠO RANG 230G</v>
          </cell>
          <cell r="D2662" t="str">
            <v>ROASTED FLAVORED RICE MAYONNAISE 230G</v>
          </cell>
          <cell r="E2662">
            <v>0.23</v>
          </cell>
          <cell r="F2662" t="str">
            <v>Bỏ chọn</v>
          </cell>
          <cell r="G2662" t="str">
            <v>2000000008</v>
          </cell>
          <cell r="H2662"/>
        </row>
        <row r="2663">
          <cell r="A2663" t="str">
            <v>7.B24106399A00148</v>
          </cell>
          <cell r="B2663" t="str">
            <v>MAYONNAISE (DIPPING AND MIXING) 230G X 24 BOT/CAR</v>
          </cell>
          <cell r="C2663" t="str">
            <v>MAYONNAISE (CHẤM VÀ TRỘN ĐỀU NGON) 230G X 24 CHAI/ THÙNG</v>
          </cell>
          <cell r="D2663" t="str">
            <v>MAYONNAISE (DIPPING AND MIXING) 230G X 24 BOT/CAR</v>
          </cell>
          <cell r="E2663">
            <v>5.52</v>
          </cell>
          <cell r="F2663" t="str">
            <v>Bỏ chọn</v>
          </cell>
          <cell r="G2663" t="str">
            <v>2000000008</v>
          </cell>
          <cell r="H2663" t="str">
            <v>7.B24106399A0014801</v>
          </cell>
        </row>
        <row r="2664">
          <cell r="A2664" t="str">
            <v>7.B24106399A0014801</v>
          </cell>
          <cell r="B2664" t="str">
            <v>MAYONNAISE (DIPPING AND MIXING) 230G</v>
          </cell>
          <cell r="C2664" t="str">
            <v>MAYONNAISE (CHẤM VÀ TRỘN ĐỀU NGON) 230G</v>
          </cell>
          <cell r="D2664" t="str">
            <v>MAYONNAISE (DIPPING AND MIXING) 230G</v>
          </cell>
          <cell r="E2664">
            <v>0.23</v>
          </cell>
          <cell r="F2664" t="str">
            <v>Bỏ chọn</v>
          </cell>
          <cell r="G2664" t="str">
            <v>2000000008</v>
          </cell>
          <cell r="H2664"/>
        </row>
        <row r="2665">
          <cell r="A2665" t="str">
            <v>6.1212B11</v>
          </cell>
          <cell r="B2665" t="str">
            <v>RBD PALM OLEIN (TTP)</v>
          </cell>
          <cell r="C2665" t="str">
            <v>DẦU OLEIN CỌ TRONG XE BỒN (TTP)</v>
          </cell>
          <cell r="D2665" t="str">
            <v>RBD PALM OLEIN (TTP)</v>
          </cell>
          <cell r="E2665">
            <v>1</v>
          </cell>
          <cell r="F2665" t="str">
            <v>Bỏ chọn</v>
          </cell>
          <cell r="G2665"/>
          <cell r="H2665"/>
        </row>
        <row r="2666">
          <cell r="A2666" t="str">
            <v>V51.600.200</v>
          </cell>
          <cell r="B2666" t="str">
            <v>DIEM 10 WINDOW FRAME 120CM</v>
          </cell>
          <cell r="C2666" t="str">
            <v>THANH WINDOW FRAME 120CM (THANH TRƯNG BÀY 120CM "ĐIỂM 10")</v>
          </cell>
          <cell r="D2666" t="str">
            <v>DIEM 10 WINDOW FRAME 120CM</v>
          </cell>
          <cell r="E2666">
            <v>0.115</v>
          </cell>
          <cell r="F2666" t="str">
            <v>Bỏ chọn</v>
          </cell>
          <cell r="G2666"/>
          <cell r="H2666"/>
        </row>
        <row r="2667">
          <cell r="A2667" t="str">
            <v>V51.600.201</v>
          </cell>
          <cell r="B2667" t="str">
            <v>DIEM 10 WINDOW FRAME 160CM</v>
          </cell>
          <cell r="C2667" t="str">
            <v>THANH WINDOW FRAME 160CM (THANH TRƯNG BÀY 160CM "ĐIỂM 10")</v>
          </cell>
          <cell r="D2667" t="str">
            <v>DIEM 10 WINDOW FRAME 160CM</v>
          </cell>
          <cell r="E2667">
            <v>0.16500000000000001</v>
          </cell>
          <cell r="F2667" t="str">
            <v>Bỏ chọn</v>
          </cell>
          <cell r="G2667"/>
          <cell r="H2667"/>
        </row>
        <row r="2668">
          <cell r="A2668" t="str">
            <v>7.101041792200E60</v>
          </cell>
          <cell r="B2668" t="str">
            <v>RE-REFINED PALM OLEIN(TTP) FLEXIBAG@20MT</v>
          </cell>
          <cell r="C2668" t="str">
            <v>DẦU OLEIN CỌ TINH LUYỆN TRONG TÚI FLEXIBAG (TTP)</v>
          </cell>
          <cell r="D2668" t="str">
            <v>RE-REFINED PALM OLEIN(TTP) FLEXIBAG@20MT</v>
          </cell>
          <cell r="E2668">
            <v>1</v>
          </cell>
          <cell r="F2668" t="str">
            <v>Chọn</v>
          </cell>
          <cell r="G2668"/>
          <cell r="H2668"/>
        </row>
        <row r="2669">
          <cell r="A2669" t="str">
            <v>6.1212B12</v>
          </cell>
          <cell r="B2669" t="str">
            <v>RE-REFINED PALM OLEIN (TTP)</v>
          </cell>
          <cell r="C2669" t="str">
            <v>DẦU OLEIN CỌ TINH LUYỆN TRONG XE BỒN (TTP)</v>
          </cell>
          <cell r="D2669" t="str">
            <v>RE-REFINED PALM OLEIN (TTP)</v>
          </cell>
          <cell r="E2669">
            <v>1</v>
          </cell>
          <cell r="F2669" t="str">
            <v>Chọn</v>
          </cell>
          <cell r="G2669"/>
          <cell r="H2669"/>
        </row>
        <row r="2670">
          <cell r="A2670" t="str">
            <v>7.C35015599540149</v>
          </cell>
          <cell r="B2670" t="str">
            <v>POWER100 DISHWASHING LIQUID GREEN TEA, 1,5 KG X 8 JRG IN CARTON</v>
          </cell>
          <cell r="C2670" t="str">
            <v>NƯỚC RỬA CHÉN POWER100 TRÀ XANH, LOẠI 1,5 KG X 8 CAN TRONG THÙNG CARTON</v>
          </cell>
          <cell r="D2670" t="str">
            <v>POWER100 DISHWASHING LIQUID GREEN TEA, 1,5 KG X 8 JRG IN CARTON</v>
          </cell>
          <cell r="E2670">
            <v>12</v>
          </cell>
          <cell r="F2670" t="str">
            <v>Bỏ chọn</v>
          </cell>
          <cell r="G2670"/>
          <cell r="H2670"/>
        </row>
        <row r="2671">
          <cell r="A2671" t="str">
            <v>7.C3501559954014901</v>
          </cell>
          <cell r="B2671" t="str">
            <v>POWER100 DISHWASHING LIQUID GREEN TEA, 1,5 KG</v>
          </cell>
          <cell r="C2671" t="str">
            <v>NƯỚC RỬA CHÉN POWER100 TRÀ XANH, LOẠI 1,5 KG</v>
          </cell>
          <cell r="D2671" t="str">
            <v>POWER100 DISHWASHING LIQUID GREEN TEA, 1,5 KG</v>
          </cell>
          <cell r="E2671">
            <v>1.5</v>
          </cell>
          <cell r="F2671" t="str">
            <v>Bỏ chọn</v>
          </cell>
          <cell r="G2671"/>
          <cell r="H2671"/>
        </row>
        <row r="2672">
          <cell r="A2672" t="str">
            <v>7.C3501559928014913</v>
          </cell>
          <cell r="B2672" t="str">
            <v>POWER100 DISHWASHING LIQUID GREEN TEA, 3,8 KG X 4 JRG IN CARTON, ON PACK 4 BOTTLES POWER100 DISHWASHING LIQUID GREEN TEA 200 G</v>
          </cell>
          <cell r="C2672" t="str">
            <v>NƯỚC RỬA CHÉN POWER100 TRÀ XANH, LOẠI 3,8 KG X 4 CAN TRONG THÙNG CARTON, ĐÓNG KÈM 4 CHAI NƯỚC RỬA CHÉN POWER100 TRÀ XANH 200 G</v>
          </cell>
          <cell r="D2672" t="str">
            <v>POWER100 DISHWASHING LIQUID GREEN TEA, 3,8 KG X 4 JRG IN CARTON, ON PACK 4 BOTTLES POWER100 DISHWASHING LIQUID GREEN TEA 200 G</v>
          </cell>
          <cell r="E2672">
            <v>16</v>
          </cell>
          <cell r="F2672" t="str">
            <v>Bỏ chọn</v>
          </cell>
          <cell r="G2672"/>
          <cell r="H2672"/>
        </row>
        <row r="2673">
          <cell r="A2673" t="str">
            <v>7.C350155992801491301</v>
          </cell>
          <cell r="B2673" t="str">
            <v>POWER100 DISHWASHING LIQUID GREEN TEA, 3,8 KG, ON PACK 1 BOTTLES POWER100 DISHWASHING LIQUID GREEN TEA 200 G</v>
          </cell>
          <cell r="C2673" t="str">
            <v>NƯỚC RỬA CHÉN POWER100 TRÀ XANH, LOẠI 3,8 KG, ĐÓNG KÈM 1 CHAI NƯỚC RỬA CHÉN POWER100 TRÀ XANH 200 G</v>
          </cell>
          <cell r="D2673" t="str">
            <v>POWER100 DISHWASHING LIQUID GREEN TEA, 3,8 KG, ON PACK 1 BOTTLES POWER100 DISHWASHING LIQUID GREEN TEA 200 G</v>
          </cell>
          <cell r="E2673">
            <v>4</v>
          </cell>
          <cell r="F2673" t="str">
            <v>Bỏ chọn</v>
          </cell>
          <cell r="G2673"/>
          <cell r="H2673"/>
        </row>
        <row r="2674">
          <cell r="A2674" t="str">
            <v>7.52399059901A501</v>
          </cell>
          <cell r="B2674" t="str">
            <v>COMPASS-0.5KG (PAC)</v>
          </cell>
          <cell r="C2674" t="str">
            <v>BỘT MÌ ĐA DỤNG CAO CẤP LA BÀN (0.5KG/GÓI)</v>
          </cell>
          <cell r="D2674" t="str">
            <v>COMPASS-0.5KG (PAC)</v>
          </cell>
          <cell r="E2674">
            <v>0.5</v>
          </cell>
          <cell r="F2674" t="str">
            <v>Bỏ chọn</v>
          </cell>
          <cell r="G2674"/>
          <cell r="H2674"/>
        </row>
        <row r="2675">
          <cell r="A2675" t="str">
            <v>7.52399059902A501</v>
          </cell>
          <cell r="B2675" t="str">
            <v>COMPASS-1KG (PAC)</v>
          </cell>
          <cell r="C2675" t="str">
            <v>BỘT MÌ ĐA DỤNG CAO CẤP LA BÀN (1KG/GÓI)</v>
          </cell>
          <cell r="D2675" t="str">
            <v>COMPASS-1KG (PAC)</v>
          </cell>
          <cell r="E2675">
            <v>1</v>
          </cell>
          <cell r="F2675" t="str">
            <v>Bỏ chọn</v>
          </cell>
          <cell r="G2675"/>
          <cell r="H2675"/>
        </row>
        <row r="2676">
          <cell r="A2676" t="str">
            <v>7.131087286002H10</v>
          </cell>
          <cell r="B2676" t="str">
            <v>NEPTUNE LIGHT TET GIFT PACK 1L X 2 BTL</v>
          </cell>
          <cell r="C2676" t="str">
            <v>DẦU ĂN THƯỢNG HẠNG NHÃN HIỆU NEPTUNE LIGHT 1L (2 CHAI/ HỘP)</v>
          </cell>
          <cell r="D2676" t="str">
            <v>NEPTUNE LIGHT TET GIFT PACK 1L X 2 BTL</v>
          </cell>
          <cell r="E2676">
            <v>1.82</v>
          </cell>
          <cell r="F2676" t="str">
            <v>Chọn</v>
          </cell>
          <cell r="G2676"/>
          <cell r="H2676"/>
        </row>
        <row r="2677">
          <cell r="A2677" t="str">
            <v>7.131087286014H10</v>
          </cell>
          <cell r="B2677" t="str">
            <v>NEPTUNE LIGHT TET GIFT PACK 1L X 8BTL</v>
          </cell>
          <cell r="C2677" t="str">
            <v>DẦU ĂN THƯỢNG HẠNG HIỆU NEPTUNE LIGHT 1L (8 CHAI/ THÙNG) - ĐÓNG KÈM 4 GÓI HẠT NÊM 4 TRONG 1 - VỊ HEO 200G/ THÙNG</v>
          </cell>
          <cell r="D2677" t="str">
            <v>NEPTUNE LIGHT TET GIFT PACK 1L X 8BTL</v>
          </cell>
          <cell r="E2677">
            <v>7.28</v>
          </cell>
          <cell r="F2677" t="str">
            <v>Chọn</v>
          </cell>
          <cell r="G2677"/>
          <cell r="H2677"/>
        </row>
        <row r="2678">
          <cell r="A2678" t="str">
            <v>V39.00A.007</v>
          </cell>
          <cell r="B2678" t="str">
            <v>SIMPLY T-SHIRTS </v>
          </cell>
          <cell r="C2678" t="str">
            <v>ÁO THUN SIMPLY</v>
          </cell>
          <cell r="D2678" t="str">
            <v>SIMPLY T-SHIRTS </v>
          </cell>
          <cell r="E2678">
            <v>0</v>
          </cell>
          <cell r="F2678" t="str">
            <v>Bỏ chọn</v>
          </cell>
          <cell r="G2678"/>
          <cell r="H2678"/>
        </row>
        <row r="2679">
          <cell r="A2679" t="str">
            <v>V51.00A.038</v>
          </cell>
          <cell r="B2679" t="str">
            <v>SIMPLY HANGER</v>
          </cell>
          <cell r="C2679" t="str">
            <v>HANGER SIMPLY</v>
          </cell>
          <cell r="D2679" t="str">
            <v>SIMPLY HANGER</v>
          </cell>
          <cell r="E2679">
            <v>0</v>
          </cell>
          <cell r="F2679" t="str">
            <v>Bỏ chọn</v>
          </cell>
          <cell r="G2679"/>
          <cell r="H2679"/>
        </row>
        <row r="2680">
          <cell r="A2680" t="str">
            <v>7.101089570901F00</v>
          </cell>
          <cell r="B2680" t="str">
            <v>SATELLITE RPS+BHT IN BIB @18KG</v>
          </cell>
          <cell r="C2680" t="str">
            <v>DẦU STEARIN CỌ TINH LUYỆN - B NHÃN HIỆU SATELLITE</v>
          </cell>
          <cell r="D2680" t="str">
            <v>SATELLITE RPS+BHT IN BIB @18KG</v>
          </cell>
          <cell r="E2680">
            <v>18</v>
          </cell>
          <cell r="F2680" t="str">
            <v>Chọn</v>
          </cell>
          <cell r="G2680"/>
          <cell r="H2680"/>
        </row>
        <row r="2681">
          <cell r="A2681" t="str">
            <v>7.101089570901E90</v>
          </cell>
          <cell r="B2681" t="str">
            <v>SATELLITE RPS+BHA+BHT IN BIB @18KG</v>
          </cell>
          <cell r="C2681" t="str">
            <v>DẦU STEARIN CỌ TINH LUYỆN - A NHÃN HIỆU SATELLITE</v>
          </cell>
          <cell r="D2681" t="str">
            <v>SATELLITE RPS+BHA+BHT IN BIB @18KG</v>
          </cell>
          <cell r="E2681">
            <v>18</v>
          </cell>
          <cell r="F2681" t="str">
            <v>Chọn</v>
          </cell>
          <cell r="G2681"/>
          <cell r="H2681"/>
        </row>
        <row r="2682">
          <cell r="A2682" t="str">
            <v>7.D3701109905AA50</v>
          </cell>
          <cell r="B2682" t="str">
            <v>DARK CHOCOLATE RCD-4273A-240, BUTTONS IN CARTON 25KG</v>
          </cell>
          <cell r="C2682" t="str">
            <v>SÔ-CÔ-LA ĐEN RCD-4273A-240, BUTTONS ĐÓNG TRONG THÙNG CARTON 25KG</v>
          </cell>
          <cell r="D2682" t="str">
            <v>DARK CHOCOLATE RCD-4273A-240, BUTTONS IN CARTON 25KG</v>
          </cell>
          <cell r="E2682">
            <v>25</v>
          </cell>
          <cell r="F2682" t="str">
            <v>Bỏ chọn</v>
          </cell>
          <cell r="G2682"/>
          <cell r="H2682"/>
        </row>
        <row r="2683">
          <cell r="A2683" t="str">
            <v>V51.000.096</v>
          </cell>
          <cell r="B2683" t="str">
            <v>ECO FRESH MASK</v>
          </cell>
          <cell r="C2683" t="str">
            <v>KHẨU TRANG ECO FRESH</v>
          </cell>
          <cell r="D2683" t="str">
            <v>ECO FRESH MASK</v>
          </cell>
          <cell r="E2683">
            <v>0</v>
          </cell>
          <cell r="F2683" t="str">
            <v>Bỏ chọn</v>
          </cell>
          <cell r="G2683"/>
          <cell r="H2683"/>
        </row>
        <row r="2684">
          <cell r="A2684" t="str">
            <v>V51.000.097</v>
          </cell>
          <cell r="B2684" t="str">
            <v>WILMAR GOLD 99.99% LOGO (10+/-0.1) ONE TENTH OF A TAEL OF GOLD/ PC</v>
          </cell>
          <cell r="C2684" t="str">
            <v>LOGO WILMAR VÀNG 99,99% (10+/-0,1) CHỈ/ CÁI</v>
          </cell>
          <cell r="D2684" t="str">
            <v>WILMAR GOLD 99.99% LOGO (10+/-0.1) ONE TENTH OF A TAEL OF GOLD/ PC</v>
          </cell>
          <cell r="E2684">
            <v>0</v>
          </cell>
          <cell r="F2684" t="str">
            <v>Bỏ chọn</v>
          </cell>
          <cell r="G2684"/>
          <cell r="H2684"/>
        </row>
        <row r="2685">
          <cell r="A2685" t="str">
            <v>7.B2508549995010504</v>
          </cell>
          <cell r="B2685" t="str">
            <v>PORK BOUILLON GRANULE 850G X 10 PACK ON PACK 10 BOT NAM DUONG CONDENSED SOY SAUCE 280ML</v>
          </cell>
          <cell r="C2685" t="str">
            <v>HẠT NÊM 4 TRONG 1 - VỊ HEO 850G X 10 GÓI ĐÓNG KÈM 10 CHAI THỰC PHẨM BỔ SUNG NƯỚC TƯƠNG NAM DƯƠNG ĐẬM ĐẶC 280ML</v>
          </cell>
          <cell r="D2685" t="str">
            <v>PORK BOUILLON GRANULE 850G X 10 PACK ON PACK 10 BOT NAM DUONG CONDENSED SOY SAUCE 280ML</v>
          </cell>
          <cell r="E2685">
            <v>8.5</v>
          </cell>
          <cell r="F2685" t="str">
            <v>Bỏ chọn</v>
          </cell>
          <cell r="G2685" t="str">
            <v>2000000008</v>
          </cell>
          <cell r="H2685" t="str">
            <v>7.B250854999501050401</v>
          </cell>
        </row>
        <row r="2686">
          <cell r="A2686" t="str">
            <v>7.B250854999501050401</v>
          </cell>
          <cell r="B2686" t="str">
            <v>PORK BOUILLON GRANULE 850G X 01 PACK ON PACK 01 BOT NAM DUONG CONDENSED SOY SAUCE 280ML</v>
          </cell>
          <cell r="C2686" t="str">
            <v>HẠT NÊM 4 TRONG 1 - VỊ HEO 850G ĐÓNG KÈM 01 CHAI THỰC PHẨM BỔ SUNG NƯỚC TƯƠNG NAM DƯƠNG ĐẬM ĐẶC 280ML</v>
          </cell>
          <cell r="D2686" t="str">
            <v>PORK BOUILLON GRANULE 850G X 01 PACK ON PACK 01 BOT NAM DUONG CONDENSED SOY SAUCE 280ML</v>
          </cell>
          <cell r="E2686">
            <v>0.85</v>
          </cell>
          <cell r="F2686" t="str">
            <v>Bỏ chọn</v>
          </cell>
          <cell r="G2686" t="str">
            <v>2000000008</v>
          </cell>
          <cell r="H2686"/>
        </row>
        <row r="2687">
          <cell r="A2687" t="str">
            <v>7.70564</v>
          </cell>
          <cell r="B2687" t="str">
            <v xml:space="preserve">HYDROGENATED COCONUT OIL IN 20KG CARTONS </v>
          </cell>
          <cell r="C2687" t="str">
            <v>DẦU DỪA ĐÃ HYDRO HÓA ĐÓNG TRONG THÙNG CARTON 20KG</v>
          </cell>
          <cell r="D2687" t="str">
            <v xml:space="preserve">HYDROGENATED COCONUT OIL IN 20KG CARTONS </v>
          </cell>
          <cell r="E2687">
            <v>1</v>
          </cell>
          <cell r="F2687" t="str">
            <v>Bỏ chọn</v>
          </cell>
          <cell r="G2687"/>
          <cell r="H2687"/>
        </row>
        <row r="2688">
          <cell r="A2688" t="str">
            <v>7.B2401236137014214</v>
          </cell>
          <cell r="B2688" t="str">
            <v>COMBO FERMENTED SOY SAUCE 500ML X 2 BOT ON PACK 01 BOT TOMATO SAUCE 265G X 12 SET/CAR</v>
          </cell>
          <cell r="C2688" t="str">
            <v>COMBO 2 CHAI NƯỚC TƯƠNG NAM DƯƠNG ĐẬU NÀNH LÊN MEN TỰ NHIÊN 500ML ĐÓNG KÈM 1 CHAI TƯƠNG CÀ 265G X 12 BỘ/THÙNG</v>
          </cell>
          <cell r="D2688" t="str">
            <v>COMBO FERMENTED SOY SAUCE 500ML X 2 BOT ON PACK 01 BOT TOMATO SAUCE 265G X 12 SET/CAR</v>
          </cell>
          <cell r="E2688">
            <v>13.7736</v>
          </cell>
          <cell r="F2688" t="str">
            <v>Bỏ chọn</v>
          </cell>
          <cell r="G2688"/>
          <cell r="H2688"/>
        </row>
        <row r="2689">
          <cell r="A2689" t="str">
            <v>7.B240123613701421401</v>
          </cell>
          <cell r="B2689" t="str">
            <v>COMBO FERMENTED SOY SAUCE 500ML X 2 BOT ON PACK 01 BOT TOMATO SAUCE 265G</v>
          </cell>
          <cell r="C2689" t="str">
            <v>COMBO 2 CHAI NƯỚC TƯƠNG NAM DƯƠNG ĐẬU NÀNH LÊN MEN TỰ NHIÊN 500ML ĐÓNG KÈM 1 CHAI TƯƠNG CÀ 265G</v>
          </cell>
          <cell r="D2689" t="str">
            <v>COMBO FERMENTED SOY SAUCE 500ML X 2 BOT ON PACK 01 BOT TOMATO SAUCE 265G</v>
          </cell>
          <cell r="E2689">
            <v>0.57389999999999997</v>
          </cell>
          <cell r="F2689" t="str">
            <v>Bỏ chọn</v>
          </cell>
          <cell r="G2689"/>
          <cell r="H2689"/>
        </row>
        <row r="2690">
          <cell r="A2690" t="str">
            <v>7.131060031700790</v>
          </cell>
          <cell r="B2690" t="str">
            <v>CO-ORCHID S  BTL@1L</v>
          </cell>
          <cell r="C2690" t="str">
            <v>DẦU THỰC VẬT TINH LUYỆN NHÃN HIỆU ORCHID 1L</v>
          </cell>
          <cell r="D2690" t="str">
            <v>CO-ORCHID S  BTL@1L</v>
          </cell>
          <cell r="E2690">
            <v>0.91</v>
          </cell>
          <cell r="F2690" t="str">
            <v>Chọn</v>
          </cell>
          <cell r="G2690"/>
          <cell r="H2690"/>
        </row>
        <row r="2691">
          <cell r="A2691" t="str">
            <v>7.5239904490555</v>
          </cell>
          <cell r="B2691" t="str">
            <v>BROWN COMPASS 111-25-BAO HUNG</v>
          </cell>
          <cell r="C2691" t="str">
            <v>BỘT MÌ THÔNG DỤNG LA BÀN NÂU - 111 (25KG)</v>
          </cell>
          <cell r="D2691" t="str">
            <v>BROWN COMPASS 111-25-BAO HUNG</v>
          </cell>
          <cell r="E2691">
            <v>1</v>
          </cell>
          <cell r="F2691" t="str">
            <v>Bỏ chọn</v>
          </cell>
          <cell r="G2691"/>
          <cell r="H2691"/>
        </row>
        <row r="2692">
          <cell r="A2692" t="str">
            <v>7.131069041700A00TD</v>
          </cell>
          <cell r="B2692" t="str">
            <v>NEPTUNE GOLD  IN BOTTLE@2L</v>
          </cell>
          <cell r="C2692" t="str">
            <v>DẦU ĂN THƯỢNG HẠNG HIỆU NEPTUNE GOLD 2L</v>
          </cell>
          <cell r="D2692" t="str">
            <v>NEPTUNE GOLD  IN BOTTLE@2L</v>
          </cell>
          <cell r="E2692">
            <v>1.82</v>
          </cell>
          <cell r="F2692" t="str">
            <v>Bỏ chọn</v>
          </cell>
          <cell r="G2692"/>
          <cell r="H2692"/>
        </row>
        <row r="2693">
          <cell r="A2693" t="str">
            <v>7.A32010899180101TD</v>
          </cell>
          <cell r="B2693" t="str">
            <v>MEIZAN PREMIUM EGG NOODLE 250G</v>
          </cell>
          <cell r="C2693" t="str">
            <v>MÌ TRỨNG CAO CẤP MEIZAN 250G</v>
          </cell>
          <cell r="D2693" t="str">
            <v>MEIZAN PREMIUM EGG NOODLE 250G</v>
          </cell>
          <cell r="E2693">
            <v>0.25</v>
          </cell>
          <cell r="F2693" t="str">
            <v>Bỏ chọn</v>
          </cell>
          <cell r="G2693"/>
          <cell r="H2693"/>
        </row>
        <row r="2694">
          <cell r="A2694" t="str">
            <v>7.A33020899320101TD</v>
          </cell>
          <cell r="B2694" t="str">
            <v>MEIZAN PREMIUM MACARONI 200G</v>
          </cell>
          <cell r="C2694" t="str">
            <v>NUI CAO CẤP MEIZAN 200G</v>
          </cell>
          <cell r="D2694" t="str">
            <v>MEIZAN PREMIUM MACARONI 200G</v>
          </cell>
          <cell r="E2694">
            <v>0.2</v>
          </cell>
          <cell r="F2694" t="str">
            <v>Bỏ chọn</v>
          </cell>
          <cell r="G2694"/>
          <cell r="H2694"/>
        </row>
        <row r="2695">
          <cell r="A2695" t="str">
            <v>7.70565</v>
          </cell>
          <cell r="B2695" t="str">
            <v>RBD COCOUNT OIL PACKING IN JERRYCAN 18KG</v>
          </cell>
          <cell r="C2695" t="str">
            <v>DẦU DỪA TINH LUYỆN ĐÓNG TRONG THÙNG NHỰA 18KG</v>
          </cell>
          <cell r="D2695" t="str">
            <v>RBD COCOUNT OIL PACKING IN JERRYCAN 18KG</v>
          </cell>
          <cell r="E2695">
            <v>1</v>
          </cell>
          <cell r="F2695" t="str">
            <v>Bỏ chọn</v>
          </cell>
          <cell r="G2695"/>
          <cell r="H2695"/>
        </row>
        <row r="2696">
          <cell r="A2696" t="str">
            <v>7.70566</v>
          </cell>
          <cell r="B2696" t="str">
            <v>NON-IONIC POLYOL: AEO-9, AEO-7,AEO-5 IN PLASTIC BAG 4.3KG</v>
          </cell>
          <cell r="C2696" t="str">
            <v>CHẤT HOẠT ĐỘNG BỀ MẶT NON-IONIC POLYOL: AEO-9, AEO-7,AEO-5 ĐÓNG TRONG TÚI NHỰA 4.3KG</v>
          </cell>
          <cell r="D2696" t="str">
            <v>NON-IONIC POLYOL: AEO-9, AEO-7,AEO-5 IN PLASTIC BAG 4.3KG</v>
          </cell>
          <cell r="E2696">
            <v>1</v>
          </cell>
          <cell r="F2696" t="str">
            <v>Bỏ chọn</v>
          </cell>
          <cell r="G2696"/>
          <cell r="H2696"/>
        </row>
        <row r="2697">
          <cell r="A2697" t="str">
            <v>7.70567</v>
          </cell>
          <cell r="B2697" t="str">
            <v>DISTILLED MONOGLYCERIDE CF01 IN BAG 2KG</v>
          </cell>
          <cell r="C2697" t="str">
            <v>MONOGLYCERID CHƯNG CẤT CF01 ĐÓNG TRONG TÚI 2KG</v>
          </cell>
          <cell r="D2697" t="str">
            <v>DISTILLED MONOGLYCERIDE CF01 IN BAG 2KG</v>
          </cell>
          <cell r="E2697">
            <v>1</v>
          </cell>
          <cell r="F2697" t="str">
            <v>Bỏ chọn</v>
          </cell>
          <cell r="G2697"/>
          <cell r="H2697"/>
        </row>
        <row r="2698">
          <cell r="A2698" t="str">
            <v>7.70568</v>
          </cell>
          <cell r="B2698" t="str">
            <v xml:space="preserve">MEGA - ENERGY IN PLASTIC BAG 1KG </v>
          </cell>
          <cell r="C2698" t="str">
            <v>MEGA - ENERGY ĐÓNG TRONG TÚI NHỰA 1KG</v>
          </cell>
          <cell r="D2698" t="str">
            <v xml:space="preserve">MEGA - ENERGY IN PLASTIC BAG 1KG </v>
          </cell>
          <cell r="E2698">
            <v>1</v>
          </cell>
          <cell r="F2698" t="str">
            <v>Bỏ chọn</v>
          </cell>
          <cell r="G2698"/>
          <cell r="H2698"/>
        </row>
        <row r="2699">
          <cell r="A2699" t="str">
            <v>7.70569</v>
          </cell>
          <cell r="B2699" t="str">
            <v>SOAP NOODLE KSN9900-V IN PLASTIC BAG 3KG</v>
          </cell>
          <cell r="C2699" t="str">
            <v>PHÔI XÀ PHÒNG KSN9900-V ĐÓNG TRONG TÚI NHỰA 3KG</v>
          </cell>
          <cell r="D2699" t="str">
            <v>SOAP NOODLE KSN9900-V IN PLASTIC BAG 3KG</v>
          </cell>
          <cell r="E2699">
            <v>1</v>
          </cell>
          <cell r="F2699" t="str">
            <v>Bỏ chọn</v>
          </cell>
          <cell r="G2699"/>
          <cell r="H2699"/>
        </row>
        <row r="2700">
          <cell r="A2700" t="str">
            <v>7.70570</v>
          </cell>
          <cell r="B2700" t="str">
            <v>WILMAX 1203 IN BAG 5KG</v>
          </cell>
          <cell r="C2700" t="str">
            <v>CHẤT BÉO THỰC VẬT WILMAX 1203 ĐÓNG TRONG TÚI 5KG</v>
          </cell>
          <cell r="D2700" t="str">
            <v>WILMAX 1203 IN BAG 5KG</v>
          </cell>
          <cell r="E2700">
            <v>1</v>
          </cell>
          <cell r="F2700" t="str">
            <v>Bỏ chọn</v>
          </cell>
          <cell r="G2700"/>
          <cell r="H2700"/>
        </row>
        <row r="2701">
          <cell r="A2701" t="str">
            <v>7.B25085499010105</v>
          </cell>
          <cell r="B2701" t="str">
            <v>PORK BOUILLON GRANULE 500G X 24 PAC/CAR</v>
          </cell>
          <cell r="C2701" t="str">
            <v>HẠT NÊM 4 TRONG 1 - VỊ HEO 500G X 24 GÓI/THÙNG</v>
          </cell>
          <cell r="D2701" t="str">
            <v>PORK BOUILLON GRANULE 500G X 24 PAC/CAR</v>
          </cell>
          <cell r="E2701">
            <v>12</v>
          </cell>
          <cell r="F2701" t="str">
            <v>Bỏ chọn</v>
          </cell>
          <cell r="G2701" t="str">
            <v>2000000008</v>
          </cell>
          <cell r="H2701" t="str">
            <v>7.B2508549901010501</v>
          </cell>
        </row>
        <row r="2702">
          <cell r="A2702" t="str">
            <v>7.B2508549901010501</v>
          </cell>
          <cell r="B2702" t="str">
            <v>PORK BOUILLON GRANULE 500G</v>
          </cell>
          <cell r="C2702" t="str">
            <v>HẠT NÊM 4 TRONG 1 - VỊ HEO 500G</v>
          </cell>
          <cell r="D2702" t="str">
            <v>PORK BOUILLON GRANULE 500G</v>
          </cell>
          <cell r="E2702">
            <v>0.5</v>
          </cell>
          <cell r="F2702" t="str">
            <v>Bỏ chọn</v>
          </cell>
          <cell r="G2702" t="str">
            <v>2000000008</v>
          </cell>
          <cell r="H2702"/>
        </row>
        <row r="2703">
          <cell r="A2703" t="str">
            <v>7.131000792200D80</v>
          </cell>
          <cell r="B2703" t="str">
            <v>MIXED STEARIN IN FLEXIBAG @20MT</v>
          </cell>
          <cell r="C2703" t="str">
            <v>DẦU STEARIN HỖN HỢP</v>
          </cell>
          <cell r="D2703" t="str">
            <v>MIXED STEARIN IN FLEXIBAG @20MT</v>
          </cell>
          <cell r="E2703">
            <v>1</v>
          </cell>
          <cell r="F2703" t="str">
            <v>Chọn</v>
          </cell>
          <cell r="G2703"/>
          <cell r="H2703"/>
        </row>
        <row r="2704">
          <cell r="A2704" t="str">
            <v>V51.102.026</v>
          </cell>
          <cell r="B2704" t="str">
            <v>FLOOR CLEANER POWER NATURAL FLOWER 990G</v>
          </cell>
          <cell r="C2704" t="str">
            <v>NƯỚC LAU SÀN POWER100 HƯƠNG HOA THIÊN NHIÊN LOẠI 990G</v>
          </cell>
          <cell r="D2704" t="str">
            <v>FLOOR CLEANER POWER NATURAL FLOWER 990G</v>
          </cell>
          <cell r="E2704">
            <v>0</v>
          </cell>
          <cell r="F2704" t="str">
            <v>Bỏ chọn</v>
          </cell>
          <cell r="G2704"/>
          <cell r="H2704"/>
        </row>
        <row r="2705">
          <cell r="A2705" t="str">
            <v>7.5239907990515</v>
          </cell>
          <cell r="B2705" t="str">
            <v>GREEN KEY - PDS 25KG</v>
          </cell>
          <cell r="C2705" t="str">
            <v>BỘT MÌ HIỆU CHÌA KHÓA XANH LÁ 25KG</v>
          </cell>
          <cell r="D2705" t="str">
            <v>GREEN KEY - PDS 25KG</v>
          </cell>
          <cell r="E2705">
            <v>1</v>
          </cell>
          <cell r="F2705" t="str">
            <v>Bỏ chọn</v>
          </cell>
          <cell r="G2705"/>
          <cell r="H2705"/>
        </row>
        <row r="2706">
          <cell r="A2706" t="str">
            <v>7.52399079905AA</v>
          </cell>
          <cell r="B2706" t="str">
            <v>GREEN KEY 25KG</v>
          </cell>
          <cell r="C2706" t="str">
            <v>BỘT MÌ HIỆU CHÌA KHÓA XANH LÁ 25KG</v>
          </cell>
          <cell r="D2706" t="str">
            <v>GREEN KEY 25KG</v>
          </cell>
          <cell r="E2706">
            <v>1</v>
          </cell>
          <cell r="F2706" t="str">
            <v>Bỏ chọn</v>
          </cell>
          <cell r="G2706"/>
          <cell r="H2706"/>
        </row>
        <row r="2707">
          <cell r="A2707" t="str">
            <v>6.70548</v>
          </cell>
          <cell r="B2707" t="str">
            <v>FATTY ALCOHOL ETHOXYLATE 9 MOL IN DRUM 200KG</v>
          </cell>
          <cell r="C2707" t="str">
            <v>CHẤT HOẠT ĐỘNG BỀ MẶT AEO-9 MOL ĐÓNG TRONG PHUY 200KG</v>
          </cell>
          <cell r="D2707" t="str">
            <v>FATTY ALCOHOL ETHOXYLATE 9 MOL IN DRUM 200KG</v>
          </cell>
          <cell r="E2707">
            <v>1</v>
          </cell>
          <cell r="F2707" t="str">
            <v>Chọn</v>
          </cell>
          <cell r="G2707"/>
          <cell r="H2707"/>
        </row>
        <row r="2708">
          <cell r="A2708" t="str">
            <v>6.1213201</v>
          </cell>
          <cell r="B2708" t="str">
            <v>REFINED SOFT STEARIN</v>
          </cell>
          <cell r="C2708" t="str">
            <v>DẦU STEARIN CỌ TINH LUYỆN TRONG XE BỒN</v>
          </cell>
          <cell r="D2708" t="str">
            <v>REFINED SOFT STEARIN</v>
          </cell>
          <cell r="E2708">
            <v>1</v>
          </cell>
          <cell r="F2708" t="str">
            <v>Chọn</v>
          </cell>
          <cell r="G2708"/>
          <cell r="H2708"/>
        </row>
        <row r="2709">
          <cell r="A2709" t="str">
            <v>6.1212B00</v>
          </cell>
          <cell r="B2709" t="str">
            <v>REFINED PALM OLEIN IV 56-57 MAX</v>
          </cell>
          <cell r="C2709" t="str">
            <v>DẦU OLEIN CỌ TINH LUYỆN TRONG XE BỒN</v>
          </cell>
          <cell r="D2709" t="str">
            <v>REFINED PALM OLEIN IV 56-57 MAX</v>
          </cell>
          <cell r="E2709">
            <v>1</v>
          </cell>
          <cell r="F2709" t="str">
            <v>Chọn</v>
          </cell>
          <cell r="G2709"/>
          <cell r="H2709"/>
        </row>
        <row r="2710">
          <cell r="A2710" t="str">
            <v>6.1212A93</v>
          </cell>
          <cell r="B2710" t="str">
            <v>RBD PALM OLEIN IV58 (LOOSE OIL VEG)</v>
          </cell>
          <cell r="C2710" t="str">
            <v>DẦU OLEIN CỌ TINH LUYỆN TRONG XE BỒN</v>
          </cell>
          <cell r="D2710" t="str">
            <v>RBD PALM OLEIN IV58 (LOOSE OIL VEG)</v>
          </cell>
          <cell r="E2710">
            <v>1</v>
          </cell>
          <cell r="F2710" t="str">
            <v>Chọn</v>
          </cell>
          <cell r="G2710"/>
          <cell r="H2710"/>
        </row>
        <row r="2711">
          <cell r="A2711" t="str">
            <v>7.131087286014H10TD</v>
          </cell>
          <cell r="B2711" t="str">
            <v>NEPTUNE LIGHT TET GIFT PACK 1L X 8BTL</v>
          </cell>
          <cell r="C2711" t="str">
            <v>DẦU ĂN THƯỢNG HẠNG HIỆU NEPTUNE LIGHT 1L (8 CHAI/ THÙNG) - ĐÓNG KÈM 4 GÓI HẠT NÊM 4 TRONG 1 - VỊ HEO 200G/ THÙNG</v>
          </cell>
          <cell r="D2711" t="str">
            <v>NEPTUNE LIGHT TET GIFT PACK 1L X 8BTL</v>
          </cell>
          <cell r="E2711">
            <v>7.28</v>
          </cell>
          <cell r="F2711" t="str">
            <v>Bỏ chọn</v>
          </cell>
          <cell r="G2711"/>
          <cell r="H2711"/>
        </row>
        <row r="2712">
          <cell r="A2712" t="str">
            <v>7.B24012361A30142</v>
          </cell>
          <cell r="B2712" t="str">
            <v>FERMENTED SOY SAUCE 710ML X 12 BOT/CAR</v>
          </cell>
          <cell r="C2712" t="str">
            <v>NƯỚC TƯƠNG NAM DƯƠNG ĐẬU NÀNH LÊN MEN TỰ NHIÊN 710ML X 12 CHAI/THÙNG</v>
          </cell>
          <cell r="D2712" t="str">
            <v>FERMENTED SOY SAUCE 710ML X 12 BOT/CAR</v>
          </cell>
          <cell r="E2712">
            <v>9.7792999999999992</v>
          </cell>
          <cell r="F2712" t="str">
            <v>Bỏ chọn</v>
          </cell>
          <cell r="G2712" t="str">
            <v>2000000008</v>
          </cell>
          <cell r="H2712" t="str">
            <v>7.B24012361A3014201</v>
          </cell>
        </row>
        <row r="2713">
          <cell r="A2713" t="str">
            <v>7.B24012361A3014201</v>
          </cell>
          <cell r="B2713" t="str">
            <v>FERMENTED SOY SAUCE 710ML</v>
          </cell>
          <cell r="C2713" t="str">
            <v>NƯỚC TƯƠNG NAM DƯƠNG ĐẬU NÀNH LÊN MEN TỰ NHIÊN 710ML</v>
          </cell>
          <cell r="D2713" t="str">
            <v>FERMENTED SOY SAUCE 710ML</v>
          </cell>
          <cell r="E2713">
            <v>0.81489999999999996</v>
          </cell>
          <cell r="F2713" t="str">
            <v>Bỏ chọn</v>
          </cell>
          <cell r="G2713" t="str">
            <v>2000000008</v>
          </cell>
          <cell r="H2713"/>
        </row>
        <row r="2714">
          <cell r="A2714" t="str">
            <v>6.4606500</v>
          </cell>
          <cell r="B2714" t="str">
            <v>MIXED STEARIN(RICE+PO FROM DEW PROCESS)</v>
          </cell>
          <cell r="C2714" t="str">
            <v>DẦU STEARIN HỖN HỢP</v>
          </cell>
          <cell r="D2714" t="str">
            <v>MIXED STEARIN(RICE+PO FROM DEW PROCESS)</v>
          </cell>
          <cell r="E2714">
            <v>1</v>
          </cell>
          <cell r="F2714" t="str">
            <v>Chọn</v>
          </cell>
          <cell r="G2714"/>
          <cell r="H2714"/>
        </row>
        <row r="2715">
          <cell r="A2715" t="str">
            <v>7.131000752700D80</v>
          </cell>
          <cell r="B2715" t="str">
            <v>MIXED STEARIN IN USED DRUM @185KG</v>
          </cell>
          <cell r="C2715" t="str">
            <v>STEARIN HỖN HỢP TRONG PHUY 185KG</v>
          </cell>
          <cell r="D2715" t="str">
            <v>MIXED STEARIN IN USED DRUM @185KG</v>
          </cell>
          <cell r="E2715">
            <v>185</v>
          </cell>
          <cell r="F2715" t="str">
            <v>Chọn</v>
          </cell>
          <cell r="G2715"/>
          <cell r="H2715"/>
        </row>
        <row r="2716">
          <cell r="A2716" t="str">
            <v>7.52399079905B0</v>
          </cell>
          <cell r="B2716" t="str">
            <v>GREEN KEY - TSP 25KG</v>
          </cell>
          <cell r="C2716" t="str">
            <v>BỘT MÌ HIỆU CHÌA KHÓA XANH LÁ 25KG</v>
          </cell>
          <cell r="D2716" t="str">
            <v>GREEN KEY - TSP 25KG</v>
          </cell>
          <cell r="E2716">
            <v>1</v>
          </cell>
          <cell r="F2716" t="str">
            <v>Bỏ chọn</v>
          </cell>
          <cell r="G2716"/>
          <cell r="H2716"/>
        </row>
        <row r="2717">
          <cell r="A2717" t="str">
            <v>7.70571</v>
          </cell>
          <cell r="B2717" t="str">
            <v>SOAP NOODLE 8020 HIGH FFA 1-2% IN BAG 25KG</v>
          </cell>
          <cell r="C2717" t="str">
            <v>PHÔI XÀ PHÒNG 8020 HIGH FFA 1-2% ĐÓNG TRONG TÚI 25KG</v>
          </cell>
          <cell r="D2717" t="str">
            <v>SOAP NOODLE 8020 HIGH FFA 1-2% IN BAG 25KG</v>
          </cell>
          <cell r="E2717">
            <v>1</v>
          </cell>
          <cell r="F2717" t="str">
            <v>Bỏ chọn</v>
          </cell>
          <cell r="G2717"/>
          <cell r="H2717"/>
        </row>
        <row r="2718">
          <cell r="A2718" t="str">
            <v>7.B2402239918019901TD</v>
          </cell>
          <cell r="B2718" t="str">
            <v>CHILI SAUCE 250G</v>
          </cell>
          <cell r="C2718" t="str">
            <v>TƯƠNG ỚT 250G</v>
          </cell>
          <cell r="D2718" t="str">
            <v>CHILI SAUCE 250G</v>
          </cell>
          <cell r="E2718">
            <v>0.25</v>
          </cell>
          <cell r="F2718" t="str">
            <v>Bỏ chọn</v>
          </cell>
          <cell r="G2718"/>
          <cell r="H2718"/>
        </row>
        <row r="2719">
          <cell r="A2719" t="str">
            <v>7.70572</v>
          </cell>
          <cell r="B2719" t="str">
            <v>WILFARIN STEARIC ACID 38% (SA-1838 EXTRA) IN PAPER BAG 25KG</v>
          </cell>
          <cell r="C2719" t="str">
            <v>AXIT STEARIC 38% (WILFARIN SA-1838 EXTRA) ĐÓNG TRONG BAO GIẤY 25KG</v>
          </cell>
          <cell r="D2719" t="str">
            <v>WILFARIN STEARIC ACID 38% (SA-1838 EXTRA) IN PAPER BAG 25KG</v>
          </cell>
          <cell r="E2719">
            <v>1</v>
          </cell>
          <cell r="F2719" t="str">
            <v>Chọn</v>
          </cell>
          <cell r="G2719"/>
          <cell r="H2719"/>
        </row>
        <row r="2720">
          <cell r="A2720" t="str">
            <v>7.52399719906AA</v>
          </cell>
          <cell r="B2720" t="str">
            <v>BLUE VI VI 40KG</v>
          </cell>
          <cell r="C2720" t="str">
            <v>BỘT MÌ HIỆU VI VI XANH 40KG</v>
          </cell>
          <cell r="D2720" t="str">
            <v>BLUE VI VI 40KG</v>
          </cell>
          <cell r="E2720">
            <v>1</v>
          </cell>
          <cell r="F2720" t="str">
            <v>Bỏ chọn</v>
          </cell>
          <cell r="G2720"/>
          <cell r="H2720"/>
        </row>
        <row r="2721">
          <cell r="A2721" t="str">
            <v>7.52399729906AA</v>
          </cell>
          <cell r="B2721" t="str">
            <v>GREEN VI VI 40KG</v>
          </cell>
          <cell r="C2721" t="str">
            <v>BỘT MÌ HIỆU VI VI XANH LÁ 40KG</v>
          </cell>
          <cell r="D2721" t="str">
            <v>GREEN VI VI 40KG</v>
          </cell>
          <cell r="E2721">
            <v>1</v>
          </cell>
          <cell r="F2721" t="str">
            <v>Bỏ chọn</v>
          </cell>
          <cell r="G2721"/>
          <cell r="H2721"/>
        </row>
        <row r="2722">
          <cell r="A2722" t="str">
            <v>7.52399739906AA</v>
          </cell>
          <cell r="B2722" t="str">
            <v>RED VI VI 40KG</v>
          </cell>
          <cell r="C2722" t="str">
            <v>BỘT MÌ HIỆU VI VI ĐỎ 40KG</v>
          </cell>
          <cell r="D2722" t="str">
            <v>RED VI VI 40KG</v>
          </cell>
          <cell r="E2722">
            <v>1</v>
          </cell>
          <cell r="F2722" t="str">
            <v>Bỏ chọn</v>
          </cell>
          <cell r="G2722"/>
          <cell r="H2722"/>
        </row>
        <row r="2723">
          <cell r="A2723" t="str">
            <v>7.5239981990601</v>
          </cell>
          <cell r="B2723" t="str">
            <v>DUC LE 40KG</v>
          </cell>
          <cell r="C2723" t="str">
            <v>BỘT MÌ HIỆU ĐỨC LỆ 40KG</v>
          </cell>
          <cell r="D2723" t="str">
            <v>DUC LE 40KG</v>
          </cell>
          <cell r="E2723">
            <v>1</v>
          </cell>
          <cell r="F2723" t="str">
            <v>Bỏ chọn</v>
          </cell>
          <cell r="G2723"/>
          <cell r="H2723"/>
        </row>
        <row r="2724">
          <cell r="A2724" t="str">
            <v>7.5239907690601</v>
          </cell>
          <cell r="B2724" t="str">
            <v>GREEN KEY - BANH LE 25KG</v>
          </cell>
          <cell r="C2724" t="str">
            <v>BỘT MÌ HIỆU CHÌA KHOÁ XANH LÁ - BÁNH LỄ 25KG</v>
          </cell>
          <cell r="D2724" t="str">
            <v>GREEN KEY - BANH LE 25KG</v>
          </cell>
          <cell r="E2724">
            <v>1</v>
          </cell>
          <cell r="F2724" t="str">
            <v>Bỏ chọn</v>
          </cell>
          <cell r="G2724"/>
          <cell r="H2724"/>
        </row>
        <row r="2725">
          <cell r="A2725" t="str">
            <v>7.C35055599760151</v>
          </cell>
          <cell r="B2725" t="str">
            <v>POWER100 KITCHEN CLEANER ORANGE SCENT, 580ML X 12 BOTTLES IN CARTON</v>
          </cell>
          <cell r="C2725" t="str">
            <v>NƯỚC LAU BẾP POWER100 HƯƠNG CAM, LOẠI 580ML X 12 CHAI TRONG THÙNG CARTON</v>
          </cell>
          <cell r="D2725" t="str">
            <v>POWER100 KITCHEN CLEANER ORANGE SCENT, 580ML X 12 BOTTLES IN CARTON</v>
          </cell>
          <cell r="E2725">
            <v>6.9</v>
          </cell>
          <cell r="F2725" t="str">
            <v>Bỏ chọn</v>
          </cell>
          <cell r="G2725"/>
          <cell r="H2725"/>
        </row>
        <row r="2726">
          <cell r="A2726" t="str">
            <v>7.C3505559976015101</v>
          </cell>
          <cell r="B2726" t="str">
            <v>POWER100 KITCHEN CLEANER ORANGE SCENT, 580ML</v>
          </cell>
          <cell r="C2726" t="str">
            <v>NƯỚC LAU BẾP POWER100 HƯƠNG CAM, LOẠI 580ML</v>
          </cell>
          <cell r="D2726" t="str">
            <v>POWER100 KITCHEN CLEANER ORANGE SCENT, 580ML</v>
          </cell>
          <cell r="E2726">
            <v>0.57499999999999996</v>
          </cell>
          <cell r="F2726" t="str">
            <v>Bỏ chọn</v>
          </cell>
          <cell r="G2726"/>
          <cell r="H2726"/>
        </row>
        <row r="2727">
          <cell r="A2727" t="str">
            <v>7.1060140333708010</v>
          </cell>
          <cell r="B2727" t="str">
            <v>SATELLITE SHT 47-52 PE BAG@25KG/RSPO MB</v>
          </cell>
          <cell r="C2727" t="str">
            <v>SHORTENING HIỆU SATELLITE 25 KG (RSPO/MB)</v>
          </cell>
          <cell r="D2727" t="str">
            <v>SATELLITE SHT 47-52 PE BAG@25KG/RSPO MB</v>
          </cell>
          <cell r="E2727">
            <v>25</v>
          </cell>
          <cell r="F2727" t="str">
            <v>Chọn</v>
          </cell>
          <cell r="G2727"/>
          <cell r="H2727"/>
        </row>
        <row r="2728">
          <cell r="A2728" t="str">
            <v>7.1340408992901</v>
          </cell>
          <cell r="B2728" t="str">
            <v>MEIZAN BRAND DOUBLE REFINED COCONUT OIL IN BIB BAG 20KG</v>
          </cell>
          <cell r="C2728" t="str">
            <v>DẦU DỪA TINH LUYỆN NHÃN HIỆU MEIZAN TRONG TÚI NHỰA 20KG</v>
          </cell>
          <cell r="D2728" t="str">
            <v>MEIZAN BRAND DOUBLE REFINED COCONUT OIL IN BIB BAG 20KG</v>
          </cell>
          <cell r="E2728">
            <v>20</v>
          </cell>
          <cell r="F2728" t="str">
            <v>Bỏ chọn</v>
          </cell>
          <cell r="G2728"/>
          <cell r="H2728"/>
        </row>
        <row r="2729">
          <cell r="A2729" t="str">
            <v>7.52399373606AA</v>
          </cell>
          <cell r="B2729" t="str">
            <v>BROWN KING SHRIMP 40KG</v>
          </cell>
          <cell r="C2729" t="str">
            <v>BỘT MÌ HIỆU TÔM VUA NÂU 40KG</v>
          </cell>
          <cell r="D2729" t="str">
            <v>BROWN KING SHRIMP 40KG</v>
          </cell>
          <cell r="E2729">
            <v>1</v>
          </cell>
          <cell r="F2729" t="str">
            <v>Bỏ chọn</v>
          </cell>
          <cell r="G2729"/>
          <cell r="H2729"/>
        </row>
        <row r="2730">
          <cell r="A2730" t="str">
            <v>7.52399389907AA</v>
          </cell>
          <cell r="B2730" t="str">
            <v>POLLARD 50KG</v>
          </cell>
          <cell r="C2730" t="str">
            <v>CÁM MÌ HIỆU POLLARD 50KG</v>
          </cell>
          <cell r="D2730" t="str">
            <v>POLLARD 50KG</v>
          </cell>
          <cell r="E2730">
            <v>1</v>
          </cell>
          <cell r="F2730" t="str">
            <v>Bỏ chọn</v>
          </cell>
          <cell r="G2730"/>
          <cell r="H2730"/>
        </row>
        <row r="2731">
          <cell r="A2731" t="str">
            <v>V51.000.098</v>
          </cell>
          <cell r="B2731" t="str">
            <v>COOPMART VOUCHER 200.000VND VALUE WITH VAT</v>
          </cell>
          <cell r="C2731" t="str">
            <v>PHIẾU MUA HÀNG COOPMART 200,000VND SAU VAT</v>
          </cell>
          <cell r="D2731" t="str">
            <v>COOPMART VOUCHER 200.000VND VALUE WITH VAT</v>
          </cell>
          <cell r="E2731">
            <v>0</v>
          </cell>
          <cell r="F2731" t="str">
            <v>Bỏ chọn</v>
          </cell>
          <cell r="G2731"/>
          <cell r="H2731"/>
        </row>
        <row r="2732">
          <cell r="A2732" t="str">
            <v>7.52399149906B1</v>
          </cell>
          <cell r="B2732" t="str">
            <v>RED COMPASS 40 MASAN</v>
          </cell>
          <cell r="C2732" t="str">
            <v>BỘT MÌ HIỆU LA BÀN ĐỎ (40KG)</v>
          </cell>
          <cell r="D2732" t="str">
            <v>RED COMPASS 40 MASAN</v>
          </cell>
          <cell r="E2732">
            <v>1</v>
          </cell>
          <cell r="F2732" t="str">
            <v>Bỏ chọn</v>
          </cell>
          <cell r="G2732"/>
          <cell r="H2732"/>
        </row>
        <row r="2733">
          <cell r="A2733" t="str">
            <v>7.52399049906B1</v>
          </cell>
          <cell r="B2733" t="str">
            <v>BROWN COMPASS 40 MASAN</v>
          </cell>
          <cell r="C2733" t="str">
            <v>BỘT MÌ HIỆU LA BÀN NÂU (40KG)</v>
          </cell>
          <cell r="D2733" t="str">
            <v>BROWN COMPASS 40 MASAN</v>
          </cell>
          <cell r="E2733">
            <v>1</v>
          </cell>
          <cell r="F2733" t="str">
            <v>Bỏ chọn</v>
          </cell>
          <cell r="G2733"/>
          <cell r="H2733"/>
        </row>
        <row r="2734">
          <cell r="A2734" t="str">
            <v>7.A31990899040129</v>
          </cell>
          <cell r="B2734" t="str">
            <v>MEIZAN ALL-PURPOSE TAPIOCA STARCH 10KG</v>
          </cell>
          <cell r="C2734" t="str">
            <v>BỘT NĂNG ĐA DỤNG MEIZAN 10KG</v>
          </cell>
          <cell r="D2734" t="str">
            <v>MEIZAN ALL-PURPOSE TAPIOCA STARCH 10KG</v>
          </cell>
          <cell r="E2734">
            <v>10</v>
          </cell>
          <cell r="F2734" t="str">
            <v>Bỏ chọn</v>
          </cell>
          <cell r="G2734"/>
          <cell r="H2734"/>
        </row>
        <row r="2735">
          <cell r="A2735" t="str">
            <v>7.B25080899040105</v>
          </cell>
          <cell r="B2735" t="str">
            <v>MEIZAN PORK BOUILLON GRANULE 10KG X 2 PAC/BAG</v>
          </cell>
          <cell r="C2735" t="str">
            <v>HẠT NÊM MEIZAN THỊT, XƯƠNG ỐNG, TỦY, CÀ RỐT – VỊ HEO 10KG X 2 TÚI/BAO</v>
          </cell>
          <cell r="D2735" t="str">
            <v>MEIZAN PORK BOUILLON GRANULE 10KG X 2 PAC/BAG</v>
          </cell>
          <cell r="E2735">
            <v>20</v>
          </cell>
          <cell r="F2735" t="str">
            <v>Bỏ chọn</v>
          </cell>
          <cell r="G2735" t="str">
            <v>2000000008</v>
          </cell>
          <cell r="H2735" t="str">
            <v>7.B2508089904010501</v>
          </cell>
        </row>
        <row r="2736">
          <cell r="A2736" t="str">
            <v>7.B2508089904010501</v>
          </cell>
          <cell r="B2736" t="str">
            <v>MEIZAN PORK BOUILLON GRANULE 10KG</v>
          </cell>
          <cell r="C2736" t="str">
            <v>HẠT NÊM MEIZAN THỊT, XƯƠNG ỐNG, TỦY, CÀ RỐT – VỊ HEO 10KG</v>
          </cell>
          <cell r="D2736" t="str">
            <v>MEIZAN PORK BOUILLON GRANULE 10KG</v>
          </cell>
          <cell r="E2736">
            <v>10</v>
          </cell>
          <cell r="F2736" t="str">
            <v>Bỏ chọn</v>
          </cell>
          <cell r="G2736" t="str">
            <v>2000000008</v>
          </cell>
          <cell r="H2736"/>
        </row>
        <row r="2737">
          <cell r="A2737" t="str">
            <v>6.70549</v>
          </cell>
          <cell r="B2737" t="str">
            <v>SODIUM LAURYL ETHER SULFATE IN HDPE DRUM 165KG</v>
          </cell>
          <cell r="C2737" t="str">
            <v>CHẤT HOẠT ĐỘNG BỀ MẶT - SODIUM LAURYL ETHER SULFATE ĐÓNG TRONG PHUY HDPE 165KG</v>
          </cell>
          <cell r="D2737" t="str">
            <v>SODIUM LAURYL ETHER SULFATE IN HDPE DRUM 165KG</v>
          </cell>
          <cell r="E2737">
            <v>1</v>
          </cell>
          <cell r="F2737" t="str">
            <v>Chọn</v>
          </cell>
          <cell r="G2737"/>
          <cell r="H2737"/>
        </row>
        <row r="2738">
          <cell r="A2738" t="str">
            <v>V51.00A.039</v>
          </cell>
          <cell r="B2738" t="str">
            <v>3-TIER IRON DISPLAY RACK</v>
          </cell>
          <cell r="C2738" t="str">
            <v>KỆ SẮT BA TẦNG TRƯNG BÀY SẢN PHẦM</v>
          </cell>
          <cell r="D2738" t="str">
            <v>3-TIER IRON DISPLAY RACK</v>
          </cell>
          <cell r="E2738">
            <v>0</v>
          </cell>
          <cell r="F2738" t="str">
            <v>Bỏ chọn</v>
          </cell>
          <cell r="G2738"/>
          <cell r="H2738"/>
        </row>
        <row r="2739">
          <cell r="A2739" t="str">
            <v>V51.00A.040</v>
          </cell>
          <cell r="B2739" t="str">
            <v>WINDOWFRAME -01</v>
          </cell>
          <cell r="C2739" t="str">
            <v>KHUNG TRƯNG BÀY MỨC 1</v>
          </cell>
          <cell r="D2739" t="str">
            <v>WINDOWFRAME -01</v>
          </cell>
          <cell r="E2739">
            <v>0</v>
          </cell>
          <cell r="F2739" t="str">
            <v>Bỏ chọn</v>
          </cell>
          <cell r="G2739"/>
          <cell r="H2739"/>
        </row>
        <row r="2740">
          <cell r="A2740" t="str">
            <v>V51.00A.041</v>
          </cell>
          <cell r="B2740" t="str">
            <v>WINDOWFRAME -02 NORTH</v>
          </cell>
          <cell r="C2740" t="str">
            <v>KHUNG TRƯNG BÀY MỨC 2 - MIỀN BẮC</v>
          </cell>
          <cell r="D2740" t="str">
            <v>WINDOWFRAME -02 NORTH</v>
          </cell>
          <cell r="E2740">
            <v>0</v>
          </cell>
          <cell r="F2740" t="str">
            <v>Bỏ chọn</v>
          </cell>
          <cell r="G2740"/>
          <cell r="H2740"/>
        </row>
        <row r="2741">
          <cell r="A2741" t="str">
            <v>V51.00A.042</v>
          </cell>
          <cell r="B2741" t="str">
            <v>WINDOWFRAME -02 SOUTH</v>
          </cell>
          <cell r="C2741" t="str">
            <v>KHUNG TRƯNG BÀY MỨC 2 - MIỀN NAM</v>
          </cell>
          <cell r="D2741" t="str">
            <v>WINDOWFRAME -02 SOUTH</v>
          </cell>
          <cell r="E2741">
            <v>0</v>
          </cell>
          <cell r="F2741" t="str">
            <v>Bỏ chọn</v>
          </cell>
          <cell r="G2741"/>
          <cell r="H2741"/>
        </row>
        <row r="2742">
          <cell r="A2742" t="str">
            <v>V51.00A.043</v>
          </cell>
          <cell r="B2742" t="str">
            <v>WINDOWFRAME -03</v>
          </cell>
          <cell r="C2742" t="str">
            <v>KHUNG TRƯNG BÀY MỨC 3</v>
          </cell>
          <cell r="D2742" t="str">
            <v>WINDOWFRAME -03</v>
          </cell>
          <cell r="E2742">
            <v>0</v>
          </cell>
          <cell r="F2742" t="str">
            <v>Bỏ chọn</v>
          </cell>
          <cell r="G2742"/>
          <cell r="H2742"/>
        </row>
        <row r="2743">
          <cell r="A2743" t="str">
            <v>6.1231002</v>
          </cell>
          <cell r="B2743" t="str">
            <v>DOUBLE REFINED COCONUT OIL</v>
          </cell>
          <cell r="C2743" t="str">
            <v>DẦU DỪA TINH LUYỆN TRONG XE BỒN</v>
          </cell>
          <cell r="D2743" t="str">
            <v>DOUBLE REFINED COCONUT OIL</v>
          </cell>
          <cell r="E2743">
            <v>1</v>
          </cell>
          <cell r="F2743" t="str">
            <v>Chọn</v>
          </cell>
          <cell r="G2743"/>
          <cell r="H2743"/>
        </row>
        <row r="2744">
          <cell r="A2744" t="str">
            <v>7.A319910992901TD</v>
          </cell>
          <cell r="B2744" t="str">
            <v>SOYBEAN POWDER IN PAPER PAG 20KG</v>
          </cell>
          <cell r="C2744" t="str">
            <v>BỘT ĐẬU NÀNH ĐÓNG TRONG BAO GIẤY 20KG</v>
          </cell>
          <cell r="D2744" t="str">
            <v>SOYBEAN POWDER IN PAPER PAG 20KG</v>
          </cell>
          <cell r="E2744">
            <v>20</v>
          </cell>
          <cell r="F2744" t="str">
            <v>Bỏ chọn</v>
          </cell>
          <cell r="G2744"/>
          <cell r="H2744"/>
        </row>
        <row r="2745">
          <cell r="A2745" t="str">
            <v>V39.000.060</v>
          </cell>
          <cell r="B2745" t="str">
            <v>MEADOW FRESH APRON</v>
          </cell>
          <cell r="C2745" t="str">
            <v>TẠP DỀ MEADOW FRESH</v>
          </cell>
          <cell r="D2745" t="str">
            <v>MEADOW FRESH APRON</v>
          </cell>
          <cell r="E2745">
            <v>0</v>
          </cell>
          <cell r="F2745" t="str">
            <v>Chọn</v>
          </cell>
          <cell r="G2745"/>
          <cell r="H2745"/>
        </row>
        <row r="2746">
          <cell r="A2746" t="str">
            <v>V39.000.061</v>
          </cell>
          <cell r="B2746" t="str">
            <v>MEADOW FRESH TRAY</v>
          </cell>
          <cell r="C2746" t="str">
            <v>KHAY MEADOW FRESH</v>
          </cell>
          <cell r="D2746" t="str">
            <v>MEADOW FRESH TRAY</v>
          </cell>
          <cell r="E2746">
            <v>0</v>
          </cell>
          <cell r="F2746" t="str">
            <v>Chọn</v>
          </cell>
          <cell r="G2746"/>
          <cell r="H2746"/>
        </row>
        <row r="2747">
          <cell r="A2747" t="str">
            <v>V51.000.099</v>
          </cell>
          <cell r="B2747" t="str">
            <v xml:space="preserve">MEADOW FRESH MICA TABLE TENT CARD_x000D_
</v>
          </cell>
          <cell r="C2747" t="str">
            <v>BẢNG THÔNG BÁO MICA ĐỂ BÀN MEADOW FRESH</v>
          </cell>
          <cell r="D2747" t="str">
            <v>MEADOW FRESH MICA TABLE TENT CARD</v>
          </cell>
          <cell r="E2747">
            <v>0</v>
          </cell>
          <cell r="F2747" t="str">
            <v>Chọn</v>
          </cell>
          <cell r="G2747"/>
          <cell r="H2747"/>
        </row>
        <row r="2748">
          <cell r="A2748" t="str">
            <v>V51.000.100</v>
          </cell>
          <cell r="B2748" t="str">
            <v>MEADOW FRESH CRAYON PAINTING SET</v>
          </cell>
          <cell r="C2748" t="str">
            <v>BỘ TRANH TÔ CHÌ MÀU MEADOW FRESH</v>
          </cell>
          <cell r="D2748" t="str">
            <v>MEADOW FRESH CRAYON PAINTING SET</v>
          </cell>
          <cell r="E2748">
            <v>0</v>
          </cell>
          <cell r="F2748" t="str">
            <v>Chọn</v>
          </cell>
          <cell r="G2748"/>
          <cell r="H2748"/>
        </row>
        <row r="2749">
          <cell r="A2749" t="str">
            <v>V51.000.101</v>
          </cell>
          <cell r="B2749" t="str">
            <v>MEADOW FRESH FUNNY PENCIL</v>
          </cell>
          <cell r="C2749" t="str">
            <v>BÚT CHÌ ĐẦU THÚ MEADOW FRESH</v>
          </cell>
          <cell r="D2749" t="str">
            <v>MEADOW FRESH FUNNY PENCIL</v>
          </cell>
          <cell r="E2749">
            <v>0</v>
          </cell>
          <cell r="F2749" t="str">
            <v>Bỏ chọn</v>
          </cell>
          <cell r="G2749"/>
          <cell r="H2749"/>
        </row>
        <row r="2750">
          <cell r="A2750" t="str">
            <v>7.131087031705H10TD</v>
          </cell>
          <cell r="B2750" t="str">
            <v>CO-NEPTUNE LIGHT 1L X 12 BTL</v>
          </cell>
          <cell r="C2750" t="str">
            <v>DẦU ĂN THƯỢNG HẠNG NHÃN HIỆU NEPTUNE LIGHT 1L</v>
          </cell>
          <cell r="D2750" t="str">
            <v>CO-NEPTUNE LIGHT 1L X 12 BTL</v>
          </cell>
          <cell r="E2750">
            <v>10.92</v>
          </cell>
          <cell r="F2750" t="str">
            <v>Bỏ chọn</v>
          </cell>
          <cell r="G2750"/>
          <cell r="H2750"/>
        </row>
        <row r="2751">
          <cell r="A2751" t="str">
            <v>7.B24106333020199</v>
          </cell>
          <cell r="B2751" t="str">
            <v>MAYONNAISE 1KG X 12 BOX/CAR</v>
          </cell>
          <cell r="C2751" t="str">
            <v>MAYONNAISE 1KG X 12 HỘP/THÙNG</v>
          </cell>
          <cell r="D2751" t="str">
            <v>MAYONNAISE 1KG X 12 BOX/CAR</v>
          </cell>
          <cell r="E2751">
            <v>12</v>
          </cell>
          <cell r="F2751" t="str">
            <v>Bỏ chọn</v>
          </cell>
          <cell r="G2751" t="str">
            <v>2000000008</v>
          </cell>
          <cell r="H2751" t="str">
            <v>7.B2410633302019901</v>
          </cell>
        </row>
        <row r="2752">
          <cell r="A2752" t="str">
            <v>7.B2410633302019901</v>
          </cell>
          <cell r="B2752" t="str">
            <v>MAYONNAISE 1KG</v>
          </cell>
          <cell r="C2752" t="str">
            <v>MAYONNAISE 1KG</v>
          </cell>
          <cell r="D2752" t="str">
            <v>MAYONNAISE 1KG</v>
          </cell>
          <cell r="E2752">
            <v>1</v>
          </cell>
          <cell r="F2752" t="str">
            <v>Bỏ chọn</v>
          </cell>
          <cell r="G2752" t="str">
            <v>2000000008</v>
          </cell>
          <cell r="H2752"/>
        </row>
        <row r="2753">
          <cell r="A2753" t="str">
            <v>7.52399129905B2</v>
          </cell>
          <cell r="B2753" t="str">
            <v>PINK KEY - VFK 25KG</v>
          </cell>
          <cell r="C2753" t="str">
            <v>BỘT MÌ HIỆU CHÌA KHÓA HỒNG 25KG</v>
          </cell>
          <cell r="D2753" t="str">
            <v>PINK KEY - VFK 25KG</v>
          </cell>
          <cell r="E2753">
            <v>1</v>
          </cell>
          <cell r="F2753" t="str">
            <v>Bỏ chọn</v>
          </cell>
          <cell r="G2753"/>
          <cell r="H2753"/>
        </row>
        <row r="2754">
          <cell r="A2754" t="str">
            <v>7.52399079905B3</v>
          </cell>
          <cell r="B2754" t="str">
            <v>GREEN KEY - ORION 25KG</v>
          </cell>
          <cell r="C2754" t="str">
            <v>BỘT MÌ HIỆU CHÌA KHÓA XANH LÁ 25KG</v>
          </cell>
          <cell r="D2754" t="str">
            <v>GREEN KEY - ORION 25KG</v>
          </cell>
          <cell r="E2754">
            <v>1</v>
          </cell>
          <cell r="F2754" t="str">
            <v>Bỏ chọn</v>
          </cell>
          <cell r="G2754"/>
          <cell r="H2754"/>
        </row>
        <row r="2755">
          <cell r="A2755" t="str">
            <v>7.C35015599A4012801</v>
          </cell>
          <cell r="B2755" t="str">
            <v>POWER100 DISHWASHING LIQUID NATURAL, 250ML</v>
          </cell>
          <cell r="C2755" t="str">
            <v>NƯỚC RỬA CHÉN POWER100 NATURAL, LOẠI 250ML</v>
          </cell>
          <cell r="D2755" t="str">
            <v>POWER100 DISHWASHING LIQUID NATURAL, 250ML</v>
          </cell>
          <cell r="E2755">
            <v>0</v>
          </cell>
          <cell r="F2755" t="str">
            <v>Bỏ chọn</v>
          </cell>
          <cell r="G2755"/>
          <cell r="H2755"/>
        </row>
        <row r="2756">
          <cell r="A2756" t="str">
            <v>V51.000.102</v>
          </cell>
          <cell r="B2756" t="str">
            <v>POWER100 MOCKUP BOTTLE, 830ML</v>
          </cell>
          <cell r="C2756" t="str">
            <v>CHAI NHỰA MOCKUP POWER100 NATURAL, LOẠI 830ML</v>
          </cell>
          <cell r="D2756" t="str">
            <v>POWER100 MOCKUP BOTTLE, 830ML</v>
          </cell>
          <cell r="E2756">
            <v>0.2</v>
          </cell>
          <cell r="F2756" t="str">
            <v>Bỏ chọn</v>
          </cell>
          <cell r="G2756"/>
          <cell r="H2756"/>
        </row>
        <row r="2757">
          <cell r="A2757" t="str">
            <v>7.B24028299670199</v>
          </cell>
          <cell r="B2757" t="str">
            <v>SACHET CHILI 10G (TPC) X 1.200 PAC / CARTON</v>
          </cell>
          <cell r="C2757" t="str">
            <v>TƯƠNG ỚT THE PIZZA COMPANY 10G X 1.200 GÓI / THÙNG</v>
          </cell>
          <cell r="D2757" t="str">
            <v>SACHET CHILI 10G (TPC) X 1.200 PAC / CARTON</v>
          </cell>
          <cell r="E2757">
            <v>12</v>
          </cell>
          <cell r="F2757" t="str">
            <v>Bỏ chọn</v>
          </cell>
          <cell r="G2757" t="str">
            <v>2000000008</v>
          </cell>
          <cell r="H2757" t="str">
            <v>7.B2402829967019901</v>
          </cell>
        </row>
        <row r="2758">
          <cell r="A2758" t="str">
            <v>7.B2402829967019901</v>
          </cell>
          <cell r="B2758" t="str">
            <v>SACHET CHILI 10G (TPC)</v>
          </cell>
          <cell r="C2758" t="str">
            <v>TƯƠNG ỚT THE PIZZA COMPANY 10G</v>
          </cell>
          <cell r="D2758" t="str">
            <v>SACHET CHILI 10G (TPC)</v>
          </cell>
          <cell r="E2758">
            <v>0.01</v>
          </cell>
          <cell r="F2758" t="str">
            <v>Bỏ chọn</v>
          </cell>
          <cell r="G2758" t="str">
            <v>2000000008</v>
          </cell>
          <cell r="H2758"/>
        </row>
        <row r="2759">
          <cell r="A2759" t="str">
            <v>7.B2407829967011601</v>
          </cell>
          <cell r="B2759" t="str">
            <v>SACHET KETCHUP 10G (TPC)</v>
          </cell>
          <cell r="C2759" t="str">
            <v>TƯƠNG CÀ THE PIZZA COMPANY 10G</v>
          </cell>
          <cell r="D2759" t="str">
            <v>SACHET KETCHUP 10G (TPC)</v>
          </cell>
          <cell r="E2759">
            <v>0.01</v>
          </cell>
          <cell r="F2759" t="str">
            <v>Bỏ chọn</v>
          </cell>
          <cell r="G2759" t="str">
            <v>2000000008</v>
          </cell>
          <cell r="H2759"/>
        </row>
        <row r="2760">
          <cell r="A2760" t="str">
            <v>7.B24078299670116</v>
          </cell>
          <cell r="B2760" t="str">
            <v>SACHET KETCHUP 10G (TPC) X 1.200 PAC / CARTON</v>
          </cell>
          <cell r="C2760" t="str">
            <v>TƯƠNG CÀ THE PIZZA COMPANY 10G X 1.200 GÓI / THÙNG</v>
          </cell>
          <cell r="D2760" t="str">
            <v>SACHET KETCHUP 10G (TPC) X 1.200 PAC / CARTON</v>
          </cell>
          <cell r="E2760">
            <v>12</v>
          </cell>
          <cell r="F2760" t="str">
            <v>Bỏ chọn</v>
          </cell>
          <cell r="G2760" t="str">
            <v>2000000008</v>
          </cell>
          <cell r="H2760" t="str">
            <v>7.B2407829967011601</v>
          </cell>
        </row>
        <row r="2761">
          <cell r="A2761" t="str">
            <v>7.B24078299160116</v>
          </cell>
          <cell r="B2761" t="str">
            <v>KETCHUP 265G (TPC) X 24 BOTTLES / CARTON</v>
          </cell>
          <cell r="C2761" t="str">
            <v>TƯƠNG CÀ THE PIZZA COMPANY 265G X 24 CHAI / THÙNG</v>
          </cell>
          <cell r="D2761" t="str">
            <v>KETCHUP 265G (TPC) X 24 BOTTLES / CARTON</v>
          </cell>
          <cell r="E2761">
            <v>6.36</v>
          </cell>
          <cell r="F2761" t="str">
            <v>Bỏ chọn</v>
          </cell>
          <cell r="G2761" t="str">
            <v>2000000008</v>
          </cell>
          <cell r="H2761" t="str">
            <v>7.B2407829916011601</v>
          </cell>
        </row>
        <row r="2762">
          <cell r="A2762" t="str">
            <v>7.B2407829916011601</v>
          </cell>
          <cell r="B2762" t="str">
            <v>KETCHUP 265G (TPC)</v>
          </cell>
          <cell r="C2762" t="str">
            <v>TƯƠNG CÀ THE PIZZA COMPANY 265G</v>
          </cell>
          <cell r="D2762" t="str">
            <v>KETCHUP 265G (TPC)</v>
          </cell>
          <cell r="E2762">
            <v>0.26500000000000001</v>
          </cell>
          <cell r="F2762" t="str">
            <v>Bỏ chọn</v>
          </cell>
          <cell r="G2762" t="str">
            <v>2000000008</v>
          </cell>
          <cell r="H2762"/>
        </row>
        <row r="2763">
          <cell r="A2763" t="str">
            <v>7.B24028299180199</v>
          </cell>
          <cell r="B2763" t="str">
            <v>CHILI SAUCE 250G (TPC) X 24 BOTTLES / CARTON</v>
          </cell>
          <cell r="C2763" t="str">
            <v>TƯƠNG ỚT THE PIZZA COMPANY 250G X 24 CHAI / THÙNG</v>
          </cell>
          <cell r="D2763" t="str">
            <v>CHILI SAUCE 250G (TPC) X 24 BOTTLES / CARTON</v>
          </cell>
          <cell r="E2763">
            <v>6</v>
          </cell>
          <cell r="F2763" t="str">
            <v>Bỏ chọn</v>
          </cell>
          <cell r="G2763" t="str">
            <v>2000000008</v>
          </cell>
          <cell r="H2763" t="str">
            <v>7.B2402829918019901</v>
          </cell>
        </row>
        <row r="2764">
          <cell r="A2764" t="str">
            <v>7.B2402829918019901</v>
          </cell>
          <cell r="B2764" t="str">
            <v>CHILI SAUCE 250G (TPC)</v>
          </cell>
          <cell r="C2764" t="str">
            <v>TƯƠNG ỚT THE PIZZA COMPANY 250G</v>
          </cell>
          <cell r="D2764" t="str">
            <v>CHILI SAUCE 250G (TPC)</v>
          </cell>
          <cell r="E2764">
            <v>0.25</v>
          </cell>
          <cell r="F2764" t="str">
            <v>Bỏ chọn</v>
          </cell>
          <cell r="G2764" t="str">
            <v>2000000008</v>
          </cell>
          <cell r="H2764"/>
        </row>
        <row r="2765">
          <cell r="A2765" t="str">
            <v>7.A31998399A501TD</v>
          </cell>
          <cell r="B2765" t="str">
            <v>WW CAKE IN A CUP DOUBLE CHOC 6X220G</v>
          </cell>
          <cell r="C2765" t="str">
            <v>BỘT LÀM BÁNH HƯƠNG VỊ SÔ-CÔ-LA THƯƠNG HIỆU WHITE WINGS 6X220G</v>
          </cell>
          <cell r="D2765" t="str">
            <v>WW CAKE IN A CUP DOUBLE CHOC 6X220G</v>
          </cell>
          <cell r="E2765">
            <v>1.32</v>
          </cell>
          <cell r="F2765" t="str">
            <v>Bỏ chọn</v>
          </cell>
          <cell r="G2765"/>
          <cell r="H2765"/>
        </row>
        <row r="2766">
          <cell r="A2766" t="str">
            <v>7.A319983991801TD</v>
          </cell>
          <cell r="B2766" t="str">
            <v>WW DONUT BITES 6X250G</v>
          </cell>
          <cell r="C2766" t="str">
            <v>BỘT LÀM BÁNH DONUT THƯƠNG HIỆU WHITE WINGS 6X250G</v>
          </cell>
          <cell r="D2766" t="str">
            <v>WW DONUT BITES 6X250G</v>
          </cell>
          <cell r="E2766">
            <v>1.5</v>
          </cell>
          <cell r="F2766" t="str">
            <v>Bỏ chọn</v>
          </cell>
          <cell r="G2766"/>
          <cell r="H2766"/>
        </row>
        <row r="2767">
          <cell r="A2767" t="str">
            <v>7.A310684996101TD</v>
          </cell>
          <cell r="B2767" t="str">
            <v>KREAM CORNFLOUR 6X300G SFP</v>
          </cell>
          <cell r="C2767" t="str">
            <v>BỘT BẮP THƯƠNG HIỆU KREAM 6X300G</v>
          </cell>
          <cell r="D2767" t="str">
            <v>KREAM CORNFLOUR 6X300G SFP</v>
          </cell>
          <cell r="E2767">
            <v>1.8</v>
          </cell>
          <cell r="F2767" t="str">
            <v>Bỏ chọn</v>
          </cell>
          <cell r="G2767"/>
          <cell r="H2767"/>
        </row>
        <row r="2768">
          <cell r="A2768" t="str">
            <v>7.A310685996101TD</v>
          </cell>
          <cell r="B2768" t="str">
            <v>FIELDERS CORNFLOUR 6X300G</v>
          </cell>
          <cell r="C2768" t="str">
            <v>BỘT BẮP THƯƠNG HIỆU FIELDERS 6X300G</v>
          </cell>
          <cell r="D2768" t="str">
            <v>FIELDERS CORNFLOUR 6X300G</v>
          </cell>
          <cell r="E2768">
            <v>1.8</v>
          </cell>
          <cell r="F2768" t="str">
            <v>Bỏ chọn</v>
          </cell>
          <cell r="G2768"/>
          <cell r="H2768"/>
        </row>
        <row r="2769">
          <cell r="A2769" t="str">
            <v>7.A31998399A601TD</v>
          </cell>
          <cell r="B2769" t="str">
            <v>WW BROWNIE CHOC CHUNK 4X475G</v>
          </cell>
          <cell r="C2769" t="str">
            <v>BỘT LÀM BÁNH BROWNIE SÔ-CÔ-LA THƯƠNG HIỆU WHITE WINGS 4X475G</v>
          </cell>
          <cell r="D2769" t="str">
            <v>WW BROWNIE CHOC CHUNK 4X475G</v>
          </cell>
          <cell r="E2769">
            <v>1.9</v>
          </cell>
          <cell r="F2769" t="str">
            <v>Bỏ chọn</v>
          </cell>
          <cell r="G2769"/>
          <cell r="H2769"/>
        </row>
        <row r="2770">
          <cell r="A2770" t="str">
            <v>7.A31998399A701TD</v>
          </cell>
          <cell r="B2770" t="str">
            <v>WW CHOCOLATE CHIP COOKIE 4X485G</v>
          </cell>
          <cell r="C2770" t="str">
            <v>BỘT LÀM BÁNH COOKIE SÔ-CÔ-LA THƯƠNG HIỆU WHITE WINGS 4X485G</v>
          </cell>
          <cell r="D2770" t="str">
            <v>WW CHOCOLATE CHIP COOKIE 4X485G</v>
          </cell>
          <cell r="E2770">
            <v>1.94</v>
          </cell>
          <cell r="F2770" t="str">
            <v>Bỏ chọn</v>
          </cell>
          <cell r="G2770"/>
          <cell r="H2770"/>
        </row>
        <row r="2771">
          <cell r="A2771" t="str">
            <v>7.A31998399A801TD</v>
          </cell>
          <cell r="B2771" t="str">
            <v>WW CUP CAKES CHOCOLATE 4X410G</v>
          </cell>
          <cell r="C2771" t="str">
            <v>BỘT LÀM BÁNH HƯƠNG VỊ SÔ-CÔ-LA THƯƠNG HIỆU WHITE WINGS 4X410G</v>
          </cell>
          <cell r="D2771" t="str">
            <v>WW CUP CAKES CHOCOLATE 4X410G</v>
          </cell>
          <cell r="E2771">
            <v>1.64</v>
          </cell>
          <cell r="F2771" t="str">
            <v>Bỏ chọn</v>
          </cell>
          <cell r="G2771"/>
          <cell r="H2771"/>
        </row>
        <row r="2772">
          <cell r="A2772" t="str">
            <v>7.A319983995701TD</v>
          </cell>
          <cell r="B2772" t="str">
            <v>WW MUFFINS TRIPLE CHOC 4X550G</v>
          </cell>
          <cell r="C2772" t="str">
            <v>BỘT LÀM BÁNH MUFFINS SÔ-CÔ-LA THƯƠNG HIỆU WHITE WINGS 4X550G</v>
          </cell>
          <cell r="D2772" t="str">
            <v>WW MUFFINS TRIPLE CHOC 4X550G</v>
          </cell>
          <cell r="E2772">
            <v>2.2000000000000002</v>
          </cell>
          <cell r="F2772" t="str">
            <v>Bỏ chọn</v>
          </cell>
          <cell r="G2772"/>
          <cell r="H2772"/>
        </row>
        <row r="2773">
          <cell r="A2773" t="str">
            <v>7.A319983998301TD</v>
          </cell>
          <cell r="B2773" t="str">
            <v>SHAKER PANCAKES ORIGINAL 6X350G</v>
          </cell>
          <cell r="C2773" t="str">
            <v>BỘT LÀM BÁNH PANCAKES VỊ TRUYỀN THỐNG 6X350G</v>
          </cell>
          <cell r="D2773" t="str">
            <v>SHAKER PANCAKES ORIGINAL 6X350G</v>
          </cell>
          <cell r="E2773">
            <v>2.1</v>
          </cell>
          <cell r="F2773" t="str">
            <v>Bỏ chọn</v>
          </cell>
          <cell r="G2773"/>
          <cell r="H2773"/>
        </row>
        <row r="2774">
          <cell r="A2774" t="str">
            <v>7.A31998399A901TD</v>
          </cell>
          <cell r="B2774" t="str">
            <v>PAVLOVA MAGIC 6X125G</v>
          </cell>
          <cell r="C2774" t="str">
            <v>BỘT LÀM BÁNH PAVLOVA MAGIC 6X125G</v>
          </cell>
          <cell r="D2774" t="str">
            <v>PAVLOVA MAGIC 6X125G</v>
          </cell>
          <cell r="E2774">
            <v>0.75</v>
          </cell>
          <cell r="F2774" t="str">
            <v>Bỏ chọn</v>
          </cell>
          <cell r="G2774"/>
          <cell r="H2774"/>
        </row>
        <row r="2775">
          <cell r="A2775" t="str">
            <v>7.A310686996101TD</v>
          </cell>
          <cell r="B2775" t="str">
            <v>YLC CORNFLOUR 12X300G</v>
          </cell>
          <cell r="C2775" t="str">
            <v>BỘT BẮP THƯƠNG HIỆU YLC 12X300G</v>
          </cell>
          <cell r="D2775" t="str">
            <v>YLC CORNFLOUR 12X300G</v>
          </cell>
          <cell r="E2775">
            <v>3.6</v>
          </cell>
          <cell r="F2775" t="str">
            <v>Bỏ chọn</v>
          </cell>
          <cell r="G2775"/>
          <cell r="H2775"/>
        </row>
        <row r="2776">
          <cell r="A2776" t="str">
            <v>7.A310683996101TD</v>
          </cell>
          <cell r="B2776" t="str">
            <v>WW CORNFLOUR 12X300G</v>
          </cell>
          <cell r="C2776" t="str">
            <v>BỘT BẮP THƯƠNG HIỆU WHITE WINGS 12X300G</v>
          </cell>
          <cell r="D2776" t="str">
            <v>WW CORNFLOUR 12X300G</v>
          </cell>
          <cell r="E2776">
            <v>3.6</v>
          </cell>
          <cell r="F2776" t="str">
            <v>Bỏ chọn</v>
          </cell>
          <cell r="G2776"/>
          <cell r="H2776"/>
        </row>
        <row r="2777">
          <cell r="A2777" t="str">
            <v>7.A31998399B001TD</v>
          </cell>
          <cell r="B2777" t="str">
            <v>WW H/BURGER HELPER12X110G</v>
          </cell>
          <cell r="C2777" t="str">
            <v>BỘT LÀM BÁNH HAMBURGER THƯƠNG HIỆU WHITE WINGS 12X110G</v>
          </cell>
          <cell r="D2777" t="str">
            <v>WW H/BURGER HELPER12X110G</v>
          </cell>
          <cell r="E2777">
            <v>1.32</v>
          </cell>
          <cell r="F2777" t="str">
            <v>Bỏ chọn</v>
          </cell>
          <cell r="G2777"/>
          <cell r="H2777"/>
        </row>
        <row r="2778">
          <cell r="A2778" t="str">
            <v>7.A31998399B101TD</v>
          </cell>
          <cell r="B2778" t="str">
            <v>WW CAKE IN A CUP DOUB CHOC SACHET 12X55G</v>
          </cell>
          <cell r="C2778" t="str">
            <v>BỘT LÀM BÁNH HƯƠNG VỊ SÔ-CÔ-LA THƯƠNG HIỆU WHITE WINGS 12X55G</v>
          </cell>
          <cell r="D2778" t="str">
            <v>WW CAKE IN A CUP DOUB CHOC SACHET 12X55G</v>
          </cell>
          <cell r="E2778">
            <v>0.66</v>
          </cell>
          <cell r="F2778" t="str">
            <v>Bỏ chọn</v>
          </cell>
          <cell r="G2778"/>
          <cell r="H2778"/>
        </row>
        <row r="2779">
          <cell r="A2779" t="str">
            <v>7.A31998399A001TD</v>
          </cell>
          <cell r="B2779" t="str">
            <v>WW CHOC PROFITEROLE 4X230G</v>
          </cell>
          <cell r="C2779" t="str">
            <v>BỘT LÀM BÁNH KẸP KEM HƯƠNG VỊ SÔ-CÔ-LA THƯƠNG HIỆU WHITE WINGS 4X230G</v>
          </cell>
          <cell r="D2779" t="str">
            <v>WW CHOC PROFITEROLE 4X230G</v>
          </cell>
          <cell r="E2779">
            <v>0.92</v>
          </cell>
          <cell r="F2779" t="str">
            <v>Bỏ chọn</v>
          </cell>
          <cell r="G2779"/>
          <cell r="H2779"/>
        </row>
        <row r="2780">
          <cell r="A2780" t="str">
            <v>7.A31998799B201TD</v>
          </cell>
          <cell r="B2780" t="str">
            <v>EDMONDS DOUBLE CHOC FUDGE BROWNIES 4X560</v>
          </cell>
          <cell r="C2780" t="str">
            <v>BỘT LÀM BÁNH BROWNIE SÔ-CÔ-LA THƯƠNG HIỆU EDMONS 4X560G</v>
          </cell>
          <cell r="D2780" t="str">
            <v>EDMONDS DOUBLE CHOC FUDGE BROWNIES 4X560</v>
          </cell>
          <cell r="E2780">
            <v>2.2400000000000002</v>
          </cell>
          <cell r="F2780" t="str">
            <v>Bỏ chọn</v>
          </cell>
          <cell r="G2780"/>
          <cell r="H2780"/>
        </row>
        <row r="2781">
          <cell r="A2781" t="str">
            <v>7.A31998799A701TD</v>
          </cell>
          <cell r="B2781" t="str">
            <v>EDM CHOCOLATE CHIP COOKIE 4X485G</v>
          </cell>
          <cell r="C2781" t="str">
            <v>BỘT LÀM BÁNH COOKIE SÔ-CÔ-LA THƯƠNG HIỆU EDMONS 4X485G</v>
          </cell>
          <cell r="D2781" t="str">
            <v>EDM CHOCOLATE CHIP COOKIE 4X485G</v>
          </cell>
          <cell r="E2781">
            <v>1.94</v>
          </cell>
          <cell r="F2781" t="str">
            <v>Bỏ chọn</v>
          </cell>
          <cell r="G2781"/>
          <cell r="H2781"/>
        </row>
        <row r="2782">
          <cell r="A2782" t="str">
            <v>7.A319987996101TD</v>
          </cell>
          <cell r="B2782" t="str">
            <v>EDM CUSTARD POWDER 12X300G</v>
          </cell>
          <cell r="C2782" t="str">
            <v>BỘT LÀM BÁNH CUSTARD THƯƠNG HIỆU EDMONDS 12X300G</v>
          </cell>
          <cell r="D2782" t="str">
            <v>EDM CUSTARD POWDER 12X300G</v>
          </cell>
          <cell r="E2782">
            <v>3.6</v>
          </cell>
          <cell r="F2782" t="str">
            <v>Bỏ chọn</v>
          </cell>
          <cell r="G2782"/>
          <cell r="H2782"/>
        </row>
        <row r="2783">
          <cell r="A2783" t="str">
            <v>7.A310783996901TD</v>
          </cell>
          <cell r="B2783" t="str">
            <v>WW GLUTEN FREE SELF RAISING FLOUR 5X750G</v>
          </cell>
          <cell r="C2783" t="str">
            <v>BỘT NỞ HỖ TRỢ LÀM BÁNH GLUTEN FREE THƯƠNG HIỆU WHITE WINGS 5X750G</v>
          </cell>
          <cell r="D2783" t="str">
            <v>WW GLUTEN FREE SELF RAISING FLOUR 5X750G</v>
          </cell>
          <cell r="E2783">
            <v>3.75</v>
          </cell>
          <cell r="F2783" t="str">
            <v>Bỏ chọn</v>
          </cell>
          <cell r="G2783"/>
          <cell r="H2783"/>
        </row>
        <row r="2784">
          <cell r="A2784" t="str">
            <v>7.A310787993301TD</v>
          </cell>
          <cell r="B2784" t="str">
            <v>EDM BAKING POWDER STR 24X400G</v>
          </cell>
          <cell r="C2784" t="str">
            <v>BỘT NỞ HỖ TRỢ LÀM BÁNH THƯƠNG HIỆU EDMONS 24X400G</v>
          </cell>
          <cell r="D2784" t="str">
            <v>EDM BAKING POWDER STR 24X400G</v>
          </cell>
          <cell r="E2784">
            <v>10.6</v>
          </cell>
          <cell r="F2784" t="str">
            <v>Bỏ chọn</v>
          </cell>
          <cell r="G2784"/>
          <cell r="H2784"/>
        </row>
        <row r="2785">
          <cell r="A2785" t="str">
            <v>7.A3199087004B4</v>
          </cell>
          <cell r="B2785" t="str">
            <v>MEIZAN TEMPURA FLOUR AK 10KG</v>
          </cell>
          <cell r="C2785" t="str">
            <v>BỘT TEMPURA MEIZAN 10KG</v>
          </cell>
          <cell r="D2785" t="str">
            <v>MEIZAN TEMPURA FLOUR AK 10KG</v>
          </cell>
          <cell r="E2785">
            <v>10</v>
          </cell>
          <cell r="F2785" t="str">
            <v>Bỏ chọn</v>
          </cell>
          <cell r="G2785"/>
          <cell r="H2785"/>
        </row>
        <row r="2786">
          <cell r="A2786" t="str">
            <v>7.52399799905C7</v>
          </cell>
          <cell r="B2786" t="str">
            <v>RED SATELLITE - HN 25KG</v>
          </cell>
          <cell r="C2786" t="str">
            <v>BỘT MÌ HIỆU VỆ TINH ĐỎ 25KG</v>
          </cell>
          <cell r="D2786" t="str">
            <v>RED SATELLITE - HN 25KG</v>
          </cell>
          <cell r="E2786">
            <v>1</v>
          </cell>
          <cell r="F2786" t="str">
            <v>Bỏ chọn</v>
          </cell>
          <cell r="G2786"/>
          <cell r="H2786"/>
        </row>
        <row r="2787">
          <cell r="A2787" t="str">
            <v>7.52399079905B5</v>
          </cell>
          <cell r="B2787" t="str">
            <v>GREEN KEY - NISSHIN 25KG</v>
          </cell>
          <cell r="C2787" t="str">
            <v>BỘT MÌ HIỆU CHÌA KHÓA XANH LÁ 25KG</v>
          </cell>
          <cell r="D2787" t="str">
            <v>GREEN KEY - NISSHIN 25KG</v>
          </cell>
          <cell r="E2787">
            <v>1</v>
          </cell>
          <cell r="F2787" t="str">
            <v>Bỏ chọn</v>
          </cell>
          <cell r="G2787"/>
          <cell r="H2787"/>
        </row>
        <row r="2788">
          <cell r="A2788" t="str">
            <v>7.52399079905B6</v>
          </cell>
          <cell r="B2788" t="str">
            <v>GREEN KEY - REBISCO 25KG</v>
          </cell>
          <cell r="C2788" t="str">
            <v>BỘT MÌ HIỆU CHÌA KHÓA XANH LÁ 25KG</v>
          </cell>
          <cell r="D2788" t="str">
            <v>GREEN KEY - REBISCO 25KG</v>
          </cell>
          <cell r="E2788">
            <v>1</v>
          </cell>
          <cell r="F2788" t="str">
            <v>Bỏ chọn</v>
          </cell>
          <cell r="G2788"/>
          <cell r="H2788"/>
        </row>
        <row r="2789">
          <cell r="A2789" t="str">
            <v>7.52399079905C6</v>
          </cell>
          <cell r="B2789" t="str">
            <v>GREEN KEY - KIDO 25KG</v>
          </cell>
          <cell r="C2789" t="str">
            <v>BỘT MÌ HIỆU CHÌA KHÓA XANH LÁ 25KG</v>
          </cell>
          <cell r="D2789" t="str">
            <v>GREEN KEY - KIDO 25KG</v>
          </cell>
          <cell r="E2789">
            <v>1</v>
          </cell>
          <cell r="F2789" t="str">
            <v>Bỏ chọn</v>
          </cell>
          <cell r="G2789"/>
          <cell r="H2789"/>
        </row>
        <row r="2790">
          <cell r="A2790" t="str">
            <v>7.5239907990567</v>
          </cell>
          <cell r="B2790" t="str">
            <v>GREEN KEY - BIBICA 25KG</v>
          </cell>
          <cell r="C2790" t="str">
            <v>BỘT MÌ HIỆU CHÌA KHÓA XANH LÁ 25KG</v>
          </cell>
          <cell r="D2790" t="str">
            <v>GREEN KEY - BIBICA 25KG</v>
          </cell>
          <cell r="E2790">
            <v>1</v>
          </cell>
          <cell r="F2790" t="str">
            <v>Bỏ chọn</v>
          </cell>
          <cell r="G2790"/>
          <cell r="H2790"/>
        </row>
        <row r="2791">
          <cell r="A2791" t="str">
            <v>7.52399079905C8</v>
          </cell>
          <cell r="B2791" t="str">
            <v>GREEN KEY - HCM 25KG</v>
          </cell>
          <cell r="C2791" t="str">
            <v>BỘT MÌ HIỆU CHÌA KHÓA XANH LÁ 25KG</v>
          </cell>
          <cell r="D2791" t="str">
            <v>GREEN KEY - HCM 25KG</v>
          </cell>
          <cell r="E2791">
            <v>1</v>
          </cell>
          <cell r="F2791" t="str">
            <v>Bỏ chọn</v>
          </cell>
          <cell r="G2791"/>
          <cell r="H2791"/>
        </row>
        <row r="2792">
          <cell r="A2792" t="str">
            <v>7.B2508549994010501TD</v>
          </cell>
          <cell r="B2792" t="str">
            <v>PORK BOUILLON GRANULE 380G</v>
          </cell>
          <cell r="C2792" t="str">
            <v>HẠT NÊM 4 TRONG 1 VỊ HEO 380G</v>
          </cell>
          <cell r="D2792" t="str">
            <v>PORK BOUILLON GRANULE 380G</v>
          </cell>
          <cell r="E2792">
            <v>0.38</v>
          </cell>
          <cell r="F2792" t="str">
            <v>Bỏ chọn</v>
          </cell>
          <cell r="G2792"/>
          <cell r="H2792"/>
        </row>
        <row r="2793">
          <cell r="A2793" t="str">
            <v>7.52399129905B7</v>
          </cell>
          <cell r="B2793" t="str">
            <v>PINK KEY - LWW 25KG</v>
          </cell>
          <cell r="C2793" t="str">
            <v>BỘT MÌ HIỆU CHÌA KHÓA HỒNG 25KG</v>
          </cell>
          <cell r="D2793" t="str">
            <v>PINK KEY - LWW 25KG</v>
          </cell>
          <cell r="E2793">
            <v>1</v>
          </cell>
          <cell r="F2793" t="str">
            <v>Bỏ chọn</v>
          </cell>
          <cell r="G2793"/>
          <cell r="H2793"/>
        </row>
        <row r="2794">
          <cell r="A2794" t="str">
            <v>7.52399229905B8</v>
          </cell>
          <cell r="B2794" t="str">
            <v>BLUE COMPASS -KFC 25KG</v>
          </cell>
          <cell r="C2794" t="str">
            <v>BỘT MÌ HIỆU LA BÀN XANH 25KG</v>
          </cell>
          <cell r="D2794" t="str">
            <v>BLUE COMPASS -KFC 25KG</v>
          </cell>
          <cell r="E2794">
            <v>1</v>
          </cell>
          <cell r="F2794" t="str">
            <v>Bỏ chọn</v>
          </cell>
          <cell r="G2794"/>
          <cell r="H2794"/>
        </row>
        <row r="2795">
          <cell r="A2795" t="str">
            <v>7.52399229905B9</v>
          </cell>
          <cell r="B2795" t="str">
            <v>BLUE COMPASS -AFI 25KG</v>
          </cell>
          <cell r="C2795" t="str">
            <v>BỘT MÌ HIỆU LA BÀN XANH 25KG</v>
          </cell>
          <cell r="D2795" t="str">
            <v>BLUE COMPASS -AFI 25KG</v>
          </cell>
          <cell r="E2795">
            <v>1</v>
          </cell>
          <cell r="F2795" t="str">
            <v>Bỏ chọn</v>
          </cell>
          <cell r="G2795"/>
          <cell r="H2795"/>
        </row>
        <row r="2796">
          <cell r="A2796" t="str">
            <v>7.5239922990567</v>
          </cell>
          <cell r="B2796" t="str">
            <v>BLUE COMPASS - BIBICA 25KG</v>
          </cell>
          <cell r="C2796" t="str">
            <v>BỘT MÌ HIỆU LA BÀN XANH 25KG</v>
          </cell>
          <cell r="D2796" t="str">
            <v>BLUE COMPASS - BIBICA 25KG</v>
          </cell>
          <cell r="E2796">
            <v>1</v>
          </cell>
          <cell r="F2796" t="str">
            <v>Bỏ chọn</v>
          </cell>
          <cell r="G2796"/>
          <cell r="H2796"/>
        </row>
        <row r="2797">
          <cell r="A2797" t="str">
            <v>7.5239922990632</v>
          </cell>
          <cell r="B2797" t="str">
            <v>BLUE COMPASS - ASIA 40KG</v>
          </cell>
          <cell r="C2797" t="str">
            <v>BỘT MÌ HIỆU LA BÀN XANH 40KG</v>
          </cell>
          <cell r="D2797" t="str">
            <v>BLUE COMPASS - ASIA 40KG</v>
          </cell>
          <cell r="E2797">
            <v>1</v>
          </cell>
          <cell r="F2797" t="str">
            <v>Bỏ chọn</v>
          </cell>
          <cell r="G2797"/>
          <cell r="H2797"/>
        </row>
        <row r="2798">
          <cell r="A2798" t="str">
            <v>7.52399229906C0</v>
          </cell>
          <cell r="B2798" t="str">
            <v>BLUE COMPASS - BT 40KG</v>
          </cell>
          <cell r="C2798" t="str">
            <v>BỘT MÌ HIỆU LA BÀN XANH 40KG</v>
          </cell>
          <cell r="D2798" t="str">
            <v>BLUE COMPASS - BT 40KG</v>
          </cell>
          <cell r="E2798">
            <v>1</v>
          </cell>
          <cell r="F2798" t="str">
            <v>Bỏ chọn</v>
          </cell>
          <cell r="G2798"/>
          <cell r="H2798"/>
        </row>
        <row r="2799">
          <cell r="A2799" t="str">
            <v>7.5239904990601</v>
          </cell>
          <cell r="B2799" t="str">
            <v>BROWN COMPASS 40KG</v>
          </cell>
          <cell r="C2799" t="str">
            <v>BỘT MÌ HIỆU LA BÀN NÂU 40KG</v>
          </cell>
          <cell r="D2799" t="str">
            <v>BROWN COMPASS 40KG</v>
          </cell>
          <cell r="E2799">
            <v>1</v>
          </cell>
          <cell r="F2799" t="str">
            <v>Bỏ chọn</v>
          </cell>
          <cell r="G2799"/>
          <cell r="H2799"/>
        </row>
        <row r="2800">
          <cell r="A2800" t="str">
            <v>7.52399149906C0</v>
          </cell>
          <cell r="B2800" t="str">
            <v>RED COMPASS - BT 40KG</v>
          </cell>
          <cell r="C2800" t="str">
            <v>BỘT MÌ HIỆU LA BÀN ĐỎ 40KG</v>
          </cell>
          <cell r="D2800" t="str">
            <v>RED COMPASS - BT 40KG</v>
          </cell>
          <cell r="E2800">
            <v>1</v>
          </cell>
          <cell r="F2800" t="str">
            <v>Bỏ chọn</v>
          </cell>
          <cell r="G2800"/>
          <cell r="H2800"/>
        </row>
        <row r="2801">
          <cell r="A2801" t="str">
            <v>7.5239904990564</v>
          </cell>
          <cell r="B2801" t="str">
            <v>BROWN COMPASS - AJI 25KG</v>
          </cell>
          <cell r="C2801" t="str">
            <v>BỘT MÌ HIỆU LA BÀN NÂU 25KG</v>
          </cell>
          <cell r="D2801" t="str">
            <v>BROWN COMPASS - AJI 25KG</v>
          </cell>
          <cell r="E2801">
            <v>1</v>
          </cell>
          <cell r="F2801" t="str">
            <v>Bỏ chọn</v>
          </cell>
          <cell r="G2801"/>
          <cell r="H2801"/>
        </row>
        <row r="2802">
          <cell r="A2802" t="str">
            <v>7.5239904990586</v>
          </cell>
          <cell r="B2802" t="str">
            <v>BROWN COMPASS - PN 25KG</v>
          </cell>
          <cell r="C2802" t="str">
            <v>BỘT MÌ HIỆU LA BÀN NÂU 25KG</v>
          </cell>
          <cell r="D2802" t="str">
            <v>BROWN COMPASS - PN 25KG</v>
          </cell>
          <cell r="E2802">
            <v>1</v>
          </cell>
          <cell r="F2802" t="str">
            <v>Bỏ chọn</v>
          </cell>
          <cell r="G2802"/>
          <cell r="H2802"/>
        </row>
        <row r="2803">
          <cell r="A2803" t="str">
            <v>7.5239914990636</v>
          </cell>
          <cell r="B2803" t="str">
            <v>RED COMPASS - MASAN 40KG</v>
          </cell>
          <cell r="C2803" t="str">
            <v>BỘT MÌ HIỆU LA BÀN ĐỎ 40KG</v>
          </cell>
          <cell r="D2803" t="str">
            <v>RED COMPASS - MASAN 40KG</v>
          </cell>
          <cell r="E2803">
            <v>1</v>
          </cell>
          <cell r="F2803" t="str">
            <v>Bỏ chọn</v>
          </cell>
          <cell r="G2803"/>
          <cell r="H2803"/>
        </row>
        <row r="2804">
          <cell r="A2804" t="str">
            <v>7.52399799905B6</v>
          </cell>
          <cell r="B2804" t="str">
            <v xml:space="preserve">RED SATELLITE - REBISCO 25KG_x000D_
</v>
          </cell>
          <cell r="C2804" t="str">
            <v>BỘT MÌ HIỆU VỆ TINH ĐỎ 25KG</v>
          </cell>
          <cell r="D2804" t="str">
            <v>RED SATELLITE - REBISCO 25KG</v>
          </cell>
          <cell r="E2804">
            <v>1</v>
          </cell>
          <cell r="F2804" t="str">
            <v>Bỏ chọn</v>
          </cell>
          <cell r="G2804"/>
          <cell r="H2804"/>
        </row>
        <row r="2805">
          <cell r="A2805" t="str">
            <v>7.5239988990514</v>
          </cell>
          <cell r="B2805" t="str">
            <v>GREEN SATELLITE BISCAFUN 25KG</v>
          </cell>
          <cell r="C2805" t="str">
            <v>BỘT MÌ HIỆU VỆ TINH XANH LÁ 25KG</v>
          </cell>
          <cell r="D2805" t="str">
            <v>GREEN SATELLITE BISCAFUN 25KG</v>
          </cell>
          <cell r="E2805">
            <v>1</v>
          </cell>
          <cell r="F2805" t="str">
            <v>Bỏ chọn</v>
          </cell>
          <cell r="G2805"/>
          <cell r="H2805"/>
        </row>
        <row r="2806">
          <cell r="A2806" t="str">
            <v>7.52399889905C3</v>
          </cell>
          <cell r="B2806" t="str">
            <v>GREEN SATELLITE BISCAFUN KVC 25KG</v>
          </cell>
          <cell r="C2806" t="str">
            <v>BỘT MÌ HIỆU VỆ TINH XANH LÁ 25KG</v>
          </cell>
          <cell r="D2806" t="str">
            <v>GREEN SATELLITE BISCAFUN KVC 25KG</v>
          </cell>
          <cell r="E2806">
            <v>1</v>
          </cell>
          <cell r="F2806" t="str">
            <v>Bỏ chọn</v>
          </cell>
          <cell r="G2806"/>
          <cell r="H2806"/>
        </row>
        <row r="2807">
          <cell r="A2807" t="str">
            <v>7.5239979990550</v>
          </cell>
          <cell r="B2807" t="str">
            <v>RED SATELLITE - JOLLIBEE 25KG</v>
          </cell>
          <cell r="C2807" t="str">
            <v>BỘT MÌ HIỆU VỆ TINH ĐỎ 25KG</v>
          </cell>
          <cell r="D2807" t="str">
            <v>RED SATELLITE - JOLLIBEE 25KG</v>
          </cell>
          <cell r="E2807">
            <v>1</v>
          </cell>
          <cell r="F2807" t="str">
            <v>Bỏ chọn</v>
          </cell>
          <cell r="G2807"/>
          <cell r="H2807"/>
        </row>
        <row r="2808">
          <cell r="A2808" t="str">
            <v>7.52399153405B2</v>
          </cell>
          <cell r="B2808" t="str">
            <v>RED KEY NOODLE - VFK 25KG</v>
          </cell>
          <cell r="C2808" t="str">
            <v>BỘT MÌ HIỆU CHÌA KHÓA ĐỎ MÌ SỢI 25KG</v>
          </cell>
          <cell r="D2808" t="str">
            <v>RED KEY NOODLE - VFK 25KG</v>
          </cell>
          <cell r="E2808">
            <v>1</v>
          </cell>
          <cell r="F2808" t="str">
            <v>Bỏ chọn</v>
          </cell>
          <cell r="G2808"/>
          <cell r="H2808"/>
        </row>
        <row r="2809">
          <cell r="A2809" t="str">
            <v>7.52399153405C1</v>
          </cell>
          <cell r="B2809" t="str">
            <v>RED KEY NOODLE - VINAMILK 25KG</v>
          </cell>
          <cell r="C2809" t="str">
            <v>BỘT MÌ HIỆU CHÌA KHÓA ĐỎ MÌ SỢI 25KG</v>
          </cell>
          <cell r="D2809" t="str">
            <v>RED KEY NOODLE - VINAMILK 25KG</v>
          </cell>
          <cell r="E2809">
            <v>1</v>
          </cell>
          <cell r="F2809" t="str">
            <v>Bỏ chọn</v>
          </cell>
          <cell r="G2809"/>
          <cell r="H2809"/>
        </row>
        <row r="2810">
          <cell r="A2810" t="str">
            <v>7.52399153405B9</v>
          </cell>
          <cell r="B2810" t="str">
            <v>RED KEY NOODLE - AFI 25KG</v>
          </cell>
          <cell r="C2810" t="str">
            <v>BỘT MÌ HIỆU CHÌA KHÓA ĐỎ MÌ SỢI 25KG</v>
          </cell>
          <cell r="D2810" t="str">
            <v>RED KEY NOODLE - AFI 25KG</v>
          </cell>
          <cell r="E2810">
            <v>1</v>
          </cell>
          <cell r="F2810" t="str">
            <v>Bỏ chọn</v>
          </cell>
          <cell r="G2810"/>
          <cell r="H2810"/>
        </row>
        <row r="2811">
          <cell r="A2811" t="str">
            <v>7.52399259905C2</v>
          </cell>
          <cell r="B2811" t="str">
            <v>BLUE KEY NOODLE -SUMIMOTO 25KG</v>
          </cell>
          <cell r="C2811" t="str">
            <v>BỘT MÌ HIỆU CKX MÌ SỢI 25KG</v>
          </cell>
          <cell r="D2811" t="str">
            <v>BLUE KEY NOODLE -SUMIMOTO 25KG</v>
          </cell>
          <cell r="E2811">
            <v>1</v>
          </cell>
          <cell r="F2811" t="str">
            <v>Bỏ chọn</v>
          </cell>
          <cell r="G2811"/>
          <cell r="H2811"/>
        </row>
        <row r="2812">
          <cell r="A2812" t="str">
            <v>7.52399269905B7</v>
          </cell>
          <cell r="B2812" t="str">
            <v>BLUE KEY PAU - LWW 25KG</v>
          </cell>
          <cell r="C2812" t="str">
            <v>BỘT MÌ HIỆU CKX BÁNH BAO 25KG</v>
          </cell>
          <cell r="D2812" t="str">
            <v>BLUE KEY PAU - LWW 25KG</v>
          </cell>
          <cell r="E2812">
            <v>1</v>
          </cell>
          <cell r="F2812" t="str">
            <v>Bỏ chọn</v>
          </cell>
          <cell r="G2812"/>
          <cell r="H2812"/>
        </row>
        <row r="2813">
          <cell r="A2813" t="str">
            <v>7.52399269905B5</v>
          </cell>
          <cell r="B2813" t="str">
            <v>BLUE KEY PAU - NISSHIN 25KG</v>
          </cell>
          <cell r="C2813" t="str">
            <v>BỘT MÌ HIỆU CKX BÁNH BAO 25KG</v>
          </cell>
          <cell r="D2813" t="str">
            <v>BLUE KEY PAU - NISSHIN 25KG</v>
          </cell>
          <cell r="E2813">
            <v>1</v>
          </cell>
          <cell r="F2813" t="str">
            <v>Bỏ chọn</v>
          </cell>
          <cell r="G2813"/>
          <cell r="H2813"/>
        </row>
        <row r="2814">
          <cell r="A2814" t="str">
            <v>7.52399159905B9</v>
          </cell>
          <cell r="B2814" t="str">
            <v>RED KEY -AFI 25KG</v>
          </cell>
          <cell r="C2814" t="str">
            <v>BỘT MÌ HIỆU CHÌA KHÓA ĐỎ 25KG</v>
          </cell>
          <cell r="D2814" t="str">
            <v>RED KEY -AFI 25KG</v>
          </cell>
          <cell r="E2814">
            <v>1</v>
          </cell>
          <cell r="F2814" t="str">
            <v>Bỏ chọn</v>
          </cell>
          <cell r="G2814"/>
          <cell r="H2814"/>
        </row>
        <row r="2815">
          <cell r="A2815" t="str">
            <v>7.5239916990510</v>
          </cell>
          <cell r="B2815" t="str">
            <v>RED PEN - POULTRY 25KG</v>
          </cell>
          <cell r="C2815" t="str">
            <v>BỘT MÌ HIỆU CÂY VIẾT ĐỎ 25KG</v>
          </cell>
          <cell r="D2815" t="str">
            <v>RED PEN - POULTRY 25KG</v>
          </cell>
          <cell r="E2815">
            <v>1</v>
          </cell>
          <cell r="F2815" t="str">
            <v>Bỏ chọn</v>
          </cell>
          <cell r="G2815"/>
          <cell r="H2815"/>
        </row>
        <row r="2816">
          <cell r="A2816" t="str">
            <v>7.5239949990501</v>
          </cell>
          <cell r="B2816" t="str">
            <v>SEMOLINA 25KG</v>
          </cell>
          <cell r="C2816" t="str">
            <v>BỘT MÌ HIỆU SEMOLINA 25KG</v>
          </cell>
          <cell r="D2816" t="str">
            <v>SEMOLINA 25KG</v>
          </cell>
          <cell r="E2816">
            <v>1</v>
          </cell>
          <cell r="F2816" t="str">
            <v>Bỏ chọn</v>
          </cell>
          <cell r="G2816"/>
          <cell r="H2816"/>
        </row>
        <row r="2817">
          <cell r="A2817" t="str">
            <v>7.52399099905B2</v>
          </cell>
          <cell r="B2817" t="str">
            <v>MS-1 - VFK 25KG</v>
          </cell>
          <cell r="C2817" t="str">
            <v>BỘT MÌ HIỆU MS-1 25KG</v>
          </cell>
          <cell r="D2817" t="str">
            <v>MS-1 - VFK 25KG</v>
          </cell>
          <cell r="E2817">
            <v>1</v>
          </cell>
          <cell r="F2817" t="str">
            <v>Bỏ chọn</v>
          </cell>
          <cell r="G2817"/>
          <cell r="H2817"/>
        </row>
        <row r="2818">
          <cell r="A2818" t="str">
            <v>7.5239931990501</v>
          </cell>
          <cell r="B2818" t="str">
            <v>BCR-1 25KG</v>
          </cell>
          <cell r="C2818" t="str">
            <v>BỘT MÌ HIỆU BCR-1 25KG</v>
          </cell>
          <cell r="D2818" t="str">
            <v>BCR-1 25KG</v>
          </cell>
          <cell r="E2818">
            <v>1</v>
          </cell>
          <cell r="F2818" t="str">
            <v>Bỏ chọn</v>
          </cell>
          <cell r="G2818"/>
          <cell r="H2818"/>
        </row>
        <row r="2819">
          <cell r="A2819" t="str">
            <v>7.52399319905B5</v>
          </cell>
          <cell r="B2819" t="str">
            <v>BCR-1 NISSHIN 25KG</v>
          </cell>
          <cell r="C2819" t="str">
            <v>BỘT MÌ HIỆU BCR-1 25KG</v>
          </cell>
          <cell r="D2819" t="str">
            <v>BCR-1 NISSHIN 25KG</v>
          </cell>
          <cell r="E2819">
            <v>1</v>
          </cell>
          <cell r="F2819" t="str">
            <v>Bỏ chọn</v>
          </cell>
          <cell r="G2819"/>
          <cell r="H2819"/>
        </row>
        <row r="2820">
          <cell r="A2820" t="str">
            <v>7.52399449905C5</v>
          </cell>
          <cell r="B2820" t="str">
            <v>SOFT WHEAT FLOUR LWW-1 25KG</v>
          </cell>
          <cell r="C2820" t="str">
            <v>BỘT MÌ HIỆU SOFT WHEAT FLOUR LWW-1 25KG</v>
          </cell>
          <cell r="D2820" t="str">
            <v>SOFT WHEAT FLOUR LWW-1 25KG</v>
          </cell>
          <cell r="E2820">
            <v>1</v>
          </cell>
          <cell r="F2820" t="str">
            <v>Bỏ chọn</v>
          </cell>
          <cell r="G2820"/>
          <cell r="H2820"/>
        </row>
        <row r="2821">
          <cell r="A2821" t="str">
            <v>7.5239909990693</v>
          </cell>
          <cell r="B2821" t="str">
            <v>MS-1 - VIFON 40KG</v>
          </cell>
          <cell r="C2821" t="str">
            <v>BỘT MÌ HIỆU MS-1 40KG</v>
          </cell>
          <cell r="D2821" t="str">
            <v>MS-1 - VIFON 40KG</v>
          </cell>
          <cell r="E2821">
            <v>1</v>
          </cell>
          <cell r="F2821" t="str">
            <v>Bỏ chọn</v>
          </cell>
          <cell r="G2821"/>
          <cell r="H2821"/>
        </row>
        <row r="2822">
          <cell r="A2822" t="str">
            <v>7.5239909990601</v>
          </cell>
          <cell r="B2822" t="str">
            <v>MS-1 40KG</v>
          </cell>
          <cell r="C2822" t="str">
            <v>BỘT MÌ HIỆU MS-1 40KG</v>
          </cell>
          <cell r="D2822" t="str">
            <v>MS-1 40KG</v>
          </cell>
          <cell r="E2822">
            <v>1</v>
          </cell>
          <cell r="F2822" t="str">
            <v>Bỏ chọn</v>
          </cell>
          <cell r="G2822"/>
          <cell r="H2822"/>
        </row>
        <row r="2823">
          <cell r="A2823" t="str">
            <v>7.5239935990501</v>
          </cell>
          <cell r="B2823" t="str">
            <v>CAKE FLOUR LWW-2 25KG</v>
          </cell>
          <cell r="C2823" t="str">
            <v>BỘT MÌ HIỆU CAKE FLOUR LWW-2 25KG</v>
          </cell>
          <cell r="D2823" t="str">
            <v>CAKE FLOUR LWW-2 25KG</v>
          </cell>
          <cell r="E2823">
            <v>1</v>
          </cell>
          <cell r="F2823" t="str">
            <v>Bỏ chọn</v>
          </cell>
          <cell r="G2823"/>
          <cell r="H2823"/>
        </row>
        <row r="2824">
          <cell r="A2824" t="str">
            <v>7.52399369905C4</v>
          </cell>
          <cell r="B2824" t="str">
            <v>HARD WHEAT FLOUR LWW-3 25KG</v>
          </cell>
          <cell r="C2824" t="str">
            <v>BỘT MÌ HIỆU HARD WHEAT FLOUR LWW-3 25KG</v>
          </cell>
          <cell r="D2824" t="str">
            <v>HARD WHEAT FLOUR LWW-3 25KG</v>
          </cell>
          <cell r="E2824">
            <v>1</v>
          </cell>
          <cell r="F2824" t="str">
            <v>Bỏ chọn</v>
          </cell>
          <cell r="G2824"/>
          <cell r="H2824"/>
        </row>
        <row r="2825">
          <cell r="A2825" t="str">
            <v>6.52399079902B3</v>
          </cell>
          <cell r="B2825" t="str">
            <v>GREEN KEY - ORION BULK</v>
          </cell>
          <cell r="C2825" t="str">
            <v>BỘT MÌ HIỆU CHÌA KHÓA XANH LÁ BULK</v>
          </cell>
          <cell r="D2825" t="str">
            <v>GREEN KEY - ORION BULK</v>
          </cell>
          <cell r="E2825">
            <v>1</v>
          </cell>
          <cell r="F2825" t="str">
            <v>Bỏ chọn</v>
          </cell>
          <cell r="G2825"/>
          <cell r="H2825"/>
        </row>
        <row r="2826">
          <cell r="A2826" t="str">
            <v>6.5239907990299</v>
          </cell>
          <cell r="B2826" t="str">
            <v>GREEN KEY - KINH DO MDLZ BULK</v>
          </cell>
          <cell r="C2826" t="str">
            <v>BỘT MÌ HIỆU CHÌA KHÓA XANH LÁ (BỘT MÌ SOFT) BULK</v>
          </cell>
          <cell r="D2826" t="str">
            <v>GREEN KEY - KINH DO MDLZ BULK</v>
          </cell>
          <cell r="E2826">
            <v>1</v>
          </cell>
          <cell r="F2826" t="str">
            <v>Bỏ chọn</v>
          </cell>
          <cell r="G2826"/>
          <cell r="H2826"/>
        </row>
        <row r="2827">
          <cell r="A2827" t="str">
            <v>6.52399401902AA</v>
          </cell>
          <cell r="B2827" t="str">
            <v>VFM-2 IN-BULK</v>
          </cell>
          <cell r="C2827" t="str">
            <v>BỘT MÌ HIỆU VFM-2 BULK</v>
          </cell>
          <cell r="D2827" t="str">
            <v>VFM-2 IN-BULK</v>
          </cell>
          <cell r="E2827">
            <v>1</v>
          </cell>
          <cell r="F2827" t="str">
            <v>Bỏ chọn</v>
          </cell>
          <cell r="G2827"/>
          <cell r="H2827"/>
        </row>
        <row r="2828">
          <cell r="A2828" t="str">
            <v>6.52399402002AA</v>
          </cell>
          <cell r="B2828" t="str">
            <v>VFM-4 IN-BULK</v>
          </cell>
          <cell r="C2828" t="str">
            <v>BỘT MÌ HIỆU VFM-4 BULK</v>
          </cell>
          <cell r="D2828" t="str">
            <v>VFM-4 IN-BULK</v>
          </cell>
          <cell r="E2828">
            <v>1</v>
          </cell>
          <cell r="F2828" t="str">
            <v>Bỏ chọn</v>
          </cell>
          <cell r="G2828"/>
          <cell r="H2828"/>
        </row>
        <row r="2829">
          <cell r="A2829" t="str">
            <v>6.52399449902C5</v>
          </cell>
          <cell r="B2829" t="str">
            <v>SOFT WHEAT FLOUR LWW-1</v>
          </cell>
          <cell r="C2829" t="str">
            <v>BỘT MÌ HIỆU SOFT WHEAT FLOUR LWW-1 BULK</v>
          </cell>
          <cell r="D2829" t="str">
            <v>SOFT WHEAT FLOUR LWW-1</v>
          </cell>
          <cell r="E2829">
            <v>1</v>
          </cell>
          <cell r="F2829" t="str">
            <v>Bỏ chọn</v>
          </cell>
          <cell r="G2829"/>
          <cell r="H2829"/>
        </row>
        <row r="2830">
          <cell r="A2830" t="str">
            <v>V51.000.103</v>
          </cell>
          <cell r="B2830" t="str">
            <v>TET GIFT BASKET 2021-KCN-08 WMCLV</v>
          </cell>
          <cell r="C2830" t="str">
            <v>GIỎ QUÀ TẾT 2021-KCN-08 WILMAR MARKETING CLV</v>
          </cell>
          <cell r="D2830" t="str">
            <v>TET GIFT BASKET 2021-KCN-08 WMCLV</v>
          </cell>
          <cell r="E2830">
            <v>0</v>
          </cell>
          <cell r="F2830" t="str">
            <v>Bỏ chọn</v>
          </cell>
          <cell r="G2830"/>
          <cell r="H2830"/>
        </row>
        <row r="2831">
          <cell r="A2831" t="str">
            <v>V51.000.104</v>
          </cell>
          <cell r="B2831" t="str">
            <v>BIG SIZE COOP ENVIRONENTAL BAGS</v>
          </cell>
          <cell r="C2831" t="str">
            <v>TÚI MÔI TRƯỜNG COOPMART LỚN</v>
          </cell>
          <cell r="D2831" t="str">
            <v>BIG SIZE COOP ENVIRONENTAL BAGS</v>
          </cell>
          <cell r="E2831">
            <v>0</v>
          </cell>
          <cell r="F2831" t="str">
            <v>Bỏ chọn</v>
          </cell>
          <cell r="G2831"/>
          <cell r="H2831"/>
        </row>
        <row r="2832">
          <cell r="A2832" t="str">
            <v>7.131087031700H10TD</v>
          </cell>
          <cell r="B2832" t="str">
            <v>CO-NEPTUNE LIGHT IN BOTTLE@1L</v>
          </cell>
          <cell r="C2832" t="str">
            <v>DẦU ĂN THƯỢNG HẠNG NHÃN HIỆU NEPTUNE LIGHT 1L</v>
          </cell>
          <cell r="D2832" t="str">
            <v>CO-NEPTUNE LIGHT IN BOTTLE@1L</v>
          </cell>
          <cell r="E2832">
            <v>0.91</v>
          </cell>
          <cell r="F2832" t="str">
            <v>Chọn</v>
          </cell>
          <cell r="G2832"/>
          <cell r="H2832"/>
        </row>
        <row r="2833">
          <cell r="A2833" t="str">
            <v>7.C35015599321227</v>
          </cell>
          <cell r="B2833" t="str">
            <v>POWER100 DISHWASHING LIQUID LEMON, 200G X 50 BOTTLES IN CARTON, EXPORT TO LAOS</v>
          </cell>
          <cell r="C2833" t="str">
            <v>NƯỚC RỬA CHÉN POWER100 HƯƠNG CHANH, LOẠI 200G X 50 CHAI TRONG THÙNG CARTON, XK LÀO</v>
          </cell>
          <cell r="D2833" t="str">
            <v>POWER100 DISHWASHING LIQUID LEMON, 200G X 50 BOTTLES IN CARTON, EXPORT TO LAOS</v>
          </cell>
          <cell r="E2833">
            <v>10</v>
          </cell>
          <cell r="F2833" t="str">
            <v>Bỏ chọn</v>
          </cell>
          <cell r="G2833"/>
          <cell r="H2833"/>
        </row>
        <row r="2834">
          <cell r="A2834" t="str">
            <v>7.C3501559932122701</v>
          </cell>
          <cell r="B2834" t="str">
            <v>POWER100 DISHWASHING LIQUID LEMON, EXPORT TO LAOS</v>
          </cell>
          <cell r="C2834" t="str">
            <v>NƯỚC RỬA CHÉN POWER100 HƯƠNG CHANH, LOẠI 200G, XK LÀO</v>
          </cell>
          <cell r="D2834" t="str">
            <v>POWER100 DISHWASHING LIQUID LEMON, EXPORT TO LAOS</v>
          </cell>
          <cell r="E2834">
            <v>0.2</v>
          </cell>
          <cell r="F2834" t="str">
            <v>Bỏ chọn</v>
          </cell>
          <cell r="G2834"/>
          <cell r="H2834"/>
        </row>
        <row r="2835">
          <cell r="A2835" t="str">
            <v>6.1212A42</v>
          </cell>
          <cell r="B2835" t="str">
            <v>REFINED OL1008/RSPO MB</v>
          </cell>
          <cell r="C2835" t="str">
            <v>DẦU OLEIN CỌ TINH LUYỆN TRONG XE BỒN (RSPO/MB)</v>
          </cell>
          <cell r="D2835" t="str">
            <v>REFINED OL1008/RSPO MB</v>
          </cell>
          <cell r="E2835">
            <v>1</v>
          </cell>
          <cell r="F2835" t="str">
            <v>Chọn</v>
          </cell>
          <cell r="G2835"/>
          <cell r="H2835"/>
        </row>
        <row r="2836">
          <cell r="A2836" t="str">
            <v>6.70550</v>
          </cell>
          <cell r="B2836" t="str">
            <v>YELLOW GLYCERINE IN IBC TANK 1250KG</v>
          </cell>
          <cell r="C2836" t="str">
            <v>GLYXERIN MÀU VÀNG ĐÓNG TRONG BỒN NHỰA IBC 1250KG</v>
          </cell>
          <cell r="D2836" t="str">
            <v>YELLOW GLYCERINE IN IBC TANK 1250KG</v>
          </cell>
          <cell r="E2836">
            <v>1</v>
          </cell>
          <cell r="F2836" t="str">
            <v>Bỏ chọn</v>
          </cell>
          <cell r="G2836"/>
          <cell r="H2836"/>
        </row>
        <row r="2837">
          <cell r="A2837" t="str">
            <v>7.E3801789985C932</v>
          </cell>
          <cell r="B2837" t="str">
            <v xml:space="preserve">MEADOW FRESH UHT FULL CREAM PURE MILK 1LX12 TUB IN CARTON </v>
          </cell>
          <cell r="C2837" t="str">
            <v>SỮA TƯƠI TIỆT TRÙNG NGUYÊN KEM NHÃN HIỆU MEADOW FRESH 1LX12 HỘP ĐÓNG TRONG THÙNG CARTON</v>
          </cell>
          <cell r="D2837" t="str">
            <v xml:space="preserve">MEADOW FRESH UHT FULL CREAM PURE MILK 1LX12 TUB IN CARTON </v>
          </cell>
          <cell r="E2837">
            <v>12</v>
          </cell>
          <cell r="F2837" t="str">
            <v>Bỏ chọn</v>
          </cell>
          <cell r="G2837"/>
          <cell r="H2837" t="str">
            <v>7.E3801789985C93201</v>
          </cell>
        </row>
        <row r="2838">
          <cell r="A2838" t="str">
            <v>7.E3801789985C93201</v>
          </cell>
          <cell r="B2838" t="str">
            <v>MEADOW FRESH UHT FULL CREAM PURE MILK 1L</v>
          </cell>
          <cell r="C2838" t="str">
            <v>SỮA TƯƠI TIỆT TRÙNG NGUYÊN KEM NHÃN HIỆU MEADOW FRESH 1L</v>
          </cell>
          <cell r="D2838" t="str">
            <v>MEADOW FRESH UHT FULL CREAM PURE MILK 1L</v>
          </cell>
          <cell r="E2838">
            <v>1</v>
          </cell>
          <cell r="F2838" t="str">
            <v>Bỏ chọn</v>
          </cell>
          <cell r="G2838"/>
          <cell r="H2838"/>
        </row>
        <row r="2839">
          <cell r="A2839" t="str">
            <v>7.E3801789985C933</v>
          </cell>
          <cell r="B2839" t="str">
            <v>MEADOW FRESH UHT SKIMMED PURE MILK 1LX12 TUB IN CARTON</v>
          </cell>
          <cell r="C2839" t="str">
            <v>SỮA TƯƠI TIỆT TRÙNG TÁCH BÉO NHÃN HIỆU MEADOW FRESH 1LX12 HỘP ĐÓNG TRONG THÙNG CARTON</v>
          </cell>
          <cell r="D2839" t="str">
            <v>MEADOW FRESH UHT SKIMMED PURE MILK 1LX12 TUB IN CARTON</v>
          </cell>
          <cell r="E2839">
            <v>12</v>
          </cell>
          <cell r="F2839" t="str">
            <v>Bỏ chọn</v>
          </cell>
          <cell r="G2839"/>
          <cell r="H2839" t="str">
            <v>7.E3801789985C93301</v>
          </cell>
        </row>
        <row r="2840">
          <cell r="A2840" t="str">
            <v>7.E3801789985C93301</v>
          </cell>
          <cell r="B2840" t="str">
            <v>MEADOW FRESH UHT SKIMMED PURE MILK 1L</v>
          </cell>
          <cell r="C2840" t="str">
            <v>SỮA TƯƠI TIỆT TRÙNG TÁCH BÉO NHÃN HIỆU MEADOW FRESH 1L</v>
          </cell>
          <cell r="D2840" t="str">
            <v>MEADOW FRESH UHT SKIMMED PURE MILK 1L</v>
          </cell>
          <cell r="E2840">
            <v>1</v>
          </cell>
          <cell r="F2840" t="str">
            <v>Bỏ chọn</v>
          </cell>
          <cell r="G2840"/>
          <cell r="H2840"/>
        </row>
        <row r="2841">
          <cell r="A2841" t="str">
            <v>7.E3801789985C935</v>
          </cell>
          <cell r="B2841" t="str">
            <v>MEADOW FRESH UHT LOW FAT PURE MILK 1LX12 TUB IN CARTON</v>
          </cell>
          <cell r="C2841" t="str">
            <v>SỮA TƯƠI TIỆT TRÙNG ÍT BÉO NHÃN HIỆU MEADOW FRESH 1LX12 HỘP ĐÓNG TRONG THÙNG CARTON</v>
          </cell>
          <cell r="D2841" t="str">
            <v>MEADOW FRESH UHT LOW FAT PURE MILK 1LX12 TUB IN CARTON</v>
          </cell>
          <cell r="E2841">
            <v>12</v>
          </cell>
          <cell r="F2841" t="str">
            <v>Bỏ chọn</v>
          </cell>
          <cell r="G2841"/>
          <cell r="H2841" t="str">
            <v>7.E3801789985C93501</v>
          </cell>
        </row>
        <row r="2842">
          <cell r="A2842" t="str">
            <v>7.E3801789985C93501</v>
          </cell>
          <cell r="B2842" t="str">
            <v>MEADOW FRESH UHT LOW FAT PURE MILK 1L</v>
          </cell>
          <cell r="C2842" t="str">
            <v>SỮA TƯƠI TIỆT TRÙNG ÍT BÉO NHÃN HIỆU MEADOW FRESH 1L</v>
          </cell>
          <cell r="D2842" t="str">
            <v>MEADOW FRESH UHT LOW FAT PURE MILK 1L</v>
          </cell>
          <cell r="E2842">
            <v>1</v>
          </cell>
          <cell r="F2842" t="str">
            <v>Bỏ chọn</v>
          </cell>
          <cell r="G2842"/>
          <cell r="H2842"/>
        </row>
        <row r="2843">
          <cell r="A2843" t="str">
            <v>7.E3801789985C938</v>
          </cell>
          <cell r="B2843" t="str">
            <v>MEADOW FRESH UHT CALCI MAX MILK 1LX12 TUB IN CARTON</v>
          </cell>
          <cell r="C2843" t="str">
            <v>SỮA TƯƠI TIỆT TRÙNG GIÀU CANXI ÍT BÉO NHÃN HIỆU MEADOW FRESH 1LX12 HỘP ĐÓNG TRONG THÙNG CARTON</v>
          </cell>
          <cell r="D2843" t="str">
            <v>MEADOW FRESH UHT CALCI MAX MILK 1LX12 TUB IN CARTON</v>
          </cell>
          <cell r="E2843">
            <v>12</v>
          </cell>
          <cell r="F2843" t="str">
            <v>Bỏ chọn</v>
          </cell>
          <cell r="G2843"/>
          <cell r="H2843" t="str">
            <v>7.E3801789985C93801</v>
          </cell>
        </row>
        <row r="2844">
          <cell r="A2844" t="str">
            <v>7.E3801789985C93801</v>
          </cell>
          <cell r="B2844" t="str">
            <v>MEADOW FRESH UHT CALCI MAX MILK 1L</v>
          </cell>
          <cell r="C2844" t="str">
            <v>SỮA TƯƠI TIỆT TRÙNG GIÀU CANXI ÍT BÉO NHÃN HIỆU MEADOW FRESH 1L</v>
          </cell>
          <cell r="D2844" t="str">
            <v>MEADOW FRESH UHT CALCI MAX MILK 1L</v>
          </cell>
          <cell r="E2844">
            <v>1</v>
          </cell>
          <cell r="F2844" t="str">
            <v>Bỏ chọn</v>
          </cell>
          <cell r="G2844"/>
          <cell r="H2844"/>
        </row>
        <row r="2845">
          <cell r="A2845" t="str">
            <v>7.E3801789913C938</v>
          </cell>
          <cell r="B2845" t="str">
            <v>MEADOW FRESH UHT CALCI MAX MILK 200MLX3X8 TUB IN CARTON</v>
          </cell>
          <cell r="C2845" t="str">
            <v>SỮA TƯƠI TIỆT TRÙNG GIÀU CANXI ÍT BÉO NHÃN HIỆU MEADOW FRESH 200MLX3X8 HỘP ĐÓNG TRONG THÙNG CARTON</v>
          </cell>
          <cell r="D2845" t="str">
            <v>MEADOW FRESH UHT CALCI MAX MILK 200MLX3X8 TUB IN CARTON</v>
          </cell>
          <cell r="E2845">
            <v>4.8</v>
          </cell>
          <cell r="F2845" t="str">
            <v>Bỏ chọn</v>
          </cell>
          <cell r="G2845"/>
          <cell r="H2845" t="str">
            <v>7.E3801789913C93801</v>
          </cell>
        </row>
        <row r="2846">
          <cell r="A2846" t="str">
            <v>7.E3801789913C93801</v>
          </cell>
          <cell r="B2846" t="str">
            <v>MEADOW FRESH UHT CALCI MAX MILK 200ML</v>
          </cell>
          <cell r="C2846" t="str">
            <v>SỮA TƯƠI TIỆT TRÙNG GIÀU CANXI ÍT BÉO NHÃN HIỆU MEADOW FRESH 200ML</v>
          </cell>
          <cell r="D2846" t="str">
            <v>MEADOW FRESH UHT CALCI MAX MILK 200ML</v>
          </cell>
          <cell r="E2846">
            <v>0.2</v>
          </cell>
          <cell r="F2846" t="str">
            <v>Bỏ chọn</v>
          </cell>
          <cell r="G2846"/>
          <cell r="H2846"/>
        </row>
        <row r="2847">
          <cell r="A2847" t="str">
            <v>7.E3801789913C932</v>
          </cell>
          <cell r="B2847" t="str">
            <v>MEADOW FRESH UHT FULL CREAM PURE MILK 200MLX3X8 TUB IN CARTON</v>
          </cell>
          <cell r="C2847" t="str">
            <v>SỮA TƯƠI TIỆT TRÙNG NGUYÊN KEM NHÃN HIỆU MEADOW FRESH 200MLX3X8 HỘP ĐÓNG TRONG THÙNG CARTON</v>
          </cell>
          <cell r="D2847" t="str">
            <v>MEADOW FRESH UHT FULL CREAM PURE MILK 200MLX3X8 TUB IN CARTON</v>
          </cell>
          <cell r="E2847">
            <v>4.8</v>
          </cell>
          <cell r="F2847" t="str">
            <v>Bỏ chọn</v>
          </cell>
          <cell r="G2847"/>
          <cell r="H2847" t="str">
            <v>7.E3801789913C93201</v>
          </cell>
        </row>
        <row r="2848">
          <cell r="A2848" t="str">
            <v>7.E3801789913C93201</v>
          </cell>
          <cell r="B2848" t="str">
            <v>MEADOW FRESH UHT FULL CREAM PURE MILK 200ML</v>
          </cell>
          <cell r="C2848" t="str">
            <v>SỮA TƯƠI TIỆT TRÙNG NGUYÊN KEM NHÃN HIỆU MEADOW FRESH 200ML</v>
          </cell>
          <cell r="D2848" t="str">
            <v>MEADOW FRESH UHT FULL CREAM PURE MILK 200ML</v>
          </cell>
          <cell r="E2848">
            <v>0.2</v>
          </cell>
          <cell r="F2848" t="str">
            <v>Bỏ chọn</v>
          </cell>
          <cell r="G2848"/>
          <cell r="H2848"/>
        </row>
        <row r="2849">
          <cell r="A2849" t="str">
            <v>7.E3801789913C935</v>
          </cell>
          <cell r="B2849" t="str">
            <v>MEADOW FRESH UHT LOW FAT PURE MILK 200MLX3X8 TUB IN CARTON</v>
          </cell>
          <cell r="C2849" t="str">
            <v>SỮA TƯƠI TIỆT TRÙNG ÍT BÉO NHÃN HIỆU MEADOW FRESH 200MLX3X8 HỘP ĐÓNG TRONG THÙNG CARTON</v>
          </cell>
          <cell r="D2849" t="str">
            <v>MEADOW FRESH UHT LOW FAT PURE MILK 200MLX3X8 TUB IN CARTON</v>
          </cell>
          <cell r="E2849">
            <v>4.8</v>
          </cell>
          <cell r="F2849" t="str">
            <v>Bỏ chọn</v>
          </cell>
          <cell r="G2849"/>
          <cell r="H2849" t="str">
            <v>7.E3801789913C93501</v>
          </cell>
        </row>
        <row r="2850">
          <cell r="A2850" t="str">
            <v>7.E3801789913C93501</v>
          </cell>
          <cell r="B2850" t="str">
            <v>MEADOW FRESH UHT LOW FAT PURE MILK 200ML</v>
          </cell>
          <cell r="C2850" t="str">
            <v>SỮA TƯƠI TIỆT TRÙNG ÍT BÉO NHÃN HIỆU MEADOW FRESH 200ML</v>
          </cell>
          <cell r="D2850" t="str">
            <v>MEADOW FRESH UHT LOW FAT PURE MILK 200ML</v>
          </cell>
          <cell r="E2850">
            <v>0.2</v>
          </cell>
          <cell r="F2850" t="str">
            <v>Bỏ chọn</v>
          </cell>
          <cell r="G2850"/>
          <cell r="H2850"/>
        </row>
        <row r="2851">
          <cell r="A2851" t="str">
            <v>7.E3801789913C936</v>
          </cell>
          <cell r="B2851" t="str">
            <v>MEADOW FRESH UHT STRAWBERRY MILK 200MLX3X8 TUB IN CARTON</v>
          </cell>
          <cell r="C2851" t="str">
            <v>SỮA TIỆT TRÙNG HƯƠNG DÂU NHÃN HIỆU MEADOW FRESH 200MLX3X8 HỘP ĐÓNG TRONG THÙNG CARTON</v>
          </cell>
          <cell r="D2851" t="str">
            <v>MEADOW FRESH UHT STRAWBERRY MILK 200MLX3X8 TUB IN CARTON</v>
          </cell>
          <cell r="E2851">
            <v>4.8</v>
          </cell>
          <cell r="F2851" t="str">
            <v>Bỏ chọn</v>
          </cell>
          <cell r="G2851"/>
          <cell r="H2851" t="str">
            <v>7.E3801789913C93601</v>
          </cell>
        </row>
        <row r="2852">
          <cell r="A2852" t="str">
            <v>7.E3801789913C93601</v>
          </cell>
          <cell r="B2852" t="str">
            <v>MEADOW FRESH UHT STRAWBERRY MILK 200ML</v>
          </cell>
          <cell r="C2852" t="str">
            <v>SỮA TIỆT TRÙNG HƯƠNG DÂU NHÃN HIỆU MEADOW FRESH 200ML</v>
          </cell>
          <cell r="D2852" t="str">
            <v>MEADOW FRESH UHT STRAWBERRY MILK 200ML</v>
          </cell>
          <cell r="E2852">
            <v>0.2</v>
          </cell>
          <cell r="F2852" t="str">
            <v>Bỏ chọn</v>
          </cell>
          <cell r="G2852"/>
          <cell r="H2852"/>
        </row>
        <row r="2853">
          <cell r="A2853" t="str">
            <v>7.E3801789913C937</v>
          </cell>
          <cell r="B2853" t="str">
            <v>MEADOW FRESH UHT CHOCO CHOC MILK 200MLX3X8 TUB IN CARTON</v>
          </cell>
          <cell r="C2853" t="str">
            <v>SỮA TIỆT TRÙNG HƯƠNG SÔ-CÔ-LA NHÃN HIỆU MEADOW FRESH 200MLX3X8 HỘP ĐÓNG TRONG THÙNG CARTON</v>
          </cell>
          <cell r="D2853" t="str">
            <v>MEADOW FRESH UHT CHOCO CHOC MILK 200MLX3X8 TUB IN CARTON</v>
          </cell>
          <cell r="E2853">
            <v>4.8</v>
          </cell>
          <cell r="F2853" t="str">
            <v>Bỏ chọn</v>
          </cell>
          <cell r="G2853"/>
          <cell r="H2853" t="str">
            <v>7.E3801789913C93701</v>
          </cell>
        </row>
        <row r="2854">
          <cell r="A2854" t="str">
            <v>7.E3801789913C93701</v>
          </cell>
          <cell r="B2854" t="str">
            <v>MEADOW FRESH UHT CHOCO CHOC MILK 200ML</v>
          </cell>
          <cell r="C2854" t="str">
            <v>SỮA TIỆT TRÙNG HƯƠNG SÔ-CÔ-LA NHÃN HIỆU MEADOW FRESH 200ML</v>
          </cell>
          <cell r="D2854" t="str">
            <v>MEADOW FRESH UHT CHOCO CHOC MILK 200ML</v>
          </cell>
          <cell r="E2854">
            <v>0.2</v>
          </cell>
          <cell r="F2854" t="str">
            <v>Bỏ chọn</v>
          </cell>
          <cell r="G2854"/>
          <cell r="H2854"/>
        </row>
        <row r="2855">
          <cell r="A2855" t="str">
            <v>7.B24012361B30142</v>
          </cell>
          <cell r="B2855" t="str">
            <v>NAM DUONG FERMENTED SOY SAUCE 1.98L X 6 BOT/CAR</v>
          </cell>
          <cell r="C2855" t="str">
            <v>NƯỚC TƯƠNG NAM DƯƠNG ĐẬU NÀNH LÊN MEN TỰ NHIÊN 1.98L X 6 CHAI/THÙNG</v>
          </cell>
          <cell r="D2855" t="str">
            <v>NAM DUONG FERMENTED SOY SAUCE 1.98L X 6 BOT/CAR</v>
          </cell>
          <cell r="E2855">
            <v>13.39</v>
          </cell>
          <cell r="F2855" t="str">
            <v>Bỏ chọn</v>
          </cell>
          <cell r="G2855"/>
          <cell r="H2855"/>
        </row>
        <row r="2856">
          <cell r="A2856" t="str">
            <v>7.B24012361B3014201</v>
          </cell>
          <cell r="B2856" t="str">
            <v>NAM DUONG FERMENTED SOY SAUCE 1.98L</v>
          </cell>
          <cell r="C2856" t="str">
            <v>NƯỚC TƯƠNG NAM DƯƠNG ĐẬU NÀNH LÊN MEN TỰ NHIÊN 1.98L</v>
          </cell>
          <cell r="D2856" t="str">
            <v>NAM DUONG FERMENTED SOY SAUCE 1.98L</v>
          </cell>
          <cell r="E2856">
            <v>0.22320000000000001</v>
          </cell>
          <cell r="F2856" t="str">
            <v>Bỏ chọn</v>
          </cell>
          <cell r="G2856"/>
          <cell r="H2856"/>
        </row>
        <row r="2857">
          <cell r="A2857" t="str">
            <v>7.52399373506D0</v>
          </cell>
          <cell r="B2857" t="str">
            <v>SF-3 40KG</v>
          </cell>
          <cell r="C2857" t="str">
            <v>BỘT MÌ HIỆU SF-3 40KG</v>
          </cell>
          <cell r="D2857" t="str">
            <v>SF-3 40KG</v>
          </cell>
          <cell r="E2857">
            <v>1</v>
          </cell>
          <cell r="F2857" t="str">
            <v>Bỏ chọn</v>
          </cell>
          <cell r="G2857"/>
          <cell r="H2857"/>
        </row>
        <row r="2858">
          <cell r="A2858" t="str">
            <v>7.52399376706D0</v>
          </cell>
          <cell r="B2858" t="str">
            <v>ORANGE KING SHRIMP 40KG</v>
          </cell>
          <cell r="C2858" t="str">
            <v>BỘT MÌ HIỆU TÔM VUA CAM 40KG</v>
          </cell>
          <cell r="D2858" t="str">
            <v>ORANGE KING SHRIMP 40KG</v>
          </cell>
          <cell r="E2858">
            <v>1</v>
          </cell>
          <cell r="F2858" t="str">
            <v>Bỏ chọn</v>
          </cell>
          <cell r="G2858"/>
          <cell r="H2858"/>
        </row>
        <row r="2859">
          <cell r="A2859" t="str">
            <v>7.52399377106D0</v>
          </cell>
          <cell r="B2859" t="str">
            <v>PINK KING SHRIMP 40KG</v>
          </cell>
          <cell r="C2859" t="str">
            <v>BỘT MÌ HIỆU TÔM VUA HỒNG 40KG</v>
          </cell>
          <cell r="D2859" t="str">
            <v>PINK KING SHRIMP 40KG</v>
          </cell>
          <cell r="E2859">
            <v>1</v>
          </cell>
          <cell r="F2859" t="str">
            <v>Bỏ chọn</v>
          </cell>
          <cell r="G2859"/>
          <cell r="H2859"/>
        </row>
        <row r="2860">
          <cell r="A2860" t="str">
            <v>7.52399371406D0</v>
          </cell>
          <cell r="B2860" t="str">
            <v>BLUE KING SHRIMP 40KG</v>
          </cell>
          <cell r="C2860" t="str">
            <v>BỘT MÌ HIỆU TÔM VUA XANH 40KG</v>
          </cell>
          <cell r="D2860" t="str">
            <v>BLUE KING SHRIMP 40KG</v>
          </cell>
          <cell r="E2860">
            <v>1</v>
          </cell>
          <cell r="F2860" t="str">
            <v>Bỏ chọn</v>
          </cell>
          <cell r="G2860"/>
          <cell r="H2860"/>
        </row>
        <row r="2861">
          <cell r="A2861" t="str">
            <v>7.52399371606D0</v>
          </cell>
          <cell r="B2861" t="str">
            <v>RED KING SHRIMP 40KG</v>
          </cell>
          <cell r="C2861" t="str">
            <v>BỘT MÌ HIỆU TÔM VUA ĐỎ 40KG</v>
          </cell>
          <cell r="D2861" t="str">
            <v>RED KING SHRIMP 40KG</v>
          </cell>
          <cell r="E2861">
            <v>1</v>
          </cell>
          <cell r="F2861" t="str">
            <v>Bỏ chọn</v>
          </cell>
          <cell r="G2861"/>
          <cell r="H2861"/>
        </row>
        <row r="2862">
          <cell r="A2862" t="str">
            <v>7.52399373706D0</v>
          </cell>
          <cell r="B2862" t="str">
            <v>PURPLE KING SHRIMP 40KG</v>
          </cell>
          <cell r="C2862" t="str">
            <v>BỘT MÌ HIỆU TÔM VUA TÍM 40KG</v>
          </cell>
          <cell r="D2862" t="str">
            <v>PURPLE KING SHRIMP 40KG</v>
          </cell>
          <cell r="E2862">
            <v>1</v>
          </cell>
          <cell r="F2862" t="str">
            <v>Bỏ chọn</v>
          </cell>
          <cell r="G2862"/>
          <cell r="H2862"/>
        </row>
        <row r="2863">
          <cell r="A2863" t="str">
            <v>V51.000.105</v>
          </cell>
          <cell r="B2863" t="str">
            <v>3M SUPPER CLEAN SCRUB SPONGE 71X95MM PACK 12</v>
          </cell>
          <cell r="C2863" t="str">
            <v>3M CƯỚC CỌ RỬA SIÊU SẠCH CÓ MÚT 71X95MM – VỈ 12</v>
          </cell>
          <cell r="D2863" t="str">
            <v>3M SUPPER CLEAN SCRUB SPONGE 71X95MM PACK 12</v>
          </cell>
          <cell r="E2863">
            <v>0</v>
          </cell>
          <cell r="F2863" t="str">
            <v>Bỏ chọn</v>
          </cell>
          <cell r="G2863"/>
          <cell r="H2863"/>
        </row>
        <row r="2864">
          <cell r="A2864" t="str">
            <v>V51.000.106</v>
          </cell>
          <cell r="B2864" t="str">
            <v>3M MICROFIBER CLEANING CLOTH 1 PIECE</v>
          </cell>
          <cell r="C2864" t="str">
            <v>3M KHĂN LAU MICROFIBER 30X30CM GÓI 1</v>
          </cell>
          <cell r="D2864" t="str">
            <v>3M MICROFIBER CLEANING CLOTH 1 PIECE</v>
          </cell>
          <cell r="E2864">
            <v>0</v>
          </cell>
          <cell r="F2864" t="str">
            <v>Bỏ chọn</v>
          </cell>
          <cell r="G2864"/>
          <cell r="H2864"/>
        </row>
        <row r="2865">
          <cell r="A2865" t="str">
            <v>V51.000.107</v>
          </cell>
          <cell r="B2865" t="str">
            <v>DISH WASHING NET CLOTH</v>
          </cell>
          <cell r="C2865" t="str">
            <v>MIẾNG RỬA CHÉN</v>
          </cell>
          <cell r="D2865" t="str">
            <v>DISH WASHING NET CLOTH</v>
          </cell>
          <cell r="E2865">
            <v>0</v>
          </cell>
          <cell r="F2865" t="str">
            <v>Bỏ chọn</v>
          </cell>
          <cell r="G2865"/>
          <cell r="H2865"/>
        </row>
        <row r="2866">
          <cell r="A2866" t="str">
            <v>V51.000.108</v>
          </cell>
          <cell r="B2866" t="str">
            <v>POWER100 IRON SHELF</v>
          </cell>
          <cell r="C2866" t="str">
            <v>KỆ SẮT POWER100</v>
          </cell>
          <cell r="D2866" t="str">
            <v>POWER100 IRON SHELF</v>
          </cell>
          <cell r="E2866">
            <v>0</v>
          </cell>
          <cell r="F2866" t="str">
            <v>Bỏ chọn</v>
          </cell>
          <cell r="G2866"/>
          <cell r="H2866"/>
        </row>
        <row r="2867">
          <cell r="A2867" t="str">
            <v>7.C35015572331227</v>
          </cell>
          <cell r="B2867" t="str">
            <v>POWER100 SAVING DISHWASHING LIQUID LEMON, 400G X 24 BOTTLES IN CARTON, EXPORTING TO CAMBODIA</v>
          </cell>
          <cell r="C2867" t="str">
            <v>NƯỚC RỬA CHÉN POWER100 TIẾT KIỆM HƯƠNG CHANH, LOẠI 400G X 24 CHAI TRONG THÙNG CARTON, XK CAMPUCHIA</v>
          </cell>
          <cell r="D2867" t="str">
            <v>POWER100 SAVING DISHWASHING LIQUID LEMON, 400G X 24 BOTTLES IN CARTON, EXPORTING TO CAMBODIA</v>
          </cell>
          <cell r="E2867">
            <v>9.6</v>
          </cell>
          <cell r="F2867" t="str">
            <v>Bỏ chọn</v>
          </cell>
          <cell r="G2867"/>
          <cell r="H2867"/>
        </row>
        <row r="2868">
          <cell r="A2868" t="str">
            <v>7.C3501557233122701</v>
          </cell>
          <cell r="B2868" t="str">
            <v>POWER100 SAVING DISHWASHING LIQUID LEMON 400G, EXPORTING TO CAMBODIA</v>
          </cell>
          <cell r="C2868" t="str">
            <v>NƯỚC RỬA CHÉN POWER100 TIẾT KIỆM HƯƠNG CHANH, LOẠI 400G, XK CAMPUCHIA</v>
          </cell>
          <cell r="D2868" t="str">
            <v>POWER100 SAVING DISHWASHING LIQUID LEMON 400G, EXPORTING TO CAMBODIA</v>
          </cell>
          <cell r="E2868">
            <v>0.4</v>
          </cell>
          <cell r="F2868" t="str">
            <v>Bỏ chọn</v>
          </cell>
          <cell r="G2868"/>
          <cell r="H2868"/>
        </row>
        <row r="2869">
          <cell r="A2869" t="str">
            <v>7.C35015572821227</v>
          </cell>
          <cell r="B2869" t="str">
            <v>POWER100 SAVING DISHWASHING LIQUID LEMON, 800G X 12 BOTTLES IN CARTON, EXPORTING TO CAMBODIA</v>
          </cell>
          <cell r="C2869" t="str">
            <v>NƯỚC RỬA CHÉN POWER100 TIẾT KIỆM HƯƠNG CHANH, LOẠI 800G X 12 CHAI TRONG THÙNG CARTON, XK CAMPUCHIA</v>
          </cell>
          <cell r="D2869" t="str">
            <v>POWER100 SAVING DISHWASHING LIQUID LEMON, 800G X 12 BOTTLES IN CARTON, EXPORTING TO CAMBODIA</v>
          </cell>
          <cell r="E2869">
            <v>9.6</v>
          </cell>
          <cell r="F2869" t="str">
            <v>Bỏ chọn</v>
          </cell>
          <cell r="G2869"/>
          <cell r="H2869"/>
        </row>
        <row r="2870">
          <cell r="A2870" t="str">
            <v>7.C3501557282122701</v>
          </cell>
          <cell r="B2870" t="str">
            <v>POWER100 SAVING DISHWASHING LIQUID LEMON 800G, EXPORTING TO CAMBODIA</v>
          </cell>
          <cell r="C2870" t="str">
            <v>NƯỚC RỬA CHÉN POWER100 TIẾT KIỆM HƯƠNG CHANH, LOẠI 800G, XK CAMPUCHIA</v>
          </cell>
          <cell r="D2870" t="str">
            <v>POWER100 SAVING DISHWASHING LIQUID LEMON 800G, EXPORTING TO CAMBODIA</v>
          </cell>
          <cell r="E2870">
            <v>0.8</v>
          </cell>
          <cell r="F2870" t="str">
            <v>Bỏ chọn</v>
          </cell>
          <cell r="G2870"/>
          <cell r="H2870"/>
        </row>
        <row r="2871">
          <cell r="A2871" t="str">
            <v>7.101041792200040</v>
          </cell>
          <cell r="B2871" t="str">
            <v>RPO IV 50-55 MP 33-39 FLEXIBAG@20MT</v>
          </cell>
          <cell r="C2871" t="str">
            <v>DẦU CỌ TINH LUYỆN TRONG TÚI FLEXIBAG</v>
          </cell>
          <cell r="D2871" t="str">
            <v>RPO IV 50-55 MP 33-39 FLEXIBAG@20MT</v>
          </cell>
          <cell r="E2871">
            <v>1</v>
          </cell>
          <cell r="F2871" t="str">
            <v>Chọn</v>
          </cell>
          <cell r="G2871"/>
          <cell r="H2871"/>
        </row>
        <row r="2872">
          <cell r="A2872" t="str">
            <v>7.1340551233401</v>
          </cell>
          <cell r="B2872" t="str">
            <v>GOLDEN CROWN BUTTER OIL SUBSTITUTE IN TIN 18KG</v>
          </cell>
          <cell r="C2872" t="str">
            <v>DẦU BƠ THAY THẾ NHÃN HIỆU GOLDEN CROWN ĐÓNG TRONG THÙNG THÉP 18KG</v>
          </cell>
          <cell r="D2872" t="str">
            <v>GOLDEN CROWN BUTTER OIL SUBSTITUTE IN TIN 18KG</v>
          </cell>
          <cell r="E2872">
            <v>18</v>
          </cell>
          <cell r="F2872" t="str">
            <v>Chọn</v>
          </cell>
          <cell r="G2872"/>
          <cell r="H2872"/>
        </row>
        <row r="2873">
          <cell r="A2873" t="str">
            <v>V51.000.109</v>
          </cell>
          <cell r="B2873" t="str">
            <v>MEADOW FRESH FUNNY PENCIL</v>
          </cell>
          <cell r="C2873" t="str">
            <v>BÚT CHÌ ĐẦU THÚ MEADOW FRESH</v>
          </cell>
          <cell r="D2873" t="str">
            <v>MEADOW FRESH FUNNY PENCIL</v>
          </cell>
          <cell r="E2873">
            <v>0</v>
          </cell>
          <cell r="F2873" t="str">
            <v>Chọn</v>
          </cell>
          <cell r="G2873"/>
          <cell r="H2873"/>
        </row>
        <row r="2874">
          <cell r="A2874" t="str">
            <v>7.C35015599541252</v>
          </cell>
          <cell r="B2874" t="str">
            <v>POWER100 DISWASHING LIQUID LEMON, 1,5KG X 8 SQUARE JRG IN CARTON, EXPORT TO LAOS</v>
          </cell>
          <cell r="C2874" t="str">
            <v>NƯỚC RỬA CHÉN POWER100 HƯƠNG CHANH, LOẠI 1,5KG X 8 CAN VUÔNG, XK LÀO</v>
          </cell>
          <cell r="D2874" t="str">
            <v>POWER100 DISWASHING LIQUID LEMON, 1,5KG X 8 SQUARE JRG IN CARTON, EXPORT TO LAOS</v>
          </cell>
          <cell r="E2874">
            <v>12</v>
          </cell>
          <cell r="F2874" t="str">
            <v>Bỏ chọn</v>
          </cell>
          <cell r="G2874"/>
          <cell r="H2874"/>
        </row>
        <row r="2875">
          <cell r="A2875" t="str">
            <v>7.C3501559954125201</v>
          </cell>
          <cell r="B2875" t="str">
            <v>POWER100 DISWASHING LIQUID LEMON 1,5KG, EXPORT TO LAOS</v>
          </cell>
          <cell r="C2875" t="str">
            <v>NƯỚC RỬA CHÉN POWER100 HƯƠNG CHANH, LOẠI 1,5KG CAN VUÔNG, XK LÀO</v>
          </cell>
          <cell r="D2875" t="str">
            <v>POWER100 DISWASHING LIQUID LEMON 1,5KG, EXPORT TO LAOS</v>
          </cell>
          <cell r="E2875">
            <v>1.5</v>
          </cell>
          <cell r="F2875" t="str">
            <v>Bỏ chọn</v>
          </cell>
          <cell r="G2875"/>
          <cell r="H2875"/>
        </row>
        <row r="2876">
          <cell r="A2876" t="str">
            <v>V51.046.025</v>
          </cell>
          <cell r="B2876" t="str">
            <v>PORK BOUILLON GRANULE 500G</v>
          </cell>
          <cell r="C2876" t="str">
            <v>HẠT NÊM 4 TRONG 1 - VỊ HEO 500G</v>
          </cell>
          <cell r="D2876" t="str">
            <v>PORK BOUILLON GRANULE 500G</v>
          </cell>
          <cell r="E2876">
            <v>0.5</v>
          </cell>
          <cell r="F2876" t="str">
            <v>Bỏ chọn</v>
          </cell>
          <cell r="G2876"/>
          <cell r="H2876"/>
        </row>
        <row r="2877">
          <cell r="A2877" t="str">
            <v>7.52399129905B0</v>
          </cell>
          <cell r="B2877" t="str">
            <v>PINK KEY - TSP 25KG</v>
          </cell>
          <cell r="C2877" t="str">
            <v>BỘT MÌ HIỆU CHÌA KHÓA HỒNG 25KG</v>
          </cell>
          <cell r="D2877" t="str">
            <v>PINK KEY - TSP 25KG</v>
          </cell>
          <cell r="E2877">
            <v>1</v>
          </cell>
          <cell r="F2877" t="str">
            <v>Bỏ chọn</v>
          </cell>
          <cell r="G2877"/>
          <cell r="H2877"/>
        </row>
        <row r="2878">
          <cell r="A2878" t="str">
            <v>6.70551</v>
          </cell>
          <cell r="B2878" t="str">
            <v>WILFARIN REFINED GLYCERINE 99.7% IN HPDE DRUM 250KG</v>
          </cell>
          <cell r="C2878" t="str">
            <v>WILFARIN GLYXERIN TINH KHIẾT 99,7% ĐÓNG TRONG PHUY NHỰA 250KG</v>
          </cell>
          <cell r="D2878" t="str">
            <v>WILFARIN REFINED GLYCERINE 99.7% IN HPDE DRUM 250KG</v>
          </cell>
          <cell r="E2878">
            <v>1</v>
          </cell>
          <cell r="F2878" t="str">
            <v>Bỏ chọn</v>
          </cell>
          <cell r="G2878"/>
          <cell r="H2878"/>
        </row>
        <row r="2879">
          <cell r="A2879" t="str">
            <v>7.52399224506A6</v>
          </cell>
          <cell r="B2879" t="str">
            <v>BLUE COMPASS - 999 KT 40KG</v>
          </cell>
          <cell r="C2879" t="str">
            <v>BỘT MÌ HIỆU LA BÀN XANH - 999 40KG</v>
          </cell>
          <cell r="D2879" t="str">
            <v>BLUE COMPASS - 999 KT 40KG</v>
          </cell>
          <cell r="E2879">
            <v>1</v>
          </cell>
          <cell r="F2879" t="str">
            <v>Bỏ chọn</v>
          </cell>
          <cell r="G2879"/>
          <cell r="H2879"/>
        </row>
        <row r="2880">
          <cell r="A2880" t="str">
            <v>7.5239922990557</v>
          </cell>
          <cell r="B2880" t="str">
            <v>BLUE COMPASS - AT 25KG</v>
          </cell>
          <cell r="C2880" t="str">
            <v>BỘT MÌ HIỆU LA BÀN XANH 25KG</v>
          </cell>
          <cell r="D2880" t="str">
            <v>BLUE COMPASS - AT 25KG</v>
          </cell>
          <cell r="E2880">
            <v>1</v>
          </cell>
          <cell r="F2880" t="str">
            <v>Bỏ chọn</v>
          </cell>
          <cell r="G2880"/>
          <cell r="H2880"/>
        </row>
        <row r="2881">
          <cell r="A2881" t="str">
            <v>7.52399229905A7</v>
          </cell>
          <cell r="B2881" t="str">
            <v>BLUE COMPASS - MT 25KG</v>
          </cell>
          <cell r="C2881" t="str">
            <v>BỘT MÌ HIỆU LA BÀN XANH 25KG</v>
          </cell>
          <cell r="D2881" t="str">
            <v>BLUE COMPASS - MT 25KG</v>
          </cell>
          <cell r="E2881">
            <v>1</v>
          </cell>
          <cell r="F2881" t="str">
            <v>Bỏ chọn</v>
          </cell>
          <cell r="G2881"/>
          <cell r="H2881"/>
        </row>
        <row r="2882">
          <cell r="A2882" t="str">
            <v>7.52399149905A7</v>
          </cell>
          <cell r="B2882" t="str">
            <v>RED COMPASS - MT 25KG</v>
          </cell>
          <cell r="C2882" t="str">
            <v>BỘT MÌ HIỆU LA BÀN ĐỎ 25KG</v>
          </cell>
          <cell r="D2882" t="str">
            <v>RED COMPASS - MT 25KG</v>
          </cell>
          <cell r="E2882">
            <v>1</v>
          </cell>
          <cell r="F2882" t="str">
            <v>Bỏ chọn</v>
          </cell>
          <cell r="G2882"/>
          <cell r="H2882"/>
        </row>
        <row r="2883">
          <cell r="A2883" t="str">
            <v>7.52399099906D1</v>
          </cell>
          <cell r="B2883" t="str">
            <v>MS-1 - BANH VANG 40KG</v>
          </cell>
          <cell r="C2883" t="str">
            <v>BỘT MÌ HIỆU MS-1 40KG</v>
          </cell>
          <cell r="D2883" t="str">
            <v>MS-1 - BANH VANG 40KG</v>
          </cell>
          <cell r="E2883">
            <v>1</v>
          </cell>
          <cell r="F2883" t="str">
            <v>Bỏ chọn</v>
          </cell>
          <cell r="G2883"/>
          <cell r="H2883"/>
        </row>
        <row r="2884">
          <cell r="A2884" t="str">
            <v>7.52399169905D1</v>
          </cell>
          <cell r="B2884" t="str">
            <v>RED PEN - BANH VANG 25KG</v>
          </cell>
          <cell r="C2884" t="str">
            <v>BỘT MÌ HIỆU CÂY VIẾT ĐỎ 25KG</v>
          </cell>
          <cell r="D2884" t="str">
            <v>RED PEN - BANH VANG 25KG</v>
          </cell>
          <cell r="E2884">
            <v>1</v>
          </cell>
          <cell r="F2884" t="str">
            <v>Bỏ chọn</v>
          </cell>
          <cell r="G2884"/>
          <cell r="H2884"/>
        </row>
        <row r="2885">
          <cell r="A2885" t="str">
            <v>7.52399371606D2</v>
          </cell>
          <cell r="B2885" t="str">
            <v>RED KING SHRIMP - AGRODER 40KG</v>
          </cell>
          <cell r="C2885" t="str">
            <v>BỘT MÌ HIỆU TÔM VUA ĐỎ 40KG</v>
          </cell>
          <cell r="D2885" t="str">
            <v>RED KING SHRIMP - AGRODER 40KG</v>
          </cell>
          <cell r="E2885">
            <v>1</v>
          </cell>
          <cell r="F2885" t="str">
            <v>Bỏ chọn</v>
          </cell>
          <cell r="G2885"/>
          <cell r="H2885"/>
        </row>
        <row r="2886">
          <cell r="A2886" t="str">
            <v>7.52399371606D3</v>
          </cell>
          <cell r="B2886" t="str">
            <v>RED KING SHRIMP - GROBEST 40KG</v>
          </cell>
          <cell r="C2886" t="str">
            <v>BỘT MÌ HIỆU TÔM VUA ĐỎ 40KG</v>
          </cell>
          <cell r="D2886" t="str">
            <v>RED KING SHRIMP - GROBEST 40KG</v>
          </cell>
          <cell r="E2886">
            <v>1</v>
          </cell>
          <cell r="F2886" t="str">
            <v>Bỏ chọn</v>
          </cell>
          <cell r="G2886"/>
          <cell r="H2886"/>
        </row>
        <row r="2887">
          <cell r="A2887" t="str">
            <v>7.52399371606D4</v>
          </cell>
          <cell r="B2887" t="str">
            <v>RED KING SHRIMP - GROWMAX 40KG</v>
          </cell>
          <cell r="C2887" t="str">
            <v>BỘT MÌ HIỆU TÔM VUA ĐỎ 40KG</v>
          </cell>
          <cell r="D2887" t="str">
            <v>RED KING SHRIMP - GROWMAX 40KG</v>
          </cell>
          <cell r="E2887">
            <v>1</v>
          </cell>
          <cell r="F2887" t="str">
            <v>Bỏ chọn</v>
          </cell>
          <cell r="G2887"/>
          <cell r="H2887"/>
        </row>
        <row r="2888">
          <cell r="A2888" t="str">
            <v>7.52399224306D0</v>
          </cell>
          <cell r="B2888" t="str">
            <v>BLUE COMPASS - 666 40KG</v>
          </cell>
          <cell r="C2888" t="str">
            <v>BỘT MÌ HIỆU LA BÀN XANH - 666 40KG</v>
          </cell>
          <cell r="D2888" t="str">
            <v>BLUE COMPASS - 666 40KG</v>
          </cell>
          <cell r="E2888">
            <v>1</v>
          </cell>
          <cell r="F2888" t="str">
            <v>Bỏ chọn</v>
          </cell>
          <cell r="G2888"/>
          <cell r="H2888"/>
        </row>
        <row r="2889">
          <cell r="A2889" t="str">
            <v>7.52399224406D0</v>
          </cell>
          <cell r="B2889" t="str">
            <v>BLUE COMPASS - 888 40KG</v>
          </cell>
          <cell r="C2889" t="str">
            <v>BỘT MÌ HIỆU LA BÀN XANH - 888 40KG</v>
          </cell>
          <cell r="D2889" t="str">
            <v>BLUE COMPASS - 888 40KG</v>
          </cell>
          <cell r="E2889">
            <v>1</v>
          </cell>
          <cell r="F2889" t="str">
            <v>Bỏ chọn</v>
          </cell>
          <cell r="G2889"/>
          <cell r="H2889"/>
        </row>
        <row r="2890">
          <cell r="A2890" t="str">
            <v>7.52399224506D0</v>
          </cell>
          <cell r="B2890" t="str">
            <v>BLUE COMPASS - 999 40KG</v>
          </cell>
          <cell r="C2890" t="str">
            <v>BỘT MÌ HIỆU LA BÀN XANH - 999 40KG</v>
          </cell>
          <cell r="D2890" t="str">
            <v>BLUE COMPASS - 999 40KG</v>
          </cell>
          <cell r="E2890">
            <v>1</v>
          </cell>
          <cell r="F2890" t="str">
            <v>Bỏ chọn</v>
          </cell>
          <cell r="G2890"/>
          <cell r="H2890"/>
        </row>
        <row r="2891">
          <cell r="A2891" t="str">
            <v>7.5239915990553</v>
          </cell>
          <cell r="B2891" t="str">
            <v>RED KEY (KA) 25KG</v>
          </cell>
          <cell r="C2891" t="str">
            <v>BỘT MÌ HIỆU CHÌA KHÓA ĐỎ 25KG</v>
          </cell>
          <cell r="D2891" t="str">
            <v>RED KEY (KA) 25KG</v>
          </cell>
          <cell r="E2891">
            <v>1</v>
          </cell>
          <cell r="F2891" t="str">
            <v>Bỏ chọn</v>
          </cell>
          <cell r="G2891"/>
          <cell r="H2891"/>
        </row>
        <row r="2892">
          <cell r="A2892" t="str">
            <v>7.52399159905D0</v>
          </cell>
          <cell r="B2892" t="str">
            <v>RED KEY 25KG</v>
          </cell>
          <cell r="C2892" t="str">
            <v>BỘT MÌ HIỆU CHÌA KHÓA ĐỎ 25KG</v>
          </cell>
          <cell r="D2892" t="str">
            <v>RED KEY 25KG</v>
          </cell>
          <cell r="E2892">
            <v>1</v>
          </cell>
          <cell r="F2892" t="str">
            <v>Bỏ chọn</v>
          </cell>
          <cell r="G2892"/>
          <cell r="H2892"/>
        </row>
        <row r="2893">
          <cell r="A2893" t="str">
            <v>7.52399159906D0</v>
          </cell>
          <cell r="B2893" t="str">
            <v>RED KEY 40KG</v>
          </cell>
          <cell r="C2893" t="str">
            <v>BỘT MÌ HIỆU CHÌA KHÓA ĐỎ 40KG</v>
          </cell>
          <cell r="D2893" t="str">
            <v>RED KEY 40KG</v>
          </cell>
          <cell r="E2893">
            <v>1</v>
          </cell>
          <cell r="F2893" t="str">
            <v>Bỏ chọn</v>
          </cell>
          <cell r="G2893"/>
          <cell r="H2893"/>
        </row>
        <row r="2894">
          <cell r="A2894" t="str">
            <v>7.52399224206D0</v>
          </cell>
          <cell r="B2894" t="str">
            <v>BLUE COMPASS - 555 40KG</v>
          </cell>
          <cell r="C2894" t="str">
            <v>BỘT MÌ HIỆU LA BÀN XANH - 555 40KG</v>
          </cell>
          <cell r="D2894" t="str">
            <v>BLUE COMPASS - 555 40KG</v>
          </cell>
          <cell r="E2894">
            <v>1</v>
          </cell>
          <cell r="F2894" t="str">
            <v>Bỏ chọn</v>
          </cell>
          <cell r="G2894"/>
          <cell r="H2894"/>
        </row>
        <row r="2895">
          <cell r="A2895" t="str">
            <v>7.52399224106D0</v>
          </cell>
          <cell r="B2895" t="str">
            <v>BLUE COMPASS - 333 40KG</v>
          </cell>
          <cell r="C2895" t="str">
            <v>BỘT MÌ HIỆU LA BÀN XANH - 333 40KG</v>
          </cell>
          <cell r="D2895" t="str">
            <v>BLUE COMPASS - 333 40KG</v>
          </cell>
          <cell r="E2895">
            <v>1</v>
          </cell>
          <cell r="F2895" t="str">
            <v>Bỏ chọn</v>
          </cell>
          <cell r="G2895"/>
          <cell r="H2895"/>
        </row>
        <row r="2896">
          <cell r="A2896" t="str">
            <v>7.52399224006D0</v>
          </cell>
          <cell r="B2896" t="str">
            <v>BLUE COMPASS - 111 40KG</v>
          </cell>
          <cell r="C2896" t="str">
            <v>BỘT MÌ HIỆU LA BÀN XANH - 111 40KG</v>
          </cell>
          <cell r="D2896" t="str">
            <v>BLUE COMPASS - 111 40KG</v>
          </cell>
          <cell r="E2896">
            <v>1</v>
          </cell>
          <cell r="F2896" t="str">
            <v>Bỏ chọn</v>
          </cell>
          <cell r="G2896"/>
          <cell r="H2896"/>
        </row>
        <row r="2897">
          <cell r="A2897" t="str">
            <v>7.52399229906D0</v>
          </cell>
          <cell r="B2897" t="str">
            <v>BLUE COMPASS 40KG</v>
          </cell>
          <cell r="C2897" t="str">
            <v>BỘT MÌ HIỆU LA BÀN XANH 40KG</v>
          </cell>
          <cell r="D2897" t="str">
            <v>BLUE COMPASS 40KG</v>
          </cell>
          <cell r="E2897">
            <v>1</v>
          </cell>
          <cell r="F2897" t="str">
            <v>Bỏ chọn</v>
          </cell>
          <cell r="G2897"/>
          <cell r="H2897"/>
        </row>
        <row r="2898">
          <cell r="A2898" t="str">
            <v>7.52399229905D0</v>
          </cell>
          <cell r="B2898" t="str">
            <v>BLUE COMPASS 25KG</v>
          </cell>
          <cell r="C2898" t="str">
            <v>BỘT MÌ HIỆU LA BÀN XANH 25KG</v>
          </cell>
          <cell r="D2898" t="str">
            <v>BLUE COMPASS 25KG</v>
          </cell>
          <cell r="E2898">
            <v>1</v>
          </cell>
          <cell r="F2898" t="str">
            <v>Bỏ chọn</v>
          </cell>
          <cell r="G2898"/>
          <cell r="H2898"/>
        </row>
        <row r="2899">
          <cell r="A2899" t="str">
            <v>7.52399269998D5</v>
          </cell>
          <cell r="B2899" t="str">
            <v>BLUE KEY PAU THO PHAT 37.5KG</v>
          </cell>
          <cell r="C2899" t="str">
            <v>BỘT MÌ HIỆU CKX BÁNH BAO THỌ PHÁT 37.5KG</v>
          </cell>
          <cell r="D2899" t="str">
            <v>BLUE KEY PAU THO PHAT 37.5KG</v>
          </cell>
          <cell r="E2899">
            <v>1</v>
          </cell>
          <cell r="F2899" t="str">
            <v>Bỏ chọn</v>
          </cell>
          <cell r="G2899"/>
          <cell r="H2899"/>
        </row>
        <row r="2900">
          <cell r="A2900" t="str">
            <v>7.52399269905D0</v>
          </cell>
          <cell r="B2900" t="str">
            <v>BLUE KEY PAU 25KG</v>
          </cell>
          <cell r="C2900" t="str">
            <v>BỘT MÌ HIỆU CKX BÁNH BAO 25KG</v>
          </cell>
          <cell r="D2900" t="str">
            <v>BLUE KEY PAU 25KG</v>
          </cell>
          <cell r="E2900">
            <v>1</v>
          </cell>
          <cell r="F2900" t="str">
            <v>Bỏ chọn</v>
          </cell>
          <cell r="G2900"/>
          <cell r="H2900"/>
        </row>
        <row r="2901">
          <cell r="A2901" t="str">
            <v>7.52399029906D0</v>
          </cell>
          <cell r="B2901" t="str">
            <v>BLUE KEY 40KG</v>
          </cell>
          <cell r="C2901" t="str">
            <v>BỘT MÌ HIỆU CHÌA KHÓA XANH 40KG</v>
          </cell>
          <cell r="D2901" t="str">
            <v>BLUE KEY 40KG</v>
          </cell>
          <cell r="E2901">
            <v>1</v>
          </cell>
          <cell r="F2901" t="str">
            <v>Bỏ chọn</v>
          </cell>
          <cell r="G2901"/>
          <cell r="H2901"/>
        </row>
        <row r="2902">
          <cell r="A2902" t="str">
            <v>7.52399029905D0</v>
          </cell>
          <cell r="B2902" t="str">
            <v>BLUE KEY 25KG</v>
          </cell>
          <cell r="C2902" t="str">
            <v>BỘT MÌ HIỆU CHÌA KHÓA XANH 25KG</v>
          </cell>
          <cell r="D2902" t="str">
            <v>BLUE KEY 25KG</v>
          </cell>
          <cell r="E2902">
            <v>1</v>
          </cell>
          <cell r="F2902" t="str">
            <v>Bỏ chọn</v>
          </cell>
          <cell r="G2902"/>
          <cell r="H2902"/>
        </row>
        <row r="2903">
          <cell r="A2903" t="str">
            <v>7.52399157306D0</v>
          </cell>
          <cell r="B2903" t="str">
            <v>RED KEY SP 40KG</v>
          </cell>
          <cell r="C2903" t="str">
            <v>BỘT MÌ HIỆU CHÌA KHÓA ĐỎ SP 40KG</v>
          </cell>
          <cell r="D2903" t="str">
            <v>RED KEY SP 40KG</v>
          </cell>
          <cell r="E2903">
            <v>1</v>
          </cell>
          <cell r="F2903" t="str">
            <v>Bỏ chọn</v>
          </cell>
          <cell r="G2903"/>
          <cell r="H2903"/>
        </row>
        <row r="2904">
          <cell r="A2904" t="str">
            <v>7.52399049905D0</v>
          </cell>
          <cell r="B2904" t="str">
            <v>BROWN COMPASS 25KG</v>
          </cell>
          <cell r="C2904" t="str">
            <v>BỘT MÌ HIỆU LA BÀN NÂU 25KG</v>
          </cell>
          <cell r="D2904" t="str">
            <v>BROWN COMPASS 25KG</v>
          </cell>
          <cell r="E2904">
            <v>1</v>
          </cell>
          <cell r="F2904" t="str">
            <v>Bỏ chọn</v>
          </cell>
          <cell r="G2904"/>
          <cell r="H2904"/>
        </row>
        <row r="2905">
          <cell r="A2905" t="str">
            <v>7.52399149905D0</v>
          </cell>
          <cell r="B2905" t="str">
            <v>RED COMPASS 25KG</v>
          </cell>
          <cell r="C2905" t="str">
            <v>BỘT MÌ HIỆU LA BÀN ĐỎ 25KG</v>
          </cell>
          <cell r="D2905" t="str">
            <v>RED COMPASS 25KG</v>
          </cell>
          <cell r="E2905">
            <v>1</v>
          </cell>
          <cell r="F2905" t="str">
            <v>Bỏ chọn</v>
          </cell>
          <cell r="G2905"/>
          <cell r="H2905"/>
        </row>
        <row r="2906">
          <cell r="A2906" t="str">
            <v>7.52399149906D0</v>
          </cell>
          <cell r="B2906" t="str">
            <v>RED COMPASS 40KG</v>
          </cell>
          <cell r="C2906" t="str">
            <v>BỘT MÌ HIỆU LA BÀN ĐỎ 40KG</v>
          </cell>
          <cell r="D2906" t="str">
            <v>RED COMPASS 40KG</v>
          </cell>
          <cell r="E2906">
            <v>1</v>
          </cell>
          <cell r="F2906" t="str">
            <v>Bỏ chọn</v>
          </cell>
          <cell r="G2906"/>
          <cell r="H2906"/>
        </row>
        <row r="2907">
          <cell r="A2907" t="str">
            <v>7.52399259905D0</v>
          </cell>
          <cell r="B2907" t="str">
            <v>BLUE KEY NOODLE 25KG</v>
          </cell>
          <cell r="C2907" t="str">
            <v>BỘT MÌ HIỆU CKX MÌ SỢI 25KG</v>
          </cell>
          <cell r="D2907" t="str">
            <v>BLUE KEY NOODLE 25KG</v>
          </cell>
          <cell r="E2907">
            <v>1</v>
          </cell>
          <cell r="F2907" t="str">
            <v>Bỏ chọn</v>
          </cell>
          <cell r="G2907"/>
          <cell r="H2907"/>
        </row>
        <row r="2908">
          <cell r="A2908" t="str">
            <v>7.52399119905D0</v>
          </cell>
          <cell r="B2908" t="str">
            <v>ORANGE KEY 25KG</v>
          </cell>
          <cell r="C2908" t="str">
            <v>BỘT MÌ HIỆU CHÌA KHÓA CAM 25KG</v>
          </cell>
          <cell r="D2908" t="str">
            <v>ORANGE KEY 25KG</v>
          </cell>
          <cell r="E2908">
            <v>1</v>
          </cell>
          <cell r="F2908" t="str">
            <v>Bỏ chọn</v>
          </cell>
          <cell r="G2908"/>
          <cell r="H2908"/>
        </row>
        <row r="2909">
          <cell r="A2909" t="str">
            <v>7.52399119906D0</v>
          </cell>
          <cell r="B2909" t="str">
            <v>ORANGE KEY 40KG</v>
          </cell>
          <cell r="C2909" t="str">
            <v>BỘT MÌ HIỆU CHÌA KHÓA CAM 40KG</v>
          </cell>
          <cell r="D2909" t="str">
            <v>ORANGE KEY 40KG</v>
          </cell>
          <cell r="E2909">
            <v>1</v>
          </cell>
          <cell r="F2909" t="str">
            <v>Bỏ chọn</v>
          </cell>
          <cell r="G2909"/>
          <cell r="H2909"/>
        </row>
        <row r="2910">
          <cell r="A2910" t="str">
            <v>7.52399129905D0</v>
          </cell>
          <cell r="B2910" t="str">
            <v>PINK KEY 25KG</v>
          </cell>
          <cell r="C2910" t="str">
            <v>BỘT MÌ HIỆU CHÌA KHÓA HỒNG 25KG</v>
          </cell>
          <cell r="D2910" t="str">
            <v>PINK KEY 25KG</v>
          </cell>
          <cell r="E2910">
            <v>1</v>
          </cell>
          <cell r="F2910" t="str">
            <v>Bỏ chọn</v>
          </cell>
          <cell r="G2910"/>
          <cell r="H2910"/>
        </row>
        <row r="2911">
          <cell r="A2911" t="str">
            <v>7.52399889905D0</v>
          </cell>
          <cell r="B2911" t="str">
            <v>GREEN SATELLITE 25KG</v>
          </cell>
          <cell r="C2911" t="str">
            <v>BỘT MÌ HIỆU VỆ TINH XANH LÁ 25KG</v>
          </cell>
          <cell r="D2911" t="str">
            <v xml:space="preserve">GREEN SATELLITE 25KG_x000D_
</v>
          </cell>
          <cell r="E2911">
            <v>1</v>
          </cell>
          <cell r="F2911" t="str">
            <v>Bỏ chọn</v>
          </cell>
          <cell r="G2911"/>
          <cell r="H2911"/>
        </row>
        <row r="2912">
          <cell r="A2912" t="str">
            <v>7.52399371406D6</v>
          </cell>
          <cell r="B2912" t="str">
            <v>BLUE KING SHRIMP (S) 40KG</v>
          </cell>
          <cell r="C2912" t="str">
            <v>BỘT MÌ HIỆU TÔM VUA XANH 40KG</v>
          </cell>
          <cell r="D2912" t="str">
            <v>BLUE KING SHRIMP (S) 40KG</v>
          </cell>
          <cell r="E2912">
            <v>1</v>
          </cell>
          <cell r="F2912" t="str">
            <v>Bỏ chọn</v>
          </cell>
          <cell r="G2912"/>
          <cell r="H2912"/>
        </row>
        <row r="2913">
          <cell r="A2913" t="str">
            <v>7.52399371606D7</v>
          </cell>
          <cell r="B2913" t="str">
            <v>RED KING SHRIMP SJ 40KG</v>
          </cell>
          <cell r="C2913" t="str">
            <v>BỘT MÌ HIỆU TÔM VUA ĐỎ 40KG</v>
          </cell>
          <cell r="D2913" t="str">
            <v>RED KING SHRIMP SJ 40KG</v>
          </cell>
          <cell r="E2913">
            <v>1</v>
          </cell>
          <cell r="F2913" t="str">
            <v>Bỏ chọn</v>
          </cell>
          <cell r="G2913"/>
          <cell r="H2913"/>
        </row>
        <row r="2914">
          <cell r="A2914" t="str">
            <v>7.52399371606D8</v>
          </cell>
          <cell r="B2914" t="str">
            <v>RED KING SHRIMP - NGOCLONG 40KG</v>
          </cell>
          <cell r="C2914" t="str">
            <v>BỘT MÌ HIỆU TÔM VUA ĐỎ 40KG</v>
          </cell>
          <cell r="D2914" t="str">
            <v>RED KING SHRIMP - NGOCLONG 40KG</v>
          </cell>
          <cell r="E2914">
            <v>1</v>
          </cell>
          <cell r="F2914" t="str">
            <v>Bỏ chọn</v>
          </cell>
          <cell r="G2914"/>
          <cell r="H2914"/>
        </row>
        <row r="2915">
          <cell r="A2915" t="str">
            <v>7.52399373606D9</v>
          </cell>
          <cell r="B2915" t="str">
            <v>BROWN KING SHRIMP (24) 40KG</v>
          </cell>
          <cell r="C2915" t="str">
            <v>BỘT MÌ HIỆU TÔM VUA NÂU 40KG</v>
          </cell>
          <cell r="D2915" t="str">
            <v>BROWN KING SHRIMP (24) 40KG</v>
          </cell>
          <cell r="E2915">
            <v>1</v>
          </cell>
          <cell r="F2915" t="str">
            <v>Bỏ chọn</v>
          </cell>
          <cell r="G2915"/>
          <cell r="H2915"/>
        </row>
        <row r="2916">
          <cell r="A2916" t="str">
            <v>7.52399373606E1</v>
          </cell>
          <cell r="B2916" t="str">
            <v>BROWN KING SHRIMP - GHP (24) 40KG</v>
          </cell>
          <cell r="C2916" t="str">
            <v>BỘT MÌ HIỆU TÔM VUA NÂU 40KG</v>
          </cell>
          <cell r="D2916" t="str">
            <v>BROWN KING SHRIMP - GHP (24) 40KG</v>
          </cell>
          <cell r="E2916">
            <v>1</v>
          </cell>
          <cell r="F2916" t="str">
            <v>Bỏ chọn</v>
          </cell>
          <cell r="G2916"/>
          <cell r="H2916"/>
        </row>
        <row r="2917">
          <cell r="A2917" t="str">
            <v>7.52399373606E2</v>
          </cell>
          <cell r="B2917" t="str">
            <v>BROWN KING SHRIMP(S )- GHP (24) 40KG</v>
          </cell>
          <cell r="C2917" t="str">
            <v>BỘT MÌ HIỆU TÔM VUA NÂU 40KG</v>
          </cell>
          <cell r="D2917" t="str">
            <v>BROWN KING SHRIMP(S )- GHP (24) 40KG</v>
          </cell>
          <cell r="E2917">
            <v>1</v>
          </cell>
          <cell r="F2917" t="str">
            <v>Bỏ chọn</v>
          </cell>
          <cell r="G2917"/>
          <cell r="H2917"/>
        </row>
        <row r="2918">
          <cell r="A2918" t="str">
            <v>7.52399373606E0</v>
          </cell>
          <cell r="B2918" t="str">
            <v>BROWN KING SHRIMP (26) 40KG</v>
          </cell>
          <cell r="C2918" t="str">
            <v>BỘT MÌ HIỆU TÔM VUA NÂU 40KG</v>
          </cell>
          <cell r="D2918" t="str">
            <v>BROWN KING SHRIMP (26) 40KG</v>
          </cell>
          <cell r="E2918">
            <v>1</v>
          </cell>
          <cell r="F2918" t="str">
            <v>Bỏ chọn</v>
          </cell>
          <cell r="G2918"/>
          <cell r="H2918"/>
        </row>
        <row r="2919">
          <cell r="A2919" t="str">
            <v>7.70573</v>
          </cell>
          <cell r="B2919" t="str">
            <v>FATTY ALCOHOL 1698 IN PAPER BAG 25KG</v>
          </cell>
          <cell r="C2919" t="str">
            <v>CHẤT HOẠT ĐỘNG BỀ MẶT FATTY ALCOHOL 1698 ĐÓNG TRONG BAO GIẤY 25KG</v>
          </cell>
          <cell r="D2919" t="str">
            <v>FATTY ALCOHOL 1698 IN PAPER BAG 25KG</v>
          </cell>
          <cell r="E2919">
            <v>1</v>
          </cell>
          <cell r="F2919" t="str">
            <v>Chọn</v>
          </cell>
          <cell r="G2919"/>
          <cell r="H2919"/>
        </row>
        <row r="2920">
          <cell r="A2920" t="str">
            <v>7.B2402239920E304</v>
          </cell>
          <cell r="B2920" t="str">
            <v>TPC HORECA PREMIUM CHILI SAUCE 2.1KG X 6 BOTTLES / CARTON</v>
          </cell>
          <cell r="C2920" t="str">
            <v>TƯƠNG ỚT HORECA PREMIUM TPC 2.1KG X 6 CHAI / THÙNG</v>
          </cell>
          <cell r="D2920" t="str">
            <v>TPC HORECA PREMIUM CHILI SAUCE 2.1KG X 6 BOTTLES / CARTON</v>
          </cell>
          <cell r="E2920">
            <v>12.6</v>
          </cell>
          <cell r="F2920" t="str">
            <v>Bỏ chọn</v>
          </cell>
          <cell r="G2920" t="str">
            <v>2000000008</v>
          </cell>
          <cell r="H2920" t="str">
            <v>7.B2402239920E30401</v>
          </cell>
        </row>
        <row r="2921">
          <cell r="A2921" t="str">
            <v>7.B2402239920E30401</v>
          </cell>
          <cell r="B2921" t="str">
            <v>TPC HORECA PREMIUM CHILI SAUCE 2.1KG</v>
          </cell>
          <cell r="C2921" t="str">
            <v>TƯƠNG ỚT HORECA PREMIUM TPC 2.1KG</v>
          </cell>
          <cell r="D2921" t="str">
            <v>TPC HORECA PREMIUM CHILI SAUCE 2.1KG</v>
          </cell>
          <cell r="E2921">
            <v>2.1</v>
          </cell>
          <cell r="F2921" t="str">
            <v>Bỏ chọn</v>
          </cell>
          <cell r="G2921" t="str">
            <v>2000000008</v>
          </cell>
          <cell r="H2921"/>
        </row>
        <row r="2922">
          <cell r="A2922" t="str">
            <v>7.B2407239935E316</v>
          </cell>
          <cell r="B2922" t="str">
            <v>TPC HORECA KETCHUP 2.2KG X 6 BOTTLES / CARTON</v>
          </cell>
          <cell r="C2922" t="str">
            <v>TƯƠNG CÀ HORECA TPC 2.2KG X 6 CHAI / THÙNG</v>
          </cell>
          <cell r="D2922" t="str">
            <v>TPC HORECA KETCHUP 2.2KG X 6 BOTTLES / CARTON</v>
          </cell>
          <cell r="E2922">
            <v>13.2</v>
          </cell>
          <cell r="F2922" t="str">
            <v>Bỏ chọn</v>
          </cell>
          <cell r="G2922" t="str">
            <v>2000000008</v>
          </cell>
          <cell r="H2922" t="str">
            <v>7.B2407239935E31601</v>
          </cell>
        </row>
        <row r="2923">
          <cell r="A2923" t="str">
            <v>7.B2407239935E31601</v>
          </cell>
          <cell r="B2923" t="str">
            <v>TPC HORECA KETCHUP 2.2KG</v>
          </cell>
          <cell r="C2923" t="str">
            <v>TƯƠNG CÀ HORECA TPC 2.2KG</v>
          </cell>
          <cell r="D2923" t="str">
            <v>TPC HORECA KETCHUP 2.2KG</v>
          </cell>
          <cell r="E2923">
            <v>2.2000000000000002</v>
          </cell>
          <cell r="F2923" t="str">
            <v>Bỏ chọn</v>
          </cell>
          <cell r="G2923" t="str">
            <v>2000000008</v>
          </cell>
          <cell r="H2923"/>
        </row>
        <row r="2924">
          <cell r="A2924" t="str">
            <v>7.70574</v>
          </cell>
          <cell r="B2924" t="str">
            <v>WILFARIN STEARIC ACID SA1860 IN PLASTIC BAG 25KG</v>
          </cell>
          <cell r="C2924" t="str">
            <v>AXIT STEARIC - WILFARIN SA1860 ĐÓNG TRONG TÚI NHỰA 25KG</v>
          </cell>
          <cell r="D2924" t="str">
            <v>WILFARIN STEARIC ACID SA1860 IN PLASTIC BAG 25KG</v>
          </cell>
          <cell r="E2924">
            <v>1</v>
          </cell>
          <cell r="F2924" t="str">
            <v>Bỏ chọn</v>
          </cell>
          <cell r="G2924"/>
          <cell r="H2924"/>
        </row>
        <row r="2925">
          <cell r="A2925" t="str">
            <v>7.101159591200C20</v>
          </cell>
          <cell r="B2925" t="str">
            <v>ORCHID ROL IV 58 IN JERRYCAN @25KG</v>
          </cell>
          <cell r="C2925" t="str">
            <v>DẦU THỰC VẬT TINH LUYỆN NHÃN HIỆU ORCHID 25KG</v>
          </cell>
          <cell r="D2925" t="str">
            <v>ORCHID ROL IV 58 IN JERRYCAN @25KG</v>
          </cell>
          <cell r="E2925">
            <v>25</v>
          </cell>
          <cell r="F2925" t="str">
            <v>Chọn</v>
          </cell>
          <cell r="G2925"/>
          <cell r="H2925"/>
        </row>
        <row r="2926">
          <cell r="A2926" t="str">
            <v>V51.00A.044</v>
          </cell>
          <cell r="B2926" t="str">
            <v>WOODEN TRAY FOR SPICES 170X140X170MM</v>
          </cell>
          <cell r="C2926" t="str">
            <v>KHAY GỖ ĐỰNG GIA VỊ 170X140X170MM</v>
          </cell>
          <cell r="D2926" t="str">
            <v>WOODEN TRAY FOR SPICES 170X140X170MM</v>
          </cell>
          <cell r="E2926">
            <v>0</v>
          </cell>
          <cell r="F2926" t="str">
            <v>Bỏ chọn</v>
          </cell>
          <cell r="G2926"/>
          <cell r="H2926"/>
        </row>
        <row r="2927">
          <cell r="A2927" t="str">
            <v>6.1441001</v>
          </cell>
          <cell r="B2927" t="str">
            <v>MIXED VEGETABLE ACID OIL</v>
          </cell>
          <cell r="C2927" t="str">
            <v>DẦU A-XÍT THỰC VẬT HỖN HỢP</v>
          </cell>
          <cell r="D2927" t="str">
            <v>MIXED VEGETABLE ACID OIL</v>
          </cell>
          <cell r="E2927">
            <v>1</v>
          </cell>
          <cell r="F2927" t="str">
            <v>Chọn</v>
          </cell>
          <cell r="G2927"/>
          <cell r="H2927"/>
        </row>
        <row r="2928">
          <cell r="A2928" t="str">
            <v>V51.00A.045</v>
          </cell>
          <cell r="B2928" t="str">
            <v>CHILLI SAUCE STANDEE</v>
          </cell>
          <cell r="C2928" t="str">
            <v>PHƯỚN ĐỨNG TƯƠNG ỚT</v>
          </cell>
          <cell r="D2928" t="str">
            <v>CHILLI SAUCE STANDEE</v>
          </cell>
          <cell r="E2928">
            <v>0</v>
          </cell>
          <cell r="F2928" t="str">
            <v>Bỏ chọn</v>
          </cell>
          <cell r="G2928"/>
          <cell r="H2928"/>
        </row>
        <row r="2929">
          <cell r="A2929" t="str">
            <v>V51.00A.046</v>
          </cell>
          <cell r="B2929" t="str">
            <v xml:space="preserve">NDFC STICKER </v>
          </cell>
          <cell r="C2929" t="str">
            <v>HÌNH ẢNH DÁN BÀN NDFC</v>
          </cell>
          <cell r="D2929" t="str">
            <v xml:space="preserve">NDFC STICKER </v>
          </cell>
          <cell r="E2929">
            <v>0</v>
          </cell>
          <cell r="F2929" t="str">
            <v>Bỏ chọn</v>
          </cell>
          <cell r="G2929"/>
          <cell r="H2929"/>
        </row>
        <row r="2930">
          <cell r="A2930" t="str">
            <v>V51.00A.047</v>
          </cell>
          <cell r="B2930" t="str">
            <v>NDFC TABLE FRAME</v>
          </cell>
          <cell r="C2930" t="str">
            <v>KHUNG BÀN NDFC</v>
          </cell>
          <cell r="D2930" t="str">
            <v>NDFC TABLE FRAME</v>
          </cell>
          <cell r="E2930">
            <v>0</v>
          </cell>
          <cell r="F2930" t="str">
            <v>Bỏ chọn</v>
          </cell>
          <cell r="G2930"/>
          <cell r="H2930"/>
        </row>
        <row r="2931">
          <cell r="A2931" t="str">
            <v>087.002.001</v>
          </cell>
          <cell r="B2931" t="str">
            <v>W+ EOS</v>
          </cell>
          <cell r="C2931" t="str">
            <v>W+ EOS</v>
          </cell>
          <cell r="D2931" t="str">
            <v>W+ EOS - ROOT PRODUCT</v>
          </cell>
          <cell r="E2931">
            <v>0</v>
          </cell>
          <cell r="F2931" t="str">
            <v>Bỏ chọn</v>
          </cell>
          <cell r="G2931"/>
          <cell r="H2931"/>
        </row>
        <row r="2932">
          <cell r="A2932" t="str">
            <v>V39.00A.008</v>
          </cell>
          <cell r="B2932" t="str">
            <v>SET OF GLASSES</v>
          </cell>
          <cell r="C2932" t="str">
            <v>BỘ LY THỦY TINH</v>
          </cell>
          <cell r="D2932" t="str">
            <v>SET OF GLASSES</v>
          </cell>
          <cell r="E2932">
            <v>0</v>
          </cell>
          <cell r="F2932" t="str">
            <v>Bỏ chọn</v>
          </cell>
          <cell r="G2932"/>
          <cell r="H2932"/>
        </row>
        <row r="2933">
          <cell r="A2933" t="str">
            <v>V39.00A.009</v>
          </cell>
          <cell r="B2933" t="str">
            <v>INOX SPOON</v>
          </cell>
          <cell r="C2933" t="str">
            <v>MUỖNG INOX</v>
          </cell>
          <cell r="D2933" t="str">
            <v>INOX SPOON</v>
          </cell>
          <cell r="E2933">
            <v>0</v>
          </cell>
          <cell r="F2933" t="str">
            <v>Bỏ chọn</v>
          </cell>
          <cell r="G2933"/>
          <cell r="H2933"/>
        </row>
        <row r="2934">
          <cell r="A2934" t="str">
            <v>V51.00A.048</v>
          </cell>
          <cell r="B2934" t="str">
            <v>CHILLI SAUCE DISPLAY RACK</v>
          </cell>
          <cell r="C2934" t="str">
            <v>KỆ CARTON TƯƠNG ỚT</v>
          </cell>
          <cell r="D2934" t="str">
            <v>CHILLI SAUCE DISPLAY RACK</v>
          </cell>
          <cell r="E2934">
            <v>0</v>
          </cell>
          <cell r="F2934" t="str">
            <v>Bỏ chọn</v>
          </cell>
          <cell r="G2934"/>
          <cell r="H2934"/>
        </row>
        <row r="2935">
          <cell r="A2935" t="str">
            <v>V51.00A.049</v>
          </cell>
          <cell r="B2935" t="str">
            <v>SALAD DRESSING  RACK</v>
          </cell>
          <cell r="C2935" t="str">
            <v>KỆ DẦU GIẤM</v>
          </cell>
          <cell r="D2935" t="str">
            <v>SALAD DRESSING  RACK</v>
          </cell>
          <cell r="E2935">
            <v>0</v>
          </cell>
          <cell r="F2935" t="str">
            <v>Bỏ chọn</v>
          </cell>
          <cell r="G2935"/>
          <cell r="H2935"/>
        </row>
        <row r="2936">
          <cell r="A2936" t="str">
            <v>V51.00A.050</v>
          </cell>
          <cell r="B2936" t="str">
            <v>OYSTER SAUCE RACK</v>
          </cell>
          <cell r="C2936" t="str">
            <v>KỆ DẦU HÀO</v>
          </cell>
          <cell r="D2936" t="str">
            <v>OYSTER SAUCE RACK</v>
          </cell>
          <cell r="E2936">
            <v>0</v>
          </cell>
          <cell r="F2936" t="str">
            <v>Bỏ chọn</v>
          </cell>
          <cell r="G2936"/>
          <cell r="H2936"/>
        </row>
        <row r="2937">
          <cell r="A2937" t="str">
            <v>V51.000.110</v>
          </cell>
          <cell r="B2937" t="str">
            <v>MEADOW FRESH IRON DISPLAY SHELF</v>
          </cell>
          <cell r="C2937" t="str">
            <v>KỆ SẮT TRƯNG BÀY MEADOW FRESH</v>
          </cell>
          <cell r="D2937" t="str">
            <v>MEADOW FRESH IRON DISPLAY SHELF</v>
          </cell>
          <cell r="E2937">
            <v>0</v>
          </cell>
          <cell r="F2937" t="str">
            <v>Chọn</v>
          </cell>
          <cell r="G2937"/>
          <cell r="H2937"/>
        </row>
        <row r="2938">
          <cell r="A2938" t="str">
            <v>7.C35015572330127</v>
          </cell>
          <cell r="B2938" t="str">
            <v>POWER100 SAVING DISHWASHING LIQUID LEMON, 400G X 24 BOTTLES IN CARTON</v>
          </cell>
          <cell r="C2938" t="str">
            <v>NƯỚC RỬA CHÉN POWER100 TIẾT KIỆM HƯƠNG CHANH, LOẠI 400G X 24 CHAI TRONG THÙNG CARTON</v>
          </cell>
          <cell r="D2938" t="str">
            <v>POWER100 SAVING DISHWASHING LIQUID LEMON, 400G X 24 BOTTLES IN CARTON</v>
          </cell>
          <cell r="E2938">
            <v>9.6</v>
          </cell>
          <cell r="F2938" t="str">
            <v>Bỏ chọn</v>
          </cell>
          <cell r="G2938"/>
          <cell r="H2938"/>
        </row>
        <row r="2939">
          <cell r="A2939" t="str">
            <v>7.C3501557233012701</v>
          </cell>
          <cell r="B2939" t="str">
            <v>POWER100 SAVING DISHWASHING LIQUID LEMON, 400G</v>
          </cell>
          <cell r="C2939" t="str">
            <v>NƯỚC RỬA CHÉN POWER100 TIẾT KIỆM HƯƠNG CHANH, LOẠI 400G</v>
          </cell>
          <cell r="D2939" t="str">
            <v>POWER100 SAVING DISHWASHING LIQUID LEMON, 400G</v>
          </cell>
          <cell r="E2939">
            <v>0.4</v>
          </cell>
          <cell r="F2939" t="str">
            <v>Bỏ chọn</v>
          </cell>
          <cell r="G2939"/>
          <cell r="H2939"/>
        </row>
        <row r="2940">
          <cell r="A2940" t="str">
            <v>7.C35015572690127</v>
          </cell>
          <cell r="B2940" t="str">
            <v>POWER100 SAVING DISHWASHING LIQUID LEMON, 750G X 16 BOTTLES IN CARTON</v>
          </cell>
          <cell r="C2940" t="str">
            <v>NƯỚC RỬA CHÉN POWER100 TIẾT KIỆM HƯƠNG CHANH, LOẠI 750G X 16 CHAI TRONG THÙNG CARTON</v>
          </cell>
          <cell r="D2940" t="str">
            <v>POWER100 SAVING DISHWASHING LIQUID LEMON, 750G X 16 BOTTLES IN CARTON</v>
          </cell>
          <cell r="E2940">
            <v>12</v>
          </cell>
          <cell r="F2940" t="str">
            <v>Bỏ chọn</v>
          </cell>
          <cell r="G2940"/>
          <cell r="H2940"/>
        </row>
        <row r="2941">
          <cell r="A2941" t="str">
            <v>7.C3501557269012701</v>
          </cell>
          <cell r="B2941" t="str">
            <v>POWER100 SAVING DISHWASHING LIQUID LEMON, 750G</v>
          </cell>
          <cell r="C2941" t="str">
            <v>NƯỚC RỬA CHÉN POWER100 TIẾT KIỆM HƯƠNG CHANH, LOẠI 750G</v>
          </cell>
          <cell r="D2941" t="str">
            <v>POWER100 SAVING DISHWASHING LIQUID LEMON, 750G</v>
          </cell>
          <cell r="E2941">
            <v>0.75</v>
          </cell>
          <cell r="F2941" t="str">
            <v>Bỏ chọn</v>
          </cell>
          <cell r="G2941"/>
          <cell r="H2941"/>
        </row>
        <row r="2942">
          <cell r="A2942" t="str">
            <v>7.52399153405E4</v>
          </cell>
          <cell r="B2942" t="str">
            <v>RED KEY NOODLE - HL 25KG</v>
          </cell>
          <cell r="C2942" t="str">
            <v>BỘT MÌ HIỆU CHÌA KHÓA ĐỎ MÌ SỢI 25KG</v>
          </cell>
          <cell r="D2942" t="str">
            <v>RED KEY NOODLE - HL 25KG</v>
          </cell>
          <cell r="E2942">
            <v>1</v>
          </cell>
          <cell r="F2942" t="str">
            <v>Bỏ chọn</v>
          </cell>
          <cell r="G2942"/>
          <cell r="H2942"/>
        </row>
        <row r="2943">
          <cell r="A2943" t="str">
            <v>7.70575</v>
          </cell>
          <cell r="B2943" t="str">
            <v xml:space="preserve"> SUNLUBE EBS DA IN BAG 5KG</v>
          </cell>
          <cell r="C2943" t="str">
            <v>SÁP NHÂN TẠO SUNLUBE EBS DA ĐÓNG TRONG TÚI 5KG</v>
          </cell>
          <cell r="D2943" t="str">
            <v xml:space="preserve"> SUNLUBE EBS DA IN BAG 5KG</v>
          </cell>
          <cell r="E2943">
            <v>1</v>
          </cell>
          <cell r="F2943" t="str">
            <v>Bỏ chọn</v>
          </cell>
          <cell r="G2943"/>
          <cell r="H2943"/>
        </row>
        <row r="2944">
          <cell r="A2944" t="str">
            <v>V51.00A.051</v>
          </cell>
          <cell r="B2944" t="str">
            <v>PLASTIC BASKET 708 NEW AW</v>
          </cell>
          <cell r="C2944" t="str">
            <v>RỔ NHỰA 708 NEW AW</v>
          </cell>
          <cell r="D2944" t="str">
            <v>PLASTIC BASKET 708 NEW AW</v>
          </cell>
          <cell r="E2944">
            <v>0</v>
          </cell>
          <cell r="F2944" t="str">
            <v>Bỏ chọn</v>
          </cell>
          <cell r="G2944"/>
          <cell r="H2944"/>
        </row>
        <row r="2945">
          <cell r="A2945" t="str">
            <v>7.70576</v>
          </cell>
          <cell r="B2945" t="str">
            <v>METHYL ESTER SULPHONATE POWDER (WILFAMES C16 - PR10) IN BAG 25KG</v>
          </cell>
          <cell r="C2945" t="str">
            <v>CHẤT HOẠT ĐỘNG BỀ MẶT DẠNG ANION - WILFAMES C16 - PR10 ĐÓNG TRONG BAO 25KG</v>
          </cell>
          <cell r="D2945" t="str">
            <v>METHYL ESTER SULPHONATE POWDER (WILFAMES C16 - PR10) IN BAG 25KG</v>
          </cell>
          <cell r="E2945">
            <v>1</v>
          </cell>
          <cell r="F2945" t="str">
            <v>Bỏ chọn</v>
          </cell>
          <cell r="G2945"/>
          <cell r="H2945"/>
        </row>
        <row r="2946">
          <cell r="A2946" t="str">
            <v>7.70577</v>
          </cell>
          <cell r="B2946" t="str">
            <v xml:space="preserve">METHYL ESTER SULPHONATE (MES) PASTE 28% IN BAG 2KG </v>
          </cell>
          <cell r="C2946" t="str">
            <v>CHẤT HOẠT ĐỘNG BỀ MẶT DẠNG ANION ĐÓNG TRONG BAO 2KG</v>
          </cell>
          <cell r="D2946" t="str">
            <v xml:space="preserve">METHYL ESTER SULPHONATE (MES) PASTE 28% IN BAG 2KG </v>
          </cell>
          <cell r="E2946">
            <v>1</v>
          </cell>
          <cell r="F2946" t="str">
            <v>Bỏ chọn</v>
          </cell>
          <cell r="G2946"/>
          <cell r="H2946"/>
        </row>
        <row r="2947">
          <cell r="A2947" t="str">
            <v>7.52399145506D0</v>
          </cell>
          <cell r="B2947" t="str">
            <v>RED COMPASS - 111 40KG</v>
          </cell>
          <cell r="C2947" t="str">
            <v>BỘT MÌ HIỆU LA BÀN ĐỎ - 111 40KG</v>
          </cell>
          <cell r="D2947" t="str">
            <v>RED COMPASS - 111 40KG</v>
          </cell>
          <cell r="E2947">
            <v>1</v>
          </cell>
          <cell r="F2947" t="str">
            <v>Bỏ chọn</v>
          </cell>
          <cell r="G2947"/>
          <cell r="H2947"/>
        </row>
        <row r="2948">
          <cell r="A2948" t="str">
            <v>7.52399145706D0</v>
          </cell>
          <cell r="B2948" t="str">
            <v>RED COMPASS - 555 40KG</v>
          </cell>
          <cell r="C2948" t="str">
            <v>BỘT MÌ HIỆU LA BÀN ĐỎ - 555 40KG</v>
          </cell>
          <cell r="D2948" t="str">
            <v>RED COMPASS - 555 40KG</v>
          </cell>
          <cell r="E2948">
            <v>1</v>
          </cell>
          <cell r="F2948" t="str">
            <v>Bỏ chọn</v>
          </cell>
          <cell r="G2948"/>
          <cell r="H2948"/>
        </row>
        <row r="2949">
          <cell r="A2949" t="str">
            <v>7.52399145806D0</v>
          </cell>
          <cell r="B2949" t="str">
            <v>RED COMPASS - 666 40KG</v>
          </cell>
          <cell r="C2949" t="str">
            <v>BỘT MÌ HIỆU LA BÀN ĐỎ - 666 40KG</v>
          </cell>
          <cell r="D2949" t="str">
            <v>RED COMPASS - 666 40KG</v>
          </cell>
          <cell r="E2949">
            <v>1</v>
          </cell>
          <cell r="F2949" t="str">
            <v>Bỏ chọn</v>
          </cell>
          <cell r="G2949"/>
          <cell r="H2949"/>
        </row>
        <row r="2950">
          <cell r="A2950" t="str">
            <v>7.52399145906D0</v>
          </cell>
          <cell r="B2950" t="str">
            <v>RED COMPASS - 888 40KG</v>
          </cell>
          <cell r="C2950" t="str">
            <v>BỘT MÌ HIỆU LA BÀN ĐỎ - 888 40KG</v>
          </cell>
          <cell r="D2950" t="str">
            <v>RED COMPASS - 888 40KG</v>
          </cell>
          <cell r="E2950">
            <v>1</v>
          </cell>
          <cell r="F2950" t="str">
            <v>Bỏ chọn</v>
          </cell>
          <cell r="G2950"/>
          <cell r="H2950"/>
        </row>
        <row r="2951">
          <cell r="A2951" t="str">
            <v>7.52399146006D0</v>
          </cell>
          <cell r="B2951" t="str">
            <v>RED COMPASS - 999 40KG</v>
          </cell>
          <cell r="C2951" t="str">
            <v>BỘT MÌ HIỆU LA BÀN ĐỎ - 999 40KG</v>
          </cell>
          <cell r="D2951" t="str">
            <v>RED COMPASS - 999 40KG</v>
          </cell>
          <cell r="E2951">
            <v>1</v>
          </cell>
          <cell r="F2951" t="str">
            <v>Bỏ chọn</v>
          </cell>
          <cell r="G2951"/>
          <cell r="H2951"/>
        </row>
        <row r="2952">
          <cell r="A2952" t="str">
            <v>7.52399045406D0</v>
          </cell>
          <cell r="B2952" t="str">
            <v>BROWN COMPASS - 999 40KG</v>
          </cell>
          <cell r="C2952" t="str">
            <v>BỘT MÌ HIỆU LA BÀN NÂU - 999 40KG</v>
          </cell>
          <cell r="D2952" t="str">
            <v>BROWN COMPASS - 999 40KG</v>
          </cell>
          <cell r="E2952">
            <v>1</v>
          </cell>
          <cell r="F2952" t="str">
            <v>Bỏ chọn</v>
          </cell>
          <cell r="G2952"/>
          <cell r="H2952"/>
        </row>
        <row r="2953">
          <cell r="A2953" t="str">
            <v>7.52399045306D0</v>
          </cell>
          <cell r="B2953" t="str">
            <v>BROWN COMPASS - 888 40KG</v>
          </cell>
          <cell r="C2953" t="str">
            <v>BỘT MÌ HIỆU LA BÀN NÂU - 888 40KG</v>
          </cell>
          <cell r="D2953" t="str">
            <v>BROWN COMPASS - 888 40KG</v>
          </cell>
          <cell r="E2953">
            <v>1</v>
          </cell>
          <cell r="F2953" t="str">
            <v>Bỏ chọn</v>
          </cell>
          <cell r="G2953"/>
          <cell r="H2953"/>
        </row>
        <row r="2954">
          <cell r="A2954" t="str">
            <v>7.52399045206D0</v>
          </cell>
          <cell r="B2954" t="str">
            <v>BROWN COMPASS - 666 40KG</v>
          </cell>
          <cell r="C2954" t="str">
            <v>BỘT MÌ HIỆU LA BÀN NÂU - 666 40KG</v>
          </cell>
          <cell r="D2954" t="str">
            <v>BROWN COMPASS - 666 40KG</v>
          </cell>
          <cell r="E2954">
            <v>1</v>
          </cell>
          <cell r="F2954" t="str">
            <v>Bỏ chọn</v>
          </cell>
          <cell r="G2954"/>
          <cell r="H2954"/>
        </row>
        <row r="2955">
          <cell r="A2955" t="str">
            <v>7.52399045106D0</v>
          </cell>
          <cell r="B2955" t="str">
            <v>BROWN COMPASS - 555 40KG</v>
          </cell>
          <cell r="C2955" t="str">
            <v>BỘT MÌ HIỆU LA BÀN NÂU - 555 40KG</v>
          </cell>
          <cell r="D2955" t="str">
            <v>BROWN COMPASS - 555 40KG</v>
          </cell>
          <cell r="E2955">
            <v>1</v>
          </cell>
          <cell r="F2955" t="str">
            <v>Bỏ chọn</v>
          </cell>
          <cell r="G2955"/>
          <cell r="H2955"/>
        </row>
        <row r="2956">
          <cell r="A2956" t="str">
            <v>7.52399045006D0</v>
          </cell>
          <cell r="B2956" t="str">
            <v>BROWN COMPASS - 333 40KG</v>
          </cell>
          <cell r="C2956" t="str">
            <v>BỘT MÌ HIỆU LA BÀN NÂU - 333 40KG</v>
          </cell>
          <cell r="D2956" t="str">
            <v>BROWN COMPASS - 333 40KG</v>
          </cell>
          <cell r="E2956">
            <v>1</v>
          </cell>
          <cell r="F2956" t="str">
            <v>Bỏ chọn</v>
          </cell>
          <cell r="G2956"/>
          <cell r="H2956"/>
        </row>
        <row r="2957">
          <cell r="A2957" t="str">
            <v>7.52399896605D0</v>
          </cell>
          <cell r="B2957" t="str">
            <v>TAN HUE VIEN - GREEN 25KG</v>
          </cell>
          <cell r="C2957" t="str">
            <v>BỘT MÌ HIỆU TÂN HUÊ VIÊN - XANH LÁ 25KG</v>
          </cell>
          <cell r="D2957" t="str">
            <v>TAN HUE VIEN - GREEN 25KG</v>
          </cell>
          <cell r="E2957">
            <v>1</v>
          </cell>
          <cell r="F2957" t="str">
            <v>Bỏ chọn</v>
          </cell>
          <cell r="G2957"/>
          <cell r="H2957"/>
        </row>
        <row r="2958">
          <cell r="A2958" t="str">
            <v>7.52399896505D0</v>
          </cell>
          <cell r="B2958" t="str">
            <v>TAN HUE VIEN - PINK 25KG</v>
          </cell>
          <cell r="C2958" t="str">
            <v>BỘT MÌ HIỆU TÂN HUÊ VIÊN - HỒNG 25KG</v>
          </cell>
          <cell r="D2958" t="str">
            <v>TAN HUE VIEN - PINK 25KG</v>
          </cell>
          <cell r="E2958">
            <v>1</v>
          </cell>
          <cell r="F2958" t="str">
            <v>Bỏ chọn</v>
          </cell>
          <cell r="G2958"/>
          <cell r="H2958"/>
        </row>
        <row r="2959">
          <cell r="A2959" t="str">
            <v>7.52399749905D0</v>
          </cell>
          <cell r="B2959" t="str">
            <v>RED PEGASUS 25KG</v>
          </cell>
          <cell r="C2959" t="str">
            <v>BỘT MÌ HIỆU THIÊN MÃ ĐỎ 25KG</v>
          </cell>
          <cell r="D2959" t="str">
            <v>RED PEGASUS 25KG</v>
          </cell>
          <cell r="E2959">
            <v>1</v>
          </cell>
          <cell r="F2959" t="str">
            <v>Bỏ chọn</v>
          </cell>
          <cell r="G2959"/>
          <cell r="H2959"/>
        </row>
        <row r="2960">
          <cell r="A2960" t="str">
            <v>7.52399174805E5</v>
          </cell>
          <cell r="B2960" t="str">
            <v>RED SATELLITE CLASSIC 25KG</v>
          </cell>
          <cell r="C2960" t="str">
            <v>BỘT MÌ HIỆU VỆ TINH ĐỎ 25KG</v>
          </cell>
          <cell r="D2960" t="str">
            <v>RED SATELLITE CLASSIC 25KG</v>
          </cell>
          <cell r="E2960">
            <v>1</v>
          </cell>
          <cell r="F2960" t="str">
            <v>Bỏ chọn</v>
          </cell>
          <cell r="G2960"/>
          <cell r="H2960"/>
        </row>
        <row r="2961">
          <cell r="A2961" t="str">
            <v>7.52399079905E5</v>
          </cell>
          <cell r="B2961" t="str">
            <v>GREEN KEY CLASSIC 25KG</v>
          </cell>
          <cell r="C2961" t="str">
            <v>BỘT MÌ HIỆU CHÌA KHÓA XANH LÁ 25KG</v>
          </cell>
          <cell r="D2961" t="str">
            <v>GREEN KEY CLASSIC 25KG</v>
          </cell>
          <cell r="E2961">
            <v>1</v>
          </cell>
          <cell r="F2961" t="str">
            <v>Bỏ chọn</v>
          </cell>
          <cell r="G2961"/>
          <cell r="H2961"/>
        </row>
        <row r="2962">
          <cell r="A2962" t="str">
            <v>7.52399129905E5</v>
          </cell>
          <cell r="B2962" t="str">
            <v>PINK KEY CLASSIC 25KG</v>
          </cell>
          <cell r="C2962" t="str">
            <v>BỘT MÌ HIỆU CHÌA KHÓA HỒNG 25KG</v>
          </cell>
          <cell r="D2962" t="str">
            <v>PINK KEY CLASSIC 25KG</v>
          </cell>
          <cell r="E2962">
            <v>1</v>
          </cell>
          <cell r="F2962" t="str">
            <v>Bỏ chọn</v>
          </cell>
          <cell r="G2962"/>
          <cell r="H2962"/>
        </row>
        <row r="2963">
          <cell r="A2963" t="str">
            <v>7.52399159905E5</v>
          </cell>
          <cell r="B2963" t="str">
            <v>RED KEY CLASSIC 25KG</v>
          </cell>
          <cell r="C2963" t="str">
            <v>BỘT MÌ HIỆU CHÌA KHÓA ĐỎ 25KG</v>
          </cell>
          <cell r="D2963" t="str">
            <v>RED KEY CLASSIC 25KG</v>
          </cell>
          <cell r="E2963">
            <v>1</v>
          </cell>
          <cell r="F2963" t="str">
            <v>Bỏ chọn</v>
          </cell>
          <cell r="G2963"/>
          <cell r="H2963"/>
        </row>
        <row r="2964">
          <cell r="A2964" t="str">
            <v>7.52399153405D0</v>
          </cell>
          <cell r="B2964" t="str">
            <v>RED KEY NOODLE 25KG</v>
          </cell>
          <cell r="C2964" t="str">
            <v>BỘT MÌ HIỆU CHÌA KHÓA ĐỎ MÌ SỢI 25KG</v>
          </cell>
          <cell r="D2964" t="str">
            <v>RED KEY NOODLE 25KG</v>
          </cell>
          <cell r="E2964">
            <v>1</v>
          </cell>
          <cell r="F2964" t="str">
            <v>Bỏ chọn</v>
          </cell>
          <cell r="G2964"/>
          <cell r="H2964"/>
        </row>
        <row r="2965">
          <cell r="A2965" t="str">
            <v>7.52399159906E6</v>
          </cell>
          <cell r="B2965" t="str">
            <v>RED KEY-KHV 40KG</v>
          </cell>
          <cell r="C2965" t="str">
            <v>BỘT MÌ HIỆU CHÌA KHÓA ĐỎ 40KG</v>
          </cell>
          <cell r="D2965" t="str">
            <v>RED KEY-KHV 40KG</v>
          </cell>
          <cell r="E2965">
            <v>1</v>
          </cell>
          <cell r="F2965" t="str">
            <v>Bỏ chọn</v>
          </cell>
          <cell r="G2965"/>
          <cell r="H2965"/>
        </row>
        <row r="2966">
          <cell r="A2966" t="str">
            <v>7.52399689906D0</v>
          </cell>
          <cell r="B2966" t="str">
            <v>YELLOW KEY 40KG</v>
          </cell>
          <cell r="C2966" t="str">
            <v>BỘT MÌ HIỆU CHÌA KHÓA VÀNG 40KG</v>
          </cell>
          <cell r="D2966" t="str">
            <v>YELLOW KEY 40KG</v>
          </cell>
          <cell r="E2966">
            <v>1</v>
          </cell>
          <cell r="F2966" t="str">
            <v>Bỏ chọn</v>
          </cell>
          <cell r="G2966"/>
          <cell r="H2966"/>
        </row>
        <row r="2967">
          <cell r="A2967" t="str">
            <v>7.52399026805D0</v>
          </cell>
          <cell r="B2967" t="str">
            <v>BLUE KEY - 111 25KG</v>
          </cell>
          <cell r="C2967" t="str">
            <v>BỘT MÌ HIỆU CHÌA KHÓA XANH - 111 25KG</v>
          </cell>
          <cell r="D2967" t="str">
            <v>BLUE KEY - 111 25KG</v>
          </cell>
          <cell r="E2967">
            <v>1</v>
          </cell>
          <cell r="F2967" t="str">
            <v>Bỏ chọn</v>
          </cell>
          <cell r="G2967"/>
          <cell r="H2967"/>
        </row>
        <row r="2968">
          <cell r="A2968" t="str">
            <v>7.52399174805D0</v>
          </cell>
          <cell r="B2968" t="str">
            <v>RED SATELLITE 25KG</v>
          </cell>
          <cell r="C2968" t="str">
            <v>BỘT MÌ HIỆU VỆ TINH ĐỎ 25KG</v>
          </cell>
          <cell r="D2968" t="str">
            <v>RED SATELLITE 25KG</v>
          </cell>
          <cell r="E2968">
            <v>1</v>
          </cell>
          <cell r="F2968" t="str">
            <v>Bỏ chọn</v>
          </cell>
          <cell r="G2968"/>
          <cell r="H2968"/>
        </row>
        <row r="2969">
          <cell r="A2969" t="str">
            <v>7.52399177405D0</v>
          </cell>
          <cell r="B2969" t="str">
            <v>PINK SATELLITE 25KG</v>
          </cell>
          <cell r="C2969" t="str">
            <v>BỘT MÌ HIỆU VỆ TINH HỒNG 25KG</v>
          </cell>
          <cell r="D2969" t="str">
            <v>PINK SATELLITE 25KG</v>
          </cell>
          <cell r="E2969">
            <v>1</v>
          </cell>
          <cell r="F2969" t="str">
            <v>Bỏ chọn</v>
          </cell>
          <cell r="G2969"/>
          <cell r="H2969"/>
        </row>
        <row r="2970">
          <cell r="A2970" t="str">
            <v>7.52399177505D0</v>
          </cell>
          <cell r="B2970" t="str">
            <v>RED SATELLITE - LOW ASH 25KG</v>
          </cell>
          <cell r="C2970" t="str">
            <v>BỘT MÌ HIỆU VỆ TINH ĐỎ - ĐỘ TRO THẤP 25KG</v>
          </cell>
          <cell r="D2970" t="str">
            <v>RED SATELLITE - LOW ASH 25KG</v>
          </cell>
          <cell r="E2970">
            <v>1</v>
          </cell>
          <cell r="F2970" t="str">
            <v>Bỏ chọn</v>
          </cell>
          <cell r="G2970"/>
          <cell r="H2970"/>
        </row>
        <row r="2971">
          <cell r="A2971" t="str">
            <v>7.E3801789985C932RT</v>
          </cell>
          <cell r="B2971" t="str">
            <v xml:space="preserve">MEADOW FRESH UHT FULL CREAM PURE MILK 1LX12 TUB IN CARTON </v>
          </cell>
          <cell r="C2971" t="str">
            <v>SỮA TƯƠI TIỆT TRÙNG NGUYÊN KEM NHÃN HIỆU MEADOW FRESH 1LX12 HỘP ĐÓNG TRONG THÙNG CARTON</v>
          </cell>
          <cell r="D2971" t="str">
            <v xml:space="preserve">MEADOW FRESH UHT FULL CREAM PURE MILK 1LX12 TUB IN CARTON </v>
          </cell>
          <cell r="E2971">
            <v>12</v>
          </cell>
          <cell r="F2971" t="str">
            <v>Bỏ chọn</v>
          </cell>
          <cell r="G2971"/>
          <cell r="H2971" t="str">
            <v>7.E3801789985C93201</v>
          </cell>
        </row>
        <row r="2972">
          <cell r="A2972" t="str">
            <v>7.E3801789985C93201RT</v>
          </cell>
          <cell r="B2972" t="str">
            <v>MEADOW FRESH UHT FULL CREAM PURE MILK 1L</v>
          </cell>
          <cell r="C2972" t="str">
            <v>SỮA TƯƠI TIỆT TRÙNG NGUYÊN KEM NHÃN HIỆU MEADOW FRESH 1L</v>
          </cell>
          <cell r="D2972" t="str">
            <v>MEADOW FRESH UHT FULL CREAM PURE MILK 1L</v>
          </cell>
          <cell r="E2972">
            <v>1</v>
          </cell>
          <cell r="F2972" t="str">
            <v>Bỏ chọn</v>
          </cell>
          <cell r="G2972"/>
          <cell r="H2972"/>
        </row>
        <row r="2973">
          <cell r="A2973" t="str">
            <v>7.E3801789985C933RT</v>
          </cell>
          <cell r="B2973" t="str">
            <v>MEADOW FRESH UHT SKIMMED PURE MILK 1LX12 TUB IN CARTON</v>
          </cell>
          <cell r="C2973" t="str">
            <v>SỮA TƯƠI TIỆT TRÙNG TÁCH BÉO NHÃN HIỆU MEADOW FRESH 1LX12 HỘP ĐÓNG TRONG THÙNG CARTON</v>
          </cell>
          <cell r="D2973" t="str">
            <v>MEADOW FRESH UHT SKIMMED PURE MILK 1LX12 TUB IN CARTON</v>
          </cell>
          <cell r="E2973">
            <v>12</v>
          </cell>
          <cell r="F2973" t="str">
            <v>Bỏ chọn</v>
          </cell>
          <cell r="G2973"/>
          <cell r="H2973" t="str">
            <v>7.E3801789985C93301</v>
          </cell>
        </row>
        <row r="2974">
          <cell r="A2974" t="str">
            <v>7.E3801789985C93301RT</v>
          </cell>
          <cell r="B2974" t="str">
            <v>MEADOW FRESH UHT SKIMMED PURE MILK 1L</v>
          </cell>
          <cell r="C2974" t="str">
            <v>SỮA TƯƠI TIỆT TRÙNG TÁCH BÉO NHÃN HIỆU MEADOW FRESH 1L</v>
          </cell>
          <cell r="D2974" t="str">
            <v>MEADOW FRESH UHT SKIMMED PURE MILK 1L</v>
          </cell>
          <cell r="E2974">
            <v>1</v>
          </cell>
          <cell r="F2974" t="str">
            <v>Bỏ chọn</v>
          </cell>
          <cell r="G2974"/>
          <cell r="H2974"/>
        </row>
        <row r="2975">
          <cell r="A2975" t="str">
            <v>7.E3801789985C935RT</v>
          </cell>
          <cell r="B2975" t="str">
            <v>MEADOW FRESH UHT LOW FAT PURE MILK 1LX12 TUB IN CARTON</v>
          </cell>
          <cell r="C2975" t="str">
            <v>SỮA TƯƠI TIỆT TRÙNG ÍT BÉO NHÃN HIỆU MEADOW FRESH 1LX12 HỘP ĐÓNG TRONG THÙNG CARTON</v>
          </cell>
          <cell r="D2975" t="str">
            <v>MEADOW FRESH UHT LOW FAT PURE MILK 1LX12 TUB IN CARTON</v>
          </cell>
          <cell r="E2975">
            <v>12</v>
          </cell>
          <cell r="F2975" t="str">
            <v>Bỏ chọn</v>
          </cell>
          <cell r="G2975"/>
          <cell r="H2975" t="str">
            <v>7.E3801789985C93501</v>
          </cell>
        </row>
        <row r="2976">
          <cell r="A2976" t="str">
            <v>7.E3801789985C93501RT</v>
          </cell>
          <cell r="B2976" t="str">
            <v>MEADOW FRESH UHT LOW FAT PURE MILK 1L</v>
          </cell>
          <cell r="C2976" t="str">
            <v>SỮA TƯƠI TIỆT TRÙNG ÍT BÉO NHÃN HIỆU MEADOW FRESH 1L</v>
          </cell>
          <cell r="D2976" t="str">
            <v>MEADOW FRESH UHT LOW FAT PURE MILK 1L</v>
          </cell>
          <cell r="E2976">
            <v>1</v>
          </cell>
          <cell r="F2976" t="str">
            <v>Bỏ chọn</v>
          </cell>
          <cell r="G2976"/>
          <cell r="H2976"/>
        </row>
        <row r="2977">
          <cell r="A2977" t="str">
            <v>7.E3801789985C938RT</v>
          </cell>
          <cell r="B2977" t="str">
            <v>MEADOW FRESH UHT CALCI MAX MILK 1LX12 TUB IN CARTON</v>
          </cell>
          <cell r="C2977" t="str">
            <v>SỮA TƯƠI TIỆT TRÙNG GIÀU CANXI ÍT BÉO NHÃN HIỆU MEADOW FRESH 1LX12 HỘP ĐÓNG TRONG THÙNG CARTON</v>
          </cell>
          <cell r="D2977" t="str">
            <v>MEADOW FRESH UHT CALCI MAX MILK 1LX12 TUB IN CARTON</v>
          </cell>
          <cell r="E2977">
            <v>12</v>
          </cell>
          <cell r="F2977" t="str">
            <v>Bỏ chọn</v>
          </cell>
          <cell r="G2977"/>
          <cell r="H2977" t="str">
            <v>7.E3801789985C93801</v>
          </cell>
        </row>
        <row r="2978">
          <cell r="A2978" t="str">
            <v>7.E3801789985C93801RT</v>
          </cell>
          <cell r="B2978" t="str">
            <v>MEADOW FRESH UHT CALCI MAX MILK 1L</v>
          </cell>
          <cell r="C2978" t="str">
            <v>SỮA TƯƠI TIỆT TRÙNG GIÀU CANXI ÍT BÉO NHÃN HIỆU MEADOW FRESH 1L</v>
          </cell>
          <cell r="D2978" t="str">
            <v>MEADOW FRESH UHT CALCI MAX MILK 1L</v>
          </cell>
          <cell r="E2978">
            <v>1</v>
          </cell>
          <cell r="F2978" t="str">
            <v>Bỏ chọn</v>
          </cell>
          <cell r="G2978"/>
          <cell r="H2978"/>
        </row>
        <row r="2979">
          <cell r="A2979" t="str">
            <v>7.E3801789913C938RT</v>
          </cell>
          <cell r="B2979" t="str">
            <v>MEADOW FRESH UHT CALCI MAX MILK 200MLX3X8 TUB IN CARTON</v>
          </cell>
          <cell r="C2979" t="str">
            <v>SỮA TƯƠI TIỆT TRÙNG GIÀU CANXI ÍT BÉO NHÃN HIỆU MEADOW FRESH 200MLX3X8 HỘP ĐÓNG TRONG THÙNG CARTON</v>
          </cell>
          <cell r="D2979" t="str">
            <v>MEADOW FRESH UHT CALCI MAX MILK 200MLX3X8 TUB IN CARTON</v>
          </cell>
          <cell r="E2979">
            <v>4.8</v>
          </cell>
          <cell r="F2979" t="str">
            <v>Bỏ chọn</v>
          </cell>
          <cell r="G2979"/>
          <cell r="H2979" t="str">
            <v>7.E3801789913C93801</v>
          </cell>
        </row>
        <row r="2980">
          <cell r="A2980" t="str">
            <v>7.E3801789913C93801RT</v>
          </cell>
          <cell r="B2980" t="str">
            <v>MEADOW FRESH UHT CALCI MAX MILK 200ML</v>
          </cell>
          <cell r="C2980" t="str">
            <v>SỮA TƯƠI TIỆT TRÙNG GIÀU CANXI ÍT BÉO NHÃN HIỆU MEADOW FRESH 200ML</v>
          </cell>
          <cell r="D2980" t="str">
            <v>MEADOW FRESH UHT CALCI MAX MILK 200ML</v>
          </cell>
          <cell r="E2980">
            <v>0.2</v>
          </cell>
          <cell r="F2980" t="str">
            <v>Bỏ chọn</v>
          </cell>
          <cell r="G2980"/>
          <cell r="H2980"/>
        </row>
        <row r="2981">
          <cell r="A2981" t="str">
            <v>7.E3801789913C932RT</v>
          </cell>
          <cell r="B2981" t="str">
            <v>MEADOW FRESH UHT FULL CREAM PURE MILK 200MLX3X8 TUB IN CARTON</v>
          </cell>
          <cell r="C2981" t="str">
            <v>SỮA TƯƠI TIỆT TRÙNG NGUYÊN KEM NHÃN HIỆU MEADOW FRESH 200MLX3X8 HỘP ĐÓNG TRONG THÙNG CARTON</v>
          </cell>
          <cell r="D2981" t="str">
            <v>MEADOW FRESH UHT FULL CREAM PURE MILK 200MLX3X8 TUB IN CARTON</v>
          </cell>
          <cell r="E2981">
            <v>4.8</v>
          </cell>
          <cell r="F2981" t="str">
            <v>Bỏ chọn</v>
          </cell>
          <cell r="G2981"/>
          <cell r="H2981" t="str">
            <v>7.E3801789913C93201</v>
          </cell>
        </row>
        <row r="2982">
          <cell r="A2982" t="str">
            <v>7.E3801789913C93201RT</v>
          </cell>
          <cell r="B2982" t="str">
            <v>MEADOW FRESH UHT FULL CREAM PURE MILK 200ML</v>
          </cell>
          <cell r="C2982" t="str">
            <v>SỮA TƯƠI TIỆT TRÙNG NGUYÊN KEM NHÃN HIỆU MEADOW FRESH 200ML</v>
          </cell>
          <cell r="D2982" t="str">
            <v>MEADOW FRESH UHT FULL CREAM PURE MILK 200ML</v>
          </cell>
          <cell r="E2982">
            <v>0.2</v>
          </cell>
          <cell r="F2982" t="str">
            <v>Bỏ chọn</v>
          </cell>
          <cell r="G2982"/>
          <cell r="H2982"/>
        </row>
        <row r="2983">
          <cell r="A2983" t="str">
            <v>7.E3801789913C935RT</v>
          </cell>
          <cell r="B2983" t="str">
            <v>MEADOW FRESH UHT LOW FAT PURE MILK 200MLX3X8 TUB IN CARTON</v>
          </cell>
          <cell r="C2983" t="str">
            <v>SỮA TƯƠI TIỆT TRÙNG ÍT BÉO NHÃN HIỆU MEADOW FRESH 200MLX3X8 HỘP ĐÓNG TRONG THÙNG CARTON</v>
          </cell>
          <cell r="D2983" t="str">
            <v>MEADOW FRESH UHT LOW FAT PURE MILK 200MLX3X8 TUB IN CARTON</v>
          </cell>
          <cell r="E2983">
            <v>4.8</v>
          </cell>
          <cell r="F2983" t="str">
            <v>Bỏ chọn</v>
          </cell>
          <cell r="G2983"/>
          <cell r="H2983" t="str">
            <v>7.E3801789913C93501</v>
          </cell>
        </row>
        <row r="2984">
          <cell r="A2984" t="str">
            <v>7.E3801789913C93501RT</v>
          </cell>
          <cell r="B2984" t="str">
            <v>MEADOW FRESH UHT LOW FAT PURE MILK 200ML</v>
          </cell>
          <cell r="C2984" t="str">
            <v>SỮA TƯƠI TIỆT TRÙNG ÍT BÉO NHÃN HIỆU MEADOW FRESH 200ML</v>
          </cell>
          <cell r="D2984" t="str">
            <v>MEADOW FRESH UHT LOW FAT PURE MILK 200ML</v>
          </cell>
          <cell r="E2984">
            <v>0.2</v>
          </cell>
          <cell r="F2984" t="str">
            <v>Bỏ chọn</v>
          </cell>
          <cell r="G2984"/>
          <cell r="H2984"/>
        </row>
        <row r="2985">
          <cell r="A2985" t="str">
            <v>7.E3801789913C936RT</v>
          </cell>
          <cell r="B2985" t="str">
            <v>MEADOW FRESH UHT STRAWBERRY MILK 200MLX3X8 TUB IN CARTON</v>
          </cell>
          <cell r="C2985" t="str">
            <v>SỮA TIỆT TRÙNG HƯƠNG DÂU NHÃN HIỆU MEADOW FRESH 200MLX3X8 HỘP ĐÓNG TRONG THÙNG CARTON</v>
          </cell>
          <cell r="D2985" t="str">
            <v>MEADOW FRESH UHT STRAWBERRY MILK 200MLX3X8 TUB IN CARTON</v>
          </cell>
          <cell r="E2985">
            <v>4.8</v>
          </cell>
          <cell r="F2985" t="str">
            <v>Bỏ chọn</v>
          </cell>
          <cell r="G2985"/>
          <cell r="H2985" t="str">
            <v>7.E3801789913C93601</v>
          </cell>
        </row>
        <row r="2986">
          <cell r="A2986" t="str">
            <v>7.E3801789913C93601RT</v>
          </cell>
          <cell r="B2986" t="str">
            <v>MEADOW FRESH UHT STRAWBERRY MILK 200ML</v>
          </cell>
          <cell r="C2986" t="str">
            <v>SỮA TIỆT TRÙNG HƯƠNG DÂU NHÃN HIỆU MEADOW FRESH 200ML</v>
          </cell>
          <cell r="D2986" t="str">
            <v>MEADOW FRESH UHT STRAWBERRY MILK 200ML</v>
          </cell>
          <cell r="E2986">
            <v>0.2</v>
          </cell>
          <cell r="F2986" t="str">
            <v>Bỏ chọn</v>
          </cell>
          <cell r="G2986"/>
          <cell r="H2986"/>
        </row>
        <row r="2987">
          <cell r="A2987" t="str">
            <v>7.E3801789913C937RT</v>
          </cell>
          <cell r="B2987" t="str">
            <v>MEADOW FRESH UHT CHOCO CHOC MILK 200MLX3X8 TUB IN CARTON</v>
          </cell>
          <cell r="C2987" t="str">
            <v>SỮA TIỆT TRÙNG HƯƠNG SÔ-CÔ-LA NHÃN HIỆU MEADOW FRESH 200MLX3X8 HỘP ĐÓNG TRONG THÙNG CARTON</v>
          </cell>
          <cell r="D2987" t="str">
            <v>MEADOW FRESH UHT CHOCO CHOC MILK 200MLX3X8 TUB IN CARTON</v>
          </cell>
          <cell r="E2987">
            <v>4.8</v>
          </cell>
          <cell r="F2987" t="str">
            <v>Bỏ chọn</v>
          </cell>
          <cell r="G2987"/>
          <cell r="H2987" t="str">
            <v>7.E3801789913C93701</v>
          </cell>
        </row>
        <row r="2988">
          <cell r="A2988" t="str">
            <v>7.E3801789913C93701RT</v>
          </cell>
          <cell r="B2988" t="str">
            <v>MEADOW FRESH UHT CHOCO CHOC MILK 200ML</v>
          </cell>
          <cell r="C2988" t="str">
            <v>SỮA TIỆT TRÙNG HƯƠNG SÔ-CÔ-LA NHÃN HIỆU MEADOW FRESH 200ML</v>
          </cell>
          <cell r="D2988" t="str">
            <v>MEADOW FRESH UHT CHOCO CHOC MILK 200ML</v>
          </cell>
          <cell r="E2988">
            <v>0.2</v>
          </cell>
          <cell r="F2988" t="str">
            <v>Bỏ chọn</v>
          </cell>
          <cell r="G2988"/>
          <cell r="H2988"/>
        </row>
        <row r="2989">
          <cell r="A2989" t="str">
            <v>7.131087F11700H10</v>
          </cell>
          <cell r="B2989" t="str">
            <v>CO-NEPTUNE LIGHT IN BOTTLE@9.8L</v>
          </cell>
          <cell r="C2989" t="str">
            <v>DẦU ĂN THƯỢNG HẠNG NHÃN HIỆU NEPTUNE LIGHT 9,8L</v>
          </cell>
          <cell r="D2989" t="str">
            <v>CO-NEPTUNE LIGHT IN BOTTLE@9.8L</v>
          </cell>
          <cell r="E2989">
            <v>9</v>
          </cell>
          <cell r="F2989" t="str">
            <v>Chọn</v>
          </cell>
          <cell r="G2989"/>
          <cell r="H2989"/>
        </row>
        <row r="2990">
          <cell r="A2990" t="str">
            <v>7.70578</v>
          </cell>
          <cell r="B2990" t="str">
            <v>MIZULAN FL-80 BRAND MES(METHYL ESTER SULFONATE) IN PLASTIC BOX 5KG</v>
          </cell>
          <cell r="C2990" t="str">
            <v>CHẤT HOẠT ĐỘNG BỀ MẶT DẠNG ANION MES (METHYL ESTER SULFONATE) NHÃN HIỆU MIZULAN FL-80 ĐÓNG TRONG THÙNG NHỰA 5KG</v>
          </cell>
          <cell r="D2990" t="str">
            <v>MIZULAN FL-80 BRAND MES(METHYL ESTER SULFONATE) IN PLASTIC BOX 5KG</v>
          </cell>
          <cell r="E2990">
            <v>1</v>
          </cell>
          <cell r="F2990" t="str">
            <v>Bỏ chọn</v>
          </cell>
          <cell r="G2990"/>
          <cell r="H2990"/>
        </row>
        <row r="2991">
          <cell r="A2991" t="str">
            <v>7.70579</v>
          </cell>
          <cell r="B2991" t="str">
            <v>MIZULAN  P-81F BRAND MES(METHYL ESTER SULFONATE) IN PLASTIC BOX 5KG</v>
          </cell>
          <cell r="C2991" t="str">
            <v>CHẤT HOẠT ĐỘNG BỀ MẶT DẠNG ANION MES (METHYL ESTER SULFONATE) NHÃN HIỆU MIZULAN P-81F ĐÓNG TRONG THÙNG NHỰA 5KG</v>
          </cell>
          <cell r="D2991" t="str">
            <v>MIZULAN  P-81F BRAND MES(METHYL ESTER SULFONATE) IN PLASTIC BOX 5KG</v>
          </cell>
          <cell r="E2991">
            <v>1</v>
          </cell>
          <cell r="F2991" t="str">
            <v>Bỏ chọn</v>
          </cell>
          <cell r="G2991"/>
          <cell r="H2991"/>
        </row>
        <row r="2992">
          <cell r="A2992" t="str">
            <v>7.70580</v>
          </cell>
          <cell r="B2992" t="str">
            <v>MIZULAN  P-82 BRAND MES(METHYL ESTER SULFONATE) IN PLASTIC BOX 5KG</v>
          </cell>
          <cell r="C2992" t="str">
            <v>CHẤT HOẠT ĐỘNG BỀ MẶT DẠNG ANION MES (METHYL ESTER SULFONATE) NHÃN HIỆU MIZULAN P-82 ĐÓNG TRONG THÙNG NHỰA 5KG</v>
          </cell>
          <cell r="D2992" t="str">
            <v>MIZULAN  P-82 BRAND MES(METHYL ESTER SULFONATE) IN PLASTIC BOX 5KG</v>
          </cell>
          <cell r="E2992">
            <v>1</v>
          </cell>
          <cell r="F2992" t="str">
            <v>Bỏ chọn</v>
          </cell>
          <cell r="G2992"/>
          <cell r="H2992"/>
        </row>
        <row r="2993">
          <cell r="A2993" t="str">
            <v>V58.007.002</v>
          </cell>
          <cell r="B2993" t="str">
            <v>BIB BAG 18KG, WITH CAP</v>
          </cell>
          <cell r="C2993" t="str">
            <v>TÚI BIB 18 KG CÓ NẮP</v>
          </cell>
          <cell r="D2993" t="str">
            <v>BIB BAG 18KG, WITH CAP</v>
          </cell>
          <cell r="E2993">
            <v>0</v>
          </cell>
          <cell r="F2993" t="str">
            <v>Bỏ chọn</v>
          </cell>
          <cell r="G2993"/>
          <cell r="H2993"/>
        </row>
        <row r="2994">
          <cell r="A2994" t="str">
            <v>V86.01001134002</v>
          </cell>
          <cell r="B2994" t="str">
            <v>CARTON 18KG, NO PRINT</v>
          </cell>
          <cell r="C2994" t="str">
            <v>CARTON 18KG, NO PRINT</v>
          </cell>
          <cell r="D2994" t="str">
            <v>CARTON 18KG, NO PRINT</v>
          </cell>
          <cell r="E2994">
            <v>0</v>
          </cell>
          <cell r="F2994" t="str">
            <v>Bỏ chọn</v>
          </cell>
          <cell r="G2994"/>
          <cell r="H2994"/>
        </row>
        <row r="2995">
          <cell r="A2995" t="str">
            <v>7.5239917480515</v>
          </cell>
          <cell r="B2995" t="str">
            <v>RED SATELLITE - PDS 25KG</v>
          </cell>
          <cell r="C2995" t="str">
            <v>BỘT MÌ HIỆU VỆ TINH ĐỎ 25KG</v>
          </cell>
          <cell r="D2995" t="str">
            <v>RED SATELLITE - PDS 25KG</v>
          </cell>
          <cell r="E2995">
            <v>1</v>
          </cell>
          <cell r="F2995" t="str">
            <v>Bỏ chọn</v>
          </cell>
          <cell r="G2995"/>
          <cell r="H2995"/>
        </row>
        <row r="2996">
          <cell r="A2996" t="str">
            <v>7.131036030105A80</v>
          </cell>
          <cell r="B2996" t="str">
            <v>ORCHID EXPORT 1L X 12 BTL</v>
          </cell>
          <cell r="C2996" t="str">
            <v>DẦU THỰC VẬT TINH LUYỆN NHÃN HIỆU ORCHID 1L</v>
          </cell>
          <cell r="D2996" t="str">
            <v>ORCHID EXPORT 1L X 12 BTL</v>
          </cell>
          <cell r="E2996">
            <v>10.92</v>
          </cell>
          <cell r="F2996" t="str">
            <v>Bỏ chọn</v>
          </cell>
          <cell r="G2996"/>
          <cell r="H2996"/>
        </row>
        <row r="2997">
          <cell r="A2997" t="str">
            <v>7.B24012399370101TD</v>
          </cell>
          <cell r="B2997" t="str">
            <v>SOYA SOY SAUCE 500ML X 24 BOT</v>
          </cell>
          <cell r="C2997" t="str">
            <v>NƯỚC CHẤM SOYA 500ML</v>
          </cell>
          <cell r="D2997" t="str">
            <v>SOYA SOY SAUCE 500ML X 24 BOT</v>
          </cell>
          <cell r="E2997">
            <v>13</v>
          </cell>
          <cell r="F2997" t="str">
            <v>Bỏ chọn</v>
          </cell>
          <cell r="G2997"/>
          <cell r="H2997"/>
        </row>
        <row r="2998">
          <cell r="A2998" t="str">
            <v>7.A320108999101TD</v>
          </cell>
          <cell r="B2998" t="str">
            <v>MEIZAN PREMIUM EGG NOODLE 250G X 24 BAG</v>
          </cell>
          <cell r="C2998" t="str">
            <v>MÌ TRỨNG CAO CẤP MEIZAN 250G X 24 GÓI</v>
          </cell>
          <cell r="D2998" t="str">
            <v>MEIZAN PREMIUM EGG NOODLE 250G X 24 BAG</v>
          </cell>
          <cell r="E2998">
            <v>6</v>
          </cell>
          <cell r="F2998" t="str">
            <v>Bỏ chọn</v>
          </cell>
          <cell r="G2998"/>
          <cell r="H2998"/>
        </row>
        <row r="2999">
          <cell r="A2999" t="str">
            <v>7.131060031705790TD</v>
          </cell>
          <cell r="B2999" t="str">
            <v>CO-ORCHID S  1L X 12 BTL</v>
          </cell>
          <cell r="C2999" t="str">
            <v>DẦU THỰC VẬT TINH LUYỆN NHÃN HIỆU ORCHID 1L</v>
          </cell>
          <cell r="D2999" t="str">
            <v>CO-ORCHID S  1L X 12 BTL</v>
          </cell>
          <cell r="E2999">
            <v>10.92</v>
          </cell>
          <cell r="F2999" t="str">
            <v>Bỏ chọn</v>
          </cell>
          <cell r="G2999"/>
          <cell r="H2999"/>
        </row>
        <row r="3000">
          <cell r="A3000" t="str">
            <v>V39.015.713</v>
          </cell>
          <cell r="B3000" t="str">
            <v>NEPTUNE LIGHT APRON</v>
          </cell>
          <cell r="C3000" t="str">
            <v>TẠP DỀ NEPTUNE LIGHT</v>
          </cell>
          <cell r="D3000" t="str">
            <v>NEPTUNE LIGHT APRON</v>
          </cell>
          <cell r="E3000">
            <v>0</v>
          </cell>
          <cell r="F3000" t="str">
            <v>Bỏ chọn</v>
          </cell>
          <cell r="G3000"/>
          <cell r="H3000"/>
        </row>
        <row r="3001">
          <cell r="A3001" t="str">
            <v>V51.600.205</v>
          </cell>
          <cell r="B3001" t="str">
            <v>SHELFTALKER NEPTUNE LIGHT</v>
          </cell>
          <cell r="C3001" t="str">
            <v>KHAY SẮT QUẢNG CÁO L NEPTUNE LIGHT</v>
          </cell>
          <cell r="D3001" t="str">
            <v>SHELFTALKER NEPTUNE LIGHT</v>
          </cell>
          <cell r="E3001">
            <v>1</v>
          </cell>
          <cell r="F3001" t="str">
            <v>Bỏ chọn</v>
          </cell>
          <cell r="G3001"/>
          <cell r="H3001"/>
        </row>
        <row r="3002">
          <cell r="A3002" t="str">
            <v>V51.600.206</v>
          </cell>
          <cell r="B3002" t="str">
            <v>NEPTUNE LIGHT BANNER (4M X 0.8M)</v>
          </cell>
          <cell r="C3002" t="str">
            <v>BĂNG RÔN NEPTUNE LIGHT (4M X 0.8M)</v>
          </cell>
          <cell r="D3002" t="str">
            <v>NEPTUNE LIGHT BANNER (4M X 0.8M)</v>
          </cell>
          <cell r="E3002">
            <v>1</v>
          </cell>
          <cell r="F3002" t="str">
            <v>Bỏ chọn</v>
          </cell>
          <cell r="G3002"/>
          <cell r="H3002"/>
        </row>
        <row r="3003">
          <cell r="A3003" t="str">
            <v>V51.000.111</v>
          </cell>
          <cell r="B3003" t="str">
            <v>HAND SANITIZER</v>
          </cell>
          <cell r="C3003" t="str">
            <v>DUNG DỊCH SÁT KHUẨN TAY</v>
          </cell>
          <cell r="D3003" t="str">
            <v>HAND SANITIZER</v>
          </cell>
          <cell r="E3003">
            <v>0</v>
          </cell>
          <cell r="F3003" t="str">
            <v>Bỏ chọn</v>
          </cell>
          <cell r="G3003"/>
          <cell r="H3003"/>
        </row>
        <row r="3004">
          <cell r="A3004" t="str">
            <v>V51.000.112</v>
          </cell>
          <cell r="B3004" t="str">
            <v>MEDICAL MASK</v>
          </cell>
          <cell r="C3004" t="str">
            <v>KHẨU TRANG Y TẾ</v>
          </cell>
          <cell r="D3004" t="str">
            <v>MEDICAL MASK</v>
          </cell>
          <cell r="E3004">
            <v>0</v>
          </cell>
          <cell r="F3004" t="str">
            <v>Bỏ chọn</v>
          </cell>
          <cell r="G3004"/>
          <cell r="H3004"/>
        </row>
        <row r="3005">
          <cell r="A3005" t="str">
            <v>V52.000.008</v>
          </cell>
          <cell r="B3005" t="str">
            <v>TROLLEY POWER100 70X115X50CM</v>
          </cell>
          <cell r="C3005" t="str">
            <v>XE ĐẨY POWER100 70X115X50CM</v>
          </cell>
          <cell r="D3005" t="str">
            <v>TROLLEY POWER100 70X115X50CM</v>
          </cell>
          <cell r="E3005">
            <v>0</v>
          </cell>
          <cell r="F3005" t="str">
            <v>Bỏ chọn</v>
          </cell>
          <cell r="G3005"/>
          <cell r="H3005"/>
        </row>
        <row r="3006">
          <cell r="A3006" t="str">
            <v>V51.000.113</v>
          </cell>
          <cell r="B3006" t="str">
            <v>TROLLEY ARTWORK POWER100 70X60CM</v>
          </cell>
          <cell r="C3006" t="str">
            <v>TẤM HÌNH ẢNH XE ĐẨY POWER100 70X60CM</v>
          </cell>
          <cell r="D3006" t="str">
            <v>TROLLEY ARTWORK POWER100 70X60CM</v>
          </cell>
          <cell r="E3006">
            <v>0</v>
          </cell>
          <cell r="F3006" t="str">
            <v>Bỏ chọn</v>
          </cell>
          <cell r="G3006"/>
          <cell r="H3006"/>
        </row>
        <row r="3007">
          <cell r="A3007" t="str">
            <v>7.52399059901D0</v>
          </cell>
          <cell r="B3007" t="str">
            <v>COMPASS 0.5KG</v>
          </cell>
          <cell r="C3007" t="str">
            <v>BỘT MÌ ĐA DỤNG HIỆU LA BÀN (0.5KG *20 GÓI/THÙNG)</v>
          </cell>
          <cell r="D3007" t="str">
            <v>COMPASS 0.5KG</v>
          </cell>
          <cell r="E3007">
            <v>10</v>
          </cell>
          <cell r="F3007" t="str">
            <v>Bỏ chọn</v>
          </cell>
          <cell r="G3007"/>
          <cell r="H3007"/>
        </row>
        <row r="3008">
          <cell r="A3008" t="str">
            <v>7.52399059902D0</v>
          </cell>
          <cell r="B3008" t="str">
            <v>COMPASS 1KG</v>
          </cell>
          <cell r="C3008" t="str">
            <v>BỘT MÌ ĐA DỤNG HIỆU LA BÀN (1KG*10 GÓI/THÙNG)</v>
          </cell>
          <cell r="D3008" t="str">
            <v>COMPASS 1KG</v>
          </cell>
          <cell r="E3008">
            <v>10</v>
          </cell>
          <cell r="F3008" t="str">
            <v>Bỏ chọn</v>
          </cell>
          <cell r="G3008"/>
          <cell r="H3008"/>
        </row>
        <row r="3009">
          <cell r="A3009" t="str">
            <v>7.52399089901D0</v>
          </cell>
          <cell r="B3009" t="str">
            <v>MEIZAN 0.5KG</v>
          </cell>
          <cell r="C3009" t="str">
            <v>BỘT MÌ HIỆU "MEIZAN" (0.5KG*20 GÓI/THÙNG)</v>
          </cell>
          <cell r="D3009" t="str">
            <v>MEIZAN 0.5KG</v>
          </cell>
          <cell r="E3009">
            <v>10</v>
          </cell>
          <cell r="F3009" t="str">
            <v>Bỏ chọn</v>
          </cell>
          <cell r="G3009"/>
          <cell r="H3009"/>
        </row>
        <row r="3010">
          <cell r="A3010" t="str">
            <v>7.52399089902D0</v>
          </cell>
          <cell r="B3010" t="str">
            <v>MEIZAN 1KG</v>
          </cell>
          <cell r="C3010" t="str">
            <v>BỘT MÌ HIỆU "MEIZAN" (1KG*10 GÓI/THÙNG)</v>
          </cell>
          <cell r="D3010" t="str">
            <v>MEIZAN 1KG</v>
          </cell>
          <cell r="E3010">
            <v>10</v>
          </cell>
          <cell r="F3010" t="str">
            <v>Bỏ chọn</v>
          </cell>
          <cell r="G3010"/>
          <cell r="H3010"/>
        </row>
        <row r="3011">
          <cell r="A3011" t="str">
            <v>7.52399083802D0</v>
          </cell>
          <cell r="B3011" t="str">
            <v>MEIZAN BREAD 1KG (1KG *10 PAC/CAR)</v>
          </cell>
          <cell r="C3011" t="str">
            <v>BỘT MÌ HIỆU MEIZAN BÁNH MÌ (1KG *10 GÓI/THÙNG)</v>
          </cell>
          <cell r="D3011" t="str">
            <v>MEIZAN BREAD 1KG (1KG *10 PAC/CAR)</v>
          </cell>
          <cell r="E3011">
            <v>10</v>
          </cell>
          <cell r="F3011" t="str">
            <v>Bỏ chọn</v>
          </cell>
          <cell r="G3011"/>
          <cell r="H3011"/>
        </row>
        <row r="3012">
          <cell r="A3012" t="str">
            <v>7.52399083902D0</v>
          </cell>
          <cell r="B3012" t="str">
            <v>MEIZAN CAKE 1KG</v>
          </cell>
          <cell r="C3012" t="str">
            <v>BỘT MÌ HIỆU MEIZAN BÁNH BÔNG LAN (1KG *10 GÓI/THÙNG)</v>
          </cell>
          <cell r="D3012" t="str">
            <v>MEIZAN CAKE 1KG</v>
          </cell>
          <cell r="E3012">
            <v>10</v>
          </cell>
          <cell r="F3012" t="str">
            <v>Bỏ chọn</v>
          </cell>
          <cell r="G3012"/>
          <cell r="H3012"/>
        </row>
        <row r="3013">
          <cell r="A3013" t="str">
            <v>7.52399229906E4</v>
          </cell>
          <cell r="B3013" t="str">
            <v>BLUE COMPASS - HL 40KG</v>
          </cell>
          <cell r="C3013" t="str">
            <v>BỘT MÌ HIỆU LA BÀN XANH 40KG</v>
          </cell>
          <cell r="D3013" t="str">
            <v>BLUE COMPASS - HL 40KG</v>
          </cell>
          <cell r="E3013">
            <v>1</v>
          </cell>
          <cell r="F3013" t="str">
            <v>Bỏ chọn</v>
          </cell>
          <cell r="G3013"/>
          <cell r="H3013"/>
        </row>
        <row r="3014">
          <cell r="A3014" t="str">
            <v>7.C35015572B40127</v>
          </cell>
          <cell r="B3014" t="str">
            <v>POWER100 SAVING DISHWASHING LIQUID LEMON, 3,5KG X 4 JRG IN CARTON</v>
          </cell>
          <cell r="C3014" t="str">
            <v>NƯỚC RỬA CHÉN POWER100 TIẾT KIỆM HƯƠNG CHANH, LOẠI 3,5KG X 4 CAN TRONG THÙNG CARTON</v>
          </cell>
          <cell r="D3014" t="str">
            <v>POWER100 SAVING DISHWASHING LIQUID LEMON, 3,5KG X 4 JRG IN CARTON</v>
          </cell>
          <cell r="E3014">
            <v>14</v>
          </cell>
          <cell r="F3014" t="str">
            <v>Bỏ chọn</v>
          </cell>
          <cell r="G3014"/>
          <cell r="H3014"/>
        </row>
        <row r="3015">
          <cell r="A3015" t="str">
            <v>7.C35015572B4012701</v>
          </cell>
          <cell r="B3015" t="str">
            <v>POWER100 SAVING DISHWASHING LIQUID LEMON, 3,5KG</v>
          </cell>
          <cell r="C3015" t="str">
            <v>NƯỚC RỬA CHÉN POWER100 TIẾT KIỆM HƯƠNG CHANH, LOẠI 3,5KG</v>
          </cell>
          <cell r="D3015" t="str">
            <v>POWER100 SAVING DISHWASHING LIQUID LEMON, 3,5KG</v>
          </cell>
          <cell r="E3015">
            <v>3.5</v>
          </cell>
          <cell r="F3015" t="str">
            <v>Bỏ chọn</v>
          </cell>
          <cell r="G3015"/>
          <cell r="H3015"/>
        </row>
        <row r="3016">
          <cell r="A3016" t="str">
            <v>6.70552</v>
          </cell>
          <cell r="B3016" t="str">
            <v>WILFARIN REFINED GLYCERINE 99.7% RSPO MB IN STEEL DRUM 250KG</v>
          </cell>
          <cell r="C3016" t="str">
            <v>PHỤ GIA THỰC PHẨM GLYXERIN TINH KHIẾT 99,7% - WILFARIN, RSPO MB PHUY THÉP 250KG</v>
          </cell>
          <cell r="D3016" t="str">
            <v>WILFARIN REFINED GLYCERINE 99.7% RSPO MB IN STEEL DRUM 250KG</v>
          </cell>
          <cell r="E3016">
            <v>1</v>
          </cell>
          <cell r="F3016" t="str">
            <v>Bỏ chọn</v>
          </cell>
          <cell r="G3016"/>
          <cell r="H3016"/>
        </row>
        <row r="3017">
          <cell r="A3017" t="str">
            <v>7.52399019905D0</v>
          </cell>
          <cell r="B3017" t="str">
            <v>ACE - 1 25KG</v>
          </cell>
          <cell r="C3017" t="str">
            <v>BỘT MÌ HIỆU ACE-1 25KG</v>
          </cell>
          <cell r="D3017" t="str">
            <v>ACE - 1 25KG</v>
          </cell>
          <cell r="E3017">
            <v>1</v>
          </cell>
          <cell r="F3017" t="str">
            <v>Bỏ chọn</v>
          </cell>
          <cell r="G3017"/>
          <cell r="H3017"/>
        </row>
        <row r="3018">
          <cell r="A3018" t="str">
            <v>7.5239922990615</v>
          </cell>
          <cell r="B3018" t="str">
            <v>BLUE COMPASS - PDS 40KG</v>
          </cell>
          <cell r="C3018" t="str">
            <v>BỘT MÌ HIỆU LA BÀN XANH 40KG</v>
          </cell>
          <cell r="D3018" t="str">
            <v>BLUE COMPASS - PDS 40KG</v>
          </cell>
          <cell r="E3018">
            <v>1</v>
          </cell>
          <cell r="F3018" t="str">
            <v>Bỏ chọn</v>
          </cell>
          <cell r="G3018"/>
          <cell r="H3018"/>
        </row>
        <row r="3019">
          <cell r="A3019" t="str">
            <v>7.5239904990615</v>
          </cell>
          <cell r="B3019" t="str">
            <v>BROWN COMPASS - PDS 40KG</v>
          </cell>
          <cell r="C3019" t="str">
            <v>BỘT MÌ HIỆU LA BÀN NÂU 40KG</v>
          </cell>
          <cell r="D3019" t="str">
            <v>BROWN COMPASS - PDS 40KG</v>
          </cell>
          <cell r="E3019">
            <v>1</v>
          </cell>
          <cell r="F3019" t="str">
            <v>Bỏ chọn</v>
          </cell>
          <cell r="G3019"/>
          <cell r="H3019"/>
        </row>
        <row r="3020">
          <cell r="A3020" t="str">
            <v>7.5239904990515</v>
          </cell>
          <cell r="B3020" t="str">
            <v>BROWN COMPASS - PDS 25KG</v>
          </cell>
          <cell r="C3020" t="str">
            <v>BỘT MÌ HIỆU LA BÀN NÂU 25KG</v>
          </cell>
          <cell r="D3020" t="str">
            <v>BROWN COMPASS - PDS 25KG</v>
          </cell>
          <cell r="E3020">
            <v>1</v>
          </cell>
          <cell r="F3020" t="str">
            <v>Bỏ chọn</v>
          </cell>
          <cell r="G3020"/>
          <cell r="H3020"/>
        </row>
        <row r="3021">
          <cell r="A3021" t="str">
            <v>6.1221221</v>
          </cell>
          <cell r="B3021" t="str">
            <v>DOUBLE REFINED HPKO MP38-42</v>
          </cell>
          <cell r="C3021" t="str">
            <v>DẦU NHÂN CỌ HYDRO HÓA, TINH LUYỆN - WILKOTE 380</v>
          </cell>
          <cell r="D3021" t="str">
            <v>DOUBLE REFINED HPKO MP38-42</v>
          </cell>
          <cell r="E3021">
            <v>1</v>
          </cell>
          <cell r="F3021" t="str">
            <v>Chọn</v>
          </cell>
          <cell r="G3021"/>
          <cell r="H3021"/>
        </row>
        <row r="3022">
          <cell r="A3022" t="str">
            <v>6.4572400</v>
          </cell>
          <cell r="B3022" t="str">
            <v>RE-REFINED BLEACHED DEODORIZED CANOLAOIL</v>
          </cell>
          <cell r="C3022" t="str">
            <v>NGUYÊN LIỆU THỰC PHẨM DẦU HẠT CẢI TINH LUYỆN</v>
          </cell>
          <cell r="D3022" t="str">
            <v>RE-REFINED BLEACHED DEODORIZED CANOLAOIL</v>
          </cell>
          <cell r="E3022">
            <v>1</v>
          </cell>
          <cell r="F3022" t="str">
            <v>Bỏ chọn</v>
          </cell>
          <cell r="G3022"/>
          <cell r="H3022"/>
        </row>
        <row r="3023">
          <cell r="A3023" t="str">
            <v>6.70553</v>
          </cell>
          <cell r="B3023" t="str">
            <v>WILFARIN REFINED GLYCERINE 99.7% IN BOTTLE 1KG</v>
          </cell>
          <cell r="C3023" t="str">
            <v>WILFARIN GLYXERIN TINH KHIẾT 99,7% ĐÓNG TRONG CHAI 1KG</v>
          </cell>
          <cell r="D3023" t="str">
            <v>WILFARIN REFINED GLYCERINE 99.7% IN BOTTLE 1KG</v>
          </cell>
          <cell r="E3023">
            <v>1</v>
          </cell>
          <cell r="F3023" t="str">
            <v>Bỏ chọn</v>
          </cell>
          <cell r="G3023"/>
          <cell r="H3023"/>
        </row>
        <row r="3024">
          <cell r="A3024" t="str">
            <v>6.458A86K</v>
          </cell>
          <cell r="B3024" t="str">
            <v>RE-PROCESS DOUBLE DEWAXING RBD SFO</v>
          </cell>
          <cell r="C3024" t="str">
            <v>DẦU HƯỚNG DƯƠNG TINH LUYỆN</v>
          </cell>
          <cell r="D3024" t="str">
            <v>RE-PROCESS DOUBLE DEWAXING RBD SFO</v>
          </cell>
          <cell r="E3024">
            <v>1</v>
          </cell>
          <cell r="F3024" t="str">
            <v>Chọn</v>
          </cell>
          <cell r="G3024"/>
          <cell r="H3024"/>
        </row>
        <row r="3025">
          <cell r="A3025" t="str">
            <v>7.B2508549995010510</v>
          </cell>
          <cell r="B3025" t="str">
            <v>PORK BOUILLON GRANULE 850G X 10 PAC ON PACK 10 BOT NEPTUNE LIGHT 0.25L/CAR</v>
          </cell>
          <cell r="C3025" t="str">
            <v>HẠT NÊM 4 TRONG 1 - VỊ HEO 850G X 10 GÓI ĐÓNG KÈM 10 CHAI DẦU ĂN THƯỢNG HẠNG NHÃN HIỆU NEPTUNE LIGHT 0.25L/THÙNG</v>
          </cell>
          <cell r="D3025" t="str">
            <v>PORK BOUILLON GRANULE 850G X 10 PAC ON PACK 10 BOT NEPTUNE LIGHT 0.25L/CAR</v>
          </cell>
          <cell r="E3025">
            <v>8.5</v>
          </cell>
          <cell r="F3025" t="str">
            <v>Bỏ chọn</v>
          </cell>
          <cell r="G3025" t="str">
            <v>2000000008</v>
          </cell>
          <cell r="H3025" t="str">
            <v>7.B250854999501051001</v>
          </cell>
        </row>
        <row r="3026">
          <cell r="A3026" t="str">
            <v>7.B250854999501051001</v>
          </cell>
          <cell r="B3026" t="str">
            <v xml:space="preserve">PORK BOUILLON GRANULE 850G ON PACK 01 BOT NEPTUNE LIGHT 0.25L </v>
          </cell>
          <cell r="C3026" t="str">
            <v>HẠT NÊM 4 TRONG 1 - VỊ HEO 850G ĐÓNG KÈM 01 CHAI DẦU ĂN THƯỢNG HẠNG NHÃN HIỆU NEPTUNE LIGHT 0.25L</v>
          </cell>
          <cell r="D3026" t="str">
            <v xml:space="preserve">PORK BOUILLON GRANULE 850G ON PACK 01 BOT NEPTUNE LIGHT 0.25L </v>
          </cell>
          <cell r="E3026">
            <v>0.85</v>
          </cell>
          <cell r="F3026" t="str">
            <v>Bỏ chọn</v>
          </cell>
          <cell r="G3026" t="str">
            <v>2000000008</v>
          </cell>
          <cell r="H3026"/>
        </row>
        <row r="3027">
          <cell r="A3027" t="str">
            <v>7.B24012361A3014215</v>
          </cell>
          <cell r="B3027" t="str">
            <v>FERMENTED SOY SAUCE 710ML X 12 BOT ON PACK  OYSTER SAUCE 270G X 12 BOT/CAR</v>
          </cell>
          <cell r="C3027" t="str">
            <v>NƯỚC TƯƠNG NAM DƯƠNG ĐẬU NÀNH LÊN MEN TỰ NHIÊN 710ML X 12 CHAI ĐÓNG KÈM 12 CHAI DẦU HÀO 270G/THÙNG</v>
          </cell>
          <cell r="D3027" t="str">
            <v>FERMENTED SOY SAUCE 710ML X 12 BOT ON PACK  OYSTER SAUCE 270G X 12 BOT/CAR</v>
          </cell>
          <cell r="E3027">
            <v>9.7789999999999999</v>
          </cell>
          <cell r="F3027" t="str">
            <v>Bỏ chọn</v>
          </cell>
          <cell r="G3027"/>
          <cell r="H3027"/>
        </row>
        <row r="3028">
          <cell r="A3028" t="str">
            <v>7.B24012361A301421501</v>
          </cell>
          <cell r="B3028" t="str">
            <v xml:space="preserve">FERMENTED SOY SAUCE 710ML ON PACK 01 BOT OYSTER SAUCE 270G </v>
          </cell>
          <cell r="C3028" t="str">
            <v>NƯỚC TƯƠNG NAM DƯƠNG ĐẬU NÀNH LÊN MEN TỰ NHIÊN 710ML ĐÓNG KÈM 01 CHAI DẦU HÀO 270G</v>
          </cell>
          <cell r="D3028" t="str">
            <v xml:space="preserve">FERMENTED SOY SAUCE 710ML ON PACK 01 BOT OYSTER SAUCE 270G </v>
          </cell>
          <cell r="E3028">
            <v>0.81499999999999995</v>
          </cell>
          <cell r="F3028" t="str">
            <v>Bỏ chọn</v>
          </cell>
          <cell r="G3028"/>
          <cell r="H3028"/>
        </row>
        <row r="3029">
          <cell r="A3029" t="str">
            <v>7.106012023450801</v>
          </cell>
          <cell r="B3029" t="str">
            <v>MEIZAN BAKING FAT IN PE BAG@20KG</v>
          </cell>
          <cell r="C3029" t="str">
            <v>CHẤT BÉO BÁNH NƯỚNG NHÃN HIỆU MEIZAN(BAO BÌ MÀU XANH LÁ)TRONG THÙNG 20KG</v>
          </cell>
          <cell r="D3029" t="str">
            <v>MEIZAN BAKING FAT IN PE BAG@20KG</v>
          </cell>
          <cell r="E3029">
            <v>20</v>
          </cell>
          <cell r="F3029" t="str">
            <v>Chọn</v>
          </cell>
          <cell r="G3029"/>
          <cell r="H3029"/>
        </row>
        <row r="3030">
          <cell r="A3030" t="str">
            <v>7.106012023440801</v>
          </cell>
          <cell r="B3030" t="str">
            <v>MEIZAN BAKING FAT +BHA+BHT PE BAG@20KG</v>
          </cell>
          <cell r="C3030" t="str">
            <v>CHẤT BÉO BÁNH NƯỚNG NHÃN HIỆU MEIZAN (BAO BÌ MÀU ĐỎ) TRONG THÙNG 20KG</v>
          </cell>
          <cell r="D3030" t="str">
            <v>MEIZAN BAKING FAT +BHA+BHT PE BAG@20KG</v>
          </cell>
          <cell r="E3030">
            <v>20</v>
          </cell>
          <cell r="F3030" t="str">
            <v>Chọn</v>
          </cell>
          <cell r="G3030"/>
          <cell r="H3030"/>
        </row>
        <row r="3031">
          <cell r="A3031" t="str">
            <v>7.52399259905E7</v>
          </cell>
          <cell r="B3031" t="str">
            <v xml:space="preserve">BLUE KEY N - SUMIMOTO KVC 25KG_x000D_
</v>
          </cell>
          <cell r="C3031" t="str">
            <v>BỘT MÌ HIỆU CKX MÌ SỢI 25KG</v>
          </cell>
          <cell r="D3031" t="str">
            <v xml:space="preserve">BLUE KEY N - SUMIMOTO KVC 25KG_x000D_
</v>
          </cell>
          <cell r="E3031">
            <v>1</v>
          </cell>
          <cell r="F3031" t="str">
            <v>Bỏ chọn</v>
          </cell>
          <cell r="G3031"/>
          <cell r="H3031"/>
        </row>
        <row r="3032">
          <cell r="A3032" t="str">
            <v>7.52399139904E8</v>
          </cell>
          <cell r="B3032" t="str">
            <v xml:space="preserve">PIZZA 10KG - PIZZA HUT_x000D_
</v>
          </cell>
          <cell r="C3032" t="str">
            <v>BỘT MÌ HIỆU PIZZA 10KG</v>
          </cell>
          <cell r="D3032" t="str">
            <v xml:space="preserve">PIZZA 10KG - PIZZA HUT_x000D_
</v>
          </cell>
          <cell r="E3032">
            <v>1</v>
          </cell>
          <cell r="F3032" t="str">
            <v>Bỏ chọn</v>
          </cell>
          <cell r="G3032"/>
          <cell r="H3032"/>
        </row>
        <row r="3033">
          <cell r="A3033" t="str">
            <v>7.70581</v>
          </cell>
          <cell r="B3033" t="str">
            <v>ERCAWAX LM 7 V/FD IN PLASTIC BOTTLE 1KG</v>
          </cell>
          <cell r="C3033" t="str">
            <v>CHẤT NHŨ HÓA ERCAWAX LM 7 V/FD ĐÓNG TRONG CHAI NHỰA 1KG</v>
          </cell>
          <cell r="D3033" t="str">
            <v>ERCAWAX LM 7 V/FD IN PLASTIC BOTTLE 1KG</v>
          </cell>
          <cell r="E3033">
            <v>1</v>
          </cell>
          <cell r="F3033" t="str">
            <v>Bỏ chọn</v>
          </cell>
          <cell r="G3033"/>
          <cell r="H3033"/>
        </row>
        <row r="3034">
          <cell r="A3034" t="str">
            <v>7.70582</v>
          </cell>
          <cell r="B3034" t="str">
            <v>ERCAREL OS V MB/CU-RSPO-SCC 832637 IN PLASTIC BOTTLE 0.5KG</v>
          </cell>
          <cell r="C3034" t="str">
            <v>CHẤT LÀM MỀM DA ERCAREL OS V MB/CU-RSPO-SCC 832637 ĐÓNG TRONG CHAI NHỰA 0.5KG</v>
          </cell>
          <cell r="D3034" t="str">
            <v>ERCAREL OS V MB/CU-RSPO-SCC 832637 IN PLASTIC BOTTLE 0.5KG</v>
          </cell>
          <cell r="E3034">
            <v>1</v>
          </cell>
          <cell r="F3034" t="str">
            <v>Bỏ chọn</v>
          </cell>
          <cell r="G3034"/>
          <cell r="H3034"/>
        </row>
        <row r="3035">
          <cell r="A3035" t="str">
            <v>7.70583</v>
          </cell>
          <cell r="B3035" t="str">
            <v>ERCAREL CSO V IN PLASTIC BOTTLE 0.5KG</v>
          </cell>
          <cell r="C3035" t="str">
            <v>CHẤT LÀM MỀM DA ERCAREL CSO V ĐÓNG TRONG CHAI NHỰA 0.5KG</v>
          </cell>
          <cell r="D3035" t="str">
            <v>ERCAREL CSO V IN PLASTIC BOTTLE 0.5KG</v>
          </cell>
          <cell r="E3035">
            <v>1</v>
          </cell>
          <cell r="F3035" t="str">
            <v>Bỏ chọn</v>
          </cell>
          <cell r="G3035"/>
          <cell r="H3035"/>
        </row>
        <row r="3036">
          <cell r="A3036" t="str">
            <v>7.70584</v>
          </cell>
          <cell r="B3036" t="str">
            <v>ERCAREL CSN V IN PLASTIC BOTTLE 0.5KG</v>
          </cell>
          <cell r="C3036" t="str">
            <v>CHẤT LÀM MỀM DA ERCAREL CSN V ĐÓNG TRONG CHAI NHỰA 0.5KG</v>
          </cell>
          <cell r="D3036" t="str">
            <v>ERCAREL CSN V IN PLASTIC BOTTLE 0.5KG</v>
          </cell>
          <cell r="E3036">
            <v>1</v>
          </cell>
          <cell r="F3036" t="str">
            <v>Bỏ chọn</v>
          </cell>
          <cell r="G3036"/>
          <cell r="H3036"/>
        </row>
        <row r="3037">
          <cell r="A3037" t="str">
            <v>7.70585</v>
          </cell>
          <cell r="B3037" t="str">
            <v>ERCASOL 13 LH IN PLASTIC BOTTLE 0.5KG</v>
          </cell>
          <cell r="C3037" t="str">
            <v>CHẤT HÒA TAN DẦU ERCASOL 13 LH ĐÓNG TRONG CHAI NHỰA 0.5KG</v>
          </cell>
          <cell r="D3037" t="str">
            <v>ERCASOL 13 LH IN PLASTIC BOTTLE 0.5KG</v>
          </cell>
          <cell r="E3037">
            <v>1</v>
          </cell>
          <cell r="F3037" t="str">
            <v>Bỏ chọn</v>
          </cell>
          <cell r="G3037"/>
          <cell r="H3037"/>
        </row>
        <row r="3038">
          <cell r="A3038" t="str">
            <v>7.5239917760515</v>
          </cell>
          <cell r="B3038" t="str">
            <v>GREEN SATELLITE PDS 25KG</v>
          </cell>
          <cell r="C3038" t="str">
            <v>BỘT MÌ HIỆU VỆ TINH XANH LÁ 25KG</v>
          </cell>
          <cell r="D3038" t="str">
            <v>GREEN SATELLITE PDS 25KG</v>
          </cell>
          <cell r="E3038">
            <v>1</v>
          </cell>
          <cell r="F3038" t="str">
            <v>Bỏ chọn</v>
          </cell>
          <cell r="G3038"/>
          <cell r="H3038"/>
        </row>
        <row r="3039">
          <cell r="A3039" t="str">
            <v>7.1340190996401</v>
          </cell>
          <cell r="B3039" t="str">
            <v>PILOT PASTRY MARGARINE PIECES MEDIUM IN CARTON 15KG</v>
          </cell>
          <cell r="C3039" t="str">
            <v>BƠ THỰC VẬT PASTRY PIECES MEDIUM NHÃN HIỆU PILOT ĐÓNG TRONG THÙNG CARTON 15KG</v>
          </cell>
          <cell r="D3039" t="str">
            <v>PILOT PASTRY MARGARINE PIECES MEDIUM IN CARTON 15KG</v>
          </cell>
          <cell r="E3039">
            <v>15</v>
          </cell>
          <cell r="F3039" t="str">
            <v>Bỏ chọn</v>
          </cell>
          <cell r="G3039"/>
          <cell r="H3039"/>
        </row>
        <row r="3040">
          <cell r="A3040" t="str">
            <v>6.1340210990001</v>
          </cell>
          <cell r="B3040" t="str">
            <v>SHORTENING EMUL CME PUMP IBC 730KG/MB IN CARTON</v>
          </cell>
          <cell r="C3040" t="str">
            <v>SHORTENING EMUL CME PUMP IBC ĐÓNG TRONG THÙNG CARTON 730KG</v>
          </cell>
          <cell r="D3040" t="str">
            <v>SHORTENING EMUL CME PUMP IBC 730KG/MB IN CARTON</v>
          </cell>
          <cell r="E3040">
            <v>730</v>
          </cell>
          <cell r="F3040" t="str">
            <v>Chọn</v>
          </cell>
          <cell r="G3040"/>
          <cell r="H3040"/>
        </row>
        <row r="3041">
          <cell r="A3041" t="str">
            <v>7.70586</v>
          </cell>
          <cell r="B3041" t="str">
            <v>GENAMINOX LO IN PLASTIC BOTTLE 1KG</v>
          </cell>
          <cell r="C3041" t="str">
            <v>CHẤT HOẠT ĐỘNG BỀ MẶT GENAMINOX LO ĐÓNG TRONG CHAI NHỰA 1KG</v>
          </cell>
          <cell r="D3041" t="str">
            <v>GENAMINOX LO IN PLASTIC BOTTLE 1KG</v>
          </cell>
          <cell r="E3041">
            <v>1</v>
          </cell>
          <cell r="F3041" t="str">
            <v>Bỏ chọn</v>
          </cell>
          <cell r="G3041"/>
          <cell r="H3041"/>
        </row>
        <row r="3042">
          <cell r="A3042" t="str">
            <v>7.C35015572827227</v>
          </cell>
          <cell r="B3042" t="str">
            <v>POWER100 SAVING DISHWASHING LIQUID LEMON, 800G X 12 BOTTLES IN CARTON, EXPORTING TO LAOS</v>
          </cell>
          <cell r="C3042" t="str">
            <v>NƯỚC RỬA CHÉN POWER100 TIẾT KIỆM HƯƠNG CHANH, LOẠI 800G X 12 CHAI TRONG THÙNG CARTON, XK LÀO</v>
          </cell>
          <cell r="D3042" t="str">
            <v>POWER100 SAVING DISHWASHING LIQUID LEMON, 800G X 12 BOTTLES IN CARTON, EXPORTING TO LAOS</v>
          </cell>
          <cell r="E3042">
            <v>9.6</v>
          </cell>
          <cell r="F3042" t="str">
            <v>Bỏ chọn</v>
          </cell>
          <cell r="G3042"/>
          <cell r="H3042"/>
        </row>
        <row r="3043">
          <cell r="A3043" t="str">
            <v>7.C3501557282722701</v>
          </cell>
          <cell r="B3043" t="str">
            <v>POWER100 SAVING DISHWASHING LIQUID LEMON, 800G, EXPORTING TO LAOS</v>
          </cell>
          <cell r="C3043" t="str">
            <v>NƯỚC RỬA CHÉN POWER100 TIẾT KIỆM HƯƠNG CHANH, LOẠI 800G, XK LÀO</v>
          </cell>
          <cell r="D3043" t="str">
            <v>POWER100 SAVING DISHWASHING LIQUID LEMON, 800G, EXPORTING TO LAOS</v>
          </cell>
          <cell r="E3043">
            <v>0.8</v>
          </cell>
          <cell r="F3043" t="str">
            <v>Bỏ chọn</v>
          </cell>
          <cell r="G3043"/>
          <cell r="H3043"/>
        </row>
        <row r="3044">
          <cell r="A3044" t="str">
            <v>6.1212B35</v>
          </cell>
          <cell r="B3044" t="str">
            <v>RBDOL 1008 LOW GE</v>
          </cell>
          <cell r="C3044" t="str">
            <v>DẦU OLEIN CỌ TINH LUYỆN (LOW GE) TRONG XE BỒN</v>
          </cell>
          <cell r="D3044" t="str">
            <v>RBDOL 1008 LOW GE</v>
          </cell>
          <cell r="E3044">
            <v>1</v>
          </cell>
          <cell r="F3044" t="str">
            <v>Chọn</v>
          </cell>
          <cell r="G3044"/>
          <cell r="H3044"/>
        </row>
        <row r="3045">
          <cell r="A3045" t="str">
            <v>6.1213516</v>
          </cell>
          <cell r="B3045" t="str">
            <v>RBD PALM STEARIN(LOW GE)</v>
          </cell>
          <cell r="C3045" t="str">
            <v>DẦU STEARIN CỌ TINH LUYỆN (LOW GE) TRONG XE BỒN</v>
          </cell>
          <cell r="D3045" t="str">
            <v>RBD PALM STEARIN(LOW GE)</v>
          </cell>
          <cell r="E3045">
            <v>1</v>
          </cell>
          <cell r="F3045" t="str">
            <v>Chọn</v>
          </cell>
          <cell r="G3045"/>
          <cell r="H3045"/>
        </row>
        <row r="3046">
          <cell r="A3046" t="str">
            <v>7.B2402289945012601TD</v>
          </cell>
          <cell r="B3046" t="str">
            <v>CHILI SAUCE 470G</v>
          </cell>
          <cell r="C3046" t="str">
            <v>TƯƠNG ỚT 470G</v>
          </cell>
          <cell r="D3046" t="str">
            <v>CHILI SAUCE 470G</v>
          </cell>
          <cell r="E3046">
            <v>0.47</v>
          </cell>
          <cell r="F3046" t="str">
            <v>Bỏ chọn</v>
          </cell>
          <cell r="G3046"/>
          <cell r="H3046"/>
        </row>
        <row r="3047">
          <cell r="A3047" t="str">
            <v>6.1212B39</v>
          </cell>
          <cell r="B3047" t="str">
            <v>RBD PALM OLEIN IV 56 LOW GE 1.0 MAX PPM</v>
          </cell>
          <cell r="C3047" t="str">
            <v>DẦU OLEIN CỌ TINH LUYỆN TRONG XE BỒN</v>
          </cell>
          <cell r="D3047" t="str">
            <v>RBD PALM OLEIN IV 56 LOW GE 1.0 MAX PPM</v>
          </cell>
          <cell r="E3047">
            <v>1</v>
          </cell>
          <cell r="F3047" t="str">
            <v>Chọn</v>
          </cell>
          <cell r="G3047"/>
          <cell r="H3047"/>
        </row>
        <row r="3048">
          <cell r="A3048" t="str">
            <v>6.1212B38</v>
          </cell>
          <cell r="B3048" t="str">
            <v>RBD PALM OLEIN IV 60 LOW GE 1.0 MAX PPM</v>
          </cell>
          <cell r="C3048" t="str">
            <v>DẦU OLEIN CỌ TINH LUYỆN TRONG XE BỒN</v>
          </cell>
          <cell r="D3048" t="str">
            <v>RBD PALM OLEIN IV 60 LOW GE 1.0 MAX PPM</v>
          </cell>
          <cell r="E3048">
            <v>1</v>
          </cell>
          <cell r="F3048" t="str">
            <v>Bỏ chọn</v>
          </cell>
          <cell r="G3048"/>
          <cell r="H3048"/>
        </row>
        <row r="3049">
          <cell r="A3049" t="str">
            <v>7.131078011725H50</v>
          </cell>
          <cell r="B3049" t="str">
            <v>CO-MEIZAN GOLD 0.25L X 36 BTL</v>
          </cell>
          <cell r="C3049" t="str">
            <v>DẦU ĂN CAO CẤP NHÃN HIỆU MEIZAN GOLD 0.25L</v>
          </cell>
          <cell r="D3049" t="str">
            <v>CO-MEIZAN GOLD 0.25L X 36 BTL</v>
          </cell>
          <cell r="E3049">
            <v>8.19</v>
          </cell>
          <cell r="F3049" t="str">
            <v>Chọn</v>
          </cell>
          <cell r="G3049"/>
          <cell r="H3049"/>
        </row>
        <row r="3050">
          <cell r="A3050" t="str">
            <v>7.131078121706H60</v>
          </cell>
          <cell r="B3050" t="str">
            <v>MEIZAN GOLD 0.4L X 24BTL</v>
          </cell>
          <cell r="C3050" t="str">
            <v>DẦU ĂN CAO CẤP NHÃN HIỆU MEIZAN GOLD 400 ML</v>
          </cell>
          <cell r="D3050" t="str">
            <v>MEIZAN GOLD 0.4L X 24BTL</v>
          </cell>
          <cell r="E3050">
            <v>8.7360000000000007</v>
          </cell>
          <cell r="F3050" t="str">
            <v>Chọn</v>
          </cell>
          <cell r="G3050"/>
          <cell r="H3050" t="str">
            <v>7.131078121700E10</v>
          </cell>
        </row>
        <row r="3051">
          <cell r="A3051" t="str">
            <v>7.451050440106000</v>
          </cell>
          <cell r="B3051" t="str">
            <v>CO-SIMPLY SBO 0.4L X 24 BTL</v>
          </cell>
          <cell r="C3051" t="str">
            <v>DẦU ĐẬU NÀNH NHÃN HIỆU SIMPLY 400 ML</v>
          </cell>
          <cell r="D3051" t="str">
            <v>CO-SIMPLY SBO 0.4L X 24 BTL</v>
          </cell>
          <cell r="E3051">
            <v>8.7360000000000007</v>
          </cell>
          <cell r="F3051" t="str">
            <v>Chọn</v>
          </cell>
          <cell r="G3051"/>
          <cell r="H3051" t="str">
            <v>7.45105044170000</v>
          </cell>
        </row>
        <row r="3052">
          <cell r="A3052" t="str">
            <v>7.131010120106H80</v>
          </cell>
          <cell r="B3052" t="str">
            <v>CAI LAN S 0.4L X 24BTL</v>
          </cell>
          <cell r="C3052" t="str">
            <v>DẦU THỰC VẬT TINH LUYỆN NHÃN HIỆU CÁI LÂN 400 ML</v>
          </cell>
          <cell r="D3052" t="str">
            <v>CAI LAN S 0.4L X 24BTL</v>
          </cell>
          <cell r="E3052">
            <v>8.7360000000000007</v>
          </cell>
          <cell r="F3052" t="str">
            <v>Chọn</v>
          </cell>
          <cell r="G3052"/>
          <cell r="H3052" t="str">
            <v>7.13101012170003</v>
          </cell>
        </row>
        <row r="3053">
          <cell r="A3053" t="str">
            <v>7.131009120106H90</v>
          </cell>
          <cell r="B3053" t="str">
            <v>CAI LAN 0.4L X 24BTL</v>
          </cell>
          <cell r="C3053" t="str">
            <v>DẦU THỰC VẬT TINH LUYỆN NHÃN HIỆU CÁI LÂN 400 ML</v>
          </cell>
          <cell r="D3053" t="str">
            <v>CAI LAN 0.4L X 24BTL</v>
          </cell>
          <cell r="E3053">
            <v>8.7360000000000007</v>
          </cell>
          <cell r="F3053" t="str">
            <v>Chọn</v>
          </cell>
          <cell r="G3053"/>
          <cell r="H3053"/>
        </row>
        <row r="3054">
          <cell r="A3054" t="str">
            <v>7.52399139904D0</v>
          </cell>
          <cell r="B3054" t="str">
            <v>PIZZA 10KG</v>
          </cell>
          <cell r="C3054" t="str">
            <v>BỘT MÌ HIỆU PIZZA (10KG)</v>
          </cell>
          <cell r="D3054" t="str">
            <v>PIZZA 10KG</v>
          </cell>
          <cell r="E3054">
            <v>1</v>
          </cell>
          <cell r="F3054" t="str">
            <v>Bỏ chọn</v>
          </cell>
          <cell r="G3054"/>
          <cell r="H3054"/>
        </row>
        <row r="3055">
          <cell r="A3055" t="str">
            <v>7.B2508549942010516</v>
          </cell>
          <cell r="B3055" t="str">
            <v>PORK BOUILLON GRANULE 380G X 20 PACK ON PACK 20 BOT FERMENTED SOY SAUCE 280ML / CAR</v>
          </cell>
          <cell r="C3055" t="str">
            <v>HẠT NÊM 4 TRONG 1 - VỊ HEO 380G X 20 GÓI ĐÓNG KÈM  20 CHAI NƯỚC TƯƠNG NAM DƯƠNG ĐẬU NÀNH LÊN MEN TỰ NHIÊN 280ML / THÙNG</v>
          </cell>
          <cell r="D3055" t="str">
            <v>PORK BOUILLON GRANULE 380G X 20 PACK ON PACK 20 BOT FERMENTED SOY SAUCE 280ML / CAR</v>
          </cell>
          <cell r="E3055">
            <v>7.6</v>
          </cell>
          <cell r="F3055" t="str">
            <v>Bỏ chọn</v>
          </cell>
          <cell r="G3055" t="str">
            <v>2000000008</v>
          </cell>
          <cell r="H3055" t="str">
            <v>7.B250854994201051601</v>
          </cell>
        </row>
        <row r="3056">
          <cell r="A3056" t="str">
            <v>7.B250854994201051601</v>
          </cell>
          <cell r="B3056" t="str">
            <v>PORK BOUILLON GRANULE 380G  ON PACK 01 BOT FERMENTED SOY SAUCE 280ML</v>
          </cell>
          <cell r="C3056" t="str">
            <v>HẠT NÊM 4 TRONG 1 - VỊ HEO 380G ĐÓNG KÈM  01 CHAI NƯỚC TƯƠNG NAM DƯƠNG ĐẬU NÀNH LÊN MEN TỰ NHIÊN 280ML</v>
          </cell>
          <cell r="D3056" t="str">
            <v>PORK BOUILLON GRANULE 380G  ON PACK 01 BOT FERMENTED SOY SAUCE 280ML</v>
          </cell>
          <cell r="E3056">
            <v>0.38</v>
          </cell>
          <cell r="F3056" t="str">
            <v>Bỏ chọn</v>
          </cell>
          <cell r="G3056" t="str">
            <v>2000000008</v>
          </cell>
          <cell r="H3056"/>
        </row>
        <row r="3057">
          <cell r="A3057" t="str">
            <v>7.B2508542442010616</v>
          </cell>
          <cell r="B3057" t="str">
            <v>MUSHROOM BOUILLON GRANULE 380G X 20 PACK ON PACK 20 BOT FERMENTED SOY SAUCE 280ML / CAR</v>
          </cell>
          <cell r="C3057" t="str">
            <v>HẠT NÊM TAM BẢO VỊ NẤM 380G X 20 GÓI ĐÓNG KÈM 20 CHAI NƯỚC TƯƠNG NAM DƯƠNG ĐẬU NÀNH LÊN MEN TỰ NHIÊN 280ML / THÙNG</v>
          </cell>
          <cell r="D3057" t="str">
            <v>MUSHROOM BOUILLON GRANULE 380G X 20 PACK ON PACK 20 BOT FERMENTED SOY SAUCE 280ML / CAR</v>
          </cell>
          <cell r="E3057">
            <v>7.6</v>
          </cell>
          <cell r="F3057" t="str">
            <v>Bỏ chọn</v>
          </cell>
          <cell r="G3057" t="str">
            <v>2000000008</v>
          </cell>
          <cell r="H3057" t="str">
            <v>7.B250854244201061601</v>
          </cell>
        </row>
        <row r="3058">
          <cell r="A3058" t="str">
            <v>7.B250854244201061601</v>
          </cell>
          <cell r="B3058" t="str">
            <v>MUSHROOM BOUILLON GRANULE 380G ON PACK 01 BOT FERMENTED SOY SAUCE 280ML</v>
          </cell>
          <cell r="C3058" t="str">
            <v>HẠT NÊM TAM BẢO VỊ NẤM 380G ĐÓNG KÈM 01 CHAI NƯỚC TƯƠNG NAM DƯƠNG ĐẬU NÀNH LÊN MEN TỰ NHIÊN 280ML</v>
          </cell>
          <cell r="D3058" t="str">
            <v>MUSHROOM BOUILLON GRANULE 380G ON PACK 01 BOT FERMENTED SOY SAUCE 280ML</v>
          </cell>
          <cell r="E3058">
            <v>0.38</v>
          </cell>
          <cell r="F3058" t="str">
            <v>Bỏ chọn</v>
          </cell>
          <cell r="G3058" t="str">
            <v>2000000008</v>
          </cell>
          <cell r="H3058"/>
        </row>
        <row r="3059">
          <cell r="A3059" t="str">
            <v>7.70587</v>
          </cell>
          <cell r="B3059" t="str">
            <v>WILMAX 5100 HYDROGENATED SHEA OLEIN IN BAG 5KG</v>
          </cell>
          <cell r="C3059" t="str">
            <v>WILMAX 5100 DẦU OLEIN HẠT MỠ HYDRO HÓA ĐÓNG TRONG TÚI 5KG</v>
          </cell>
          <cell r="D3059" t="str">
            <v>WILMAX 5100 HYDROGENATED SHEA OLEIN IN BAG 5KG</v>
          </cell>
          <cell r="E3059">
            <v>1</v>
          </cell>
          <cell r="F3059" t="str">
            <v>Bỏ chọn</v>
          </cell>
          <cell r="G3059"/>
          <cell r="H3059"/>
        </row>
        <row r="3060">
          <cell r="A3060" t="str">
            <v>7.D37011099050153</v>
          </cell>
          <cell r="B3060" t="str">
            <v>DARK CHOCOLATE COMPOUND SLD–2501-254, CHIPS 8800 CTS/KG IN CARTON 25KG</v>
          </cell>
          <cell r="C3060" t="str">
            <v>SÔ-CÔ-LA ĐEN SLD–2501-254, CHIPS 8800 CTS/KG, ĐÓNG TRONG THÙNG CARTON 25KG</v>
          </cell>
          <cell r="D3060" t="str">
            <v>DARK CHOCOLATE COMPOUND SLD–2501-254, CHIPS 8800 CTS/KG IN CARTON 25KG</v>
          </cell>
          <cell r="E3060">
            <v>25</v>
          </cell>
          <cell r="F3060" t="str">
            <v>Bỏ chọn</v>
          </cell>
          <cell r="G3060"/>
          <cell r="H3060"/>
        </row>
        <row r="3061">
          <cell r="A3061" t="str">
            <v>7.D37011099050154</v>
          </cell>
          <cell r="B3061" t="str">
            <v>WHITE COMPOUND SLW–2502-254, CHIPS 8800 CTS/KG IN CARTON 25KG</v>
          </cell>
          <cell r="C3061" t="str">
            <v>SÔ-CÔ-LA TRẮNG SLW–2502-254, CHIPS 8800 CTS/KG, ĐÓNG TRONG THÙNG CARTON 25KG</v>
          </cell>
          <cell r="D3061" t="str">
            <v>WHITE COMPOUND SLW–2502-254, CHIPS 8800 CTS/KG IN CARTON 25KG</v>
          </cell>
          <cell r="E3061">
            <v>25</v>
          </cell>
          <cell r="F3061" t="str">
            <v>Bỏ chọn</v>
          </cell>
          <cell r="G3061"/>
          <cell r="H3061"/>
        </row>
        <row r="3062">
          <cell r="A3062" t="str">
            <v>7.D37011099040153</v>
          </cell>
          <cell r="B3062" t="str">
            <v>DARK CHOCOLATE COMPOUND SLD-3100B-106CI, BLOCK 1KG, IN CARTON 10KG</v>
          </cell>
          <cell r="C3062" t="str">
            <v>SÔ-CÔ-LA ĐEN SLD-3100B-106CI, BLOCK 1KG, ĐÓNG TRONG THÙNG CARTON 10KG</v>
          </cell>
          <cell r="D3062" t="str">
            <v>DARK CHOCOLATE COMPOUND SLD-3100B-106CI, BLOCK 1KG, IN CARTON 10KG</v>
          </cell>
          <cell r="E3062">
            <v>10</v>
          </cell>
          <cell r="F3062" t="str">
            <v>Chọn</v>
          </cell>
          <cell r="G3062"/>
          <cell r="H3062"/>
        </row>
        <row r="3063">
          <cell r="A3063" t="str">
            <v>7.D37011099040154</v>
          </cell>
          <cell r="B3063" t="str">
            <v>DARK CHOCOLATE COMPOUND ILD–52009N-055, 5KG X 2BAGS, IN CARTON 10KG</v>
          </cell>
          <cell r="C3063" t="str">
            <v>SÔ-CÔ-LA ĐEN ILD–52009N-055, 5KG X 2BAGS, ĐÓNG TRONG THÙNG CARTON 10KG</v>
          </cell>
          <cell r="D3063" t="str">
            <v>DARK CHOCOLATE COMPOUND ILD–52009N-055, 5KG X 2BAGS, IN CARTON 10KG</v>
          </cell>
          <cell r="E3063">
            <v>10</v>
          </cell>
          <cell r="F3063" t="str">
            <v>Bỏ chọn</v>
          </cell>
          <cell r="G3063"/>
          <cell r="H3063"/>
        </row>
        <row r="3064">
          <cell r="A3064" t="str">
            <v>7.B2508089902010501TD</v>
          </cell>
          <cell r="B3064" t="str">
            <v>MEIZAN PORK BOUILLON GRANULE 1KG</v>
          </cell>
          <cell r="C3064" t="str">
            <v>HẠT NÊM MEIZAN THỊT, XƯƠNG ỐNG, TỦY, CÀ RỐT – VỊ HEO 1KG</v>
          </cell>
          <cell r="D3064" t="str">
            <v>MEIZAN PORK BOUILLON GRANULE 1KG</v>
          </cell>
          <cell r="E3064">
            <v>1</v>
          </cell>
          <cell r="F3064" t="str">
            <v>Bỏ chọn</v>
          </cell>
          <cell r="G3064"/>
          <cell r="H3064"/>
        </row>
        <row r="3065">
          <cell r="A3065" t="str">
            <v>7.1070140215908010</v>
          </cell>
          <cell r="B3065" t="str">
            <v>SATELLITE PREMIUM BAKERY MGR PE BAG@20KG</v>
          </cell>
          <cell r="C3065" t="str">
            <v>BƠ THƠM CAO CẤP NHÃN HIỆU SATELLITE TRONG THÙNG 20KG</v>
          </cell>
          <cell r="D3065" t="str">
            <v>SATELLITE PREMIUM BAKERY MGR PE BAG@20KG</v>
          </cell>
          <cell r="E3065">
            <v>20</v>
          </cell>
          <cell r="F3065" t="str">
            <v>Chọn</v>
          </cell>
          <cell r="G3065"/>
          <cell r="H3065"/>
        </row>
        <row r="3066">
          <cell r="A3066" t="str">
            <v>6.1212B40</v>
          </cell>
          <cell r="B3066" t="str">
            <v>RBD PALM OLEIN IV 58 LOW GE</v>
          </cell>
          <cell r="C3066" t="str">
            <v>DẦU OLEIN CỌ TINH LUYỆN TRONG XE BỒN</v>
          </cell>
          <cell r="D3066" t="str">
            <v>RBD PALM OLEIN IV 58 LOW GE</v>
          </cell>
          <cell r="E3066">
            <v>1</v>
          </cell>
          <cell r="F3066" t="str">
            <v>Bỏ chọn</v>
          </cell>
          <cell r="G3066"/>
          <cell r="H3066"/>
        </row>
        <row r="3067">
          <cell r="A3067" t="str">
            <v>6.1212B41</v>
          </cell>
          <cell r="B3067" t="str">
            <v>RBD PALM OLEIN IV 56 LOW GE</v>
          </cell>
          <cell r="C3067" t="str">
            <v>DẦU OLEIN CỌ TINH LUYỆN TRONG XE BỒN</v>
          </cell>
          <cell r="D3067" t="str">
            <v>RBD PALM OLEIN IV 56 LOW GE</v>
          </cell>
          <cell r="E3067">
            <v>1</v>
          </cell>
          <cell r="F3067" t="str">
            <v>Chọn</v>
          </cell>
          <cell r="G3067"/>
          <cell r="H3067"/>
        </row>
        <row r="3068">
          <cell r="A3068" t="str">
            <v>7.70588</v>
          </cell>
          <cell r="B3068" t="str">
            <v>VEGETABLE FAT WILMAX 1050 RSPO MB PACKING IN 20KG CARTON</v>
          </cell>
          <cell r="C3068" t="str">
            <v>CHẤT BÉO THỰC VẬT WILMAX 1050 RSPO MB ĐÓNG TRONG THÙNG CARTON 20KG</v>
          </cell>
          <cell r="D3068" t="str">
            <v>VEGETABLE FAT WILMAX 1050 RSPO MB PACKING IN 20KG CARTON</v>
          </cell>
          <cell r="E3068">
            <v>1</v>
          </cell>
          <cell r="F3068" t="str">
            <v>Chọn</v>
          </cell>
          <cell r="G3068"/>
          <cell r="H3068"/>
        </row>
        <row r="3069">
          <cell r="A3069" t="str">
            <v>6.70589</v>
          </cell>
          <cell r="B3069" t="str">
            <v>SODIUM LAURETH 2 SULFATE IN JERRY CAN 5KG</v>
          </cell>
          <cell r="C3069" t="str">
            <v>CHẤT HOẠT ĐỘNG BỀ MẶT - SODIUM LAURETH 2 SULFATE ĐÓNG TRONG CAN 5KG</v>
          </cell>
          <cell r="D3069" t="str">
            <v>SODIUM LAURETH 2 SULFATE IN JERRY CAN 5KG</v>
          </cell>
          <cell r="E3069">
            <v>1</v>
          </cell>
          <cell r="F3069" t="str">
            <v>Bỏ chọn</v>
          </cell>
          <cell r="G3069"/>
          <cell r="H3069"/>
        </row>
        <row r="3070">
          <cell r="A3070" t="str">
            <v>7.52399A6990601</v>
          </cell>
          <cell r="B3070" t="str">
            <v>FLOUR 26 40KG</v>
          </cell>
          <cell r="C3070" t="str">
            <v>BỘT MÌ 26 40KG</v>
          </cell>
          <cell r="D3070" t="str">
            <v>FLOUR 26 40KG</v>
          </cell>
          <cell r="E3070">
            <v>1</v>
          </cell>
          <cell r="F3070" t="str">
            <v>Bỏ chọn</v>
          </cell>
          <cell r="G3070"/>
          <cell r="H3070"/>
        </row>
        <row r="3071">
          <cell r="A3071" t="str">
            <v>7.52399A7990601</v>
          </cell>
          <cell r="B3071" t="str">
            <v>FLOUR 28 40KG</v>
          </cell>
          <cell r="C3071" t="str">
            <v>BỘT MÌ 28 40KG</v>
          </cell>
          <cell r="D3071" t="str">
            <v>FLOUR 28 40KG</v>
          </cell>
          <cell r="E3071">
            <v>1</v>
          </cell>
          <cell r="F3071" t="str">
            <v>Bỏ chọn</v>
          </cell>
          <cell r="G3071"/>
          <cell r="H3071"/>
        </row>
        <row r="3072">
          <cell r="A3072" t="str">
            <v>7.B24012361370142TD</v>
          </cell>
          <cell r="B3072" t="str">
            <v>FERMENTED SOY SAUCE 500ML X 24 BOT</v>
          </cell>
          <cell r="C3072" t="str">
            <v>NƯỚC TƯƠNG NAM DƯƠNG ĐẬU NÀNH LÊN MEN TỰ NHIÊN 500ML X 24 CHAI</v>
          </cell>
          <cell r="D3072" t="str">
            <v>FERMENTED SOY SAUCE 500ML X 24 BOT</v>
          </cell>
          <cell r="E3072">
            <v>13.7736</v>
          </cell>
          <cell r="F3072" t="str">
            <v>Bỏ chọn</v>
          </cell>
          <cell r="G3072"/>
          <cell r="H3072"/>
        </row>
        <row r="3073">
          <cell r="A3073" t="str">
            <v>7.B24022399180131TD</v>
          </cell>
          <cell r="B3073" t="str">
            <v>SUPER TASTY CHILI SAUCE 250GR X 24 BOT</v>
          </cell>
          <cell r="C3073" t="str">
            <v>TƯƠNG ỚT SIÊU NGON 250G X 24 CHAI</v>
          </cell>
          <cell r="D3073" t="str">
            <v>SUPER TASTY CHILI SAUCE 250GR X 24 BOT</v>
          </cell>
          <cell r="E3073">
            <v>6</v>
          </cell>
          <cell r="F3073" t="str">
            <v>Bỏ chọn</v>
          </cell>
          <cell r="G3073"/>
          <cell r="H3073"/>
        </row>
        <row r="3074">
          <cell r="A3074" t="str">
            <v>7.B24022399180199TD</v>
          </cell>
          <cell r="B3074" t="str">
            <v>CHILI SAUCE 250G X 24 BOT</v>
          </cell>
          <cell r="C3074" t="str">
            <v>TƯƠNG ỚT 250G</v>
          </cell>
          <cell r="D3074" t="str">
            <v>CHILI SAUCE 250G X 24 BOT</v>
          </cell>
          <cell r="E3074">
            <v>6</v>
          </cell>
          <cell r="F3074" t="str">
            <v>Bỏ chọn</v>
          </cell>
          <cell r="G3074"/>
          <cell r="H3074"/>
        </row>
        <row r="3075">
          <cell r="A3075" t="str">
            <v>V51.000.114</v>
          </cell>
          <cell r="B3075" t="str">
            <v xml:space="preserve">MULTI-COLORS SILICONE DRYING </v>
          </cell>
          <cell r="C3075" t="str">
            <v>CÂY VÉT BỘT BẰNG SILICON NHIỀU MÀU</v>
          </cell>
          <cell r="D3075" t="str">
            <v xml:space="preserve">MULTI-COLORS SILICONE DRYING </v>
          </cell>
          <cell r="E3075">
            <v>0</v>
          </cell>
          <cell r="F3075" t="str">
            <v>Bỏ chọn</v>
          </cell>
          <cell r="G3075"/>
          <cell r="H3075"/>
        </row>
        <row r="3076">
          <cell r="A3076" t="str">
            <v>V51.000.115</v>
          </cell>
          <cell r="B3076" t="str">
            <v>DOUGH ROLLER</v>
          </cell>
          <cell r="C3076" t="str">
            <v>CÂY LĂN BỘT</v>
          </cell>
          <cell r="D3076" t="str">
            <v>DOUGH ROLLER</v>
          </cell>
          <cell r="E3076">
            <v>0</v>
          </cell>
          <cell r="F3076" t="str">
            <v>Bỏ chọn</v>
          </cell>
          <cell r="G3076"/>
          <cell r="H3076"/>
        </row>
        <row r="3077">
          <cell r="A3077" t="str">
            <v>V51.046.028</v>
          </cell>
          <cell r="B3077" t="str">
            <v>PORK BOUILLON GRANULE 380G</v>
          </cell>
          <cell r="C3077" t="str">
            <v>HẠT NÊM 4 TRONG 1 VỊ HEO 380G</v>
          </cell>
          <cell r="D3077" t="str">
            <v>PORK BOUILLON GRANULE 380G</v>
          </cell>
          <cell r="E3077">
            <v>0</v>
          </cell>
          <cell r="F3077" t="str">
            <v>Bỏ chọn</v>
          </cell>
          <cell r="G3077"/>
          <cell r="H3077"/>
        </row>
        <row r="3078">
          <cell r="A3078" t="str">
            <v>7.52399149905F7</v>
          </cell>
          <cell r="B3078" t="str">
            <v>RED COMPASS - KINH DO 25KG (NON FE&amp;ZN)</v>
          </cell>
          <cell r="C3078" t="str">
            <v>BỘT MÌ HIỆU LA BÀN ĐỎ 25KG</v>
          </cell>
          <cell r="D3078" t="str">
            <v>RED COMPASS - KINH DO 25KG (NON FE&amp;ZN)</v>
          </cell>
          <cell r="E3078">
            <v>1</v>
          </cell>
          <cell r="F3078" t="str">
            <v>Bỏ chọn</v>
          </cell>
          <cell r="G3078"/>
          <cell r="H3078"/>
        </row>
        <row r="3079">
          <cell r="A3079" t="str">
            <v>7.52399079905F7</v>
          </cell>
          <cell r="B3079" t="str">
            <v>GREEN KEY- KINH DO 25KG (NON FE&amp;ZN)</v>
          </cell>
          <cell r="C3079" t="str">
            <v>BỘT MÌ HIỆU CHÌA KHÓA XANH LÁ 25KG</v>
          </cell>
          <cell r="D3079" t="str">
            <v>GREEN KEY- KINH DO 25KG (NON FE&amp;ZN)</v>
          </cell>
          <cell r="E3079">
            <v>1</v>
          </cell>
          <cell r="F3079" t="str">
            <v>Bỏ chọn</v>
          </cell>
          <cell r="G3079"/>
          <cell r="H3079"/>
        </row>
        <row r="3080">
          <cell r="A3080" t="str">
            <v>6.5239924170001</v>
          </cell>
          <cell r="B3080" t="str">
            <v>VFMW-2</v>
          </cell>
          <cell r="C3080" t="str">
            <v>BỘT MÌ HIỆU VFMW-2</v>
          </cell>
          <cell r="D3080" t="str">
            <v>VFMW-2</v>
          </cell>
          <cell r="E3080">
            <v>1</v>
          </cell>
          <cell r="F3080" t="str">
            <v>Bỏ chọn</v>
          </cell>
          <cell r="G3080"/>
          <cell r="H3080"/>
        </row>
        <row r="3081">
          <cell r="A3081" t="str">
            <v>6.5239924180001</v>
          </cell>
          <cell r="B3081" t="str">
            <v>VFMW-4</v>
          </cell>
          <cell r="C3081" t="str">
            <v>BỘT MÌ HIỆU VFMW-4</v>
          </cell>
          <cell r="D3081" t="str">
            <v>VFMW-4</v>
          </cell>
          <cell r="E3081">
            <v>1</v>
          </cell>
          <cell r="F3081" t="str">
            <v>Bỏ chọn</v>
          </cell>
          <cell r="G3081"/>
          <cell r="H3081"/>
        </row>
        <row r="3082">
          <cell r="A3082" t="str">
            <v>6.52399241700F8</v>
          </cell>
          <cell r="B3082" t="str">
            <v>VFMW-2 (NON FE&amp;ZN)</v>
          </cell>
          <cell r="C3082" t="str">
            <v>BỘT MÌ HIỆU VFMW-2</v>
          </cell>
          <cell r="D3082" t="str">
            <v>VFMW-2 (NON FE&amp;ZN)</v>
          </cell>
          <cell r="E3082">
            <v>1</v>
          </cell>
          <cell r="F3082" t="str">
            <v>Bỏ chọn</v>
          </cell>
          <cell r="G3082"/>
          <cell r="H3082"/>
        </row>
        <row r="3083">
          <cell r="A3083" t="str">
            <v>6.52399241800F8</v>
          </cell>
          <cell r="B3083" t="str">
            <v>VFMW-4 (NON FE&amp;ZN)</v>
          </cell>
          <cell r="C3083" t="str">
            <v>BỘT MÌ HIỆU VFMW-4</v>
          </cell>
          <cell r="D3083" t="str">
            <v>VFMW-4 (NON FE&amp;ZN)</v>
          </cell>
          <cell r="E3083">
            <v>1</v>
          </cell>
          <cell r="F3083" t="str">
            <v>Bỏ chọn</v>
          </cell>
          <cell r="G3083"/>
          <cell r="H3083"/>
        </row>
        <row r="3084">
          <cell r="A3084" t="str">
            <v>7.52399259905F9</v>
          </cell>
          <cell r="B3084" t="str">
            <v>BLUE KEY NOODLE - MASAN 25KG (NON FE&amp;ZN)</v>
          </cell>
          <cell r="C3084" t="str">
            <v>BỘT MÌ HIỆU CHÌA KHÓA XANH MÌ SỢI 25KG</v>
          </cell>
          <cell r="D3084" t="str">
            <v>BLUE KEY NOODLE - MASAN 25KG (NON FE&amp;ZN)</v>
          </cell>
          <cell r="E3084">
            <v>1</v>
          </cell>
          <cell r="F3084" t="str">
            <v>Bỏ chọn</v>
          </cell>
          <cell r="G3084"/>
          <cell r="H3084"/>
        </row>
        <row r="3085">
          <cell r="A3085" t="str">
            <v>7.52399B19903A0</v>
          </cell>
          <cell r="B3085" t="str">
            <v>SAMPLE BLUE KEY PAU SP 5KG</v>
          </cell>
          <cell r="C3085" t="str">
            <v>BỘT MÌ HIỆU CHÌA KHÓA XANH BÁNH BAO SP 5KG</v>
          </cell>
          <cell r="D3085" t="str">
            <v>SAMPLE BLUE KEY PAU SP 5KG</v>
          </cell>
          <cell r="E3085">
            <v>1</v>
          </cell>
          <cell r="F3085" t="str">
            <v>Bỏ chọn</v>
          </cell>
          <cell r="G3085"/>
          <cell r="H3085"/>
        </row>
        <row r="3086">
          <cell r="A3086" t="str">
            <v>7.52399119903A0</v>
          </cell>
          <cell r="B3086" t="str">
            <v>SAMPLE ORANGE KEY 5KG</v>
          </cell>
          <cell r="C3086" t="str">
            <v>BỘT MÌ HIỆU CHÌA KHÓA CAM 5KG</v>
          </cell>
          <cell r="D3086" t="str">
            <v>SAMPLE ORANGE KEY 5KG</v>
          </cell>
          <cell r="E3086">
            <v>1</v>
          </cell>
          <cell r="F3086" t="str">
            <v>Bỏ chọn</v>
          </cell>
          <cell r="G3086"/>
          <cell r="H3086"/>
        </row>
        <row r="3087">
          <cell r="A3087" t="str">
            <v>7.458052790901180</v>
          </cell>
          <cell r="B3087" t="str">
            <v>SATELLITE RSFO+TOCOPHEROL IN BIB @18KG</v>
          </cell>
          <cell r="C3087" t="str">
            <v>DẦU HƯỚNG DƯƠNG - A NHÃN HIỆU SATELLITE TRONG THÙNG 18KG</v>
          </cell>
          <cell r="D3087" t="str">
            <v>SATELLITE RSFO+TOCOPHEROL IN BIB @18KG</v>
          </cell>
          <cell r="E3087">
            <v>18</v>
          </cell>
          <cell r="F3087" t="str">
            <v>Chọn</v>
          </cell>
          <cell r="G3087"/>
          <cell r="H3087"/>
        </row>
        <row r="3088">
          <cell r="A3088" t="str">
            <v>7.5239919990501</v>
          </cell>
          <cell r="B3088" t="str">
            <v>RED KEY SP 25KG</v>
          </cell>
          <cell r="C3088" t="str">
            <v>BỘT MÌ HIỆU CHÌA KHÓA ĐỎ SP 25KG</v>
          </cell>
          <cell r="D3088" t="str">
            <v>RED KEY SP 25KG</v>
          </cell>
          <cell r="E3088">
            <v>1</v>
          </cell>
          <cell r="F3088" t="str">
            <v>Bỏ chọn</v>
          </cell>
          <cell r="G3088"/>
          <cell r="H3088"/>
        </row>
        <row r="3089">
          <cell r="A3089" t="str">
            <v>7.52399269905AA</v>
          </cell>
          <cell r="B3089" t="str">
            <v>BLUE KEY PAU 25 KG</v>
          </cell>
          <cell r="C3089" t="str">
            <v>BỘT MÌ HIỆU CHÌA KHÓA XANH BÁNH BAO 25KG</v>
          </cell>
          <cell r="D3089" t="str">
            <v>BLUE KEY PAU 25 KG</v>
          </cell>
          <cell r="E3089">
            <v>1</v>
          </cell>
          <cell r="F3089" t="str">
            <v>Bỏ chọn</v>
          </cell>
          <cell r="G3089"/>
          <cell r="H3089"/>
        </row>
        <row r="3090">
          <cell r="A3090" t="str">
            <v>7.5239926990533</v>
          </cell>
          <cell r="B3090" t="str">
            <v>BLUE KEY PAU PHU MY 25KG</v>
          </cell>
          <cell r="C3090" t="str">
            <v>BỘT MÌ HIỆU CHÌA KHÓA XANH BÁNH BAO 25KG</v>
          </cell>
          <cell r="D3090" t="str">
            <v>BLUE KEY PAU PHU MY 25KG</v>
          </cell>
          <cell r="E3090">
            <v>1</v>
          </cell>
          <cell r="F3090" t="str">
            <v>Bỏ chọn</v>
          </cell>
          <cell r="G3090"/>
          <cell r="H3090"/>
        </row>
        <row r="3091">
          <cell r="A3091" t="str">
            <v>7.52399B1990501</v>
          </cell>
          <cell r="B3091" t="str">
            <v>BLUE KEY PAU SP 25KG</v>
          </cell>
          <cell r="C3091" t="str">
            <v>BỘT MÌ HIỆU CHÌA KHÓA XANH BÁNH BAO SP 25KG</v>
          </cell>
          <cell r="D3091" t="str">
            <v>BLUE KEY PAU SP 25KG</v>
          </cell>
          <cell r="E3091">
            <v>1</v>
          </cell>
          <cell r="F3091" t="str">
            <v>Bỏ chọn</v>
          </cell>
          <cell r="G3091"/>
          <cell r="H3091"/>
        </row>
        <row r="3092">
          <cell r="A3092" t="str">
            <v>7.5239925990501</v>
          </cell>
          <cell r="B3092" t="str">
            <v>BLUE KEY NOODLE 25 KG</v>
          </cell>
          <cell r="C3092" t="str">
            <v>BỘT MÌ HIỆU CHÌA KHÓA XANH MÌ SỢI 25KG</v>
          </cell>
          <cell r="D3092" t="str">
            <v>BLUE KEY NOODLE 25 KG</v>
          </cell>
          <cell r="E3092">
            <v>1</v>
          </cell>
          <cell r="F3092" t="str">
            <v>Bỏ chọn</v>
          </cell>
          <cell r="G3092"/>
          <cell r="H3092"/>
        </row>
        <row r="3093">
          <cell r="A3093" t="str">
            <v>7.5239927990501</v>
          </cell>
          <cell r="B3093" t="str">
            <v>GREEN KEY SP 25KG</v>
          </cell>
          <cell r="C3093" t="str">
            <v>BỘT MÌ HIỆU CHÌA KHÓA XANH LÁ SP 25KG</v>
          </cell>
          <cell r="D3093" t="str">
            <v>GREEN KEY SP 25KG</v>
          </cell>
          <cell r="E3093">
            <v>1</v>
          </cell>
          <cell r="F3093" t="str">
            <v>Bỏ chọn</v>
          </cell>
          <cell r="G3093"/>
          <cell r="H3093"/>
        </row>
        <row r="3094">
          <cell r="A3094" t="str">
            <v>7.5239927990543</v>
          </cell>
          <cell r="B3094" t="str">
            <v>GREEN KEY SP DIAMOND 25KG</v>
          </cell>
          <cell r="C3094" t="str">
            <v>BỘT MÌ HIỆU CHÌA KHÓA XANH LÁ SP 25KG</v>
          </cell>
          <cell r="D3094" t="str">
            <v>GREEN KEY SP DIAMOND 25KG</v>
          </cell>
          <cell r="E3094">
            <v>1</v>
          </cell>
          <cell r="F3094" t="str">
            <v>Bỏ chọn</v>
          </cell>
          <cell r="G3094"/>
          <cell r="H3094"/>
        </row>
        <row r="3095">
          <cell r="A3095" t="str">
            <v>7.5239916990501</v>
          </cell>
          <cell r="B3095" t="str">
            <v>RED PEN 25KG</v>
          </cell>
          <cell r="C3095" t="str">
            <v>BỘT MÌ HIỆU CÂY VIẾT ĐỎ 25KG</v>
          </cell>
          <cell r="D3095" t="str">
            <v>RED PEN 25KG</v>
          </cell>
          <cell r="E3095">
            <v>1</v>
          </cell>
          <cell r="F3095" t="str">
            <v>Bỏ chọn</v>
          </cell>
          <cell r="G3095"/>
          <cell r="H3095"/>
        </row>
        <row r="3096">
          <cell r="A3096" t="str">
            <v>7.52399349905D0</v>
          </cell>
          <cell r="B3096" t="str">
            <v>ACE 25KG</v>
          </cell>
          <cell r="C3096" t="str">
            <v>BỘT MÌ HIỆU ACE 25KG</v>
          </cell>
          <cell r="D3096" t="str">
            <v>ACE 25KG</v>
          </cell>
          <cell r="E3096">
            <v>1</v>
          </cell>
          <cell r="F3096" t="str">
            <v>Bỏ chọn</v>
          </cell>
          <cell r="G3096"/>
          <cell r="H3096"/>
        </row>
        <row r="3097">
          <cell r="A3097" t="str">
            <v>7.52399169905G0</v>
          </cell>
          <cell r="B3097" t="str">
            <v>RED PEN LAOS 25KG</v>
          </cell>
          <cell r="C3097" t="str">
            <v>BỘT MÌ HIỆU CÂY VIẾT ĐỎ (TIẾNG LÀO) 25KG</v>
          </cell>
          <cell r="D3097" t="str">
            <v>RED PEN LAOS 25KG</v>
          </cell>
          <cell r="E3097">
            <v>1</v>
          </cell>
          <cell r="F3097" t="str">
            <v>Bỏ chọn</v>
          </cell>
          <cell r="G3097"/>
          <cell r="H3097"/>
        </row>
        <row r="3098">
          <cell r="A3098" t="str">
            <v>7.52399119405G0</v>
          </cell>
          <cell r="B3098" t="str">
            <v>ORANGE KEY LAOS 111 25KG</v>
          </cell>
          <cell r="C3098" t="str">
            <v>BỘT MÌ HIỆU CHÌA KHÓA CAM - 111 (TIẾNG LÀO) 25KG</v>
          </cell>
          <cell r="D3098" t="str">
            <v>ORANGE KEY LAOS 111 25KG</v>
          </cell>
          <cell r="E3098">
            <v>1</v>
          </cell>
          <cell r="F3098" t="str">
            <v>Bỏ chọn</v>
          </cell>
          <cell r="G3098"/>
          <cell r="H3098"/>
        </row>
        <row r="3099">
          <cell r="A3099" t="str">
            <v>7.52399119905G0</v>
          </cell>
          <cell r="B3099" t="str">
            <v>ORANGE KEY LAOS 25KG</v>
          </cell>
          <cell r="C3099" t="str">
            <v>BỘT MÌ HIỆU CHÌA KHÓA CAM (TIẾNG LÀO) 25KG</v>
          </cell>
          <cell r="D3099" t="str">
            <v>ORANGE KEY LAOS 25KG</v>
          </cell>
          <cell r="E3099">
            <v>1</v>
          </cell>
          <cell r="F3099" t="str">
            <v>Bỏ chọn</v>
          </cell>
          <cell r="G3099"/>
          <cell r="H3099"/>
        </row>
        <row r="3100">
          <cell r="A3100" t="str">
            <v>7.52399079905G0</v>
          </cell>
          <cell r="B3100" t="str">
            <v>GREEN KEY LAOS 25KG</v>
          </cell>
          <cell r="C3100" t="str">
            <v>BỘT MÌ HIỆU CHÌA KHÓA XANH LÁ (TIẾNG LÀO) 25KG</v>
          </cell>
          <cell r="D3100" t="str">
            <v>GREEN KEY LAOS 25KG</v>
          </cell>
          <cell r="E3100">
            <v>1</v>
          </cell>
          <cell r="F3100" t="str">
            <v>Bỏ chọn</v>
          </cell>
          <cell r="G3100"/>
          <cell r="H3100"/>
        </row>
        <row r="3101">
          <cell r="A3101" t="str">
            <v>7.52399149905G0</v>
          </cell>
          <cell r="B3101" t="str">
            <v>RED COMPASS LAOS 25KG</v>
          </cell>
          <cell r="C3101" t="str">
            <v>BỘT MÌ HIỆU LA BÀN ĐỎ (TIẾNG LÀO) 25KG</v>
          </cell>
          <cell r="D3101" t="str">
            <v>RED COMPASS LAOS 25KG</v>
          </cell>
          <cell r="E3101">
            <v>1</v>
          </cell>
          <cell r="F3101" t="str">
            <v>Bỏ chọn</v>
          </cell>
          <cell r="G3101"/>
          <cell r="H3101"/>
        </row>
        <row r="3102">
          <cell r="A3102" t="str">
            <v>7.52399159905G0</v>
          </cell>
          <cell r="B3102" t="str">
            <v>RED KEY LAOS 25KG</v>
          </cell>
          <cell r="C3102" t="str">
            <v>BỘT MÌ HIỆU CHÌA KHÓA ĐỎ (TIẾNG LÀO) 25KG</v>
          </cell>
          <cell r="D3102" t="str">
            <v>RED KEY LAOS 25KG</v>
          </cell>
          <cell r="E3102">
            <v>1</v>
          </cell>
          <cell r="F3102" t="str">
            <v>Bỏ chọn</v>
          </cell>
          <cell r="G3102"/>
          <cell r="H3102"/>
        </row>
        <row r="3103">
          <cell r="A3103" t="str">
            <v>7.5239904990534</v>
          </cell>
          <cell r="B3103" t="str">
            <v>BROWN COMPASS HANOI FOOD 25KG</v>
          </cell>
          <cell r="C3103" t="str">
            <v>BỘT MÌ HIỆU LA BÀN NÂU 25KG</v>
          </cell>
          <cell r="D3103" t="str">
            <v>BROWN COMPASS HANOI FOOD 25KG</v>
          </cell>
          <cell r="E3103">
            <v>1</v>
          </cell>
          <cell r="F3103" t="str">
            <v>Bỏ chọn</v>
          </cell>
          <cell r="G3103"/>
          <cell r="H3103"/>
        </row>
        <row r="3104">
          <cell r="A3104" t="str">
            <v>7.B24012302370101TD</v>
          </cell>
          <cell r="B3104" t="str">
            <v>HANG VIET SOYA SAUCE 500ML X 24 BOT/CAR</v>
          </cell>
          <cell r="C3104" t="str">
            <v>NƯỚC CHẤM ĐẬU NÀNH HÀNG VIỆT 500ML X 24 CHAI/THÙNG</v>
          </cell>
          <cell r="D3104" t="str">
            <v>HANG VIET SOYA SAUCE 500ML X 24 BOT/CAR</v>
          </cell>
          <cell r="E3104">
            <v>13.095599999999999</v>
          </cell>
          <cell r="F3104" t="str">
            <v>Bỏ chọn</v>
          </cell>
          <cell r="G3104"/>
          <cell r="H3104"/>
        </row>
        <row r="3105">
          <cell r="A3105" t="str">
            <v>7.B25080899020105TD</v>
          </cell>
          <cell r="B3105" t="str">
            <v>MEIZAN PORK BOUILLON GRANULE 1KG X 10 PAC/CAR</v>
          </cell>
          <cell r="C3105" t="str">
            <v>HẠT NÊM MEIZAN THỊT, XƯƠNG ỐNG, TỦY, CÀ RỐT – VỊ HEO 1KG X 10 GÓI/THÙNG</v>
          </cell>
          <cell r="D3105" t="str">
            <v>MEIZAN PORK BOUILLON GRANULE 1KG X 10 PAC/CAR</v>
          </cell>
          <cell r="E3105">
            <v>10</v>
          </cell>
          <cell r="F3105" t="str">
            <v>Chọn</v>
          </cell>
          <cell r="G3105"/>
          <cell r="H3105"/>
        </row>
        <row r="3106">
          <cell r="A3106" t="str">
            <v>7.B25085424420106TD</v>
          </cell>
          <cell r="B3106" t="str">
            <v>MUSHROOM BOUILLON GRANULE 380G X 20 PAC/CARTON (LNS)</v>
          </cell>
          <cell r="C3106" t="str">
            <v>HẠT NÊM TAM BẢO VỊ NẤM 380G X 20 GÓI/THÙNG</v>
          </cell>
          <cell r="D3106" t="str">
            <v>MUSHROOM BOUILLON GRANULE 380G X 20 PAC/CARTON (LNS)</v>
          </cell>
          <cell r="E3106">
            <v>7.6</v>
          </cell>
          <cell r="F3106" t="str">
            <v>Bỏ chọn</v>
          </cell>
          <cell r="G3106"/>
          <cell r="H3106"/>
        </row>
        <row r="3107">
          <cell r="A3107" t="str">
            <v>7.52399044905G1</v>
          </cell>
          <cell r="B3107" t="str">
            <v>BROWN COMPASS 111 BAOHUNG 25KG</v>
          </cell>
          <cell r="C3107" t="str">
            <v>BỘT MÌ HIỆU LA BÀN NÂU -111 25KG</v>
          </cell>
          <cell r="D3107" t="str">
            <v>BROWN COMPASS 111 BAOHUNG 25KG</v>
          </cell>
          <cell r="E3107">
            <v>1</v>
          </cell>
          <cell r="F3107" t="str">
            <v>Bỏ chọn</v>
          </cell>
          <cell r="G3107"/>
          <cell r="H3107"/>
        </row>
        <row r="3108">
          <cell r="A3108" t="str">
            <v>7.52399689905D0</v>
          </cell>
          <cell r="B3108" t="str">
            <v>YELLOW KEY 25KG</v>
          </cell>
          <cell r="C3108" t="str">
            <v>BỘT MÌ HIỆU CHÌA KHOÁ VÀNG 25KG</v>
          </cell>
          <cell r="D3108" t="str">
            <v>YELLOW KEY 25KG</v>
          </cell>
          <cell r="E3108">
            <v>1</v>
          </cell>
          <cell r="F3108" t="str">
            <v>Bỏ chọn</v>
          </cell>
          <cell r="G3108"/>
          <cell r="H3108"/>
        </row>
        <row r="3109">
          <cell r="A3109" t="str">
            <v>7.52399259903A0</v>
          </cell>
          <cell r="B3109" t="str">
            <v>SAMPLE BLUE KEY NOODLE 5KG</v>
          </cell>
          <cell r="C3109" t="str">
            <v>BỘT MÌ HIỆU CHÌA KHÓA XANH MÌ SỢI 5KG</v>
          </cell>
          <cell r="D3109" t="str">
            <v>SAMPLE BLUE KEY NOODLE 5KG</v>
          </cell>
          <cell r="E3109">
            <v>1</v>
          </cell>
          <cell r="F3109" t="str">
            <v>Bỏ chọn</v>
          </cell>
          <cell r="G3109"/>
          <cell r="H3109"/>
        </row>
        <row r="3110">
          <cell r="A3110" t="str">
            <v>7.52399269903A0</v>
          </cell>
          <cell r="B3110" t="str">
            <v>SAMPLE BLUE KEY PAU 5KG</v>
          </cell>
          <cell r="C3110" t="str">
            <v>BỘT MÌ HIỆU CHÌA KHÓA XANH BÁNH BAO 5KG</v>
          </cell>
          <cell r="D3110" t="str">
            <v>SAMPLE BLUE KEY PAU 5KG</v>
          </cell>
          <cell r="E3110">
            <v>1</v>
          </cell>
          <cell r="F3110" t="str">
            <v>Bỏ chọn</v>
          </cell>
          <cell r="G3110"/>
          <cell r="H3110"/>
        </row>
        <row r="3111">
          <cell r="A3111" t="str">
            <v>7.52399229903A0</v>
          </cell>
          <cell r="B3111" t="str">
            <v>SAMPLE BLUE COMPASS 5KG</v>
          </cell>
          <cell r="C3111" t="str">
            <v>BỘT MÌ HIỆU LA BÀN XANH 5KG</v>
          </cell>
          <cell r="D3111" t="str">
            <v>SAMPLE BLUE COMPASS 5KG</v>
          </cell>
          <cell r="E3111">
            <v>1</v>
          </cell>
          <cell r="F3111" t="str">
            <v>Bỏ chọn</v>
          </cell>
          <cell r="G3111"/>
          <cell r="H3111"/>
        </row>
        <row r="3112">
          <cell r="A3112" t="str">
            <v>7.52399049903A0</v>
          </cell>
          <cell r="B3112" t="str">
            <v>SAMPLE BROWN COMPASS 5KG</v>
          </cell>
          <cell r="C3112" t="str">
            <v>BỘT MÌ HIỆU LA BÀN NÂU 5KG</v>
          </cell>
          <cell r="D3112" t="str">
            <v>SAMPLE BROWN COMPASS 5KG</v>
          </cell>
          <cell r="E3112">
            <v>1</v>
          </cell>
          <cell r="F3112" t="str">
            <v>Bỏ chọn</v>
          </cell>
          <cell r="G3112"/>
          <cell r="H3112"/>
        </row>
        <row r="3113">
          <cell r="A3113" t="str">
            <v>7.52399079903A0</v>
          </cell>
          <cell r="B3113" t="str">
            <v>SAMPLE GREEN KEY 5KG</v>
          </cell>
          <cell r="C3113" t="str">
            <v>BỘT MÌ HIỆU CHÌA KHÓA XANH LÁ 5KG</v>
          </cell>
          <cell r="D3113" t="str">
            <v>SAMPLE GREEN KEY 5KG</v>
          </cell>
          <cell r="E3113">
            <v>1</v>
          </cell>
          <cell r="F3113" t="str">
            <v>Bỏ chọn</v>
          </cell>
          <cell r="G3113"/>
          <cell r="H3113"/>
        </row>
        <row r="3114">
          <cell r="A3114" t="str">
            <v>7.52399279903A0</v>
          </cell>
          <cell r="B3114" t="str">
            <v>SAMPLE GREEN KEY SP 5KG</v>
          </cell>
          <cell r="C3114" t="str">
            <v>BỘT MÌ HIỆU CHÌA KHÓA XANH LÁ SP 5KG</v>
          </cell>
          <cell r="D3114" t="str">
            <v>SAMPLE GREEN KEY SP 5KG</v>
          </cell>
          <cell r="E3114">
            <v>1</v>
          </cell>
          <cell r="F3114" t="str">
            <v>Bỏ chọn</v>
          </cell>
          <cell r="G3114"/>
          <cell r="H3114"/>
        </row>
        <row r="3115">
          <cell r="A3115" t="str">
            <v>7.52399129903A0</v>
          </cell>
          <cell r="B3115" t="str">
            <v>SAMPLE PINK KEY 5KG</v>
          </cell>
          <cell r="C3115" t="str">
            <v>BỘT MÌ HIỆU CHÌA KHÓA HỒNG 5KG</v>
          </cell>
          <cell r="D3115" t="str">
            <v>SAMPLE PINK KEY 5KG</v>
          </cell>
          <cell r="E3115">
            <v>1</v>
          </cell>
          <cell r="F3115" t="str">
            <v>Bỏ chọn</v>
          </cell>
          <cell r="G3115"/>
          <cell r="H3115"/>
        </row>
        <row r="3116">
          <cell r="A3116" t="str">
            <v>7.52399169903A0</v>
          </cell>
          <cell r="B3116" t="str">
            <v>SAMPLE RED PEN 5KG</v>
          </cell>
          <cell r="C3116" t="str">
            <v>BỘT MÌ HIỆU CÂY VIẾT ĐỎ 5KG</v>
          </cell>
          <cell r="D3116" t="str">
            <v>SAMPLE RED PEN 5KG</v>
          </cell>
          <cell r="E3116">
            <v>1</v>
          </cell>
          <cell r="F3116" t="str">
            <v>Bỏ chọn</v>
          </cell>
          <cell r="G3116"/>
          <cell r="H3116"/>
        </row>
        <row r="3117">
          <cell r="A3117" t="str">
            <v>7.52399159903A0</v>
          </cell>
          <cell r="B3117" t="str">
            <v>SAMPLE RED KEY 5KG</v>
          </cell>
          <cell r="C3117" t="str">
            <v>BỘT MÌ HIỆU CHÌA KHÓA ĐỎ 5KG</v>
          </cell>
          <cell r="D3117" t="str">
            <v>SAMPLE RED KEY 5KG</v>
          </cell>
          <cell r="E3117">
            <v>1</v>
          </cell>
          <cell r="F3117" t="str">
            <v>Bỏ chọn</v>
          </cell>
          <cell r="G3117"/>
          <cell r="H3117"/>
        </row>
        <row r="3118">
          <cell r="A3118" t="str">
            <v>7.52399199903A0</v>
          </cell>
          <cell r="B3118" t="str">
            <v>SAMPLE RED KEY SP 5KG</v>
          </cell>
          <cell r="C3118" t="str">
            <v>BỘT MÌ HIỆU CHÌA KHÓA ĐỎ SP 5KG</v>
          </cell>
          <cell r="D3118" t="str">
            <v>SAMPLE RED KEY SP 5KG</v>
          </cell>
          <cell r="E3118">
            <v>1</v>
          </cell>
          <cell r="F3118" t="str">
            <v>Bỏ chọn</v>
          </cell>
          <cell r="G3118"/>
          <cell r="H3118"/>
        </row>
        <row r="3119">
          <cell r="A3119" t="str">
            <v>7.52399149903A0</v>
          </cell>
          <cell r="B3119" t="str">
            <v>SAMPLE RED COMPASS 5KG</v>
          </cell>
          <cell r="C3119" t="str">
            <v>BỘT MÌ HIỆU LA BÀN ĐỎ 5KG</v>
          </cell>
          <cell r="D3119" t="str">
            <v>SAMPLE RED COMPASS 5KG</v>
          </cell>
          <cell r="E3119">
            <v>1</v>
          </cell>
          <cell r="F3119" t="str">
            <v>Bỏ chọn</v>
          </cell>
          <cell r="G3119"/>
          <cell r="H3119"/>
        </row>
        <row r="3120">
          <cell r="A3120" t="str">
            <v>7.52399799903A0</v>
          </cell>
          <cell r="B3120" t="str">
            <v>SAMPLE RED SATELLITE 5KG</v>
          </cell>
          <cell r="C3120" t="str">
            <v>BỘT MÌ HIỆU VỆ TINH ĐỎ 5KG</v>
          </cell>
          <cell r="D3120" t="str">
            <v>SAMPLE RED SATELLITE 5KG</v>
          </cell>
          <cell r="E3120">
            <v>1</v>
          </cell>
          <cell r="F3120" t="str">
            <v>Bỏ chọn</v>
          </cell>
          <cell r="G3120"/>
          <cell r="H3120"/>
        </row>
        <row r="3121">
          <cell r="A3121" t="str">
            <v>7.B2508549995010516</v>
          </cell>
          <cell r="B3121" t="str">
            <v>PORK BOUILLON GRANULE 850G X 10 PACK ON PACK 20 BOT FERMENTED SOY SAUCE 280ML / CAR</v>
          </cell>
          <cell r="C3121" t="str">
            <v>HẠT NÊM 4 TRONG 1 - VỊ HEO 850G X 10 GÓI ĐÓNG KÈM 10 CHAI NƯỚC TƯƠNG NAM DƯƠNG ĐẬU NÀNH LÊN MEN TỰ NHIÊN 280ML / THÙNG</v>
          </cell>
          <cell r="D3121" t="str">
            <v>PORK BOUILLON GRANULE 850G X 10 PACK ON PACK 20 BOT FERMENTED SOY SAUCE 280ML / CAR</v>
          </cell>
          <cell r="E3121">
            <v>8.5</v>
          </cell>
          <cell r="F3121" t="str">
            <v>Bỏ chọn</v>
          </cell>
          <cell r="G3121" t="str">
            <v>2000000008</v>
          </cell>
          <cell r="H3121" t="str">
            <v>7.B250854999501051601</v>
          </cell>
        </row>
        <row r="3122">
          <cell r="A3122" t="str">
            <v>7.B250854999501051601</v>
          </cell>
          <cell r="B3122" t="str">
            <v>PORK BOUILLON GRANULE 850G ONPACK 01 BOT FERMENTED SOY SAUCE 280ML</v>
          </cell>
          <cell r="C3122" t="str">
            <v>HẠT NÊM 4 TRONG 1 - VỊ HEO 850G ĐÓNG KÈM 01 CHAI NƯỚC TƯƠNG NAM DƯƠNG ĐẬU NÀNH LÊN MEN TỰ NHIÊN 280ML</v>
          </cell>
          <cell r="D3122" t="str">
            <v>PORK BOUILLON GRANULE 850G ONPACK 01 BOT FERMENTED SOY SAUCE 280ML</v>
          </cell>
          <cell r="E3122">
            <v>0.85</v>
          </cell>
          <cell r="F3122" t="str">
            <v>Bỏ chọn</v>
          </cell>
          <cell r="G3122" t="str">
            <v>2000000008</v>
          </cell>
          <cell r="H3122"/>
        </row>
        <row r="3123">
          <cell r="A3123" t="str">
            <v>7.52399B19905D0</v>
          </cell>
          <cell r="B3123" t="str">
            <v>BLUE KEY PAU SP 25KG</v>
          </cell>
          <cell r="C3123" t="str">
            <v>BỘT MÌ HIỆU CKX BÁNH BAO SP 25KG</v>
          </cell>
          <cell r="D3123" t="str">
            <v>BLUE KEY PAU SP 25KG</v>
          </cell>
          <cell r="E3123">
            <v>1</v>
          </cell>
          <cell r="F3123" t="str">
            <v>Bỏ chọn</v>
          </cell>
          <cell r="G3123"/>
          <cell r="H3123"/>
        </row>
        <row r="3124">
          <cell r="A3124" t="str">
            <v>7.52399269905G2</v>
          </cell>
          <cell r="B3124" t="str">
            <v>BLUE KEY PAU PHU MY 25KG</v>
          </cell>
          <cell r="C3124" t="str">
            <v>BỘT MÌ HIỆU CKX BÁNH BAO 25KG</v>
          </cell>
          <cell r="D3124" t="str">
            <v>BLUE KEY PAU PHU MY 25KG</v>
          </cell>
          <cell r="E3124">
            <v>1</v>
          </cell>
          <cell r="F3124" t="str">
            <v>Bỏ chọn</v>
          </cell>
          <cell r="G3124"/>
          <cell r="H3124"/>
        </row>
        <row r="3125">
          <cell r="A3125" t="str">
            <v>7.52399044905D0</v>
          </cell>
          <cell r="B3125" t="str">
            <v>BROWN COMPASS 111 25KG</v>
          </cell>
          <cell r="C3125" t="str">
            <v>BỘT MÌ HIỆU LA BÀN NÂU - 111 25KG</v>
          </cell>
          <cell r="D3125" t="str">
            <v>BROWN COMPASS 111 25KG</v>
          </cell>
          <cell r="E3125">
            <v>1</v>
          </cell>
          <cell r="F3125" t="str">
            <v>Bỏ chọn</v>
          </cell>
          <cell r="G3125"/>
          <cell r="H3125"/>
        </row>
        <row r="3126">
          <cell r="A3126" t="str">
            <v>7.5239927990542</v>
          </cell>
          <cell r="B3126" t="str">
            <v>GREEN KEY SP TRANG AN 25KG</v>
          </cell>
          <cell r="C3126" t="str">
            <v>BỘT MÌ HIỆU CHÌA KHÓA XANH LÁ SP 25KG</v>
          </cell>
          <cell r="D3126" t="str">
            <v>GREEN KEY SP TRANG AN 25KG</v>
          </cell>
          <cell r="E3126">
            <v>1</v>
          </cell>
          <cell r="F3126" t="str">
            <v>Bỏ chọn</v>
          </cell>
          <cell r="G3126"/>
          <cell r="H3126"/>
        </row>
        <row r="3127">
          <cell r="A3127" t="str">
            <v>7.A31990899080117TD</v>
          </cell>
          <cell r="B3127" t="str">
            <v>MEIZAN SEASONED CRISPY FRYING MIX 150G X 24 PAC</v>
          </cell>
          <cell r="C3127" t="str">
            <v>BỘT CHIÊN GIÒN MEIZAN ĐÃ NÊM SẴN GIA VỊ 150G</v>
          </cell>
          <cell r="D3127" t="str">
            <v>MEIZAN SEASONED CRISPY FRYING MIX 150G X 24 PAC</v>
          </cell>
          <cell r="E3127">
            <v>3.6</v>
          </cell>
          <cell r="F3127" t="str">
            <v>Bỏ chọn</v>
          </cell>
          <cell r="G3127"/>
          <cell r="H3127"/>
        </row>
        <row r="3128">
          <cell r="A3128" t="str">
            <v>7.52399229905G3</v>
          </cell>
          <cell r="B3128" t="str">
            <v>BLUE COMPASS MICOEM 25KG</v>
          </cell>
          <cell r="C3128" t="str">
            <v>BỘT MÌ HIỆU LA BÀN XANH 25KG</v>
          </cell>
          <cell r="D3128" t="str">
            <v>BLUE COMPASS MICOEM 25KG</v>
          </cell>
          <cell r="E3128">
            <v>1</v>
          </cell>
          <cell r="F3128" t="str">
            <v>Bỏ chọn</v>
          </cell>
          <cell r="G3128"/>
          <cell r="H3128"/>
        </row>
        <row r="3129">
          <cell r="A3129" t="str">
            <v>7.52399149905G3</v>
          </cell>
          <cell r="B3129" t="str">
            <v>RED COMPASS MICOEM 25KG</v>
          </cell>
          <cell r="C3129" t="str">
            <v>BỘT MÌ HIỆU LA BÀN ĐỎ 25KG</v>
          </cell>
          <cell r="D3129" t="str">
            <v>RED COMPASS MICOEM 25KG</v>
          </cell>
          <cell r="E3129">
            <v>1</v>
          </cell>
          <cell r="F3129" t="str">
            <v>Bỏ chọn</v>
          </cell>
          <cell r="G3129"/>
          <cell r="H3129"/>
        </row>
        <row r="3130">
          <cell r="A3130" t="str">
            <v>7.A3199089908011701TD</v>
          </cell>
          <cell r="B3130" t="str">
            <v>MEIZAN SEASONED CRISPY FRYING MIX 150G</v>
          </cell>
          <cell r="C3130" t="str">
            <v>BỘT CHIÊN GIÒN MEIZAN ĐÃ NÊM SẴN GIA VỊ 150G</v>
          </cell>
          <cell r="D3130" t="str">
            <v>MEIZAN SEASONED CRISPY FRYING MIX 150G</v>
          </cell>
          <cell r="E3130">
            <v>0.15</v>
          </cell>
          <cell r="F3130" t="str">
            <v>Bỏ chọn</v>
          </cell>
          <cell r="G3130"/>
          <cell r="H3130"/>
        </row>
        <row r="3131">
          <cell r="A3131" t="str">
            <v>7.52399179905F7</v>
          </cell>
          <cell r="B3131" t="str">
            <v>SATELLITE KINH DO 25KG (NON FE&amp;ZN)</v>
          </cell>
          <cell r="C3131" t="str">
            <v>BỘT MÌ HIỆU VỆ TINH 25KG</v>
          </cell>
          <cell r="D3131" t="str">
            <v>SATELLITE KINH DO 25KG (NON FE&amp;ZN)</v>
          </cell>
          <cell r="E3131">
            <v>1</v>
          </cell>
          <cell r="F3131" t="str">
            <v>Bỏ chọn</v>
          </cell>
          <cell r="G3131"/>
          <cell r="H3131"/>
        </row>
        <row r="3132">
          <cell r="A3132" t="str">
            <v>7.52399229905G5</v>
          </cell>
          <cell r="B3132" t="str">
            <v>BLUE COMPASS VIFON 25KG</v>
          </cell>
          <cell r="C3132" t="str">
            <v>BỘT MÌ HIỆU LA BÀN XANH 25KG</v>
          </cell>
          <cell r="D3132" t="str">
            <v>BLUE COMPASS VIFON 25KG</v>
          </cell>
          <cell r="E3132">
            <v>1</v>
          </cell>
          <cell r="F3132" t="str">
            <v>Bỏ chọn</v>
          </cell>
          <cell r="G3132"/>
          <cell r="H3132"/>
        </row>
        <row r="3133">
          <cell r="A3133" t="str">
            <v>7.52399079905G1</v>
          </cell>
          <cell r="B3133" t="str">
            <v>GREEN KEY BAO HUNG 25KG</v>
          </cell>
          <cell r="C3133" t="str">
            <v>BỘT MÌ HIỆU CHÌA KHÓA XANH LÁ 25KG</v>
          </cell>
          <cell r="D3133" t="str">
            <v>GREEN KEY BAO HUNG 25KG</v>
          </cell>
          <cell r="E3133">
            <v>1</v>
          </cell>
          <cell r="F3133" t="str">
            <v>Bỏ chọn</v>
          </cell>
          <cell r="G3133"/>
          <cell r="H3133"/>
        </row>
        <row r="3134">
          <cell r="A3134" t="str">
            <v>7.52399079905G6</v>
          </cell>
          <cell r="B3134" t="str">
            <v>GREEN KEY PHAM NGUYEN 25KG</v>
          </cell>
          <cell r="C3134" t="str">
            <v>BỘT MÌ HIỆU CHÌA KHÓA XANH LÁ 25KG</v>
          </cell>
          <cell r="D3134" t="str">
            <v>GREEN KEY PHAM NGUYEN 25KG</v>
          </cell>
          <cell r="E3134">
            <v>1</v>
          </cell>
          <cell r="F3134" t="str">
            <v>Bỏ chọn</v>
          </cell>
          <cell r="G3134"/>
          <cell r="H3134"/>
        </row>
        <row r="3135">
          <cell r="A3135" t="str">
            <v>7.70589</v>
          </cell>
          <cell r="B3135" t="str">
            <v>WILFARIN CA-0899 IN BOTTLE 1KG</v>
          </cell>
          <cell r="C3135" t="str">
            <v>WILFARIN CA-0899 ĐÓNG TRONG CHAI 1KG</v>
          </cell>
          <cell r="D3135" t="str">
            <v>WILFARIN CA-0899 IN BOTTLE 1KG</v>
          </cell>
          <cell r="E3135">
            <v>1</v>
          </cell>
          <cell r="F3135" t="str">
            <v>Bỏ chọn</v>
          </cell>
          <cell r="G3135"/>
          <cell r="H3135"/>
        </row>
        <row r="3136">
          <cell r="A3136" t="str">
            <v>7.52399079905G7</v>
          </cell>
          <cell r="B3136" t="str">
            <v>GREEN KEY ORION 25KG</v>
          </cell>
          <cell r="C3136" t="str">
            <v>BỘT MÌ HIỆU CHÌA KHÓA XANH LÁ 25KG</v>
          </cell>
          <cell r="D3136" t="str">
            <v xml:space="preserve">GREEN KEY ORION 25KG_x000D_
</v>
          </cell>
          <cell r="E3136">
            <v>1</v>
          </cell>
          <cell r="F3136" t="str">
            <v>Bỏ chọn</v>
          </cell>
          <cell r="G3136"/>
          <cell r="H3136"/>
        </row>
        <row r="3137">
          <cell r="A3137" t="str">
            <v>7.52399799905G8</v>
          </cell>
          <cell r="B3137" t="str">
            <v>RED SATELLITE HUU NGHI 25KG</v>
          </cell>
          <cell r="C3137" t="str">
            <v>BỘT MÌ HIỆU VỆ TINH ĐỎ 25KG</v>
          </cell>
          <cell r="D3137" t="str">
            <v>RED SATELLITE HUU NGHI 25KG</v>
          </cell>
          <cell r="E3137">
            <v>1</v>
          </cell>
          <cell r="F3137" t="str">
            <v>Bỏ chọn</v>
          </cell>
          <cell r="G3137"/>
          <cell r="H3137"/>
        </row>
        <row r="3138">
          <cell r="A3138" t="str">
            <v>6.52399401900F8</v>
          </cell>
          <cell r="B3138" t="str">
            <v>VFM-2 IN-BULK (NON FE&amp;ZN)</v>
          </cell>
          <cell r="C3138" t="str">
            <v>BỘT MÌ HIỆU VFM-2</v>
          </cell>
          <cell r="D3138" t="str">
            <v>VFM-2 IN-BULK (NON FE&amp;ZN)</v>
          </cell>
          <cell r="E3138">
            <v>1</v>
          </cell>
          <cell r="F3138" t="str">
            <v>Bỏ chọn</v>
          </cell>
          <cell r="G3138"/>
          <cell r="H3138"/>
        </row>
        <row r="3139">
          <cell r="A3139" t="str">
            <v>6.52399402000F8</v>
          </cell>
          <cell r="B3139" t="str">
            <v>VFM-4 IN-BULK (NON FE&amp;ZN)</v>
          </cell>
          <cell r="C3139" t="str">
            <v>BỘT MÌ HIỆU VFM-4</v>
          </cell>
          <cell r="D3139" t="str">
            <v>VFM-4 IN-BULK (NON FE&amp;ZN)</v>
          </cell>
          <cell r="E3139">
            <v>1</v>
          </cell>
          <cell r="F3139" t="str">
            <v>Bỏ chọn</v>
          </cell>
          <cell r="G3139"/>
          <cell r="H3139"/>
        </row>
        <row r="3140">
          <cell r="A3140" t="str">
            <v>7.52399159905B5</v>
          </cell>
          <cell r="B3140" t="str">
            <v>RED KEY - NISSHIN 25KG</v>
          </cell>
          <cell r="C3140" t="str">
            <v>BỘT MÌ HIỆU CHÌA KHÓA ĐỎ 25KG</v>
          </cell>
          <cell r="D3140" t="str">
            <v>RED KEY - NISSHIN 25KG</v>
          </cell>
          <cell r="E3140">
            <v>1</v>
          </cell>
          <cell r="F3140" t="str">
            <v>Bỏ chọn</v>
          </cell>
          <cell r="G3140"/>
          <cell r="H3140"/>
        </row>
        <row r="3141">
          <cell r="A3141" t="str">
            <v>7.52399319905C2</v>
          </cell>
          <cell r="B3141" t="str">
            <v>BCR-1 SUMIMOTO 25KG</v>
          </cell>
          <cell r="C3141" t="str">
            <v>BỘT MÌ HIỆU BCR-1 25KG</v>
          </cell>
          <cell r="D3141" t="str">
            <v>BCR-1 SUMIMOTO 25KG</v>
          </cell>
          <cell r="E3141">
            <v>1</v>
          </cell>
          <cell r="F3141" t="str">
            <v>Bỏ chọn</v>
          </cell>
          <cell r="G3141"/>
          <cell r="H3141"/>
        </row>
        <row r="3142">
          <cell r="A3142" t="str">
            <v>7.5239915810572</v>
          </cell>
          <cell r="B3142" t="str">
            <v>RED KEY -MB 25KG</v>
          </cell>
          <cell r="C3142" t="str">
            <v>BỘT MÌ HIỆU CHÌA KHÓA ĐỎ 25KG</v>
          </cell>
          <cell r="D3142" t="str">
            <v xml:space="preserve">RED KEY -MB 25KG_x000D_
</v>
          </cell>
          <cell r="E3142">
            <v>1</v>
          </cell>
          <cell r="F3142" t="str">
            <v>Bỏ chọn</v>
          </cell>
          <cell r="G3142"/>
          <cell r="H3142"/>
        </row>
        <row r="3143">
          <cell r="A3143" t="str">
            <v>7.5239919860572</v>
          </cell>
          <cell r="B3143" t="str">
            <v>RED KEY SPMB 25KG</v>
          </cell>
          <cell r="C3143" t="str">
            <v>BỘT MÌ HIỆU CHÌA KHÓA ĐỎ SP 25KG</v>
          </cell>
          <cell r="D3143" t="str">
            <v>RED KEY SPMB 25KG</v>
          </cell>
          <cell r="E3143">
            <v>1</v>
          </cell>
          <cell r="F3143" t="str">
            <v>Bỏ chọn</v>
          </cell>
          <cell r="G3143"/>
          <cell r="H3143"/>
        </row>
        <row r="3144">
          <cell r="A3144" t="str">
            <v>7.5239911810572</v>
          </cell>
          <cell r="B3144" t="str">
            <v>ORANGE KEY - MB 25KG</v>
          </cell>
          <cell r="C3144" t="str">
            <v>BỘT MÌ HIỆU CHÌA KHÓA CAM 25KG</v>
          </cell>
          <cell r="D3144" t="str">
            <v>ORANGE KEY - MB 25KG</v>
          </cell>
          <cell r="E3144">
            <v>1</v>
          </cell>
          <cell r="F3144" t="str">
            <v>Bỏ chọn</v>
          </cell>
          <cell r="G3144"/>
          <cell r="H3144"/>
        </row>
        <row r="3145">
          <cell r="A3145" t="str">
            <v>7.5239934810572</v>
          </cell>
          <cell r="B3145" t="str">
            <v>ACE - MB 25KG</v>
          </cell>
          <cell r="C3145" t="str">
            <v>BỘT MÌ HIỆU ACE 25KG</v>
          </cell>
          <cell r="D3145" t="str">
            <v xml:space="preserve">ACE - MB 25KG_x000D_
</v>
          </cell>
          <cell r="E3145">
            <v>1</v>
          </cell>
          <cell r="F3145" t="str">
            <v>Bỏ chọn</v>
          </cell>
          <cell r="G3145"/>
          <cell r="H3145"/>
        </row>
        <row r="3146">
          <cell r="A3146" t="str">
            <v>7.5239925810572</v>
          </cell>
          <cell r="B3146" t="str">
            <v>BLUE KEY NOODLE - MB 25KG</v>
          </cell>
          <cell r="C3146" t="str">
            <v>BỘT MÌ HIỆU CKX MÌ SỢI 25KG</v>
          </cell>
          <cell r="D3146" t="str">
            <v xml:space="preserve">BLUE KEY NOODLE - MB 25KG_x000D_
</v>
          </cell>
          <cell r="E3146">
            <v>1</v>
          </cell>
          <cell r="F3146" t="str">
            <v>Bỏ chọn</v>
          </cell>
          <cell r="G3146"/>
          <cell r="H3146"/>
        </row>
        <row r="3147">
          <cell r="A3147" t="str">
            <v>7.5239926810572</v>
          </cell>
          <cell r="B3147" t="str">
            <v>BLUE KEY PAU - MB 25KG</v>
          </cell>
          <cell r="C3147" t="str">
            <v>BỘT MÌ HIỆU CKX BÁNH BAO 25KG</v>
          </cell>
          <cell r="D3147" t="str">
            <v>BLUE KEY PAU - MB 25KG</v>
          </cell>
          <cell r="E3147">
            <v>1</v>
          </cell>
          <cell r="F3147" t="str">
            <v>Bỏ chọn</v>
          </cell>
          <cell r="G3147"/>
          <cell r="H3147"/>
        </row>
        <row r="3148">
          <cell r="A3148" t="str">
            <v>7.52399149906G4</v>
          </cell>
          <cell r="B3148" t="str">
            <v>RED COMPASS - MASAN MB 40KG</v>
          </cell>
          <cell r="C3148" t="str">
            <v>BỘT MÌ HIỆU LA BÀN ĐỎ 40KG</v>
          </cell>
          <cell r="D3148" t="str">
            <v xml:space="preserve">RED COMPASS - MASAN MB 40KG_x000D_
</v>
          </cell>
          <cell r="E3148">
            <v>1</v>
          </cell>
          <cell r="F3148" t="str">
            <v>Bỏ chọn</v>
          </cell>
          <cell r="G3148"/>
          <cell r="H3148"/>
        </row>
        <row r="3149">
          <cell r="A3149" t="str">
            <v>7.131078061703E10TD</v>
          </cell>
          <cell r="B3149" t="str">
            <v>CO-MEIZAN GOLD 5L X 4 BTL</v>
          </cell>
          <cell r="C3149" t="str">
            <v>DẦU ĂN CAO CẤP NHÃN HIỆU MEIZAN GOLD 5L</v>
          </cell>
          <cell r="D3149" t="str">
            <v>CO-MEIZAN GOLD 5L X 4 BTL</v>
          </cell>
          <cell r="E3149">
            <v>18.2</v>
          </cell>
          <cell r="F3149" t="str">
            <v>Bỏ chọn</v>
          </cell>
          <cell r="G3149"/>
          <cell r="H3149"/>
        </row>
        <row r="3150">
          <cell r="A3150" t="str">
            <v>7.B25080899330105</v>
          </cell>
          <cell r="B3150" t="str">
            <v>MEIZAN PORK BOUILLON GRANULE 400G X 24 PAC/CAR</v>
          </cell>
          <cell r="C3150" t="str">
            <v>HẠT NÊM MEIZAN THỊT, XƯƠNG ỐNG, TUỶ, CÀ RỐT- VỊ HEO 400G X 24 GÓI/THÙNG</v>
          </cell>
          <cell r="D3150" t="str">
            <v>MEIZAN PORK BOUILLON GRANULE 400G X 24 PAC/CAR</v>
          </cell>
          <cell r="E3150">
            <v>9.6</v>
          </cell>
          <cell r="F3150" t="str">
            <v>Bỏ chọn</v>
          </cell>
          <cell r="G3150" t="str">
            <v>2000000008</v>
          </cell>
          <cell r="H3150" t="str">
            <v>7.B2508089933010501</v>
          </cell>
        </row>
        <row r="3151">
          <cell r="A3151" t="str">
            <v>7.B2508089933010501</v>
          </cell>
          <cell r="B3151" t="str">
            <v>MEIZAN PORK BOUILLON GRANULE 400G</v>
          </cell>
          <cell r="C3151" t="str">
            <v>HẠT NÊM MEIZAN THỊT, XƯƠNG ỐNG, TUỶ, CÀ RỐT- VỊ HEO 400 G</v>
          </cell>
          <cell r="D3151" t="str">
            <v>MEIZAN PORK BOUILLON GRANULE 400G</v>
          </cell>
          <cell r="E3151">
            <v>0.4</v>
          </cell>
          <cell r="F3151" t="str">
            <v>Bỏ chọn</v>
          </cell>
          <cell r="G3151" t="str">
            <v>2000000008</v>
          </cell>
          <cell r="H3151"/>
        </row>
        <row r="3152">
          <cell r="A3152" t="str">
            <v>7.52399049906B0</v>
          </cell>
          <cell r="B3152" t="str">
            <v>BROWN COMPASS - TSP 40KG</v>
          </cell>
          <cell r="C3152" t="str">
            <v>BỘT MÌ HIỆU LA BÀN NÂU 40KG</v>
          </cell>
          <cell r="D3152" t="str">
            <v>BROWN COMPASS - TSP 40KG</v>
          </cell>
          <cell r="E3152">
            <v>1</v>
          </cell>
          <cell r="F3152" t="str">
            <v>Bỏ chọn</v>
          </cell>
          <cell r="G3152"/>
          <cell r="H3152"/>
        </row>
        <row r="3153">
          <cell r="A3153" t="str">
            <v>7.52399076303A0</v>
          </cell>
          <cell r="B3153" t="str">
            <v>GREEN KEY 333-5</v>
          </cell>
          <cell r="C3153" t="str">
            <v>BỘT MÌ CHUYÊN DỤNG "CHÌA KHÓA XANH LÁ -333" (5KG)</v>
          </cell>
          <cell r="D3153" t="str">
            <v>GREEN KEY 333-5</v>
          </cell>
          <cell r="E3153">
            <v>1</v>
          </cell>
          <cell r="F3153" t="str">
            <v>Bỏ chọn</v>
          </cell>
          <cell r="G3153"/>
          <cell r="H3153"/>
        </row>
        <row r="3154">
          <cell r="A3154" t="str">
            <v>7.5239914990567</v>
          </cell>
          <cell r="B3154" t="str">
            <v>RED COMPASS BIBICA 25KG</v>
          </cell>
          <cell r="C3154" t="str">
            <v>BỘT MÌ HIỆU LA BÀN ĐỎ 25KG</v>
          </cell>
          <cell r="D3154" t="str">
            <v>RED COMPASS BIBICA 25KG</v>
          </cell>
          <cell r="E3154">
            <v>1</v>
          </cell>
          <cell r="F3154" t="str">
            <v>Bỏ chọn</v>
          </cell>
          <cell r="G3154"/>
          <cell r="H3154"/>
        </row>
        <row r="3155">
          <cell r="A3155" t="str">
            <v>7.52399049905G6</v>
          </cell>
          <cell r="B3155" t="str">
            <v>BROWN COMPASS PHAM NGUYEN 25KG</v>
          </cell>
          <cell r="C3155" t="str">
            <v>BỘT MÌ HIỆU LA BÀN NÂU 25KG</v>
          </cell>
          <cell r="D3155" t="str">
            <v>BROWN COMPASS PHAM NGUYEN 25KG</v>
          </cell>
          <cell r="E3155">
            <v>1</v>
          </cell>
          <cell r="F3155" t="str">
            <v>Bỏ chọn</v>
          </cell>
          <cell r="G3155"/>
          <cell r="H3155"/>
        </row>
        <row r="3156">
          <cell r="A3156" t="str">
            <v>7.52399045005D0</v>
          </cell>
          <cell r="B3156" t="str">
            <v>BROWN COMPASS 333 25KG</v>
          </cell>
          <cell r="C3156" t="str">
            <v>BỘT MÌ HIỆU LA BÀN NÂU - 333 25KG</v>
          </cell>
          <cell r="D3156" t="str">
            <v>BROWN COMPASS 333 25KG</v>
          </cell>
          <cell r="E3156">
            <v>1</v>
          </cell>
          <cell r="F3156" t="str">
            <v>Bỏ chọn</v>
          </cell>
          <cell r="G3156"/>
          <cell r="H3156"/>
        </row>
        <row r="3157">
          <cell r="A3157" t="str">
            <v>7.52399045105D0</v>
          </cell>
          <cell r="B3157" t="str">
            <v>BROWN COMPASS 555 25KG</v>
          </cell>
          <cell r="C3157" t="str">
            <v>BỘT MÌ HIỆU LA BÀN NÂU - 555 25KG</v>
          </cell>
          <cell r="D3157" t="str">
            <v>BROWN COMPASS 555 25KG</v>
          </cell>
          <cell r="E3157">
            <v>1</v>
          </cell>
          <cell r="F3157" t="str">
            <v>Bỏ chọn</v>
          </cell>
          <cell r="G3157"/>
          <cell r="H3157"/>
        </row>
        <row r="3158">
          <cell r="A3158" t="str">
            <v>7.52399045405D0</v>
          </cell>
          <cell r="B3158" t="str">
            <v>BROWN COMPASS 999 25KG</v>
          </cell>
          <cell r="C3158" t="str">
            <v>BỘT MÌ HIỆU LA BÀN NÂU - 999 25KG</v>
          </cell>
          <cell r="D3158" t="str">
            <v>BROWN COMPASS 999 25KG</v>
          </cell>
          <cell r="E3158">
            <v>1</v>
          </cell>
          <cell r="F3158" t="str">
            <v>Bỏ chọn</v>
          </cell>
          <cell r="G3158"/>
          <cell r="H3158"/>
        </row>
        <row r="3159">
          <cell r="A3159" t="str">
            <v>7.52399779905G9</v>
          </cell>
          <cell r="B3159" t="str">
            <v>GREEN KEY 111 BISCAFUN 25KG</v>
          </cell>
          <cell r="C3159" t="str">
            <v>BỘT MÌ HIỆU CHÌA KHÓA XANH LÁ - 111 25KG</v>
          </cell>
          <cell r="D3159" t="str">
            <v>GREEN KEY 111 BISCAFUN 25KG</v>
          </cell>
          <cell r="E3159">
            <v>1</v>
          </cell>
          <cell r="F3159" t="str">
            <v>Bỏ chọn</v>
          </cell>
          <cell r="G3159"/>
          <cell r="H3159"/>
        </row>
        <row r="3160">
          <cell r="A3160" t="str">
            <v>7.52399779905H1</v>
          </cell>
          <cell r="B3160" t="str">
            <v>GREEN KEY 111 BISCAFUN 25KG (NON FE&amp;ZN)</v>
          </cell>
          <cell r="C3160" t="str">
            <v>BỘT MÌ HIỆU CHÌA KHÓA XANH LÁ - 111 25KG</v>
          </cell>
          <cell r="D3160" t="str">
            <v>GREEN KEY 111 BISCAFUN 25KG (NON FE&amp;ZN)</v>
          </cell>
          <cell r="E3160">
            <v>1</v>
          </cell>
          <cell r="F3160" t="str">
            <v>Bỏ chọn</v>
          </cell>
          <cell r="G3160"/>
          <cell r="H3160"/>
        </row>
        <row r="3161">
          <cell r="A3161" t="str">
            <v>7.52399779905H2</v>
          </cell>
          <cell r="B3161" t="str">
            <v>GREEN KEY 111 TRANG AN 25KG</v>
          </cell>
          <cell r="C3161" t="str">
            <v>BỘT MÌ HIỆU CHÌA KHÓA XANH LÁ - 111 25KG</v>
          </cell>
          <cell r="D3161" t="str">
            <v>GREEN KEY 111 TRANG AN 25KG</v>
          </cell>
          <cell r="E3161">
            <v>1</v>
          </cell>
          <cell r="F3161" t="str">
            <v>Bỏ chọn</v>
          </cell>
          <cell r="G3161"/>
          <cell r="H3161"/>
        </row>
        <row r="3162">
          <cell r="A3162" t="str">
            <v>6.1221219</v>
          </cell>
          <cell r="B3162" t="str">
            <v>RHPKO MP 38-42 FFA 0.1</v>
          </cell>
          <cell r="C3162" t="str">
            <v>DẦU NHÂN CỌ HYDRO HÓA, TINH LUYỆN - WILKOTE 380 TRONG XE BỒN</v>
          </cell>
          <cell r="D3162" t="str">
            <v>RHPKO MP 38-42 FFA 0.1</v>
          </cell>
          <cell r="E3162">
            <v>1</v>
          </cell>
          <cell r="F3162" t="str">
            <v>Chọn</v>
          </cell>
          <cell r="G3162"/>
          <cell r="H3162"/>
        </row>
        <row r="3163">
          <cell r="A3163" t="str">
            <v>7.70590</v>
          </cell>
          <cell r="B3163" t="str">
            <v>FATTY ALCOHOL 1618 IN PAPER BAG 25KG</v>
          </cell>
          <cell r="C3163" t="str">
            <v>CHẤT HOẠT ĐỘNG BỀ MẶT FATTY ALCOHOL 1618 ĐÓNG TRONG BAO GIẤY 25KG</v>
          </cell>
          <cell r="D3163" t="str">
            <v>FATTY ALCOHOL 1618 IN PAPER BAG 25KG</v>
          </cell>
          <cell r="E3163">
            <v>1</v>
          </cell>
          <cell r="F3163" t="str">
            <v>Chọn</v>
          </cell>
          <cell r="G3163"/>
          <cell r="H3163"/>
        </row>
        <row r="3164">
          <cell r="A3164" t="str">
            <v>7.70591</v>
          </cell>
          <cell r="B3164" t="str">
            <v>ERCAWAX HCO 40 V/FD IN PLASTIC BOTTLE 1KG</v>
          </cell>
          <cell r="C3164" t="str">
            <v>CHẤT NHŨ HÓA ERCAWAX HCO 40 V/FD ĐÓNG TRONG CHAI NHỰA 1KG</v>
          </cell>
          <cell r="D3164" t="str">
            <v>ERCAWAX HCO 40 V/FD IN PLASTIC BOTTLE 1KG</v>
          </cell>
          <cell r="E3164">
            <v>1</v>
          </cell>
          <cell r="F3164" t="str">
            <v>Bỏ chọn</v>
          </cell>
          <cell r="G3164"/>
          <cell r="H3164"/>
        </row>
        <row r="3165">
          <cell r="A3165" t="str">
            <v>7.52399229905H3</v>
          </cell>
          <cell r="B3165" t="str">
            <v>BLUE COMPASS ASIA 25KG</v>
          </cell>
          <cell r="C3165" t="str">
            <v>BỘT MÌ HIỆU LA BÀN XANH 25KG</v>
          </cell>
          <cell r="D3165" t="str">
            <v>BLUE COMPASS ASIA 25KG</v>
          </cell>
          <cell r="E3165">
            <v>1</v>
          </cell>
          <cell r="F3165" t="str">
            <v>Bỏ chọn</v>
          </cell>
          <cell r="G3165"/>
          <cell r="H3165"/>
        </row>
        <row r="3166">
          <cell r="A3166" t="str">
            <v>7.52399229905G8</v>
          </cell>
          <cell r="B3166" t="str">
            <v>BLUE COMPASS HUU NGHI 25KG</v>
          </cell>
          <cell r="C3166" t="str">
            <v>BỘT MÌ HIỆU LA BÀN XANH 25KG</v>
          </cell>
          <cell r="D3166" t="str">
            <v>BLUE COMPASS HUU NGHI 25KG</v>
          </cell>
          <cell r="E3166">
            <v>1</v>
          </cell>
          <cell r="F3166" t="str">
            <v>Bỏ chọn</v>
          </cell>
          <cell r="G3166"/>
          <cell r="H3166"/>
        </row>
        <row r="3167">
          <cell r="A3167" t="str">
            <v>7.70592</v>
          </cell>
          <cell r="B3167" t="str">
            <v>MIZULAN P-81F BRAND MES(METHYL ESTER SULFONATE) IN BAG 25KG</v>
          </cell>
          <cell r="C3167" t="str">
            <v>CHẤT HOẠT ĐỘNG BỀ MẶT DẠNG ANION MES (METHYL ESTER SULFONATE) NHÃN HIỆU MIZULAN P-81F ĐÓNG TRONG BAO 25KG</v>
          </cell>
          <cell r="D3167" t="str">
            <v>MIZULAN P-81F BRAND MES(METHYL ESTER SULFONATE) IN BAG 25KG</v>
          </cell>
          <cell r="E3167">
            <v>1</v>
          </cell>
          <cell r="F3167" t="str">
            <v>Chọn</v>
          </cell>
          <cell r="G3167"/>
          <cell r="H3167"/>
        </row>
        <row r="3168">
          <cell r="A3168" t="str">
            <v>V51.000.116</v>
          </cell>
          <cell r="B3168" t="str">
            <v>HANGER</v>
          </cell>
          <cell r="C3168" t="str">
            <v>MÓC TREO</v>
          </cell>
          <cell r="D3168" t="str">
            <v>HANGER</v>
          </cell>
          <cell r="E3168">
            <v>0</v>
          </cell>
          <cell r="F3168" t="str">
            <v>Chọn</v>
          </cell>
          <cell r="G3168"/>
          <cell r="H3168"/>
        </row>
        <row r="3169">
          <cell r="A3169" t="str">
            <v>7.52399083902D001</v>
          </cell>
          <cell r="B3169" t="str">
            <v>MEIZAN CAKE 1KG (PAC)</v>
          </cell>
          <cell r="C3169" t="str">
            <v>BỘT MÌ HIỆU MEIZAN BÁNH BÔNG LAN 1KG (GÓI)</v>
          </cell>
          <cell r="D3169" t="str">
            <v>MEIZAN CAKE 1KG (PAC)</v>
          </cell>
          <cell r="E3169">
            <v>1</v>
          </cell>
          <cell r="F3169" t="str">
            <v>Bỏ chọn</v>
          </cell>
          <cell r="G3169"/>
          <cell r="H3169"/>
        </row>
        <row r="3170">
          <cell r="A3170" t="str">
            <v>7.52399059901D001</v>
          </cell>
          <cell r="B3170" t="str">
            <v>COMPASS 0.5KG (PAC)</v>
          </cell>
          <cell r="C3170" t="str">
            <v>BỘT MÌ ĐA DỤNG HIỆU LA BÀN 0.5KG (GÓI)</v>
          </cell>
          <cell r="D3170" t="str">
            <v>COMPASS 0.5KG (PAC)</v>
          </cell>
          <cell r="E3170">
            <v>0.5</v>
          </cell>
          <cell r="F3170" t="str">
            <v>Bỏ chọn</v>
          </cell>
          <cell r="G3170"/>
          <cell r="H3170"/>
        </row>
        <row r="3171">
          <cell r="A3171" t="str">
            <v>7.52399083802D001</v>
          </cell>
          <cell r="B3171" t="str">
            <v>MEIZAN BREAD 1KG (PAC)</v>
          </cell>
          <cell r="C3171" t="str">
            <v>BỘT MÌ HIỆU MEIZAN BÁNH MÌ 1KG (GÓI)</v>
          </cell>
          <cell r="D3171" t="str">
            <v>MEIZAN BREAD 1KG (PAC)</v>
          </cell>
          <cell r="E3171">
            <v>1</v>
          </cell>
          <cell r="F3171" t="str">
            <v>Bỏ chọn</v>
          </cell>
          <cell r="G3171"/>
          <cell r="H3171"/>
        </row>
        <row r="3172">
          <cell r="A3172" t="str">
            <v>7.5289938880701</v>
          </cell>
          <cell r="B3172" t="str">
            <v>POLLARD 50KG</v>
          </cell>
          <cell r="C3172" t="str">
            <v>CÁM MÌ HIỆU POLLARD 50KG</v>
          </cell>
          <cell r="D3172" t="str">
            <v>POLLARD 50KG</v>
          </cell>
          <cell r="E3172">
            <v>1</v>
          </cell>
          <cell r="F3172" t="str">
            <v>Bỏ chọn</v>
          </cell>
          <cell r="G3172"/>
          <cell r="H3172"/>
        </row>
        <row r="3173">
          <cell r="A3173" t="str">
            <v>7.5239908990201</v>
          </cell>
          <cell r="B3173" t="str">
            <v>MEIZAN 1KG - TOLLING</v>
          </cell>
          <cell r="C3173" t="str">
            <v>BỘT MÌ ĐA DỤNG CAO CẤP HIỆU MEIZAN(1KG*10GÓI/THÙNG)</v>
          </cell>
          <cell r="D3173" t="str">
            <v>MEIZAN 1KG - TOLLING</v>
          </cell>
          <cell r="E3173">
            <v>10</v>
          </cell>
          <cell r="F3173" t="str">
            <v>Bỏ chọn</v>
          </cell>
          <cell r="G3173"/>
          <cell r="H3173"/>
        </row>
        <row r="3174">
          <cell r="A3174" t="str">
            <v>V74.000.004</v>
          </cell>
          <cell r="B3174" t="str">
            <v>POWER100 DISHWASHING SAVING 400G STAMP</v>
          </cell>
          <cell r="C3174" t="str">
            <v>TEM PHỤ NƯỚC RỬA CHÉN TIẾT KIỆM POWER100 400G</v>
          </cell>
          <cell r="D3174" t="str">
            <v>POWER100 DISHWASHING SAVING 400G STAMP</v>
          </cell>
          <cell r="E3174">
            <v>0</v>
          </cell>
          <cell r="F3174" t="str">
            <v>Bỏ chọn</v>
          </cell>
          <cell r="G3174"/>
          <cell r="H3174"/>
        </row>
        <row r="3175">
          <cell r="A3175" t="str">
            <v>7.7075833028170000</v>
          </cell>
          <cell r="B3175" t="str">
            <v>POWER100 DISHWASHINGLIQUIDLEMON BTL@200G</v>
          </cell>
          <cell r="C3175" t="str">
            <v>NƯỚC RỬA CHÉN POWER100 HƯƠNG CHANH 200G</v>
          </cell>
          <cell r="D3175" t="str">
            <v>POWER100 DISHWASHINGLIQUIDLEMON BTL@200G</v>
          </cell>
          <cell r="E3175">
            <v>0.2</v>
          </cell>
          <cell r="F3175" t="str">
            <v>Bỏ chọn</v>
          </cell>
          <cell r="G3175"/>
          <cell r="H3175"/>
        </row>
        <row r="3176">
          <cell r="A3176" t="str">
            <v>7.707583302817000O</v>
          </cell>
          <cell r="B3176" t="str">
            <v>POWER100 DWL LEMON 200G*50BTL</v>
          </cell>
          <cell r="C3176" t="str">
            <v>NƯỚC RỬA CHÉN POWER100 HƯƠNG CHANH 200G*50</v>
          </cell>
          <cell r="D3176" t="str">
            <v>POWER100 DWL LEMON 200G*50BTL</v>
          </cell>
          <cell r="E3176">
            <v>10</v>
          </cell>
          <cell r="F3176" t="str">
            <v>Chọn</v>
          </cell>
          <cell r="G3176"/>
          <cell r="H3176" t="str">
            <v>7.7075833028170000</v>
          </cell>
        </row>
        <row r="3177">
          <cell r="A3177" t="str">
            <v>7.7075836028174000</v>
          </cell>
          <cell r="B3177" t="str">
            <v>POWER100 SAVING DWL LEMON BTL @800G</v>
          </cell>
          <cell r="C3177" t="str">
            <v>NƯỚC RỬA CHÉN POWER100 TIẾT KIỆM HƯƠNG CHANH 800G</v>
          </cell>
          <cell r="D3177" t="str">
            <v>POWER100 SAVING DWL LEMON BTL @800G</v>
          </cell>
          <cell r="E3177">
            <v>0.8</v>
          </cell>
          <cell r="F3177" t="str">
            <v>Bỏ chọn</v>
          </cell>
          <cell r="G3177"/>
          <cell r="H3177"/>
        </row>
        <row r="3178">
          <cell r="A3178" t="str">
            <v>7.7075836028174002</v>
          </cell>
          <cell r="B3178" t="str">
            <v>POWER100 SAVING DWL LEMON 800G*12BTL</v>
          </cell>
          <cell r="C3178" t="str">
            <v>NƯỚC RỬA CHÉN POWER100 TIẾT KIỆM HƯƠNG CHANH 800G*12</v>
          </cell>
          <cell r="D3178" t="str">
            <v>POWER100 SAVING DWL LEMON 800G*12BTL</v>
          </cell>
          <cell r="E3178">
            <v>9.6</v>
          </cell>
          <cell r="F3178" t="str">
            <v>Bỏ chọn</v>
          </cell>
          <cell r="G3178"/>
          <cell r="H3178"/>
        </row>
        <row r="3179">
          <cell r="A3179" t="str">
            <v>7.7075836528174000</v>
          </cell>
          <cell r="B3179" t="str">
            <v>POWER100 SAVING DWL LEMON BTL@3.5KG</v>
          </cell>
          <cell r="C3179" t="str">
            <v>NƯỚC RỬA CHÉN POWER100 TIẾT KIỆM HƯƠNG CHANH 3.5KG</v>
          </cell>
          <cell r="D3179" t="str">
            <v>POWER100 SAVING DWL LEMON BTL@3.5KG</v>
          </cell>
          <cell r="E3179">
            <v>3.5</v>
          </cell>
          <cell r="F3179" t="str">
            <v>Chọn</v>
          </cell>
          <cell r="G3179"/>
          <cell r="H3179"/>
        </row>
        <row r="3180">
          <cell r="A3180" t="str">
            <v>7.707583652817400H</v>
          </cell>
          <cell r="B3180" t="str">
            <v>POWER100 SAVING DWL LEMON 3.5KG*4BTL</v>
          </cell>
          <cell r="C3180" t="str">
            <v>NƯỚC RỬA CHÉN POWER100 TIẾT KIỆM HƯƠNG CHANH 3.5KG*4</v>
          </cell>
          <cell r="D3180" t="str">
            <v>POWER100 SAVING DWL LEMON 3.5KG*4BTL</v>
          </cell>
          <cell r="E3180">
            <v>14</v>
          </cell>
          <cell r="F3180" t="str">
            <v>Chọn</v>
          </cell>
          <cell r="G3180"/>
          <cell r="H3180" t="str">
            <v>7.7075836528174000</v>
          </cell>
        </row>
        <row r="3181">
          <cell r="A3181" t="str">
            <v>7.7075839428170000</v>
          </cell>
          <cell r="B3181" t="str">
            <v>POWER100 DISHWASHLIQUIDLEMON BTL@1.5KG</v>
          </cell>
          <cell r="C3181" t="str">
            <v>NƯỚC RỬA CHÉN POWER100 HƯƠNG CHANH 1.5KG</v>
          </cell>
          <cell r="D3181" t="str">
            <v>POWER100 DISHWASHLIQUIDLEMON BTL@1.5KG</v>
          </cell>
          <cell r="E3181">
            <v>1.5</v>
          </cell>
          <cell r="F3181" t="str">
            <v>Chọn</v>
          </cell>
          <cell r="G3181"/>
          <cell r="H3181"/>
        </row>
        <row r="3182">
          <cell r="A3182" t="str">
            <v>7.707583942817000K</v>
          </cell>
          <cell r="B3182" t="str">
            <v>POWER100 DWL LEMON 1.5KG*8BTL</v>
          </cell>
          <cell r="C3182" t="str">
            <v>NƯỚC RỬA CHÉN POWER100 HƯƠNG CHANH 1.5KG*8</v>
          </cell>
          <cell r="D3182" t="str">
            <v>POWER100 DWL LEMON 1.5KG*8BTL</v>
          </cell>
          <cell r="E3182">
            <v>12</v>
          </cell>
          <cell r="F3182" t="str">
            <v>Chọn</v>
          </cell>
          <cell r="G3182"/>
          <cell r="H3182" t="str">
            <v>7.7075839428170000</v>
          </cell>
        </row>
        <row r="3183">
          <cell r="A3183" t="str">
            <v>7.7075839481170000</v>
          </cell>
          <cell r="B3183" t="str">
            <v>POWER100 DWL LEMON BTL SQ @1.5KG</v>
          </cell>
          <cell r="C3183" t="str">
            <v>NƯỚC RỬA CHÉN POWER100 HƯƠNG CHANH 1.5KG CAN VUÔNG LÀO</v>
          </cell>
          <cell r="D3183" t="str">
            <v>POWER100 DWL LEMON BTL SQ @1.5KG</v>
          </cell>
          <cell r="E3183">
            <v>1.5</v>
          </cell>
          <cell r="F3183" t="str">
            <v>Bỏ chọn</v>
          </cell>
          <cell r="G3183"/>
          <cell r="H3183"/>
        </row>
        <row r="3184">
          <cell r="A3184" t="str">
            <v>7.707583948117000K</v>
          </cell>
          <cell r="B3184" t="str">
            <v>POWER100 DWL LEMON 1.5KG*8BTL SQ</v>
          </cell>
          <cell r="C3184" t="str">
            <v>NƯỚC RỬA CHÉN POWER100 HƯƠNG CHANH 1.5KG*8 CAN VUÔNG LÀO</v>
          </cell>
          <cell r="D3184" t="str">
            <v>POWER100 DWL LEMON 1.5KG*8BTL SQ</v>
          </cell>
          <cell r="E3184">
            <v>12</v>
          </cell>
          <cell r="F3184" t="str">
            <v>Bỏ chọn</v>
          </cell>
          <cell r="G3184"/>
          <cell r="H3184"/>
        </row>
        <row r="3185">
          <cell r="A3185" t="str">
            <v>7.707583B728173000</v>
          </cell>
          <cell r="B3185" t="str">
            <v>POWER100HORECA DWL LEMON BTL@5KG</v>
          </cell>
          <cell r="C3185" t="str">
            <v>NƯỚC RỬA CHÉN POWER100 HORECA HƯƠNG CHANH 5.0KG</v>
          </cell>
          <cell r="D3185" t="str">
            <v>POWER100HORECA DWL LEMON BTL@5KG</v>
          </cell>
          <cell r="E3185">
            <v>5</v>
          </cell>
          <cell r="F3185" t="str">
            <v>Chọn</v>
          </cell>
          <cell r="G3185"/>
          <cell r="H3185"/>
        </row>
        <row r="3186">
          <cell r="A3186" t="str">
            <v>7.707583B72817300H</v>
          </cell>
          <cell r="B3186" t="str">
            <v>POWER100 HORECA DWL LEMON 5KG*4BTL</v>
          </cell>
          <cell r="C3186" t="str">
            <v>NƯỚC RỬA CHÉN POWER100 HORECA HƯƠNG CHANH 5.0KG*4</v>
          </cell>
          <cell r="D3186" t="str">
            <v>POWER100 HORECA DWL LEMON 5KG*4BTL</v>
          </cell>
          <cell r="E3186">
            <v>20</v>
          </cell>
          <cell r="F3186" t="str">
            <v>Chọn</v>
          </cell>
          <cell r="G3186"/>
          <cell r="H3186" t="str">
            <v>7.707583B728173000</v>
          </cell>
        </row>
        <row r="3187">
          <cell r="A3187" t="str">
            <v>7.707583E928170000</v>
          </cell>
          <cell r="B3187" t="str">
            <v>POWER100 DISHWASHINGLIQUIDLEMON BTL@750G</v>
          </cell>
          <cell r="C3187" t="str">
            <v>NƯỚC RỬA CHÉN POWER100 HƯƠNG CHANH 750G</v>
          </cell>
          <cell r="D3187" t="str">
            <v>POWER100 DISHWASHINGLIQUIDLEMON BTL@750G</v>
          </cell>
          <cell r="E3187">
            <v>0.75</v>
          </cell>
          <cell r="F3187" t="str">
            <v>Chọn</v>
          </cell>
          <cell r="G3187"/>
          <cell r="H3187"/>
        </row>
        <row r="3188">
          <cell r="A3188" t="str">
            <v>7.707583E92817000N</v>
          </cell>
          <cell r="B3188" t="str">
            <v>POWER100 DWL LEMON 750G*16BTL</v>
          </cell>
          <cell r="C3188" t="str">
            <v>NƯỚC RỬA CHÉN POWER100 HƯƠNG CHANH 750G*16</v>
          </cell>
          <cell r="D3188" t="str">
            <v>POWER100 DWL LEMON 750G*16BTL</v>
          </cell>
          <cell r="E3188">
            <v>12</v>
          </cell>
          <cell r="F3188" t="str">
            <v>Chọn</v>
          </cell>
          <cell r="G3188"/>
          <cell r="H3188" t="str">
            <v>7.707583E928170000</v>
          </cell>
        </row>
        <row r="3189">
          <cell r="A3189" t="str">
            <v>7.707583E928174000</v>
          </cell>
          <cell r="B3189" t="str">
            <v>POWER100 SAVING DWL LEMON BTL @750G</v>
          </cell>
          <cell r="C3189" t="str">
            <v>NƯỚC RỬA CHÉN POWER100 TIẾT KIỆM HƯƠNG CHANH 750G</v>
          </cell>
          <cell r="D3189" t="str">
            <v>POWER100 SAVING DWL LEMON BTL @750G</v>
          </cell>
          <cell r="E3189">
            <v>0.75</v>
          </cell>
          <cell r="F3189" t="str">
            <v>Chọn</v>
          </cell>
          <cell r="G3189"/>
          <cell r="H3189"/>
        </row>
        <row r="3190">
          <cell r="A3190" t="str">
            <v>7.707583E92817400N</v>
          </cell>
          <cell r="B3190" t="str">
            <v>POWER100 SAVING DWL LEMON 750G*16BTL</v>
          </cell>
          <cell r="C3190" t="str">
            <v>NƯỚC RỬA CHÉN POWER100 TIẾT KIỆM HƯƠNG CHANH 750G*16</v>
          </cell>
          <cell r="D3190" t="str">
            <v>POWER100 SAVING DWL LEMON 750G*16BTL</v>
          </cell>
          <cell r="E3190">
            <v>12</v>
          </cell>
          <cell r="F3190" t="str">
            <v>Chọn</v>
          </cell>
          <cell r="G3190"/>
          <cell r="H3190" t="str">
            <v>7.707583E928174000</v>
          </cell>
        </row>
        <row r="3191">
          <cell r="A3191" t="str">
            <v>7.707583F628170000</v>
          </cell>
          <cell r="B3191" t="str">
            <v>POWER100 DISHWASHINGLIQUIDLEMON BTL@400G</v>
          </cell>
          <cell r="C3191" t="str">
            <v>NƯỚC RỬA CHÉN POWER100 HƯƠNG CHANH 400G</v>
          </cell>
          <cell r="D3191" t="str">
            <v>POWER100 DISHWASHINGLIQUIDLEMON BTL@400G</v>
          </cell>
          <cell r="E3191">
            <v>0.4</v>
          </cell>
          <cell r="F3191" t="str">
            <v>Chọn</v>
          </cell>
          <cell r="G3191"/>
          <cell r="H3191"/>
        </row>
        <row r="3192">
          <cell r="A3192" t="str">
            <v>7.707583F62817000A</v>
          </cell>
          <cell r="B3192" t="str">
            <v>POWER100 DWL LEMON 400G*24BTL</v>
          </cell>
          <cell r="C3192" t="str">
            <v>NƯỚC RỬA CHÉN POWER100 HƯƠNG CHANH 400G*24</v>
          </cell>
          <cell r="D3192" t="str">
            <v>POWER100 DWL LEMON 400G*24BTL</v>
          </cell>
          <cell r="E3192">
            <v>9.6</v>
          </cell>
          <cell r="F3192" t="str">
            <v>Chọn</v>
          </cell>
          <cell r="G3192"/>
          <cell r="H3192" t="str">
            <v>7.707583F628170000</v>
          </cell>
        </row>
        <row r="3193">
          <cell r="A3193" t="str">
            <v>7.707583F628174000</v>
          </cell>
          <cell r="B3193" t="str">
            <v>POWER100 SAVING DWL LEMON BTL @400G</v>
          </cell>
          <cell r="C3193" t="str">
            <v>NƯỚC RỬA CHÉN POWER100 TIẾT KIỆM HƯƠNG CHANH 400G</v>
          </cell>
          <cell r="D3193" t="str">
            <v>POWER100 SAVING DWL LEMON BTL @400G</v>
          </cell>
          <cell r="E3193">
            <v>0.4</v>
          </cell>
          <cell r="F3193" t="str">
            <v>Chọn</v>
          </cell>
          <cell r="G3193"/>
          <cell r="H3193"/>
        </row>
        <row r="3194">
          <cell r="A3194" t="str">
            <v>7.707583F62817400A</v>
          </cell>
          <cell r="B3194" t="str">
            <v>POWER100 SAVING DWL LEMON 400G*24BTL</v>
          </cell>
          <cell r="C3194" t="str">
            <v>NƯỚC RỬA CHÉN POWER100 TIẾT KIỆM HƯƠNG CHANH 400G*24</v>
          </cell>
          <cell r="D3194" t="str">
            <v>POWER100 SAVING DWL LEMON 400G*24BTL</v>
          </cell>
          <cell r="E3194">
            <v>9.6</v>
          </cell>
          <cell r="F3194" t="str">
            <v>Chọn</v>
          </cell>
          <cell r="G3194"/>
          <cell r="H3194" t="str">
            <v>7.707583F628174000</v>
          </cell>
        </row>
        <row r="3195">
          <cell r="A3195" t="str">
            <v>7.707583M228170000</v>
          </cell>
          <cell r="B3195" t="str">
            <v>POWER100 DISHWASHLIQUIDLEMON BTL@3.8KG</v>
          </cell>
          <cell r="C3195" t="str">
            <v>NƯỚC RỬA CHÉN POWER100 HƯƠNG CHANH 3.8KG</v>
          </cell>
          <cell r="D3195" t="str">
            <v>POWER100 DISHWASHLIQUIDLEMON BTL@3.8KG</v>
          </cell>
          <cell r="E3195">
            <v>3.8</v>
          </cell>
          <cell r="F3195" t="str">
            <v>Chọn</v>
          </cell>
          <cell r="G3195"/>
          <cell r="H3195"/>
        </row>
        <row r="3196">
          <cell r="A3196" t="str">
            <v>7.707583M22817000H</v>
          </cell>
          <cell r="B3196" t="str">
            <v>POWER100 DWL LEMON 3.8KG*4BTL</v>
          </cell>
          <cell r="C3196" t="str">
            <v>NƯỚC RỬA CHÉN POWER100 HƯƠNG CHANH 3.8KG*4</v>
          </cell>
          <cell r="D3196" t="str">
            <v>POWER100 DWL LEMON 3.8KG*4BTL</v>
          </cell>
          <cell r="E3196">
            <v>15.2</v>
          </cell>
          <cell r="F3196" t="str">
            <v>Chọn</v>
          </cell>
          <cell r="G3196"/>
          <cell r="H3196" t="str">
            <v>7.707583M228170000</v>
          </cell>
        </row>
        <row r="3197">
          <cell r="A3197" t="str">
            <v>7.707583M328170000</v>
          </cell>
          <cell r="B3197" t="str">
            <v>POWER100 DISHWASHLIQUIDLEMON BTL@9.5KG</v>
          </cell>
          <cell r="C3197" t="str">
            <v>NƯỚC RỬA CHÉN POWER100 HƯƠNG CHANH 9.5KG</v>
          </cell>
          <cell r="D3197" t="str">
            <v>POWER100 DISHWASHLIQUIDLEMON BTL@9.5KG</v>
          </cell>
          <cell r="E3197">
            <v>9.5</v>
          </cell>
          <cell r="F3197" t="str">
            <v>Chọn</v>
          </cell>
          <cell r="G3197"/>
          <cell r="H3197"/>
        </row>
        <row r="3198">
          <cell r="A3198" t="str">
            <v>7.707583M32817000X</v>
          </cell>
          <cell r="B3198" t="str">
            <v xml:space="preserve">POWER100 DWL LEMON 9.5KG*2BTL </v>
          </cell>
          <cell r="C3198" t="str">
            <v>NƯỚC RỬA CHÉN POWER100 HƯƠNG CHANH 9.5KG*2</v>
          </cell>
          <cell r="D3198" t="str">
            <v xml:space="preserve">POWER100 DWL LEMON 9.5KG*2BTL </v>
          </cell>
          <cell r="E3198">
            <v>19</v>
          </cell>
          <cell r="F3198" t="str">
            <v>Bỏ chọn</v>
          </cell>
          <cell r="G3198"/>
          <cell r="H3198"/>
        </row>
        <row r="3199">
          <cell r="A3199" t="str">
            <v>7.707583M628170000</v>
          </cell>
          <cell r="B3199" t="str">
            <v>POWER100 DWL LEMON BTL @2.7KG</v>
          </cell>
          <cell r="C3199" t="str">
            <v>NƯỚC RỬA CHÉN POWER100 HƯƠNG CHANH 2.7KG</v>
          </cell>
          <cell r="D3199" t="str">
            <v>POWER100 DWL LEMON BTL @2.7KG</v>
          </cell>
          <cell r="E3199">
            <v>2.7</v>
          </cell>
          <cell r="F3199" t="str">
            <v>Bỏ chọn</v>
          </cell>
          <cell r="G3199"/>
          <cell r="H3199"/>
        </row>
        <row r="3200">
          <cell r="A3200" t="str">
            <v>7.707583M62817000H</v>
          </cell>
          <cell r="B3200" t="str">
            <v>POWER100 DWL LEMON 2.7KG*4BTL</v>
          </cell>
          <cell r="C3200" t="str">
            <v>NƯỚC RỬA CHÉN POWER100 HƯƠNG CHANH 2.7KG*4</v>
          </cell>
          <cell r="D3200" t="str">
            <v>POWER100 DWL LEMON 2.7KG*4BTL</v>
          </cell>
          <cell r="E3200">
            <v>10.8</v>
          </cell>
          <cell r="F3200" t="str">
            <v>Bỏ chọn</v>
          </cell>
          <cell r="G3200"/>
          <cell r="H3200"/>
        </row>
        <row r="3201">
          <cell r="A3201" t="str">
            <v>7.707583N528174000</v>
          </cell>
          <cell r="B3201" t="str">
            <v>POWER100 SAVING DWL LEMON BTL @9KG</v>
          </cell>
          <cell r="C3201" t="str">
            <v>NƯỚC RỬA CHÉN POWER100 TIẾT KIỆM HƯƠNG CHANH 9.0KG</v>
          </cell>
          <cell r="D3201" t="str">
            <v>POWER100 SAVING DWL LEMON BTL @9KG</v>
          </cell>
          <cell r="E3201">
            <v>9</v>
          </cell>
          <cell r="F3201" t="str">
            <v>Chọn</v>
          </cell>
          <cell r="G3201"/>
          <cell r="H3201"/>
        </row>
        <row r="3202">
          <cell r="A3202" t="str">
            <v>7.707585A528170000</v>
          </cell>
          <cell r="B3202" t="str">
            <v>POWER100 DISHWASHLIQUIDNATURAL BTL@750ML</v>
          </cell>
          <cell r="C3202" t="str">
            <v>NƯỚC RỬA CHÉN POWER100 NATURAL 750ML</v>
          </cell>
          <cell r="D3202" t="str">
            <v>POWER100 DISHWASHLIQUIDNATURAL BTL@750ML</v>
          </cell>
          <cell r="E3202">
            <v>0.75</v>
          </cell>
          <cell r="F3202" t="str">
            <v>Chọn</v>
          </cell>
          <cell r="G3202"/>
          <cell r="H3202"/>
        </row>
        <row r="3203">
          <cell r="A3203" t="str">
            <v>7.707585A528170002</v>
          </cell>
          <cell r="B3203" t="str">
            <v>POWER100 DWL NATUR 750ML*12BTL</v>
          </cell>
          <cell r="C3203" t="str">
            <v>NƯỚC RỬA CHÉN POWER100 NATURAL 750ML*12</v>
          </cell>
          <cell r="D3203" t="str">
            <v>POWER100 DWL NATUR 750ML*12BTL</v>
          </cell>
          <cell r="E3203">
            <v>9.36</v>
          </cell>
          <cell r="F3203" t="str">
            <v>Bỏ chọn</v>
          </cell>
          <cell r="G3203"/>
          <cell r="H3203"/>
        </row>
        <row r="3204">
          <cell r="A3204" t="str">
            <v>7.7075869428170000</v>
          </cell>
          <cell r="B3204" t="str">
            <v>POWER100 DWL GREENTEA BTL @1.5KG</v>
          </cell>
          <cell r="C3204" t="str">
            <v>NƯỚC RỬA CHÉN POWER100 HƯƠNG TRÀ XANH 1.5KG</v>
          </cell>
          <cell r="D3204" t="str">
            <v>POWER100 DWL GREENTEA BTL @1.5KG</v>
          </cell>
          <cell r="E3204">
            <v>1.5</v>
          </cell>
          <cell r="F3204" t="str">
            <v>Chọn</v>
          </cell>
          <cell r="G3204"/>
          <cell r="H3204"/>
        </row>
        <row r="3205">
          <cell r="A3205" t="str">
            <v>7.707586942817000K</v>
          </cell>
          <cell r="B3205" t="str">
            <v>POWER100 DWL GREENTEA 1.5KG*8BTL</v>
          </cell>
          <cell r="C3205" t="str">
            <v>NƯỚC RỬA CHÉN POWER100 HƯƠNG TRÀ XANH 1.5KG*8</v>
          </cell>
          <cell r="D3205" t="str">
            <v>POWER100 DWL GREENTEA 1.5KG*8BTL</v>
          </cell>
          <cell r="E3205">
            <v>12</v>
          </cell>
          <cell r="F3205" t="str">
            <v>Chọn</v>
          </cell>
          <cell r="G3205"/>
          <cell r="H3205" t="str">
            <v>7.7075869428170000</v>
          </cell>
        </row>
        <row r="3206">
          <cell r="A3206" t="str">
            <v>7.707586E428170000</v>
          </cell>
          <cell r="B3206" t="str">
            <v>POWER100 DWL GREEN TEA BTL@3.8KG + 200G</v>
          </cell>
          <cell r="C3206" t="str">
            <v>NƯỚC RỬA CHÉN POWER100 HƯƠNG TRÀ XANH 3.8KG+200G</v>
          </cell>
          <cell r="D3206" t="str">
            <v>POWER100 DWL GREEN TEA BTL@3.8KG + 200G</v>
          </cell>
          <cell r="E3206">
            <v>4</v>
          </cell>
          <cell r="F3206" t="str">
            <v>Chọn</v>
          </cell>
          <cell r="G3206"/>
          <cell r="H3206"/>
        </row>
        <row r="3207">
          <cell r="A3207" t="str">
            <v>7.707586E42817000H</v>
          </cell>
          <cell r="B3207" t="str">
            <v>POWER100 DWL GREEN TEA 3.8KG+200G*4BTL</v>
          </cell>
          <cell r="C3207" t="str">
            <v>NƯỚC RỬA CHÉN POWER100 HƯƠNG TRÀ XANH 3.8KG+200G*4</v>
          </cell>
          <cell r="D3207" t="str">
            <v>POWER100 DWL GREEN TEA 3.8KG+200G*4BTL</v>
          </cell>
          <cell r="E3207">
            <v>16</v>
          </cell>
          <cell r="F3207" t="str">
            <v>Chọn</v>
          </cell>
          <cell r="G3207"/>
          <cell r="H3207" t="str">
            <v>7.707586E428170000</v>
          </cell>
        </row>
        <row r="3208">
          <cell r="A3208" t="str">
            <v>7.707586N328170000</v>
          </cell>
          <cell r="B3208" t="str">
            <v xml:space="preserve">POWER100 DWL GREEN TEA BTL @1.4KG_x000D_
</v>
          </cell>
          <cell r="C3208" t="str">
            <v>NƯỚC RỬA CHÉN POWER100 HƯƠNG TRÀ XANH 1.4KG</v>
          </cell>
          <cell r="D3208" t="str">
            <v>POWER100 DWL GREEN TEA BTL @1.4KG</v>
          </cell>
          <cell r="E3208">
            <v>1.4</v>
          </cell>
          <cell r="F3208" t="str">
            <v>Chọn</v>
          </cell>
          <cell r="G3208"/>
          <cell r="H3208"/>
        </row>
        <row r="3209">
          <cell r="A3209" t="str">
            <v>7.707586N32817000K</v>
          </cell>
          <cell r="B3209" t="str">
            <v>POWER100 DWL GREENTEA 1.4KG*8BTL</v>
          </cell>
          <cell r="C3209" t="str">
            <v>NƯỚC RỬA CHÉN POWER100 HƯƠNG TRÀ XANH 1.4KG*8</v>
          </cell>
          <cell r="D3209" t="str">
            <v>POWER100 DWL GREENTEA 1.4KG*8BTL</v>
          </cell>
          <cell r="E3209">
            <v>11.2</v>
          </cell>
          <cell r="F3209" t="str">
            <v>Chọn</v>
          </cell>
          <cell r="G3209"/>
          <cell r="H3209" t="str">
            <v>7.707586N328170000</v>
          </cell>
        </row>
        <row r="3210">
          <cell r="A3210" t="str">
            <v>7.707586N428170000</v>
          </cell>
          <cell r="B3210" t="str">
            <v>POWER100 DWL GREENTEA BTL@3.6KG</v>
          </cell>
          <cell r="C3210" t="str">
            <v>NƯỚC RỬA CHÉN POWER100 HƯƠNG TRÀ XANH 3.6KG</v>
          </cell>
          <cell r="D3210" t="str">
            <v>POWER100 DWL GREENTEA BTL@3.6KG</v>
          </cell>
          <cell r="E3210">
            <v>3.6</v>
          </cell>
          <cell r="F3210" t="str">
            <v>Chọn</v>
          </cell>
          <cell r="G3210"/>
          <cell r="H3210"/>
        </row>
        <row r="3211">
          <cell r="A3211" t="str">
            <v>7.707586N42817000H</v>
          </cell>
          <cell r="B3211" t="str">
            <v>POWER100 DWL GREENTEA 3.6KG*4BTL</v>
          </cell>
          <cell r="C3211" t="str">
            <v>NƯỚC RỬA CHÉN POWER100 HƯƠNG TRÀ XANH 3.6KG*4</v>
          </cell>
          <cell r="D3211" t="str">
            <v>POWER100 DWL GREENTEA 3.6KG*4BTL</v>
          </cell>
          <cell r="E3211">
            <v>14.4</v>
          </cell>
          <cell r="F3211" t="str">
            <v>Chọn</v>
          </cell>
          <cell r="G3211"/>
          <cell r="H3211" t="str">
            <v>7.707586N428170000</v>
          </cell>
        </row>
        <row r="3212">
          <cell r="A3212" t="str">
            <v>7.707587M128170000</v>
          </cell>
          <cell r="B3212" t="str">
            <v>POWER100 GLASS CLEANER MINT BTL@580ML</v>
          </cell>
          <cell r="C3212" t="str">
            <v>NƯỚC LAU KÍNH POWER100 HƯƠNG BẠC HÀ 580ML</v>
          </cell>
          <cell r="D3212" t="str">
            <v>POWER100 GLASS CLEANER MINT BTL@580ML</v>
          </cell>
          <cell r="E3212">
            <v>0.57499999999999996</v>
          </cell>
          <cell r="F3212" t="str">
            <v>Chọn</v>
          </cell>
          <cell r="G3212"/>
          <cell r="H3212"/>
        </row>
        <row r="3213">
          <cell r="A3213" t="str">
            <v>7.707587M128170002</v>
          </cell>
          <cell r="B3213" t="str">
            <v>POWER100 GLASS CLEANER MINT 580ML*12BTL</v>
          </cell>
          <cell r="C3213" t="str">
            <v>NƯỚC LAU KÍNH POWER100 HƯƠNG BẠC HÀ 580ML*12</v>
          </cell>
          <cell r="D3213" t="str">
            <v>POWER100 GLASS CLEANER MINT 580ML*12BTL</v>
          </cell>
          <cell r="E3213">
            <v>6.9</v>
          </cell>
          <cell r="F3213" t="str">
            <v>Chọn</v>
          </cell>
          <cell r="G3213"/>
          <cell r="H3213" t="str">
            <v>7.707587M128170000</v>
          </cell>
        </row>
        <row r="3214">
          <cell r="A3214" t="str">
            <v>7.707587M12817000A</v>
          </cell>
          <cell r="B3214" t="str">
            <v xml:space="preserve">POWER100 GLASS CLEANER MINT 580ML*24BTL </v>
          </cell>
          <cell r="C3214" t="str">
            <v>NƯỚC LAU KÍNH POWER100 HƯƠNG BẠC HÀ 580ML*24</v>
          </cell>
          <cell r="D3214" t="str">
            <v xml:space="preserve">POWER100 GLASS CLEANER MINT 580ML*24BTL </v>
          </cell>
          <cell r="E3214">
            <v>13.8</v>
          </cell>
          <cell r="F3214" t="str">
            <v>Chọn</v>
          </cell>
          <cell r="G3214"/>
          <cell r="H3214" t="str">
            <v>7.707587M128170000</v>
          </cell>
        </row>
        <row r="3215">
          <cell r="A3215" t="str">
            <v>7.707587M12817000X</v>
          </cell>
          <cell r="B3215" t="str">
            <v>POWER100 GLASS CLEANER MINT 580ML*2BTL</v>
          </cell>
          <cell r="C3215" t="str">
            <v>NƯỚC LAU KÍNH POWER100 HƯƠNG BẠC HÀ 580ML*2</v>
          </cell>
          <cell r="D3215" t="str">
            <v>POWER100 GLASS CLEANER MINT 580ML*2BTL</v>
          </cell>
          <cell r="E3215">
            <v>1.1599999999999999</v>
          </cell>
          <cell r="F3215" t="str">
            <v>Bỏ chọn</v>
          </cell>
          <cell r="G3215"/>
          <cell r="H3215"/>
        </row>
        <row r="3216">
          <cell r="A3216" t="str">
            <v>7.707587N228170000</v>
          </cell>
          <cell r="B3216" t="str">
            <v>POWER100 GLASS CLEANER MINT BOTTLE @3.8L</v>
          </cell>
          <cell r="C3216" t="str">
            <v>NƯỚC LAU KÍNH POWER100 HƯƠNG BẠC HÀ 3.8L</v>
          </cell>
          <cell r="D3216" t="str">
            <v>POWER100 GLASS CLEANER MINT BOTTLE @3.8L</v>
          </cell>
          <cell r="E3216">
            <v>3.76</v>
          </cell>
          <cell r="F3216" t="str">
            <v>Bỏ chọn</v>
          </cell>
          <cell r="G3216"/>
          <cell r="H3216"/>
        </row>
        <row r="3217">
          <cell r="A3217" t="str">
            <v>7.707587N22817000H</v>
          </cell>
          <cell r="B3217" t="str">
            <v>POWER100 GLASS CLEANER MINT 3.8L*4BTL</v>
          </cell>
          <cell r="C3217" t="str">
            <v>NƯỚC LAU KÍNH POWER100 HƯƠNG BẠC HÀ 3.8L*4</v>
          </cell>
          <cell r="D3217" t="str">
            <v>POWER100 GLASS CLEANER MINT 3.8L*4BTL</v>
          </cell>
          <cell r="E3217">
            <v>15.04</v>
          </cell>
          <cell r="F3217" t="str">
            <v>Bỏ chọn</v>
          </cell>
          <cell r="G3217"/>
          <cell r="H3217"/>
        </row>
        <row r="3218">
          <cell r="A3218" t="str">
            <v>7.7075888128170000</v>
          </cell>
          <cell r="B3218" t="str">
            <v>POWER100 FLOOR CLEANER FLORAL BTL@300G</v>
          </cell>
          <cell r="C3218" t="str">
            <v>NƯỚC LAU SÀN POWER100 HƯƠNG HOA THIÊN NHIÊN 300G</v>
          </cell>
          <cell r="D3218" t="str">
            <v>POWER100 FLOOR CLEANER FLORAL BTL@300G</v>
          </cell>
          <cell r="E3218">
            <v>0.3</v>
          </cell>
          <cell r="F3218" t="str">
            <v>Bỏ chọn</v>
          </cell>
          <cell r="G3218"/>
          <cell r="H3218"/>
        </row>
        <row r="3219">
          <cell r="A3219" t="str">
            <v>7.7075888128170005</v>
          </cell>
          <cell r="B3219" t="str">
            <v>POWER100 FLOOR CLEANER FLORAL 300G*36BTL</v>
          </cell>
          <cell r="C3219" t="str">
            <v>NƯỚC LAU SÀN POWER100 HƯƠNG HOA THIÊN NHIÊN 300G*36</v>
          </cell>
          <cell r="D3219" t="str">
            <v>POWER100 FLOOR CLEANER FLORAL 300G*36BTL</v>
          </cell>
          <cell r="E3219">
            <v>10.8</v>
          </cell>
          <cell r="F3219" t="str">
            <v>Bỏ chọn</v>
          </cell>
          <cell r="G3219"/>
          <cell r="H3219"/>
        </row>
        <row r="3220">
          <cell r="A3220" t="str">
            <v>7.707588M228170000</v>
          </cell>
          <cell r="B3220" t="str">
            <v>POWER100 FLOOR CLEANER FLORAL BTL@3.8KG</v>
          </cell>
          <cell r="C3220" t="str">
            <v>NƯỚC LAU SÀN POWER100 HƯƠNG HOA THIÊN NHIÊN 3.8KG</v>
          </cell>
          <cell r="D3220" t="str">
            <v>POWER100 FLOOR CLEANER FLORAL BTL@3.8KG</v>
          </cell>
          <cell r="E3220">
            <v>3.8</v>
          </cell>
          <cell r="F3220" t="str">
            <v>Chọn</v>
          </cell>
          <cell r="G3220"/>
          <cell r="H3220"/>
        </row>
        <row r="3221">
          <cell r="A3221" t="str">
            <v>7.707588M22817000H</v>
          </cell>
          <cell r="B3221" t="str">
            <v>POWER100 FLOOR CLEANER FLORAL 3.8KG*4BTL</v>
          </cell>
          <cell r="C3221" t="str">
            <v>NƯỚC LAU SÀN POWER100 HƯƠNG HOA THIÊN NHIÊN 3.8KG*4</v>
          </cell>
          <cell r="D3221" t="str">
            <v>POWER100 FLOOR CLEANER FLORAL 3.8KG*4BTL</v>
          </cell>
          <cell r="E3221">
            <v>15.2</v>
          </cell>
          <cell r="F3221" t="str">
            <v>Chọn</v>
          </cell>
          <cell r="G3221"/>
          <cell r="H3221" t="str">
            <v>7.707588M228170000</v>
          </cell>
        </row>
        <row r="3222">
          <cell r="A3222" t="str">
            <v>7.707588M328170000</v>
          </cell>
          <cell r="B3222" t="str">
            <v>POWER100 FLOOR CLEANER FLORAL BTL@9.5KG</v>
          </cell>
          <cell r="C3222" t="str">
            <v>NƯỚC LAU SÀN POWER100 HƯƠNG HOA THIÊN NHIÊN 9.5KG</v>
          </cell>
          <cell r="D3222" t="str">
            <v>POWER100 FLOOR CLEANER FLORAL BTL@9.5KG</v>
          </cell>
          <cell r="E3222">
            <v>9.5</v>
          </cell>
          <cell r="F3222" t="str">
            <v>Bỏ chọn</v>
          </cell>
          <cell r="G3222"/>
          <cell r="H3222"/>
        </row>
        <row r="3223">
          <cell r="A3223" t="str">
            <v>7.707588M32817000X</v>
          </cell>
          <cell r="B3223" t="str">
            <v>POWER100 FLOOR CLEANER FLORAL 9.5KG*2BTL</v>
          </cell>
          <cell r="C3223" t="str">
            <v>NƯỚC LAU SÀN POWER100 HƯƠNG HOA THIÊN NHIÊN 9.5KG*2</v>
          </cell>
          <cell r="D3223" t="str">
            <v>POWER100 FLOOR CLEANER FLORAL 9.5KG*2BTL</v>
          </cell>
          <cell r="E3223">
            <v>19</v>
          </cell>
          <cell r="F3223" t="str">
            <v>Bỏ chọn</v>
          </cell>
          <cell r="G3223"/>
          <cell r="H3223"/>
        </row>
        <row r="3224">
          <cell r="A3224" t="str">
            <v>7.707588M428170000</v>
          </cell>
          <cell r="B3224" t="str">
            <v>POWER100 FLOOR CLEANER FLORAL BTL@990G</v>
          </cell>
          <cell r="C3224" t="str">
            <v>NƯỚC LAU SÀN POWER100 HƯƠNG HOA THIÊN NHIÊN 990G</v>
          </cell>
          <cell r="D3224" t="str">
            <v>POWER100 FLOOR CLEANER FLORAL BTL@990G</v>
          </cell>
          <cell r="E3224">
            <v>0.99</v>
          </cell>
          <cell r="F3224" t="str">
            <v>Chọn</v>
          </cell>
          <cell r="G3224"/>
          <cell r="H3224"/>
        </row>
        <row r="3225">
          <cell r="A3225" t="str">
            <v>7.707588M428170002</v>
          </cell>
          <cell r="B3225" t="str">
            <v>POWER100 FLOOR CLEANER FLORAL 990G*12BTL</v>
          </cell>
          <cell r="C3225" t="str">
            <v>NƯỚC LAU SÀN POWER100 HƯƠNG HOA THIÊN NHIÊN 990G*12</v>
          </cell>
          <cell r="D3225" t="str">
            <v>POWER100 FLOOR CLEANER FLORAL 990G*12BTL</v>
          </cell>
          <cell r="E3225">
            <v>11.88</v>
          </cell>
          <cell r="F3225" t="str">
            <v>Chọn</v>
          </cell>
          <cell r="G3225"/>
          <cell r="H3225" t="str">
            <v>7.707588M428170000</v>
          </cell>
        </row>
        <row r="3226">
          <cell r="A3226" t="str">
            <v>7.7075898128170000</v>
          </cell>
          <cell r="B3226" t="str">
            <v>POWER100 FLOORCLEANERLEMONGRASS BTL@300G</v>
          </cell>
          <cell r="C3226" t="str">
            <v>NƯỚC LAU SÀN POWER100 HƯƠNG CHANH SẢ 300G</v>
          </cell>
          <cell r="D3226" t="str">
            <v>POWER100 FLOORCLEANERLEMONGRASS BTL@300G</v>
          </cell>
          <cell r="E3226">
            <v>0.3</v>
          </cell>
          <cell r="F3226" t="str">
            <v>Bỏ chọn</v>
          </cell>
          <cell r="G3226"/>
          <cell r="H3226"/>
        </row>
        <row r="3227">
          <cell r="A3227" t="str">
            <v>7.7075898128170005</v>
          </cell>
          <cell r="B3227" t="str">
            <v>POWER100 FC LEMONGRASS 300G*36BTL</v>
          </cell>
          <cell r="C3227" t="str">
            <v>NƯỚC LAU SÀN POWER100 HƯƠNG CHANH SẢ 300G*36</v>
          </cell>
          <cell r="D3227" t="str">
            <v>POWER100 FC LEMONGRASS 300G*36BTL</v>
          </cell>
          <cell r="E3227">
            <v>10.8</v>
          </cell>
          <cell r="F3227" t="str">
            <v>Chọn</v>
          </cell>
          <cell r="G3227"/>
          <cell r="H3227" t="str">
            <v>7.7075898128170000</v>
          </cell>
        </row>
        <row r="3228">
          <cell r="A3228" t="str">
            <v>7.707589M228170000</v>
          </cell>
          <cell r="B3228" t="str">
            <v>POWER100 FLOORCLEAN LEMONGRASS BTL@3.8KG</v>
          </cell>
          <cell r="C3228" t="str">
            <v>NƯỚC LAU SÀN POWER100 HƯƠNG CHANH SẢ 3.8KG</v>
          </cell>
          <cell r="D3228" t="str">
            <v>POWER100 FLOORCLEAN LEMONGRASS BTL@3.8KG</v>
          </cell>
          <cell r="E3228">
            <v>3.8</v>
          </cell>
          <cell r="F3228" t="str">
            <v>Chọn</v>
          </cell>
          <cell r="G3228"/>
          <cell r="H3228"/>
        </row>
        <row r="3229">
          <cell r="A3229" t="str">
            <v>7.52399059902D001</v>
          </cell>
          <cell r="B3229" t="str">
            <v>COMPASS 1 KG (PAC)</v>
          </cell>
          <cell r="C3229" t="str">
            <v>BỘT MÌ ĐA DỤNG HIỆU LA BÀN 1KG (GÓI)</v>
          </cell>
          <cell r="D3229" t="str">
            <v>COMPASS 1 KG (PAC)</v>
          </cell>
          <cell r="E3229">
            <v>1</v>
          </cell>
          <cell r="F3229" t="str">
            <v>Bỏ chọn</v>
          </cell>
          <cell r="G3229"/>
          <cell r="H3229"/>
        </row>
        <row r="3230">
          <cell r="A3230" t="str">
            <v>7.707589M22817000H</v>
          </cell>
          <cell r="B3230" t="str">
            <v>POWER100 FC LEMONGRASS 3.8KG*4BTL</v>
          </cell>
          <cell r="C3230" t="str">
            <v>NƯỚC LAU SÀN POWER100 HƯƠNG CHANH SẢ 3.8KG*4</v>
          </cell>
          <cell r="D3230" t="str">
            <v>POWER100 FC LEMONGRASS 3.8KG*4BTL</v>
          </cell>
          <cell r="E3230">
            <v>15.2</v>
          </cell>
          <cell r="F3230" t="str">
            <v>Chọn</v>
          </cell>
          <cell r="G3230"/>
          <cell r="H3230" t="str">
            <v>7.707589M228170000</v>
          </cell>
        </row>
        <row r="3231">
          <cell r="A3231" t="str">
            <v>7.707589M328170000</v>
          </cell>
          <cell r="B3231" t="str">
            <v>POWER100 FLOORCLEANERLEMONGRAS BTL@9.5KG</v>
          </cell>
          <cell r="C3231" t="str">
            <v>NƯỚC LAU SÀN POWER100 HƯƠNG CHANH SẢ 9.5KG</v>
          </cell>
          <cell r="D3231" t="str">
            <v>POWER100 FLOORCLEANERLEMONGRAS BTL@9.5KG</v>
          </cell>
          <cell r="E3231">
            <v>9.5</v>
          </cell>
          <cell r="F3231" t="str">
            <v>Chọn</v>
          </cell>
          <cell r="G3231"/>
          <cell r="H3231"/>
        </row>
        <row r="3232">
          <cell r="A3232" t="str">
            <v>7.707589M32817000X</v>
          </cell>
          <cell r="B3232" t="str">
            <v>POWER100 FC LEMONGRASS 9.5KG*2BTL</v>
          </cell>
          <cell r="C3232" t="str">
            <v>NƯỚC LAU SÀN POWER100 HƯƠNG CHANH SẢ 9.5KG*2</v>
          </cell>
          <cell r="D3232" t="str">
            <v>POWER100 FC LEMONGRASS 9.5KG*2BTL</v>
          </cell>
          <cell r="E3232">
            <v>19</v>
          </cell>
          <cell r="F3232" t="str">
            <v>Chọn</v>
          </cell>
          <cell r="G3232"/>
          <cell r="H3232" t="str">
            <v>7.707589M328170000</v>
          </cell>
        </row>
        <row r="3233">
          <cell r="A3233" t="str">
            <v>7.707589M428170000</v>
          </cell>
          <cell r="B3233" t="str">
            <v>POWER100 FLOORCLEANERLEMONGRASS BTL@990G</v>
          </cell>
          <cell r="C3233" t="str">
            <v>NƯỚC LAU SÀN POWER100 HƯƠNG CHANH SẢ 990G</v>
          </cell>
          <cell r="D3233" t="str">
            <v>POWER100 FLOORCLEANERLEMONGRASS BTL@990G</v>
          </cell>
          <cell r="E3233">
            <v>0.99</v>
          </cell>
          <cell r="F3233" t="str">
            <v>Chọn</v>
          </cell>
          <cell r="G3233"/>
          <cell r="H3233"/>
        </row>
        <row r="3234">
          <cell r="A3234" t="str">
            <v>7.707589M428170002</v>
          </cell>
          <cell r="B3234" t="str">
            <v>POWER100 FC LEMONGRASS 990G*12BTL</v>
          </cell>
          <cell r="C3234" t="str">
            <v>NƯỚC LAU SÀN POWER100 HƯƠNG CHANH SẢ 990G*12</v>
          </cell>
          <cell r="D3234" t="str">
            <v>POWER100 FC LEMONGRASS 990G*12BTL</v>
          </cell>
          <cell r="E3234">
            <v>11.88</v>
          </cell>
          <cell r="F3234" t="str">
            <v>Chọn</v>
          </cell>
          <cell r="G3234"/>
          <cell r="H3234" t="str">
            <v>7.707589M428170000</v>
          </cell>
        </row>
        <row r="3235">
          <cell r="A3235" t="str">
            <v>7.707590M128170000</v>
          </cell>
          <cell r="B3235" t="str">
            <v>POWER100 KITCHENCLEANER ORANGE BTL@580ML</v>
          </cell>
          <cell r="C3235" t="str">
            <v>NƯỚC LAU BẾP POWER100 HƯƠNG CAM 580ML</v>
          </cell>
          <cell r="D3235" t="str">
            <v>POWER100 KITCHENCLEANER ORANGE BTL@580ML</v>
          </cell>
          <cell r="E3235">
            <v>0.57499999999999996</v>
          </cell>
          <cell r="F3235" t="str">
            <v>Chọn</v>
          </cell>
          <cell r="G3235"/>
          <cell r="H3235"/>
        </row>
        <row r="3236">
          <cell r="A3236" t="str">
            <v>7.707590M12817000A</v>
          </cell>
          <cell r="B3236" t="str">
            <v>POWER100KITCHENCLEANERORANGE 580ML*24BTL</v>
          </cell>
          <cell r="C3236" t="str">
            <v>NƯỚC LAU BẾP POWER100 HƯƠNG CAM 580ML*24</v>
          </cell>
          <cell r="D3236" t="str">
            <v>POWER100KITCHENCLEANERORANGE 580ML*24BTL</v>
          </cell>
          <cell r="E3236">
            <v>13.8</v>
          </cell>
          <cell r="F3236" t="str">
            <v>Chọn</v>
          </cell>
          <cell r="G3236"/>
          <cell r="H3236" t="str">
            <v>7.707590M128170000</v>
          </cell>
        </row>
        <row r="3237">
          <cell r="A3237" t="str">
            <v>7.707591M328170000</v>
          </cell>
          <cell r="B3237" t="str">
            <v>POWER100 TOILET CLEANER MINT BTL@900ML</v>
          </cell>
          <cell r="C3237" t="str">
            <v>NƯỚC TẨY BỒN CẦU VÀ NHÀ TẮM POWER100 HƯƠNG BẠC HÀ 900ML</v>
          </cell>
          <cell r="D3237" t="str">
            <v>POWER100 TOILET CLEANER MINT BTL@900ML</v>
          </cell>
          <cell r="E3237">
            <v>0.96299999999999997</v>
          </cell>
          <cell r="F3237" t="str">
            <v>Chọn</v>
          </cell>
          <cell r="G3237"/>
          <cell r="H3237"/>
        </row>
        <row r="3238">
          <cell r="A3238" t="str">
            <v>7.707591M328170002</v>
          </cell>
          <cell r="B3238" t="str">
            <v>POWER100 TOILET CLEANER MINT 900ML*12BTL</v>
          </cell>
          <cell r="C3238" t="str">
            <v>NƯỚC TẨY BỒN CẦU VÀ NHÀ TẮM POWER100 HƯƠNG BẠC HÀ 900ML*12</v>
          </cell>
          <cell r="D3238" t="str">
            <v>POWER100 TOILET CLEANER MINT 900ML*12BTL</v>
          </cell>
          <cell r="E3238">
            <v>11.555999999999999</v>
          </cell>
          <cell r="F3238" t="str">
            <v>Chọn</v>
          </cell>
          <cell r="G3238"/>
          <cell r="H3238" t="str">
            <v>7.707591M328170000</v>
          </cell>
        </row>
        <row r="3239">
          <cell r="A3239" t="str">
            <v>7.707590M128170002</v>
          </cell>
          <cell r="B3239" t="str">
            <v>POWER100KITCHENCLEANERORANGE 580ML*12BTL</v>
          </cell>
          <cell r="C3239" t="str">
            <v>NƯỚC LAU BẾP POWER100 HƯƠNG CAM 580ML*12</v>
          </cell>
          <cell r="D3239" t="str">
            <v>POWER100KITCHENCLEANERORANGE 580ML*12BTL</v>
          </cell>
          <cell r="E3239">
            <v>6.9</v>
          </cell>
          <cell r="F3239" t="str">
            <v>Chọn</v>
          </cell>
          <cell r="G3239"/>
          <cell r="H3239" t="str">
            <v>7.707590M128170000</v>
          </cell>
        </row>
        <row r="3240">
          <cell r="A3240" t="str">
            <v>7.B24012399480199</v>
          </cell>
          <cell r="B3240" t="str">
            <v>UP SOY SAUCE 4.5 LITRES X 4 BOTTLES / CARTON</v>
          </cell>
          <cell r="C3240" t="str">
            <v>NƯỚC TƯƠNG UP 4.5 LÍT X 4 CHAI / THÙNG</v>
          </cell>
          <cell r="D3240" t="str">
            <v>UP SOY SAUCE 4.5 LITRES X 4 BOTTLES / CARTON</v>
          </cell>
          <cell r="E3240">
            <v>19.914999999999999</v>
          </cell>
          <cell r="F3240" t="str">
            <v>Bỏ chọn</v>
          </cell>
          <cell r="G3240"/>
          <cell r="H3240"/>
        </row>
        <row r="3241">
          <cell r="A3241" t="str">
            <v>7.B2401239948019901</v>
          </cell>
          <cell r="B3241" t="str">
            <v>UP SOY SAUCE 4.5 LITRES</v>
          </cell>
          <cell r="C3241" t="str">
            <v>NƯỚC TƯƠNG UP 4.5 LÍT</v>
          </cell>
          <cell r="D3241" t="str">
            <v>UP SOY SAUCE 4.5 LITRES</v>
          </cell>
          <cell r="E3241">
            <v>4.9790000000000001</v>
          </cell>
          <cell r="F3241" t="str">
            <v>Bỏ chọn</v>
          </cell>
          <cell r="G3241"/>
          <cell r="H3241"/>
        </row>
        <row r="3242">
          <cell r="A3242" t="str">
            <v>7.1060140429608010</v>
          </cell>
          <cell r="B3242" t="str">
            <v>SATELLITE SHORTENING (RED)IN CARTON 16KG</v>
          </cell>
          <cell r="C3242" t="str">
            <v>SHORTENING NHÃN HIỆU SATELLITE 16KG</v>
          </cell>
          <cell r="D3242" t="str">
            <v>SATELLITE SHORTENING (RED)IN CARTON 16KG</v>
          </cell>
          <cell r="E3242">
            <v>16</v>
          </cell>
          <cell r="F3242" t="str">
            <v>Chọn</v>
          </cell>
          <cell r="G3242"/>
          <cell r="H3242"/>
        </row>
        <row r="3243">
          <cell r="A3243" t="str">
            <v>7.52399089901D001</v>
          </cell>
          <cell r="B3243" t="str">
            <v>MEIZAN 0.5KG (PAC)</v>
          </cell>
          <cell r="C3243" t="str">
            <v>BỘT MÌ HIỆU MEIZAN 0.5KG (GÓI)</v>
          </cell>
          <cell r="D3243" t="str">
            <v>MEIZAN 0.5KG (PAC)</v>
          </cell>
          <cell r="E3243">
            <v>0.5</v>
          </cell>
          <cell r="F3243" t="str">
            <v>Bỏ chọn</v>
          </cell>
          <cell r="G3243"/>
          <cell r="H3243"/>
        </row>
        <row r="3244">
          <cell r="A3244" t="str">
            <v>7.52399089902D001</v>
          </cell>
          <cell r="B3244" t="str">
            <v>MEIZAN 1KG (PAC)</v>
          </cell>
          <cell r="C3244" t="str">
            <v>BỘT MÌ HIỆU MEIZAN 1KG (GÓI)</v>
          </cell>
          <cell r="D3244" t="str">
            <v>MEIZAN 1KG (PAC)</v>
          </cell>
          <cell r="E3244">
            <v>0.5</v>
          </cell>
          <cell r="F3244" t="str">
            <v>Bỏ chọn</v>
          </cell>
          <cell r="G3244"/>
          <cell r="H3244"/>
        </row>
        <row r="3245">
          <cell r="A3245" t="str">
            <v>7.523990899020101</v>
          </cell>
          <cell r="B3245" t="str">
            <v>MEIZAN 1KG - TOLLING (PAC)</v>
          </cell>
          <cell r="C3245" t="str">
            <v>BỘT MÌ ĐA DỤNG CAO CẤP HIỆU MEIZAN 1KG (GÓI)</v>
          </cell>
          <cell r="D3245" t="str">
            <v>MEIZAN 1KG - TOLLING (PAC)</v>
          </cell>
          <cell r="E3245">
            <v>1</v>
          </cell>
          <cell r="F3245" t="str">
            <v>Bỏ chọn</v>
          </cell>
          <cell r="G3245"/>
          <cell r="H3245"/>
        </row>
        <row r="3246">
          <cell r="A3246" t="str">
            <v>7.707583M637170000</v>
          </cell>
          <cell r="B3246" t="str">
            <v>POWER100 DWL LEMON POUCH@2.7KG</v>
          </cell>
          <cell r="C3246" t="str">
            <v>NƯỚC RỬA CHÉN POWER100 HƯƠNG CHANH 2.7KG</v>
          </cell>
          <cell r="D3246" t="str">
            <v>POWER100 DWL LEMON POUCH@2.7KG</v>
          </cell>
          <cell r="E3246">
            <v>2.7</v>
          </cell>
          <cell r="F3246" t="str">
            <v>Chọn</v>
          </cell>
          <cell r="G3246"/>
          <cell r="H3246"/>
        </row>
        <row r="3247">
          <cell r="A3247" t="str">
            <v>7.707583M63717000H</v>
          </cell>
          <cell r="B3247" t="str">
            <v>POWER100 DWL LEMON 2.7KG*4PCH</v>
          </cell>
          <cell r="C3247" t="str">
            <v>NƯỚC RỬA CHÉN POWER100 HƯƠNG CHANH 2.7KG*4</v>
          </cell>
          <cell r="D3247" t="str">
            <v>POWER100 DWL LEMON 2.7KG*4PCH</v>
          </cell>
          <cell r="E3247">
            <v>10.8</v>
          </cell>
          <cell r="F3247" t="str">
            <v>Chọn</v>
          </cell>
          <cell r="G3247"/>
          <cell r="H3247" t="str">
            <v>7.707583M637170000</v>
          </cell>
        </row>
        <row r="3248">
          <cell r="A3248" t="str">
            <v>6.1212A72</v>
          </cell>
          <cell r="B3248" t="str">
            <v>RBDOL8 (FFA 0.2MAX)</v>
          </cell>
          <cell r="C3248" t="str">
            <v>OLEIN DẦU CỌ TINH LUYỆN - NGUYÊN LIỆU SẢN XUẤT THỨC ĂN CHĂN NUÔI</v>
          </cell>
          <cell r="D3248" t="str">
            <v>RBDOL8 (FFA 0.2MAX)</v>
          </cell>
          <cell r="E3248">
            <v>1</v>
          </cell>
          <cell r="F3248" t="str">
            <v>Chọn</v>
          </cell>
          <cell r="G3248"/>
          <cell r="H3248"/>
        </row>
        <row r="3249">
          <cell r="A3249" t="str">
            <v>6.1212073</v>
          </cell>
          <cell r="B3249" t="str">
            <v>REFINED PALM OLEIN IV 56 CP 7</v>
          </cell>
          <cell r="C3249" t="str">
            <v>OLEIN DẦU CỌ TINH LUYỆN - NGUYÊN LIỆU SẢN XUẤT THỨC ĂN CHĂN NUÔI</v>
          </cell>
          <cell r="D3249" t="str">
            <v>REFINED PALM OLEIN IV 56 CP 7</v>
          </cell>
          <cell r="E3249">
            <v>1</v>
          </cell>
          <cell r="F3249" t="str">
            <v>Chọn</v>
          </cell>
          <cell r="G3249"/>
          <cell r="H3249"/>
        </row>
        <row r="3250">
          <cell r="A3250" t="str">
            <v>V15.000.015</v>
          </cell>
          <cell r="B3250" t="str">
            <v>TABLET SAMSUNG GALAXY S6 LITE</v>
          </cell>
          <cell r="C3250" t="str">
            <v>MÁY TÍNH BẢNG SAMSUNG GALAXY TAB S6 LITE</v>
          </cell>
          <cell r="D3250" t="str">
            <v>TABLET SAMSUNG GALAXY S6 LITE</v>
          </cell>
          <cell r="E3250">
            <v>0</v>
          </cell>
          <cell r="F3250" t="str">
            <v>Bỏ chọn</v>
          </cell>
          <cell r="G3250"/>
          <cell r="H3250"/>
        </row>
        <row r="3251">
          <cell r="A3251" t="str">
            <v>V58.000.004</v>
          </cell>
          <cell r="B3251" t="str">
            <v>IRON DRUM COVER</v>
          </cell>
          <cell r="C3251" t="str">
            <v>NẮP THÙNG BẰNG SẮT</v>
          </cell>
          <cell r="D3251" t="str">
            <v>IRON DRUM COVER</v>
          </cell>
          <cell r="E3251">
            <v>0</v>
          </cell>
          <cell r="F3251" t="str">
            <v>Bỏ chọn</v>
          </cell>
          <cell r="G3251"/>
          <cell r="H3251"/>
        </row>
        <row r="3252">
          <cell r="A3252" t="str">
            <v>V51.303.018</v>
          </cell>
          <cell r="B3252" t="str">
            <v>SIMPLY POLY MASK</v>
          </cell>
          <cell r="C3252" t="str">
            <v>KHẨU TRANG VẢI SIMPLY</v>
          </cell>
          <cell r="D3252" t="str">
            <v>SIMPLY POLY MASK</v>
          </cell>
          <cell r="E3252">
            <v>0</v>
          </cell>
          <cell r="F3252" t="str">
            <v>Bỏ chọn</v>
          </cell>
          <cell r="G3252"/>
          <cell r="H3252"/>
        </row>
        <row r="3253">
          <cell r="A3253" t="str">
            <v>7.707583N328170000</v>
          </cell>
          <cell r="B3253" t="str">
            <v>POWER100 SAVING DWL LEMON BTL @1.4KG</v>
          </cell>
          <cell r="C3253" t="str">
            <v>NƯỚC RỬA CHÉN POWER100 TIẾT KIỆM HƯƠNG CHANH 1.4KG</v>
          </cell>
          <cell r="D3253" t="str">
            <v>POWER100 SAVING DWL LEMON BTL @1.4KG</v>
          </cell>
          <cell r="E3253">
            <v>1.4</v>
          </cell>
          <cell r="F3253" t="str">
            <v>Chọn</v>
          </cell>
          <cell r="G3253"/>
          <cell r="H3253"/>
        </row>
        <row r="3254">
          <cell r="A3254" t="str">
            <v>7.707583N32817000K</v>
          </cell>
          <cell r="B3254" t="str">
            <v>POWER100 SAVING DWL LEMON@1.4KG*8BTL</v>
          </cell>
          <cell r="C3254" t="str">
            <v>NƯỚC RỬA CHÉN POWER100 TIẾT KIỆM HƯƠNG CHANH 1.4KG*8</v>
          </cell>
          <cell r="D3254" t="str">
            <v>POWER100 SAVING DWL LEMON@1.4KG*8BTL</v>
          </cell>
          <cell r="E3254">
            <v>11.2</v>
          </cell>
          <cell r="F3254" t="str">
            <v>Chọn</v>
          </cell>
          <cell r="G3254"/>
          <cell r="H3254" t="str">
            <v>7.707583N328170000</v>
          </cell>
        </row>
        <row r="3255">
          <cell r="A3255" t="str">
            <v>7.5239925990536</v>
          </cell>
          <cell r="B3255" t="str">
            <v>BLUE KEY NOODLE -MASAN 25KG</v>
          </cell>
          <cell r="C3255" t="str">
            <v>BỘT MÌ HIỆU CKX MÌ SỢI 25KG</v>
          </cell>
          <cell r="D3255" t="str">
            <v>BLUE KEY NOODLE -MASAN 25KG</v>
          </cell>
          <cell r="E3255">
            <v>1</v>
          </cell>
          <cell r="F3255" t="str">
            <v>Bỏ chọn</v>
          </cell>
          <cell r="G3255"/>
          <cell r="H3255"/>
        </row>
        <row r="3256">
          <cell r="A3256" t="str">
            <v>7.5239914990601</v>
          </cell>
          <cell r="B3256" t="str">
            <v>RED COMPASS 40KG - TOLLING</v>
          </cell>
          <cell r="C3256" t="str">
            <v>BỘT MÌ HIỆU LA BÀN ĐỎ 40KG</v>
          </cell>
          <cell r="D3256" t="str">
            <v>RED COMPASS 40KG - TOLLING</v>
          </cell>
          <cell r="E3256">
            <v>1</v>
          </cell>
          <cell r="F3256" t="str">
            <v>Bỏ chọn</v>
          </cell>
          <cell r="G3256"/>
          <cell r="H3256"/>
        </row>
        <row r="3257">
          <cell r="A3257" t="str">
            <v>7.5239914990501</v>
          </cell>
          <cell r="B3257" t="str">
            <v>RED COMPASS 25KG - TOLLING</v>
          </cell>
          <cell r="C3257" t="str">
            <v>BỘT MÌ HIỆU LA BÀN ĐỎ 25KG</v>
          </cell>
          <cell r="D3257" t="str">
            <v>RED COMPASS 25KG - TOLLING</v>
          </cell>
          <cell r="E3257">
            <v>1</v>
          </cell>
          <cell r="F3257" t="str">
            <v>Bỏ chọn</v>
          </cell>
          <cell r="G3257"/>
          <cell r="H3257"/>
        </row>
        <row r="3258">
          <cell r="A3258" t="str">
            <v>V51.041.012</v>
          </cell>
          <cell r="B3258" t="str">
            <v>NEPTUNE PREMIUM RICE 5KG</v>
          </cell>
          <cell r="C3258" t="str">
            <v>NEPTUNE GẠO THƠM THƯỢNG HẠNG 5 KG</v>
          </cell>
          <cell r="D3258" t="str">
            <v>NEPTUNE PREMIUM RICE 5KG</v>
          </cell>
          <cell r="E3258">
            <v>0</v>
          </cell>
          <cell r="F3258" t="str">
            <v>Bỏ chọn</v>
          </cell>
          <cell r="G3258"/>
          <cell r="H3258"/>
        </row>
        <row r="3259">
          <cell r="A3259" t="str">
            <v>7.131087121706H10</v>
          </cell>
          <cell r="B3259" t="str">
            <v>CO-NEPTUNE LIGHT 400ML X 24 BTL</v>
          </cell>
          <cell r="C3259" t="str">
            <v>DẦU ĂN THƯỢNG HẠNG NHÃN HIỆU NEPTUNE LIGHT 400ML</v>
          </cell>
          <cell r="D3259" t="str">
            <v>CO-NEPTUNE LIGHT 400ML X 24 BTL</v>
          </cell>
          <cell r="E3259">
            <v>8.7360000000000007</v>
          </cell>
          <cell r="F3259" t="str">
            <v>Chọn</v>
          </cell>
          <cell r="G3259"/>
          <cell r="H3259" t="str">
            <v>7.131087121700H10</v>
          </cell>
        </row>
        <row r="3260">
          <cell r="A3260" t="str">
            <v>7.52399229906H6</v>
          </cell>
          <cell r="B3260" t="str">
            <v>BLUE COMPASS - VIFON 40KG (NON FE&amp;ZN)</v>
          </cell>
          <cell r="C3260" t="str">
            <v>BỘT MÌ HIỆU LA BÀN XANH 40KG</v>
          </cell>
          <cell r="D3260" t="str">
            <v>BLUE COMPASS - VIFON 40KG (NON FE&amp;ZN)</v>
          </cell>
          <cell r="E3260">
            <v>1</v>
          </cell>
          <cell r="F3260" t="str">
            <v>Bỏ chọn</v>
          </cell>
          <cell r="G3260"/>
          <cell r="H3260"/>
        </row>
        <row r="3261">
          <cell r="A3261" t="str">
            <v>V51.000.117</v>
          </cell>
          <cell r="B3261" t="str">
            <v>UNPRINTED PAPER BAG</v>
          </cell>
          <cell r="C3261" t="str">
            <v>BAO GIẤY TRƠN RỖNG</v>
          </cell>
          <cell r="D3261" t="str">
            <v>UNPRINTED PAPER BAG</v>
          </cell>
          <cell r="E3261">
            <v>0</v>
          </cell>
          <cell r="F3261" t="str">
            <v>Bỏ chọn</v>
          </cell>
          <cell r="G3261"/>
          <cell r="H3261"/>
        </row>
        <row r="3262">
          <cell r="A3262" t="str">
            <v>V51.000.118</v>
          </cell>
          <cell r="B3262" t="str">
            <v>STICKER LABEL WILFARIN SN-7030</v>
          </cell>
          <cell r="C3262" t="str">
            <v>NHÃN DÁN WILFARIN SN-7030</v>
          </cell>
          <cell r="D3262" t="str">
            <v>STICKER LABEL WILFARIN SN-7030</v>
          </cell>
          <cell r="E3262">
            <v>0</v>
          </cell>
          <cell r="F3262" t="str">
            <v>Bỏ chọn</v>
          </cell>
          <cell r="G3262"/>
          <cell r="H3262"/>
        </row>
        <row r="3263">
          <cell r="A3263" t="str">
            <v>V51.000.119</v>
          </cell>
          <cell r="B3263" t="str">
            <v>HDPE PLASTIC BAG</v>
          </cell>
          <cell r="C3263" t="str">
            <v>TÚI NHỰA TỰ HỦY SINH HỌC (TÚI NHỰA HDPE)</v>
          </cell>
          <cell r="D3263" t="str">
            <v>HDPE PLASTIC BAG</v>
          </cell>
          <cell r="E3263">
            <v>1</v>
          </cell>
          <cell r="F3263" t="str">
            <v>Chọn</v>
          </cell>
          <cell r="G3263"/>
          <cell r="H3263"/>
        </row>
        <row r="3264">
          <cell r="A3264" t="str">
            <v>F07.514.018</v>
          </cell>
          <cell r="B3264" t="str">
            <v>MAURIPAN YEAST</v>
          </cell>
          <cell r="C3264" t="str">
            <v>PHỤ GIA THỰC PHẨM MEN KHÔ DÙNG LIỀN MAURIPAN - BIỂU TƯỢNG CĂNG-GU-RU MÀU ĐỎ</v>
          </cell>
          <cell r="D3264" t="str">
            <v>MAURIPAN YEAST</v>
          </cell>
          <cell r="E3264">
            <v>0</v>
          </cell>
          <cell r="F3264" t="str">
            <v>Bỏ chọn</v>
          </cell>
          <cell r="G3264"/>
          <cell r="H3264"/>
        </row>
        <row r="3265">
          <cell r="A3265" t="str">
            <v>7.52899389907H4</v>
          </cell>
          <cell r="B3265" t="str">
            <v>POLLARD 50KG - TOLLING</v>
          </cell>
          <cell r="C3265" t="str">
            <v>CÁM MÌ HIỆU POLLARD 50KG</v>
          </cell>
          <cell r="D3265" t="str">
            <v>POLLARD 50KG - TOLLING</v>
          </cell>
          <cell r="E3265">
            <v>1</v>
          </cell>
          <cell r="F3265" t="str">
            <v>Bỏ chọn</v>
          </cell>
          <cell r="G3265"/>
          <cell r="H3265"/>
        </row>
        <row r="3266">
          <cell r="A3266" t="str">
            <v>7.B24072399020116</v>
          </cell>
          <cell r="B3266" t="str">
            <v>TOMATO SAUCE 1KG  X 10 PACK / CARTON</v>
          </cell>
          <cell r="C3266" t="str">
            <v>TƯƠNG CÀ 1KG  X 10 GÓI / THÙNG</v>
          </cell>
          <cell r="D3266" t="str">
            <v>TOMATO SAUCE 1KG  X 10 PACK / CARTON</v>
          </cell>
          <cell r="E3266">
            <v>10</v>
          </cell>
          <cell r="F3266" t="str">
            <v>Bỏ chọn</v>
          </cell>
          <cell r="G3266" t="str">
            <v>2000000008</v>
          </cell>
          <cell r="H3266" t="str">
            <v>7.B2407239902011601</v>
          </cell>
        </row>
        <row r="3267">
          <cell r="A3267" t="str">
            <v>7.B2407239902011601</v>
          </cell>
          <cell r="B3267" t="str">
            <v>TOMATO SAUCE 1KG</v>
          </cell>
          <cell r="C3267" t="str">
            <v>TƯƠNG CÀ 1KG</v>
          </cell>
          <cell r="D3267" t="str">
            <v>TOMATO SAUCE 1KG</v>
          </cell>
          <cell r="E3267">
            <v>1</v>
          </cell>
          <cell r="F3267" t="str">
            <v>Bỏ chọn</v>
          </cell>
          <cell r="G3267" t="str">
            <v>2000000008</v>
          </cell>
          <cell r="H3267"/>
        </row>
        <row r="3268">
          <cell r="A3268" t="str">
            <v>7.52399089901H701</v>
          </cell>
          <cell r="B3268" t="str">
            <v>MEIZAN 0.5 KG (PAC)</v>
          </cell>
          <cell r="C3268" t="str">
            <v>BỘT MÌ ĐA DỤNG CAO CẤP HIỆU MEIZAN 0.5KG (GÓI)</v>
          </cell>
          <cell r="D3268" t="str">
            <v>MEIZAN 0.5 KG (PAC)</v>
          </cell>
          <cell r="E3268">
            <v>0.5</v>
          </cell>
          <cell r="F3268" t="str">
            <v>Bỏ chọn</v>
          </cell>
          <cell r="G3268"/>
          <cell r="H3268"/>
        </row>
        <row r="3269">
          <cell r="A3269" t="str">
            <v>7.52399089902H7</v>
          </cell>
          <cell r="B3269" t="str">
            <v>MEIZAN 1 KG</v>
          </cell>
          <cell r="C3269" t="str">
            <v>BỘT MÌ ĐA DỤNG CAO CẤP HIỆU MEIZAN (1KG*10 GÓI/THÙNG)</v>
          </cell>
          <cell r="D3269" t="str">
            <v>MEIZAN 1 KG</v>
          </cell>
          <cell r="E3269">
            <v>10</v>
          </cell>
          <cell r="F3269" t="str">
            <v>Bỏ chọn</v>
          </cell>
          <cell r="G3269"/>
          <cell r="H3269"/>
        </row>
        <row r="3270">
          <cell r="A3270" t="str">
            <v>7.52399089902H701</v>
          </cell>
          <cell r="B3270" t="str">
            <v>MEIZAN 1 KG (PAC)</v>
          </cell>
          <cell r="C3270" t="str">
            <v>BỘT MÌ ĐA DỤNG CAO CẤP HIỆU MEIZAN 1KG (GÓI)</v>
          </cell>
          <cell r="D3270" t="str">
            <v>MEIZAN 1 KG (PAC)</v>
          </cell>
          <cell r="E3270">
            <v>1</v>
          </cell>
          <cell r="F3270" t="str">
            <v>Bỏ chọn</v>
          </cell>
          <cell r="G3270"/>
          <cell r="H3270"/>
        </row>
        <row r="3271">
          <cell r="A3271" t="str">
            <v>7.52399089903H7</v>
          </cell>
          <cell r="B3271" t="str">
            <v>MEIZAN 5 KG</v>
          </cell>
          <cell r="C3271" t="str">
            <v>BỘT MÌ ĐA DỤNG CAO CẤP HIỆU MEIZAN (5KG*6 GÓI/BAO)</v>
          </cell>
          <cell r="D3271" t="str">
            <v>MEIZAN 5 KG</v>
          </cell>
          <cell r="E3271">
            <v>30</v>
          </cell>
          <cell r="F3271" t="str">
            <v>Bỏ chọn</v>
          </cell>
          <cell r="G3271"/>
          <cell r="H3271"/>
        </row>
        <row r="3272">
          <cell r="A3272" t="str">
            <v>7.52399089903H701</v>
          </cell>
          <cell r="B3272" t="str">
            <v>MEIZAN 5 KG (PAC)</v>
          </cell>
          <cell r="C3272" t="str">
            <v>BỘT MÌ ĐA DỤNG CAO CẤP HIỆU MEIZAN 5KG (GÓI)</v>
          </cell>
          <cell r="D3272" t="str">
            <v>MEIZAN 5 KG (PAC)</v>
          </cell>
          <cell r="E3272">
            <v>5</v>
          </cell>
          <cell r="F3272" t="str">
            <v>Bỏ chọn</v>
          </cell>
          <cell r="G3272"/>
          <cell r="H3272"/>
        </row>
        <row r="3273">
          <cell r="A3273" t="str">
            <v>7.52399089901H7</v>
          </cell>
          <cell r="B3273" t="str">
            <v>MEIZAN 0.5 KG</v>
          </cell>
          <cell r="C3273" t="str">
            <v>BỘT MÌ ĐA DỤNG CAO CẤP HIỆU MEIZAN (0.5KG*20 GÓI/THÙNG)</v>
          </cell>
          <cell r="D3273" t="str">
            <v>MEIZAN 0.5 KG</v>
          </cell>
          <cell r="E3273">
            <v>10</v>
          </cell>
          <cell r="F3273" t="str">
            <v>Bỏ chọn</v>
          </cell>
          <cell r="G3273"/>
          <cell r="H3273"/>
        </row>
        <row r="3274">
          <cell r="A3274" t="str">
            <v>7.1060122134908010</v>
          </cell>
          <cell r="B3274" t="str">
            <v>MEIZAN VEGETABLE SHORTENING PEBAG@14.5KG</v>
          </cell>
          <cell r="C3274" t="str">
            <v>SHORTENING THỰC VẬT - MEIZAN TRONG THÙNG CARTON 14,5KG</v>
          </cell>
          <cell r="D3274" t="str">
            <v>MEIZAN VEGETABLE SHORTENING PEBAG@14.5KG</v>
          </cell>
          <cell r="E3274">
            <v>14.5</v>
          </cell>
          <cell r="F3274" t="str">
            <v>Chọn</v>
          </cell>
          <cell r="G3274"/>
          <cell r="H3274"/>
        </row>
        <row r="3275">
          <cell r="A3275" t="str">
            <v>V51.000.120</v>
          </cell>
          <cell r="B3275" t="str">
            <v>WMCLV POLY MASK</v>
          </cell>
          <cell r="C3275" t="str">
            <v>KHẨU TRANG VẢI WMCLV</v>
          </cell>
          <cell r="D3275" t="str">
            <v>WMCLV POLY MASK</v>
          </cell>
          <cell r="E3275">
            <v>0</v>
          </cell>
          <cell r="F3275" t="str">
            <v>Chọn</v>
          </cell>
          <cell r="G3275"/>
          <cell r="H3275"/>
        </row>
        <row r="3276">
          <cell r="A3276" t="str">
            <v>V51.000.121</v>
          </cell>
          <cell r="B3276" t="str">
            <v>WILMAR GOLD 99.99% LOGO (2+/-0.1) ONE TENTH OF A TAEL OF GOLD/ PC</v>
          </cell>
          <cell r="C3276" t="str">
            <v>LOGO WILMAR VÀNG 99,99% (2+/-0,1) CHỈ/ CÁI</v>
          </cell>
          <cell r="D3276" t="str">
            <v>WILMAR GOLD 99.99% LOGO (2+/-0.1) ONE TENTH OF A TAEL OF GOLD/ PC</v>
          </cell>
          <cell r="E3276">
            <v>0</v>
          </cell>
          <cell r="F3276" t="str">
            <v>Bỏ chọn</v>
          </cell>
          <cell r="G3276"/>
          <cell r="H3276"/>
        </row>
        <row r="3277">
          <cell r="A3277" t="str">
            <v>7.52399089901AA</v>
          </cell>
          <cell r="B3277" t="str">
            <v>MEIZAN-0.5</v>
          </cell>
          <cell r="C3277" t="str">
            <v>BỘT MÌ NHÃN HIỆU "MEIZAN" (0.5KG*20 GÓI/THÙNG)</v>
          </cell>
          <cell r="D3277" t="str">
            <v>MEIZAN-0.5</v>
          </cell>
          <cell r="E3277">
            <v>10</v>
          </cell>
          <cell r="F3277" t="str">
            <v>Bỏ chọn</v>
          </cell>
          <cell r="G3277"/>
          <cell r="H3277"/>
        </row>
        <row r="3278">
          <cell r="A3278" t="str">
            <v>7.52399089901AA01</v>
          </cell>
          <cell r="B3278" t="str">
            <v>MEIZAN-0.5 (PAC)</v>
          </cell>
          <cell r="C3278" t="str">
            <v>BỘT MÌ NHÃN HIỆU "MEIZAN" 0.5KG (GÓI)</v>
          </cell>
          <cell r="D3278" t="str">
            <v>MEIZAN-0.5 (PAC)</v>
          </cell>
          <cell r="E3278">
            <v>0.5</v>
          </cell>
          <cell r="F3278" t="str">
            <v>Bỏ chọn</v>
          </cell>
          <cell r="G3278"/>
          <cell r="H3278"/>
        </row>
        <row r="3279">
          <cell r="A3279" t="str">
            <v>7.52399089902AA</v>
          </cell>
          <cell r="B3279" t="str">
            <v>MEIZAN-1</v>
          </cell>
          <cell r="C3279" t="str">
            <v>BỘT MÌ NHÃN HIỆU "MEIZAN" (1KG*10 GÓI/THÙNG)</v>
          </cell>
          <cell r="D3279" t="str">
            <v>MEIZAN-1</v>
          </cell>
          <cell r="E3279">
            <v>10</v>
          </cell>
          <cell r="F3279" t="str">
            <v>Bỏ chọn</v>
          </cell>
          <cell r="G3279"/>
          <cell r="H3279"/>
        </row>
        <row r="3280">
          <cell r="A3280" t="str">
            <v>7.52399089902AA01</v>
          </cell>
          <cell r="B3280" t="str">
            <v>MEIZAN-1 (PAC)</v>
          </cell>
          <cell r="C3280" t="str">
            <v>BỘT MÌ NHÃN HIỆU "MEIZAN" 1KG (GÓI)</v>
          </cell>
          <cell r="D3280" t="str">
            <v>MEIZAN-1 (PAC)</v>
          </cell>
          <cell r="E3280">
            <v>1</v>
          </cell>
          <cell r="F3280" t="str">
            <v>Bỏ chọn</v>
          </cell>
          <cell r="G3280"/>
          <cell r="H3280"/>
        </row>
        <row r="3281">
          <cell r="A3281" t="str">
            <v>6.F3902B299000156</v>
          </cell>
          <cell r="B3281" t="str">
            <v>RED STANDARD GRADE MURIATE OF POTASH (MOP) POWDER; IN BULK</v>
          </cell>
          <cell r="C3281" t="str">
            <v>PHÂN BÓN KALI CLORUA AGRIFERT (KCL) DẠNG BỘT; HÀNG XÁ; XUẤT XỨ CANADA</v>
          </cell>
          <cell r="D3281" t="str">
            <v>RED STANDARD GRADE MURIATE OF POTASH (MOP) POWDER; IN BULK</v>
          </cell>
          <cell r="E3281">
            <v>1</v>
          </cell>
          <cell r="F3281" t="str">
            <v>Chọn</v>
          </cell>
          <cell r="G3281"/>
          <cell r="H3281"/>
        </row>
        <row r="3282">
          <cell r="A3282" t="str">
            <v>7.F3902B299070156</v>
          </cell>
          <cell r="B3282" t="str">
            <v>RED STANDARD GRADE MURIATE OF POTASH (MOP) POWDER, IN 50KG PP/PE BAG</v>
          </cell>
          <cell r="C3282" t="str">
            <v>PHÂN BÓN KALI CLORUA AGRIFERT (KCL) DẠNG BỘT ĐÓNG TRONG BAO PP/PE 50KG; XUẤT XỨ CANADA</v>
          </cell>
          <cell r="D3282" t="str">
            <v>RED STANDARD GRADE MURIATE OF POTASH (MOP) POWDER, IN 50KG PP/PE BAG</v>
          </cell>
          <cell r="E3282">
            <v>1</v>
          </cell>
          <cell r="F3282" t="str">
            <v>Chọn</v>
          </cell>
          <cell r="G3282"/>
          <cell r="H3282"/>
        </row>
        <row r="3283">
          <cell r="A3283" t="str">
            <v>6.F3902B299000157</v>
          </cell>
          <cell r="B3283" t="str">
            <v>RED GRANULAR GRADE MURIATE OF POTASH (MOP) GRANNULAR; IN BULK</v>
          </cell>
          <cell r="C3283" t="str">
            <v>PHÂN BÓN KALI CLORUA AGRIFERT (KCL) DẠNG HẠT; HÀNG XÁ; XUẤT XỨ CANADA</v>
          </cell>
          <cell r="D3283" t="str">
            <v>RED GRANULAR GRADE MURIATE OF POTASH (MOP) GRANNULAR; IN BULK</v>
          </cell>
          <cell r="E3283">
            <v>1</v>
          </cell>
          <cell r="F3283" t="str">
            <v>Chọn</v>
          </cell>
          <cell r="G3283"/>
          <cell r="H3283"/>
        </row>
        <row r="3284">
          <cell r="A3284" t="str">
            <v>7.52399083802A658</v>
          </cell>
          <cell r="B3284" t="str">
            <v>MEIZAN BREAD+MAURIPAN YEAST (1KG* 10 GÓI/THÙNG)</v>
          </cell>
          <cell r="C3284" t="str">
            <v>BỘT MÌ CHUYÊN DỤNG CHO BÁNH MÌ HIỆU MEIZAN (1KG*10 GÓI/THÙNG) - ĐÓNG KÈM 10 GÓI PHỤ GIA THỰC PHẨM MEN KHÔ DÙNG LIỀN MAURIPAN - BIỂU TƯỢNG CĂNG-GU-RU MÀU ĐỎ/THÙNG</v>
          </cell>
          <cell r="D3284" t="str">
            <v>MEIZAN BREAD+MAURIPAN YEAST (1KG* 10 GÓI/THÙNG)</v>
          </cell>
          <cell r="E3284">
            <v>10</v>
          </cell>
          <cell r="F3284" t="str">
            <v>Bỏ chọn</v>
          </cell>
          <cell r="G3284"/>
          <cell r="H3284"/>
        </row>
        <row r="3285">
          <cell r="A3285" t="str">
            <v>6.523991099H559</v>
          </cell>
          <cell r="B3285" t="str">
            <v>F1-UKR 11.5</v>
          </cell>
          <cell r="C3285" t="str">
            <v>BỘT MÌ DẠNG XÁ UKR</v>
          </cell>
          <cell r="D3285" t="str">
            <v>F1-UKR 11.5</v>
          </cell>
          <cell r="E3285">
            <v>1</v>
          </cell>
          <cell r="F3285" t="str">
            <v>Bỏ chọn</v>
          </cell>
          <cell r="G3285"/>
          <cell r="H3285"/>
        </row>
        <row r="3286">
          <cell r="A3286" t="str">
            <v>6.523991099H560</v>
          </cell>
          <cell r="B3286" t="str">
            <v>F1-BFW</v>
          </cell>
          <cell r="C3286" t="str">
            <v>BỘT MÌ DẠNG XÁ BFW</v>
          </cell>
          <cell r="D3286" t="str">
            <v>F1-BFW</v>
          </cell>
          <cell r="E3286">
            <v>1</v>
          </cell>
          <cell r="F3286" t="str">
            <v>Bỏ chọn</v>
          </cell>
          <cell r="G3286"/>
          <cell r="H3286"/>
        </row>
        <row r="3287">
          <cell r="A3287" t="str">
            <v>6.523991099H561</v>
          </cell>
          <cell r="B3287" t="str">
            <v>F1-ROM</v>
          </cell>
          <cell r="C3287" t="str">
            <v>BỘT MÌ DẠNG XÁ ROM</v>
          </cell>
          <cell r="D3287" t="str">
            <v>F1-ROM</v>
          </cell>
          <cell r="E3287">
            <v>1</v>
          </cell>
          <cell r="F3287" t="str">
            <v>Bỏ chọn</v>
          </cell>
          <cell r="G3287"/>
          <cell r="H3287"/>
        </row>
        <row r="3288">
          <cell r="A3288" t="str">
            <v>F07514018</v>
          </cell>
          <cell r="B3288" t="str">
            <v>MAURIPAN YEAST</v>
          </cell>
          <cell r="C3288" t="str">
            <v>PHỤ GIA THỰC PHẨM MEN KHÔ DÙNG LIỀN MAURIPAN - BIỂU TƯỢNG CĂNG-GU-RU MÀU ĐỎ</v>
          </cell>
          <cell r="D3288" t="str">
            <v>MAURIPAN YEAST</v>
          </cell>
          <cell r="E3288">
            <v>0</v>
          </cell>
          <cell r="F3288" t="str">
            <v>Bỏ chọn</v>
          </cell>
          <cell r="G3288"/>
          <cell r="H3288"/>
        </row>
        <row r="3289">
          <cell r="A3289" t="str">
            <v>7.5239925990572</v>
          </cell>
          <cell r="B3289" t="str">
            <v>BLUE KEY NOODLE - TL 25KG</v>
          </cell>
          <cell r="C3289" t="str">
            <v>WHEAT FLOUR: BLUE KEY NOODLE - TL 25KG</v>
          </cell>
          <cell r="D3289" t="str">
            <v>BLUE KEY NOODLE - TL 25KG</v>
          </cell>
          <cell r="E3289">
            <v>1</v>
          </cell>
          <cell r="F3289" t="str">
            <v>Bỏ chọn</v>
          </cell>
          <cell r="G3289"/>
          <cell r="H3289"/>
        </row>
        <row r="3290">
          <cell r="A3290" t="str">
            <v>7.5239937160672</v>
          </cell>
          <cell r="B3290" t="str">
            <v>RED KING SHRIMP - TL 40KG</v>
          </cell>
          <cell r="C3290" t="str">
            <v>WHEAT FLOUR (FOR ANIMAL FEED): RED KING SHRIMP 40KG</v>
          </cell>
          <cell r="D3290" t="str">
            <v>RED KING SHRIMP - TL 40KG</v>
          </cell>
          <cell r="E3290">
            <v>1</v>
          </cell>
          <cell r="F3290" t="str">
            <v>Bỏ chọn</v>
          </cell>
          <cell r="G3290"/>
          <cell r="H3290"/>
        </row>
        <row r="3291">
          <cell r="A3291" t="str">
            <v>7.5239926990572</v>
          </cell>
          <cell r="B3291" t="str">
            <v>BLUE KEY PAU - CPC 25KG</v>
          </cell>
          <cell r="C3291" t="str">
            <v>WHEAT FLOUR: BLUE KEY PAU 25KG</v>
          </cell>
          <cell r="D3291" t="str">
            <v>BLUE KEY PAU - CPC 25KG</v>
          </cell>
          <cell r="E3291">
            <v>1</v>
          </cell>
          <cell r="F3291" t="str">
            <v>Bỏ chọn</v>
          </cell>
          <cell r="G3291"/>
          <cell r="H3291"/>
        </row>
        <row r="3292">
          <cell r="A3292" t="str">
            <v>7.5239993990272</v>
          </cell>
          <cell r="B3292" t="str">
            <v>ELLIE UNBLEACHED ALL PURPOSE FLOUR 10KG</v>
          </cell>
          <cell r="C3292" t="str">
            <v>WHEAT FLOUR: ELLIE UNBLEACHED ALL PURPOSE FLOUR (1KG*10 GÓI/THÙNG)</v>
          </cell>
          <cell r="D3292" t="str">
            <v>ELLIE UNBLEACHED ALL PURPOSE FLOUR 10KG</v>
          </cell>
          <cell r="E3292">
            <v>10</v>
          </cell>
          <cell r="F3292" t="str">
            <v>Bỏ chọn</v>
          </cell>
          <cell r="G3292"/>
          <cell r="H3292"/>
        </row>
        <row r="3293">
          <cell r="A3293" t="str">
            <v>7.52399149906AA</v>
          </cell>
          <cell r="B3293" t="str">
            <v>RED COMPASS - MCC 40KG</v>
          </cell>
          <cell r="C3293" t="str">
            <v>BỘT MÌ HIỆU LA BÀN ĐỎ 40KG</v>
          </cell>
          <cell r="D3293" t="str">
            <v>RED COMPASS - MCC 40KG</v>
          </cell>
          <cell r="E3293">
            <v>1</v>
          </cell>
          <cell r="F3293" t="str">
            <v>Bỏ chọn</v>
          </cell>
          <cell r="G3293"/>
          <cell r="H3293"/>
        </row>
        <row r="3294">
          <cell r="A3294" t="str">
            <v>7.52399083802A65801</v>
          </cell>
          <cell r="B3294" t="str">
            <v>MEIZAN BREAD+MAURIPAN YEAST 1KG (PAC)</v>
          </cell>
          <cell r="C3294" t="str">
            <v>BỘT MÌ CHUYÊN DỤNG CHO BÁNH MÌ HIỆU MEIZAN-ĐÓNG KÈM GÓI PHỤ GIA THỰC PHẨM MEN KHÔ DÙNG LIỀN MAURIPAN - BIỂU TƯỢNG CĂNG-GU-RU MÀU ĐỎ 1KG (GÓI)</v>
          </cell>
          <cell r="D3294" t="str">
            <v>MEIZAN BREAD+MAURIPAN YEAST 1KG (PAC)</v>
          </cell>
          <cell r="E3294">
            <v>1</v>
          </cell>
          <cell r="F3294" t="str">
            <v>Bỏ chọn</v>
          </cell>
          <cell r="G3294"/>
          <cell r="H3294"/>
        </row>
        <row r="3295">
          <cell r="A3295" t="str">
            <v>6.5239907990199</v>
          </cell>
          <cell r="B3295" t="str">
            <v>GREEN KEY- BULK</v>
          </cell>
          <cell r="C3295" t="str">
            <v>BỘT MÌ HIỆU CHÌA KHÓA XANH LÁ</v>
          </cell>
          <cell r="D3295" t="str">
            <v>GREEN KEY- BULK</v>
          </cell>
          <cell r="E3295">
            <v>1</v>
          </cell>
          <cell r="F3295" t="str">
            <v>Bỏ chọn</v>
          </cell>
          <cell r="G3295"/>
          <cell r="H3295"/>
        </row>
        <row r="3296">
          <cell r="A3296" t="str">
            <v>7.70593</v>
          </cell>
          <cell r="B3296" t="str">
            <v>FATTY ALCOHOL 1214 IN PLASTIC BOTTLE 1KG</v>
          </cell>
          <cell r="C3296" t="str">
            <v>CHẤT HOẠT ĐỘNG BỀ MẶT FATTY ALCOHOL 1214 ĐÓNG TRONG CHAI NHỰA 1KG</v>
          </cell>
          <cell r="D3296" t="str">
            <v>FATTY ALCOHOL 1214 IN PLASTIC BOTTLE 1KG</v>
          </cell>
          <cell r="E3296">
            <v>1</v>
          </cell>
          <cell r="F3296" t="str">
            <v>Chọn</v>
          </cell>
          <cell r="G3296"/>
          <cell r="H3296"/>
        </row>
        <row r="3297">
          <cell r="A3297" t="str">
            <v>7.70594</v>
          </cell>
          <cell r="B3297" t="str">
            <v>ERCAWAX CS30 V/FD IN PLASTIC BOTTLE 0.5KG</v>
          </cell>
          <cell r="C3297" t="str">
            <v>CHẤT HỮU CƠ HOẠT ĐỘNG BỀ MẶT DẠNG KHÔNG PHÂN LY ERCAWAX CS30 V/FD ĐÓNG TRONG CHAI NHỰA 0.5KG</v>
          </cell>
          <cell r="D3297" t="str">
            <v>ERCAWAX CS30 V/FD IN PLASTIC BOTTLE 0.5KG</v>
          </cell>
          <cell r="E3297">
            <v>1</v>
          </cell>
          <cell r="F3297" t="str">
            <v>Chọn</v>
          </cell>
          <cell r="G3297"/>
          <cell r="H3297"/>
        </row>
        <row r="3298">
          <cell r="A3298" t="str">
            <v>7.5239922990572</v>
          </cell>
          <cell r="B3298" t="str">
            <v>BLUE COMPASS - CPC 25kg</v>
          </cell>
          <cell r="C3298" t="str">
            <v>BỘT MÌ HIỆU LA BÀN XANH 25KG</v>
          </cell>
          <cell r="D3298" t="str">
            <v>BLUE COMPASS - CPC 25kg</v>
          </cell>
          <cell r="E3298">
            <v>1</v>
          </cell>
          <cell r="F3298" t="str">
            <v>Bỏ chọn</v>
          </cell>
          <cell r="G3298"/>
          <cell r="H3298"/>
        </row>
        <row r="3299">
          <cell r="A3299" t="str">
            <v>7.B2508549995010501TD</v>
          </cell>
          <cell r="B3299" t="str">
            <v>PORK BOUILLON GRANULE 850G</v>
          </cell>
          <cell r="C3299" t="str">
            <v>HẠT NÊM 4 TRONG 1 VỊ HEO 850G</v>
          </cell>
          <cell r="D3299" t="str">
            <v>PORK BOUILLON GRANULE 850G</v>
          </cell>
          <cell r="E3299">
            <v>0.85</v>
          </cell>
          <cell r="F3299" t="str">
            <v>Bỏ chọn</v>
          </cell>
          <cell r="G3299"/>
          <cell r="H3299"/>
        </row>
        <row r="3300">
          <cell r="A3300" t="str">
            <v>7.460050B91700030TD</v>
          </cell>
          <cell r="B3300" t="str">
            <v>SIMPLY RBDRBO IN BOTTLE @2L</v>
          </cell>
          <cell r="C3300" t="str">
            <v>DẦU GẠO LỨT NHÃN HIỆU SIMPLY 2L</v>
          </cell>
          <cell r="D3300" t="str">
            <v>SIMPLY RBDRBO IN BOTTLE @2L</v>
          </cell>
          <cell r="E3300">
            <v>1.82</v>
          </cell>
          <cell r="F3300" t="str">
            <v>Chọn</v>
          </cell>
          <cell r="G3300"/>
          <cell r="H3300"/>
        </row>
        <row r="3301">
          <cell r="A3301" t="str">
            <v>7.6269854990301</v>
          </cell>
          <cell r="B3301" t="str">
            <v>NEPTUNE ST25 SPECIALTY RICE IN PLASTIC BAG 5KG</v>
          </cell>
          <cell r="C3301" t="str">
            <v>NEPTUNE GẠO THƠM ĐẶC SẢN ST25 ĐÓNG TRONG TÚI NHỰA 5KG</v>
          </cell>
          <cell r="D3301" t="str">
            <v>NEPTUNE ST25 SPECIALTY RICE IN PLASTIC BAG 5KG</v>
          </cell>
          <cell r="E3301">
            <v>5</v>
          </cell>
          <cell r="F3301" t="str">
            <v>Chọn</v>
          </cell>
          <cell r="G3301"/>
          <cell r="H3301"/>
        </row>
        <row r="3302">
          <cell r="A3302" t="str">
            <v>6.F39021099000156</v>
          </cell>
          <cell r="B3302" t="str">
            <v>RED STANDARD GRADE MURIATE OF POTASH (MOP)/ KALI (KCL)/ WMCLV MURIATE OF POTASH 61; IN BULK</v>
          </cell>
          <cell r="C3302" t="str">
            <v>WMCLV MURIATE OF POTASH 61 (PHÂN BÓN KALI CLORUA) DẠNG BỘT, HÀNG XÁ; XUẤT XỨ CANADA</v>
          </cell>
          <cell r="D3302" t="str">
            <v>RED STANDARD GRADE MURIATE OF POTASH (MOP)/ KALI (KCL)/ WMCLV MURIATE OF POTASH 61; IN BULK</v>
          </cell>
          <cell r="E3302">
            <v>1</v>
          </cell>
          <cell r="F3302" t="str">
            <v>Chọn</v>
          </cell>
          <cell r="G3302"/>
          <cell r="H3302"/>
        </row>
        <row r="3303">
          <cell r="A3303" t="str">
            <v>6.F39021099000157</v>
          </cell>
          <cell r="B3303" t="str">
            <v>RED GRANULAR GRADE MURIATE OF POTASH (MOP)/ KALI (KCL)/ WMCLV MURIATE OF POTASH 61; IN BULK</v>
          </cell>
          <cell r="C3303" t="str">
            <v>WMCLV MURIATE OF POTASH 61 (PHÂN BÓN KALI CLORUA) DẠNG HẠT, HÀNG XÁ; XUẤT XỨ CANADA</v>
          </cell>
          <cell r="D3303" t="str">
            <v>RED GRANULAR GRADE MURIATE OF POTASH (MOP)/ KALI (KCL)/ WMCLV MURIATE OF POTASH 61; IN BULK</v>
          </cell>
          <cell r="E3303">
            <v>1</v>
          </cell>
          <cell r="F3303" t="str">
            <v>Chọn</v>
          </cell>
          <cell r="G3303"/>
          <cell r="H3303"/>
        </row>
        <row r="3304">
          <cell r="A3304" t="str">
            <v>7.F39021099070156</v>
          </cell>
          <cell r="B3304" t="str">
            <v>RED STANDARD GRADE MURIATE OF POTASH (MOP)/ KALI (KCL)/ WMCLV MURIATE OF POTASH 61; IN 50KG PP/PE BAG</v>
          </cell>
          <cell r="C3304" t="str">
            <v>WMCLV MURIATE OF POTASH 61 (PHÂN BÓN KALI CLORUA) DẠNG BỘT, ĐÓNG TRONG BAO PP/PE 50KG; XUẤT XỨ CANADA</v>
          </cell>
          <cell r="D3304" t="str">
            <v>RED STANDARD GRADE MURIATE OF POTASH (MOP)/ KALI (KCL)/ WMCLV MURIATE OF POTASH 61; IN 50KG PP/PE BAG</v>
          </cell>
          <cell r="E3304">
            <v>1</v>
          </cell>
          <cell r="F3304" t="str">
            <v>Chọn</v>
          </cell>
          <cell r="G3304"/>
          <cell r="H3304"/>
        </row>
        <row r="3305">
          <cell r="A3305" t="str">
            <v>7.F39021099070157</v>
          </cell>
          <cell r="B3305" t="str">
            <v>RED GRANULAR GRADE MURIATE OF POTASH (MOP)/ KALI (KCL)/ WMCLV MURIATE OF POTASH 61; IN 50 KG PP/PE BAG</v>
          </cell>
          <cell r="C3305" t="str">
            <v>WMCLV MURIATE OF POTASH 61 (PHÂN BÓN KALI CLORUA) DẠNG HẠT, ĐÓNG TRONG BAO PP/PE 50KG; XUẤT XỨ CANADA</v>
          </cell>
          <cell r="D3305" t="str">
            <v>RED GRANULAR GRADE MURIATE OF POTASH (MOP)/ KALI (KCL)/ WMCLV MURIATE OF POTASH 61; IN 50 KG PP/PE BAG</v>
          </cell>
          <cell r="E3305">
            <v>1</v>
          </cell>
          <cell r="F3305" t="str">
            <v>Chọn</v>
          </cell>
          <cell r="G3305"/>
          <cell r="H3305"/>
        </row>
        <row r="3306">
          <cell r="A3306" t="str">
            <v>7.52399109981A0</v>
          </cell>
          <cell r="B3306" t="str">
            <v>SAMPLE 2.5kg</v>
          </cell>
          <cell r="C3306" t="str">
            <v>HÀNG MẪU 2,5KG</v>
          </cell>
          <cell r="D3306" t="str">
            <v>SAMPLE 2.5kg</v>
          </cell>
          <cell r="E3306">
            <v>1</v>
          </cell>
          <cell r="F3306" t="str">
            <v>Bỏ chọn</v>
          </cell>
          <cell r="G3306"/>
          <cell r="H3306"/>
        </row>
        <row r="3307">
          <cell r="A3307" t="str">
            <v>7.52399109904A0</v>
          </cell>
          <cell r="B3307" t="str">
            <v>SAMPLE 10kg</v>
          </cell>
          <cell r="C3307" t="str">
            <v>HÀNG MẪU 10KG</v>
          </cell>
          <cell r="D3307" t="str">
            <v>SAMPLE 10kg</v>
          </cell>
          <cell r="E3307">
            <v>1</v>
          </cell>
          <cell r="F3307" t="str">
            <v>Bỏ chọn</v>
          </cell>
          <cell r="G3307"/>
          <cell r="H3307"/>
        </row>
        <row r="3308">
          <cell r="A3308" t="str">
            <v>7.52399229906F8</v>
          </cell>
          <cell r="B3308" t="str">
            <v>BLUE COMPASS - VIFON 40KG (NON FE&amp;ZN)</v>
          </cell>
          <cell r="C3308" t="str">
            <v>BỘT MÌ HIỆU LA BÀN XANH 40KG</v>
          </cell>
          <cell r="D3308" t="str">
            <v>BLUE COMPASS - VIFON 40KG (NON FE&amp;ZN)</v>
          </cell>
          <cell r="E3308">
            <v>1</v>
          </cell>
          <cell r="F3308" t="str">
            <v>Bỏ chọn</v>
          </cell>
          <cell r="G3308"/>
          <cell r="H3308"/>
        </row>
        <row r="3309">
          <cell r="A3309" t="str">
            <v>7.52399079906F9</v>
          </cell>
          <cell r="B3309" t="str">
            <v>GREEN KEY - MASAN 40kg (NON FE&amp;ZN)</v>
          </cell>
          <cell r="C3309" t="str">
            <v>BỘT MÌ HIỆU CHÌA KHÓA XANH LÁ 40KG</v>
          </cell>
          <cell r="D3309" t="str">
            <v>GREEN KEY - MASAN 40kg (NON FE&amp;ZN)</v>
          </cell>
          <cell r="E3309">
            <v>1</v>
          </cell>
          <cell r="F3309" t="str">
            <v>Bỏ chọn</v>
          </cell>
          <cell r="G3309"/>
          <cell r="H3309"/>
        </row>
        <row r="3310">
          <cell r="A3310" t="str">
            <v>7.70595</v>
          </cell>
          <cell r="B3310" t="str">
            <v>MIZULAN FL-80 BRAND MES (METHYL ESTER SULFONATE) IN PLASTIC BOTTLE 3KG</v>
          </cell>
          <cell r="C3310" t="str">
            <v>CHẤT HOẠT ĐỘNG BỀ MẶT DẠNG ANION MES (METHYL ESTER SULFONATE) NHÃN HIỆU MIZULAN FL-80 ĐÓNG TRONG CHAI NHỰA 3KG</v>
          </cell>
          <cell r="D3310" t="str">
            <v>MIZULAN FL-80 BRAND MES (METHYL ESTER SULFONATE) IN PLASTIC BOTTLE 3KG</v>
          </cell>
          <cell r="E3310">
            <v>1</v>
          </cell>
          <cell r="F3310" t="str">
            <v>Chọn</v>
          </cell>
          <cell r="G3310"/>
          <cell r="H3310"/>
        </row>
        <row r="3311">
          <cell r="A3311" t="str">
            <v>V51.000.122</v>
          </cell>
          <cell r="B3311" t="str">
            <v>PP BAG PRINTED KALI MIENG SIZE 50 KG</v>
          </cell>
          <cell r="C3311" t="str">
            <v>BAO PP IN KALI MIỂNG LOẠI ĐỰNG 50 KG</v>
          </cell>
          <cell r="D3311" t="str">
            <v>PP BAG PRINTED KALI MIENG SIZE 50 KG</v>
          </cell>
          <cell r="E3311">
            <v>0</v>
          </cell>
          <cell r="F3311" t="str">
            <v>Bỏ chọn</v>
          </cell>
          <cell r="G3311"/>
          <cell r="H3311"/>
        </row>
        <row r="3312">
          <cell r="A3312" t="str">
            <v>7.B2409239918E399</v>
          </cell>
          <cell r="B3312" t="str">
            <v>TPC SALAD DRESSING 250G X 24 BOT / CAR</v>
          </cell>
          <cell r="C3312" t="str">
            <v>SỐT DẦU DẤM TRỘN SALAD TPC 250G X 24 CHAI/THÙNG</v>
          </cell>
          <cell r="D3312" t="str">
            <v>TPC SALAD DRESSING 250G X 24 BOT / CAR</v>
          </cell>
          <cell r="E3312">
            <v>6</v>
          </cell>
          <cell r="F3312" t="str">
            <v>Bỏ chọn</v>
          </cell>
          <cell r="G3312" t="str">
            <v>2000000008</v>
          </cell>
          <cell r="H3312" t="str">
            <v>7.B2409239918E39901</v>
          </cell>
        </row>
        <row r="3313">
          <cell r="A3313" t="str">
            <v>7.B2409239918E39901</v>
          </cell>
          <cell r="B3313" t="str">
            <v>TPC SALAD DRESSING 250G</v>
          </cell>
          <cell r="C3313" t="str">
            <v>SỐT DẦU DẤM TRỘN SALAD TPC 250G</v>
          </cell>
          <cell r="D3313" t="str">
            <v>TPC SALAD DRESSING 250G</v>
          </cell>
          <cell r="E3313">
            <v>0.25</v>
          </cell>
          <cell r="F3313" t="str">
            <v>Bỏ chọn</v>
          </cell>
          <cell r="G3313" t="str">
            <v>2000000008</v>
          </cell>
          <cell r="H3313"/>
        </row>
        <row r="3314">
          <cell r="A3314" t="str">
            <v>7.70596</v>
          </cell>
          <cell r="B3314" t="str">
            <v>ERCAWAX HCO 40 V/FD IN DRUM 110KG</v>
          </cell>
          <cell r="C3314" t="str">
            <v>CHẤT HỮU CƠ HOẠT ĐỘNG BỀ MẶT DẠNG KHÔNG PHÂN LY ERCAWAX HCO 40 V/FD ĐÓNG TRONG PHUY 110KG</v>
          </cell>
          <cell r="D3314" t="str">
            <v>ERCAWAX HCO 40 V/FD IN DRUM 110KG</v>
          </cell>
          <cell r="E3314">
            <v>1</v>
          </cell>
          <cell r="F3314" t="str">
            <v>Chọn</v>
          </cell>
          <cell r="G3314"/>
          <cell r="H3314"/>
        </row>
        <row r="3315">
          <cell r="A3315" t="str">
            <v>7.70597</v>
          </cell>
          <cell r="B3315" t="str">
            <v>ERCAWAX CS 25 V/FD MB IN BAG 20KG</v>
          </cell>
          <cell r="C3315" t="str">
            <v>CHẤT HỮU CƠ HOẠT ĐỘNG BỀ MẶT DẠNG KHÔNG PHÂN LY ERCAWAX CS 25 V/FD MB ĐÓNG BAO 20KG</v>
          </cell>
          <cell r="D3315" t="str">
            <v>ERCAWAX CS 25 V/FD MB IN BAG 20KG</v>
          </cell>
          <cell r="E3315">
            <v>1</v>
          </cell>
          <cell r="F3315" t="str">
            <v>Chọn</v>
          </cell>
          <cell r="G3315"/>
          <cell r="H3315"/>
        </row>
        <row r="3316">
          <cell r="A3316" t="str">
            <v>V51.041.013</v>
          </cell>
          <cell r="B3316" t="str">
            <v>SIMPLY FRAGRANT BROWN RICE 1KG</v>
          </cell>
          <cell r="C3316" t="str">
            <v>SIMPLY GẠO LỨT THƠM ST25 1KG</v>
          </cell>
          <cell r="D3316" t="str">
            <v>SIMPLY FRAGRANT BROWN RICE 1KG</v>
          </cell>
          <cell r="E3316">
            <v>0</v>
          </cell>
          <cell r="F3316" t="str">
            <v>Bỏ chọn</v>
          </cell>
          <cell r="G3316"/>
          <cell r="H3316"/>
        </row>
        <row r="3317">
          <cell r="A3317" t="str">
            <v>7.B24012302370162</v>
          </cell>
          <cell r="B3317" t="str">
            <v>HANG VIET THANH VI SOY SAUCE 500ML X 24 BOT/CAR</v>
          </cell>
          <cell r="C3317" t="str">
            <v>NƯỚC CHẤM ĐẬU NÀNH HÀNG VIỆT THANH VỊ 500 ML X 24 CHAI/THÙNG</v>
          </cell>
          <cell r="D3317" t="str">
            <v>HANG VIET THANH VI SOY SAUCE 500ML X 24 BOT/CAR</v>
          </cell>
          <cell r="E3317">
            <v>13.096</v>
          </cell>
          <cell r="F3317" t="str">
            <v>Bỏ chọn</v>
          </cell>
          <cell r="G3317" t="str">
            <v>2000000008</v>
          </cell>
          <cell r="H3317" t="str">
            <v>7.B2401230237016201</v>
          </cell>
        </row>
        <row r="3318">
          <cell r="A3318" t="str">
            <v>7.B2401230237016201</v>
          </cell>
          <cell r="B3318" t="str">
            <v>HANG VIET THANH VI SOY SAUCE 500ML</v>
          </cell>
          <cell r="C3318" t="str">
            <v>NƯỚC CHẤM ĐẬU NÀNH HÀNG VIỆT THANH VỊ 500 ML</v>
          </cell>
          <cell r="D3318" t="str">
            <v>HANG VIET THANH VI SOY SAUCE 500ML</v>
          </cell>
          <cell r="E3318">
            <v>0.54600000000000004</v>
          </cell>
          <cell r="F3318" t="str">
            <v>Bỏ chọn</v>
          </cell>
          <cell r="G3318" t="str">
            <v>2000000008</v>
          </cell>
          <cell r="H3318"/>
        </row>
        <row r="3319">
          <cell r="A3319" t="str">
            <v>7.70598</v>
          </cell>
          <cell r="B3319" t="str">
            <v>LAURIC ACID 99% - WILFARIN LA1299 IN BAG 5KG</v>
          </cell>
          <cell r="C3319" t="str">
            <v>AXIT LAURIC 99% - WILFARIN LA1299 ĐÓNG TRONG BAO 5KG</v>
          </cell>
          <cell r="D3319" t="str">
            <v>LAURIC ACID 99% - WILFARIN LA1299 IN BAG 5KG</v>
          </cell>
          <cell r="E3319">
            <v>1</v>
          </cell>
          <cell r="F3319" t="str">
            <v>Chọn</v>
          </cell>
          <cell r="G3319"/>
          <cell r="H3319"/>
        </row>
        <row r="3320">
          <cell r="A3320" t="str">
            <v>7.70599</v>
          </cell>
          <cell r="B3320" t="str">
            <v>MYRISTIC ACID 99% - WILFARIN MA1499 IN BAG 5KG</v>
          </cell>
          <cell r="C3320" t="str">
            <v>AXIT MYRISTIC 99% - WILFARIN MA1499 ĐÓNG TRONG BAO 5KG</v>
          </cell>
          <cell r="D3320" t="str">
            <v>MYRISTIC ACID 99% - WILFARIN MA1499 IN BAG 5KG</v>
          </cell>
          <cell r="E3320">
            <v>1</v>
          </cell>
          <cell r="F3320" t="str">
            <v>Chọn</v>
          </cell>
          <cell r="G3320"/>
          <cell r="H3320"/>
        </row>
        <row r="3321">
          <cell r="A3321" t="str">
            <v>7.705A0</v>
          </cell>
          <cell r="B3321" t="str">
            <v>FATTY ALCOHOL 1618 IN BAG 5KG</v>
          </cell>
          <cell r="C3321" t="str">
            <v>HỢP CHẤT FATTY ALCOHOL 1618 ĐÓNG TRONG BAO 5KG</v>
          </cell>
          <cell r="D3321" t="str">
            <v>FATTY ALCOHOL 1618 IN BAG 5KG</v>
          </cell>
          <cell r="E3321">
            <v>1</v>
          </cell>
          <cell r="F3321" t="str">
            <v>Chọn</v>
          </cell>
          <cell r="G3321"/>
          <cell r="H3321"/>
        </row>
        <row r="3322">
          <cell r="A3322" t="str">
            <v>7.705A1</v>
          </cell>
          <cell r="B3322" t="str">
            <v>FATTY ALCOHOL 1698 IN BAG 5KG</v>
          </cell>
          <cell r="C3322" t="str">
            <v>HỢP CHẤT FATTY ALCOHOL 1698 ĐÓNG TRONG BAO 5KG</v>
          </cell>
          <cell r="D3322" t="str">
            <v>FATTY ALCOHOL 1698 IN BAG 5KG</v>
          </cell>
          <cell r="E3322">
            <v>1</v>
          </cell>
          <cell r="F3322" t="str">
            <v>Chọn</v>
          </cell>
          <cell r="G3322"/>
          <cell r="H3322"/>
        </row>
        <row r="3323">
          <cell r="A3323" t="str">
            <v>7.705A2</v>
          </cell>
          <cell r="B3323" t="str">
            <v>ISOPROPYL MYRISTATE (IPM) RSPO MB IN BAG 1KG</v>
          </cell>
          <cell r="C3323" t="str">
            <v>CHẤT LÀM MỀM ISOPROPYL MYRISTATE (IPM) RSPO MB ĐÓNG TRONG BAO 1KG</v>
          </cell>
          <cell r="D3323" t="str">
            <v>ISOPROPYL MYRISTATE (IPM) RSPO MB IN BAG 1KG</v>
          </cell>
          <cell r="E3323">
            <v>1</v>
          </cell>
          <cell r="F3323" t="str">
            <v>Chọn</v>
          </cell>
          <cell r="G3323"/>
          <cell r="H3323"/>
        </row>
        <row r="3324">
          <cell r="A3324" t="str">
            <v>7.705A3</v>
          </cell>
          <cell r="B3324" t="str">
            <v>GLYCEROL MONOSTEARATE IN BAG 1KG</v>
          </cell>
          <cell r="C3324" t="str">
            <v>CHẤT NHŨ HÓA GLYCEROL MONOSTEARATE ĐÓNG TRONG BAO 1KG</v>
          </cell>
          <cell r="D3324" t="str">
            <v>GLYCEROL MONOSTEARATE IN BAG 1KG</v>
          </cell>
          <cell r="E3324">
            <v>1</v>
          </cell>
          <cell r="F3324" t="str">
            <v>Chọn</v>
          </cell>
          <cell r="G3324"/>
          <cell r="H3324"/>
        </row>
        <row r="3325">
          <cell r="A3325" t="str">
            <v>7.705A4</v>
          </cell>
          <cell r="B3325" t="str">
            <v>GLYCEROL MONOSTEARATE IN BAG 2KG</v>
          </cell>
          <cell r="C3325" t="str">
            <v>CHẤT NHŨ HÓA GLYCEROL MONOSTEARATE ĐÓNG TRONG BAO 2KG</v>
          </cell>
          <cell r="D3325" t="str">
            <v>GLYCEROL MONOSTEARATE IN BAG 2KG</v>
          </cell>
          <cell r="E3325">
            <v>1</v>
          </cell>
          <cell r="F3325" t="str">
            <v>Chọn</v>
          </cell>
          <cell r="G3325"/>
          <cell r="H3325"/>
        </row>
        <row r="3326">
          <cell r="A3326" t="str">
            <v>6.457304D</v>
          </cell>
          <cell r="B3326" t="str">
            <v>TRIPLE REFINED CANOLA OIL IV 110</v>
          </cell>
          <cell r="C3326" t="str">
            <v>DẦU HẠT CẢI TINH LUYỆN TRONG XE BỒN</v>
          </cell>
          <cell r="D3326" t="str">
            <v>TRIPLE REFINED CANOLA OIL IV 110</v>
          </cell>
          <cell r="E3326">
            <v>1</v>
          </cell>
          <cell r="F3326" t="str">
            <v>Chọn</v>
          </cell>
          <cell r="G3326"/>
          <cell r="H3326"/>
        </row>
        <row r="3327">
          <cell r="A3327" t="str">
            <v>6.70554</v>
          </cell>
          <cell r="B3327" t="str">
            <v>WILFARIN REFINED GLYCERINE 99.7% IN DRUM 250KG</v>
          </cell>
          <cell r="C3327" t="str">
            <v>PHỤ GIA THỰC PHẨM GLYXERIN TINH KHIẾT 99,7% - WILFARIN, ĐÓNG TRONG PHUY 250KG</v>
          </cell>
          <cell r="D3327" t="str">
            <v>WILFARIN REFINED GLYCERINE 99.7% IN DRUM 250KG</v>
          </cell>
          <cell r="E3327">
            <v>1</v>
          </cell>
          <cell r="F3327" t="str">
            <v>Chọn</v>
          </cell>
          <cell r="G3327"/>
          <cell r="H3327"/>
        </row>
        <row r="3328">
          <cell r="A3328" t="str">
            <v>7.705A5</v>
          </cell>
          <cell r="B3328" t="str">
            <v>STEARIC ACID (WILFARIN SA1860) IN BAG 25KG</v>
          </cell>
          <cell r="C3328" t="str">
            <v>AXIT STEARIC - WILFARIN SA1860 ĐÓNG TRONG BAO 25KG</v>
          </cell>
          <cell r="D3328" t="str">
            <v>STEARIC ACID (WILFARIN SA1860) IN BAG 25KG</v>
          </cell>
          <cell r="E3328">
            <v>1</v>
          </cell>
          <cell r="F3328" t="str">
            <v>Chọn</v>
          </cell>
          <cell r="G3328"/>
          <cell r="H3328"/>
        </row>
        <row r="3329">
          <cell r="A3329" t="str">
            <v>6.1212069</v>
          </cell>
          <cell r="B3329" t="str">
            <v>REFINED PALM OLEIN IV 56/RSPO MB</v>
          </cell>
          <cell r="C3329" t="str">
            <v>DẦU OLEIN CỌ TINH LUYỆN TRONG XE BỒN (RSPO/MB)</v>
          </cell>
          <cell r="D3329" t="str">
            <v>REFINED PALM OLEIN IV 56/RSPO MB</v>
          </cell>
          <cell r="E3329">
            <v>1</v>
          </cell>
          <cell r="F3329" t="str">
            <v>Bỏ chọn</v>
          </cell>
          <cell r="G3329"/>
          <cell r="H3329"/>
        </row>
        <row r="3330">
          <cell r="A3330" t="str">
            <v>7.52399149906H8</v>
          </cell>
          <cell r="B3330" t="str">
            <v>RED COMPASS - MASAN XK 40KG</v>
          </cell>
          <cell r="C3330" t="str">
            <v>BỘT MÌ HIỆU LA BÀN ĐỎ 40KG</v>
          </cell>
          <cell r="D3330" t="str">
            <v>RED COMPASS - MASAN XK 40KG</v>
          </cell>
          <cell r="E3330">
            <v>1</v>
          </cell>
          <cell r="F3330" t="str">
            <v>Bỏ chọn</v>
          </cell>
          <cell r="G3330"/>
          <cell r="H3330"/>
        </row>
        <row r="3331">
          <cell r="A3331" t="str">
            <v>V51.000.123</v>
          </cell>
          <cell r="B3331" t="str">
            <v>PP BAG PRINTED KALI BOT SIZE 50 KG</v>
          </cell>
          <cell r="C3331" t="str">
            <v>BAO PP IN KALI BỘT LOẠI ĐỰNG 50 KG</v>
          </cell>
          <cell r="D3331" t="str">
            <v>PP BAG PRINTED KALI BOT SIZE 50 KG</v>
          </cell>
          <cell r="E3331">
            <v>0</v>
          </cell>
          <cell r="F3331" t="str">
            <v>Bỏ chọn</v>
          </cell>
          <cell r="G3331"/>
          <cell r="H3331"/>
        </row>
        <row r="3332">
          <cell r="A3332" t="str">
            <v>V51.000.124</v>
          </cell>
          <cell r="B3332" t="str">
            <v>PP BAG PRINTED KALI HAT SIZE 50 KG</v>
          </cell>
          <cell r="C3332" t="str">
            <v>BAO PP IN KALI HẠT LOẠI ĐỰNG 50 KG</v>
          </cell>
          <cell r="D3332" t="str">
            <v>PP BAG PRINTED KALI HAT SIZE 50 KG</v>
          </cell>
          <cell r="E3332">
            <v>0</v>
          </cell>
          <cell r="F3332" t="str">
            <v>Bỏ chọn</v>
          </cell>
          <cell r="G3332"/>
          <cell r="H3332"/>
        </row>
        <row r="3333">
          <cell r="A3333" t="str">
            <v>7.A3199089902H964</v>
          </cell>
          <cell r="B3333" t="str">
            <v>MEIZAN CHIFFON CAKE MIX 1KG X 10 PACK</v>
          </cell>
          <cell r="C3333" t="str">
            <v>BỘT TRỘN SẴN BÁNH BÔNG LAN CHIFFON MEIZAN 1KG X 10 GÓI</v>
          </cell>
          <cell r="D3333" t="str">
            <v>MEIZAN CHIFFON CAKE MIX 1KG X 10 PACK</v>
          </cell>
          <cell r="E3333">
            <v>10</v>
          </cell>
          <cell r="F3333" t="str">
            <v>Bỏ chọn</v>
          </cell>
          <cell r="G3333"/>
          <cell r="H3333"/>
        </row>
        <row r="3334">
          <cell r="A3334" t="str">
            <v>7.A3199089902H965</v>
          </cell>
          <cell r="B3334" t="str">
            <v>MEIZAN BANANA CAKE MIX 1KG X 10 PACK</v>
          </cell>
          <cell r="C3334" t="str">
            <v>BỘT TRỘN SẴN BÁNH CAKE CHUỐI MEIZAN 1KG X 10 GÓI</v>
          </cell>
          <cell r="D3334" t="str">
            <v>MEIZAN BANANA CAKE MIX 1KG X 10 PACK</v>
          </cell>
          <cell r="E3334">
            <v>10</v>
          </cell>
          <cell r="F3334" t="str">
            <v>Bỏ chọn</v>
          </cell>
          <cell r="G3334"/>
          <cell r="H3334"/>
        </row>
        <row r="3335">
          <cell r="A3335" t="str">
            <v>7.A3199089902I137</v>
          </cell>
          <cell r="B3335" t="str">
            <v>MEIZAN CHOCOLATE MUFFIN MIX 1KG X 10 PACK</v>
          </cell>
          <cell r="C3335" t="str">
            <v>BỘT TRỘN SẴN BÁNH MUFFIN CHOCOLATE MEIZAN 1KG X 10 GÓI</v>
          </cell>
          <cell r="D3335" t="str">
            <v>MEIZAN CHOCOLATE MUFFIN MIX 1KG X 10 PACK</v>
          </cell>
          <cell r="E3335">
            <v>10</v>
          </cell>
          <cell r="F3335" t="str">
            <v>Bỏ chọn</v>
          </cell>
          <cell r="G3335"/>
          <cell r="H3335"/>
        </row>
        <row r="3336">
          <cell r="A3336" t="str">
            <v>7.A3199089902I163</v>
          </cell>
          <cell r="B3336" t="str">
            <v>MEIZAN VANILLA MUFFIN MIX 1KG X 10 PACK</v>
          </cell>
          <cell r="C3336" t="str">
            <v>BỘT TRỘN SẴN BÁNH MUFFIN VANI MEIZAN 1KG X 10 GÓI</v>
          </cell>
          <cell r="D3336" t="str">
            <v>MEIZAN VANILLA MUFFIN MIX 1KG X 10 PACK</v>
          </cell>
          <cell r="E3336">
            <v>10</v>
          </cell>
          <cell r="F3336" t="str">
            <v>Bỏ chọn</v>
          </cell>
          <cell r="G3336"/>
          <cell r="H3336"/>
        </row>
        <row r="3337">
          <cell r="A3337" t="str">
            <v>7.A3199089902H96401</v>
          </cell>
          <cell r="B3337" t="str">
            <v>MEIZAN CHIFFON CAKE MIX 1KG</v>
          </cell>
          <cell r="C3337" t="str">
            <v>BỘT TRỘN SẴN BÁNH BÔNG LAN CHIFFON MEIZAN 1KG</v>
          </cell>
          <cell r="D3337" t="str">
            <v>MEIZAN CHIFFON CAKE MIX 1KG</v>
          </cell>
          <cell r="E3337">
            <v>1</v>
          </cell>
          <cell r="F3337" t="str">
            <v>Bỏ chọn</v>
          </cell>
          <cell r="G3337"/>
          <cell r="H3337"/>
        </row>
        <row r="3338">
          <cell r="A3338" t="str">
            <v>7.A3199089902H96501</v>
          </cell>
          <cell r="B3338" t="str">
            <v>MEIZAN BANANA CAKE MIX 1KG</v>
          </cell>
          <cell r="C3338" t="str">
            <v>BỘT TRỘN SẴN BÁNH CAKE CHUỐI MEIZAN 1KG</v>
          </cell>
          <cell r="D3338" t="str">
            <v>MEIZAN BANANA CAKE MIX 1KG</v>
          </cell>
          <cell r="E3338">
            <v>1</v>
          </cell>
          <cell r="F3338" t="str">
            <v>Bỏ chọn</v>
          </cell>
          <cell r="G3338"/>
          <cell r="H3338"/>
        </row>
        <row r="3339">
          <cell r="A3339" t="str">
            <v>7.A3199089902I13701</v>
          </cell>
          <cell r="B3339" t="str">
            <v>MEIZAN CHOCOLATE MUFFIN MIX 1KG</v>
          </cell>
          <cell r="C3339" t="str">
            <v>BỘT TRỘN SẴN BÁNH MUFFIN CHOCOLATE MEIZAN 1KG</v>
          </cell>
          <cell r="D3339" t="str">
            <v>MEIZAN CHOCOLATE MUFFIN MIX 1KG</v>
          </cell>
          <cell r="E3339">
            <v>1</v>
          </cell>
          <cell r="F3339" t="str">
            <v>Bỏ chọn</v>
          </cell>
          <cell r="G3339"/>
          <cell r="H3339"/>
        </row>
        <row r="3340">
          <cell r="A3340" t="str">
            <v>7.A3199089902I16301</v>
          </cell>
          <cell r="B3340" t="str">
            <v>MEIZAN VANILLA MUFFIN MIX 1KG</v>
          </cell>
          <cell r="C3340" t="str">
            <v>BỘT TRỘN SẴN BÁNH MUFFIN VANI MEIZAN 1KG</v>
          </cell>
          <cell r="D3340" t="str">
            <v>MEIZAN VANILLA MUFFIN MIX 1KG</v>
          </cell>
          <cell r="E3340">
            <v>1</v>
          </cell>
          <cell r="F3340" t="str">
            <v>Bỏ chọn</v>
          </cell>
          <cell r="G3340"/>
          <cell r="H3340"/>
        </row>
        <row r="3341">
          <cell r="A3341" t="str">
            <v>7.705A6</v>
          </cell>
          <cell r="B3341" t="str">
            <v>WILFARES ESA 70 BRAND SODIUM LAURETH SULFATE IN PLASTIC BOTTLE 1KG</v>
          </cell>
          <cell r="C3341" t="str">
            <v>CHẤT HOẠT ĐỘNG BỀ MẶT SODIUM LAURETH SULFATE NHÃN HIỆU WILFARES ESA 70 ĐÓNG TRONG CHAI NHỰA 1KG</v>
          </cell>
          <cell r="D3341" t="str">
            <v>WILFARES ESA 70 BRAND SODIUM LAURETH SULFATE IN PLASTIC BOTTLE 1KG</v>
          </cell>
          <cell r="E3341">
            <v>1</v>
          </cell>
          <cell r="F3341" t="str">
            <v>Chọn</v>
          </cell>
          <cell r="G3341"/>
          <cell r="H3341"/>
        </row>
        <row r="3342">
          <cell r="A3342" t="str">
            <v>7.B2402239967B899</v>
          </cell>
          <cell r="B3342" t="str">
            <v>SACHET CHILI 10G (KFC) X 1.200 PACK / CAR</v>
          </cell>
          <cell r="C3342" t="str">
            <v>TƯƠNG ỚT GÓI 10G (KFC) X 1.200 GÓI / THÙNG</v>
          </cell>
          <cell r="D3342" t="str">
            <v>SACHET CHILI 10G (KFC) X 1.200 PACK / CAR</v>
          </cell>
          <cell r="E3342">
            <v>12</v>
          </cell>
          <cell r="F3342" t="str">
            <v>Bỏ chọn</v>
          </cell>
          <cell r="G3342"/>
          <cell r="H3342"/>
        </row>
        <row r="3343">
          <cell r="A3343" t="str">
            <v>7.B2402239967B89901</v>
          </cell>
          <cell r="B3343" t="str">
            <v>SACHET CHILI 10G (KFC)</v>
          </cell>
          <cell r="C3343" t="str">
            <v>TƯƠNG ỚT GÓI 10G (KFC)</v>
          </cell>
          <cell r="D3343" t="str">
            <v>SACHET CHILI 10G (KFC)</v>
          </cell>
          <cell r="E3343">
            <v>0.01</v>
          </cell>
          <cell r="F3343" t="str">
            <v>Bỏ chọn</v>
          </cell>
          <cell r="G3343"/>
          <cell r="H3343"/>
        </row>
        <row r="3344">
          <cell r="A3344" t="str">
            <v>7.A3199089904I2</v>
          </cell>
          <cell r="B3344" t="str">
            <v>BC MEIZAN CHICKEN FRYING FLOUR 10KG</v>
          </cell>
          <cell r="C3344" t="str">
            <v>BỘT CHIÊN GÀ BC MEIZAN 10KG</v>
          </cell>
          <cell r="D3344" t="str">
            <v>BC MEIZAN CHICKEN FRYING FLOUR 10KG</v>
          </cell>
          <cell r="E3344">
            <v>10</v>
          </cell>
          <cell r="F3344" t="str">
            <v>Bỏ chọn</v>
          </cell>
          <cell r="G3344"/>
          <cell r="H3344"/>
        </row>
        <row r="3345">
          <cell r="A3345" t="str">
            <v>7.52399076303I3</v>
          </cell>
          <cell r="B3345" t="str">
            <v>SAMPLE GREEN KEY 333 5KG</v>
          </cell>
          <cell r="C3345" t="str">
            <v>BỘT MÌ HIỆU CHÌA KHÓA XANH LÁ - 333 5KG</v>
          </cell>
          <cell r="D3345" t="str">
            <v>SAMPLE GREEN KEY 333 5KG</v>
          </cell>
          <cell r="E3345">
            <v>1</v>
          </cell>
          <cell r="F3345" t="str">
            <v>Bỏ chọn</v>
          </cell>
          <cell r="G3345"/>
          <cell r="H3345"/>
        </row>
        <row r="3346">
          <cell r="A3346" t="str">
            <v>7.705A7</v>
          </cell>
          <cell r="B3346" t="str">
            <v>DISTILLED TOPPED COCONUT FATTY ACID IN BOTTLE 3 KG</v>
          </cell>
          <cell r="C3346" t="str">
            <v>AXIT BÉO DỪA CHƯNG CẤT ĐÓNG CHAI 3KG</v>
          </cell>
          <cell r="D3346" t="str">
            <v>DISTILLED TOPPED COCONUT FATTY ACID IN BOTTLE 3 KG</v>
          </cell>
          <cell r="E3346">
            <v>1</v>
          </cell>
          <cell r="F3346" t="str">
            <v>Bỏ chọn</v>
          </cell>
          <cell r="G3346"/>
          <cell r="H3346"/>
        </row>
        <row r="3347">
          <cell r="A3347" t="str">
            <v>7.705A8</v>
          </cell>
          <cell r="B3347" t="str">
            <v>GLYCEROL MONOSTEARATE (GMS 60%) IN BAG 25KG</v>
          </cell>
          <cell r="C3347" t="str">
            <v>CHẤT NHŨ HÓA GLYCEROL MONOSTEARATE (GMS 60%) ĐÓNG TRONG BAO 25KG</v>
          </cell>
          <cell r="D3347" t="str">
            <v>GLYCEROL MONOSTEARATE (GMS 60%) IN BAG 25KG</v>
          </cell>
          <cell r="E3347">
            <v>1</v>
          </cell>
          <cell r="F3347" t="str">
            <v>Chọn</v>
          </cell>
          <cell r="G3347"/>
          <cell r="H3347"/>
        </row>
        <row r="3348">
          <cell r="A3348" t="str">
            <v>7.B24022399B80166</v>
          </cell>
          <cell r="B3348" t="str">
            <v>NAM DUONG HOT CHILI SAUCE 255G X 12 BOT/CAR</v>
          </cell>
          <cell r="C3348" t="str">
            <v>TƯƠNG ỚT NAM DƯƠNG CAY VỪA 255G X 12 CHAI/THÙNG</v>
          </cell>
          <cell r="D3348" t="str">
            <v>NAM DUONG HOT CHILI SAUCE 255G X 12 BOT/CAR</v>
          </cell>
          <cell r="E3348">
            <v>3.06</v>
          </cell>
          <cell r="F3348" t="str">
            <v>Bỏ chọn</v>
          </cell>
          <cell r="G3348" t="str">
            <v>2000000008</v>
          </cell>
          <cell r="H3348" t="str">
            <v>7.B24022399B8016601</v>
          </cell>
        </row>
        <row r="3349">
          <cell r="A3349" t="str">
            <v>7.B24022399B8016601</v>
          </cell>
          <cell r="B3349" t="str">
            <v>NAM DUONG HOT CHILI SAUCE 255G</v>
          </cell>
          <cell r="C3349" t="str">
            <v>TƯƠNG ỚT NAM DƯƠNG CAY VỪA 255G</v>
          </cell>
          <cell r="D3349" t="str">
            <v>NAM DUONG HOT CHILI SAUCE 255G</v>
          </cell>
          <cell r="E3349">
            <v>0.255</v>
          </cell>
          <cell r="F3349" t="str">
            <v>Bỏ chọn</v>
          </cell>
          <cell r="G3349" t="str">
            <v>2000000008</v>
          </cell>
          <cell r="H3349"/>
        </row>
        <row r="3350">
          <cell r="A3350" t="str">
            <v>7.B24022399730166</v>
          </cell>
          <cell r="B3350" t="str">
            <v>NAM DUONG HOT CHILI SAUCE 255G X 24 BOT/CAR</v>
          </cell>
          <cell r="C3350" t="str">
            <v>TƯƠNG ỚT NAM DƯƠNG CAY VỪA 255G X 24 CHAI/THÙNG</v>
          </cell>
          <cell r="D3350" t="str">
            <v>NAM DUONG HOT CHILI SAUCE 255G X 24 BOT/CAR</v>
          </cell>
          <cell r="E3350">
            <v>6.12</v>
          </cell>
          <cell r="F3350" t="str">
            <v>Bỏ chọn</v>
          </cell>
          <cell r="G3350" t="str">
            <v>2000000008</v>
          </cell>
          <cell r="H3350" t="str">
            <v>7.B24022399B8016601</v>
          </cell>
        </row>
        <row r="3351">
          <cell r="A3351" t="str">
            <v>7.B24022399670166</v>
          </cell>
          <cell r="B3351" t="str">
            <v>NAM DƯƠNG SACHET CHILI 10G X 800 PACK / CARTON</v>
          </cell>
          <cell r="C3351" t="str">
            <v>TƯƠNG ỚT NAM DƯƠNG CAY VỪA 10G X 800 GÓI/THÙNG</v>
          </cell>
          <cell r="D3351" t="str">
            <v>NAM DƯƠNG SACHET CHILI 10G X 800 PACK / CARTON</v>
          </cell>
          <cell r="E3351">
            <v>8</v>
          </cell>
          <cell r="F3351" t="str">
            <v>Bỏ chọn</v>
          </cell>
          <cell r="G3351" t="str">
            <v>2000000008</v>
          </cell>
          <cell r="H3351" t="str">
            <v>7.B2402239967016601</v>
          </cell>
        </row>
        <row r="3352">
          <cell r="A3352" t="str">
            <v>7.B2402239967016601</v>
          </cell>
          <cell r="B3352" t="str">
            <v>NAM DƯƠNG SACHET CHILI 10G</v>
          </cell>
          <cell r="C3352" t="str">
            <v>TƯƠNG ỚT NAM DƯƠNG CAY VỪA 10G</v>
          </cell>
          <cell r="D3352" t="str">
            <v>NAM DƯƠNG SACHET CHILI 10G</v>
          </cell>
          <cell r="E3352">
            <v>0.01</v>
          </cell>
          <cell r="F3352" t="str">
            <v>Bỏ chọn</v>
          </cell>
          <cell r="G3352" t="str">
            <v>2000000008</v>
          </cell>
          <cell r="H3352"/>
        </row>
        <row r="3353">
          <cell r="A3353" t="str">
            <v>6.457204C</v>
          </cell>
          <cell r="B3353" t="str">
            <v>RBD CANOLA OIL IV 105-126</v>
          </cell>
          <cell r="C3353" t="str">
            <v>DẦU HẠT CẢI TINH LUYỆN TRONG XE BỒN</v>
          </cell>
          <cell r="D3353" t="str">
            <v>RBD CANOLA OIL IV 105-126</v>
          </cell>
          <cell r="E3353">
            <v>1</v>
          </cell>
          <cell r="F3353" t="str">
            <v>Chọn</v>
          </cell>
          <cell r="G3353"/>
          <cell r="H3353"/>
        </row>
        <row r="3354">
          <cell r="A3354" t="str">
            <v>7.52399049905I4</v>
          </cell>
          <cell r="B3354" t="str">
            <v>BROWN COMPASS - AJI XT 25KG</v>
          </cell>
          <cell r="C3354" t="str">
            <v>BỘT MÌ HIỆU LA BÀN NÂU 25KG</v>
          </cell>
          <cell r="D3354" t="str">
            <v>BROWN COMPASS - AJI XT 25KG</v>
          </cell>
          <cell r="E3354">
            <v>1</v>
          </cell>
          <cell r="F3354" t="str">
            <v>Bỏ chọn</v>
          </cell>
          <cell r="G3354"/>
          <cell r="H3354"/>
        </row>
        <row r="3355">
          <cell r="A3355" t="str">
            <v>7.B24072399670116</v>
          </cell>
          <cell r="B3355" t="str">
            <v>KETCHUP 10G X 800 PACK / CARTON</v>
          </cell>
          <cell r="C3355" t="str">
            <v>TƯƠNG CÀ 10G X 800 GÓI/THÙNG</v>
          </cell>
          <cell r="D3355" t="str">
            <v>KETCHUP 10G X 800 PACK / CARTON</v>
          </cell>
          <cell r="E3355">
            <v>8</v>
          </cell>
          <cell r="F3355" t="str">
            <v>Bỏ chọn</v>
          </cell>
          <cell r="G3355" t="str">
            <v>2000000008</v>
          </cell>
          <cell r="H3355" t="str">
            <v>7.B2407239967011601</v>
          </cell>
        </row>
        <row r="3356">
          <cell r="A3356" t="str">
            <v>7.B2407239967011601</v>
          </cell>
          <cell r="B3356" t="str">
            <v>KETCHUP 10G</v>
          </cell>
          <cell r="C3356" t="str">
            <v>TƯƠNG CÀ 10G</v>
          </cell>
          <cell r="D3356" t="str">
            <v>KETCHUP 10G</v>
          </cell>
          <cell r="E3356">
            <v>0.01</v>
          </cell>
          <cell r="F3356" t="str">
            <v>Bỏ chọn</v>
          </cell>
          <cell r="G3356" t="str">
            <v>2000000008</v>
          </cell>
          <cell r="H3356"/>
        </row>
        <row r="3357">
          <cell r="A3357" t="str">
            <v>V78.000.038</v>
          </cell>
          <cell r="B3357" t="str">
            <v>REFLECTIVE TOP</v>
          </cell>
          <cell r="C3357" t="str">
            <v>ÁO PHẢN QUANG</v>
          </cell>
          <cell r="D3357" t="str">
            <v>REFLECTIVE TOP</v>
          </cell>
          <cell r="E3357">
            <v>0</v>
          </cell>
          <cell r="F3357" t="str">
            <v>Bỏ chọn</v>
          </cell>
          <cell r="G3357"/>
          <cell r="H3357"/>
        </row>
        <row r="3358">
          <cell r="A3358" t="str">
            <v>V78.000.039</v>
          </cell>
          <cell r="B3358" t="str">
            <v>SAFETY SHOES</v>
          </cell>
          <cell r="C3358" t="str">
            <v>GIÀY BẢO HỘ LAO ĐỘNG</v>
          </cell>
          <cell r="D3358" t="str">
            <v>SAFETY SHOES</v>
          </cell>
          <cell r="E3358">
            <v>0</v>
          </cell>
          <cell r="F3358" t="str">
            <v>Bỏ chọn</v>
          </cell>
          <cell r="G3358"/>
          <cell r="H3358"/>
        </row>
        <row r="3359">
          <cell r="A3359" t="str">
            <v>V34.000.004</v>
          </cell>
          <cell r="B3359" t="str">
            <v>SAFETY HELMET</v>
          </cell>
          <cell r="C3359" t="str">
            <v>MŨ BẢO HỘ LAO ĐỘNG</v>
          </cell>
          <cell r="D3359" t="str">
            <v>SAFETY HELMET</v>
          </cell>
          <cell r="E3359">
            <v>0</v>
          </cell>
          <cell r="F3359" t="str">
            <v>Bỏ chọn</v>
          </cell>
          <cell r="G3359"/>
          <cell r="H3359"/>
        </row>
        <row r="3360">
          <cell r="A3360" t="str">
            <v>7.705A9</v>
          </cell>
          <cell r="B3360" t="str">
            <v>MIZULAN FL-80 BRAND MES (METHYL ESTER SULFONATE) FLAKES; BAG 25KG</v>
          </cell>
          <cell r="C3360" t="str">
            <v>CHẤT HOẠT ĐỘNG BỀ MẶT DẠNG ANION MES (METHYL ESTER SULFONATE) FLAKES NHÃN HIỆU MIZULAN FL-80 ĐÓNG TRONG BAO 25KG</v>
          </cell>
          <cell r="D3360" t="str">
            <v>MIZULAN FL-80 BRAND MES (METHYL ESTER SULFONATE) FLAKES; BAG 25KG</v>
          </cell>
          <cell r="E3360">
            <v>1</v>
          </cell>
          <cell r="F3360" t="str">
            <v>Chọn</v>
          </cell>
          <cell r="G3360"/>
          <cell r="H3360"/>
        </row>
        <row r="3361">
          <cell r="A3361" t="str">
            <v>V51.901.078</v>
          </cell>
          <cell r="B3361" t="str">
            <v>SCREW 2CM FOR WF</v>
          </cell>
          <cell r="C3361" t="str">
            <v>VÍT 2 CM ĐÓNG THANH TRƯNG BÀY</v>
          </cell>
          <cell r="D3361" t="str">
            <v>SCREW 2CM FOR WF</v>
          </cell>
          <cell r="E3361">
            <v>0.08</v>
          </cell>
          <cell r="F3361" t="str">
            <v>Bỏ chọn</v>
          </cell>
          <cell r="G3361"/>
          <cell r="H3361"/>
        </row>
        <row r="3362">
          <cell r="A3362" t="str">
            <v>V51.600.212</v>
          </cell>
          <cell r="B3362" t="str">
            <v>NEPTUNE LIGHT WINDOW FRAME 160CM WITH SLOGAN</v>
          </cell>
          <cell r="C3362" t="str">
            <v>THANH WINDOW FRAME 160CM CÓ SLOGAN</v>
          </cell>
          <cell r="D3362" t="str">
            <v>NEPTUNE LIGHT WINDOW FRAME 160CM WITH SLOGAN</v>
          </cell>
          <cell r="E3362">
            <v>0.12</v>
          </cell>
          <cell r="F3362" t="str">
            <v>Bỏ chọn</v>
          </cell>
          <cell r="G3362"/>
          <cell r="H3362"/>
        </row>
        <row r="3363">
          <cell r="A3363" t="str">
            <v>V51.600.211</v>
          </cell>
          <cell r="B3363" t="str">
            <v>NEPTUNE LIGHT WINDOW FRAME 120CM WITH SLOGAN</v>
          </cell>
          <cell r="C3363" t="str">
            <v>THANH WINDOW FRAME 120CM CÓ SLOGAN</v>
          </cell>
          <cell r="D3363" t="str">
            <v>NEPTUNE LIGHT WINDOW FRAME 120CM WITH SLOGAN</v>
          </cell>
          <cell r="E3363">
            <v>8.1199999999999994E-2</v>
          </cell>
          <cell r="F3363" t="str">
            <v>Bỏ chọn</v>
          </cell>
          <cell r="G3363"/>
          <cell r="H3363"/>
        </row>
        <row r="3364">
          <cell r="A3364" t="str">
            <v>V51.303.019</v>
          </cell>
          <cell r="B3364" t="str">
            <v>KF94 FACE MASKS (10PCS/BOX)</v>
          </cell>
          <cell r="C3364" t="str">
            <v>KHẨU TRANG KF94(10 CÁI/HỘP)</v>
          </cell>
          <cell r="D3364" t="str">
            <v>KF94 FACE MASKS (10PCS/BOX)</v>
          </cell>
          <cell r="E3364">
            <v>0.12</v>
          </cell>
          <cell r="F3364" t="str">
            <v>Bỏ chọn</v>
          </cell>
          <cell r="G3364"/>
          <cell r="H3364"/>
        </row>
        <row r="3365">
          <cell r="A3365" t="str">
            <v>7.705B0</v>
          </cell>
          <cell r="B3365" t="str">
            <v>LAURIC ACID 99% - WILFARIN LA1299 IN BAG 3KG</v>
          </cell>
          <cell r="C3365" t="str">
            <v>AXIT LAURIC 99% - WILFARIN LA1299 ĐÓNG BAO 3KG</v>
          </cell>
          <cell r="D3365" t="str">
            <v>LAURIC ACID 99% - WILFARIN LA1299 IN BAG 3KG</v>
          </cell>
          <cell r="E3365">
            <v>1</v>
          </cell>
          <cell r="F3365" t="str">
            <v>Chọn</v>
          </cell>
          <cell r="G3365"/>
          <cell r="H3365"/>
        </row>
        <row r="3366">
          <cell r="A3366" t="str">
            <v>V51.600.216</v>
          </cell>
          <cell r="B3366" t="str">
            <v>SIMPLY WINDOW FRAME 160CM</v>
          </cell>
          <cell r="C3366" t="str">
            <v>THANH TRƯNG BÀY 160CM SIMPLY</v>
          </cell>
          <cell r="D3366" t="str">
            <v>SIMPLY WINDOW FRAME 160CM</v>
          </cell>
          <cell r="E3366">
            <v>0.12</v>
          </cell>
          <cell r="F3366" t="str">
            <v>Bỏ chọn</v>
          </cell>
          <cell r="G3366"/>
          <cell r="H3366"/>
        </row>
        <row r="3367">
          <cell r="A3367" t="str">
            <v>V51.600.217</v>
          </cell>
          <cell r="B3367" t="str">
            <v>SIMPLY WINDOW FRAME 160CM WITH SLOGAN</v>
          </cell>
          <cell r="C3367" t="str">
            <v>THANH TRƯNG BÀY 160CM CÓ CÂU KHẨU HIỆU SIMPLY</v>
          </cell>
          <cell r="D3367" t="str">
            <v>SIMPLY WINDOW FRAME 160CM WITH SLOGAN</v>
          </cell>
          <cell r="E3367">
            <v>0.12</v>
          </cell>
          <cell r="F3367" t="str">
            <v>Bỏ chọn</v>
          </cell>
          <cell r="G3367"/>
          <cell r="H3367"/>
        </row>
        <row r="3368">
          <cell r="A3368" t="str">
            <v>V51.600.214</v>
          </cell>
          <cell r="B3368" t="str">
            <v>SIMPLY WINDOW FRAME 120CM</v>
          </cell>
          <cell r="C3368" t="str">
            <v>THANH TRƯNG BÀY 120CM SIMPLY</v>
          </cell>
          <cell r="D3368" t="str">
            <v>SIMPLY WINDOW FRAME 120CM</v>
          </cell>
          <cell r="E3368">
            <v>0.08</v>
          </cell>
          <cell r="F3368" t="str">
            <v>Bỏ chọn</v>
          </cell>
          <cell r="G3368"/>
          <cell r="H3368"/>
        </row>
        <row r="3369">
          <cell r="A3369" t="str">
            <v>V51.600.215</v>
          </cell>
          <cell r="B3369" t="str">
            <v>SIMPLY WINDOW FRAME 120CM WITH SLOGAN</v>
          </cell>
          <cell r="C3369" t="str">
            <v>THANH TRƯNG BÀY 120CM CÓ CÂU KHẨU HIỆU SIMPLY</v>
          </cell>
          <cell r="D3369" t="str">
            <v>SIMPLY WINDOW FRAME 120CM WITH SLOGAN</v>
          </cell>
          <cell r="E3369">
            <v>0.08</v>
          </cell>
          <cell r="F3369" t="str">
            <v>Bỏ chọn</v>
          </cell>
          <cell r="G3369"/>
          <cell r="H3369"/>
        </row>
        <row r="3370">
          <cell r="A3370" t="str">
            <v>V51.600.213</v>
          </cell>
          <cell r="B3370" t="str">
            <v>SIMPLY WINDOW FRAME 80CM</v>
          </cell>
          <cell r="C3370" t="str">
            <v>THANH TRƯNG BÀY 80CM SIMPLY</v>
          </cell>
          <cell r="D3370" t="str">
            <v>SIMPLY WINDOW FRAME 80CM</v>
          </cell>
          <cell r="E3370">
            <v>0.06</v>
          </cell>
          <cell r="F3370" t="str">
            <v>Bỏ chọn</v>
          </cell>
          <cell r="G3370"/>
          <cell r="H3370"/>
        </row>
        <row r="3371">
          <cell r="A3371" t="str">
            <v>V51.601.004</v>
          </cell>
          <cell r="B3371" t="str">
            <v>SIMPLY BOTTLE MOCKUP FOR WF</v>
          </cell>
          <cell r="C3371" t="str">
            <v>MÔ HÌNH CHAI DẦU SIMPLY</v>
          </cell>
          <cell r="D3371" t="str">
            <v>SIMPLY BOTTLE MOCKUP FOR WF</v>
          </cell>
          <cell r="E3371">
            <v>0.01</v>
          </cell>
          <cell r="F3371" t="str">
            <v>Bỏ chọn</v>
          </cell>
          <cell r="G3371"/>
          <cell r="H3371"/>
        </row>
        <row r="3372">
          <cell r="A3372" t="str">
            <v>V51.601.005</v>
          </cell>
          <cell r="B3372" t="str">
            <v>SIMPLY LOGO MOCKUP FOR WF</v>
          </cell>
          <cell r="C3372" t="str">
            <v>MÔ HÌNH LÔ GÔ SIMPLY</v>
          </cell>
          <cell r="D3372" t="str">
            <v>SIMPLY LOGO MOCKUP FOR WF</v>
          </cell>
          <cell r="E3372">
            <v>0.01</v>
          </cell>
          <cell r="F3372" t="str">
            <v>Bỏ chọn</v>
          </cell>
          <cell r="G3372"/>
          <cell r="H3372"/>
        </row>
        <row r="3373">
          <cell r="A3373" t="str">
            <v>7.705B1</v>
          </cell>
          <cell r="B3373" t="str">
            <v>GENAGEN CAB IN BOX 10KG</v>
          </cell>
          <cell r="C3373" t="str">
            <v>CHẤT HOẠT ĐỘNG BỀ MẶT GENAGEN CAB ĐÓNG THÙNG 10KG</v>
          </cell>
          <cell r="D3373" t="str">
            <v>GENAGEN CAB IN BOX 10KG</v>
          </cell>
          <cell r="E3373">
            <v>1</v>
          </cell>
          <cell r="F3373" t="str">
            <v>Chọn</v>
          </cell>
          <cell r="G3373"/>
          <cell r="H3373"/>
        </row>
        <row r="3374">
          <cell r="A3374" t="str">
            <v>7.705B2</v>
          </cell>
          <cell r="B3374" t="str">
            <v>ISOPROPYL MYRISTATE (IPM); DRUM 180KG</v>
          </cell>
          <cell r="C3374" t="str">
            <v>ESTE CỦA AXIT MYRISTIC-ISOPROPYL MYRISTATE (IPM); PHUY 180KG</v>
          </cell>
          <cell r="D3374" t="str">
            <v>ISOPROPYL MYRISTATE (IPM); DRUM 180KG</v>
          </cell>
          <cell r="E3374">
            <v>1</v>
          </cell>
          <cell r="F3374" t="str">
            <v>Chọn</v>
          </cell>
          <cell r="G3374"/>
          <cell r="H3374"/>
        </row>
        <row r="3375">
          <cell r="A3375" t="str">
            <v>7.52399159905I5</v>
          </cell>
          <cell r="B3375" t="str">
            <v>RED KEY - PAS 25KG</v>
          </cell>
          <cell r="C3375" t="str">
            <v>BỘT MÌ HIỆU CHÌA KHÓA ĐỎ 25KG</v>
          </cell>
          <cell r="D3375" t="str">
            <v>RED KEY - PAS 25KG</v>
          </cell>
          <cell r="E3375">
            <v>1</v>
          </cell>
          <cell r="F3375" t="str">
            <v>Bỏ chọn</v>
          </cell>
          <cell r="G3375"/>
          <cell r="H3375"/>
        </row>
        <row r="3376">
          <cell r="A3376" t="str">
            <v>V39.013.408</v>
          </cell>
          <cell r="B3376" t="str">
            <v>POWER100 T-SHIRT (BLUE)</v>
          </cell>
          <cell r="C3376" t="str">
            <v>ÁO THUN POWER100 XANH</v>
          </cell>
          <cell r="D3376" t="str">
            <v>POWER100 T-SHIRT (BLUE)</v>
          </cell>
          <cell r="E3376">
            <v>0</v>
          </cell>
          <cell r="F3376" t="str">
            <v>Bỏ chọn</v>
          </cell>
          <cell r="G3376"/>
          <cell r="H3376"/>
        </row>
        <row r="3377">
          <cell r="A3377" t="str">
            <v>V39.013.407</v>
          </cell>
          <cell r="B3377" t="str">
            <v>POWER100 T-SHIRT (WHITE)</v>
          </cell>
          <cell r="C3377" t="str">
            <v>ÁO THUN POWER100 TRẮNG</v>
          </cell>
          <cell r="D3377" t="str">
            <v>POWER100 T-SHIRT (WHITE)</v>
          </cell>
          <cell r="E3377">
            <v>0</v>
          </cell>
          <cell r="F3377" t="str">
            <v>Bỏ chọn</v>
          </cell>
          <cell r="G3377"/>
          <cell r="H3377"/>
        </row>
        <row r="3378">
          <cell r="A3378" t="str">
            <v>V51.600.218</v>
          </cell>
          <cell r="B3378" t="str">
            <v>AW POWER100 IRON-SHELF</v>
          </cell>
          <cell r="C3378" t="str">
            <v>HÌNH ẢNH KỆ SẮT POWER 100</v>
          </cell>
          <cell r="D3378" t="str">
            <v>AW POWER100 IRON-SHELF</v>
          </cell>
          <cell r="E3378">
            <v>0</v>
          </cell>
          <cell r="F3378" t="str">
            <v>Bỏ chọn</v>
          </cell>
          <cell r="G3378"/>
          <cell r="H3378"/>
        </row>
        <row r="3379">
          <cell r="A3379" t="str">
            <v>7.5239917990512</v>
          </cell>
          <cell r="B3379" t="str">
            <v>SATELLITE LAOS 25KG</v>
          </cell>
          <cell r="C3379" t="str">
            <v>BỘT MÌ HIỆU VỆ TINH (TIẾNG LÀO) 25KG</v>
          </cell>
          <cell r="D3379" t="str">
            <v>SATELLITE LAOS 25KG</v>
          </cell>
          <cell r="E3379">
            <v>1</v>
          </cell>
          <cell r="F3379" t="str">
            <v>Bỏ chọn</v>
          </cell>
          <cell r="G3379"/>
          <cell r="H3379"/>
        </row>
        <row r="3380">
          <cell r="A3380" t="str">
            <v>7.52399149905I6</v>
          </cell>
          <cell r="B3380" t="str">
            <v>RED COMPASS PALDO 25KG</v>
          </cell>
          <cell r="C3380" t="str">
            <v>BỘT MÌ HIỆU LA BÀN ĐỎ 25KG</v>
          </cell>
          <cell r="D3380" t="str">
            <v>RED COMPASS PALDO 25KG</v>
          </cell>
          <cell r="E3380">
            <v>1</v>
          </cell>
          <cell r="F3380" t="str">
            <v>Bỏ chọn</v>
          </cell>
          <cell r="G3380"/>
          <cell r="H3380"/>
        </row>
        <row r="3381">
          <cell r="A3381" t="str">
            <v>7.52399049905I6</v>
          </cell>
          <cell r="B3381" t="str">
            <v>BROWN COMPASS PALDO 25KG</v>
          </cell>
          <cell r="C3381" t="str">
            <v>BỘT MÌ HIỆU LA BÀN NÂU 25KG</v>
          </cell>
          <cell r="D3381" t="str">
            <v>BROWN COMPASS PALDO 25KG</v>
          </cell>
          <cell r="E3381">
            <v>1</v>
          </cell>
          <cell r="F3381" t="str">
            <v>Bỏ chọn</v>
          </cell>
          <cell r="G3381"/>
          <cell r="H3381"/>
        </row>
        <row r="3382">
          <cell r="A3382" t="str">
            <v>7.705B3</v>
          </cell>
          <cell r="B3382" t="str">
            <v>MES (METHYL ESTER SULFONATE) FLAKES IN BOX 2KG</v>
          </cell>
          <cell r="C3382" t="str">
            <v>CHẤT HOẠT ĐỘNG BỀ MẶT DẠNG ANION ĐÓNG TRONG HỘP 2KG</v>
          </cell>
          <cell r="D3382" t="str">
            <v>MES (METHYL ESTER SULFONATE) FLAKES IN BOX 2KG</v>
          </cell>
          <cell r="E3382">
            <v>1</v>
          </cell>
          <cell r="F3382" t="str">
            <v>Chọn</v>
          </cell>
          <cell r="G3382"/>
          <cell r="H3382"/>
        </row>
        <row r="3383">
          <cell r="A3383" t="str">
            <v>7.B2407239902B816</v>
          </cell>
          <cell r="B3383" t="str">
            <v>BAG KETCHUP 1KG ( KFC)  X 10 PAC/ CAR</v>
          </cell>
          <cell r="C3383" t="str">
            <v>TƯƠNG CÀ TÚI 1KG X 10 GÓI / THÙNG</v>
          </cell>
          <cell r="D3383" t="str">
            <v>BAG KETCHUP 1KG ( KFC)  X 10 PAC/ CAR</v>
          </cell>
          <cell r="E3383">
            <v>10</v>
          </cell>
          <cell r="F3383" t="str">
            <v>Bỏ chọn</v>
          </cell>
          <cell r="G3383"/>
          <cell r="H3383"/>
        </row>
        <row r="3384">
          <cell r="A3384" t="str">
            <v>7.B2407239902B81601</v>
          </cell>
          <cell r="B3384" t="str">
            <v>BAG KETCHUP 1KG ( KFC)</v>
          </cell>
          <cell r="C3384" t="str">
            <v>TƯƠNG CÀ TÚI 1KG</v>
          </cell>
          <cell r="D3384" t="str">
            <v>BAG KETCHUP 1KG ( KFC)</v>
          </cell>
          <cell r="E3384">
            <v>1</v>
          </cell>
          <cell r="F3384" t="str">
            <v>Bỏ chọn</v>
          </cell>
          <cell r="G3384"/>
          <cell r="H3384"/>
        </row>
        <row r="3385">
          <cell r="A3385" t="str">
            <v>7.B2407239967B816</v>
          </cell>
          <cell r="B3385" t="str">
            <v>SACHET KETCHUP 10G ( KFC)  X 1200 PAC/ CARTON</v>
          </cell>
          <cell r="C3385" t="str">
            <v>TƯƠNG CÀ TÚI 10G X 1200 GÓI / THÙNG</v>
          </cell>
          <cell r="D3385" t="str">
            <v>SACHET KETCHUP 10G ( KFC)  X 1200 PAC/ CARTON</v>
          </cell>
          <cell r="E3385">
            <v>12</v>
          </cell>
          <cell r="F3385" t="str">
            <v>Bỏ chọn</v>
          </cell>
          <cell r="G3385"/>
          <cell r="H3385"/>
        </row>
        <row r="3386">
          <cell r="A3386" t="str">
            <v>7.B2407239967B81601</v>
          </cell>
          <cell r="B3386" t="str">
            <v>SACHET KETCHUP 10G ( KFC)</v>
          </cell>
          <cell r="C3386" t="str">
            <v>TƯƠNG CÀ TÚI 10G</v>
          </cell>
          <cell r="D3386" t="str">
            <v>SACHET KETCHUP 10G ( KFC)</v>
          </cell>
          <cell r="E3386">
            <v>0.01</v>
          </cell>
          <cell r="F3386" t="str">
            <v>Bỏ chọn</v>
          </cell>
          <cell r="G3386"/>
          <cell r="H3386"/>
        </row>
        <row r="3387">
          <cell r="A3387" t="str">
            <v>V51.000.125</v>
          </cell>
          <cell r="B3387" t="str">
            <v>WHITE EMPTY PP BAG OF KALI POWDER ROYAL BRAND SIZE 50 KG</v>
          </cell>
          <cell r="C3387" t="str">
            <v>VỎ BAO PP TRẮNG PHÂN BÓN KALI BỘT HIỆU HOÀNG GIA LOẠI 50KG</v>
          </cell>
          <cell r="D3387" t="str">
            <v>WHITE EMPTY PP BAG OF KALI POWDER ROYAL BRAND SIZE 50 KG</v>
          </cell>
          <cell r="E3387">
            <v>0.12</v>
          </cell>
          <cell r="F3387" t="str">
            <v>Chọn</v>
          </cell>
          <cell r="G3387"/>
          <cell r="H3387"/>
        </row>
        <row r="3388">
          <cell r="A3388" t="str">
            <v>V51.000.126</v>
          </cell>
          <cell r="B3388" t="str">
            <v>WHITE EMPTY PP BAG OF KALI GRANULAR ROYAL BRAND SIZE 50 KG</v>
          </cell>
          <cell r="C3388" t="str">
            <v>VỎ BAO PP TRẮNG PHÂN BÓN KALI HẠT HIỆU HOÀNG GIA LOẠI 50KG</v>
          </cell>
          <cell r="D3388" t="str">
            <v>WHITE EMPTY PP BAG OF KALI GRANULAR ROYAL BRAND SIZE 50 KG</v>
          </cell>
          <cell r="E3388">
            <v>0.12</v>
          </cell>
          <cell r="F3388" t="str">
            <v>Chọn</v>
          </cell>
          <cell r="G3388"/>
          <cell r="H3388"/>
        </row>
        <row r="3389">
          <cell r="A3389" t="str">
            <v>7.101089591200030</v>
          </cell>
          <cell r="B3389" t="str">
            <v>SATTELITE ROL CP10 IN JERRYCAN@25KG</v>
          </cell>
          <cell r="C3389" t="str">
            <v>DẦU OLEIN CỌ TINH LUYỆN NHÃN HIỆU SATELLITE TRONG CAN NHỰA 25KG</v>
          </cell>
          <cell r="D3389" t="str">
            <v>SATTELITE ROL CP10 IN JERRYCAN@25KG</v>
          </cell>
          <cell r="E3389">
            <v>25</v>
          </cell>
          <cell r="F3389" t="str">
            <v>Chọn</v>
          </cell>
          <cell r="G3389"/>
          <cell r="H3389"/>
        </row>
        <row r="3390">
          <cell r="A3390" t="str">
            <v>6.523991099H571</v>
          </cell>
          <cell r="B3390" t="str">
            <v>FLOUR 1-ANW9.5</v>
          </cell>
          <cell r="C3390" t="str">
            <v>BỘT MÌ DẠNG XÁ ANW9.5</v>
          </cell>
          <cell r="D3390" t="str">
            <v>FLOUR 1-ANW9.5</v>
          </cell>
          <cell r="E3390">
            <v>1</v>
          </cell>
          <cell r="F3390" t="str">
            <v>Bỏ chọn</v>
          </cell>
          <cell r="G3390"/>
          <cell r="H3390"/>
        </row>
        <row r="3391">
          <cell r="A3391" t="str">
            <v>6.523991099H57117</v>
          </cell>
          <cell r="B3391" t="str">
            <v>FLOUR 1-ANW9.5 LOW ASH</v>
          </cell>
          <cell r="C3391" t="str">
            <v>BỘT MÌ DẠNG XÁ ANW9.5 LOW ASH</v>
          </cell>
          <cell r="D3391" t="str">
            <v>FLOUR 1-ANW9.5 LOW ASH</v>
          </cell>
          <cell r="E3391">
            <v>1</v>
          </cell>
          <cell r="F3391" t="str">
            <v>Bỏ chọn</v>
          </cell>
          <cell r="G3391"/>
          <cell r="H3391"/>
        </row>
        <row r="3392">
          <cell r="A3392" t="str">
            <v>6.523991099H572</v>
          </cell>
          <cell r="B3392" t="str">
            <v>FLOUR 1-BZF</v>
          </cell>
          <cell r="C3392" t="str">
            <v>BỘT MÌ DẠNG XÁ BZF</v>
          </cell>
          <cell r="D3392" t="str">
            <v>FLOUR 1-BZF</v>
          </cell>
          <cell r="E3392">
            <v>1</v>
          </cell>
          <cell r="F3392" t="str">
            <v>Bỏ chọn</v>
          </cell>
          <cell r="G3392"/>
          <cell r="H3392"/>
        </row>
        <row r="3393">
          <cell r="A3393" t="str">
            <v>6.523991099H573</v>
          </cell>
          <cell r="B3393" t="str">
            <v>FLOUR 1-IMW11.5</v>
          </cell>
          <cell r="C3393" t="str">
            <v>BỘT MÌ DẠNG XÁ IMW11.5</v>
          </cell>
          <cell r="D3393" t="str">
            <v>FLOUR 1-IMW11.5</v>
          </cell>
          <cell r="E3393">
            <v>1</v>
          </cell>
          <cell r="F3393" t="str">
            <v>Bỏ chọn</v>
          </cell>
          <cell r="G3393"/>
          <cell r="H3393"/>
        </row>
        <row r="3394">
          <cell r="A3394" t="str">
            <v>6.523991099H574</v>
          </cell>
          <cell r="B3394" t="str">
            <v>FLOUR 1-AH9 12</v>
          </cell>
          <cell r="C3394" t="str">
            <v>BỘT MÌ DẠNG XÁ AH9 12</v>
          </cell>
          <cell r="D3394" t="str">
            <v>FLOUR 1-AH9 12</v>
          </cell>
          <cell r="E3394">
            <v>1</v>
          </cell>
          <cell r="F3394" t="str">
            <v>Bỏ chọn</v>
          </cell>
          <cell r="G3394"/>
          <cell r="H3394"/>
        </row>
        <row r="3395">
          <cell r="A3395" t="str">
            <v>6.523991099H575</v>
          </cell>
          <cell r="B3395" t="str">
            <v>FLOUR 1-AH9 11.5</v>
          </cell>
          <cell r="C3395" t="str">
            <v>BỘT MÌ DẠNG XÁ AH9 11.5</v>
          </cell>
          <cell r="D3395" t="str">
            <v>FLOUR 1-AH9 11.5</v>
          </cell>
          <cell r="E3395">
            <v>1</v>
          </cell>
          <cell r="F3395" t="str">
            <v>Bỏ chọn</v>
          </cell>
          <cell r="G3395"/>
          <cell r="H3395"/>
        </row>
        <row r="3396">
          <cell r="A3396" t="str">
            <v>6.523991099H57118</v>
          </cell>
          <cell r="B3396" t="str">
            <v>FLOUR 1-ANW9.5 LOW ASH HIRATIO</v>
          </cell>
          <cell r="C3396" t="str">
            <v>BỘT MÌ DẠNG XÁ ANW9.5 LOW ASH HIRATIO</v>
          </cell>
          <cell r="D3396" t="str">
            <v>FLOUR 1-ANW9.5 LOW ASH HIRATIO</v>
          </cell>
          <cell r="E3396">
            <v>1</v>
          </cell>
          <cell r="F3396" t="str">
            <v>Bỏ chọn</v>
          </cell>
          <cell r="G3396"/>
          <cell r="H3396"/>
        </row>
        <row r="3397">
          <cell r="A3397" t="str">
            <v>7.52399089901H701TD</v>
          </cell>
          <cell r="B3397" t="str">
            <v>MEIZAN 0.5 KG (PAC)</v>
          </cell>
          <cell r="C3397" t="str">
            <v>BỘT MÌ ĐA DỤNG CAO CẤP HIỆU MEIZAN 0.5KG (GÓI)</v>
          </cell>
          <cell r="D3397" t="str">
            <v>MEIZAN 0.5 KG (PAC)</v>
          </cell>
          <cell r="E3397">
            <v>0.5</v>
          </cell>
          <cell r="F3397" t="str">
            <v>Chọn</v>
          </cell>
          <cell r="G3397"/>
          <cell r="H3397"/>
        </row>
        <row r="3398">
          <cell r="A3398" t="str">
            <v>7.B2402239933010301TD</v>
          </cell>
          <cell r="B3398" t="str">
            <v xml:space="preserve">SPECIAL HOT CHILI SAUCE 400G </v>
          </cell>
          <cell r="C3398" t="str">
            <v>TƯƠNG ỚT ĐẶC BIỆT CAY 400G</v>
          </cell>
          <cell r="D3398" t="str">
            <v xml:space="preserve">SPECIAL HOT CHILI SAUCE 400G </v>
          </cell>
          <cell r="E3398">
            <v>0.4</v>
          </cell>
          <cell r="F3398" t="str">
            <v>Bỏ chọn</v>
          </cell>
          <cell r="G3398"/>
          <cell r="H3398"/>
        </row>
        <row r="3399">
          <cell r="A3399" t="str">
            <v>7.A3199089908012101TD</v>
          </cell>
          <cell r="B3399" t="str">
            <v>MEIZAN CORN STARCH 150G</v>
          </cell>
          <cell r="C3399" t="str">
            <v>BỘT BẮP MEIZAN 150G</v>
          </cell>
          <cell r="D3399" t="str">
            <v>MEIZAN CORN STARCH 150G</v>
          </cell>
          <cell r="E3399">
            <v>0.15</v>
          </cell>
          <cell r="F3399" t="str">
            <v>Bỏ chọn</v>
          </cell>
          <cell r="G3399"/>
          <cell r="H3399"/>
        </row>
        <row r="3400">
          <cell r="A3400" t="str">
            <v>7.B24106399A0014701TD</v>
          </cell>
          <cell r="B3400" t="str">
            <v>ROASTED FLAVORED RICE MAYONNAISE 230G</v>
          </cell>
          <cell r="C3400" t="str">
            <v>MAYONNAISE HƯƠNG GẠO RANG 230G</v>
          </cell>
          <cell r="D3400" t="str">
            <v>ROASTED FLAVORED RICE MAYONNAISE 230G</v>
          </cell>
          <cell r="E3400">
            <v>0.23</v>
          </cell>
          <cell r="F3400" t="str">
            <v>Bỏ chọn</v>
          </cell>
          <cell r="G3400"/>
          <cell r="H3400"/>
        </row>
        <row r="3401">
          <cell r="A3401" t="str">
            <v>7.A32058099010101TD</v>
          </cell>
          <cell r="B3401" t="str">
            <v>OLIVOILÀ SPAGHETTI N.5 500G/ PAC</v>
          </cell>
          <cell r="C3401" t="str">
            <v>MÌ SPAGHETTI OLIVOILÀ N.5 500G/ GÓI</v>
          </cell>
          <cell r="D3401" t="str">
            <v>OLIVOILÀ SPAGHETTI N.5 500G/ PAC</v>
          </cell>
          <cell r="E3401">
            <v>0.5</v>
          </cell>
          <cell r="F3401" t="str">
            <v>Bỏ chọn</v>
          </cell>
          <cell r="G3401"/>
          <cell r="H3401"/>
        </row>
        <row r="3402">
          <cell r="A3402" t="str">
            <v>7.5239941990565</v>
          </cell>
          <cell r="B3402" t="str">
            <v>AP 25KG</v>
          </cell>
          <cell r="C3402" t="str">
            <v>BỘT MÌ HIỆU AP 25KG</v>
          </cell>
          <cell r="D3402" t="str">
            <v>AP 25KG</v>
          </cell>
          <cell r="E3402">
            <v>1</v>
          </cell>
          <cell r="F3402" t="str">
            <v>Bỏ chọn</v>
          </cell>
          <cell r="G3402"/>
          <cell r="H3402"/>
        </row>
        <row r="3403">
          <cell r="A3403" t="str">
            <v>V58.000.005</v>
          </cell>
          <cell r="B3403" t="str">
            <v>WILMAR LACQUER TEA BOX</v>
          </cell>
          <cell r="C3403" t="str">
            <v>HỘP TRÀ SƠN MÀI WILMAR</v>
          </cell>
          <cell r="D3403" t="str">
            <v>WILMAR LACQUER TEA BOX</v>
          </cell>
          <cell r="E3403">
            <v>0</v>
          </cell>
          <cell r="F3403" t="str">
            <v>Chọn</v>
          </cell>
          <cell r="G3403"/>
          <cell r="H3403"/>
        </row>
        <row r="3404">
          <cell r="A3404" t="str">
            <v>7.52399A2990501</v>
          </cell>
          <cell r="B3404" t="str">
            <v>PREMIUM SK BREAD FLOUR 25KG</v>
          </cell>
          <cell r="C3404" t="str">
            <v>PREMIUM SK BREAD FLOUR 25KG</v>
          </cell>
          <cell r="D3404" t="str">
            <v>PREMIUM SK BREAD FLOUR 25KG</v>
          </cell>
          <cell r="E3404">
            <v>1</v>
          </cell>
          <cell r="F3404" t="str">
            <v>Bỏ chọn</v>
          </cell>
          <cell r="G3404"/>
          <cell r="H3404"/>
        </row>
        <row r="3405">
          <cell r="A3405" t="str">
            <v>6.70555</v>
          </cell>
          <cell r="B3405" t="str">
            <v>STEARIC ACID SA1810; IN PLASTIC BAG 600KG</v>
          </cell>
          <cell r="C3405" t="str">
            <v>AXIT STEARIC SA1810; BAO NHỰA 600KG</v>
          </cell>
          <cell r="D3405" t="str">
            <v>STEARIC ACID SA1810; IN PLASTIC BAG 600KG</v>
          </cell>
          <cell r="E3405">
            <v>1</v>
          </cell>
          <cell r="F3405" t="str">
            <v>Chọn</v>
          </cell>
          <cell r="G3405"/>
          <cell r="H3405"/>
        </row>
        <row r="3406">
          <cell r="A3406" t="str">
            <v>6.70556</v>
          </cell>
          <cell r="B3406" t="str">
            <v>GENAGEN CAB UQS-H 1050, IBC PLASTIC TANK 1050KG</v>
          </cell>
          <cell r="C3406" t="str">
            <v>CHẤT HOẠT ĐỘNG BỀ MẶT GENAGEN CAB UQS - H 1050, BỒN NHỰA IBC 1050KG</v>
          </cell>
          <cell r="D3406" t="str">
            <v>GENAGEN CAB UQS-H 1050, IBC PLASTIC TANK 1050KG</v>
          </cell>
          <cell r="E3406">
            <v>1</v>
          </cell>
          <cell r="F3406" t="str">
            <v>Chọn</v>
          </cell>
          <cell r="G3406"/>
          <cell r="H3406"/>
        </row>
        <row r="3407">
          <cell r="A3407" t="str">
            <v>V51.600.219</v>
          </cell>
          <cell r="B3407" t="str">
            <v>AW POWER100 MINI BOOTH</v>
          </cell>
          <cell r="C3407" t="str">
            <v>HÌNH ẢNH XE ĐẨY POWER 100</v>
          </cell>
          <cell r="D3407" t="str">
            <v>AW POWER100 MINI BOOTH</v>
          </cell>
          <cell r="E3407">
            <v>1</v>
          </cell>
          <cell r="F3407" t="str">
            <v>Bỏ chọn</v>
          </cell>
          <cell r="G3407"/>
          <cell r="H3407"/>
        </row>
        <row r="3408">
          <cell r="A3408" t="str">
            <v>7.B25080899B90105</v>
          </cell>
          <cell r="B3408" t="str">
            <v>MEIZAN PORK BOUILLON GRANULE 1,8KG X 6 PAC/CAR</v>
          </cell>
          <cell r="C3408" t="str">
            <v>HẠT NÊM MEIZAN THỊT, XƯƠNG ỐNG, TỦY, CÀ RỐT – VỊ HEO 1,8 KG X 6 GÓI/THÙNG</v>
          </cell>
          <cell r="D3408" t="str">
            <v>MEIZAN PORK BOUILLON GRANULE 1,8KG X 6 PAC/CAR</v>
          </cell>
          <cell r="E3408">
            <v>10.8</v>
          </cell>
          <cell r="F3408" t="str">
            <v>Bỏ chọn</v>
          </cell>
          <cell r="G3408" t="str">
            <v>2000000008</v>
          </cell>
          <cell r="H3408" t="str">
            <v>7.B25080899B9010501</v>
          </cell>
        </row>
        <row r="3409">
          <cell r="A3409" t="str">
            <v>7.B25080899B9010501</v>
          </cell>
          <cell r="B3409" t="str">
            <v>MEIZAN PORK BOUILLON GRANULE 1,8KG</v>
          </cell>
          <cell r="C3409" t="str">
            <v>HẠT NÊM MEIZAN THỊT, XƯƠNG ỐNG, TỦY, CÀ RỐT – VỊ HEO 1,8 KG</v>
          </cell>
          <cell r="D3409" t="str">
            <v>MEIZAN PORK BOUILLON GRANULE 1,8KG</v>
          </cell>
          <cell r="E3409">
            <v>1.8</v>
          </cell>
          <cell r="F3409" t="str">
            <v>Bỏ chọn</v>
          </cell>
          <cell r="G3409" t="str">
            <v>2000000008</v>
          </cell>
          <cell r="H3409"/>
        </row>
        <row r="3410">
          <cell r="A3410" t="str">
            <v>7.705B4</v>
          </cell>
          <cell r="B3410" t="str">
            <v>YELLOW GLYCERINE IN CARTON 2KG</v>
          </cell>
          <cell r="C3410" t="str">
            <v>YELLOW GLYCERINE ĐÓNG TRONG THÙNG CARTON 2KG</v>
          </cell>
          <cell r="D3410" t="str">
            <v>YELLOW GLYCERINE IN CARTON 2KG</v>
          </cell>
          <cell r="E3410">
            <v>1</v>
          </cell>
          <cell r="F3410" t="str">
            <v>Chọn</v>
          </cell>
          <cell r="G3410"/>
          <cell r="H3410"/>
        </row>
        <row r="3411">
          <cell r="A3411" t="str">
            <v>F07514001</v>
          </cell>
          <cell r="B3411" t="str">
            <v>RED T-SHIRT</v>
          </cell>
          <cell r="C3411" t="str">
            <v>ÁO THUN CỔ TRỤ MÀU ĐỎ</v>
          </cell>
          <cell r="D3411" t="str">
            <v>RED T-SHIRT</v>
          </cell>
          <cell r="E3411">
            <v>0</v>
          </cell>
          <cell r="F3411" t="str">
            <v>Bỏ chọn</v>
          </cell>
          <cell r="G3411"/>
          <cell r="H3411"/>
        </row>
        <row r="3412">
          <cell r="A3412" t="str">
            <v>F07514008</v>
          </cell>
          <cell r="B3412" t="str">
            <v>BLUE T-SHIRT</v>
          </cell>
          <cell r="C3412" t="str">
            <v>ÁO THUN CỔ TRỤ MÀU XANH DƯƠNG</v>
          </cell>
          <cell r="D3412" t="str">
            <v>BLUE T-SHIRT</v>
          </cell>
          <cell r="E3412">
            <v>0</v>
          </cell>
          <cell r="F3412" t="str">
            <v>Bỏ chọn</v>
          </cell>
          <cell r="G3412"/>
          <cell r="H3412"/>
        </row>
        <row r="3413">
          <cell r="A3413" t="str">
            <v>7.B24022399B8016601TD</v>
          </cell>
          <cell r="B3413" t="str">
            <v>NAM DUONG HOT CHILI SAUCE 255G</v>
          </cell>
          <cell r="C3413" t="str">
            <v>TƯƠNG ỚT NAM DƯƠNG CAY VỪA 255G</v>
          </cell>
          <cell r="D3413" t="str">
            <v>NAM DUONG HOT CHILI SAUCE 255G</v>
          </cell>
          <cell r="E3413">
            <v>0.255</v>
          </cell>
          <cell r="F3413" t="str">
            <v>Bỏ chọn</v>
          </cell>
          <cell r="G3413"/>
          <cell r="H3413"/>
        </row>
        <row r="3414">
          <cell r="A3414" t="str">
            <v>7.52399779903A0</v>
          </cell>
          <cell r="B3414" t="str">
            <v>SAMPLE GREEN KEY 111 5KG</v>
          </cell>
          <cell r="C3414" t="str">
            <v>BỘT MÌ HIỆU CHÌA KHÓA XANH LÁ - 111 5KG</v>
          </cell>
          <cell r="D3414" t="str">
            <v>SAMPLE GREEN KEY 111 5KG</v>
          </cell>
          <cell r="E3414">
            <v>1</v>
          </cell>
          <cell r="F3414" t="str">
            <v>Bỏ chọn</v>
          </cell>
          <cell r="G3414"/>
          <cell r="H3414"/>
        </row>
        <row r="3415">
          <cell r="A3415" t="str">
            <v>7.52399269905I7</v>
          </cell>
          <cell r="B3415" t="str">
            <v>BLUE KEY PAU PM 25KG</v>
          </cell>
          <cell r="C3415" t="str">
            <v>BỘT MÌ HIỆU CHÌA KHÓA XANH BÁNH BAO PM 25KG</v>
          </cell>
          <cell r="D3415" t="str">
            <v>BLUE KEY PAU PM 25KG</v>
          </cell>
          <cell r="E3415">
            <v>1</v>
          </cell>
          <cell r="F3415" t="str">
            <v>Bỏ chọn</v>
          </cell>
          <cell r="G3415"/>
          <cell r="H3415"/>
        </row>
        <row r="3416">
          <cell r="A3416" t="str">
            <v>7.B2508549901010501TD</v>
          </cell>
          <cell r="B3416" t="str">
            <v>PORK BOUILLON GRANULE 500G</v>
          </cell>
          <cell r="C3416" t="str">
            <v>HẠT NÊM 4 TRONG 1 - VỊ HEO 500G</v>
          </cell>
          <cell r="D3416" t="str">
            <v>PORK BOUILLON GRANULE 500G</v>
          </cell>
          <cell r="E3416">
            <v>0.5</v>
          </cell>
          <cell r="F3416" t="str">
            <v>Bỏ chọn</v>
          </cell>
          <cell r="G3416"/>
          <cell r="H3416"/>
        </row>
        <row r="3417">
          <cell r="A3417" t="str">
            <v>7.A330208999001TD</v>
          </cell>
          <cell r="B3417" t="str">
            <v>MEIZAN PREMIUM MACARONI 200G X 24 BAG</v>
          </cell>
          <cell r="C3417" t="str">
            <v>NUI CAO CẤP MEIZAN 200G X 24 GÓI</v>
          </cell>
          <cell r="D3417" t="str">
            <v>MEIZAN PREMIUM MACARONI 200G X 24 BAG</v>
          </cell>
          <cell r="E3417">
            <v>4.8</v>
          </cell>
          <cell r="F3417" t="str">
            <v>Bỏ chọn</v>
          </cell>
          <cell r="G3417"/>
          <cell r="H3417"/>
        </row>
        <row r="3418">
          <cell r="A3418" t="str">
            <v>7.B24022399B80166TD</v>
          </cell>
          <cell r="B3418" t="str">
            <v>NAM DUONG HOT CHILI SAUCE 255G X 12 BOT/CAR</v>
          </cell>
          <cell r="C3418" t="str">
            <v>TƯƠNG ỚT NAM DƯƠNG CAY VỪA 255G X 12 CHAI/THÙNG</v>
          </cell>
          <cell r="D3418" t="str">
            <v>NAM DUONG HOT CHILI SAUCE 255G X 12 BOT/CAR</v>
          </cell>
          <cell r="E3418">
            <v>3.06</v>
          </cell>
          <cell r="F3418" t="str">
            <v>Bỏ chọn</v>
          </cell>
          <cell r="G3418"/>
          <cell r="H3418"/>
        </row>
        <row r="3419">
          <cell r="A3419" t="str">
            <v>7.B24012399599213TD</v>
          </cell>
          <cell r="B3419" t="str">
            <v>NAM DUONG CONDENSED SOY SAUCE 500ML X 24 BOT</v>
          </cell>
          <cell r="C3419" t="str">
            <v>THỰC PHẨM BỔ SUNG NƯỚC TƯƠNG NAM DƯƠNG ĐẬM ĐẶC 500ML X 24 CHAI</v>
          </cell>
          <cell r="D3419" t="str">
            <v>NAM DUONG CONDENSED SOY SAUCE 500ML X 24 BOT</v>
          </cell>
          <cell r="E3419">
            <v>13.458</v>
          </cell>
          <cell r="F3419" t="str">
            <v>Bỏ chọn</v>
          </cell>
          <cell r="G3419"/>
          <cell r="H3419"/>
        </row>
        <row r="3420">
          <cell r="A3420" t="str">
            <v>V51.00A.052</v>
          </cell>
          <cell r="B3420" t="str">
            <v>SPICE RACK</v>
          </cell>
          <cell r="C3420" t="str">
            <v>GIÁ TREO HẠT NÊM</v>
          </cell>
          <cell r="D3420" t="str">
            <v>SPICE RACK</v>
          </cell>
          <cell r="E3420">
            <v>0</v>
          </cell>
          <cell r="F3420" t="str">
            <v>Bỏ chọn</v>
          </cell>
          <cell r="G3420"/>
          <cell r="H3420"/>
        </row>
        <row r="3421">
          <cell r="A3421" t="str">
            <v>7.1070140896333000</v>
          </cell>
          <cell r="B3421" t="str">
            <v>SATELLITE BOS MP 44 PLASTIC BUCKET @18KG</v>
          </cell>
          <cell r="C3421" t="str">
            <v>DẦU BƠ THAY THẾ NHÃN HIỆU SATELLITE (NHÃN MÀU XANH) TRONG XÔ NHỰA 18KG</v>
          </cell>
          <cell r="D3421" t="str">
            <v>SATELLITE BOS MP 44 PLASTIC BUCKET @18KG</v>
          </cell>
          <cell r="E3421">
            <v>18</v>
          </cell>
          <cell r="F3421" t="str">
            <v>Chọn</v>
          </cell>
          <cell r="G3421"/>
          <cell r="H3421"/>
        </row>
        <row r="3422">
          <cell r="A3422" t="str">
            <v>7.705B5</v>
          </cell>
          <cell r="B3422" t="str">
            <v>DISTILLED MONOGLYCERIDE (CF01) IN PLASTIC BAG 5KG</v>
          </cell>
          <cell r="C3422" t="str">
            <v>DISTILLED MONOGLYCERIDE (CF01) ĐÓNG TRONG BAO NHỰA 5KG</v>
          </cell>
          <cell r="D3422" t="str">
            <v>DISTILLED MONOGLYCERIDE (CF01) IN PLASTIC BAG 5KG</v>
          </cell>
          <cell r="E3422">
            <v>1</v>
          </cell>
          <cell r="F3422" t="str">
            <v>Chọn</v>
          </cell>
          <cell r="G3422"/>
          <cell r="H3422"/>
        </row>
        <row r="3423">
          <cell r="A3423" t="str">
            <v>7.475056171704020</v>
          </cell>
          <cell r="B3423" t="str">
            <v>CO-OLIVOILA POMACE OLIVE OIL 750ML*6BTL</v>
          </cell>
          <cell r="C3423" t="str">
            <v>DẦU Ô-LIU POMACE NHÃN HIỆU OLIVOILÀ 750ML</v>
          </cell>
          <cell r="D3423" t="str">
            <v>CO-OLIVOILA POMACE OLIVE OIL 750ML*6BTL</v>
          </cell>
          <cell r="E3423">
            <v>4.0949999999999998</v>
          </cell>
          <cell r="F3423" t="str">
            <v>Chọn</v>
          </cell>
          <cell r="G3423"/>
          <cell r="H3423" t="str">
            <v>7.475056171700020</v>
          </cell>
        </row>
        <row r="3424">
          <cell r="A3424" t="str">
            <v>7.475056171700020</v>
          </cell>
          <cell r="B3424" t="str">
            <v>CO-OLIVOILA POMACE OLIVE OIL BTL@750ML</v>
          </cell>
          <cell r="C3424" t="str">
            <v>DẦU Ô-LIU POMACE NHÃN HIỆU OLIVOILÀ 750ML</v>
          </cell>
          <cell r="D3424" t="str">
            <v>CO-OLIVOILA POMACE OLIVE OIL BTL@750ML</v>
          </cell>
          <cell r="E3424">
            <v>0.68200000000000005</v>
          </cell>
          <cell r="F3424" t="str">
            <v>Chọn</v>
          </cell>
          <cell r="G3424"/>
          <cell r="H3424"/>
        </row>
        <row r="3425">
          <cell r="A3425" t="str">
            <v>7.705B6</v>
          </cell>
          <cell r="B3425" t="str">
            <v>MEIZAN BRAND – WILMAX KT220504 IN PLASTIC BAG 5KG</v>
          </cell>
          <cell r="C3425" t="str">
            <v>CHẤT BÉO THỰC VẬT WILMAX KT220504, NHÃN HIỆU MEIZAN ĐÓNG TRONG BAO NHỰA 5KG</v>
          </cell>
          <cell r="D3425" t="str">
            <v>MEIZAN BRAND – WILMAX KT220504 IN PLASTIC BAG 5KG</v>
          </cell>
          <cell r="E3425">
            <v>1</v>
          </cell>
          <cell r="F3425" t="str">
            <v>Chọn</v>
          </cell>
          <cell r="G3425"/>
          <cell r="H3425"/>
        </row>
        <row r="3426">
          <cell r="A3426" t="str">
            <v>7.705B7</v>
          </cell>
          <cell r="B3426" t="str">
            <v>DIMER ACID BIODA-80 IN BOTTLE 1KG</v>
          </cell>
          <cell r="C3426" t="str">
            <v>AXIT DIMER BIODA-80 ĐÓNG CHAI 1KG</v>
          </cell>
          <cell r="D3426" t="str">
            <v>DIMER ACID BIODA-80 IN BOTTLE 1KG</v>
          </cell>
          <cell r="E3426">
            <v>1</v>
          </cell>
          <cell r="F3426" t="str">
            <v>Chọn</v>
          </cell>
          <cell r="G3426"/>
          <cell r="H3426"/>
        </row>
        <row r="3427">
          <cell r="A3427" t="str">
            <v>7.705B8</v>
          </cell>
          <cell r="B3427" t="str">
            <v>MEDIUM CHAIN TRIGLYCERIDE (MCT) IN BOTTLE 1KG</v>
          </cell>
          <cell r="C3427" t="str">
            <v>HỖN HỢP CÁC ESTE CỦA AXIT BÉO MẠCH TRUNG BÌNH ĐÓNG CHAI 1KG</v>
          </cell>
          <cell r="D3427" t="str">
            <v>MEDIUM CHAIN TRIGLYCERIDE (MCT) IN BOTTLE 1KG</v>
          </cell>
          <cell r="E3427">
            <v>1</v>
          </cell>
          <cell r="F3427" t="str">
            <v>Chọn</v>
          </cell>
          <cell r="G3427"/>
          <cell r="H3427"/>
        </row>
        <row r="3428">
          <cell r="A3428" t="str">
            <v>V51.000.127</v>
          </cell>
          <cell r="B3428" t="str">
            <v>PRINTING HP LASERJET</v>
          </cell>
          <cell r="C3428" t="str">
            <v>MÁY IN ĐA CHỨC NĂNG HP LASERJET</v>
          </cell>
          <cell r="D3428" t="str">
            <v>PRINTING HP LASERJET</v>
          </cell>
          <cell r="E3428">
            <v>30</v>
          </cell>
          <cell r="F3428" t="str">
            <v>Chọn</v>
          </cell>
          <cell r="G3428"/>
          <cell r="H3428"/>
        </row>
        <row r="3429">
          <cell r="A3429" t="str">
            <v>V51.000.128</v>
          </cell>
          <cell r="B3429" t="str">
            <v>SAMSUNG GALAXY TAB A7 LITE</v>
          </cell>
          <cell r="C3429" t="str">
            <v>MÁY TÍNH BẢNG SAMSUNG GALAXY TAB A7 LITE</v>
          </cell>
          <cell r="D3429" t="str">
            <v>SAMSUNG GALAXY TAB A7 LITE</v>
          </cell>
          <cell r="E3429">
            <v>0.371</v>
          </cell>
          <cell r="F3429" t="str">
            <v>Chọn</v>
          </cell>
          <cell r="G3429"/>
          <cell r="H3429"/>
        </row>
        <row r="3430">
          <cell r="A3430" t="str">
            <v>7.B242302209199</v>
          </cell>
          <cell r="B3430" t="str">
            <v>CHILLI SAUCE HORECA HANG VIET 2,1KG X 6 BOT/CAR</v>
          </cell>
          <cell r="C3430" t="str">
            <v>TƯƠNG ỚT HÀNG VIỆT HORECA 2,1KG X 6 CHAI/THÙNG</v>
          </cell>
          <cell r="D3430" t="str">
            <v>CHILLI SAUCE HORECA HANG VIET 2,1KG X 6 BOT/CAR</v>
          </cell>
          <cell r="E3430">
            <v>12.6</v>
          </cell>
          <cell r="F3430" t="str">
            <v>Bỏ chọn</v>
          </cell>
          <cell r="G3430" t="str">
            <v>2000000008</v>
          </cell>
          <cell r="H3430" t="str">
            <v>7.B24230220919901</v>
          </cell>
        </row>
        <row r="3431">
          <cell r="A3431" t="str">
            <v>7.B242302969199</v>
          </cell>
          <cell r="B3431" t="str">
            <v>CHILLI SAUCE HORECA HANG VIET 4,2KG X 4 BOT/CAR</v>
          </cell>
          <cell r="C3431" t="str">
            <v>TƯƠNG ỚT HÀNG VIỆT HORECA 4,2KG X 4 CHAI/THÙNG</v>
          </cell>
          <cell r="D3431" t="str">
            <v>CHILLI SAUCE HORECA HANG VIET 4,2KG X 4 BOT/CAR</v>
          </cell>
          <cell r="E3431">
            <v>16.8</v>
          </cell>
          <cell r="F3431" t="str">
            <v>Bỏ chọn</v>
          </cell>
          <cell r="G3431" t="str">
            <v>2000000008</v>
          </cell>
          <cell r="H3431" t="str">
            <v>7.B24230296919901</v>
          </cell>
        </row>
        <row r="3432">
          <cell r="A3432" t="str">
            <v>7.B24230220919901</v>
          </cell>
          <cell r="B3432" t="str">
            <v>CHILLI SAUCE HORECA HANG VIET 2,1KG</v>
          </cell>
          <cell r="C3432" t="str">
            <v>TƯƠNG ỚT HÀNG VIỆT HORECA 2,1KG</v>
          </cell>
          <cell r="D3432" t="str">
            <v>CHILLI SAUCE HORECA HANG VIET 2,1KG</v>
          </cell>
          <cell r="E3432">
            <v>2.1</v>
          </cell>
          <cell r="F3432" t="str">
            <v>Bỏ chọn</v>
          </cell>
          <cell r="G3432" t="str">
            <v>2000000008</v>
          </cell>
          <cell r="H3432"/>
        </row>
        <row r="3433">
          <cell r="A3433" t="str">
            <v>7.B24230296919901</v>
          </cell>
          <cell r="B3433" t="str">
            <v>CHILLI SAUCE HORECA HANG VIET 4,2KG</v>
          </cell>
          <cell r="C3433" t="str">
            <v>TƯƠNG ỚT HÀNG VIỆT HORECA 4,2KG</v>
          </cell>
          <cell r="D3433" t="str">
            <v>CHILLI SAUCE HORECA HANG VIET 4,2KG</v>
          </cell>
          <cell r="E3433">
            <v>4.2</v>
          </cell>
          <cell r="F3433" t="str">
            <v>Bỏ chọn</v>
          </cell>
          <cell r="G3433" t="str">
            <v>2000000008</v>
          </cell>
          <cell r="H3433"/>
        </row>
        <row r="3434">
          <cell r="A3434" t="str">
            <v>6.70557</v>
          </cell>
          <cell r="B3434" t="str">
            <v>OLEIC ACID 7075 IN STEEL DRUM 180KG</v>
          </cell>
          <cell r="C3434" t="str">
            <v>AXIT OLEIC 7075; PHUY SẮT 180KG</v>
          </cell>
          <cell r="D3434" t="str">
            <v>OLEIC ACID 7075 IN STEEL DRUM 180KG</v>
          </cell>
          <cell r="E3434">
            <v>1</v>
          </cell>
          <cell r="F3434" t="str">
            <v>Chọn</v>
          </cell>
          <cell r="G3434"/>
          <cell r="H3434"/>
        </row>
        <row r="3435">
          <cell r="A3435" t="str">
            <v>7.B24012302489101</v>
          </cell>
          <cell r="B3435" t="str">
            <v>SAUCE SOY HANG VIET HORECA 4,5L X 4 BOT/ CAR</v>
          </cell>
          <cell r="C3435" t="str">
            <v>NƯỚC CHẤM ĐẬU NÀNH HÀNG VIỆT HORECA 4.5L X 4 CHAI/THÙNG</v>
          </cell>
          <cell r="D3435" t="str">
            <v>SAUCE SOY HANG VIET HORECA 4,5L X 4 BOT/ CAR</v>
          </cell>
          <cell r="E3435">
            <v>19.224</v>
          </cell>
          <cell r="F3435" t="str">
            <v>Bỏ chọn</v>
          </cell>
          <cell r="G3435" t="str">
            <v>2000000008</v>
          </cell>
          <cell r="H3435" t="str">
            <v>7.B2401230248910101</v>
          </cell>
        </row>
        <row r="3436">
          <cell r="A3436" t="str">
            <v>7.B2401230248910101</v>
          </cell>
          <cell r="B3436" t="str">
            <v>SAUCE SOY HANG VIET HORECA 4,5L</v>
          </cell>
          <cell r="C3436" t="str">
            <v>NƯỚC CHẤM ĐẬU NÀNH HÀNG VIỆT HORECA 4.5L</v>
          </cell>
          <cell r="D3436" t="str">
            <v>SAUCE SOY HANG VIET HORECA 4,5L</v>
          </cell>
          <cell r="E3436">
            <v>4.806</v>
          </cell>
          <cell r="F3436" t="str">
            <v>Bỏ chọn</v>
          </cell>
          <cell r="G3436" t="str">
            <v>2000000008</v>
          </cell>
          <cell r="H3436"/>
        </row>
        <row r="3437">
          <cell r="A3437" t="str">
            <v>7.707583653717400H</v>
          </cell>
          <cell r="B3437" t="str">
            <v>POWER100 SAVING DWL LEMON 3.5KG*4PCH</v>
          </cell>
          <cell r="C3437" t="str">
            <v>NƯỚC RỬA CHÉN POWER100 TIẾT KIỆM HƯƠNG CHANH 3.5KG*4 TÚI</v>
          </cell>
          <cell r="D3437" t="str">
            <v>POWER100 SAVING DWL LEMON 3.5KG*4PCH</v>
          </cell>
          <cell r="E3437">
            <v>14</v>
          </cell>
          <cell r="F3437" t="str">
            <v>Chọn</v>
          </cell>
          <cell r="G3437"/>
          <cell r="H3437" t="str">
            <v>7.7075836537174000</v>
          </cell>
        </row>
        <row r="3438">
          <cell r="A3438" t="str">
            <v>7.52399079905I8</v>
          </cell>
          <cell r="B3438" t="str">
            <v>GREEN KEY - IMANAKA 25KG (NON FE&amp;ZN)</v>
          </cell>
          <cell r="C3438" t="str">
            <v>BỘT MÌ HIỆU CHÌA KHÓA XANH LÁ 25KG</v>
          </cell>
          <cell r="D3438" t="str">
            <v>GREEN KEY - IMANAKA 25KG (NON FE&amp;ZN)</v>
          </cell>
          <cell r="E3438">
            <v>1</v>
          </cell>
          <cell r="F3438" t="str">
            <v>Bỏ chọn</v>
          </cell>
          <cell r="G3438"/>
          <cell r="H3438"/>
        </row>
        <row r="3439">
          <cell r="A3439" t="str">
            <v>7.705B9</v>
          </cell>
          <cell r="B3439" t="str">
            <v>DISTILLED TOPPED PALM KERNEL FATTY ACID (FA-1218), PLASTIC BOTTLE 1KG</v>
          </cell>
          <cell r="C3439" t="str">
            <v>AXIT BÉO NHÂN CỌ CHƯNG CẤT WILFARIN FA-1218, CHAI NHỰA 1KG</v>
          </cell>
          <cell r="D3439" t="str">
            <v>DISTILLED TOPPED PALM KERNEL FATTY ACID (FA-1218), PLASTIC BOTTLE 1KG</v>
          </cell>
          <cell r="E3439">
            <v>1</v>
          </cell>
          <cell r="F3439" t="str">
            <v>Chọn</v>
          </cell>
          <cell r="G3439"/>
          <cell r="H3439"/>
        </row>
        <row r="3440">
          <cell r="A3440" t="str">
            <v>6.458843P</v>
          </cell>
          <cell r="B3440" t="str">
            <v>DOUBLE DEWAXING RBD SUNFLOWER OIL</v>
          </cell>
          <cell r="C3440" t="str">
            <v>DẦU HƯỚNG DƯƠNG TINH LUYỆN</v>
          </cell>
          <cell r="D3440" t="str">
            <v>DOUBLE DEWAXING RBD SUNFLOWER OIL</v>
          </cell>
          <cell r="E3440">
            <v>1</v>
          </cell>
          <cell r="F3440" t="str">
            <v>Chọn</v>
          </cell>
          <cell r="G3440"/>
          <cell r="H3440"/>
        </row>
        <row r="3441">
          <cell r="A3441" t="str">
            <v>V51.000.129</v>
          </cell>
          <cell r="B3441" t="str">
            <v>HIKING BACKPACK 10L NH100 - GREY/LIGHT BROWN</v>
          </cell>
          <cell r="C3441" t="str">
            <v>BALO DÃ NGOẠI 10L NH100 - XÁM/NÂU NHẠT</v>
          </cell>
          <cell r="D3441" t="str">
            <v>HIKING BACKPACK 10L NH100 - GREY/LIGHT BROWN</v>
          </cell>
          <cell r="E3441">
            <v>0.14560000000000001</v>
          </cell>
          <cell r="F3441" t="str">
            <v>Chọn</v>
          </cell>
          <cell r="G3441"/>
          <cell r="H3441"/>
        </row>
        <row r="3442">
          <cell r="A3442" t="str">
            <v>V51.000.130</v>
          </cell>
          <cell r="B3442" t="str">
            <v>HIKING BACKPACK  10L</v>
          </cell>
          <cell r="C3442" t="str">
            <v>BALO ĐI BỘ NH100 10L</v>
          </cell>
          <cell r="D3442" t="str">
            <v>HIKING BACKPACK  10L</v>
          </cell>
          <cell r="E3442">
            <v>0.14499999999999999</v>
          </cell>
          <cell r="F3442" t="str">
            <v>Chọn</v>
          </cell>
          <cell r="G3442"/>
          <cell r="H3442"/>
        </row>
        <row r="3443">
          <cell r="A3443" t="str">
            <v>V51.000.131</v>
          </cell>
          <cell r="B3443" t="str">
            <v>BUM BAG 2L TRAVEL 100 - BLACK</v>
          </cell>
          <cell r="C3443" t="str">
            <v>TÚI ĐEO HÔNG DU LỊCH 2L GỌN NHẸ TRAVEL 100 - ĐEN</v>
          </cell>
          <cell r="D3443" t="str">
            <v>BUM BAG 2L TRAVEL 100 - BLACK</v>
          </cell>
          <cell r="E3443">
            <v>4.4999999999999998E-2</v>
          </cell>
          <cell r="F3443" t="str">
            <v>Chọn</v>
          </cell>
          <cell r="G3443"/>
          <cell r="H3443"/>
        </row>
        <row r="3444">
          <cell r="A3444" t="str">
            <v>V51.000.132</v>
          </cell>
          <cell r="B3444" t="str">
            <v>BUM BAG 2L TRAVEL 100 - PURPLE</v>
          </cell>
          <cell r="C3444" t="str">
            <v>TÚI ĐEO HÔNG DU LỊCH 2L GỌN NHẸ TRAVEL 100 - TÍM</v>
          </cell>
          <cell r="D3444" t="str">
            <v>BUM BAG 2L TRAVEL 100 - PURPLE</v>
          </cell>
          <cell r="E3444">
            <v>4.4999999999999998E-2</v>
          </cell>
          <cell r="F3444" t="str">
            <v>Chọn</v>
          </cell>
          <cell r="G3444"/>
          <cell r="H3444"/>
        </row>
        <row r="3445">
          <cell r="A3445" t="str">
            <v>V51.000.133</v>
          </cell>
          <cell r="B3445" t="str">
            <v>HIKING 10L BACKPACK ARPENAZ NH100 - GREEN/FLOWER PATTERN</v>
          </cell>
          <cell r="C3445" t="str">
            <v>BALO DÃ NGOẠI ARPENAZ NH100 10L - XANH/HỌA TIẾT HOA</v>
          </cell>
          <cell r="D3445" t="str">
            <v>HIKING 10L BACKPACK ARPENAZ NH100 - GREEN/FLOWER PATTERN</v>
          </cell>
          <cell r="E3445">
            <v>0.14499999999999999</v>
          </cell>
          <cell r="F3445" t="str">
            <v>Chọn</v>
          </cell>
          <cell r="G3445"/>
          <cell r="H3445"/>
        </row>
        <row r="3446">
          <cell r="A3446" t="str">
            <v>V51.000.134</v>
          </cell>
          <cell r="B3446" t="str">
            <v>HIKING 10L BACKPACK ARPENAZ NH100 - KHAKI</v>
          </cell>
          <cell r="C3446" t="str">
            <v>BALO DÃ NGOẠI ARPENAZ NH100 10L - KHAKI</v>
          </cell>
          <cell r="D3446" t="str">
            <v>HIKING 10L BACKPACK ARPENAZ NH100 - KHAKI</v>
          </cell>
          <cell r="E3446">
            <v>0.14499999999999999</v>
          </cell>
          <cell r="F3446" t="str">
            <v>Chọn</v>
          </cell>
          <cell r="G3446"/>
          <cell r="H3446"/>
        </row>
        <row r="3447">
          <cell r="A3447" t="str">
            <v>7.F3902B399070156</v>
          </cell>
          <cell r="B3447" t="str">
            <v>RED STANDARD GRADE MURIATE OF POTASH (MOP)/ KALI (KCL)/WMCLV MURIATE OF POTASH 61, KALI POWDER; IN 50KG PP/PE BAG ROYAL BRAND; CANADA ORIGIN</v>
          </cell>
          <cell r="C3447" t="str">
            <v>WMCLV MURIATE OF POTASH 61 (PHÂN BÓN KALI CLORUA) DẠNG BỘT, ĐÓNG TRONG BAO PP/PE 50KG NHÃN HIỆU HOÀNG GIA; XUẤT XỨ CANADA</v>
          </cell>
          <cell r="D3447" t="str">
            <v>RED STANDARD GRADE MURIATE OF POTASH (MOP)/ KALI (KCL)/WMCLV MURIATE OF POTASH 61, KALI POWDER; IN 50KG PP/PE BAG ROYAL BRAND; CANADA ORIGIN</v>
          </cell>
          <cell r="E3447">
            <v>1</v>
          </cell>
          <cell r="F3447" t="str">
            <v>Chọn</v>
          </cell>
          <cell r="G3447"/>
          <cell r="H3447"/>
        </row>
        <row r="3448">
          <cell r="A3448" t="str">
            <v>7.F3902B399070157</v>
          </cell>
          <cell r="B3448" t="str">
            <v>RED GRANULAR GRADE MURIATE OF POTASH (MOP)/ KALI (KCL), KALI GRANULAR/WMCLV MURIATE OF POTASH 61, KALI GRANULAR; IN 50 KG PP/PE BAG ROYAL BRAND; CANADA ORIGIN</v>
          </cell>
          <cell r="C3448" t="str">
            <v>WMCLV MURIATE OF POTASH 61 (PHÂN BÓN KALI CLORUA) DẠNG HẠT, ĐÓNG TRONG BAO PP/PE 50KG NHÃN HIỆU HOÀNG GIA; XUẤT XỨ CANADA</v>
          </cell>
          <cell r="D3448" t="str">
            <v>RED GRANULAR GRADE MURIATE OF POTASH (MOP)/ KALI (KCL), KALI GRANULAR/WMCLV MURIATE OF POTASH 61, KALI GRANULAR; IN 50 KG PP/PE BAG ROYAL BRAND; CANADA ORIGIN</v>
          </cell>
          <cell r="E3448">
            <v>1</v>
          </cell>
          <cell r="F3448" t="str">
            <v>Chọn</v>
          </cell>
          <cell r="G3448"/>
          <cell r="H3448"/>
        </row>
        <row r="3449">
          <cell r="A3449" t="str">
            <v>7.131011121706I50</v>
          </cell>
          <cell r="B3449" t="str">
            <v>CAI LAN A 0.4L X 24BTL</v>
          </cell>
          <cell r="C3449" t="str">
            <v>DẦU THỰC VẬT TINH LUYỆN NHÃN HIỆU CÁI LÂN 400 ML</v>
          </cell>
          <cell r="D3449" t="str">
            <v>CAI LAN A 0.4L X 24BTL</v>
          </cell>
          <cell r="E3449">
            <v>8.7360000000000007</v>
          </cell>
          <cell r="F3449" t="str">
            <v>Chọn</v>
          </cell>
          <cell r="G3449"/>
          <cell r="H3449" t="str">
            <v>7.13101112170004</v>
          </cell>
        </row>
        <row r="3450">
          <cell r="A3450" t="str">
            <v>V39.000.062</v>
          </cell>
          <cell r="B3450" t="str">
            <v>PANASONIC AIR CONDITIONER INVERTER</v>
          </cell>
          <cell r="C3450" t="str">
            <v>ĐIỀU HÒA PANASONIC INVERTER</v>
          </cell>
          <cell r="D3450" t="str">
            <v>PANASONIC AIR CONDITIONER INVERTER</v>
          </cell>
          <cell r="E3450">
            <v>33</v>
          </cell>
          <cell r="F3450" t="str">
            <v>Chọn</v>
          </cell>
          <cell r="G3450"/>
          <cell r="H3450"/>
        </row>
        <row r="3451">
          <cell r="A3451" t="str">
            <v>6.1213519</v>
          </cell>
          <cell r="B3451" t="str">
            <v>REFINED PALM STEARIN LOW GE</v>
          </cell>
          <cell r="C3451" t="str">
            <v>DẦU STEARIN CỌ TINH LUYỆN (LOW GE) TRONG XE BỒN</v>
          </cell>
          <cell r="D3451" t="str">
            <v>REFINED PALM STEARIN LOW GE</v>
          </cell>
          <cell r="E3451">
            <v>1</v>
          </cell>
          <cell r="F3451" t="str">
            <v>Chọn</v>
          </cell>
          <cell r="G3451"/>
          <cell r="H3451"/>
        </row>
        <row r="3452">
          <cell r="A3452" t="str">
            <v>V51.048.024</v>
          </cell>
          <cell r="B3452" t="str">
            <v>FERMENTED SOY SAUCE 710ML</v>
          </cell>
          <cell r="C3452" t="str">
            <v>NƯỚC TƯƠNG NAM DƯƠNG ĐẬU NÀNH LÊN MEN TỰ NHIÊN 710ML</v>
          </cell>
          <cell r="D3452" t="str">
            <v>FERMENTED SOY SAUCE 710ML</v>
          </cell>
          <cell r="E3452">
            <v>1</v>
          </cell>
          <cell r="F3452" t="str">
            <v>Bỏ chọn</v>
          </cell>
          <cell r="G3452"/>
          <cell r="H3452"/>
        </row>
        <row r="3453">
          <cell r="A3453" t="str">
            <v>7.5239904490301</v>
          </cell>
          <cell r="B3453" t="str">
            <v>SAMPLE BROWN COMPASS 111 5KG</v>
          </cell>
          <cell r="C3453" t="str">
            <v>BỘT MÌ HIỆU LA BÀN NÂU - 111 5KG</v>
          </cell>
          <cell r="D3453" t="str">
            <v>SAMPLE BROWN COMPASS 111 5KG</v>
          </cell>
          <cell r="E3453">
            <v>1</v>
          </cell>
          <cell r="F3453" t="str">
            <v>Bỏ chọn</v>
          </cell>
          <cell r="G3453"/>
          <cell r="H3453"/>
        </row>
        <row r="3454">
          <cell r="A3454" t="str">
            <v>7.705C0</v>
          </cell>
          <cell r="B3454" t="str">
            <v>MIZULAN FL-80 BRAND MES(METHYL ESTER SULFONATE) IN PLASTIC BAG 5KG</v>
          </cell>
          <cell r="C3454" t="str">
            <v>CHẤT HOẠT ĐỘNG BỀ MẶT DẠNG ANION MES (METHYL ESTER SULFONATE) NHÃN HIỆU MIZULAN FL-80 ĐÓNG TRONG BAO NHỰA 5KG</v>
          </cell>
          <cell r="D3454" t="str">
            <v>MIZULAN FL-80 BRAND MES(METHYL ESTER SULFONATE) IN PLASTIC BAG 5KG</v>
          </cell>
          <cell r="E3454">
            <v>1</v>
          </cell>
          <cell r="F3454" t="str">
            <v>Chọn</v>
          </cell>
          <cell r="G3454"/>
          <cell r="H3454"/>
        </row>
        <row r="3455">
          <cell r="A3455" t="str">
            <v>7.B24022399200166</v>
          </cell>
          <cell r="B3455" t="str">
            <v>NAM DUONG HOT CHILI SAUCE 2.1KG X 6 BOT/CAR</v>
          </cell>
          <cell r="C3455" t="str">
            <v>TƯƠNG ỚT NAM DƯƠNG CAY VỪA 2.1KG X 6 CHAI/ THÙNG</v>
          </cell>
          <cell r="D3455" t="str">
            <v>NAM DUONG HOT CHILI SAUCE 2.1KG X 6 BOT/CAR</v>
          </cell>
          <cell r="E3455">
            <v>12.6</v>
          </cell>
          <cell r="F3455" t="str">
            <v>Bỏ chọn</v>
          </cell>
          <cell r="G3455" t="str">
            <v>2000000008</v>
          </cell>
          <cell r="H3455" t="str">
            <v>7.B2402239920016601</v>
          </cell>
        </row>
        <row r="3456">
          <cell r="A3456" t="str">
            <v>7.B2402239920016601</v>
          </cell>
          <cell r="B3456" t="str">
            <v>NAM DUONG HOT CHILI SAUCE 2.1KG</v>
          </cell>
          <cell r="C3456" t="str">
            <v>TƯƠNG ỚT NAM DƯƠNG CAY VỪA 2.1KG</v>
          </cell>
          <cell r="D3456" t="str">
            <v>NAM DUONG HOT CHILI SAUCE 2.1KG</v>
          </cell>
          <cell r="E3456">
            <v>2.1</v>
          </cell>
          <cell r="F3456" t="str">
            <v>Bỏ chọn</v>
          </cell>
          <cell r="G3456" t="str">
            <v>2000000008</v>
          </cell>
          <cell r="H3456"/>
        </row>
        <row r="3457">
          <cell r="A3457" t="str">
            <v>V51.049.015</v>
          </cell>
          <cell r="B3457" t="str">
            <v>NAM DUONG HOT CHILI SAUCE 255G</v>
          </cell>
          <cell r="C3457" t="str">
            <v>TƯƠNG ỚT NAM DƯƠNG CAY VỪA 255G</v>
          </cell>
          <cell r="D3457" t="str">
            <v>NAM DUONG HOT CHILI SAUCE 255G</v>
          </cell>
          <cell r="E3457">
            <v>0.255</v>
          </cell>
          <cell r="F3457" t="str">
            <v>Bỏ chọn</v>
          </cell>
          <cell r="G3457"/>
          <cell r="H3457"/>
        </row>
        <row r="3458">
          <cell r="A3458" t="str">
            <v>7.52399089901G0</v>
          </cell>
          <cell r="B3458" t="str">
            <v>MEIZAN - LAO 0.5KG</v>
          </cell>
          <cell r="C3458" t="str">
            <v>BỘT MÌ ĐA DỤNG CAO CẤP HIỆU MEIZAN (0.5KG*20 GÓI/THÙNG)</v>
          </cell>
          <cell r="D3458" t="str">
            <v>MEIZAN - LAO 0.5KG</v>
          </cell>
          <cell r="E3458">
            <v>10</v>
          </cell>
          <cell r="F3458" t="str">
            <v>Bỏ chọn</v>
          </cell>
          <cell r="G3458"/>
          <cell r="H3458"/>
        </row>
        <row r="3459">
          <cell r="A3459" t="str">
            <v>7.52399089901G001</v>
          </cell>
          <cell r="B3459" t="str">
            <v>MEIZAN - LAO 0.5KG (PAC)</v>
          </cell>
          <cell r="C3459" t="str">
            <v>BỘT MÌ ĐA DỤNG CAO CẤP HIỆU MEIZAN 0.5KG (GÓI)</v>
          </cell>
          <cell r="D3459" t="str">
            <v>MEIZAN - LAO 0.5KG (PAC)</v>
          </cell>
          <cell r="E3459">
            <v>0.5</v>
          </cell>
          <cell r="F3459" t="str">
            <v>Bỏ chọn</v>
          </cell>
          <cell r="G3459"/>
          <cell r="H3459"/>
        </row>
        <row r="3460">
          <cell r="A3460" t="str">
            <v>7.5239908990212</v>
          </cell>
          <cell r="B3460" t="str">
            <v>MEIZAN - LAO 1KG</v>
          </cell>
          <cell r="C3460" t="str">
            <v>BỘT MÌ ĐA DỤNG CAO CẤP HIỆU MEIZAN (1KG*10 GÓI/THÙNG)</v>
          </cell>
          <cell r="D3460" t="str">
            <v>MEIZAN - LAO 1KG</v>
          </cell>
          <cell r="E3460">
            <v>10</v>
          </cell>
          <cell r="F3460" t="str">
            <v>Bỏ chọn</v>
          </cell>
          <cell r="G3460"/>
          <cell r="H3460"/>
        </row>
        <row r="3461">
          <cell r="A3461" t="str">
            <v>7.523990899021201</v>
          </cell>
          <cell r="B3461" t="str">
            <v>MEIZAN - LAO 1KG (PAC)</v>
          </cell>
          <cell r="C3461" t="str">
            <v>BỘT MÌ ĐA DỤNG CAO CẤP HIỆU MEIZAN 1KG (GÓI)</v>
          </cell>
          <cell r="D3461" t="str">
            <v>MEIZAN - LAO 1KG (PAC)</v>
          </cell>
          <cell r="E3461">
            <v>1</v>
          </cell>
          <cell r="F3461" t="str">
            <v>Bỏ chọn</v>
          </cell>
          <cell r="G3461"/>
          <cell r="H3461"/>
        </row>
        <row r="3462">
          <cell r="A3462" t="str">
            <v>7.5239908990259</v>
          </cell>
          <cell r="B3462" t="str">
            <v>MEIZAN - CPC 1KG</v>
          </cell>
          <cell r="C3462" t="str">
            <v>BỘT MÌ ĐA DỤNG CAO CẤP HIỆU MEIZAN (1KG*10 GÓI/THÙNG)</v>
          </cell>
          <cell r="D3462" t="str">
            <v>MEIZAN - CPC 1KG</v>
          </cell>
          <cell r="E3462">
            <v>10</v>
          </cell>
          <cell r="F3462" t="str">
            <v>Bỏ chọn</v>
          </cell>
          <cell r="G3462"/>
          <cell r="H3462"/>
        </row>
        <row r="3463">
          <cell r="A3463" t="str">
            <v>7.523990899025901</v>
          </cell>
          <cell r="B3463" t="str">
            <v>MEIZAN - CPC 1KG (PAC)</v>
          </cell>
          <cell r="C3463" t="str">
            <v>BỘT MÌ ĐA DỤNG CAO CẤP HIỆU MEIZAN 1KG (GÓI)</v>
          </cell>
          <cell r="D3463" t="str">
            <v>MEIZAN - CPC 1KG (PAC)</v>
          </cell>
          <cell r="E3463">
            <v>1</v>
          </cell>
          <cell r="F3463" t="str">
            <v>Bỏ chọn</v>
          </cell>
          <cell r="G3463"/>
          <cell r="H3463"/>
        </row>
        <row r="3464">
          <cell r="A3464" t="str">
            <v>V51.000.135</v>
          </cell>
          <cell r="B3464" t="str">
            <v>VIETTEL CARD WITH 100.000 VND</v>
          </cell>
          <cell r="C3464" t="str">
            <v>THẺ ĐIỆN THOẠI VIETTEL MỆNH GIÁ 100.000 ĐỒNG</v>
          </cell>
          <cell r="D3464" t="str">
            <v>VIETTEL CARD WITH 100.000 VND</v>
          </cell>
          <cell r="E3464">
            <v>0</v>
          </cell>
          <cell r="F3464" t="str">
            <v>Chọn</v>
          </cell>
          <cell r="G3464"/>
          <cell r="H3464"/>
        </row>
        <row r="3465">
          <cell r="A3465" t="str">
            <v>V51.000.136</v>
          </cell>
          <cell r="B3465" t="str">
            <v>VIETTEL CARD WITH 200.000 VND</v>
          </cell>
          <cell r="C3465" t="str">
            <v>THẺ ĐIỆN THOẠI VIETTEL MỆNH GIÁ 200.000 ĐỒNG</v>
          </cell>
          <cell r="D3465" t="str">
            <v>VIETTEL CARD WITH 200.000 VND</v>
          </cell>
          <cell r="E3465">
            <v>0</v>
          </cell>
          <cell r="F3465" t="str">
            <v>Chọn</v>
          </cell>
          <cell r="G3465"/>
          <cell r="H3465"/>
        </row>
        <row r="3466">
          <cell r="A3466" t="str">
            <v>6.1221222</v>
          </cell>
          <cell r="B3466" t="str">
            <v>RHPKO IV 1 MP 38</v>
          </cell>
          <cell r="C3466" t="str">
            <v>DẦU NHÂN CỌ HYDRO HÓA, TINH LUYỆN - WILKOTE 380</v>
          </cell>
          <cell r="D3466" t="str">
            <v>RHPKO IV 1 MP 38</v>
          </cell>
          <cell r="E3466">
            <v>1</v>
          </cell>
          <cell r="F3466" t="str">
            <v>Chọn</v>
          </cell>
          <cell r="G3466"/>
          <cell r="H3466"/>
        </row>
        <row r="3467">
          <cell r="A3467" t="str">
            <v>7.706102013201200</v>
          </cell>
          <cell r="B3467" t="str">
            <v>WILFARIN REFINED GLYCERINE 99.7% IN JERRY CAN 25KG</v>
          </cell>
          <cell r="C3467" t="str">
            <v>PHỤ GIA THỰC PHẨM GLYCERIN TINH KHIẾT 99,7%- WILFARIN ĐÓNG TRONG CAN 25KG</v>
          </cell>
          <cell r="D3467" t="str">
            <v>WILFARIN REFINED GLYCERINE 99.7% IN JERRY CAN 25KG</v>
          </cell>
          <cell r="E3467">
            <v>25</v>
          </cell>
          <cell r="F3467" t="str">
            <v>Bỏ chọn</v>
          </cell>
          <cell r="G3467"/>
          <cell r="H3467"/>
        </row>
        <row r="3468">
          <cell r="A3468" t="str">
            <v>7.52399079905F9</v>
          </cell>
          <cell r="B3468" t="str">
            <v>GREEN KEY - MASAN 25KG (NON FE&amp;ZN)</v>
          </cell>
          <cell r="C3468" t="str">
            <v>BỘT MÌ HIỆU CHÌA KHÓA XANH LÁ 25KG</v>
          </cell>
          <cell r="D3468" t="str">
            <v>GREEN KEY - MASAN 25KG (NON FE&amp;ZN)</v>
          </cell>
          <cell r="E3468">
            <v>1</v>
          </cell>
          <cell r="F3468" t="str">
            <v>Bỏ chọn</v>
          </cell>
          <cell r="G3468"/>
          <cell r="H3468"/>
        </row>
        <row r="3469">
          <cell r="A3469" t="str">
            <v>6.1212B64</v>
          </cell>
          <cell r="B3469" t="str">
            <v>RE-REFINED PALM OLEIN (LC)</v>
          </cell>
          <cell r="C3469" t="str">
            <v>DẦU OLEIN CỌ TINH LUYỆN TRONG XE BỒN(LC)</v>
          </cell>
          <cell r="D3469" t="str">
            <v>RE-REFINED PALM OLEIN (LC)</v>
          </cell>
          <cell r="E3469">
            <v>1</v>
          </cell>
          <cell r="F3469" t="str">
            <v>Chọn</v>
          </cell>
          <cell r="G3469"/>
          <cell r="H3469"/>
        </row>
        <row r="3470">
          <cell r="A3470" t="str">
            <v>7.101000792200H60</v>
          </cell>
          <cell r="B3470" t="str">
            <v>RBD PALM OLEIN FLEXIBLEBAG@20MT(LC)</v>
          </cell>
          <cell r="C3470" t="str">
            <v>DẦU OLEIN CỌ TINH LUYỆN TRONG TÚI FLEXIBAG(LC)</v>
          </cell>
          <cell r="D3470" t="str">
            <v>RBD PALM OLEIN FLEXIBLEBAG@20MT(LC)</v>
          </cell>
          <cell r="E3470">
            <v>1</v>
          </cell>
          <cell r="F3470" t="str">
            <v>Chọn</v>
          </cell>
          <cell r="G3470"/>
          <cell r="H3470"/>
        </row>
        <row r="3471">
          <cell r="A3471" t="str">
            <v>7.705C1</v>
          </cell>
          <cell r="B3471" t="str">
            <v>FATTY ALCOHOL FAL-1618 IN PLASTIC BAG 2KG</v>
          </cell>
          <cell r="C3471" t="str">
            <v>HỢP CHẤT FATTY ALCOHOL FAL-1618 ĐÓNG TRONG TÚI NHỰA 2KG</v>
          </cell>
          <cell r="D3471" t="str">
            <v>FATTY ALCOHOL FAL-1618 IN PLASTIC BAG 2KG</v>
          </cell>
          <cell r="E3471">
            <v>1</v>
          </cell>
          <cell r="F3471" t="str">
            <v>Chọn</v>
          </cell>
          <cell r="G3471"/>
          <cell r="H3471"/>
        </row>
        <row r="3472">
          <cell r="A3472" t="str">
            <v>7.706102173201200</v>
          </cell>
          <cell r="B3472" t="str">
            <v>WILFARIN REFINED GLYCERINE 99.7% IN JERRY CAN 30KG</v>
          </cell>
          <cell r="C3472" t="str">
            <v>PHỤ GIA THỰC PHẨM GLYXERIN TINH KHIẾT 99,7% WILFARIN - ĐÓNG TRONG CAN 30KG</v>
          </cell>
          <cell r="D3472" t="str">
            <v>WILFARIN REFINED GLYCERINE 99.7% IN JERRY CAN 30KG</v>
          </cell>
          <cell r="E3472">
            <v>30</v>
          </cell>
          <cell r="F3472" t="str">
            <v>Chọn</v>
          </cell>
          <cell r="G3472"/>
          <cell r="H3472"/>
        </row>
        <row r="3473">
          <cell r="A3473" t="str">
            <v>V51.00A.053</v>
          </cell>
          <cell r="B3473" t="str">
            <v>PP BREAD CART 110CM X 60CM</v>
          </cell>
          <cell r="C3473" t="str">
            <v>DECAL DÁN XE BÁNH MÌ KÍCH THƯỚC 110CM X 60CM</v>
          </cell>
          <cell r="D3473" t="str">
            <v>PP BREAD CART 110CM X 60CM</v>
          </cell>
          <cell r="E3473">
            <v>0</v>
          </cell>
          <cell r="F3473" t="str">
            <v>Bỏ chọn</v>
          </cell>
          <cell r="G3473"/>
          <cell r="H3473"/>
        </row>
        <row r="3474">
          <cell r="A3474" t="str">
            <v>V51.00A.054</v>
          </cell>
          <cell r="B3474" t="str">
            <v>PP BREAD CART 100CM X 50CM</v>
          </cell>
          <cell r="C3474" t="str">
            <v>DECAL DÁN XE BÁNH MÌ KÍCH THƯỚC 100CM X 50CM</v>
          </cell>
          <cell r="D3474" t="str">
            <v>PP BREAD CART 100CM X 50CM</v>
          </cell>
          <cell r="E3474">
            <v>0</v>
          </cell>
          <cell r="F3474" t="str">
            <v>Bỏ chọn</v>
          </cell>
          <cell r="G3474"/>
          <cell r="H3474"/>
        </row>
        <row r="3475">
          <cell r="A3475" t="str">
            <v>7.B24072399B80116</v>
          </cell>
          <cell r="B3475" t="str">
            <v>NAM DUONG TOMATO SAUCE 255G X 12 BOT/ CAR</v>
          </cell>
          <cell r="C3475" t="str">
            <v>TƯƠNG CÀ NAM DƯƠNG 255G X 12 CHAI/ THÙNG</v>
          </cell>
          <cell r="D3475" t="str">
            <v>NAM DUONG TOMATO SAUCE 255G X 12 BOT/ CAR</v>
          </cell>
          <cell r="E3475">
            <v>3.06</v>
          </cell>
          <cell r="F3475" t="str">
            <v>Bỏ chọn</v>
          </cell>
          <cell r="G3475" t="str">
            <v>2000000008</v>
          </cell>
          <cell r="H3475" t="str">
            <v>7.B24072399B8011601</v>
          </cell>
        </row>
        <row r="3476">
          <cell r="A3476" t="str">
            <v>7.B24072399B8011601</v>
          </cell>
          <cell r="B3476" t="str">
            <v>NAM DUONG TOMATO SAUCE 255G</v>
          </cell>
          <cell r="C3476" t="str">
            <v>TƯƠNG CÀ NAM DƯƠNG 255G</v>
          </cell>
          <cell r="D3476" t="str">
            <v>NAM DUONG TOMATO SAUCE 255G</v>
          </cell>
          <cell r="E3476">
            <v>0.255</v>
          </cell>
          <cell r="F3476" t="str">
            <v>Bỏ chọn</v>
          </cell>
          <cell r="G3476" t="str">
            <v>2000000008</v>
          </cell>
          <cell r="H3476"/>
        </row>
        <row r="3477">
          <cell r="A3477" t="str">
            <v>7.B24072399730116</v>
          </cell>
          <cell r="B3477" t="str">
            <v>NAM DUONG TOMATO SAUCE 255G X 24 BOT/ CAR</v>
          </cell>
          <cell r="C3477" t="str">
            <v>TƯƠNG CÀ NAM DƯƠNG 255G X 24 CHAI/ THÙNG</v>
          </cell>
          <cell r="D3477" t="str">
            <v>NAM DUONG TOMATO SAUCE 255G X 24 BOT/ CAR</v>
          </cell>
          <cell r="E3477">
            <v>6.12</v>
          </cell>
          <cell r="F3477" t="str">
            <v>Bỏ chọn</v>
          </cell>
          <cell r="G3477" t="str">
            <v>2000000008</v>
          </cell>
          <cell r="H3477" t="str">
            <v>7.B24072399B8011601</v>
          </cell>
        </row>
        <row r="3478">
          <cell r="A3478" t="str">
            <v>7.B24072399200116</v>
          </cell>
          <cell r="B3478" t="str">
            <v>NAM DUONG TOMATO SAUCE 2.1KG X 6 BOT/ CAR</v>
          </cell>
          <cell r="C3478" t="str">
            <v>TƯƠNG CÀ NAM DƯƠNG 2.1KG X 6 CHAI/ THÙNG</v>
          </cell>
          <cell r="D3478" t="str">
            <v>NAM DUONG TOMATO SAUCE 2.1KG X 6 BOT/ CAR</v>
          </cell>
          <cell r="E3478">
            <v>12.6</v>
          </cell>
          <cell r="F3478" t="str">
            <v>Bỏ chọn</v>
          </cell>
          <cell r="G3478" t="str">
            <v>2000000008</v>
          </cell>
          <cell r="H3478" t="str">
            <v>7.B2407239920011601</v>
          </cell>
        </row>
        <row r="3479">
          <cell r="A3479" t="str">
            <v>7.B2407239920011601</v>
          </cell>
          <cell r="B3479" t="str">
            <v>NAM DUONG TOMATO SAUCE 2.1KG</v>
          </cell>
          <cell r="C3479" t="str">
            <v>TƯƠNG CÀ NAM DƯƠNG 2.1KG</v>
          </cell>
          <cell r="D3479" t="str">
            <v>NAM DUONG TOMATO SAUCE 2.1KG</v>
          </cell>
          <cell r="E3479">
            <v>2.1</v>
          </cell>
          <cell r="F3479" t="str">
            <v>Bỏ chọn</v>
          </cell>
          <cell r="G3479" t="str">
            <v>2000000008</v>
          </cell>
          <cell r="H3479"/>
        </row>
        <row r="3480">
          <cell r="A3480" t="str">
            <v>V78.000.040</v>
          </cell>
          <cell r="B3480" t="str">
            <v>ROYAL LOGO T-SHIRT - BLUE/YELLOW</v>
          </cell>
          <cell r="C3480" t="str">
            <v>ÁO THUN CÓ CỔ LOGO HOÀNG GIA - MÀU XANH/ VÀNG</v>
          </cell>
          <cell r="D3480" t="str">
            <v>ROYAL LOGO T-SHIRT - BLUE/YELLOW</v>
          </cell>
          <cell r="E3480">
            <v>0</v>
          </cell>
          <cell r="F3480" t="str">
            <v>Chọn</v>
          </cell>
          <cell r="G3480"/>
          <cell r="H3480"/>
        </row>
        <row r="3481">
          <cell r="A3481" t="str">
            <v>7.52399149905E4</v>
          </cell>
          <cell r="B3481" t="str">
            <v>RED COMPASS - HL 25KG</v>
          </cell>
          <cell r="C3481" t="str">
            <v>BỘT MÌ HIỆU LA BÀN ĐỎ 25KG</v>
          </cell>
          <cell r="D3481" t="str">
            <v>RED COMPASS - HL 25KG</v>
          </cell>
          <cell r="E3481">
            <v>1</v>
          </cell>
          <cell r="F3481" t="str">
            <v>Bỏ chọn</v>
          </cell>
          <cell r="G3481"/>
          <cell r="H3481"/>
        </row>
        <row r="3482">
          <cell r="A3482" t="str">
            <v>6.1221218</v>
          </cell>
          <cell r="B3482" t="str">
            <v>REFINED HYDROGENATED PALM KERNEL OIL 42</v>
          </cell>
          <cell r="C3482" t="str">
            <v>DẦU NHÂN CỌ HYDRO HÓA, TINH LUYỆN 42 TRONG XE BỒN</v>
          </cell>
          <cell r="D3482" t="str">
            <v>REFINED HYDROGENATED PALM KERNEL OIL 42</v>
          </cell>
          <cell r="E3482">
            <v>1</v>
          </cell>
          <cell r="F3482" t="str">
            <v>Chọn</v>
          </cell>
          <cell r="G3482"/>
          <cell r="H3482"/>
        </row>
        <row r="3483">
          <cell r="A3483" t="str">
            <v>7.705C2</v>
          </cell>
          <cell r="B3483" t="str">
            <v>REFINED HYDROGENATED SOYA OIL 42 IN CARTON 20KG</v>
          </cell>
          <cell r="C3483" t="str">
            <v>REFINED HYDROGENATED SOYA OIL 42 ĐÓNG TRONG THÙNG CARTON 20KG</v>
          </cell>
          <cell r="D3483" t="str">
            <v>REFINED HYDROGENATED SOYA OIL 42 IN CARTON 20KG</v>
          </cell>
          <cell r="E3483">
            <v>1</v>
          </cell>
          <cell r="F3483" t="str">
            <v>Bỏ chọn</v>
          </cell>
          <cell r="G3483"/>
          <cell r="H3483"/>
        </row>
        <row r="3484">
          <cell r="A3484" t="str">
            <v>7.105001182200020</v>
          </cell>
          <cell r="B3484" t="str">
            <v>MIXED VEGETABLE FAD FLEXIBAG@20MT</v>
          </cell>
          <cell r="C3484" t="str">
            <v>HỖN HỢP AXIT BÉO THỰC VẬT NGƯNG TỤ</v>
          </cell>
          <cell r="D3484" t="str">
            <v>MIXED VEGETABLE FAD FLEXIBAG@20MT</v>
          </cell>
          <cell r="E3484">
            <v>1</v>
          </cell>
          <cell r="F3484" t="str">
            <v>Chọn</v>
          </cell>
          <cell r="G3484"/>
          <cell r="H3484"/>
        </row>
        <row r="3485">
          <cell r="A3485" t="str">
            <v>V51.106.012</v>
          </cell>
          <cell r="B3485" t="str">
            <v>POWER100 UMBRELLA</v>
          </cell>
          <cell r="C3485" t="str">
            <v>DÙ CẦM TAY POWER100</v>
          </cell>
          <cell r="D3485" t="str">
            <v>POWER100 UMBRELLA</v>
          </cell>
          <cell r="E3485">
            <v>0.5</v>
          </cell>
          <cell r="F3485" t="str">
            <v>Bỏ chọn</v>
          </cell>
          <cell r="G3485"/>
          <cell r="H3485"/>
        </row>
        <row r="3486">
          <cell r="A3486" t="str">
            <v>7.E3801789985I932</v>
          </cell>
          <cell r="B3486" t="str">
            <v>MEADOW FRESH UHT FULL CREAM MILK 1LX12, NEW ZEALAND ORIGIN</v>
          </cell>
          <cell r="C3486" t="str">
            <v>SỮA TƯƠI TIỆT TRÙNG NGUYÊN KEM NHÃN HIỆU MEADOW FRESH 1LX12, XUẤT XỨ NEW ZEALAND</v>
          </cell>
          <cell r="D3486" t="str">
            <v>MEADOW FRESH UHT FULL CREAM MILK 1LX12, NEW ZEALAND ORIGIN</v>
          </cell>
          <cell r="E3486">
            <v>12.336</v>
          </cell>
          <cell r="F3486" t="str">
            <v>Chọn</v>
          </cell>
          <cell r="G3486"/>
          <cell r="H3486" t="str">
            <v>7.E3801789985I93201</v>
          </cell>
        </row>
        <row r="3487">
          <cell r="A3487" t="str">
            <v>7.E3801789985I93201</v>
          </cell>
          <cell r="B3487" t="str">
            <v>MEADOW FRESH UHT FULL CREAM MILK 1L, NEW ZEALAND ORIGIN</v>
          </cell>
          <cell r="C3487" t="str">
            <v>SỮA TƯƠI TIỆT TRÙNG NGUYÊN KEM NHÃN HIỆU MEADOW FRESH 1L, XUẤT XỨ NEW ZEALAND</v>
          </cell>
          <cell r="D3487" t="str">
            <v>MEADOW FRESH UHT FULL CREAM MILK 1L, NEW ZEALAND ORIGIN</v>
          </cell>
          <cell r="E3487">
            <v>1.028</v>
          </cell>
          <cell r="F3487" t="str">
            <v>Chọn</v>
          </cell>
          <cell r="G3487"/>
          <cell r="H3487"/>
        </row>
        <row r="3488">
          <cell r="A3488" t="str">
            <v>7.E3801789985I935</v>
          </cell>
          <cell r="B3488" t="str">
            <v>MEADOW FRESH UHT LOW FAT MILK 1LX12, NEW ZEALAND ORIGIN</v>
          </cell>
          <cell r="C3488" t="str">
            <v>SỮA TƯƠI TIỆT TRÙNG ÍT BÉO NHÃN HIỆU MEADOW FRESH 1LX12, XUẤT XỨ NEW ZEALAND</v>
          </cell>
          <cell r="D3488" t="str">
            <v>MEADOW FRESH UHT LOW FAT MILK 1LX12, NEW ZEALAND ORIGIN</v>
          </cell>
          <cell r="E3488">
            <v>12.336</v>
          </cell>
          <cell r="F3488" t="str">
            <v>Chọn</v>
          </cell>
          <cell r="G3488"/>
          <cell r="H3488" t="str">
            <v>7.E3801789985I93501</v>
          </cell>
        </row>
        <row r="3489">
          <cell r="A3489" t="str">
            <v>7.E3801789985I93501</v>
          </cell>
          <cell r="B3489" t="str">
            <v>MEADOW FRESH UHT LOW FAT MILK 1L, NEW ZEALAND ORIGIN</v>
          </cell>
          <cell r="C3489" t="str">
            <v>SỮA TƯƠI TIỆT TRÙNG ÍT BÉO NHÃN HIỆU MEADOW FRESH 1L, XUẤT XỨ NEW ZEALAND</v>
          </cell>
          <cell r="D3489" t="str">
            <v>MEADOW FRESH UHT LOW FAT MILK 1L, NEW ZEALAND ORIGIN</v>
          </cell>
          <cell r="E3489">
            <v>1.028</v>
          </cell>
          <cell r="F3489" t="str">
            <v>Chọn</v>
          </cell>
          <cell r="G3489"/>
          <cell r="H3489"/>
        </row>
        <row r="3490">
          <cell r="A3490" t="str">
            <v>7.E3801789985I938</v>
          </cell>
          <cell r="B3490" t="str">
            <v>MEADOW FRESH UHT LOW FAT CALCI MILK 1LX12, NEW ZEALAND ORIGIN</v>
          </cell>
          <cell r="C3490" t="str">
            <v>SỮA TIỆT TRÙNG GIÀU CANXI ÍT BÉO NHÃN HIỆU MEADOW FRESH 1LX12, XUẤT XỨ NEW ZEALAND</v>
          </cell>
          <cell r="D3490" t="str">
            <v>MEADOW FRESH UHT LOW FAT CALCI MILK 1LX12, NEW ZEALAND ORIGIN</v>
          </cell>
          <cell r="E3490">
            <v>12.336</v>
          </cell>
          <cell r="F3490" t="str">
            <v>Chọn</v>
          </cell>
          <cell r="G3490"/>
          <cell r="H3490" t="str">
            <v>7.E3801789985I93801</v>
          </cell>
        </row>
        <row r="3491">
          <cell r="A3491" t="str">
            <v>7.E3801789985I93801</v>
          </cell>
          <cell r="B3491" t="str">
            <v>MEADOW FRESH UHT LOW FAT CALCI MILK 1L, NEW ZEALAND ORIGIN</v>
          </cell>
          <cell r="C3491" t="str">
            <v>SỮA TIỆT TRÙNG GIÀU CANXI ÍT BÉO NHÃN HIỆU MEADOW FRESH 1L, XUẤT XỨ NEW ZEALAND</v>
          </cell>
          <cell r="D3491" t="str">
            <v>MEADOW FRESH UHT LOW FAT CALCI MILK 1L, NEW ZEALAND ORIGIN</v>
          </cell>
          <cell r="E3491">
            <v>1.028</v>
          </cell>
          <cell r="F3491" t="str">
            <v>Chọn</v>
          </cell>
          <cell r="G3491"/>
          <cell r="H3491"/>
        </row>
        <row r="3492">
          <cell r="A3492" t="str">
            <v>V51.061.019</v>
          </cell>
          <cell r="B3492" t="str">
            <v>HANDNOTE NEPTUNE LIGHT</v>
          </cell>
          <cell r="C3492" t="str">
            <v>SỔ TAY NEPTUNE LIGHT</v>
          </cell>
          <cell r="D3492" t="str">
            <v>HANDNOTE NEPTUNE LIGHT</v>
          </cell>
          <cell r="E3492">
            <v>0.2</v>
          </cell>
          <cell r="F3492" t="str">
            <v>Bỏ chọn</v>
          </cell>
          <cell r="G3492"/>
          <cell r="H3492"/>
        </row>
        <row r="3493">
          <cell r="A3493" t="str">
            <v>7.705C3</v>
          </cell>
          <cell r="B3493" t="str">
            <v>LAURIC ACID 99% (WILFARIN LA-1299) BEADS; BAG 25KG</v>
          </cell>
          <cell r="C3493" t="str">
            <v>AXIT LAURIC 99% - WILFARIN LA1299 DẠNG HẠT; BAO 25KG</v>
          </cell>
          <cell r="D3493" t="str">
            <v>LAURIC ACID 99% (WILFARIN LA-1299) BEADS; BAG 25KG</v>
          </cell>
          <cell r="E3493">
            <v>1</v>
          </cell>
          <cell r="F3493" t="str">
            <v>Chọn</v>
          </cell>
          <cell r="G3493"/>
          <cell r="H3493"/>
        </row>
        <row r="3494">
          <cell r="A3494" t="str">
            <v>V51.000.137</v>
          </cell>
          <cell r="B3494" t="str">
            <v>HANOI BEER 24 CANS x 330ML</v>
          </cell>
          <cell r="C3494" t="str">
            <v>BIA HÀ NỘI THÙNG 24 LON x 330ML</v>
          </cell>
          <cell r="D3494" t="str">
            <v>HANOI BEER 24 CANS x 330ML</v>
          </cell>
          <cell r="E3494">
            <v>0</v>
          </cell>
          <cell r="F3494" t="str">
            <v>Bỏ chọn</v>
          </cell>
          <cell r="G3494"/>
          <cell r="H3494"/>
        </row>
        <row r="3495">
          <cell r="A3495" t="str">
            <v>V51.000.138</v>
          </cell>
          <cell r="B3495" t="str">
            <v>VIETTEL CARD WITH 50.000 VND</v>
          </cell>
          <cell r="C3495" t="str">
            <v>THẺ ĐIỆN THOẠI VIETTEL MỆNH GIÁ 50.000 ĐỒNG</v>
          </cell>
          <cell r="D3495" t="str">
            <v>VIETTEL CARD WITH 50.000 VND</v>
          </cell>
          <cell r="E3495">
            <v>0</v>
          </cell>
          <cell r="F3495" t="str">
            <v>Chọn</v>
          </cell>
          <cell r="G3495"/>
          <cell r="H3495"/>
        </row>
        <row r="3496">
          <cell r="A3496" t="str">
            <v>7.A33021499040120</v>
          </cell>
          <cell r="B3496" t="str">
            <v>RED COMPASS MACARONI - LONG TUBE 10KG</v>
          </cell>
          <cell r="C3496" t="str">
            <v>NUI LA BÀN ĐỎ - ỐNG DÀI 10KG</v>
          </cell>
          <cell r="D3496" t="str">
            <v>RED COMPASS MACARONI - LONG TUBE 10KG</v>
          </cell>
          <cell r="E3496">
            <v>10</v>
          </cell>
          <cell r="F3496" t="str">
            <v>Bỏ chọn</v>
          </cell>
          <cell r="G3496"/>
          <cell r="H3496"/>
        </row>
        <row r="3497">
          <cell r="A3497" t="str">
            <v>7.A3199089902J199</v>
          </cell>
          <cell r="B3497" t="str">
            <v>MEIZAN GRAIN BREAD MIX 1KG X 10 PACK</v>
          </cell>
          <cell r="C3497" t="str">
            <v>BỘT TRỘN SẴN BÁNH MÌ NGŨ CỐC MEIZAN 1KG X 10 GÓI</v>
          </cell>
          <cell r="D3497" t="str">
            <v>MEIZAN GRAIN BREAD MIX 1KG X 10 PACK</v>
          </cell>
          <cell r="E3497">
            <v>10</v>
          </cell>
          <cell r="F3497" t="str">
            <v>Bỏ chọn</v>
          </cell>
          <cell r="G3497"/>
          <cell r="H3497"/>
        </row>
        <row r="3498">
          <cell r="A3498" t="str">
            <v>7.A3199089902J19901</v>
          </cell>
          <cell r="B3498" t="str">
            <v>MEIZAN GRAIN BREAD MIX 1KG</v>
          </cell>
          <cell r="C3498" t="str">
            <v>BỘT TRỘN SẴN BÁNH MÌ NGŨ CỐC MEIZAN 1KG</v>
          </cell>
          <cell r="D3498" t="str">
            <v>MEIZAN GRAIN BREAD MIX 1KG</v>
          </cell>
          <cell r="E3498">
            <v>1</v>
          </cell>
          <cell r="F3498" t="str">
            <v>Bỏ chọn</v>
          </cell>
          <cell r="G3498"/>
          <cell r="H3498"/>
        </row>
        <row r="3499">
          <cell r="A3499" t="str">
            <v>V78.000.041</v>
          </cell>
          <cell r="B3499" t="str">
            <v>BLUE T-SHIRT</v>
          </cell>
          <cell r="C3499" t="str">
            <v>ÁO THUN CỔ TRỤ MÀU XANH DƯƠNG</v>
          </cell>
          <cell r="D3499" t="str">
            <v>BLUE T-SHIRT</v>
          </cell>
          <cell r="E3499">
            <v>0</v>
          </cell>
          <cell r="F3499" t="str">
            <v>Chọn</v>
          </cell>
          <cell r="G3499"/>
          <cell r="H3499"/>
        </row>
        <row r="3500">
          <cell r="A3500" t="str">
            <v>V39.000.063</v>
          </cell>
          <cell r="B3500" t="str">
            <v>GLOVES</v>
          </cell>
          <cell r="C3500" t="str">
            <v>GĂNG TAY</v>
          </cell>
          <cell r="D3500" t="str">
            <v>GLOVES</v>
          </cell>
          <cell r="E3500">
            <v>0</v>
          </cell>
          <cell r="F3500" t="str">
            <v>Chọn</v>
          </cell>
          <cell r="G3500"/>
          <cell r="H3500"/>
        </row>
        <row r="3501">
          <cell r="A3501" t="str">
            <v>V51.000.139</v>
          </cell>
          <cell r="B3501" t="str">
            <v>DOUGH CUTTER</v>
          </cell>
          <cell r="C3501" t="str">
            <v>DAO CHIA BỘT</v>
          </cell>
          <cell r="D3501" t="str">
            <v>DOUGH CUTTER</v>
          </cell>
          <cell r="E3501">
            <v>0</v>
          </cell>
          <cell r="F3501" t="str">
            <v>Chọn</v>
          </cell>
          <cell r="G3501"/>
          <cell r="H3501"/>
        </row>
        <row r="3502">
          <cell r="A3502" t="str">
            <v>V51.00A.055</v>
          </cell>
          <cell r="B3502" t="str">
            <v>MEIZAN BOUILLON GRANULE POSTER</v>
          </cell>
          <cell r="C3502" t="str">
            <v>ÁP PHÍCH HẠT NÊM MEIZAN</v>
          </cell>
          <cell r="D3502" t="str">
            <v>MEIZAN BOUILLON GRANULE POSTER</v>
          </cell>
          <cell r="E3502">
            <v>0</v>
          </cell>
          <cell r="F3502" t="str">
            <v>Bỏ chọn</v>
          </cell>
          <cell r="G3502"/>
          <cell r="H3502"/>
        </row>
        <row r="3503">
          <cell r="A3503" t="str">
            <v>7.705C4</v>
          </cell>
          <cell r="B3503" t="str">
            <v>POLYAMIDE CURING AGENT IN BOTTLE 1KG</v>
          </cell>
          <cell r="C3503" t="str">
            <v>POLYAMIDE CURING AGENT ĐÓNG TRONG LỌ 1KG</v>
          </cell>
          <cell r="D3503" t="str">
            <v>POLYAMIDE CURING AGENT IN BOTTLE 1KG</v>
          </cell>
          <cell r="E3503">
            <v>1</v>
          </cell>
          <cell r="F3503" t="str">
            <v>Chọn</v>
          </cell>
          <cell r="G3503"/>
          <cell r="H3503"/>
        </row>
        <row r="3504">
          <cell r="A3504" t="str">
            <v>7.1340551993401</v>
          </cell>
          <cell r="B3504" t="str">
            <v>GOLDEN CROWN SOFT BUTTER OIL SUBSTITUTE IN PAIL 18KG</v>
          </cell>
          <cell r="C3504" t="str">
            <v>DẦU BƠ THAY THẾ NHÃN HIỆU GOLDEN CROWN ĐÓNG TRONG THÙNG NHỰA 18KG</v>
          </cell>
          <cell r="D3504" t="str">
            <v>GOLDEN CROWN SOFT BUTTER OIL SUBSTITUTE IN PAIL 18KG</v>
          </cell>
          <cell r="E3504">
            <v>18</v>
          </cell>
          <cell r="F3504" t="str">
            <v>Chọn</v>
          </cell>
          <cell r="G3504"/>
          <cell r="H3504"/>
        </row>
        <row r="3505">
          <cell r="A3505" t="str">
            <v>7.52399083802F101</v>
          </cell>
          <cell r="B3505" t="str">
            <v>MEIZAN BREAD 1KG (PAC)</v>
          </cell>
          <cell r="C3505" t="str">
            <v>BỘT MÌ CHUYÊN DỤNG CHO BÁNH MÌ HIỆU MEIZAN 1KG (GÓI)</v>
          </cell>
          <cell r="D3505" t="str">
            <v>MEIZAN BREAD 1KG (PAC)</v>
          </cell>
          <cell r="E3505">
            <v>1</v>
          </cell>
          <cell r="F3505" t="str">
            <v>Bỏ chọn</v>
          </cell>
          <cell r="G3505"/>
          <cell r="H3505"/>
        </row>
        <row r="3506">
          <cell r="A3506" t="str">
            <v>6.70558</v>
          </cell>
          <cell r="B3506" t="str">
            <v>MEDIUM CHAIN FATTY ACID (MCFA); DRUM 180KG</v>
          </cell>
          <cell r="C3506" t="str">
            <v>AXIT BÉO MẠCH TRUNG BÌNH (MCFA); PHUY NHỰA HDPE 180KG</v>
          </cell>
          <cell r="D3506" t="str">
            <v>MEDIUM CHAIN FATTY ACID (MCFA); DRUM 180KG</v>
          </cell>
          <cell r="E3506">
            <v>1</v>
          </cell>
          <cell r="F3506" t="str">
            <v>Chọn</v>
          </cell>
          <cell r="G3506"/>
          <cell r="H3506"/>
        </row>
        <row r="3507">
          <cell r="A3507" t="str">
            <v>7.705C5</v>
          </cell>
          <cell r="B3507" t="str">
            <v>UNIFY 270 IN BOTTLE 4KG</v>
          </cell>
          <cell r="C3507" t="str">
            <v>UNIFY 270 - CHẤT TẠO MÀNG CHO SƠN ĐÓNG TRONG LỌ 4KG</v>
          </cell>
          <cell r="D3507" t="str">
            <v>UNIFY 270 IN BOTTLE 4KG</v>
          </cell>
          <cell r="E3507">
            <v>1</v>
          </cell>
          <cell r="F3507" t="str">
            <v>Chọn</v>
          </cell>
          <cell r="G3507"/>
          <cell r="H3507"/>
        </row>
        <row r="3508">
          <cell r="A3508" t="str">
            <v>7.705C6</v>
          </cell>
          <cell r="B3508" t="str">
            <v>ELEVANCE CLEAN 1200 IN BOTTLE 4KG</v>
          </cell>
          <cell r="C3508" t="str">
            <v>ELEVANCE CLEAN 1200 - CHẤT TẨY RỬA DẦU MỠ ĐÓNG TRONG LỌ 4KG</v>
          </cell>
          <cell r="D3508" t="str">
            <v>ELEVANCE CLEAN 1200 IN BOTTLE 4KG</v>
          </cell>
          <cell r="E3508">
            <v>1</v>
          </cell>
          <cell r="F3508" t="str">
            <v>Chọn</v>
          </cell>
          <cell r="G3508"/>
          <cell r="H3508"/>
        </row>
        <row r="3509">
          <cell r="A3509" t="str">
            <v>7.705C7</v>
          </cell>
          <cell r="B3509" t="str">
            <v>MIZULAN FL-80 BRAND MES(METHYL ESTER SULFONATE) IN BAG 2KG</v>
          </cell>
          <cell r="C3509" t="str">
            <v>CHẤT HOẠT ĐỘNG BỀ MẶT DẠNG ANION MES (METHYL ESTER SULFONATE) NHÃN HIỆU MIZULAN FL-80 ĐÓNG TRONG BAO 2KG</v>
          </cell>
          <cell r="D3509" t="str">
            <v>MIZULAN FL-80 BRAND MES(METHYL ESTER SULFONATE) IN BAG 2KG</v>
          </cell>
          <cell r="E3509">
            <v>1</v>
          </cell>
          <cell r="F3509" t="str">
            <v>Chọn</v>
          </cell>
          <cell r="G3509"/>
          <cell r="H3509"/>
        </row>
        <row r="3510">
          <cell r="A3510" t="str">
            <v>7.52399779905AA</v>
          </cell>
          <cell r="B3510" t="str">
            <v>GREEN KEY 111 25KG</v>
          </cell>
          <cell r="C3510" t="str">
            <v>BỘT MÌ HIỆU CHÌA KHÓA XANH LÁ - 111 25KG</v>
          </cell>
          <cell r="D3510" t="str">
            <v>GREEN KEY 111 25KG</v>
          </cell>
          <cell r="E3510">
            <v>1</v>
          </cell>
          <cell r="F3510" t="str">
            <v>Bỏ chọn</v>
          </cell>
          <cell r="G3510"/>
          <cell r="H3510"/>
        </row>
        <row r="3511">
          <cell r="A3511" t="str">
            <v>V51.000.140</v>
          </cell>
          <cell r="B3511" t="str">
            <v>LEAFLET FOR FERTILIZER SALES PROMOTION</v>
          </cell>
          <cell r="C3511" t="str">
            <v>LEAFLET CHƯƠNG TRÌNH KHUYẾN MÃI BÁN HÀNG PHÂN BÓN</v>
          </cell>
          <cell r="D3511" t="str">
            <v>LEAFLET FOR FERTILIZER SALES PROMOTION</v>
          </cell>
          <cell r="E3511">
            <v>0</v>
          </cell>
          <cell r="F3511" t="str">
            <v>Chọn</v>
          </cell>
          <cell r="G3511"/>
          <cell r="H3511"/>
        </row>
        <row r="3512">
          <cell r="A3512" t="str">
            <v>V51.000.141</v>
          </cell>
          <cell r="B3512" t="str">
            <v>POSTER FOR FERTILIZER SALES PROMOTION</v>
          </cell>
          <cell r="C3512" t="str">
            <v>POSTER CHƯƠNG TRÌNH KHUYẾN MÃI BÁN HÀNG PHÂN BÓN</v>
          </cell>
          <cell r="D3512" t="str">
            <v>POSTER FOR FERTILIZER SALES PROMOTION</v>
          </cell>
          <cell r="E3512">
            <v>0</v>
          </cell>
          <cell r="F3512" t="str">
            <v>Chọn</v>
          </cell>
          <cell r="G3512"/>
          <cell r="H3512"/>
        </row>
        <row r="3513">
          <cell r="A3513" t="str">
            <v>7.B24072399350116</v>
          </cell>
          <cell r="B3513" t="str">
            <v>NAM DUONG TOMATO SAUCE 2.2G X 6 BOT/ CAR</v>
          </cell>
          <cell r="C3513" t="str">
            <v>TƯƠNG CÀ NAM DƯƠNG 2.2KG X 6 CHAI/ THÙNG</v>
          </cell>
          <cell r="D3513" t="str">
            <v>NAM DUONG TOMATO SAUCE 2.2G X 6 BOT/ CAR</v>
          </cell>
          <cell r="E3513">
            <v>13.2</v>
          </cell>
          <cell r="F3513" t="str">
            <v>Bỏ chọn</v>
          </cell>
          <cell r="G3513" t="str">
            <v>2000000008</v>
          </cell>
          <cell r="H3513" t="str">
            <v>7.B2407239935011601</v>
          </cell>
        </row>
        <row r="3514">
          <cell r="A3514" t="str">
            <v>7.B2407239935011601</v>
          </cell>
          <cell r="B3514" t="str">
            <v>NAM DUONG TOMATO SAUCE 2.2G</v>
          </cell>
          <cell r="C3514" t="str">
            <v>TƯƠNG CÀ NAM DƯƠNG 2.2KG</v>
          </cell>
          <cell r="D3514" t="str">
            <v>NAM DUONG TOMATO SAUCE 2.2G</v>
          </cell>
          <cell r="E3514">
            <v>2.2000000000000002</v>
          </cell>
          <cell r="F3514" t="str">
            <v>Bỏ chọn</v>
          </cell>
          <cell r="G3514" t="str">
            <v>2000000008</v>
          </cell>
          <cell r="H3514"/>
        </row>
        <row r="3515">
          <cell r="A3515" t="str">
            <v>V51.000.142</v>
          </cell>
          <cell r="B3515" t="str">
            <v>T-SHIRT POLO</v>
          </cell>
          <cell r="C3515" t="str">
            <v>ÁO THUN POLO</v>
          </cell>
          <cell r="D3515" t="str">
            <v>T-SHIRT POLO</v>
          </cell>
          <cell r="E3515">
            <v>0</v>
          </cell>
          <cell r="F3515" t="str">
            <v>Chọn</v>
          </cell>
          <cell r="G3515"/>
          <cell r="H3515"/>
        </row>
        <row r="3516">
          <cell r="A3516" t="str">
            <v>7.A33020899320179</v>
          </cell>
          <cell r="B3516" t="str">
            <v>MEIZAN PREMIUM MACARONI – STELLINE 200G X 24 PACKS</v>
          </cell>
          <cell r="C3516" t="str">
            <v>NUI CAO CẤP MEIZAN - HÌNH SAO 200G X 24 GÓI</v>
          </cell>
          <cell r="D3516" t="str">
            <v>MEIZAN PREMIUM MACARONI – STELLINE 200G X 24 PACKS</v>
          </cell>
          <cell r="E3516">
            <v>4.8</v>
          </cell>
          <cell r="F3516" t="str">
            <v>Bỏ chọn</v>
          </cell>
          <cell r="G3516"/>
          <cell r="H3516"/>
        </row>
        <row r="3517">
          <cell r="A3517" t="str">
            <v>7.A3302089932017901</v>
          </cell>
          <cell r="B3517" t="str">
            <v>MEIZAN PREMIUM MACARONI – STELLINE 200G</v>
          </cell>
          <cell r="C3517" t="str">
            <v>NUI CAO CẤP MEIZAN - HÌNH SAO 200G</v>
          </cell>
          <cell r="D3517" t="str">
            <v>MEIZAN PREMIUM MACARONI – STELLINE 200G</v>
          </cell>
          <cell r="E3517">
            <v>0.2</v>
          </cell>
          <cell r="F3517" t="str">
            <v>Bỏ chọn</v>
          </cell>
          <cell r="G3517"/>
          <cell r="H3517"/>
        </row>
        <row r="3518">
          <cell r="A3518" t="str">
            <v>7.A33030899460120</v>
          </cell>
          <cell r="B3518" t="str">
            <v>MEIZAN PREMIUM RICE MACARONI – LONG TUBE 400G X 12 PACKS</v>
          </cell>
          <cell r="C3518" t="str">
            <v>NUI GẠO CAO CẤP MEIZAN - ỐNG DÀI 400G X 12 GÓI</v>
          </cell>
          <cell r="D3518" t="str">
            <v>MEIZAN PREMIUM RICE MACARONI – LONG TUBE 400G X 12 PACKS</v>
          </cell>
          <cell r="E3518">
            <v>4.8</v>
          </cell>
          <cell r="F3518" t="str">
            <v>Bỏ chọn</v>
          </cell>
          <cell r="G3518"/>
          <cell r="H3518"/>
        </row>
        <row r="3519">
          <cell r="A3519" t="str">
            <v>7.A319908994601</v>
          </cell>
          <cell r="B3519" t="str">
            <v>VIETNAMESE PANCAKE MIX 400G X 12 BAG</v>
          </cell>
          <cell r="C3519" t="str">
            <v>BỘT BÁNH XÈO MEIZAN 400G X 12 GÓI</v>
          </cell>
          <cell r="D3519" t="str">
            <v>VIETNAMESE PANCAKE MIX 400G X 12 BAG</v>
          </cell>
          <cell r="E3519">
            <v>4.8</v>
          </cell>
          <cell r="F3519" t="str">
            <v>Bỏ chọn</v>
          </cell>
          <cell r="G3519"/>
          <cell r="H3519"/>
        </row>
        <row r="3520">
          <cell r="A3520" t="str">
            <v>7.A31990899040180</v>
          </cell>
          <cell r="B3520" t="str">
            <v>CHICKEN FRIED COATING MIX 10KG</v>
          </cell>
          <cell r="C3520" t="str">
            <v>BỘT GÀ RÁN MEIZAN 10KG</v>
          </cell>
          <cell r="D3520" t="str">
            <v>CHICKEN FRIED COATING MIX 10KG</v>
          </cell>
          <cell r="E3520">
            <v>10</v>
          </cell>
          <cell r="F3520" t="str">
            <v>Bỏ chọn</v>
          </cell>
          <cell r="G3520"/>
          <cell r="H3520"/>
        </row>
        <row r="3521">
          <cell r="A3521" t="str">
            <v>7.A31990899020180</v>
          </cell>
          <cell r="B3521" t="str">
            <v>CHICKEN FRIED COATING MIX 1KG X 10 PACKS</v>
          </cell>
          <cell r="C3521" t="str">
            <v>BỘT GÀ RÁN MEIZAN 1KG X 10 GÓI</v>
          </cell>
          <cell r="D3521" t="str">
            <v>CHICKEN FRIED COATING MIX 1KG X 10 PACKS</v>
          </cell>
          <cell r="E3521">
            <v>10</v>
          </cell>
          <cell r="F3521" t="str">
            <v>Bỏ chọn</v>
          </cell>
          <cell r="G3521"/>
          <cell r="H3521"/>
        </row>
        <row r="3522">
          <cell r="A3522" t="str">
            <v>7.A3199089902018001</v>
          </cell>
          <cell r="B3522" t="str">
            <v>CHICKEN FRIED COATING MIX 1KG</v>
          </cell>
          <cell r="C3522" t="str">
            <v>BỘT GÀ RÁN MEIZAN 1KG</v>
          </cell>
          <cell r="D3522" t="str">
            <v>CHICKEN FRIED COATING MIX 1KG</v>
          </cell>
          <cell r="E3522">
            <v>1</v>
          </cell>
          <cell r="F3522" t="str">
            <v>Bỏ chọn</v>
          </cell>
          <cell r="G3522"/>
          <cell r="H3522"/>
        </row>
        <row r="3523">
          <cell r="A3523" t="str">
            <v>7.52399049905J2</v>
          </cell>
          <cell r="B3523" t="str">
            <v>BROWN COMPASS - STF 25KG</v>
          </cell>
          <cell r="C3523" t="str">
            <v>BỘT MÌ HIỆU LA BÀN NÂU 25KG</v>
          </cell>
          <cell r="D3523" t="str">
            <v>BROWN COMPASS - STF 25KG</v>
          </cell>
          <cell r="E3523">
            <v>1</v>
          </cell>
          <cell r="F3523" t="str">
            <v>Bỏ chọn</v>
          </cell>
          <cell r="G3523"/>
          <cell r="H3523"/>
        </row>
        <row r="3524">
          <cell r="A3524" t="str">
            <v>V51.000.143</v>
          </cell>
          <cell r="B3524" t="str">
            <v>MOBIFONE CARD WITH 50.000 VND</v>
          </cell>
          <cell r="C3524" t="str">
            <v>THẺ ĐIỆN THOẠI MOBIFONE MỆNH GIÁ 50.000 ĐỒNG</v>
          </cell>
          <cell r="D3524" t="str">
            <v>MOBIFONE CARD WITH 50.000 VND</v>
          </cell>
          <cell r="E3524">
            <v>0</v>
          </cell>
          <cell r="F3524" t="str">
            <v>Chọn</v>
          </cell>
          <cell r="G3524"/>
          <cell r="H3524"/>
        </row>
        <row r="3525">
          <cell r="A3525" t="str">
            <v>V51.000.144</v>
          </cell>
          <cell r="B3525" t="str">
            <v>MOBIFONE CARD WITH 100.000 VND</v>
          </cell>
          <cell r="C3525" t="str">
            <v>THẺ ĐIỆN THOẠI MOBIFONE MỆNH GIÁ 100.000 ĐỒNG</v>
          </cell>
          <cell r="D3525" t="str">
            <v>MOBIFONE CARD WITH 100.000 VND</v>
          </cell>
          <cell r="E3525">
            <v>0</v>
          </cell>
          <cell r="F3525" t="str">
            <v>Chọn</v>
          </cell>
          <cell r="G3525"/>
          <cell r="H3525"/>
        </row>
        <row r="3526">
          <cell r="A3526" t="str">
            <v>V51.000.145</v>
          </cell>
          <cell r="B3526" t="str">
            <v>MOBIFONE CARD WITH 200.000 VND</v>
          </cell>
          <cell r="C3526" t="str">
            <v>THẺ ĐIỆN THOẠI MOBIFONE MỆNH GIÁ 200.000 ĐỒNG</v>
          </cell>
          <cell r="D3526" t="str">
            <v>MOBIFONE CARD WITH 200.000 VND</v>
          </cell>
          <cell r="E3526">
            <v>0</v>
          </cell>
          <cell r="F3526" t="str">
            <v>Chọn</v>
          </cell>
          <cell r="G3526"/>
          <cell r="H3526"/>
        </row>
        <row r="3527">
          <cell r="A3527" t="str">
            <v>V78.000.042</v>
          </cell>
          <cell r="B3527" t="str">
            <v>YELLOW LONG SLEEVE SHIRT LOGO HORECA FOR MAN</v>
          </cell>
          <cell r="C3527" t="str">
            <v>ÁO SƠ MI DÀI TAY NAM MÀU VÀNG LOGO HORECA</v>
          </cell>
          <cell r="D3527" t="str">
            <v>YELLOW LONG SLEEVE SHIRT LOGO HORECA FOR MAN</v>
          </cell>
          <cell r="E3527">
            <v>0</v>
          </cell>
          <cell r="F3527" t="str">
            <v>Chọn</v>
          </cell>
          <cell r="G3527"/>
          <cell r="H3527"/>
        </row>
        <row r="3528">
          <cell r="A3528" t="str">
            <v>V78.000.043</v>
          </cell>
          <cell r="B3528" t="str">
            <v>YELLOW LONG SLEEVE SHIRT LOGO HORECA FOR WOMEN</v>
          </cell>
          <cell r="C3528" t="str">
            <v>ÁO SƠ MI DÀI TAY NỮ MÀU VÀNG LOGO HORECA</v>
          </cell>
          <cell r="D3528" t="str">
            <v>YELLOW LONG SLEEVE SHIRT LOGO HORECA FOR WOMEN</v>
          </cell>
          <cell r="E3528">
            <v>0</v>
          </cell>
          <cell r="F3528" t="str">
            <v>Chọn</v>
          </cell>
          <cell r="G3528"/>
          <cell r="H3528"/>
        </row>
        <row r="3529">
          <cell r="A3529" t="str">
            <v>7.E3801789985I933</v>
          </cell>
          <cell r="B3529" t="str">
            <v>MEADOW FRESH UHT SKIMMED MILK 1LX12, NEW ZEALAND ORIGIN</v>
          </cell>
          <cell r="C3529" t="str">
            <v>SỮA TƯƠI TIỆT TRÙNG TÁCH BÉO NHÃN HIỆU MEADOW FRESH 1LX12, XUẤT XỨ NEW ZEALAND</v>
          </cell>
          <cell r="D3529" t="str">
            <v>MEADOW FRESH UHT SKIMMED MILK 1LX12, NEW ZEALAND ORIGIN</v>
          </cell>
          <cell r="E3529">
            <v>12.336</v>
          </cell>
          <cell r="F3529" t="str">
            <v>Chọn</v>
          </cell>
          <cell r="G3529"/>
          <cell r="H3529" t="str">
            <v>7.E3801789985I93301</v>
          </cell>
        </row>
        <row r="3530">
          <cell r="A3530" t="str">
            <v>7.E3801789985I93301</v>
          </cell>
          <cell r="B3530" t="str">
            <v>MEADOW FRESH UHT SKIMMED MILK 1L, NEW ZEALAND ORIGIN</v>
          </cell>
          <cell r="C3530" t="str">
            <v>SỮA TƯƠI TIỆT TRÙNG TÁCH BÉO NHÃN HIỆU MEADOW FRESH 1L, XUẤT XỨ NEW ZEALAND</v>
          </cell>
          <cell r="D3530" t="str">
            <v>MEADOW FRESH UHT SKIMMED MILK 1L, NEW ZEALAND ORIGIN</v>
          </cell>
          <cell r="E3530">
            <v>1.028</v>
          </cell>
          <cell r="F3530" t="str">
            <v>Chọn</v>
          </cell>
          <cell r="G3530"/>
          <cell r="H3530"/>
        </row>
        <row r="3531">
          <cell r="A3531" t="str">
            <v>V51.050.029</v>
          </cell>
          <cell r="B3531" t="str">
            <v>MEIZAN PREMIUM EGG NOODLE 250G</v>
          </cell>
          <cell r="C3531" t="str">
            <v>MÌ TRỨNG CAO CẤP MEIZAN 250G</v>
          </cell>
          <cell r="D3531" t="str">
            <v>MEIZAN PREMIUM EGG NOODLE 250G</v>
          </cell>
          <cell r="E3531">
            <v>0</v>
          </cell>
          <cell r="F3531" t="str">
            <v>Bỏ chọn</v>
          </cell>
          <cell r="G3531"/>
          <cell r="H3531"/>
        </row>
        <row r="3532">
          <cell r="A3532" t="str">
            <v>7.52399029906D0TD</v>
          </cell>
          <cell r="B3532" t="str">
            <v>BLUE KEY 40KG</v>
          </cell>
          <cell r="C3532" t="str">
            <v>BỘT MÌ HIỆU CHÌA KHÓA XANH 40KG</v>
          </cell>
          <cell r="D3532" t="str">
            <v>BLUE KEY 40KG</v>
          </cell>
          <cell r="E3532">
            <v>1</v>
          </cell>
          <cell r="F3532" t="str">
            <v>Chọn</v>
          </cell>
          <cell r="G3532"/>
          <cell r="H3532"/>
        </row>
        <row r="3533">
          <cell r="A3533" t="str">
            <v>7.52399159906D0TD</v>
          </cell>
          <cell r="B3533" t="str">
            <v>RED KEY 40KG</v>
          </cell>
          <cell r="C3533" t="str">
            <v>BỘT MÌ HIỆU CHÌA KHÓA ĐỎ 40KG</v>
          </cell>
          <cell r="D3533" t="str">
            <v>RED KEY 40KG</v>
          </cell>
          <cell r="E3533">
            <v>1</v>
          </cell>
          <cell r="F3533" t="str">
            <v>Bỏ chọn</v>
          </cell>
          <cell r="G3533"/>
          <cell r="H3533"/>
        </row>
        <row r="3534">
          <cell r="A3534" t="str">
            <v>7.1070120892033009TD</v>
          </cell>
          <cell r="B3534" t="str">
            <v>MEIZAN BOS IN PLASTIC BUCKET35-38@18KG P</v>
          </cell>
          <cell r="C3534" t="str">
            <v>DẦU BƠ THAY THẾ HIỆU MEIZAN TRONG THÙNG NHỰA 18 KG (NHÃN VÀNG)</v>
          </cell>
          <cell r="D3534" t="str">
            <v>MEIZAN BOS IN PLASTIC BUCKET35-38@18KG P</v>
          </cell>
          <cell r="E3534">
            <v>18</v>
          </cell>
          <cell r="F3534" t="str">
            <v>Chọn</v>
          </cell>
          <cell r="G3534"/>
          <cell r="H3534"/>
        </row>
        <row r="3535">
          <cell r="A3535" t="str">
            <v>7.52399174805J3</v>
          </cell>
          <cell r="B3535" t="str">
            <v>RED SATELLITE LIBRA 25KG</v>
          </cell>
          <cell r="C3535" t="str">
            <v>BỘT MÌ HIỆU VỆ TINH ĐỎ 25KG</v>
          </cell>
          <cell r="D3535" t="str">
            <v>RED SATELLITE LIBRA 25KG</v>
          </cell>
          <cell r="E3535">
            <v>1</v>
          </cell>
          <cell r="F3535" t="str">
            <v>Bỏ chọn</v>
          </cell>
          <cell r="G3535"/>
          <cell r="H3535"/>
        </row>
        <row r="3536">
          <cell r="A3536" t="str">
            <v>V51.600.231</v>
          </cell>
          <cell r="B3536" t="str">
            <v>NEPTUNE LIGHT TET EMPTY BOX 2 x 1L</v>
          </cell>
          <cell r="C3536" t="str">
            <v>VỎ HỘP QUÀ TẾT NEPTUNE LIGHT 2 x 1L</v>
          </cell>
          <cell r="D3536" t="str">
            <v>NEPTUNE LIGHT TET EMPTY BOX 2 x 1L</v>
          </cell>
          <cell r="E3536">
            <v>7.0000000000000007E-2</v>
          </cell>
          <cell r="F3536" t="str">
            <v>Bỏ chọn</v>
          </cell>
          <cell r="G3536"/>
          <cell r="H3536"/>
        </row>
        <row r="3537">
          <cell r="A3537" t="str">
            <v>7.1060120336008010</v>
          </cell>
          <cell r="B3537" t="str">
            <v>MEIZAN CHOCOFAT MP 39-43 IV 50 IN PEBAG 25KG</v>
          </cell>
          <cell r="C3537" t="str">
            <v>CHẤT BÉO CHOCO NHÃN HIỆU MEIZAN 25KG</v>
          </cell>
          <cell r="D3537" t="str">
            <v>MEIZAN CHOCOFAT MP 39-43 IV 50 IN PEBAG 25KG</v>
          </cell>
          <cell r="E3537">
            <v>25</v>
          </cell>
          <cell r="F3537" t="str">
            <v>Chọn</v>
          </cell>
          <cell r="G3537"/>
          <cell r="H3537"/>
        </row>
        <row r="3538">
          <cell r="A3538" t="str">
            <v>7.G4001B499C10199</v>
          </cell>
          <cell r="B3538" t="str">
            <v>TWINKLE ENGLISH BREAKFAST TEA 1,8 G X 20 X 12 IN CARTON</v>
          </cell>
          <cell r="C3538" t="str">
            <v>TRÀ TWINKLE ENGLISH BREAKFAST 1,8 G X 20 X 12 HỘP ĐÓNG TRONG THÙNG CARTON</v>
          </cell>
          <cell r="D3538" t="str">
            <v>TWINKLE ENGLISH BREAKFAST TEA 1,8 G X 20 X 12 IN CARTON</v>
          </cell>
          <cell r="E3538">
            <v>0.432</v>
          </cell>
          <cell r="F3538" t="str">
            <v>Chọn</v>
          </cell>
          <cell r="G3538"/>
          <cell r="H3538" t="str">
            <v>7.G4001B499C1019901</v>
          </cell>
        </row>
        <row r="3539">
          <cell r="A3539" t="str">
            <v>7.G4001B499C1019901</v>
          </cell>
          <cell r="B3539" t="str">
            <v>TWINKLE ENGLISH BREAKFAST TEA 1,8 G X 20 IN CARTON</v>
          </cell>
          <cell r="C3539" t="str">
            <v>TRÀ TWINKLE ENGLISH BREAKFAST 1,8 G X 20</v>
          </cell>
          <cell r="D3539" t="str">
            <v>TWINKLE ENGLISH BREAKFAST TEA 1,8 G X 20 IN CARTON</v>
          </cell>
          <cell r="E3539">
            <v>3.5999999999999997E-2</v>
          </cell>
          <cell r="F3539" t="str">
            <v>Chọn</v>
          </cell>
          <cell r="G3539"/>
          <cell r="H3539"/>
        </row>
        <row r="3540">
          <cell r="A3540" t="str">
            <v>7.G4001B499C00181</v>
          </cell>
          <cell r="B3540" t="str">
            <v>TWINKLE OOLONG TEA 1,5 G X 20 X 12 IN CARTON</v>
          </cell>
          <cell r="C3540" t="str">
            <v>TRÀ TWINKLE Ô LONG THƯỢNG HẠNG 1,5 G X 20 X 12 HỘP ĐÓNG TRONG THÙNG CARTON</v>
          </cell>
          <cell r="D3540" t="str">
            <v>TWINKLE OOLONG TEA 1,5 G X 20 X 12 IN CARTON</v>
          </cell>
          <cell r="E3540">
            <v>0.36</v>
          </cell>
          <cell r="F3540" t="str">
            <v>Chọn</v>
          </cell>
          <cell r="G3540"/>
          <cell r="H3540" t="str">
            <v>7.G4001B499C0018101</v>
          </cell>
        </row>
        <row r="3541">
          <cell r="A3541" t="str">
            <v>7.G4001B499C0018101</v>
          </cell>
          <cell r="B3541" t="str">
            <v>TWINKLE OOLONG TEA 1,5 G X 20 IN CARTON</v>
          </cell>
          <cell r="C3541" t="str">
            <v>TRÀ TWINKLE Ô LONG THƯỢNG HẠNG 1,5 G X 20</v>
          </cell>
          <cell r="D3541" t="str">
            <v>TWINKLE OOLONG TEA 1,5 G X 20 IN CARTON</v>
          </cell>
          <cell r="E3541">
            <v>0.03</v>
          </cell>
          <cell r="F3541" t="str">
            <v>Chọn</v>
          </cell>
          <cell r="G3541"/>
          <cell r="H3541"/>
        </row>
        <row r="3542">
          <cell r="A3542" t="str">
            <v>7.G4001B499C00182</v>
          </cell>
          <cell r="B3542" t="str">
            <v>TWINKLE CHAMOMILE 1,5 G X 20 X 12 IN CARTON</v>
          </cell>
          <cell r="C3542" t="str">
            <v>TRÀ TWINKLE THẢO MỘC HOA CÚC 1,5 G X 20 X 12 HỘP ĐÓNG TRONG THÙNG CARTON</v>
          </cell>
          <cell r="D3542" t="str">
            <v>TWINKLE CHAMOMILE 1,5 G X 20 X 12 IN CARTON</v>
          </cell>
          <cell r="E3542">
            <v>0.36</v>
          </cell>
          <cell r="F3542" t="str">
            <v>Chọn</v>
          </cell>
          <cell r="G3542"/>
          <cell r="H3542" t="str">
            <v>7.G4001B499C0018201</v>
          </cell>
        </row>
        <row r="3543">
          <cell r="A3543" t="str">
            <v>7.G4001B499C0018201</v>
          </cell>
          <cell r="B3543" t="str">
            <v>TWINKLE CHAMOMILE 1,5 G X 20 IN CARTON</v>
          </cell>
          <cell r="C3543" t="str">
            <v>TRÀ TWINKLE THẢO MỘC HOA CÚC 1,5 G X 20</v>
          </cell>
          <cell r="D3543" t="str">
            <v>TWINKLE CHAMOMILE 1,5 G X 20 IN CARTON</v>
          </cell>
          <cell r="E3543">
            <v>0.03</v>
          </cell>
          <cell r="F3543" t="str">
            <v>Chọn</v>
          </cell>
          <cell r="G3543"/>
          <cell r="H3543"/>
        </row>
        <row r="3544">
          <cell r="A3544" t="str">
            <v>7.G4001B499C10183</v>
          </cell>
          <cell r="B3544" t="str">
            <v>TWINKLE EARL GREY 1,8 G X 20 X 12 IN CARTON</v>
          </cell>
          <cell r="C3544" t="str">
            <v>TRÀ TWINKLE EARL GREY 1,8 G X 20 X 12 HỘP ĐÓNG TRONG THÙNG CARTON</v>
          </cell>
          <cell r="D3544" t="str">
            <v>TWINKLE EARL GREY 1,8 G X 20 X 12 IN CARTON</v>
          </cell>
          <cell r="E3544">
            <v>0.432</v>
          </cell>
          <cell r="F3544" t="str">
            <v>Chọn</v>
          </cell>
          <cell r="G3544"/>
          <cell r="H3544" t="str">
            <v>7.G4001B499C1018301</v>
          </cell>
        </row>
        <row r="3545">
          <cell r="A3545" t="str">
            <v>7.G4001B499C1018301</v>
          </cell>
          <cell r="B3545" t="str">
            <v>TWINKLE EARL GREY 1,8 G X 20 IN CARTON</v>
          </cell>
          <cell r="C3545" t="str">
            <v>TRÀ TWINKLE EARL GREY 1,8 G X 20</v>
          </cell>
          <cell r="D3545" t="str">
            <v>TWINKLE EARL GREY 1,8 G X 20 IN CARTON</v>
          </cell>
          <cell r="E3545">
            <v>3.5999999999999997E-2</v>
          </cell>
          <cell r="F3545" t="str">
            <v>Chọn</v>
          </cell>
          <cell r="G3545"/>
          <cell r="H3545"/>
        </row>
        <row r="3546">
          <cell r="A3546" t="str">
            <v>7.G4001B499C10184</v>
          </cell>
          <cell r="B3546" t="str">
            <v>TWINKLE PEACH 1,8 G X 20 X 12 IN CARTON</v>
          </cell>
          <cell r="C3546" t="str">
            <v>TRÀ TWINKLE HƯƠNG ĐÀO 1,8 G X 20 X 12 HỘP ĐÓNG TRONG THÙNG CARTON</v>
          </cell>
          <cell r="D3546" t="str">
            <v>TWINKLE PEACH 1,8 G X 20 X 12 IN CARTON</v>
          </cell>
          <cell r="E3546">
            <v>0.432</v>
          </cell>
          <cell r="F3546" t="str">
            <v>Chọn</v>
          </cell>
          <cell r="G3546"/>
          <cell r="H3546" t="str">
            <v>7.G4001B499C1018401</v>
          </cell>
        </row>
        <row r="3547">
          <cell r="A3547" t="str">
            <v>7.G4001B499C1018401</v>
          </cell>
          <cell r="B3547" t="str">
            <v>TWINKLE PEACH 1,8 G X 20 IN CARTON</v>
          </cell>
          <cell r="C3547" t="str">
            <v>TRÀ TWINKLE HƯƠNG ĐÀO 1,8 G X 20</v>
          </cell>
          <cell r="D3547" t="str">
            <v>TWINKLE PEACH 1,8 G X 20 IN CARTON</v>
          </cell>
          <cell r="E3547">
            <v>3.5999999999999997E-2</v>
          </cell>
          <cell r="F3547" t="str">
            <v>Chọn</v>
          </cell>
          <cell r="G3547"/>
          <cell r="H3547"/>
        </row>
        <row r="3548">
          <cell r="A3548" t="str">
            <v>7.G4001B499C10185</v>
          </cell>
          <cell r="B3548" t="str">
            <v>TWINKLE GINGER 1,8 G X 20 X 12 IN CARTON</v>
          </cell>
          <cell r="C3548" t="str">
            <v>TRÀ TWINKLE HƯƠNG GỪNG 1,8 G X 20 X 12 HỘP ĐÓNG TRONG THÙNG CARTON</v>
          </cell>
          <cell r="D3548" t="str">
            <v>TWINKLE GINGER 1,8 G X 20 X 12 IN CARTON</v>
          </cell>
          <cell r="E3548">
            <v>0.432</v>
          </cell>
          <cell r="F3548" t="str">
            <v>Chọn</v>
          </cell>
          <cell r="G3548"/>
          <cell r="H3548" t="str">
            <v>7.G4001B499C1018501</v>
          </cell>
        </row>
        <row r="3549">
          <cell r="A3549" t="str">
            <v>7.G4001B499C1018501</v>
          </cell>
          <cell r="B3549" t="str">
            <v>TWINKLE GINGER 1,8 G X 20 IN CARTON</v>
          </cell>
          <cell r="C3549" t="str">
            <v>TRÀ TWINKLE HƯƠNG GỪNG 1,8 G X 20</v>
          </cell>
          <cell r="D3549" t="str">
            <v>TWINKLE GINGER 1,8 G X 20 IN CARTON</v>
          </cell>
          <cell r="E3549">
            <v>3.5999999999999997E-2</v>
          </cell>
          <cell r="F3549" t="str">
            <v>Chọn</v>
          </cell>
          <cell r="G3549"/>
          <cell r="H3549"/>
        </row>
        <row r="3550">
          <cell r="A3550" t="str">
            <v>7.G4001B499C00186</v>
          </cell>
          <cell r="B3550" t="str">
            <v>TWINKLE JASMINE GREEN TEA 1,5 G X 20 X 12 IN CARTON</v>
          </cell>
          <cell r="C3550" t="str">
            <v>TRÀ XANH TWINKLE HOA NHÀI 1,5 G X 20 X 12 HỘP ĐÓNG TRONG THÙNG CARTON</v>
          </cell>
          <cell r="D3550" t="str">
            <v>TWINKLE JASMINE GREEN TEA 1,5 G X 20 X 12 IN CARTON</v>
          </cell>
          <cell r="E3550">
            <v>0.36</v>
          </cell>
          <cell r="F3550" t="str">
            <v>Chọn</v>
          </cell>
          <cell r="G3550"/>
          <cell r="H3550" t="str">
            <v>7.G4001B499C0018601</v>
          </cell>
        </row>
        <row r="3551">
          <cell r="A3551" t="str">
            <v>7.G4001B499C0018601</v>
          </cell>
          <cell r="B3551" t="str">
            <v>TWINKLE JASMINE GREEN TEA 1,5 G X 20 IN CARTON</v>
          </cell>
          <cell r="C3551" t="str">
            <v>TRÀ XANH TWINKLE HOA NHÀI 1,5 G X 20</v>
          </cell>
          <cell r="D3551" t="str">
            <v>TWINKLE JASMINE GREEN TEA 1,5 G X 20 IN CARTON</v>
          </cell>
          <cell r="E3551">
            <v>0.03</v>
          </cell>
          <cell r="F3551" t="str">
            <v>Chọn</v>
          </cell>
          <cell r="G3551"/>
          <cell r="H3551"/>
        </row>
        <row r="3552">
          <cell r="A3552" t="str">
            <v>7.G4001B499C10136</v>
          </cell>
          <cell r="B3552" t="str">
            <v>TWINKLE STRAWBERRY 1,8 G X 20 X 12 IN CARTON</v>
          </cell>
          <cell r="C3552" t="str">
            <v>TRÀ TWINKLE HƯƠNG DÂU 1,8 G X 20 X 12 HỘP ĐÓNG TRONG THÙNG CARTON</v>
          </cell>
          <cell r="D3552" t="str">
            <v>TWINKLE STRAWBERRY 1,8 G X 20 X 12 IN CARTON</v>
          </cell>
          <cell r="E3552">
            <v>0.432</v>
          </cell>
          <cell r="F3552" t="str">
            <v>Chọn</v>
          </cell>
          <cell r="G3552"/>
          <cell r="H3552" t="str">
            <v>7.G4001B499C1013601</v>
          </cell>
        </row>
        <row r="3553">
          <cell r="A3553" t="str">
            <v>7.G4001B499C1013601</v>
          </cell>
          <cell r="B3553" t="str">
            <v>TWINKLE STRAWBERRY 1,8 G X 20 IN CARTON</v>
          </cell>
          <cell r="C3553" t="str">
            <v>TRÀ TWINKLE HƯƠNG DÂU 1,8 G X 20</v>
          </cell>
          <cell r="D3553" t="str">
            <v>TWINKLE STRAWBERRY 1,8 G X 20 IN CARTON</v>
          </cell>
          <cell r="E3553">
            <v>3.5999999999999997E-2</v>
          </cell>
          <cell r="F3553" t="str">
            <v>Chọn</v>
          </cell>
          <cell r="G3553"/>
          <cell r="H3553"/>
        </row>
        <row r="3554">
          <cell r="A3554" t="str">
            <v>7.52399177505J4</v>
          </cell>
          <cell r="B3554" t="str">
            <v>RED SATELLITE - LOW ASH HAIDILAO 25KG</v>
          </cell>
          <cell r="C3554" t="str">
            <v>BỘT MÌ HIỆU VỆ TINH ĐỎ - ĐỘ TRO THẤP 25KG</v>
          </cell>
          <cell r="D3554" t="str">
            <v>RED SATELLITE - LOW ASH HAIDILAO 25KG</v>
          </cell>
          <cell r="E3554">
            <v>1</v>
          </cell>
          <cell r="F3554" t="str">
            <v>Bỏ chọn</v>
          </cell>
          <cell r="G3554"/>
          <cell r="H3554"/>
        </row>
        <row r="3555">
          <cell r="A3555" t="str">
            <v>7.52399119906J5</v>
          </cell>
          <cell r="B3555" t="str">
            <v>ORANGE KEY - CLH 40KG</v>
          </cell>
          <cell r="C3555" t="str">
            <v>BỘT MÌ HIỆU CHÌA KHÓA CAM 40KG</v>
          </cell>
          <cell r="D3555" t="str">
            <v>ORANGE KEY - CLH 40KG</v>
          </cell>
          <cell r="E3555">
            <v>1</v>
          </cell>
          <cell r="F3555" t="str">
            <v>Bỏ chọn</v>
          </cell>
          <cell r="G3555"/>
          <cell r="H3555"/>
        </row>
        <row r="3556">
          <cell r="A3556" t="str">
            <v>7.G4001B599430186</v>
          </cell>
          <cell r="B3556" t="str">
            <v>VINATEA JASMINE FLAVORED TEA (TEA BAG) 50G 2G X 25 BAGS X 50 BOXES IN CARTON</v>
          </cell>
          <cell r="C3556" t="str">
            <v>TRÀ VINATEA HƯƠNG LÀI (TÚI LỌC) 50G 2G X 25 TÚI LỌC X 50 HỘP ĐÓNG TRONG THÙNG CARTON</v>
          </cell>
          <cell r="D3556" t="str">
            <v>VINATEA JASMINE FLAVORED TEA (TEA BAG) 50G 2G X 25 BAGS X 50 BOXES IN CARTON</v>
          </cell>
          <cell r="E3556">
            <v>2.5</v>
          </cell>
          <cell r="F3556" t="str">
            <v>Chọn</v>
          </cell>
          <cell r="G3556"/>
          <cell r="H3556" t="str">
            <v>7.G4001B59943018601</v>
          </cell>
        </row>
        <row r="3557">
          <cell r="A3557" t="str">
            <v>7.G4001B59943018601</v>
          </cell>
          <cell r="B3557" t="str">
            <v>VINATEA JASMINE FLAVORED TEA (TEA BAG) 50G</v>
          </cell>
          <cell r="C3557" t="str">
            <v>TRÀ VINATEA HƯƠNG LÀI (TÚI LỌC) 50G</v>
          </cell>
          <cell r="D3557" t="str">
            <v>VINATEA JASMINE FLAVORED TEA (TEA BAG) 50G</v>
          </cell>
          <cell r="E3557">
            <v>0.05</v>
          </cell>
          <cell r="F3557" t="str">
            <v>Chọn</v>
          </cell>
          <cell r="G3557"/>
          <cell r="H3557"/>
        </row>
        <row r="3558">
          <cell r="A3558" t="str">
            <v>7.G4001B599020187</v>
          </cell>
          <cell r="B3558" t="str">
            <v>VINATEA RED TEA 1KG X 5 BAGS IN CARTON</v>
          </cell>
          <cell r="C3558" t="str">
            <v>TRÀ VINATEA HỒNG TRÀ TÚI 1KG X 5 TÚI ĐÓNG TRONG THÙNG CARTON</v>
          </cell>
          <cell r="D3558" t="str">
            <v>VINATEA RED TEA 1KG X 5 BAGS IN CARTON</v>
          </cell>
          <cell r="E3558">
            <v>5</v>
          </cell>
          <cell r="F3558" t="str">
            <v>Chọn</v>
          </cell>
          <cell r="G3558"/>
          <cell r="H3558" t="str">
            <v>7.G4001B59902018701</v>
          </cell>
        </row>
        <row r="3559">
          <cell r="A3559" t="str">
            <v>7.G4001B59902018701</v>
          </cell>
          <cell r="B3559" t="str">
            <v>VINATEA RED TEA 1KG</v>
          </cell>
          <cell r="C3559" t="str">
            <v>TRÀ VINATEA HỒNG TRÀ TÚI 1KG</v>
          </cell>
          <cell r="D3559" t="str">
            <v>VINATEA RED TEA 1KG</v>
          </cell>
          <cell r="E3559">
            <v>1</v>
          </cell>
          <cell r="F3559" t="str">
            <v>Chọn</v>
          </cell>
          <cell r="G3559"/>
          <cell r="H3559"/>
        </row>
        <row r="3560">
          <cell r="A3560" t="str">
            <v>7.G4001B599430199</v>
          </cell>
          <cell r="B3560" t="str">
            <v>VINATEA BLACK TEA (TEA BAG) 50G 2G X 25 BAGS X 50 BOXES IN CARTON</v>
          </cell>
          <cell r="C3560" t="str">
            <v>TRÀ VINATEA ĐEN HẢO HẠNG HỘP VÀNG (TÚI LỌC) 50G 2G X 25 TÚI LỌC X 50 HỘP ĐÓNG TRONG THÙNG CARTON</v>
          </cell>
          <cell r="D3560" t="str">
            <v>VINATEA BLACK TEA (TEA BAG) 50G 2G X 25 BAGS X 50 BOXES IN CARTON</v>
          </cell>
          <cell r="E3560">
            <v>2.5</v>
          </cell>
          <cell r="F3560" t="str">
            <v>Chọn</v>
          </cell>
          <cell r="G3560"/>
          <cell r="H3560" t="str">
            <v>7.G4001B59943019901</v>
          </cell>
        </row>
        <row r="3561">
          <cell r="A3561" t="str">
            <v>7.G4001B59943019901</v>
          </cell>
          <cell r="B3561" t="str">
            <v>VINATEA BLACK TEA (TEA BAG) 50G</v>
          </cell>
          <cell r="C3561" t="str">
            <v>TRÀ VINATEA ĐEN HẢO HẠNG HỘP VÀNG (TÚI LỌC) 50G</v>
          </cell>
          <cell r="D3561" t="str">
            <v>VINATEA BLACK TEA (TEA BAG) 50G</v>
          </cell>
          <cell r="E3561">
            <v>0.05</v>
          </cell>
          <cell r="F3561" t="str">
            <v>Chọn</v>
          </cell>
          <cell r="G3561"/>
          <cell r="H3561"/>
        </row>
        <row r="3562">
          <cell r="A3562" t="str">
            <v>7.G4001B599430181</v>
          </cell>
          <cell r="B3562" t="str">
            <v>VINATEA OOLONG TEA (TEA BAG) 50G 2G X 25 BAGS X 50 BOXES IN CARTON</v>
          </cell>
          <cell r="C3562" t="str">
            <v>TRÀ VINATEA Ô LONG (TÚI LỌC) 50G 2G X 25 TÚI LỌC X 50 HỘP ĐÓNG TRONG THÙNG CARTON</v>
          </cell>
          <cell r="D3562" t="str">
            <v>VINATEA OOLONG TEA (TEA BAG) 50G 2G X 25 BAGS X 50 BOXES IN CARTON</v>
          </cell>
          <cell r="E3562">
            <v>2.5</v>
          </cell>
          <cell r="F3562" t="str">
            <v>Chọn</v>
          </cell>
          <cell r="G3562"/>
          <cell r="H3562" t="str">
            <v>7.G4001B59943018101</v>
          </cell>
        </row>
        <row r="3563">
          <cell r="A3563" t="str">
            <v>7.G4001B59943018101</v>
          </cell>
          <cell r="B3563" t="str">
            <v>VINATEA OOLONG TEA (TEA BAG) 50G</v>
          </cell>
          <cell r="C3563" t="str">
            <v>TRÀ VINATEA Ô LONG (TÚI LỌC) 50G</v>
          </cell>
          <cell r="D3563" t="str">
            <v>VINATEA OOLONG TEA (TEA BAG) 50G</v>
          </cell>
          <cell r="E3563">
            <v>0.05</v>
          </cell>
          <cell r="F3563" t="str">
            <v>Chọn</v>
          </cell>
          <cell r="G3563"/>
          <cell r="H3563"/>
        </row>
        <row r="3564">
          <cell r="A3564" t="str">
            <v>7.G4001B595430199</v>
          </cell>
          <cell r="B3564" t="str">
            <v>VINATEA THAI NGUYEN GREEN TEA (TEA BAG) 50G 2G X 25 BAGS X 24 BOXES IN CARTON</v>
          </cell>
          <cell r="C3564" t="str">
            <v>TRÀ VINATEA THÁI NGUYÊN (TÚI LỌC) 50G 2G X 25 TÚI LỌC X 24 HỘP ĐÓNG TRONG THÙNG CARTON</v>
          </cell>
          <cell r="D3564" t="str">
            <v>VINATEA THAI NGUYEN GREEN TEA (TEA BAG) 50G 2G X 25 BAGS X 24 BOXES IN CARTON</v>
          </cell>
          <cell r="E3564">
            <v>1.2</v>
          </cell>
          <cell r="F3564" t="str">
            <v>Chọn</v>
          </cell>
          <cell r="G3564"/>
          <cell r="H3564" t="str">
            <v>7.G4001B59543019901</v>
          </cell>
        </row>
        <row r="3565">
          <cell r="A3565" t="str">
            <v>7.G4001B59543019901</v>
          </cell>
          <cell r="B3565" t="str">
            <v>VINATEA THAI NGUYEN GREEN TEA (TEA BAG) 50G</v>
          </cell>
          <cell r="C3565" t="str">
            <v>TRÀ VINATEA THÁI NGUYÊN (TÚI LỌC) 50G</v>
          </cell>
          <cell r="D3565" t="str">
            <v>VINATEA THAI NGUYEN GREEN TEA (TEA BAG) 50G</v>
          </cell>
          <cell r="E3565">
            <v>0.05</v>
          </cell>
          <cell r="F3565" t="str">
            <v>Chọn</v>
          </cell>
          <cell r="G3565"/>
          <cell r="H3565"/>
        </row>
        <row r="3566">
          <cell r="A3566" t="str">
            <v>7.G4001B599430136</v>
          </cell>
          <cell r="B3566" t="str">
            <v>VINATEA STRAWBERRY FLAVORED TEA (TEA BAG) 50G 2G X 25 BAGS X 36 BOXES IN CARTON</v>
          </cell>
          <cell r="C3566" t="str">
            <v>TRÀ VINATEA HƯƠNG DÂU (TÚI LỌC) 50G 2G X 25 TÚI LỌC X 36 HỘP ĐÓNG TRONG THÙNG CARTON</v>
          </cell>
          <cell r="D3566" t="str">
            <v>VINATEA STRAWBERRY FLAVORED TEA (TEA BAG) 50G 2G X 25 BAGS X 36 BOXES IN CARTON</v>
          </cell>
          <cell r="E3566">
            <v>1.8</v>
          </cell>
          <cell r="F3566" t="str">
            <v>Chọn</v>
          </cell>
          <cell r="G3566"/>
          <cell r="H3566" t="str">
            <v>7.G4001B59943013601</v>
          </cell>
        </row>
        <row r="3567">
          <cell r="A3567" t="str">
            <v>7.G4001B59943013601</v>
          </cell>
          <cell r="B3567" t="str">
            <v>VINATEA STRAWBERRY FLAVORED TEA (TEA BAG) 50G</v>
          </cell>
          <cell r="C3567" t="str">
            <v>TRÀ VINATEA HƯƠNG DÂU (TÚI LỌC) 50G</v>
          </cell>
          <cell r="D3567" t="str">
            <v>VINATEA STRAWBERRY FLAVORED TEA (TEA BAG) 50G</v>
          </cell>
          <cell r="E3567">
            <v>0.05</v>
          </cell>
          <cell r="F3567" t="str">
            <v>Chọn</v>
          </cell>
          <cell r="G3567"/>
          <cell r="H3567"/>
        </row>
        <row r="3568">
          <cell r="A3568" t="str">
            <v>7.G4001B599430184</v>
          </cell>
          <cell r="B3568" t="str">
            <v>VINATEA PEACH FLAVORED TEA (TEA BAG) 50G 2G X 25 BAGS X 36 BOXES IN CARTON</v>
          </cell>
          <cell r="C3568" t="str">
            <v>TRÀ VINATEA HƯƠNG ĐÀO (TÚI LỌC) 50G 2G X 25 TÚI LỌC X 36 HỘP ĐÓNG TRONG THÙNG CARTON</v>
          </cell>
          <cell r="D3568" t="str">
            <v>VINATEA PEACH FLAVORED TEA (TEA BAG) 50G 2G X 25 BAGS X 36 BOXES IN CARTON</v>
          </cell>
          <cell r="E3568">
            <v>1.8</v>
          </cell>
          <cell r="F3568" t="str">
            <v>Chọn</v>
          </cell>
          <cell r="G3568"/>
          <cell r="H3568" t="str">
            <v>7.G4001B59943018401</v>
          </cell>
        </row>
        <row r="3569">
          <cell r="A3569" t="str">
            <v>7.G4001B59943018401</v>
          </cell>
          <cell r="B3569" t="str">
            <v>VINATEA PEACH FLAVORED TEA (TEA BAG) 50G</v>
          </cell>
          <cell r="C3569" t="str">
            <v>TRÀ VINATEA HƯƠNG ĐÀO (TÚI LỌC) 50G</v>
          </cell>
          <cell r="D3569" t="str">
            <v>VINATEA PEACH FLAVORED TEA (TEA BAG) 50G</v>
          </cell>
          <cell r="E3569">
            <v>0.05</v>
          </cell>
          <cell r="F3569" t="str">
            <v>Chọn</v>
          </cell>
          <cell r="G3569"/>
          <cell r="H3569"/>
        </row>
        <row r="3570">
          <cell r="A3570" t="str">
            <v>7.G4001B595600199</v>
          </cell>
          <cell r="B3570" t="str">
            <v>VINATEA THAI NGUYEN LOOSE LEAF TEA VACUUM BAG 100G X 72 BAGS IN CARTON</v>
          </cell>
          <cell r="C3570" t="str">
            <v>TRÀ VINATEA THÁI NGUYÊN SỢI RỜI TÚI HCK XANH 100G X 72 GÓI ĐÓNG TRONG THÙNG CARTON</v>
          </cell>
          <cell r="D3570" t="str">
            <v>VINATEA THAI NGUYEN LOOSE LEAF TEA VACUUM BAG 100G X 72 BAGS IN CARTON</v>
          </cell>
          <cell r="E3570">
            <v>7.2</v>
          </cell>
          <cell r="F3570" t="str">
            <v>Chọn</v>
          </cell>
          <cell r="G3570"/>
          <cell r="H3570" t="str">
            <v>7.G4001B59560019901</v>
          </cell>
        </row>
        <row r="3571">
          <cell r="A3571" t="str">
            <v>7.G4001B59560019901</v>
          </cell>
          <cell r="B3571" t="str">
            <v>VINATEA THAI NGUYEN LOOSE LEAF TEA VACUUM BAG 100G</v>
          </cell>
          <cell r="C3571" t="str">
            <v>TRÀ VINATEA THÁI NGUYÊN SỢI RỜI TÚI HCK XANH 100G</v>
          </cell>
          <cell r="D3571" t="str">
            <v>VINATEA THAI NGUYEN LOOSE LEAF TEA VACUUM BAG 100G</v>
          </cell>
          <cell r="E3571">
            <v>0.1</v>
          </cell>
          <cell r="F3571" t="str">
            <v>Chọn</v>
          </cell>
          <cell r="G3571"/>
          <cell r="H3571"/>
        </row>
        <row r="3572">
          <cell r="A3572" t="str">
            <v>7.G4001B599C20188</v>
          </cell>
          <cell r="B3572" t="str">
            <v>VINATEA CHAMOMILE TEA ++ (TEA BAG) 40G 2G X 20 BAGS X 24 BOXES IN CARTON</v>
          </cell>
          <cell r="C3572" t="str">
            <v>TRÀ VINATEA HOA CÚC MẬT ++ (TÚI LỌC) 40G 2G X 20 TÚI LỌC X 24 HỘP ĐÓNG TRONG THÙNG CARTON</v>
          </cell>
          <cell r="D3572" t="str">
            <v>VINATEA CHAMOMILE TEA ++ (TEA BAG) 40G 2G X 20 BAGS X 24 BOXES IN CARTON</v>
          </cell>
          <cell r="E3572">
            <v>0.96</v>
          </cell>
          <cell r="F3572" t="str">
            <v>Chọn</v>
          </cell>
          <cell r="G3572"/>
          <cell r="H3572" t="str">
            <v>7.G4001B599C2018801</v>
          </cell>
        </row>
        <row r="3573">
          <cell r="A3573" t="str">
            <v>7.G4001B599C2018801</v>
          </cell>
          <cell r="B3573" t="str">
            <v>VINATEA CHAMOMILE TEA ++ (TEA BAG) 40G</v>
          </cell>
          <cell r="C3573" t="str">
            <v>TRÀ VINATEA HOA CÚC MẬT ++ (TÚI LỌC) 40G</v>
          </cell>
          <cell r="D3573" t="str">
            <v>VINATEA CHAMOMILE TEA ++ (TEA BAG) 40G</v>
          </cell>
          <cell r="E3573">
            <v>0.04</v>
          </cell>
          <cell r="F3573" t="str">
            <v>Chọn</v>
          </cell>
          <cell r="G3573"/>
          <cell r="H3573"/>
        </row>
        <row r="3574">
          <cell r="A3574" t="str">
            <v>V51.00A.056</v>
          </cell>
          <cell r="B3574" t="str">
            <v>DESKTOP MICA NOTICEBOARD</v>
          </cell>
          <cell r="C3574" t="str">
            <v>BẢNG THÔNG BÁO MICA ĐỂ BÀN</v>
          </cell>
          <cell r="D3574" t="str">
            <v>DESKTOP MICA NOTICEBOARD</v>
          </cell>
          <cell r="E3574">
            <v>0</v>
          </cell>
          <cell r="F3574" t="str">
            <v>Bỏ chọn</v>
          </cell>
          <cell r="G3574"/>
          <cell r="H3574"/>
        </row>
        <row r="3575">
          <cell r="A3575" t="str">
            <v>7.705C8</v>
          </cell>
          <cell r="B3575" t="str">
            <v>GENAGEN CAB IN BAG 1KG</v>
          </cell>
          <cell r="C3575" t="str">
            <v>CHẤT HOẠT ĐỘNG BỀ MẶT GENAGEN CAB ĐÓNG TRONG BAO 1KG</v>
          </cell>
          <cell r="D3575" t="str">
            <v>GENAGEN CAB IN BAG 1KG</v>
          </cell>
          <cell r="E3575">
            <v>1</v>
          </cell>
          <cell r="F3575" t="str">
            <v>Chọn</v>
          </cell>
          <cell r="G3575"/>
          <cell r="H3575"/>
        </row>
        <row r="3576">
          <cell r="A3576" t="str">
            <v>7.705C9</v>
          </cell>
          <cell r="B3576" t="str">
            <v>GENAGEN CAB UQS IN BAG 1KG</v>
          </cell>
          <cell r="C3576" t="str">
            <v>CHẤT HOẠT ĐỘNG BỀ MẶT GENAGEN CAB UQS ĐÓNG TRONG BAO 1KG</v>
          </cell>
          <cell r="D3576" t="str">
            <v>GENAGEN CAB UQS IN BAG 1KG</v>
          </cell>
          <cell r="E3576">
            <v>1</v>
          </cell>
          <cell r="F3576" t="str">
            <v>Chọn</v>
          </cell>
          <cell r="G3576"/>
          <cell r="H3576"/>
        </row>
        <row r="3577">
          <cell r="A3577" t="str">
            <v>7.1140120203208010</v>
          </cell>
          <cell r="B3577" t="str">
            <v>MEIZAN CBR WILLARINE 890 LT PE BAG @20KG</v>
          </cell>
          <cell r="C3577" t="str">
            <v>CHẤT BÉO THỰC VẬT THAY THẾ BƠ CACAO - WILLARINE 890 LT - NHÃN HIỆU MEIZAN 20KG</v>
          </cell>
          <cell r="D3577" t="str">
            <v>MEIZAN CBR WILLARINE 890 LT PE BAG @20KG</v>
          </cell>
          <cell r="E3577">
            <v>20</v>
          </cell>
          <cell r="F3577" t="str">
            <v>Chọn</v>
          </cell>
          <cell r="G3577"/>
          <cell r="H3577"/>
        </row>
        <row r="3578">
          <cell r="A3578" t="str">
            <v>V39.00A.010</v>
          </cell>
          <cell r="B3578" t="str">
            <v>APRON VFM</v>
          </cell>
          <cell r="C3578" t="str">
            <v>TẠP DỀ</v>
          </cell>
          <cell r="D3578" t="str">
            <v>APRON VFM</v>
          </cell>
          <cell r="E3578">
            <v>0</v>
          </cell>
          <cell r="F3578" t="str">
            <v>Bỏ chọn</v>
          </cell>
          <cell r="G3578"/>
          <cell r="H3578"/>
        </row>
        <row r="3579">
          <cell r="A3579" t="str">
            <v>7.7075836537174000</v>
          </cell>
          <cell r="B3579" t="str">
            <v>POWER100 SAVING DWL LEMON POUCH @3.5KG</v>
          </cell>
          <cell r="C3579" t="str">
            <v>NƯỚC RỬA CHÉN POWER100 TIẾT KIỆM HƯƠNG CHANH 3.5KG TÚI</v>
          </cell>
          <cell r="D3579" t="str">
            <v>POWER100 SAVING DWL LEMON POUCH @3.5KG</v>
          </cell>
          <cell r="E3579">
            <v>3.5</v>
          </cell>
          <cell r="F3579" t="str">
            <v>Chọn</v>
          </cell>
          <cell r="G3579"/>
          <cell r="H3579"/>
        </row>
        <row r="3580">
          <cell r="A3580" t="str">
            <v>V51.00A.057</v>
          </cell>
          <cell r="B3580" t="str">
            <v>RATTAN PLASTIC HAMPER (30CM*20CM)</v>
          </cell>
          <cell r="C3580" t="str">
            <v>GIỎ NHỰA GIẢ MÂY (30CM*20CM)</v>
          </cell>
          <cell r="D3580" t="str">
            <v>RATTAN PLASTIC HAMPER (30CM*20CM)</v>
          </cell>
          <cell r="E3580">
            <v>0</v>
          </cell>
          <cell r="F3580" t="str">
            <v>Bỏ chọn</v>
          </cell>
          <cell r="G3580"/>
          <cell r="H3580"/>
        </row>
        <row r="3581">
          <cell r="A3581" t="str">
            <v>V51.00A.058</v>
          </cell>
          <cell r="B3581" t="str">
            <v>CELLOPHANE PAPER (80CM*100CM)</v>
          </cell>
          <cell r="C3581" t="str">
            <v>GIẤY BÓNG KIẾNG (80CM*100CM)</v>
          </cell>
          <cell r="D3581" t="str">
            <v>CELLOPHANE PAPER (80CM*100CM)</v>
          </cell>
          <cell r="E3581">
            <v>0</v>
          </cell>
          <cell r="F3581" t="str">
            <v>Bỏ chọn</v>
          </cell>
          <cell r="G3581"/>
          <cell r="H3581"/>
        </row>
        <row r="3582">
          <cell r="A3582" t="str">
            <v>V51.00A.059</v>
          </cell>
          <cell r="B3582" t="str">
            <v>BOW TIE (5CM*30CM-45CM,RED)</v>
          </cell>
          <cell r="C3582" t="str">
            <v>NƠ (BẢN 5CM, DÀI TỪ 30 TỚI 45CM, MÀU ĐỎ)</v>
          </cell>
          <cell r="D3582" t="str">
            <v>BOW TIE (5CM*30CM-45CM,RED)</v>
          </cell>
          <cell r="E3582">
            <v>0</v>
          </cell>
          <cell r="F3582" t="str">
            <v>Bỏ chọn</v>
          </cell>
          <cell r="G3582"/>
          <cell r="H3582"/>
        </row>
        <row r="3583">
          <cell r="A3583" t="str">
            <v>V51.00A.060</v>
          </cell>
          <cell r="B3583" t="str">
            <v>STICKER WITH SIMPLY/NEPTUNE LOGO</v>
          </cell>
          <cell r="C3583" t="str">
            <v>STICKER DÁN CÓ LOGO CÔNG TY SIMPLY/NEPTUNE</v>
          </cell>
          <cell r="D3583" t="str">
            <v>STICKER WITH SIMPLY/NEPTUNE LOGO</v>
          </cell>
          <cell r="E3583">
            <v>0</v>
          </cell>
          <cell r="F3583" t="str">
            <v>Bỏ chọn</v>
          </cell>
          <cell r="G3583"/>
          <cell r="H3583"/>
        </row>
        <row r="3584">
          <cell r="A3584" t="str">
            <v>V58.00A.001</v>
          </cell>
          <cell r="B3584" t="str">
            <v>DOUBLE-SIDED FOAM TAPE (2.4CM)</v>
          </cell>
          <cell r="C3584" t="str">
            <v>BĂNG KEO XỐP 2 MẶT BẢN 2.4CM</v>
          </cell>
          <cell r="D3584" t="str">
            <v>DOUBLE-SIDED FOAM TAPE (2.4CM)</v>
          </cell>
          <cell r="E3584">
            <v>0</v>
          </cell>
          <cell r="F3584" t="str">
            <v>Bỏ chọn</v>
          </cell>
          <cell r="G3584"/>
          <cell r="H3584"/>
        </row>
        <row r="3585">
          <cell r="A3585" t="str">
            <v>V58.00A.002</v>
          </cell>
          <cell r="B3585" t="str">
            <v>TRANSPARENT TAPE (2-2.5CM)</v>
          </cell>
          <cell r="C3585" t="str">
            <v>BĂNG KEO TRONG BẢN 2-2.5CM</v>
          </cell>
          <cell r="D3585" t="str">
            <v>TRANSPARENT TAPE (2-2.5CM)</v>
          </cell>
          <cell r="E3585">
            <v>0</v>
          </cell>
          <cell r="F3585" t="str">
            <v>Bỏ chọn</v>
          </cell>
          <cell r="G3585"/>
          <cell r="H3585"/>
        </row>
        <row r="3586">
          <cell r="A3586" t="str">
            <v>7.52399045005J6</v>
          </cell>
          <cell r="B3586" t="str">
            <v>BROWN COMPASS 333 CONG TUYEN 25KG</v>
          </cell>
          <cell r="C3586" t="str">
            <v>BỘT MÌ HIỆU LA BÀN NÂU - 333 25KG</v>
          </cell>
          <cell r="D3586" t="str">
            <v>BROWN COMPASS 333 CONG TUYEN 25KG</v>
          </cell>
          <cell r="E3586">
            <v>1</v>
          </cell>
          <cell r="F3586" t="str">
            <v>Bỏ chọn</v>
          </cell>
          <cell r="G3586"/>
          <cell r="H3586"/>
        </row>
        <row r="3587">
          <cell r="A3587" t="str">
            <v>7.52399045005J7</v>
          </cell>
          <cell r="B3587" t="str">
            <v>BROWN COMPASS 333 BIM BIM 25KG</v>
          </cell>
          <cell r="C3587" t="str">
            <v>BỘT MÌ HIỆU LA BÀN NÂU - 333 25KG</v>
          </cell>
          <cell r="D3587" t="str">
            <v>BROWN COMPASS 333 BIM BIM 25KG</v>
          </cell>
          <cell r="E3587">
            <v>1</v>
          </cell>
          <cell r="F3587" t="str">
            <v>Bỏ chọn</v>
          </cell>
          <cell r="G3587"/>
          <cell r="H3587"/>
        </row>
        <row r="3588">
          <cell r="A3588" t="str">
            <v>7.B25089499030105</v>
          </cell>
          <cell r="B3588" t="str">
            <v>ORCHID PORK BOUILLON GRANULE 5KG X 3 PAC/CAR</v>
          </cell>
          <cell r="C3588" t="str">
            <v>HẠT NÊM ORCHID VỊ HEO 5KG X 3 TÚI/ THÙNG</v>
          </cell>
          <cell r="D3588" t="str">
            <v>ORCHID PORK BOUILLON GRANULE 5KG X 3 PAC/CAR</v>
          </cell>
          <cell r="E3588">
            <v>15</v>
          </cell>
          <cell r="F3588" t="str">
            <v>Bỏ chọn</v>
          </cell>
          <cell r="G3588" t="str">
            <v>2000000008</v>
          </cell>
          <cell r="H3588" t="str">
            <v>7.B2508949903010501</v>
          </cell>
        </row>
        <row r="3589">
          <cell r="A3589" t="str">
            <v>7.B25089499040105</v>
          </cell>
          <cell r="B3589" t="str">
            <v>ORCHID PORK BOUILLON GRANULE 10KG X 2 PAC/BAG</v>
          </cell>
          <cell r="C3589" t="str">
            <v>HẠT NÊM ORCHID VỊ HEO 10KG  X 2 TÚI/ BAO</v>
          </cell>
          <cell r="D3589" t="str">
            <v>ORCHID PORK BOUILLON GRANULE 10KG X 2 PAC/BAG</v>
          </cell>
          <cell r="E3589">
            <v>20</v>
          </cell>
          <cell r="F3589" t="str">
            <v>Bỏ chọn</v>
          </cell>
          <cell r="G3589" t="str">
            <v>2000000008</v>
          </cell>
          <cell r="H3589" t="str">
            <v>7.B2508949904010501</v>
          </cell>
        </row>
        <row r="3590">
          <cell r="A3590" t="str">
            <v>7.B2508949903010501</v>
          </cell>
          <cell r="B3590" t="str">
            <v>ORCHID PORK BOUILLON GRANULE 5KG</v>
          </cell>
          <cell r="C3590" t="str">
            <v>HẠT NÊM ORCHID VỊ HEO 5KG</v>
          </cell>
          <cell r="D3590" t="str">
            <v>ORCHID PORK BOUILLON GRANULE 5KG</v>
          </cell>
          <cell r="E3590">
            <v>5</v>
          </cell>
          <cell r="F3590" t="str">
            <v>Bỏ chọn</v>
          </cell>
          <cell r="G3590" t="str">
            <v>2000000008</v>
          </cell>
          <cell r="H3590"/>
        </row>
        <row r="3591">
          <cell r="A3591" t="str">
            <v>7.B2508949904010501</v>
          </cell>
          <cell r="B3591" t="str">
            <v>ORCHID PORK BOUILLON GRANULE 10KG</v>
          </cell>
          <cell r="C3591" t="str">
            <v>HẠT NÊM ORCHID VỊ HEO 10KG</v>
          </cell>
          <cell r="D3591" t="str">
            <v>ORCHID PORK BOUILLON GRANULE 10KG</v>
          </cell>
          <cell r="E3591">
            <v>10</v>
          </cell>
          <cell r="F3591" t="str">
            <v>Bỏ chọn</v>
          </cell>
          <cell r="G3591" t="str">
            <v>2000000008</v>
          </cell>
          <cell r="H3591"/>
        </row>
        <row r="3592">
          <cell r="A3592" t="str">
            <v>V51.000.146</v>
          </cell>
          <cell r="B3592" t="str">
            <v>DH FOODS BROCHURE A4</v>
          </cell>
          <cell r="C3592" t="str">
            <v>TỜ RƠI GIỚI THIỆU DH FOODS A4</v>
          </cell>
          <cell r="D3592" t="str">
            <v>DH FOODS BROCHURE A4</v>
          </cell>
          <cell r="E3592">
            <v>0</v>
          </cell>
          <cell r="F3592" t="str">
            <v>Chọn</v>
          </cell>
          <cell r="G3592"/>
          <cell r="H3592"/>
        </row>
        <row r="3593">
          <cell r="A3593" t="str">
            <v>V51.000.147</v>
          </cell>
          <cell r="B3593" t="str">
            <v>DH FOODS BROCHURE A5</v>
          </cell>
          <cell r="C3593" t="str">
            <v>TỜ RƠI GIỚI THIỆU DH FOODS A5</v>
          </cell>
          <cell r="D3593" t="str">
            <v>DH FOODS BROCHURE A5</v>
          </cell>
          <cell r="E3593">
            <v>0</v>
          </cell>
          <cell r="F3593" t="str">
            <v>Chọn</v>
          </cell>
          <cell r="G3593"/>
          <cell r="H3593"/>
        </row>
        <row r="3594">
          <cell r="A3594" t="str">
            <v>V51.000.148</v>
          </cell>
          <cell r="B3594" t="str">
            <v>VINATEA BROCHURE, SIZE A4</v>
          </cell>
          <cell r="C3594" t="str">
            <v>TỜ THÔNG TIN TRÀ VINATEA, KHỔ A4</v>
          </cell>
          <cell r="D3594" t="str">
            <v>VINATEA BROCHURE, SIZE A4</v>
          </cell>
          <cell r="E3594">
            <v>0</v>
          </cell>
          <cell r="F3594" t="str">
            <v>Chọn</v>
          </cell>
          <cell r="G3594"/>
          <cell r="H3594"/>
        </row>
        <row r="3595">
          <cell r="A3595" t="str">
            <v>V51.000.149</v>
          </cell>
          <cell r="B3595" t="str">
            <v>VINATEA LEAFLET, SIZE A5</v>
          </cell>
          <cell r="C3595" t="str">
            <v>TỜ RƠI THÔNG TIN TRÀ VINATEA, KHỔ A5</v>
          </cell>
          <cell r="D3595" t="str">
            <v>VINATEA LEAFLET, SIZE A5</v>
          </cell>
          <cell r="E3595">
            <v>0</v>
          </cell>
          <cell r="F3595" t="str">
            <v>Chọn</v>
          </cell>
          <cell r="G3595"/>
          <cell r="H3595"/>
        </row>
        <row r="3596">
          <cell r="A3596" t="str">
            <v>V51.000.150</v>
          </cell>
          <cell r="B3596" t="str">
            <v>TWINKLE TEA BROCHURE, SIZE A4</v>
          </cell>
          <cell r="C3596" t="str">
            <v>TỜ THÔNG TIN TRÀ TWINKLE, KHỔ A4</v>
          </cell>
          <cell r="D3596" t="str">
            <v>TWINKLE TEA BROCHURE, SIZE A4</v>
          </cell>
          <cell r="E3596">
            <v>0</v>
          </cell>
          <cell r="F3596" t="str">
            <v>Chọn</v>
          </cell>
          <cell r="G3596"/>
          <cell r="H3596"/>
        </row>
        <row r="3597">
          <cell r="A3597" t="str">
            <v>V51.000.151</v>
          </cell>
          <cell r="B3597" t="str">
            <v>TWINKLE TEA LEAFLET, SIZE A5</v>
          </cell>
          <cell r="C3597" t="str">
            <v>TỜ RƠI THÔNG TIN TRÀ TWINKLE, KHỔ A5</v>
          </cell>
          <cell r="D3597" t="str">
            <v>TWINKLE TEA LEAFLET, SIZE A5</v>
          </cell>
          <cell r="E3597">
            <v>0</v>
          </cell>
          <cell r="F3597" t="str">
            <v>Chọn</v>
          </cell>
          <cell r="G3597"/>
          <cell r="H3597"/>
        </row>
        <row r="3598">
          <cell r="A3598" t="str">
            <v>7.92511B699B00189</v>
          </cell>
          <cell r="B3598" t="str">
            <v>TAY NINH SHRIMP SALT 110G X 24 PCS IN CARTON</v>
          </cell>
          <cell r="C3598" t="str">
            <v>MUỐI TÔM TÂY NINH 110G X 24 HŨ ĐÓNG TRONG THÙNG CARTON</v>
          </cell>
          <cell r="D3598" t="str">
            <v>TAY NINH SHRIMP SALT 110G X 24 PCS IN CARTON</v>
          </cell>
          <cell r="E3598">
            <v>2.64</v>
          </cell>
          <cell r="F3598" t="str">
            <v>Chọn</v>
          </cell>
          <cell r="G3598"/>
          <cell r="H3598" t="str">
            <v>7.92511B699B0018901</v>
          </cell>
        </row>
        <row r="3599">
          <cell r="A3599" t="str">
            <v>7.92511B699B0018901</v>
          </cell>
          <cell r="B3599" t="str">
            <v>TAY NINH SHRIMP SALT 110G</v>
          </cell>
          <cell r="C3599" t="str">
            <v>MUỐI TÔM TÂY NINH 110G</v>
          </cell>
          <cell r="D3599" t="str">
            <v>TAY NINH SHRIMP SALT 110G</v>
          </cell>
          <cell r="E3599">
            <v>0.11</v>
          </cell>
          <cell r="F3599" t="str">
            <v>Chọn</v>
          </cell>
          <cell r="G3599"/>
          <cell r="H3599"/>
        </row>
        <row r="3600">
          <cell r="A3600" t="str">
            <v>7.92512B699C30190</v>
          </cell>
          <cell r="B3600" t="str">
            <v>LIME LEAF PEPPER SALT 120G X 24 PCS IN CARTON</v>
          </cell>
          <cell r="C3600" t="str">
            <v>MUỐI TIÊU LÁ CHANH 120G X 24 HŨ ĐÓNG TRONG THÙNG CARTON</v>
          </cell>
          <cell r="D3600" t="str">
            <v>LIME LEAF PEPPER SALT 120G X 24 PCS IN CARTON</v>
          </cell>
          <cell r="E3600">
            <v>2.88</v>
          </cell>
          <cell r="F3600" t="str">
            <v>Chọn</v>
          </cell>
          <cell r="G3600"/>
          <cell r="H3600" t="str">
            <v>7.92512B699C3019001</v>
          </cell>
        </row>
        <row r="3601">
          <cell r="A3601" t="str">
            <v>7.92512B699C3019001</v>
          </cell>
          <cell r="B3601" t="str">
            <v>LIME LEAF PEPPER SALT 120G</v>
          </cell>
          <cell r="C3601" t="str">
            <v>MUỐI TIÊU LÁ CHANH 120G</v>
          </cell>
          <cell r="D3601" t="str">
            <v>LIME LEAF PEPPER SALT 120G</v>
          </cell>
          <cell r="E3601">
            <v>0.12</v>
          </cell>
          <cell r="F3601" t="str">
            <v>Chọn</v>
          </cell>
          <cell r="G3601"/>
          <cell r="H3601"/>
        </row>
        <row r="3602">
          <cell r="A3602" t="str">
            <v>7.92413B699320191</v>
          </cell>
          <cell r="B3602" t="str">
            <v>NHA TRANG LIME GREEN - CHILI SAUCE 200G X 24 PCS IN CARTON</v>
          </cell>
          <cell r="C3602" t="str">
            <v>MUỐI ỚT CHANH NHA TRANG 200G X 24 CHAI ĐÓNG TRONG THÙNG CARTON</v>
          </cell>
          <cell r="D3602" t="str">
            <v>NHA TRANG LIME GREEN - CHILI SAUCE 200G X 24 PCS IN CARTON</v>
          </cell>
          <cell r="E3602">
            <v>4.8</v>
          </cell>
          <cell r="F3602" t="str">
            <v>Chọn</v>
          </cell>
          <cell r="G3602"/>
          <cell r="H3602" t="str">
            <v>7.92413B69932019101</v>
          </cell>
        </row>
        <row r="3603">
          <cell r="A3603" t="str">
            <v>7.92413B69932019101</v>
          </cell>
          <cell r="B3603" t="str">
            <v>NHA TRANG LIME GREEN - CHILI SAUCE 200G</v>
          </cell>
          <cell r="C3603" t="str">
            <v>MUỐI ỚT CHANH NHA TRANG 200G</v>
          </cell>
          <cell r="D3603" t="str">
            <v>NHA TRANG LIME GREEN - CHILI SAUCE 200G</v>
          </cell>
          <cell r="E3603">
            <v>0.2</v>
          </cell>
          <cell r="F3603" t="str">
            <v>Chọn</v>
          </cell>
          <cell r="G3603"/>
          <cell r="H3603"/>
        </row>
        <row r="3604">
          <cell r="A3604" t="str">
            <v>7.92414B699320199</v>
          </cell>
          <cell r="B3604" t="str">
            <v>BBQ MARINATING SAUCE 200G X 24 PCS IN CARTON</v>
          </cell>
          <cell r="C3604" t="str">
            <v>SỐT ƯỚP THỊT BBQ 200G X 24 CHAI ĐÓNG TRONG THÙNG CARTON</v>
          </cell>
          <cell r="D3604" t="str">
            <v>BBQ MARINATING SAUCE 200G X 24 PCS IN CARTON</v>
          </cell>
          <cell r="E3604">
            <v>4.8</v>
          </cell>
          <cell r="F3604" t="str">
            <v>Chọn</v>
          </cell>
          <cell r="G3604"/>
          <cell r="H3604" t="str">
            <v>7.92414B69932019901</v>
          </cell>
        </row>
        <row r="3605">
          <cell r="A3605" t="str">
            <v>7.92414B69932019901</v>
          </cell>
          <cell r="B3605" t="str">
            <v>BBQ MARINATING SAUCE 200G</v>
          </cell>
          <cell r="C3605" t="str">
            <v>SỐT ƯỚP THỊT BBQ 200G</v>
          </cell>
          <cell r="D3605" t="str">
            <v>BBQ MARINATING SAUCE 200G</v>
          </cell>
          <cell r="E3605">
            <v>0.2</v>
          </cell>
          <cell r="F3605" t="str">
            <v>Chọn</v>
          </cell>
          <cell r="G3605"/>
          <cell r="H3605"/>
        </row>
        <row r="3606">
          <cell r="A3606" t="str">
            <v>7.92515B699C40192</v>
          </cell>
          <cell r="B3606" t="str">
            <v>NATURAL HA NOI BEEF PHO SPICE 24G X 48 PCS IN CARTON</v>
          </cell>
          <cell r="C3606" t="str">
            <v>NATURAL GIA VỊ NẤU PHỞ BÒ HÀ NỘI 24G X 48 GÓI ĐÓNG TRONG THÙNG CARTON</v>
          </cell>
          <cell r="D3606" t="str">
            <v>NATURAL HA NOI BEEF PHO SPICE 24G X 48 PCS IN CARTON</v>
          </cell>
          <cell r="E3606">
            <v>1.1519999999999999</v>
          </cell>
          <cell r="F3606" t="str">
            <v>Chọn</v>
          </cell>
          <cell r="G3606"/>
          <cell r="H3606" t="str">
            <v>7.92515B699C4019201</v>
          </cell>
        </row>
        <row r="3607">
          <cell r="A3607" t="str">
            <v>7.92515B699C4019201</v>
          </cell>
          <cell r="B3607" t="str">
            <v>NATURAL HA NOI BEEF PHO SPICE 24G</v>
          </cell>
          <cell r="C3607" t="str">
            <v xml:space="preserve">NATURAL GIA VỊ NẤU PHỞ BÒ HÀ NỘI 24G </v>
          </cell>
          <cell r="D3607" t="str">
            <v>NATURAL HA NOI BEEF PHO SPICE 24G</v>
          </cell>
          <cell r="E3607">
            <v>2.4E-2</v>
          </cell>
          <cell r="F3607" t="str">
            <v>Chọn</v>
          </cell>
          <cell r="G3607"/>
          <cell r="H3607"/>
        </row>
        <row r="3608">
          <cell r="A3608" t="str">
            <v>7.92516B699C50199</v>
          </cell>
          <cell r="B3608" t="str">
            <v>NATURAL BUN BO HUE SPICE 25G X 48 PCS IN CARTON</v>
          </cell>
          <cell r="C3608" t="str">
            <v>NATURAL GIA VỊ NẤU BÚN BÒ HUẾ 25G X 48 GÓI ĐÓNG TRONG THÙNG CARTON</v>
          </cell>
          <cell r="D3608" t="str">
            <v>NATURAL BUN BO HUE SPICE 25G X 48 PCS IN CARTON</v>
          </cell>
          <cell r="E3608">
            <v>1.2</v>
          </cell>
          <cell r="F3608" t="str">
            <v>Chọn</v>
          </cell>
          <cell r="G3608"/>
          <cell r="H3608" t="str">
            <v>7.92516B699C5019901</v>
          </cell>
        </row>
        <row r="3609">
          <cell r="A3609" t="str">
            <v>7.92516B699C5019901</v>
          </cell>
          <cell r="B3609" t="str">
            <v>NATURAL BUN BO HUE SPICE 25G</v>
          </cell>
          <cell r="C3609" t="str">
            <v>NATURAL GIA VỊ NẤU BÚN BÒ HUẾ 25G</v>
          </cell>
          <cell r="D3609" t="str">
            <v>NATURAL BUN BO HUE SPICE 25G</v>
          </cell>
          <cell r="E3609">
            <v>2.5000000000000001E-2</v>
          </cell>
          <cell r="F3609" t="str">
            <v>Chọn</v>
          </cell>
          <cell r="G3609"/>
          <cell r="H3609"/>
        </row>
        <row r="3610">
          <cell r="A3610" t="str">
            <v>7.92517B699C60193</v>
          </cell>
          <cell r="B3610" t="str">
            <v>NATURAL PHU QUOC WHOLE WHITE PEPPERCORN CERAMIC GRINDER 45G X 24 PCS IN CARTON</v>
          </cell>
          <cell r="C3610" t="str">
            <v>NATURAL TIÊU SỌ HẠT PHÚ QUỐC - CỐI XAY TIÊU CERAMIC 45G X 24 HŨ ĐÓNG TRONG THÙNG CARTON</v>
          </cell>
          <cell r="D3610" t="str">
            <v>NATURAL PHU QUOC WHOLE WHITE PEPPERCORN CERAMIC GRINDER 45G X 24 PCS IN CARTON</v>
          </cell>
          <cell r="E3610">
            <v>1.08</v>
          </cell>
          <cell r="F3610" t="str">
            <v>Chọn</v>
          </cell>
          <cell r="G3610"/>
          <cell r="H3610" t="str">
            <v>7.92517B699C6019301</v>
          </cell>
        </row>
        <row r="3611">
          <cell r="A3611" t="str">
            <v>7.92517B699C6019301</v>
          </cell>
          <cell r="B3611" t="str">
            <v>NATURAL PHU QUOC WHOLE WHITE PEPPERCORN CERAMIC GRINDER 45G</v>
          </cell>
          <cell r="C3611" t="str">
            <v>NATURAL TIÊU SỌ HẠT PHÚ QUỐC - CỐI XAY TIÊU CERAMIC 45G</v>
          </cell>
          <cell r="D3611" t="str">
            <v>NATURAL PHU QUOC WHOLE WHITE PEPPERCORN CERAMIC GRINDER 45G</v>
          </cell>
          <cell r="E3611">
            <v>4.4999999999999998E-2</v>
          </cell>
          <cell r="F3611" t="str">
            <v>Chọn</v>
          </cell>
          <cell r="G3611"/>
          <cell r="H3611"/>
        </row>
        <row r="3612">
          <cell r="A3612" t="str">
            <v>7.92517B699020194</v>
          </cell>
          <cell r="B3612" t="str">
            <v>NATURAL WHOLE BLACK PEPPERCORN 1KG X 6 PCS IN CARTON</v>
          </cell>
          <cell r="C3612" t="str">
            <v>NATURAL TIÊU ĐEN HẠT 1KG X 6 GÓI ĐÓNG TRONG THÙNG CARTON</v>
          </cell>
          <cell r="D3612" t="str">
            <v>NATURAL WHOLE BLACK PEPPERCORN 1KG X 6 PCS IN CARTON</v>
          </cell>
          <cell r="E3612">
            <v>6</v>
          </cell>
          <cell r="F3612" t="str">
            <v>Chọn</v>
          </cell>
          <cell r="G3612"/>
          <cell r="H3612" t="str">
            <v>7.92517B69902019401</v>
          </cell>
        </row>
        <row r="3613">
          <cell r="A3613" t="str">
            <v>7.92517B69902019401</v>
          </cell>
          <cell r="B3613" t="str">
            <v>NATURAL WHOLE BLACK PEPPERCORN 1KG</v>
          </cell>
          <cell r="C3613" t="str">
            <v>NATURAL TIÊU ĐEN HẠT 1KG</v>
          </cell>
          <cell r="D3613" t="str">
            <v>NATURAL WHOLE BLACK PEPPERCORN 1KG</v>
          </cell>
          <cell r="E3613">
            <v>1</v>
          </cell>
          <cell r="F3613" t="str">
            <v>Chọn</v>
          </cell>
          <cell r="G3613"/>
          <cell r="H3613"/>
        </row>
        <row r="3614">
          <cell r="A3614" t="str">
            <v>7.92518B699020195</v>
          </cell>
          <cell r="B3614" t="str">
            <v>NATURAL GROUND BLACK PEPPER 1KG X 6 PCS IN CARTON</v>
          </cell>
          <cell r="C3614" t="str">
            <v>NATURAL TIÊU ĐEN XAY 1KG X 6 GÓI ĐÓNG TRONG THÙNG CARTON</v>
          </cell>
          <cell r="D3614" t="str">
            <v>NATURAL GROUND BLACK PEPPER 1KG X 6 PCS IN CARTON</v>
          </cell>
          <cell r="E3614">
            <v>6</v>
          </cell>
          <cell r="F3614" t="str">
            <v>Chọn</v>
          </cell>
          <cell r="G3614"/>
          <cell r="H3614" t="str">
            <v>7.92518B69902019501</v>
          </cell>
        </row>
        <row r="3615">
          <cell r="A3615" t="str">
            <v>7.92518B69902019501</v>
          </cell>
          <cell r="B3615" t="str">
            <v>NATURAL GROUND BLACK PEPPER 1KG</v>
          </cell>
          <cell r="C3615" t="str">
            <v>NATURAL TIÊU ĐEN XAY 1KG</v>
          </cell>
          <cell r="D3615" t="str">
            <v>NATURAL GROUND BLACK PEPPER 1KG</v>
          </cell>
          <cell r="E3615">
            <v>1</v>
          </cell>
          <cell r="F3615" t="str">
            <v>Chọn</v>
          </cell>
          <cell r="G3615"/>
          <cell r="H3615"/>
        </row>
        <row r="3616">
          <cell r="A3616" t="str">
            <v>V51.600.236</v>
          </cell>
          <cell r="B3616" t="str">
            <v>RATTAN PLASTIC HAMPER (30*20CM)</v>
          </cell>
          <cell r="C3616" t="str">
            <v>GIỎ NHỰA GIẢ MÂY</v>
          </cell>
          <cell r="D3616" t="str">
            <v>RATTAN PLASTIC HAMPER (30*20CM)</v>
          </cell>
          <cell r="E3616">
            <v>0</v>
          </cell>
          <cell r="F3616" t="str">
            <v>Bỏ chọn</v>
          </cell>
          <cell r="G3616"/>
          <cell r="H3616"/>
        </row>
        <row r="3617">
          <cell r="A3617" t="str">
            <v>V51.600.237</v>
          </cell>
          <cell r="B3617" t="str">
            <v>CELLOPHANE PAPER (80CM*100CM)</v>
          </cell>
          <cell r="C3617" t="str">
            <v>GIẤY BÓNG KIẾNG</v>
          </cell>
          <cell r="D3617" t="str">
            <v>CELLOPHANE PAPER (80CM*100CM)</v>
          </cell>
          <cell r="E3617">
            <v>0</v>
          </cell>
          <cell r="F3617" t="str">
            <v>Bỏ chọn</v>
          </cell>
          <cell r="G3617"/>
          <cell r="H3617"/>
        </row>
        <row r="3618">
          <cell r="A3618" t="str">
            <v>V51.600.238</v>
          </cell>
          <cell r="B3618" t="str">
            <v>BOW TIE (5CM*30CM-45CM, RED)</v>
          </cell>
          <cell r="C3618" t="str">
            <v>NƠ TO</v>
          </cell>
          <cell r="D3618" t="str">
            <v>BOW TIE (5CM*30CM-45CM, RED)</v>
          </cell>
          <cell r="E3618">
            <v>0</v>
          </cell>
          <cell r="F3618" t="str">
            <v>Bỏ chọn</v>
          </cell>
          <cell r="G3618"/>
          <cell r="H3618"/>
        </row>
        <row r="3619">
          <cell r="A3619" t="str">
            <v>V51.600.239</v>
          </cell>
          <cell r="B3619" t="str">
            <v>STICKER WITH SIMPLY/NEPTUNE LOGO</v>
          </cell>
          <cell r="C3619" t="str">
            <v>STICKER DÁN CÓ LOGO CÔNG TY</v>
          </cell>
          <cell r="D3619" t="str">
            <v>STICKER WITH SIMPLY/NEPTUNE LOGO</v>
          </cell>
          <cell r="E3619">
            <v>0</v>
          </cell>
          <cell r="F3619" t="str">
            <v>Bỏ chọn</v>
          </cell>
          <cell r="G3619"/>
          <cell r="H3619"/>
        </row>
        <row r="3620">
          <cell r="A3620" t="str">
            <v>V51.600.240</v>
          </cell>
          <cell r="B3620" t="str">
            <v>DOUBLE-SIDED FOAM TAPE (2.4CM)</v>
          </cell>
          <cell r="C3620" t="str">
            <v>BĂNG KEO XỐP 2 MAT855 BẢN 2.4CM</v>
          </cell>
          <cell r="D3620" t="str">
            <v>DOUBLE-SIDED FOAM TAPE (2.4CM)</v>
          </cell>
          <cell r="E3620">
            <v>0</v>
          </cell>
          <cell r="F3620" t="str">
            <v>Bỏ chọn</v>
          </cell>
          <cell r="G3620"/>
          <cell r="H3620"/>
        </row>
        <row r="3621">
          <cell r="A3621" t="str">
            <v>V51.600.241</v>
          </cell>
          <cell r="B3621" t="str">
            <v>TRANSPARENT TAPE (2-2.5CM)</v>
          </cell>
          <cell r="C3621" t="str">
            <v>BĂNG KEO TRONG BẢN 2-2.5CM</v>
          </cell>
          <cell r="D3621" t="str">
            <v>TRANSPARENT TAPE (2-2.5CM)</v>
          </cell>
          <cell r="E3621">
            <v>0</v>
          </cell>
          <cell r="F3621" t="str">
            <v>Bỏ chọn</v>
          </cell>
          <cell r="G3621"/>
          <cell r="H3621"/>
        </row>
        <row r="3622">
          <cell r="A3622" t="str">
            <v>7.B24072399B8011601TD</v>
          </cell>
          <cell r="B3622" t="str">
            <v>NAM DUONG TOMATO SAUCE 255G</v>
          </cell>
          <cell r="C3622" t="str">
            <v>TƯƠNG CÀ NAM DƯƠNG 255G</v>
          </cell>
          <cell r="D3622" t="str">
            <v>NAM DUONG TOMATO SAUCE 255G</v>
          </cell>
          <cell r="E3622">
            <v>0.255</v>
          </cell>
          <cell r="F3622" t="str">
            <v>Bỏ chọn</v>
          </cell>
          <cell r="G3622"/>
          <cell r="H3622"/>
        </row>
        <row r="3623">
          <cell r="A3623" t="str">
            <v>7.A33021499040118</v>
          </cell>
          <cell r="B3623" t="str">
            <v>RED COMPASS MACARONI – SPIRAL 10KG</v>
          </cell>
          <cell r="C3623" t="str">
            <v>NUI LA BÀN ĐỎ - HÌNH XOẮN 10KG</v>
          </cell>
          <cell r="D3623" t="str">
            <v>RED COMPASS MACARONI – SPIRAL 10KG</v>
          </cell>
          <cell r="E3623">
            <v>10</v>
          </cell>
          <cell r="F3623" t="str">
            <v>Bỏ chọn</v>
          </cell>
          <cell r="G3623"/>
          <cell r="H3623"/>
        </row>
        <row r="3624">
          <cell r="A3624" t="str">
            <v>7.A33021499040119</v>
          </cell>
          <cell r="B3624" t="str">
            <v>RED COMPASS MACARONI – ELBOW 10KG</v>
          </cell>
          <cell r="C3624" t="str">
            <v>NUI LA BÀN ĐỎ - CHỮ "C" 10KG</v>
          </cell>
          <cell r="D3624" t="str">
            <v>RED COMPASS MACARONI – ELBOW 10KG</v>
          </cell>
          <cell r="E3624">
            <v>10</v>
          </cell>
          <cell r="F3624" t="str">
            <v>Bỏ chọn</v>
          </cell>
          <cell r="G3624"/>
          <cell r="H3624"/>
        </row>
        <row r="3625">
          <cell r="A3625" t="str">
            <v>7.A31990899020117</v>
          </cell>
          <cell r="B3625" t="str">
            <v>MEIZAN SEASONED CHICKEN FRIED COATING MIX 1KG X 10 PACKS</v>
          </cell>
          <cell r="C3625" t="str">
            <v>BỘT GÀ RÁN CÓ GIA VỊ MEIZAN 1KG X 10 GÓI</v>
          </cell>
          <cell r="D3625" t="str">
            <v>MEIZAN SEASONED CHICKEN FRIED COATING MIX 1KG X 10 PACKS</v>
          </cell>
          <cell r="E3625">
            <v>10</v>
          </cell>
          <cell r="F3625" t="str">
            <v>Bỏ chọn</v>
          </cell>
          <cell r="G3625"/>
          <cell r="H3625"/>
        </row>
        <row r="3626">
          <cell r="A3626" t="str">
            <v>7.A31990899040117</v>
          </cell>
          <cell r="B3626" t="str">
            <v>MEIZAN SEASONED CHICKEN FRIED COATING MIX 10KG</v>
          </cell>
          <cell r="C3626" t="str">
            <v>BỘT GÀ RÁN CÓ GIA VỊ MEIZAN 10KG</v>
          </cell>
          <cell r="D3626" t="str">
            <v>MEIZAN SEASONED CHICKEN FRIED COATING MIX 10KG</v>
          </cell>
          <cell r="E3626">
            <v>10</v>
          </cell>
          <cell r="F3626" t="str">
            <v>Bỏ chọn</v>
          </cell>
          <cell r="G3626"/>
          <cell r="H3626"/>
        </row>
        <row r="3627">
          <cell r="A3627" t="str">
            <v>7.A3199089902011701</v>
          </cell>
          <cell r="B3627" t="str">
            <v>MEIZAN SEASONED CHICKEN FRIED COATING MIX 1KG</v>
          </cell>
          <cell r="C3627" t="str">
            <v>BỘT GÀ RÁN CÓ GIA VỊ MEIZAN 1KG</v>
          </cell>
          <cell r="D3627" t="str">
            <v>MEIZAN SEASONED CHICKEN FRIED COATING MIX 1KG</v>
          </cell>
          <cell r="E3627">
            <v>1</v>
          </cell>
          <cell r="F3627" t="str">
            <v>Bỏ chọn</v>
          </cell>
          <cell r="G3627"/>
          <cell r="H3627"/>
        </row>
        <row r="3628">
          <cell r="A3628" t="str">
            <v>7.B24072399730116TD</v>
          </cell>
          <cell r="B3628" t="str">
            <v>NAM DUONG TOMATO SAUCE 255G X 24 BOT/ CAR</v>
          </cell>
          <cell r="C3628" t="str">
            <v>TƯƠNG CÀ NAM DƯƠNG 255G X 24 CHAI/ THÙNG</v>
          </cell>
          <cell r="D3628" t="str">
            <v>NAM DUONG TOMATO SAUCE 255G X 24 BOT/ CAR</v>
          </cell>
          <cell r="E3628">
            <v>3.06</v>
          </cell>
          <cell r="F3628" t="str">
            <v>Bỏ chọn</v>
          </cell>
          <cell r="G3628"/>
          <cell r="H3628"/>
        </row>
        <row r="3629">
          <cell r="A3629" t="str">
            <v>V39.000.064</v>
          </cell>
          <cell r="B3629" t="str">
            <v>VINATEA T-SHIRT</v>
          </cell>
          <cell r="C3629" t="str">
            <v>ÁO THUN TRÀ VINATEA</v>
          </cell>
          <cell r="D3629" t="str">
            <v>VINATEA T-SHIRT</v>
          </cell>
          <cell r="E3629">
            <v>0</v>
          </cell>
          <cell r="F3629" t="str">
            <v>Chọn</v>
          </cell>
          <cell r="G3629"/>
          <cell r="H3629"/>
        </row>
        <row r="3630">
          <cell r="A3630" t="str">
            <v>V39.000.065</v>
          </cell>
          <cell r="B3630" t="str">
            <v>TWINKLE TEA T-SHIRT</v>
          </cell>
          <cell r="C3630" t="str">
            <v>ÁO THUN TRÀ TWINKLE</v>
          </cell>
          <cell r="D3630" t="str">
            <v>TWINKLE TEA T-SHIRT</v>
          </cell>
          <cell r="E3630">
            <v>0</v>
          </cell>
          <cell r="F3630" t="str">
            <v>Chọn</v>
          </cell>
          <cell r="G3630"/>
          <cell r="H3630"/>
        </row>
        <row r="3631">
          <cell r="A3631" t="str">
            <v>V51.000.152</v>
          </cell>
          <cell r="B3631" t="str">
            <v>TWINKLE TEA SAMPLE PACK</v>
          </cell>
          <cell r="C3631" t="str">
            <v>TÚI ĐỰNG SẢN PHẨM MẪU TRÀ TWINKLE</v>
          </cell>
          <cell r="D3631" t="str">
            <v>TWINKLE TEA SAMPLE PACK</v>
          </cell>
          <cell r="E3631">
            <v>0</v>
          </cell>
          <cell r="F3631" t="str">
            <v>Chọn</v>
          </cell>
          <cell r="G3631"/>
          <cell r="H3631"/>
        </row>
        <row r="3632">
          <cell r="A3632" t="str">
            <v>7.52399049906E4</v>
          </cell>
          <cell r="B3632" t="str">
            <v>BROWN COMPASS - HL 40KG</v>
          </cell>
          <cell r="C3632" t="str">
            <v>BỘT MÌ HIỆU LA BÀN NÂU 40KG</v>
          </cell>
          <cell r="D3632" t="str">
            <v>BROWN COMPASS - HL 40KG</v>
          </cell>
          <cell r="E3632">
            <v>1</v>
          </cell>
          <cell r="F3632" t="str">
            <v>Bỏ chọn</v>
          </cell>
          <cell r="G3632"/>
          <cell r="H3632"/>
        </row>
        <row r="3633">
          <cell r="A3633" t="str">
            <v>V51.00A.061</v>
          </cell>
          <cell r="B3633" t="str">
            <v>TET BLOC CALENDAR</v>
          </cell>
          <cell r="C3633" t="str">
            <v>BỘ LỊCH TẾT</v>
          </cell>
          <cell r="D3633" t="str">
            <v>TET BLOC CALENDAR</v>
          </cell>
          <cell r="E3633">
            <v>0</v>
          </cell>
          <cell r="F3633" t="str">
            <v>Bỏ chọn</v>
          </cell>
          <cell r="G3633"/>
          <cell r="H3633"/>
        </row>
        <row r="3634">
          <cell r="A3634" t="str">
            <v>7.131060061700790</v>
          </cell>
          <cell r="B3634" t="str">
            <v>CO-ORCHID S  BTL@5L</v>
          </cell>
          <cell r="C3634" t="str">
            <v>DẦU THỰC VẬT TINH LUYỆN NHÃN HIỆU ORCHID 5L</v>
          </cell>
          <cell r="D3634" t="str">
            <v>CO-ORCHID S  BTL@5L</v>
          </cell>
          <cell r="E3634">
            <v>4.55</v>
          </cell>
          <cell r="F3634" t="str">
            <v>Chọn</v>
          </cell>
          <cell r="G3634"/>
          <cell r="H3634"/>
        </row>
        <row r="3635">
          <cell r="A3635" t="str">
            <v>7.131060041700790</v>
          </cell>
          <cell r="B3635" t="str">
            <v>CO-ORCHID S  BTL@2L</v>
          </cell>
          <cell r="C3635" t="str">
            <v>DẦU THỰC VẬT TINH LUYỆN NHÃN HIỆU ORCHID 2L</v>
          </cell>
          <cell r="D3635" t="str">
            <v>CO-ORCHID S  BTL@2L</v>
          </cell>
          <cell r="E3635">
            <v>1.82</v>
          </cell>
          <cell r="F3635" t="str">
            <v>Chọn</v>
          </cell>
          <cell r="G3635"/>
          <cell r="H3635"/>
        </row>
        <row r="3636">
          <cell r="A3636" t="str">
            <v>V51.053.005</v>
          </cell>
          <cell r="B3636" t="str">
            <v>MAYONNAISE (DIPPING AND MIXING) 230G</v>
          </cell>
          <cell r="C3636" t="str">
            <v>MAYONNAISE (CHẤM VÀ TRỘN ĐỀU NGON) 230G</v>
          </cell>
          <cell r="D3636" t="str">
            <v>MAYONNAISE (DIPPING AND MIXING) 230G</v>
          </cell>
          <cell r="E3636">
            <v>0.23</v>
          </cell>
          <cell r="F3636" t="str">
            <v>Bỏ chọn</v>
          </cell>
          <cell r="G3636"/>
          <cell r="H3636"/>
        </row>
        <row r="3637">
          <cell r="A3637" t="str">
            <v>7.E38017899A4A096</v>
          </cell>
          <cell r="B3637" t="str">
            <v>MEADOW FRESH WALKING COW FULL CREAM UHT MILK 4% 250MLX24</v>
          </cell>
          <cell r="C3637" t="str">
            <v>SỮA TIỆT TRÙNG NGUYÊN KEM HIỆU MEADOW FRESH WALKING COW; ĐÓNG GÓI 250ML X24 HỘP</v>
          </cell>
          <cell r="D3637" t="str">
            <v>MEADOW FRESH WALKING COW FULL CREAM UHT MILK 4% 250MLX24</v>
          </cell>
          <cell r="E3637">
            <v>6.18</v>
          </cell>
          <cell r="F3637" t="str">
            <v>Bỏ chọn</v>
          </cell>
          <cell r="G3637"/>
          <cell r="H3637"/>
        </row>
        <row r="3638">
          <cell r="A3638" t="str">
            <v>7.E38017899A4A097</v>
          </cell>
          <cell r="B3638" t="str">
            <v>MEADOW FRESH ELIXIR FULL CREAM CN UHT MILK 250MLX24</v>
          </cell>
          <cell r="C3638" t="str">
            <v>SỮA TIỆT TRÙNG NGUYÊN KEM HIỆU MEADOW FRESH ELIXIR, ĐÓNG GÓI 250ML X24 HỘP</v>
          </cell>
          <cell r="D3638" t="str">
            <v>MEADOW FRESH ELIXIR FULL CREAM CN UHT MILK 250MLX24</v>
          </cell>
          <cell r="E3638">
            <v>6.1680000000000001</v>
          </cell>
          <cell r="F3638" t="str">
            <v>Bỏ chọn</v>
          </cell>
          <cell r="G3638"/>
          <cell r="H3638"/>
        </row>
        <row r="3639">
          <cell r="A3639" t="str">
            <v>7.E3801789913A098</v>
          </cell>
          <cell r="B3639" t="str">
            <v>MEADOW FRESH GOLDEN WALKING COW NO DHA SAM 200MLX30</v>
          </cell>
          <cell r="C3639" t="str">
            <v>SỮA TIỆT TRÙNG NGUYÊN KEM KHÔNG CHỨA DHA HIỆU MEADOW FRESH GOLDEN WALKING COW, ĐÓNG GÓI 200ML X30 HỘP</v>
          </cell>
          <cell r="D3639" t="str">
            <v>MEADOW FRESH GOLDEN WALKING COW NO DHA SAM 200MLX30</v>
          </cell>
          <cell r="E3639">
            <v>6.1680000000000001</v>
          </cell>
          <cell r="F3639" t="str">
            <v>Bỏ chọn</v>
          </cell>
          <cell r="G3639"/>
          <cell r="H3639"/>
        </row>
        <row r="3640">
          <cell r="A3640" t="str">
            <v>7.E38017899A4A099</v>
          </cell>
          <cell r="B3640" t="str">
            <v>MEADOW FRESH LOW FAT HI CAL 4G PROTEIN UHT MILK CN 250MLX24</v>
          </cell>
          <cell r="C3640" t="str">
            <v>SỮA TIỆT TRÙNG ÍT BÉO, GIÀU CANXI VÀ PROTEIN HIỆU MEADOW FRESH, ĐÓNG GÓI 250ML X24 HỘP</v>
          </cell>
          <cell r="D3640" t="str">
            <v>MEADOW FRESH LOW FAT HI CAL 4G PROTEIN UHT MILK CN 250MLX24</v>
          </cell>
          <cell r="E3640">
            <v>6.18</v>
          </cell>
          <cell r="F3640" t="str">
            <v>Bỏ chọn</v>
          </cell>
          <cell r="G3640"/>
          <cell r="H3640"/>
        </row>
        <row r="3641">
          <cell r="A3641" t="str">
            <v>7.705D0</v>
          </cell>
          <cell r="B3641" t="str">
            <v>HRPS - REFINED HYDROGENATED PALM STEARIN IN BAG 2.5KG</v>
          </cell>
          <cell r="C3641" t="str">
            <v>DẦU THỰC VẬT LÀM TỪ QUẢ CỌ DẦU, ĐÃ QUA HYDRO HÓA, DẠNG HẠT ĐÓNG TRONG BAO 2.5KG</v>
          </cell>
          <cell r="D3641" t="str">
            <v>HRPS - REFINED HYDROGENATED PALM STEARIN IN BAG 2.5KG</v>
          </cell>
          <cell r="E3641">
            <v>1</v>
          </cell>
          <cell r="F3641" t="str">
            <v>Chọn</v>
          </cell>
          <cell r="G3641"/>
          <cell r="H3641"/>
        </row>
        <row r="3642">
          <cell r="A3642" t="str">
            <v>7.5239908990201TD</v>
          </cell>
          <cell r="B3642" t="str">
            <v>MEIZAN PREMIUM ALL-PURPOSE FLOUR 1KG</v>
          </cell>
          <cell r="C3642" t="str">
            <v>BỘT MÌ ĐA DỤNG CAO CẤP HIỆU MEIZAN 1KG</v>
          </cell>
          <cell r="D3642" t="str">
            <v>MEIZAN PREMIUM ALL-PURPOSE FLOUR 1KG</v>
          </cell>
          <cell r="E3642">
            <v>1</v>
          </cell>
          <cell r="F3642" t="str">
            <v>Chọn</v>
          </cell>
          <cell r="G3642"/>
          <cell r="H3642"/>
        </row>
        <row r="3643">
          <cell r="A3643" t="str">
            <v>7.A31990899080101TD</v>
          </cell>
          <cell r="B3643" t="str">
            <v>CRISPY DOUGH "MEIZAN" 150GR</v>
          </cell>
          <cell r="C3643" t="str">
            <v>BỘT CHIÊN GIÒN "MEIZAN" 150GR</v>
          </cell>
          <cell r="D3643" t="str">
            <v>CRISPY DOUGH "MEIZAN" 150GR</v>
          </cell>
          <cell r="E3643">
            <v>0.15</v>
          </cell>
          <cell r="F3643" t="str">
            <v>Bỏ chọn</v>
          </cell>
          <cell r="G3643"/>
          <cell r="H3643"/>
        </row>
        <row r="3644">
          <cell r="A3644" t="str">
            <v>7.B2508089933010501TD</v>
          </cell>
          <cell r="B3644" t="str">
            <v>MEIZAN SEASONING SEEDS MEAT, BONES, MARROW, CARROT - PORK FLAVOR 400G</v>
          </cell>
          <cell r="C3644" t="str">
            <v>HẠT NÊM MEIZAN THỊT, XƯƠNG ỐNG, TỦY, CÀ RỐT - VỊ HEO  400G</v>
          </cell>
          <cell r="D3644" t="str">
            <v>MEIZAN SEASONING SEEDS MEAT, BONES, MARROW, CARROT - PORK FLAVOR 400G</v>
          </cell>
          <cell r="E3644">
            <v>0.4</v>
          </cell>
          <cell r="F3644" t="str">
            <v>Bỏ chọn</v>
          </cell>
          <cell r="G3644"/>
          <cell r="H3644"/>
        </row>
        <row r="3645">
          <cell r="A3645" t="str">
            <v>7.B2403239986019901TD</v>
          </cell>
          <cell r="B3645" t="str">
            <v>NAM DUONG OYSTER OIL 270G</v>
          </cell>
          <cell r="C3645" t="str">
            <v>DẦU HÀO NAM DƯƠNG 270G</v>
          </cell>
          <cell r="D3645" t="str">
            <v>NAM DUONG OYSTER OIL 270G</v>
          </cell>
          <cell r="E3645">
            <v>0.27</v>
          </cell>
          <cell r="F3645" t="str">
            <v>Bỏ chọn</v>
          </cell>
          <cell r="G3645"/>
          <cell r="H3645"/>
        </row>
        <row r="3646">
          <cell r="A3646" t="str">
            <v>7.B2508542442010601TD</v>
          </cell>
          <cell r="B3646" t="str">
            <v>MUSHROOM BOUILLON GRANULE 380G (LNS)</v>
          </cell>
          <cell r="C3646" t="str">
            <v>HẠT NÊM TAM BẢO VỊ NẤM 380G</v>
          </cell>
          <cell r="D3646" t="str">
            <v>MUSHROOM BOUILLON GRANULE 380G (LNS)</v>
          </cell>
          <cell r="E3646">
            <v>0.38</v>
          </cell>
          <cell r="F3646" t="str">
            <v>Bỏ chọn</v>
          </cell>
          <cell r="G3646"/>
          <cell r="H3646"/>
        </row>
        <row r="3647">
          <cell r="A3647" t="str">
            <v>7.B24106399A0014801TD</v>
          </cell>
          <cell r="B3647" t="str">
            <v>MAYONNAISE (DIP AND MIX WELL) 230G</v>
          </cell>
          <cell r="C3647" t="str">
            <v>XỐT MAYONNAISE (CHẤM VÀ TRỘN ĐỀU NGON) 230G</v>
          </cell>
          <cell r="D3647" t="str">
            <v>MAYONNAISE (DIP AND MIX WELL) 230G</v>
          </cell>
          <cell r="E3647">
            <v>0.23</v>
          </cell>
          <cell r="F3647" t="str">
            <v>Bỏ chọn</v>
          </cell>
          <cell r="G3647"/>
          <cell r="H3647"/>
        </row>
        <row r="3648">
          <cell r="A3648" t="str">
            <v>V51.000.153</v>
          </cell>
          <cell r="B3648" t="str">
            <v>MEIZAN WAXED STICKY RICE 1KG</v>
          </cell>
          <cell r="C3648" t="str">
            <v>MEIZAN NẾP SÁP 1KG</v>
          </cell>
          <cell r="D3648" t="str">
            <v>MEIZAN WAXED STICKY RICE 1KG</v>
          </cell>
          <cell r="E3648">
            <v>1</v>
          </cell>
          <cell r="F3648" t="str">
            <v>Chọn</v>
          </cell>
          <cell r="G3648"/>
          <cell r="H3648"/>
        </row>
        <row r="3649">
          <cell r="A3649" t="str">
            <v>V51.000.154</v>
          </cell>
          <cell r="B3649" t="str">
            <v>SPECIALTY FRAGRANT RICE ST25 NEPTUNE 1KG</v>
          </cell>
          <cell r="C3649" t="str">
            <v>GẠO THƠM ĐẶC SẢN ST25 NEPTUNE 1KG</v>
          </cell>
          <cell r="D3649" t="str">
            <v>SPECIALTY FRAGRANT RICE ST25 NEPTUNE 1KG</v>
          </cell>
          <cell r="E3649">
            <v>1</v>
          </cell>
          <cell r="F3649" t="str">
            <v>Chọn</v>
          </cell>
          <cell r="G3649"/>
          <cell r="H3649"/>
        </row>
        <row r="3650">
          <cell r="A3650" t="str">
            <v>7.B2401239939921301TD</v>
          </cell>
          <cell r="B3650" t="str">
            <v>FOOD SUPPLEMENTARY NAM DUONG SOYDY FULL 280ML</v>
          </cell>
          <cell r="C3650" t="str">
            <v>THỰC PHẨM BỔ SUNG NƯỚC TƯƠNG NAM DƯƠNG ĐẬM ĐẶC 280ML</v>
          </cell>
          <cell r="D3650" t="str">
            <v>FOOD SUPPLEMENTARY NAM DUONG SOYDY FULL 280ML</v>
          </cell>
          <cell r="E3650">
            <v>0.314</v>
          </cell>
          <cell r="F3650" t="str">
            <v>Bỏ chọn</v>
          </cell>
          <cell r="G3650"/>
          <cell r="H3650"/>
        </row>
        <row r="3651">
          <cell r="A3651" t="str">
            <v>7.13101003170003TD</v>
          </cell>
          <cell r="B3651" t="str">
            <v>CAI LAN REFINED VEGETABLE OIL 1L</v>
          </cell>
          <cell r="C3651" t="str">
            <v>DẦU THỰC VẬT TINH LUYỆN HIỆU CÁI LÂN 1L</v>
          </cell>
          <cell r="D3651" t="str">
            <v>CAI LAN REFINED VEGETABLE OIL 1L</v>
          </cell>
          <cell r="E3651">
            <v>0.91</v>
          </cell>
          <cell r="F3651" t="str">
            <v>Chọn</v>
          </cell>
          <cell r="G3651"/>
          <cell r="H3651"/>
        </row>
        <row r="3652">
          <cell r="A3652" t="str">
            <v>7.7075839428170000TD</v>
          </cell>
          <cell r="B3652" t="str">
            <v>DISHWASHING LIQUID POWER100 LEMON FLAVOR 1.5KG</v>
          </cell>
          <cell r="C3652" t="str">
            <v>NƯỚC RỬA CHÉN POWER100 HƯƠNG CHANH LOẠI 1.5KG</v>
          </cell>
          <cell r="D3652" t="str">
            <v>DISHWASHING LIQUID POWER100 LEMON FLAVOR 1.5KG</v>
          </cell>
          <cell r="E3652">
            <v>1.5</v>
          </cell>
          <cell r="F3652" t="str">
            <v>Chọn</v>
          </cell>
          <cell r="G3652"/>
          <cell r="H3652"/>
        </row>
        <row r="3653">
          <cell r="A3653" t="str">
            <v>7.131087061700H10TD</v>
          </cell>
          <cell r="B3653" t="str">
            <v>CO-NEPTUNE LIGHT IN BOTTLE@5L</v>
          </cell>
          <cell r="C3653" t="str">
            <v>DẦU ĂN THƯỢNG HẠNG NHÃN HIỆU NEPTUNE LIGHT 5L</v>
          </cell>
          <cell r="D3653" t="str">
            <v>CO-NEPTUNE LIGHT IN BOTTLE@5L</v>
          </cell>
          <cell r="E3653">
            <v>4.55</v>
          </cell>
          <cell r="F3653" t="str">
            <v>Chọn</v>
          </cell>
          <cell r="G3653"/>
          <cell r="H3653"/>
        </row>
        <row r="3654">
          <cell r="A3654" t="str">
            <v>V51.000.155</v>
          </cell>
          <cell r="B3654" t="str">
            <v>CRYSTAL TROPHY WITH WILMAR LOGO IN 24K GOLD (1 TAEL)</v>
          </cell>
          <cell r="C3654" t="str">
            <v>KỶ NIỆM CHƯƠNG PHA LÊ KÈM LOGO WILMAR BẰNG VÀNG 24K (1 LƯỢNG)</v>
          </cell>
          <cell r="D3654" t="str">
            <v>CRYSTAL TROPHY WITH WILMAR LOGO IN 24K GOLD (1 TAEL)</v>
          </cell>
          <cell r="E3654">
            <v>0</v>
          </cell>
          <cell r="F3654" t="str">
            <v>Chọn</v>
          </cell>
          <cell r="G3654"/>
          <cell r="H3654"/>
        </row>
        <row r="3655">
          <cell r="A3655" t="str">
            <v>V51.000.156</v>
          </cell>
          <cell r="B3655" t="str">
            <v>CRYSTAL TROPHY WITH WILMAR LOGO IN 24K GOLD (2 MACE)</v>
          </cell>
          <cell r="C3655" t="str">
            <v>KỶ NIỆM CHƯƠNG PHA LÊ KÈM LOGO WILMAR BẰNG VÀNG 24K (2 CHỈ)</v>
          </cell>
          <cell r="D3655" t="str">
            <v>CRYSTAL TROPHY WITH WILMAR LOGO IN 24K GOLD (2 MACE)</v>
          </cell>
          <cell r="E3655">
            <v>0</v>
          </cell>
          <cell r="F3655" t="str">
            <v>Chọn</v>
          </cell>
          <cell r="G3655"/>
          <cell r="H3655"/>
        </row>
        <row r="3656">
          <cell r="A3656" t="str">
            <v>7.705D1</v>
          </cell>
          <cell r="B3656" t="str">
            <v>MIXED SOAP POWDER IN BAG 1KG</v>
          </cell>
          <cell r="C3656" t="str">
            <v>MIXED SOAP POWDER- PHÔI XÀ PHÒNG, NGUYÊN LIỆU SẢN XUẤT SẢN PHẨM CHĂM SÓC CÁ NHÂN ĐÓNG TRONG BAO 1KG</v>
          </cell>
          <cell r="D3656" t="str">
            <v>MIXED SOAP POWDER IN BAG 1KG</v>
          </cell>
          <cell r="E3656">
            <v>1</v>
          </cell>
          <cell r="F3656" t="str">
            <v>Chọn</v>
          </cell>
          <cell r="G3656"/>
          <cell r="H3656"/>
        </row>
        <row r="3657">
          <cell r="A3657" t="str">
            <v>7.705D2</v>
          </cell>
          <cell r="B3657" t="str">
            <v>SOAP NOODLES 80-20 (WILFARIN SN-8020) IN BAG 1KG</v>
          </cell>
          <cell r="C3657" t="str">
            <v>PHÔI XÀ PHÒNG - NGUYÊN LIỆU SX SP CHĂM SÓC CÁ NHÂN ĐÓNG TRONG BAO 1KG</v>
          </cell>
          <cell r="D3657" t="str">
            <v>SOAP NOODLES 80-20 (WILFARIN SN-8020) IN BAG 1KG</v>
          </cell>
          <cell r="E3657">
            <v>1</v>
          </cell>
          <cell r="F3657" t="str">
            <v>Chọn</v>
          </cell>
          <cell r="G3657"/>
          <cell r="H3657"/>
        </row>
        <row r="3658">
          <cell r="A3658" t="str">
            <v>7.705D3</v>
          </cell>
          <cell r="B3658" t="str">
            <v>LAURIC ACID 99% (WILFARIN LA-1299) IN BAG 1KG</v>
          </cell>
          <cell r="C3658" t="str">
            <v>AXIT LAURIC 99% - NGUYÊN LIỆU SẢN XUẤT NƯỚC RỬA TAY ĐÓNG TRONG BAO 1KG</v>
          </cell>
          <cell r="D3658" t="str">
            <v>LAURIC ACID 99% (WILFARIN LA-1299) IN BAG 1KG</v>
          </cell>
          <cell r="E3658">
            <v>1</v>
          </cell>
          <cell r="F3658" t="str">
            <v>Chọn</v>
          </cell>
          <cell r="G3658"/>
          <cell r="H3658"/>
        </row>
        <row r="3659">
          <cell r="A3659" t="str">
            <v>7.705D4</v>
          </cell>
          <cell r="B3659" t="str">
            <v>MYRISTIC ACID 99% (WILFARIN MA-1499) IN BAG 1KG</v>
          </cell>
          <cell r="C3659" t="str">
            <v>AXIT MYRISTIC 99% NGUYÊN LIỆU SX SP CHĂM SÓC CÁ NHÂN ĐÓNG TRONG BAO 1KG</v>
          </cell>
          <cell r="D3659" t="str">
            <v>MYRISTIC ACID 99% (WILFARIN MA-1499) IN BAG 1KG</v>
          </cell>
          <cell r="E3659">
            <v>1</v>
          </cell>
          <cell r="F3659" t="str">
            <v>Chọn</v>
          </cell>
          <cell r="G3659"/>
          <cell r="H3659"/>
        </row>
        <row r="3660">
          <cell r="A3660" t="str">
            <v>7.705D5</v>
          </cell>
          <cell r="B3660" t="str">
            <v>FATTY ALCOHOL 1698 (FAL-1698) IN BAG 1KG</v>
          </cell>
          <cell r="C3660" t="str">
            <v>HỢP CHẤT FATTY ALCOHOL 1698 - NGUYÊN LIỆU SX SP CHĂM SÓC CÁ NHÂN ĐÓNG TRONG BAO 1KG</v>
          </cell>
          <cell r="D3660" t="str">
            <v>FATTY ALCOHOL 1698 (FAL-1698) IN BAG 1KG</v>
          </cell>
          <cell r="E3660">
            <v>1</v>
          </cell>
          <cell r="F3660" t="str">
            <v>Chọn</v>
          </cell>
          <cell r="G3660"/>
          <cell r="H3660"/>
        </row>
        <row r="3661">
          <cell r="A3661" t="str">
            <v>7.705D6</v>
          </cell>
          <cell r="B3661" t="str">
            <v>FATTY ALCOHOL 1618 (FAL-1618) IN BAG 1KG</v>
          </cell>
          <cell r="C3661" t="str">
            <v>HỢP CHẤT FATTY ALCOHOL 1618 - NGUYÊN LIỆU SX SP CHĂM SÓC TÓC ĐÓNG TRONG BAO 1KG</v>
          </cell>
          <cell r="D3661" t="str">
            <v>FATTY ALCOHOL 1618 (FAL-1618) IN BAG 1KG</v>
          </cell>
          <cell r="E3661">
            <v>1</v>
          </cell>
          <cell r="F3661" t="str">
            <v>Chọn</v>
          </cell>
          <cell r="G3661"/>
          <cell r="H3661"/>
        </row>
        <row r="3662">
          <cell r="A3662" t="str">
            <v>V51.00A.062</v>
          </cell>
          <cell r="B3662" t="str">
            <v>TET GIFT BASKET</v>
          </cell>
          <cell r="C3662" t="str">
            <v>GIỎ QUÀ TẾT</v>
          </cell>
          <cell r="D3662" t="str">
            <v>TET GIFT BASKET</v>
          </cell>
          <cell r="E3662">
            <v>0</v>
          </cell>
          <cell r="F3662" t="str">
            <v>Bỏ chọn</v>
          </cell>
          <cell r="G3662"/>
          <cell r="H3662"/>
        </row>
        <row r="3663">
          <cell r="A3663" t="str">
            <v>6.1213059</v>
          </cell>
          <cell r="B3663" t="str">
            <v>REFINED PALM STEARIN /RSPO MB</v>
          </cell>
          <cell r="C3663" t="str">
            <v>DẦU STEARIN CỌ TINH LUYỆN TRONG XE BỒN (RSPO/MB)</v>
          </cell>
          <cell r="D3663" t="str">
            <v>REFINED PALM STEARIN /RSPO MB</v>
          </cell>
          <cell r="E3663">
            <v>1</v>
          </cell>
          <cell r="F3663" t="str">
            <v>Chọn</v>
          </cell>
          <cell r="G3663"/>
          <cell r="H3663"/>
        </row>
        <row r="3664">
          <cell r="A3664" t="str">
            <v>7.52399799906J8</v>
          </cell>
          <cell r="B3664" t="str">
            <v>RED SATELLITE - MDLZ 40KG</v>
          </cell>
          <cell r="C3664" t="str">
            <v>BỘT MÌ HIỆU VỆ TINH ĐỎ 40KG  (BOT MI HARD - FORTIFICATION</v>
          </cell>
          <cell r="D3664" t="str">
            <v>RED SATELLITE - MDLZ 40KG</v>
          </cell>
          <cell r="E3664">
            <v>1</v>
          </cell>
          <cell r="F3664" t="str">
            <v>Bỏ chọn</v>
          </cell>
          <cell r="G3664"/>
          <cell r="H3664"/>
        </row>
        <row r="3665">
          <cell r="A3665" t="str">
            <v>7.52399149906J9</v>
          </cell>
          <cell r="B3665" t="str">
            <v>RED COMPASS - MDLZ 40KG (NON FE&amp;ZN)</v>
          </cell>
          <cell r="C3665" t="str">
            <v>BỘT MÌ HIỆU LA BÀN ĐỎ 40KG (BOT MI MEDIUM - NON FORTIFICATION)</v>
          </cell>
          <cell r="D3665" t="str">
            <v>RED COMPASS - MDLZ 40KG (NON FE&amp;ZN)</v>
          </cell>
          <cell r="E3665">
            <v>1</v>
          </cell>
          <cell r="F3665" t="str">
            <v>Bỏ chọn</v>
          </cell>
          <cell r="G3665"/>
          <cell r="H3665"/>
        </row>
        <row r="3666">
          <cell r="A3666" t="str">
            <v>7.52399A79906J8</v>
          </cell>
          <cell r="B3666" t="str">
            <v>FLOUR 28 - MDLZ 40KG</v>
          </cell>
          <cell r="C3666" t="str">
            <v>BỘT MÌ 28 40KG (BOT MI MEDIUM)</v>
          </cell>
          <cell r="D3666" t="str">
            <v>FLOUR 28 - MDLZ 40KG</v>
          </cell>
          <cell r="E3666">
            <v>1</v>
          </cell>
          <cell r="F3666" t="str">
            <v>Bỏ chọn</v>
          </cell>
          <cell r="G3666"/>
          <cell r="H3666"/>
        </row>
        <row r="3667">
          <cell r="A3667" t="str">
            <v>V39.000.066</v>
          </cell>
          <cell r="B3667" t="str">
            <v>WILMAR'S SHORT-SLEEVED T-SHIRT (FEMALE)</v>
          </cell>
          <cell r="C3667" t="str">
            <v>ÁO THUN WILMAR NGẮN TAY (ÁO NỮ)</v>
          </cell>
          <cell r="D3667" t="str">
            <v>WILMAR'S SHORT-SLEEVED T-SHIRT (FEMALE)</v>
          </cell>
          <cell r="E3667">
            <v>0</v>
          </cell>
          <cell r="F3667" t="str">
            <v>Chọn</v>
          </cell>
          <cell r="G3667"/>
          <cell r="H3667"/>
        </row>
        <row r="3668">
          <cell r="A3668" t="str">
            <v>7.131087061703H10TD</v>
          </cell>
          <cell r="B3668" t="str">
            <v>CO-NEPTUNE LIGHT 5L X 4 BTL</v>
          </cell>
          <cell r="C3668" t="str">
            <v>DẦU ĂN THƯỢNG HẠNG NHÃN HIỆU NEPTUNE LIGHT 5L</v>
          </cell>
          <cell r="D3668" t="str">
            <v>CO-NEPTUNE LIGHT 5L X 4 BTL</v>
          </cell>
          <cell r="E3668">
            <v>18.2</v>
          </cell>
          <cell r="F3668" t="str">
            <v>Chọn</v>
          </cell>
          <cell r="G3668"/>
          <cell r="H3668"/>
        </row>
        <row r="3669">
          <cell r="A3669" t="str">
            <v>V51.000.157</v>
          </cell>
          <cell r="B3669" t="str">
            <v>CANVAS BAG</v>
          </cell>
          <cell r="C3669" t="str">
            <v>TÚI VẢI ĐỰNG QUÀ</v>
          </cell>
          <cell r="D3669" t="str">
            <v>CANVAS BAG</v>
          </cell>
          <cell r="E3669">
            <v>0</v>
          </cell>
          <cell r="F3669" t="str">
            <v>Chọn</v>
          </cell>
          <cell r="G3669"/>
          <cell r="H3669"/>
        </row>
        <row r="3670">
          <cell r="A3670" t="str">
            <v>V39.000.067</v>
          </cell>
          <cell r="B3670" t="str">
            <v>RED POLO T-SHIRT</v>
          </cell>
          <cell r="C3670" t="str">
            <v>ÁO THUN MÀU ĐỎ</v>
          </cell>
          <cell r="D3670" t="str">
            <v>RED POLO T-SHIRT</v>
          </cell>
          <cell r="E3670">
            <v>0</v>
          </cell>
          <cell r="F3670" t="str">
            <v>Chọn</v>
          </cell>
          <cell r="G3670"/>
          <cell r="H3670"/>
        </row>
        <row r="3671">
          <cell r="A3671" t="str">
            <v>7.707658N428170000</v>
          </cell>
          <cell r="B3671" t="str">
            <v>POWER100 GREEN DWL GRAPEFRUIT BTL@3.6KG</v>
          </cell>
          <cell r="C3671" t="str">
            <v>NƯỚC RỬA CHÉN POWER100 GREEN TINH DẦU BƯỞI TÂY 3.6KG</v>
          </cell>
          <cell r="D3671" t="str">
            <v>POWER100 GREEN DWL GRAPEFRUIT BTL@3.6KG</v>
          </cell>
          <cell r="E3671">
            <v>3.6</v>
          </cell>
          <cell r="F3671" t="str">
            <v>Chọn</v>
          </cell>
          <cell r="G3671"/>
          <cell r="H3671"/>
        </row>
        <row r="3672">
          <cell r="A3672" t="str">
            <v>7.707658N42817000H</v>
          </cell>
          <cell r="B3672" t="str">
            <v>POWER100 GREEN DWL GRAPEFRUIT 3.6KG*4BTL</v>
          </cell>
          <cell r="C3672" t="str">
            <v>NƯỚC RỬA CHÉN POWER100 GREEN TINH DẦU BƯỞI TÂY 3.6KG*4</v>
          </cell>
          <cell r="D3672" t="str">
            <v>POWER100 GREEN DWL GRAPEFRUIT 3.6KG*4BTL</v>
          </cell>
          <cell r="E3672">
            <v>14.4</v>
          </cell>
          <cell r="F3672" t="str">
            <v>Chọn</v>
          </cell>
          <cell r="G3672"/>
          <cell r="H3672" t="str">
            <v>7.707658N428170000</v>
          </cell>
        </row>
        <row r="3673">
          <cell r="A3673" t="str">
            <v>7.707658E928170000</v>
          </cell>
          <cell r="B3673" t="str">
            <v>POWER100 GREEN DWL GRAPEFRUIT BTL@750G</v>
          </cell>
          <cell r="C3673" t="str">
            <v>NƯỚC RỬA CHÉN POWER100 GREEN TINH DẦU BƯỞI TÂY 750G</v>
          </cell>
          <cell r="D3673" t="str">
            <v>POWER100 GREEN DWL GRAPEFRUIT BTL@750G</v>
          </cell>
          <cell r="E3673">
            <v>0.75</v>
          </cell>
          <cell r="F3673" t="str">
            <v>Chọn</v>
          </cell>
          <cell r="G3673"/>
          <cell r="H3673"/>
        </row>
        <row r="3674">
          <cell r="A3674" t="str">
            <v>7.707658E92817000N</v>
          </cell>
          <cell r="B3674" t="str">
            <v>POWER100 GREEN DWL GRAPEFRUIT 750G*16BTL</v>
          </cell>
          <cell r="C3674" t="str">
            <v>NƯỚC RỬA CHÉN POWER100 GREEN TINH DẦU BƯỞI TÂY 750G*16</v>
          </cell>
          <cell r="D3674" t="str">
            <v>POWER100 GREEN DWL GRAPEFRUIT 750G*16BTL</v>
          </cell>
          <cell r="E3674">
            <v>12</v>
          </cell>
          <cell r="F3674" t="str">
            <v>Chọn</v>
          </cell>
          <cell r="G3674"/>
          <cell r="H3674" t="str">
            <v>7.707658E928170000</v>
          </cell>
        </row>
        <row r="3675">
          <cell r="A3675" t="str">
            <v>7.705D7</v>
          </cell>
          <cell r="B3675" t="str">
            <v>WILMAX 5100- HYDROGENATED SHEA OLEIN IN BAG 10KG</v>
          </cell>
          <cell r="C3675" t="str">
            <v>WILMAX 5100- HYDROGENATED SHEA OLEIN (DẦU OLEIN HẠT MỠ ĐÃ HYDRO HÓA) ĐÓNG TRONG BAO 10KG</v>
          </cell>
          <cell r="D3675" t="str">
            <v>WILMAX 5100- HYDROGENATED SHEA OLEIN IN BAG 10KG</v>
          </cell>
          <cell r="E3675">
            <v>1</v>
          </cell>
          <cell r="F3675" t="str">
            <v>Chọn</v>
          </cell>
          <cell r="G3675"/>
          <cell r="H3675"/>
        </row>
        <row r="3676">
          <cell r="A3676" t="str">
            <v>7.705D8</v>
          </cell>
          <cell r="B3676" t="str">
            <v>WILMAX 4700- HYDROGENATED SHEA OLEIN IN BAG 10KG</v>
          </cell>
          <cell r="C3676" t="str">
            <v>WILMAX 4700- HYDROGENATED SHEA OLEIN (DẦU OLEIN HẠT MỠ ĐÃ HYDRO HÓA) ĐÓNG TRONG BAO 10KG</v>
          </cell>
          <cell r="D3676" t="str">
            <v>WILMAX 4700- HYDROGENATED SHEA OLEIN IN BAG 10KG</v>
          </cell>
          <cell r="E3676">
            <v>1</v>
          </cell>
          <cell r="F3676" t="str">
            <v>Chọn</v>
          </cell>
          <cell r="G3676"/>
          <cell r="H3676"/>
        </row>
        <row r="3677">
          <cell r="A3677" t="str">
            <v>7.705D9</v>
          </cell>
          <cell r="B3677" t="str">
            <v>OLEIC ACID 7075 IN BAG 500GR</v>
          </cell>
          <cell r="C3677" t="str">
            <v>AXIT OLEIC 7075 DÙNG TRONG SẢN XUẤT KEO, CAO SU ĐÓNG TRONG BAO 500GR</v>
          </cell>
          <cell r="D3677" t="str">
            <v>OLEIC ACID 7075 IN BAG 500GR</v>
          </cell>
          <cell r="E3677">
            <v>1</v>
          </cell>
          <cell r="F3677" t="str">
            <v>Chọn</v>
          </cell>
          <cell r="G3677"/>
          <cell r="H3677"/>
        </row>
        <row r="3678">
          <cell r="A3678" t="str">
            <v>7.705E0</v>
          </cell>
          <cell r="B3678" t="str">
            <v>FATTY ALCOHOL 1898 (FAL-1898) IN BAG  1KG</v>
          </cell>
          <cell r="C3678" t="str">
            <v>FATTY ALCOHOL 1898 (FAL-1898) - CỒN BÉO CÔNG NGHIỆP ĐÓNG TRONG BAO 1KG</v>
          </cell>
          <cell r="D3678" t="str">
            <v>FATTY ALCOHOL 1898 (FAL-1898) IN BAG  1KG</v>
          </cell>
          <cell r="E3678">
            <v>1</v>
          </cell>
          <cell r="F3678" t="str">
            <v>Chọn</v>
          </cell>
          <cell r="G3678"/>
          <cell r="H3678"/>
        </row>
        <row r="3679">
          <cell r="A3679" t="str">
            <v>7.B24032399C70199</v>
          </cell>
          <cell r="B3679" t="str">
            <v>HORECA OYSTER SAUCE 2.3KG X 6 BOT/CAR</v>
          </cell>
          <cell r="C3679" t="str">
            <v>DẦU HÀO HORECA 2.3 KG X 6 CHAI/THÙNG</v>
          </cell>
          <cell r="D3679" t="str">
            <v>HORECA OYSTER SAUCE 2.3KG X 6 BOT/CAR</v>
          </cell>
          <cell r="E3679">
            <v>13.8</v>
          </cell>
          <cell r="F3679" t="str">
            <v>Bỏ chọn</v>
          </cell>
          <cell r="G3679" t="str">
            <v>2000000008</v>
          </cell>
          <cell r="H3679" t="str">
            <v>7.B24032399C7019901</v>
          </cell>
        </row>
        <row r="3680">
          <cell r="A3680" t="str">
            <v>7.B24032399C7019901</v>
          </cell>
          <cell r="B3680" t="str">
            <v>HORECA OYSTER SAUCE 2.3KG</v>
          </cell>
          <cell r="C3680" t="str">
            <v>DẦU HÀO HORECA 2.3 KG</v>
          </cell>
          <cell r="D3680" t="str">
            <v>HORECA OYSTER SAUCE 2.3KG</v>
          </cell>
          <cell r="E3680">
            <v>2.2999999999999998</v>
          </cell>
          <cell r="F3680" t="str">
            <v>Bỏ chọn</v>
          </cell>
          <cell r="G3680" t="str">
            <v>2000000008</v>
          </cell>
          <cell r="H3680"/>
        </row>
        <row r="3681">
          <cell r="A3681" t="str">
            <v>V51.041.017</v>
          </cell>
          <cell r="B3681" t="str">
            <v>NEPTUNE PREMIUM RICE 2KG</v>
          </cell>
          <cell r="C3681" t="str">
            <v>NEPTUNE GẠO THƠM THƯỢNG HẠNG 2 KG</v>
          </cell>
          <cell r="D3681" t="str">
            <v>NEPTUNE PREMIUM RICE 2KG</v>
          </cell>
          <cell r="E3681">
            <v>2</v>
          </cell>
          <cell r="F3681" t="str">
            <v>Bỏ chọn</v>
          </cell>
          <cell r="G3681"/>
          <cell r="H3681"/>
        </row>
        <row r="3682">
          <cell r="A3682" t="str">
            <v>7.52399149905E6</v>
          </cell>
          <cell r="B3682" t="str">
            <v>RED COMPASS - KHV 25KG</v>
          </cell>
          <cell r="C3682" t="str">
            <v>BỘT MÌ HIỆU LA BÀN ĐỎ 25KG</v>
          </cell>
          <cell r="D3682" t="str">
            <v>RED COMPASS - KHV 25KG</v>
          </cell>
          <cell r="E3682">
            <v>1</v>
          </cell>
          <cell r="F3682" t="str">
            <v>Bỏ chọn</v>
          </cell>
          <cell r="G3682"/>
          <cell r="H3682"/>
        </row>
        <row r="3683">
          <cell r="A3683" t="str">
            <v>7.92419B799C801A0</v>
          </cell>
          <cell r="B3683" t="str">
            <v>ANCHOVY FISH SAUCE 40°N GLASS BOTTLES 510ML X 12 BOT IN CARTON</v>
          </cell>
          <cell r="C3683" t="str">
            <v>NƯỚC MẮM NHỈ CÁ CƠM 40° ĐẠM CHAI THỦY TINH 510ML X 12 CHAI ĐÓNG TRONG THÙNG CARTON</v>
          </cell>
          <cell r="D3683" t="str">
            <v>ANCHOVY FISH SAUCE 40°N GLASS BOTTLES 510ML X 12 BOT IN CARTON</v>
          </cell>
          <cell r="E3683">
            <v>7.44</v>
          </cell>
          <cell r="F3683" t="str">
            <v>Chọn</v>
          </cell>
          <cell r="G3683"/>
          <cell r="H3683" t="str">
            <v>7.92419B799C801A001</v>
          </cell>
        </row>
        <row r="3684">
          <cell r="A3684" t="str">
            <v>7.92419B799C801A001</v>
          </cell>
          <cell r="B3684" t="str">
            <v>ANCHOVY FISH SAUCE 40°N GLASS BOTTLES 510ML</v>
          </cell>
          <cell r="C3684" t="str">
            <v>NƯỚC MẮM NHỈ CÁ CƠM 40° ĐẠM CHAI THỦY TINH 510ML</v>
          </cell>
          <cell r="D3684" t="str">
            <v>ANCHOVY FISH SAUCE 40°N GLASS BOTTLES 510ML</v>
          </cell>
          <cell r="E3684">
            <v>0.62</v>
          </cell>
          <cell r="F3684" t="str">
            <v>Chọn</v>
          </cell>
          <cell r="G3684"/>
          <cell r="H3684"/>
        </row>
        <row r="3685">
          <cell r="A3685" t="str">
            <v>7.92419B799C801A1</v>
          </cell>
          <cell r="B3685" t="str">
            <v>ANCHOVY FISH SAUCE 35°N GLASS BOTTLES 510ML X 12 BOT IN CARTON</v>
          </cell>
          <cell r="C3685" t="str">
            <v>NƯỚC MẮM NHỈ CÁ CƠM 35° ĐẠM CHAI THỦY TINH 510ML X 12 CHAI ĐÓNG TRONG THÙNG CARTON</v>
          </cell>
          <cell r="D3685" t="str">
            <v>ANCHOVY FISH SAUCE 35°N GLASS BOTTLES 510ML X 12 BOT IN CARTON</v>
          </cell>
          <cell r="E3685">
            <v>7.44</v>
          </cell>
          <cell r="F3685" t="str">
            <v>Chọn</v>
          </cell>
          <cell r="G3685"/>
          <cell r="H3685" t="str">
            <v>7.92419B799C801A101</v>
          </cell>
        </row>
        <row r="3686">
          <cell r="A3686" t="str">
            <v>7.92419B799C801A101</v>
          </cell>
          <cell r="B3686" t="str">
            <v>ANCHOVY FISH SAUCE 35°N GLASS BOTTLES 510ML</v>
          </cell>
          <cell r="C3686" t="str">
            <v>NƯỚC MẮM NHỈ CÁ CƠM 35° ĐẠM CHAI THỦY TINH 510ML</v>
          </cell>
          <cell r="D3686" t="str">
            <v>ANCHOVY FISH SAUCE 35°N GLASS BOTTLES 510ML</v>
          </cell>
          <cell r="E3686">
            <v>0.62</v>
          </cell>
          <cell r="F3686" t="str">
            <v>Chọn</v>
          </cell>
          <cell r="G3686"/>
          <cell r="H3686"/>
        </row>
        <row r="3687">
          <cell r="A3687" t="str">
            <v>7.92419B799C801A2</v>
          </cell>
          <cell r="B3687" t="str">
            <v>ANCHOVY FISH SAUCE 25°N GLASS BOTTLES 510ML X 15 BOT IN CARTON</v>
          </cell>
          <cell r="C3687" t="str">
            <v>NƯỚC MẮM NHỈ CÁ CƠM 25° ĐẠM CHAI THỦY TINH 510ML X 15 CHAI ĐÓNG TRONG THÙNG CARTON</v>
          </cell>
          <cell r="D3687" t="str">
            <v>ANCHOVY FISH SAUCE 25°N GLASS BOTTLES 510ML X 15 BOT IN CARTON</v>
          </cell>
          <cell r="E3687">
            <v>9.15</v>
          </cell>
          <cell r="F3687" t="str">
            <v>Chọn</v>
          </cell>
          <cell r="G3687"/>
          <cell r="H3687" t="str">
            <v>7.92419B799C801A201</v>
          </cell>
        </row>
        <row r="3688">
          <cell r="A3688" t="str">
            <v>7.92419B799C801A201</v>
          </cell>
          <cell r="B3688" t="str">
            <v>ANCHOVY FISH SAUCE 25°N GLASS BOTTLES 510ML</v>
          </cell>
          <cell r="C3688" t="str">
            <v>NƯỚC MẮM NHỈ CÁ CƠM 25° ĐẠM CHAI THỦY TINH 510ML</v>
          </cell>
          <cell r="D3688" t="str">
            <v>ANCHOVY FISH SAUCE 25°N GLASS BOTTLES 510ML</v>
          </cell>
          <cell r="E3688">
            <v>0.61</v>
          </cell>
          <cell r="F3688" t="str">
            <v>Chọn</v>
          </cell>
          <cell r="G3688"/>
          <cell r="H3688"/>
        </row>
        <row r="3689">
          <cell r="A3689" t="str">
            <v>7.92419B799C901A2</v>
          </cell>
          <cell r="B3689" t="str">
            <v>ANCHOVY FISH SAUCE 25°N PLASTIC BOTTLES 2 LITRE X 6 BOT IN CARTON</v>
          </cell>
          <cell r="C3689" t="str">
            <v>NƯỚC MẮM NHỈ CÁ CƠM 25° ĐẠM CHAI PET 2L X 6 CHAI ĐÓNG TRONG THÙNG CARTON</v>
          </cell>
          <cell r="D3689" t="str">
            <v>ANCHOVY FISH SAUCE 25°N PLASTIC BOTTLES 2 LITRE X 6 BOT IN CARTON</v>
          </cell>
          <cell r="E3689">
            <v>14.58</v>
          </cell>
          <cell r="F3689" t="str">
            <v>Chọn</v>
          </cell>
          <cell r="G3689"/>
          <cell r="H3689" t="str">
            <v>7.92419B799C901A201</v>
          </cell>
        </row>
        <row r="3690">
          <cell r="A3690" t="str">
            <v>7.92419B799C901A201</v>
          </cell>
          <cell r="B3690" t="str">
            <v>ANCHOVY FISH SAUCE 25°N PLASTIC BOTTLES 2 LITRE</v>
          </cell>
          <cell r="C3690" t="str">
            <v>NƯỚC MẮM NHỈ CÁ CƠM 25° ĐẠM CHAI PET 2L</v>
          </cell>
          <cell r="D3690" t="str">
            <v>ANCHOVY FISH SAUCE 25°N PLASTIC BOTTLES 2 LITRE</v>
          </cell>
          <cell r="E3690">
            <v>2.4300000000000002</v>
          </cell>
          <cell r="F3690" t="str">
            <v>Chọn</v>
          </cell>
          <cell r="G3690"/>
          <cell r="H3690"/>
        </row>
        <row r="3691">
          <cell r="A3691" t="str">
            <v>7.92419B799D001A3</v>
          </cell>
          <cell r="B3691" t="str">
            <v>ANCHOVY FISH SAUCE 12°N PLASTIC BOTTLES 5 LITRE X 4 BOT IN CARTON</v>
          </cell>
          <cell r="C3691" t="str">
            <v>NƯỚC MẮM CÁ CƠM 12° ĐẠM CHAI PET 5L X 4 CHAI ĐÓNG TRONG THÙNG CARTON</v>
          </cell>
          <cell r="D3691" t="str">
            <v>ANCHOVY FISH SAUCE 12°N PLASTIC BOTTLES 5 LITRE X 4 BOT IN CARTON</v>
          </cell>
          <cell r="E3691">
            <v>23.52</v>
          </cell>
          <cell r="F3691" t="str">
            <v>Chọn</v>
          </cell>
          <cell r="G3691"/>
          <cell r="H3691" t="str">
            <v>7.92419B799D001A301</v>
          </cell>
        </row>
        <row r="3692">
          <cell r="A3692" t="str">
            <v>7.92419B799D001A301</v>
          </cell>
          <cell r="B3692" t="str">
            <v>ANCHOVY FISH SAUCE 12°N PLASTIC BOTTLES 5 LITRE</v>
          </cell>
          <cell r="C3692" t="str">
            <v>NƯỚC MẮM CÁ CƠM 12° ĐẠM CHAI PET 5L</v>
          </cell>
          <cell r="D3692" t="str">
            <v>ANCHOVY FISH SAUCE 12°N PLASTIC BOTTLES 5 LITRE</v>
          </cell>
          <cell r="E3692">
            <v>5.88</v>
          </cell>
          <cell r="F3692" t="str">
            <v>Chọn</v>
          </cell>
          <cell r="G3692"/>
          <cell r="H3692"/>
        </row>
        <row r="3693">
          <cell r="A3693" t="str">
            <v>V51.00A.063</v>
          </cell>
          <cell r="B3693" t="str">
            <v>HANGING PLASTIC ROPE</v>
          </cell>
          <cell r="C3693" t="str">
            <v>DÂY NHỰA TREO</v>
          </cell>
          <cell r="D3693" t="str">
            <v>HANGING PLASTIC ROPE</v>
          </cell>
          <cell r="E3693">
            <v>0</v>
          </cell>
          <cell r="F3693" t="str">
            <v>Bỏ chọn</v>
          </cell>
          <cell r="G3693"/>
          <cell r="H3693"/>
        </row>
        <row r="3694">
          <cell r="A3694" t="str">
            <v>V51.000.158</v>
          </cell>
          <cell r="B3694" t="str">
            <v>584 NHA TRANG BROCHURE A4</v>
          </cell>
          <cell r="C3694" t="str">
            <v>TỜ RƠI GIỚI THIỆU 584 NHA TRANG A4</v>
          </cell>
          <cell r="D3694" t="str">
            <v>584 NHA TRANG BROCHURE A4</v>
          </cell>
          <cell r="E3694">
            <v>0</v>
          </cell>
          <cell r="F3694" t="str">
            <v>Chọn</v>
          </cell>
          <cell r="G3694"/>
          <cell r="H3694"/>
        </row>
        <row r="3695">
          <cell r="A3695" t="str">
            <v>V51.000.159</v>
          </cell>
          <cell r="B3695" t="str">
            <v>584 NHA TRANG BROCHURE A5</v>
          </cell>
          <cell r="C3695" t="str">
            <v>TỜ RƠI GIỚI THIỆU 584 NHA TRANG A5</v>
          </cell>
          <cell r="D3695" t="str">
            <v>584 NHA TRANG BROCHURE A5</v>
          </cell>
          <cell r="E3695">
            <v>0</v>
          </cell>
          <cell r="F3695" t="str">
            <v>Chọn</v>
          </cell>
          <cell r="G3695"/>
          <cell r="H3695"/>
        </row>
        <row r="3696">
          <cell r="A3696" t="str">
            <v>V51.000.160</v>
          </cell>
          <cell r="B3696" t="str">
            <v>ELECTROMAGNETIC STOVE- ELECTROLUX ETD29MKB</v>
          </cell>
          <cell r="C3696" t="str">
            <v>BẾP ĐIỆN TỪ ELECTROLUX ETD29MKB</v>
          </cell>
          <cell r="D3696" t="str">
            <v>ELECTROMAGNETIC STOVE- ELECTROLUX ETD29MKB</v>
          </cell>
          <cell r="E3696">
            <v>0</v>
          </cell>
          <cell r="F3696" t="str">
            <v>Chọn</v>
          </cell>
          <cell r="G3696"/>
          <cell r="H3696"/>
        </row>
        <row r="3697">
          <cell r="A3697" t="str">
            <v>V51.000.161</v>
          </cell>
          <cell r="B3697" t="str">
            <v>BLENDER - PHILIPS HR2041/50</v>
          </cell>
          <cell r="C3697" t="str">
            <v>MÁY XAY SINH TỐ PHILIPS HR2041/50</v>
          </cell>
          <cell r="D3697" t="str">
            <v>BLENDER - PHILIPS HR2041/50</v>
          </cell>
          <cell r="E3697">
            <v>0</v>
          </cell>
          <cell r="F3697" t="str">
            <v>Chọn</v>
          </cell>
          <cell r="G3697"/>
          <cell r="H3697"/>
        </row>
        <row r="3698">
          <cell r="A3698" t="str">
            <v>V51.000.162</v>
          </cell>
          <cell r="B3698" t="str">
            <v>FAN - TOSHIBA F-LSA20(H)VN</v>
          </cell>
          <cell r="C3698" t="str">
            <v>QUẠT ĐỨNG TOSHIBA F-LSA20(H)VN</v>
          </cell>
          <cell r="D3698" t="str">
            <v>FAN - TOSHIBA F-LSA20(H)VN</v>
          </cell>
          <cell r="E3698">
            <v>0</v>
          </cell>
          <cell r="F3698" t="str">
            <v>Chọn</v>
          </cell>
          <cell r="G3698"/>
          <cell r="H3698"/>
        </row>
        <row r="3699">
          <cell r="A3699" t="str">
            <v>V51.000.163</v>
          </cell>
          <cell r="B3699" t="str">
            <v>KETTLE - TOSHIBA KT-17DR1NV</v>
          </cell>
          <cell r="C3699" t="str">
            <v>BÌNH ĐUN SIÊU TỐC TOSHIBA KT-17DR1NV</v>
          </cell>
          <cell r="D3699" t="str">
            <v>KETTLE - TOSHIBA KT-17DR1NV</v>
          </cell>
          <cell r="E3699">
            <v>0</v>
          </cell>
          <cell r="F3699" t="str">
            <v>Chọn</v>
          </cell>
          <cell r="G3699"/>
          <cell r="H3699"/>
        </row>
        <row r="3700">
          <cell r="A3700" t="str">
            <v>V51.000.164</v>
          </cell>
          <cell r="B3700" t="str">
            <v>JUICER - PANASONIC MJ68MWRA</v>
          </cell>
          <cell r="C3700" t="str">
            <v>ÉP TRÁI CÂY PANASONIC MJ68MWRA</v>
          </cell>
          <cell r="D3700" t="str">
            <v>JUICER - PANASONIC MJ68MWRA</v>
          </cell>
          <cell r="E3700">
            <v>0</v>
          </cell>
          <cell r="F3700" t="str">
            <v>Chọn</v>
          </cell>
          <cell r="G3700"/>
          <cell r="H3700"/>
        </row>
        <row r="3701">
          <cell r="A3701" t="str">
            <v>V51.000.165</v>
          </cell>
          <cell r="B3701" t="str">
            <v>CUCKOO - CRP-G1015M/MWREVNCV - RED - VOLUME 1.8L</v>
          </cell>
          <cell r="C3701" t="str">
            <v>NỒI CUCKOO MÃ CRP-G1015M/MWREVNCV MÀU ĐỎ DUNG TÍCH 1.8L</v>
          </cell>
          <cell r="D3701" t="str">
            <v>CUCKOO - CRP-G1015M/MWREVNCV - RED - VOLUME 1.8L</v>
          </cell>
          <cell r="E3701">
            <v>0</v>
          </cell>
          <cell r="F3701" t="str">
            <v>Chọn</v>
          </cell>
          <cell r="G3701"/>
          <cell r="H3701"/>
        </row>
        <row r="3702">
          <cell r="A3702" t="str">
            <v>7.705E1</v>
          </cell>
          <cell r="B3702" t="str">
            <v>FATTY ALCOHOL ETHOXYLATE 9 MOL IN IBC TANK 1000KG</v>
          </cell>
          <cell r="C3702" t="str">
            <v>CHẤT HOẠT ĐỘNG BỀ MẶT AEO-9 MOL ĐÓNG TRONG IBC TANK 1000KG</v>
          </cell>
          <cell r="D3702" t="str">
            <v>FATTY ALCOHOL ETHOXYLATE 9 MOL IN IBC TANK 1000KG</v>
          </cell>
          <cell r="E3702">
            <v>1</v>
          </cell>
          <cell r="F3702" t="str">
            <v>Chọn</v>
          </cell>
          <cell r="G3702"/>
          <cell r="H3702"/>
        </row>
        <row r="3703">
          <cell r="A3703" t="str">
            <v>7.5239902993001</v>
          </cell>
          <cell r="B3703" t="str">
            <v>SAMPLE BLUE KEY NOODLE 3KG</v>
          </cell>
          <cell r="C3703" t="str">
            <v>BỘT MÌ HIỆU CHÌA KHÓA XANH MÌ SỢI 3KG</v>
          </cell>
          <cell r="D3703" t="str">
            <v>SAMPLE BLUE KEY NOODLE 3KG</v>
          </cell>
          <cell r="E3703">
            <v>3</v>
          </cell>
          <cell r="F3703" t="str">
            <v>Bỏ chọn</v>
          </cell>
          <cell r="G3703"/>
          <cell r="H3703"/>
        </row>
        <row r="3704">
          <cell r="A3704" t="str">
            <v>7.52399089902K0</v>
          </cell>
          <cell r="B3704" t="str">
            <v>MEIZAN NOODLE-DUMPLING 1KG</v>
          </cell>
          <cell r="C3704" t="str">
            <v>BỘT MÌ CAO CẤP HIỆU MEIZAN MÌ SỢI - BÁNH BAO 1KG (1KG*10 GÓI/THÙNG)</v>
          </cell>
          <cell r="D3704" t="str">
            <v>MEIZAN NOODLE-DUMPLING 1KG</v>
          </cell>
          <cell r="E3704">
            <v>10</v>
          </cell>
          <cell r="F3704" t="str">
            <v>Bỏ chọn</v>
          </cell>
          <cell r="G3704"/>
          <cell r="H3704"/>
        </row>
        <row r="3705">
          <cell r="A3705" t="str">
            <v>7.52399089902K001</v>
          </cell>
          <cell r="B3705" t="str">
            <v>MEIZAN NOODLE-DUMPLING 1KG (PAC)</v>
          </cell>
          <cell r="C3705" t="str">
            <v>BỘT MÌ CAO CẤP HIỆU MEIZAN MÌ SỢI - BÁNH BAO 1KG (GÓI)</v>
          </cell>
          <cell r="D3705" t="str">
            <v>MEIZAN NOODLE-DUMPLING 1KG (PAC)</v>
          </cell>
          <cell r="E3705">
            <v>1</v>
          </cell>
          <cell r="F3705" t="str">
            <v>Bỏ chọn</v>
          </cell>
          <cell r="G3705"/>
          <cell r="H3705"/>
        </row>
        <row r="3706">
          <cell r="A3706" t="str">
            <v>7.5239914990693</v>
          </cell>
          <cell r="B3706" t="str">
            <v>RED COMPASS - VIFON 40KG</v>
          </cell>
          <cell r="C3706" t="str">
            <v>BỘT MÌ HIỆU LA BÀN ĐỎ 40KG</v>
          </cell>
          <cell r="D3706" t="str">
            <v>RED COMPASS - VIFON 40KG</v>
          </cell>
          <cell r="E3706">
            <v>1</v>
          </cell>
          <cell r="F3706" t="str">
            <v>Bỏ chọn</v>
          </cell>
          <cell r="G3706"/>
          <cell r="H3706"/>
        </row>
        <row r="3707">
          <cell r="A3707" t="str">
            <v>7.1061590336708010</v>
          </cell>
          <cell r="B3707" t="str">
            <v>SATELLITEGREEN SHT48-52PEBAG@25KG/RSPOMB</v>
          </cell>
          <cell r="C3707" t="str">
            <v>SHORTENING NHÃN HIỆU SATELLITE (RSPO/MB)(NHÃN MÀU XANH LÁ)</v>
          </cell>
          <cell r="D3707" t="str">
            <v>SATELLITEGREEN SHT48-52PEBAG@25KG/RSPOMB</v>
          </cell>
          <cell r="E3707">
            <v>25</v>
          </cell>
          <cell r="F3707" t="str">
            <v>Chọn</v>
          </cell>
          <cell r="G3707"/>
          <cell r="H3707"/>
        </row>
        <row r="3708">
          <cell r="A3708" t="str">
            <v>V51.600.244</v>
          </cell>
          <cell r="B3708" t="str">
            <v>DANGLER MEIZAN GOLD</v>
          </cell>
          <cell r="C3708" t="str">
            <v>TẤM TREO TRẦN MEIZAN GOLD</v>
          </cell>
          <cell r="D3708" t="str">
            <v>DANGLER MEIZAN GOLD</v>
          </cell>
          <cell r="E3708">
            <v>0</v>
          </cell>
          <cell r="F3708" t="str">
            <v>Bỏ chọn</v>
          </cell>
          <cell r="G3708"/>
          <cell r="H3708"/>
        </row>
        <row r="3709">
          <cell r="A3709" t="str">
            <v>V51.600.245</v>
          </cell>
          <cell r="B3709" t="str">
            <v>HANGER MEIZAN GOLD</v>
          </cell>
          <cell r="C3709" t="str">
            <v>KHUNG TRƯNG BÀY MEIZAN GOLD</v>
          </cell>
          <cell r="D3709" t="str">
            <v>HANGER MEIZAN GOLD</v>
          </cell>
          <cell r="E3709">
            <v>0</v>
          </cell>
          <cell r="F3709" t="str">
            <v>Bỏ chọn</v>
          </cell>
          <cell r="G3709"/>
          <cell r="H3709"/>
        </row>
        <row r="3710">
          <cell r="A3710" t="str">
            <v>7.52399049905B9</v>
          </cell>
          <cell r="B3710" t="str">
            <v>BROWN COMPASS - AFI 25KG</v>
          </cell>
          <cell r="C3710" t="str">
            <v>BỘT MÌ HIỆU LA BÀN NÂU 25KG</v>
          </cell>
          <cell r="D3710" t="str">
            <v>BROWN COMPASS - AFI 25KG</v>
          </cell>
          <cell r="E3710">
            <v>1</v>
          </cell>
          <cell r="F3710" t="str">
            <v>Bỏ chọn</v>
          </cell>
          <cell r="G3710"/>
          <cell r="H3710"/>
        </row>
        <row r="3711">
          <cell r="A3711" t="str">
            <v>V51.600.242</v>
          </cell>
          <cell r="B3711" t="str">
            <v>DISPLAY SHELF MEIZAN GOLD (SMALL)</v>
          </cell>
          <cell r="C3711" t="str">
            <v>KỆ SẮT NHỎ TRƯNG BÀY MEIZAN GOLD</v>
          </cell>
          <cell r="D3711" t="str">
            <v>DISPLAY SHELF MEIZAN GOLD (SMALL)</v>
          </cell>
          <cell r="E3711">
            <v>0</v>
          </cell>
          <cell r="F3711" t="str">
            <v>Bỏ chọn</v>
          </cell>
          <cell r="G3711"/>
          <cell r="H3711"/>
        </row>
        <row r="3712">
          <cell r="A3712" t="str">
            <v>V51.600.243</v>
          </cell>
          <cell r="B3712" t="str">
            <v>DISPLAY SHELF MEIZAN GOLD (LARGE)</v>
          </cell>
          <cell r="C3712" t="str">
            <v>KỆ SẮT LỚN TRƯNG BÀY MEIZAN GOLD</v>
          </cell>
          <cell r="D3712" t="str">
            <v>DISPLAY SHELF MEIZAN GOLD (LARGE)</v>
          </cell>
          <cell r="E3712">
            <v>0</v>
          </cell>
          <cell r="F3712" t="str">
            <v>Bỏ chọn</v>
          </cell>
          <cell r="G3712"/>
          <cell r="H3712"/>
        </row>
        <row r="3713">
          <cell r="A3713" t="str">
            <v>V51.600.246</v>
          </cell>
          <cell r="B3713" t="str">
            <v>RAINCOAT MEIZAN GOLD</v>
          </cell>
          <cell r="C3713" t="str">
            <v>ÁO MƯA MEIZAN GOLD</v>
          </cell>
          <cell r="D3713" t="str">
            <v>RAINCOAT MEIZAN GOLD</v>
          </cell>
          <cell r="E3713">
            <v>0</v>
          </cell>
          <cell r="F3713" t="str">
            <v>Bỏ chọn</v>
          </cell>
          <cell r="G3713"/>
          <cell r="H3713"/>
        </row>
        <row r="3714">
          <cell r="A3714" t="str">
            <v>V51.600.247</v>
          </cell>
          <cell r="B3714" t="str">
            <v>TARPAULIN AWNING MEIZAN GOLD</v>
          </cell>
          <cell r="C3714" t="str">
            <v>BẠT MÁI HIÊN MEIZAN GOLD</v>
          </cell>
          <cell r="D3714" t="str">
            <v>TARPAULIN AWNING MEIZAN GOLD</v>
          </cell>
          <cell r="E3714">
            <v>0</v>
          </cell>
          <cell r="F3714" t="str">
            <v>Bỏ chọn</v>
          </cell>
          <cell r="G3714"/>
          <cell r="H3714"/>
        </row>
        <row r="3715">
          <cell r="A3715" t="str">
            <v>7.B24012399360102</v>
          </cell>
          <cell r="B3715" t="str">
            <v>HUONG NAM SOY SAUCE 1.96L X 6 BOT/ CAR</v>
          </cell>
          <cell r="C3715" t="str">
            <v>NƯỚC CHẤM HƯƠNG NẤM 1.96L X 6 CHAI/THÙNG</v>
          </cell>
          <cell r="D3715" t="str">
            <v>HUONG NAM SOY SAUCE 1.96L X 6 BOT/ CAR</v>
          </cell>
          <cell r="E3715">
            <v>13.906000000000001</v>
          </cell>
          <cell r="F3715" t="str">
            <v>Bỏ chọn</v>
          </cell>
          <cell r="G3715" t="str">
            <v>2000000008</v>
          </cell>
          <cell r="H3715" t="str">
            <v>7.B2401239936010201</v>
          </cell>
        </row>
        <row r="3716">
          <cell r="A3716" t="str">
            <v>7.B2401239936010201</v>
          </cell>
          <cell r="B3716" t="str">
            <v>HUONG NAM SOY SAUCE 1.96L</v>
          </cell>
          <cell r="C3716" t="str">
            <v>NƯỚC CHẤM HƯƠNG NẤM 1.96L</v>
          </cell>
          <cell r="D3716" t="str">
            <v>HUONG NAM SOY SAUCE 1.96L</v>
          </cell>
          <cell r="E3716">
            <v>2.1850000000000001</v>
          </cell>
          <cell r="F3716" t="str">
            <v>Bỏ chọn</v>
          </cell>
          <cell r="G3716" t="str">
            <v>2000000008</v>
          </cell>
          <cell r="H3716"/>
        </row>
        <row r="3717">
          <cell r="A3717" t="str">
            <v>7.705E2</v>
          </cell>
          <cell r="B3717" t="str">
            <v>FATTY ALCOHOL ETHOXYLATE 9 MOL IN CARTON 6KG</v>
          </cell>
          <cell r="C3717" t="str">
            <v>FATTY ALCOHOL ETHOXYLATE 9 MOL- CHẤT HỮU CƠ HOẠT ĐỘNG BỀ MẶT DẠNG KHÔNG PHÂN LY (NON-IONIC) AEO-9 MOL ĐÓNG TRONG THÙNG CARTON 6KG</v>
          </cell>
          <cell r="D3717" t="str">
            <v>FATTY ALCOHOL ETHOXYLATE 9 MOL IN CARTON 6KG</v>
          </cell>
          <cell r="E3717">
            <v>1</v>
          </cell>
          <cell r="F3717" t="str">
            <v>Chọn</v>
          </cell>
          <cell r="G3717"/>
          <cell r="H3717"/>
        </row>
        <row r="3718">
          <cell r="A3718" t="str">
            <v>6.52399269900B5</v>
          </cell>
          <cell r="B3718" t="str">
            <v>BLUE KEY PAU - NISSHIN -BULK</v>
          </cell>
          <cell r="C3718" t="str">
            <v>BỘT MÌ HIỆU CKX BÁNH BAO BULK</v>
          </cell>
          <cell r="D3718" t="str">
            <v>BLUE KEY PAU - NISSHIN -BULK</v>
          </cell>
          <cell r="E3718">
            <v>1</v>
          </cell>
          <cell r="F3718" t="str">
            <v>Bỏ chọn</v>
          </cell>
          <cell r="G3718"/>
          <cell r="H3718"/>
        </row>
        <row r="3719">
          <cell r="A3719" t="str">
            <v>7.705E3</v>
          </cell>
          <cell r="B3719" t="str">
            <v>POLYAMIDE RESIN YD 8115N IN BOTTLE 5KG</v>
          </cell>
          <cell r="C3719" t="str">
            <v>POLYAMIDE RESIN YD 8115N ĐÓNG TRONG LỌ 5KG</v>
          </cell>
          <cell r="D3719" t="str">
            <v>POLYAMIDE RESIN YD 8115N IN BOTTLE 5KG</v>
          </cell>
          <cell r="E3719">
            <v>1</v>
          </cell>
          <cell r="F3719" t="str">
            <v>Chọn</v>
          </cell>
          <cell r="G3719"/>
          <cell r="H3719"/>
        </row>
        <row r="3720">
          <cell r="A3720" t="str">
            <v>7.705E4</v>
          </cell>
          <cell r="B3720" t="str">
            <v>POLYAMIDE RESIN YD 8115A IN BOTTLE 5KG</v>
          </cell>
          <cell r="C3720" t="str">
            <v>POLYAMIDE RESIN YD 8115A ĐÓNG TRONG LỌ 5KG</v>
          </cell>
          <cell r="D3720" t="str">
            <v>POLYAMIDE RESIN YD 8115A IN BOTTLE 5KG</v>
          </cell>
          <cell r="E3720">
            <v>1</v>
          </cell>
          <cell r="F3720" t="str">
            <v>Chọn</v>
          </cell>
          <cell r="G3720"/>
          <cell r="H3720"/>
        </row>
        <row r="3721">
          <cell r="A3721" t="str">
            <v>7.131077041704D30</v>
          </cell>
          <cell r="B3721" t="str">
            <v>HAPPY PRICE COOKING OIL 2L X 6BTL</v>
          </cell>
          <cell r="C3721" t="str">
            <v>DẦU ĂN HAPPY PRICE 2L</v>
          </cell>
          <cell r="D3721" t="str">
            <v>HAPPY PRICE COOKING OIL 2L X 6BTL</v>
          </cell>
          <cell r="E3721">
            <v>10.92</v>
          </cell>
          <cell r="F3721" t="str">
            <v>Chọn</v>
          </cell>
          <cell r="G3721"/>
          <cell r="H3721"/>
        </row>
        <row r="3722">
          <cell r="A3722" t="str">
            <v>7.131077591200D40</v>
          </cell>
          <cell r="B3722" t="str">
            <v>HAPPY PRICE COOKING OIL 25 KG</v>
          </cell>
          <cell r="C3722" t="str">
            <v>DẦU ĂN HAPPY PRICE 25KG</v>
          </cell>
          <cell r="D3722" t="str">
            <v>HAPPY PRICE COOKING OIL 25 KG</v>
          </cell>
          <cell r="E3722">
            <v>25</v>
          </cell>
          <cell r="F3722" t="str">
            <v>Chọn</v>
          </cell>
          <cell r="G3722"/>
          <cell r="H3722"/>
        </row>
        <row r="3723">
          <cell r="A3723" t="str">
            <v>7.131077570901D40</v>
          </cell>
          <cell r="B3723" t="str">
            <v>HAPPY PRICE COOKING OIL 18 KG</v>
          </cell>
          <cell r="C3723" t="str">
            <v>DẦU ĂN HAPPY PRICE 18KG</v>
          </cell>
          <cell r="D3723" t="str">
            <v>HAPPY PRICE COOKING OIL 18 KG</v>
          </cell>
          <cell r="E3723">
            <v>18</v>
          </cell>
          <cell r="F3723" t="str">
            <v>Chọn</v>
          </cell>
          <cell r="G3723"/>
          <cell r="H3723"/>
        </row>
        <row r="3724">
          <cell r="A3724" t="str">
            <v>7.G4001B499C1A099</v>
          </cell>
          <cell r="B3724" t="str">
            <v>TWINKLE ENGLISH BREAKFAST TEA 1,8 G X 100 X 10 IN CARTON - SAMPLE</v>
          </cell>
          <cell r="C3724" t="str">
            <v>TRÀ TWINKLE ENGLISH BREAKFAST 1,8 G X 100 X 10 TÚI ĐÓNG TRONG THÙNG CARTON</v>
          </cell>
          <cell r="D3724" t="str">
            <v>TWINKLE ENGLISH BREAKFAST TEA 1,8 G X 100 X 10 IN CARTON - SAMPLE</v>
          </cell>
          <cell r="E3724">
            <v>1.8</v>
          </cell>
          <cell r="F3724" t="str">
            <v>Chọn</v>
          </cell>
          <cell r="G3724"/>
          <cell r="H3724" t="str">
            <v>7.G4001B499C1A09901</v>
          </cell>
        </row>
        <row r="3725">
          <cell r="A3725" t="str">
            <v>7.G4001B499C1A09901</v>
          </cell>
          <cell r="B3725" t="str">
            <v>TWINKLE ENGLISH BREAKFAST TEA 1,8 G X 100 - SAMPLE</v>
          </cell>
          <cell r="C3725" t="str">
            <v>TRÀ TWINKLE ENGLISH BREAKFAST 1,8 G X 100</v>
          </cell>
          <cell r="D3725" t="str">
            <v>TWINKLE ENGLISH BREAKFAST TEA 1,8 G X 100 - SAMPLE</v>
          </cell>
          <cell r="E3725">
            <v>0.18</v>
          </cell>
          <cell r="F3725" t="str">
            <v>Chọn</v>
          </cell>
          <cell r="G3725"/>
          <cell r="H3725"/>
        </row>
        <row r="3726">
          <cell r="A3726" t="str">
            <v>7.G4001B499C0A081</v>
          </cell>
          <cell r="B3726" t="str">
            <v>TWINKLE OOLONG TEA 1,5 G X 100 X 10 IN CARTON - SAMPLE</v>
          </cell>
          <cell r="C3726" t="str">
            <v>TRÀ TWINKLE Ô LONG THƯỢNG HẠNG 1,5 G X 100 X 10 TÚI ĐÓNG TRONG THÙNG CARTON</v>
          </cell>
          <cell r="D3726" t="str">
            <v>TWINKLE OOLONG TEA 1,5 G X 100 X 10 IN CARTON - SAMPLE</v>
          </cell>
          <cell r="E3726">
            <v>1.5</v>
          </cell>
          <cell r="F3726" t="str">
            <v>Chọn</v>
          </cell>
          <cell r="G3726"/>
          <cell r="H3726" t="str">
            <v>7.G4001B499C0A08101</v>
          </cell>
        </row>
        <row r="3727">
          <cell r="A3727" t="str">
            <v>7.G4001B499C0A08101</v>
          </cell>
          <cell r="B3727" t="str">
            <v>TWINKLE OOLONG TEA 1,5 G X 100 - SAMPLE</v>
          </cell>
          <cell r="C3727" t="str">
            <v>TRÀ TWINKLE Ô LONG THƯỢNG HẠNG 1,5 G X 100</v>
          </cell>
          <cell r="D3727" t="str">
            <v>TWINKLE OOLONG TEA 1,5 G X 100 - SAMPLE</v>
          </cell>
          <cell r="E3727">
            <v>0.15</v>
          </cell>
          <cell r="F3727" t="str">
            <v>Chọn</v>
          </cell>
          <cell r="G3727"/>
          <cell r="H3727"/>
        </row>
        <row r="3728">
          <cell r="A3728" t="str">
            <v>7.G4001B499C0A082</v>
          </cell>
          <cell r="B3728" t="str">
            <v>TWINKLE CHAMOMILE 1,5 G X 100 X 10 IN CARTON - SAMPLE</v>
          </cell>
          <cell r="C3728" t="str">
            <v>TRÀ TWINKLE THẢO MỘC HOA CÚC 1,5 G X 100 X 10 TÚI ĐÓNG TRONG THÙNG CARTON</v>
          </cell>
          <cell r="D3728" t="str">
            <v>TWINKLE CHAMOMILE 1,5 G X 100 X 10 IN CARTON - SAMPLE</v>
          </cell>
          <cell r="E3728">
            <v>1.5</v>
          </cell>
          <cell r="F3728" t="str">
            <v>Chọn</v>
          </cell>
          <cell r="G3728"/>
          <cell r="H3728" t="str">
            <v>7.G4001B499C0A08201</v>
          </cell>
        </row>
        <row r="3729">
          <cell r="A3729" t="str">
            <v>7.G4001B499C0A08201</v>
          </cell>
          <cell r="B3729" t="str">
            <v>TWINKLE CHAMOMILE 1,5 G X 100 - SAMPLE</v>
          </cell>
          <cell r="C3729" t="str">
            <v>TRÀ TWINKLE THẢO MỘC HOA CÚC 1,5 G X 100</v>
          </cell>
          <cell r="D3729" t="str">
            <v>TWINKLE CHAMOMILE 1,5 G X 100 - SAMPLE</v>
          </cell>
          <cell r="E3729">
            <v>0.15</v>
          </cell>
          <cell r="F3729" t="str">
            <v>Chọn</v>
          </cell>
          <cell r="G3729"/>
          <cell r="H3729"/>
        </row>
        <row r="3730">
          <cell r="A3730" t="str">
            <v>7.G4001B499C1A083</v>
          </cell>
          <cell r="B3730" t="str">
            <v>TWINKLE EARL GREY 1,8 G X 100 X 10 IN CARTON - SAMPLE</v>
          </cell>
          <cell r="C3730" t="str">
            <v>TRÀ TWINKLE EARL GREY 1,8 G X 100 X 10 TÚI ĐÓNG TRONG THÙNG CARTON</v>
          </cell>
          <cell r="D3730" t="str">
            <v>TWINKLE EARL GREY 1,8 G X 100 X 10 IN CARTON - SAMPLE</v>
          </cell>
          <cell r="E3730">
            <v>1.8</v>
          </cell>
          <cell r="F3730" t="str">
            <v>Chọn</v>
          </cell>
          <cell r="G3730"/>
          <cell r="H3730" t="str">
            <v>7.G4001B499C1A08301</v>
          </cell>
        </row>
        <row r="3731">
          <cell r="A3731" t="str">
            <v>7.G4001B499C1A08301</v>
          </cell>
          <cell r="B3731" t="str">
            <v>TWINKLE EARL GREY 1,8 G X 100 - SAMPLE</v>
          </cell>
          <cell r="C3731" t="str">
            <v>TRÀ TWINKLE EARL GREY 1,8 G X 100</v>
          </cell>
          <cell r="D3731" t="str">
            <v>TWINKLE EARL GREY 1,8 G X 100 - SAMPLE</v>
          </cell>
          <cell r="E3731">
            <v>0.18</v>
          </cell>
          <cell r="F3731" t="str">
            <v>Chọn</v>
          </cell>
          <cell r="G3731"/>
          <cell r="H3731"/>
        </row>
        <row r="3732">
          <cell r="A3732" t="str">
            <v>7.G4001B499C1A084</v>
          </cell>
          <cell r="B3732" t="str">
            <v>TWINKLE PEACH 1,8 G X 100 X 10 IN CARTON - SAMPLE</v>
          </cell>
          <cell r="C3732" t="str">
            <v>TRÀ TWINKLE HƯƠNG ĐÀO 1,8 G X 100 X 10 TÚI ĐÓNG TRONG THÙNG CARTON</v>
          </cell>
          <cell r="D3732" t="str">
            <v>TWINKLE PEACH 1,8 G X 100 X 10 IN CARTON - SAMPLE</v>
          </cell>
          <cell r="E3732">
            <v>1.8</v>
          </cell>
          <cell r="F3732" t="str">
            <v>Chọn</v>
          </cell>
          <cell r="G3732"/>
          <cell r="H3732" t="str">
            <v>7.G4001B499C1A08401</v>
          </cell>
        </row>
        <row r="3733">
          <cell r="A3733" t="str">
            <v>7.G4001B499C1A08401</v>
          </cell>
          <cell r="B3733" t="str">
            <v>TWINKLE PEACH 1,8 G X 100 - SAMPLE</v>
          </cell>
          <cell r="C3733" t="str">
            <v>TRÀ TWINKLE HƯƠNG ĐÀO 1,8 G X 100</v>
          </cell>
          <cell r="D3733" t="str">
            <v>TWINKLE PEACH 1,8 G X 100 - SAMPLE</v>
          </cell>
          <cell r="E3733">
            <v>0.18</v>
          </cell>
          <cell r="F3733" t="str">
            <v>Chọn</v>
          </cell>
          <cell r="G3733"/>
          <cell r="H3733"/>
        </row>
        <row r="3734">
          <cell r="A3734" t="str">
            <v>7.G4001B499C1A085</v>
          </cell>
          <cell r="B3734" t="str">
            <v>TWINKLE GINGER 1,8 G X 100 X 10 IN CARTON - SAMPLE</v>
          </cell>
          <cell r="C3734" t="str">
            <v>TRÀ TWINKLE HƯƠNG GỪNG 1,8 G X 100 X 10 TÚI ĐÓNG TRONG THÙNG CARTON</v>
          </cell>
          <cell r="D3734" t="str">
            <v>TWINKLE GINGER 1,8 G X 100 X 10 IN CARTON - SAMPLE</v>
          </cell>
          <cell r="E3734">
            <v>1.8</v>
          </cell>
          <cell r="F3734" t="str">
            <v>Chọn</v>
          </cell>
          <cell r="G3734"/>
          <cell r="H3734" t="str">
            <v>7.G4001B499C1A08501</v>
          </cell>
        </row>
        <row r="3735">
          <cell r="A3735" t="str">
            <v>7.G4001B499C1A08501</v>
          </cell>
          <cell r="B3735" t="str">
            <v>TWINKLE GINGER 1,8 G X 100 - SAMPLE</v>
          </cell>
          <cell r="C3735" t="str">
            <v>TRÀ TWINKLE HƯƠNG GỪNG 1,8 G X 100</v>
          </cell>
          <cell r="D3735" t="str">
            <v>TWINKLE GINGER 1,8 G X 100 - SAMPLE</v>
          </cell>
          <cell r="E3735">
            <v>0.18</v>
          </cell>
          <cell r="F3735" t="str">
            <v>Chọn</v>
          </cell>
          <cell r="G3735"/>
          <cell r="H3735"/>
        </row>
        <row r="3736">
          <cell r="A3736" t="str">
            <v>7.G4001B499C0A086</v>
          </cell>
          <cell r="B3736" t="str">
            <v>TWINKLE JASMINE GREEN TEA 1,5 G X 100 X 10 IN CARTON - SAMPLE</v>
          </cell>
          <cell r="C3736" t="str">
            <v>TRÀ XANH TWINKLE HOA NHÀI 1,5 G X 100 X 10 TÚI ĐÓNG TRONG THÙNG CARTON</v>
          </cell>
          <cell r="D3736" t="str">
            <v>TWINKLE JASMINE GREEN TEA 1,5 G X 100 X 10 IN CARTON - SAMPLE</v>
          </cell>
          <cell r="E3736">
            <v>1.5</v>
          </cell>
          <cell r="F3736" t="str">
            <v>Chọn</v>
          </cell>
          <cell r="G3736"/>
          <cell r="H3736" t="str">
            <v>7.G4001B499C0A08601</v>
          </cell>
        </row>
        <row r="3737">
          <cell r="A3737" t="str">
            <v>7.G4001B499C0A08601</v>
          </cell>
          <cell r="B3737" t="str">
            <v>TWINKLE JASMINE GREEN TEA 1,5 G X 100 - SAMPLE</v>
          </cell>
          <cell r="C3737" t="str">
            <v>TRÀ XANH TWINKLE HOA NHÀI 1,5 G X 100</v>
          </cell>
          <cell r="D3737" t="str">
            <v>TWINKLE JASMINE GREEN TEA 1,5 G X 100 - SAMPLE</v>
          </cell>
          <cell r="E3737">
            <v>0.15</v>
          </cell>
          <cell r="F3737" t="str">
            <v>Chọn</v>
          </cell>
          <cell r="G3737"/>
          <cell r="H3737"/>
        </row>
        <row r="3738">
          <cell r="A3738" t="str">
            <v>7.G4001B499C1A036</v>
          </cell>
          <cell r="B3738" t="str">
            <v>TWINKLE STRAWBERRY 1,8 G X 100 X 10 IN CARTON - SAMPLE</v>
          </cell>
          <cell r="C3738" t="str">
            <v>TRÀ TWINKLE HƯƠNG DÂU 1,8 G X 100 X 10 TÚI ĐÓNG TRONG THÙNG CARTON</v>
          </cell>
          <cell r="D3738" t="str">
            <v>TWINKLE STRAWBERRY 1,8 G X 100 X 10 IN CARTON - SAMPLE</v>
          </cell>
          <cell r="E3738">
            <v>1.8</v>
          </cell>
          <cell r="F3738" t="str">
            <v>Chọn</v>
          </cell>
          <cell r="G3738"/>
          <cell r="H3738" t="str">
            <v>7.G4001B499C1A03601</v>
          </cell>
        </row>
        <row r="3739">
          <cell r="A3739" t="str">
            <v>7.G4001B499C1A03601</v>
          </cell>
          <cell r="B3739" t="str">
            <v>TWINKLE STRAWBERRY 1,8 G X 100 - SAMPLE</v>
          </cell>
          <cell r="C3739" t="str">
            <v>TRÀ TWINKLE HƯƠNG DÂU 1,8 G X 100</v>
          </cell>
          <cell r="D3739" t="str">
            <v>TWINKLE STRAWBERRY 1,8 G X 100 - SAMPLE</v>
          </cell>
          <cell r="E3739">
            <v>0.18</v>
          </cell>
          <cell r="F3739" t="str">
            <v>Chọn</v>
          </cell>
          <cell r="G3739"/>
          <cell r="H3739"/>
        </row>
        <row r="3740">
          <cell r="A3740" t="str">
            <v>7.B24012399370104</v>
          </cell>
          <cell r="B3740" t="str">
            <v>PREMIUM SOYA SAUCE 500ML X 24 BOT/ CAR</v>
          </cell>
          <cell r="C3740" t="str">
            <v>NƯỚC TƯƠNG THƯỢNG HẠNG 500ML X 24 CHAI/THÙNG</v>
          </cell>
          <cell r="D3740" t="str">
            <v>PREMIUM SOYA SAUCE 500ML X 24 BOT/ CAR</v>
          </cell>
          <cell r="E3740">
            <v>13.385999999999999</v>
          </cell>
          <cell r="F3740" t="str">
            <v>Bỏ chọn</v>
          </cell>
          <cell r="G3740" t="str">
            <v>2000000008</v>
          </cell>
          <cell r="H3740" t="str">
            <v>7.B2401239937010401</v>
          </cell>
        </row>
        <row r="3741">
          <cell r="A3741" t="str">
            <v>7.B2401239937010401</v>
          </cell>
          <cell r="B3741" t="str">
            <v>PREMIUM SOYA SAUCE 500ML</v>
          </cell>
          <cell r="C3741" t="str">
            <v>NƯỚC TƯƠNG THƯỢNG HẠNG 500ML</v>
          </cell>
          <cell r="D3741" t="str">
            <v>PREMIUM SOYA SAUCE 500ML</v>
          </cell>
          <cell r="E3741">
            <v>0.55800000000000005</v>
          </cell>
          <cell r="F3741" t="str">
            <v>Bỏ chọn</v>
          </cell>
          <cell r="G3741" t="str">
            <v>2000000008</v>
          </cell>
          <cell r="H3741"/>
        </row>
        <row r="3742">
          <cell r="A3742" t="str">
            <v>7.92511B699D10189</v>
          </cell>
          <cell r="B3742" t="str">
            <v>TAY NINH SHRIMP SALT 60G x 48 BOT IN CARTON</v>
          </cell>
          <cell r="C3742" t="str">
            <v>MUỐI TÔM TÂY NINH 60G X 48 CHAI ĐÓNG TRONG THÙNG CARTON</v>
          </cell>
          <cell r="D3742" t="str">
            <v>TAY NINH SHRIMP SALT 60G x 48 BOT IN CARTON</v>
          </cell>
          <cell r="E3742">
            <v>2.88</v>
          </cell>
          <cell r="F3742" t="str">
            <v>Chọn</v>
          </cell>
          <cell r="G3742"/>
          <cell r="H3742" t="str">
            <v>7.92511B699D1018901</v>
          </cell>
        </row>
        <row r="3743">
          <cell r="A3743" t="str">
            <v>7.92511B699D1018901</v>
          </cell>
          <cell r="B3743" t="str">
            <v>TAY NINH SHRIMP SALT 60G</v>
          </cell>
          <cell r="C3743" t="str">
            <v>MUỐI TÔM TÂY NINH 60G</v>
          </cell>
          <cell r="D3743" t="str">
            <v>TAY NINH SHRIMP SALT 60G</v>
          </cell>
          <cell r="E3743">
            <v>0.06</v>
          </cell>
          <cell r="F3743" t="str">
            <v>Chọn</v>
          </cell>
          <cell r="G3743"/>
          <cell r="H3743"/>
        </row>
        <row r="3744">
          <cell r="A3744" t="str">
            <v>7.92512B699430190</v>
          </cell>
          <cell r="B3744" t="str">
            <v>LIME LEAF PEPPER SALT 50G x 48 BOT IN CARTON</v>
          </cell>
          <cell r="C3744" t="str">
            <v>MUỐI TIÊU LÁ CHANH 50G X 48 CHAI ĐÓNG TRONG THÙNG CARTON</v>
          </cell>
          <cell r="D3744" t="str">
            <v>LIME LEAF PEPPER SALT 50G x 48 BOT IN CARTON</v>
          </cell>
          <cell r="E3744">
            <v>2.4</v>
          </cell>
          <cell r="F3744" t="str">
            <v>Chọn</v>
          </cell>
          <cell r="G3744"/>
          <cell r="H3744" t="str">
            <v>7.92512B69943019001</v>
          </cell>
        </row>
        <row r="3745">
          <cell r="A3745" t="str">
            <v>7.92512B69943019001</v>
          </cell>
          <cell r="B3745" t="str">
            <v>LIME LEAF PEPPER SALT 50G</v>
          </cell>
          <cell r="C3745" t="str">
            <v>MUỐI TIÊU LÁ CHANH 50G</v>
          </cell>
          <cell r="D3745" t="str">
            <v>LIME LEAF PEPPER SALT 50G</v>
          </cell>
          <cell r="E3745">
            <v>0.05</v>
          </cell>
          <cell r="F3745" t="str">
            <v>Chọn</v>
          </cell>
          <cell r="G3745"/>
          <cell r="H3745"/>
        </row>
        <row r="3746">
          <cell r="A3746" t="str">
            <v>V51.00A.064</v>
          </cell>
          <cell r="B3746" t="str">
            <v>MEIZAN MACARONI WOBBLER</v>
          </cell>
          <cell r="C3746" t="str">
            <v>CON LẮC QUẢNG CÁO NUI MEIZAN</v>
          </cell>
          <cell r="D3746" t="str">
            <v>MEIZAN MACARONI WOBBLER</v>
          </cell>
          <cell r="E3746">
            <v>0.03</v>
          </cell>
          <cell r="F3746" t="str">
            <v>Bỏ chọn</v>
          </cell>
          <cell r="G3746"/>
          <cell r="H3746"/>
        </row>
        <row r="3747">
          <cell r="A3747" t="str">
            <v>7.705E5</v>
          </cell>
          <cell r="B3747" t="str">
            <v>GENAGEN CAB UQS IN BOTTLE 5KG</v>
          </cell>
          <cell r="C3747" t="str">
            <v>GENAGEN CAB UQS CHẤT HOẠT ĐỘNG BỀ MẶT ĐÓNG TRONG LỌ 5KG</v>
          </cell>
          <cell r="D3747" t="str">
            <v>GENAGEN CAB UQS IN BOTTLE 5KG</v>
          </cell>
          <cell r="E3747">
            <v>1</v>
          </cell>
          <cell r="F3747" t="str">
            <v>Chọn</v>
          </cell>
          <cell r="G3747"/>
          <cell r="H3747"/>
        </row>
        <row r="3748">
          <cell r="A3748" t="str">
            <v>7.705E6</v>
          </cell>
          <cell r="B3748" t="str">
            <v>GENAGEN CAB LF IN BOTTLE 4KG</v>
          </cell>
          <cell r="C3748" t="str">
            <v>GENAGEN CAB LF CHẤT HOẠT ĐỘNG BỀ MẶT ĐÓNG TRONG LỌ 4KG</v>
          </cell>
          <cell r="D3748" t="str">
            <v>GENAGEN CAB LF IN BOTTLE 4KG</v>
          </cell>
          <cell r="E3748">
            <v>1</v>
          </cell>
          <cell r="F3748" t="str">
            <v>Chọn</v>
          </cell>
          <cell r="G3748"/>
          <cell r="H3748"/>
        </row>
        <row r="3749">
          <cell r="A3749" t="str">
            <v>7.52399079906H0</v>
          </cell>
          <cell r="B3749" t="str">
            <v>GREEN KEY - LIEN HUNG 40KG</v>
          </cell>
          <cell r="C3749" t="str">
            <v>BỘT MÌ HIỆU CHÌA KHÓA XANH LÁ 40KG</v>
          </cell>
          <cell r="D3749" t="str">
            <v>GREEN KEY - LIEN HUNG 40KG</v>
          </cell>
          <cell r="E3749">
            <v>1</v>
          </cell>
          <cell r="F3749" t="str">
            <v>Bỏ chọn</v>
          </cell>
          <cell r="G3749"/>
          <cell r="H3749"/>
        </row>
        <row r="3750">
          <cell r="A3750" t="str">
            <v>7.705E7</v>
          </cell>
          <cell r="B3750" t="str">
            <v>SOAP NOODLES 8020 IN BAG 2KG</v>
          </cell>
          <cell r="C3750" t="str">
            <v>SOAP NOODLES 8020 - PHÔI XÀ PHÒNG ĐÓNG TRONG BAO 2KG</v>
          </cell>
          <cell r="D3750" t="str">
            <v>SOAP NOODLES 8020 IN BAG 2KG</v>
          </cell>
          <cell r="E3750">
            <v>1</v>
          </cell>
          <cell r="F3750" t="str">
            <v>Chọn</v>
          </cell>
          <cell r="G3750"/>
          <cell r="H3750"/>
        </row>
        <row r="3751">
          <cell r="A3751" t="str">
            <v>7.705E8</v>
          </cell>
          <cell r="B3751" t="str">
            <v>SLES (SODIUM LAURYL ETHER SULFATE) IN JRG 9KG</v>
          </cell>
          <cell r="C3751" t="str">
            <v>SLES (SODIUM LAURYL ETHER SULFATE)-CHẤT HOẠT ĐỘNG BỀ MẶT, DẠNG ANION ĐÓNG TRONG CAN 9KG</v>
          </cell>
          <cell r="D3751" t="str">
            <v>SLES (SODIUM LAURYL ETHER SULFATE) IN JRG 9KG</v>
          </cell>
          <cell r="E3751">
            <v>1</v>
          </cell>
          <cell r="F3751" t="str">
            <v>Chọn</v>
          </cell>
          <cell r="G3751"/>
          <cell r="H3751"/>
        </row>
        <row r="3752">
          <cell r="A3752" t="str">
            <v>7.705E9</v>
          </cell>
          <cell r="B3752" t="str">
            <v>SLES (SODIUM LAURYL ETHER SULFATE) IN JRG 3KG</v>
          </cell>
          <cell r="C3752" t="str">
            <v>SLES (SODIUM LAURYL ETHER SULFATE)-CHẤT HOẠT ĐỘNG BỀ MẶT, DẠNG ANION ĐÓNG TRONG CAN 3KG</v>
          </cell>
          <cell r="D3752" t="str">
            <v>SLES (SODIUM LAURYL ETHER SULFATE) IN JRG 3KG</v>
          </cell>
          <cell r="E3752">
            <v>1</v>
          </cell>
          <cell r="F3752" t="str">
            <v>Chọn</v>
          </cell>
          <cell r="G3752"/>
          <cell r="H3752"/>
        </row>
        <row r="3753">
          <cell r="A3753" t="str">
            <v>7.1071520518108010</v>
          </cell>
          <cell r="B3753" t="str">
            <v>GFIG PUFFPASTRYMARG MED 46-50 PEBAG@10KG</v>
          </cell>
          <cell r="C3753" t="str">
            <v>BƠ LÁ PUFF PASTRY MEDIUM 169484 GFIG TRONG THÙNG 10KG</v>
          </cell>
          <cell r="D3753" t="str">
            <v>GFIG PUFFPASTRYMARG MED 46-50 PEBAG@10KG</v>
          </cell>
          <cell r="E3753">
            <v>10</v>
          </cell>
          <cell r="F3753" t="str">
            <v>Chọn</v>
          </cell>
          <cell r="G3753"/>
          <cell r="H3753"/>
        </row>
        <row r="3754">
          <cell r="A3754" t="str">
            <v>7.707662F628170000</v>
          </cell>
          <cell r="B3754" t="str">
            <v>POWER100 DWL LEMON ESSENTIAL OIL BTL400G</v>
          </cell>
          <cell r="C3754" t="str">
            <v>NƯỚC RỬA CHÉN POWER100 TINH DẦU CHANH 400G</v>
          </cell>
          <cell r="D3754" t="str">
            <v>POWER100 DWL LEMON ESSENTIAL OIL BTL400G</v>
          </cell>
          <cell r="E3754">
            <v>0.4</v>
          </cell>
          <cell r="F3754" t="str">
            <v>Chọn</v>
          </cell>
          <cell r="G3754"/>
          <cell r="H3754"/>
        </row>
        <row r="3755">
          <cell r="A3755" t="str">
            <v>7.707662F62817000A</v>
          </cell>
          <cell r="B3755" t="str">
            <v>POWER100 DWLLEMON ESSENTIALOIL400G*24BTL</v>
          </cell>
          <cell r="C3755" t="str">
            <v>NƯỚC RỬA CHÉN POWER100 TINH DẦU CHANH 400G*24</v>
          </cell>
          <cell r="D3755" t="str">
            <v>POWER100 DWLLEMON ESSENTIALOIL400G*24BTL</v>
          </cell>
          <cell r="E3755">
            <v>9.6</v>
          </cell>
          <cell r="F3755" t="str">
            <v>Chọn</v>
          </cell>
          <cell r="G3755"/>
          <cell r="H3755" t="str">
            <v>7.707662F628170000</v>
          </cell>
        </row>
        <row r="3756">
          <cell r="A3756" t="str">
            <v>7.707662E928170000</v>
          </cell>
          <cell r="B3756" t="str">
            <v>POWER100 DWL LEMON ESSENTIAL OIL BTL750G</v>
          </cell>
          <cell r="C3756" t="str">
            <v>NƯỚC RỬA CHÉN POWER100 TINH DẦU CHANH 750G</v>
          </cell>
          <cell r="D3756" t="str">
            <v>POWER100 DWL LEMON ESSENTIAL OIL BTL750G</v>
          </cell>
          <cell r="E3756">
            <v>0.75</v>
          </cell>
          <cell r="F3756" t="str">
            <v>Chọn</v>
          </cell>
          <cell r="G3756"/>
          <cell r="H3756"/>
        </row>
        <row r="3757">
          <cell r="A3757" t="str">
            <v>7.707662E92817000N</v>
          </cell>
          <cell r="B3757" t="str">
            <v>POWER100 DWLLEMON ESSENTIALOIL750G*16BTL</v>
          </cell>
          <cell r="C3757" t="str">
            <v>NƯỚC RỬA CHÉN POWER100 TINH DẦU CHANH 750G*16</v>
          </cell>
          <cell r="D3757" t="str">
            <v>POWER100 DWLLEMON ESSENTIALOIL750G*16BTL</v>
          </cell>
          <cell r="E3757">
            <v>12</v>
          </cell>
          <cell r="F3757" t="str">
            <v>Chọn</v>
          </cell>
          <cell r="G3757"/>
          <cell r="H3757" t="str">
            <v>7.707662E928170000</v>
          </cell>
        </row>
        <row r="3758">
          <cell r="A3758" t="str">
            <v>7.707662N328170000</v>
          </cell>
          <cell r="B3758" t="str">
            <v>POWER100 DWLLEMON ESSENTIALOIL BTL@1.4KG</v>
          </cell>
          <cell r="C3758" t="str">
            <v>NƯỚC RỬA CHÉN POWER100 TINH DẦU CHANH 1.4KG</v>
          </cell>
          <cell r="D3758" t="str">
            <v>POWER100 DWLLEMON ESSENTIALOIL BTL@1.4KG</v>
          </cell>
          <cell r="E3758">
            <v>1.4</v>
          </cell>
          <cell r="F3758" t="str">
            <v>Chọn</v>
          </cell>
          <cell r="G3758"/>
          <cell r="H3758"/>
        </row>
        <row r="3759">
          <cell r="A3759" t="str">
            <v>7.707662N32817000K</v>
          </cell>
          <cell r="B3759" t="str">
            <v>POWER100 DWLLEMON ESSENTIALOIL1.4KG*8BTL</v>
          </cell>
          <cell r="C3759" t="str">
            <v>NƯỚC RỬA CHÉN POWER100 TINH DẦU CHANH 1.4KG*8</v>
          </cell>
          <cell r="D3759" t="str">
            <v>POWER100 DWLLEMON ESSENTIALOIL1.4KG*8BTL</v>
          </cell>
          <cell r="E3759">
            <v>11.2</v>
          </cell>
          <cell r="F3759" t="str">
            <v>Chọn</v>
          </cell>
          <cell r="G3759"/>
          <cell r="H3759" t="str">
            <v>7.707662N328170000</v>
          </cell>
        </row>
        <row r="3760">
          <cell r="A3760" t="str">
            <v>7.7076626528170000</v>
          </cell>
          <cell r="B3760" t="str">
            <v>POWER100 DWLLEMON ESSENTIALOIL BTL@3.5KG</v>
          </cell>
          <cell r="C3760" t="str">
            <v>NƯỚC RỬA CHÉN POWER100 TINH DẦU CHANH 3.5KG</v>
          </cell>
          <cell r="D3760" t="str">
            <v>POWER100 DWLLEMON ESSENTIALOIL BTL@3.5KG</v>
          </cell>
          <cell r="E3760">
            <v>3.5</v>
          </cell>
          <cell r="F3760" t="str">
            <v>Chọn</v>
          </cell>
          <cell r="G3760"/>
          <cell r="H3760"/>
        </row>
        <row r="3761">
          <cell r="A3761" t="str">
            <v>7.707662652817000H</v>
          </cell>
          <cell r="B3761" t="str">
            <v>POWER100 DWLLEMON ESSENTIALOIL3.5KG*4BTL</v>
          </cell>
          <cell r="C3761" t="str">
            <v>NƯỚC RỬA CHÉN POWER100 TINH DẦU CHANH 3.5KG*4</v>
          </cell>
          <cell r="D3761" t="str">
            <v>POWER100 DWLLEMON ESSENTIALOIL3.5KG*4BTL</v>
          </cell>
          <cell r="E3761">
            <v>14</v>
          </cell>
          <cell r="F3761" t="str">
            <v>Chọn</v>
          </cell>
          <cell r="G3761"/>
          <cell r="H3761" t="str">
            <v>7.7076626528170000</v>
          </cell>
        </row>
        <row r="3762">
          <cell r="A3762" t="str">
            <v>7.707662N528170000</v>
          </cell>
          <cell r="B3762" t="str">
            <v>POWER100 DWLLEMON ESSENTIALOIL BTL@9KG</v>
          </cell>
          <cell r="C3762" t="str">
            <v>NƯỚC RỬA CHÉN POWER100 TINH DẦU CHANH 9.0KG</v>
          </cell>
          <cell r="D3762" t="str">
            <v>POWER100 DWLLEMON ESSENTIALOIL BTL@9KG</v>
          </cell>
          <cell r="E3762">
            <v>9</v>
          </cell>
          <cell r="F3762" t="str">
            <v>Chọn</v>
          </cell>
          <cell r="G3762"/>
          <cell r="H3762"/>
        </row>
        <row r="3763">
          <cell r="A3763" t="str">
            <v>7.707662N52817000X</v>
          </cell>
          <cell r="B3763" t="str">
            <v>POWER100 DWLLEMON ESSENTIALOIL 9KG*2BTL</v>
          </cell>
          <cell r="C3763" t="str">
            <v>NƯỚC RỬA CHÉN POWER100 TINH DẦU CHANH 9.0KG*2</v>
          </cell>
          <cell r="D3763" t="str">
            <v>POWER100 DWLLEMON ESSENTIALOIL 9KG*2BTL</v>
          </cell>
          <cell r="E3763">
            <v>18</v>
          </cell>
          <cell r="F3763" t="str">
            <v>Chọn</v>
          </cell>
          <cell r="G3763"/>
          <cell r="H3763"/>
        </row>
        <row r="3764">
          <cell r="A3764" t="str">
            <v>7.7075866528170000</v>
          </cell>
          <cell r="B3764" t="str">
            <v>POWER100 DWL GREENTEA BTL@3.5KG</v>
          </cell>
          <cell r="C3764" t="str">
            <v>NƯỚC RỬA CHÉN POWER100 HƯƠNG TRÀ XANH 3.5KG</v>
          </cell>
          <cell r="D3764" t="str">
            <v>POWER100 DWL GREENTEA BTL@3.5KG</v>
          </cell>
          <cell r="E3764">
            <v>3.5</v>
          </cell>
          <cell r="F3764" t="str">
            <v>Chọn</v>
          </cell>
          <cell r="G3764"/>
          <cell r="H3764"/>
        </row>
        <row r="3765">
          <cell r="A3765" t="str">
            <v>V51.600.260</v>
          </cell>
          <cell r="B3765" t="str">
            <v>POWER100 IRON SHELF</v>
          </cell>
          <cell r="C3765" t="str">
            <v>KỆ SẮT POWER100</v>
          </cell>
          <cell r="D3765" t="str">
            <v>POWER100 IRON SHELF</v>
          </cell>
          <cell r="E3765">
            <v>8</v>
          </cell>
          <cell r="F3765" t="str">
            <v>Bỏ chọn</v>
          </cell>
          <cell r="G3765"/>
          <cell r="H3765"/>
        </row>
        <row r="3766">
          <cell r="A3766" t="str">
            <v>7.707586652817000H</v>
          </cell>
          <cell r="B3766" t="str">
            <v>POWER100 DWL GREENTEA 3.5KG*4BTL</v>
          </cell>
          <cell r="C3766" t="str">
            <v>NƯỚC RỬA CHÉN POWER100 HƯƠNG TRÀ XANH 3.5KG*4</v>
          </cell>
          <cell r="D3766" t="str">
            <v>POWER100 DWL GREENTEA 3.5KG*4BTL</v>
          </cell>
          <cell r="E3766">
            <v>14</v>
          </cell>
          <cell r="F3766" t="str">
            <v>Chọn</v>
          </cell>
          <cell r="G3766"/>
          <cell r="H3766" t="str">
            <v>7.7075866528170000</v>
          </cell>
        </row>
        <row r="3767">
          <cell r="A3767" t="str">
            <v>7.707663M428170000</v>
          </cell>
          <cell r="B3767" t="str">
            <v>POWER100 FC FLORAL ESSENTIALOIL BTL@990G</v>
          </cell>
          <cell r="C3767" t="str">
            <v>NƯỚC LAU SÀN POWER100 TINH DẦU HOA THIÊN NHIÊN 990G</v>
          </cell>
          <cell r="D3767" t="str">
            <v>POWER100 FC FLORAL ESSENTIALOIL BTL@990G</v>
          </cell>
          <cell r="E3767">
            <v>0.99</v>
          </cell>
          <cell r="F3767" t="str">
            <v>Chọn</v>
          </cell>
          <cell r="G3767"/>
          <cell r="H3767"/>
        </row>
        <row r="3768">
          <cell r="A3768" t="str">
            <v>7.707663M428170002</v>
          </cell>
          <cell r="B3768" t="str">
            <v>POWER100 FCFLORAL ESSENTIALOIL990G*12BTL</v>
          </cell>
          <cell r="C3768" t="str">
            <v>NƯỚC LAU SÀN POWER100 TINH DẦU HOA THIÊN NHIÊN 990G*12</v>
          </cell>
          <cell r="D3768" t="str">
            <v>POWER100 FCFLORAL ESSENTIALOIL990G*12BTL</v>
          </cell>
          <cell r="E3768">
            <v>11.88</v>
          </cell>
          <cell r="F3768" t="str">
            <v>Chọn</v>
          </cell>
          <cell r="G3768"/>
          <cell r="H3768" t="str">
            <v>7.707663M428170000</v>
          </cell>
        </row>
        <row r="3769">
          <cell r="A3769" t="str">
            <v>7.707664M428170000</v>
          </cell>
          <cell r="B3769" t="str">
            <v>POWER100FCLEMONGRASSESSENTIALOILBTL@990G</v>
          </cell>
          <cell r="C3769" t="str">
            <v>NƯỚC LAU SÀN POWER100 TINH DẦU CHANH SẢ 990G</v>
          </cell>
          <cell r="D3769" t="str">
            <v>POWER100FCLEMONGRASSESSENTIALOILBTL@990G</v>
          </cell>
          <cell r="E3769">
            <v>0.99</v>
          </cell>
          <cell r="F3769" t="str">
            <v>Chọn</v>
          </cell>
          <cell r="G3769"/>
          <cell r="H3769"/>
        </row>
        <row r="3770">
          <cell r="A3770" t="str">
            <v>7.707664M428170002</v>
          </cell>
          <cell r="B3770" t="str">
            <v>POWER100 FC LG ESSENTIALOIL990G*12BTL</v>
          </cell>
          <cell r="C3770" t="str">
            <v>NƯỚC LAU SÀN POWER100 TINH DẦU CHANH SẢ 990G*12</v>
          </cell>
          <cell r="D3770" t="str">
            <v>POWER100 FC LG ESSENTIALOIL990G*12BTL</v>
          </cell>
          <cell r="E3770">
            <v>11.88</v>
          </cell>
          <cell r="F3770" t="str">
            <v>Chọn</v>
          </cell>
          <cell r="G3770"/>
          <cell r="H3770" t="str">
            <v>7.707664M428170000</v>
          </cell>
        </row>
        <row r="3771">
          <cell r="A3771" t="str">
            <v>7.7076636528170000</v>
          </cell>
          <cell r="B3771" t="str">
            <v>POWER100 FC FLORAL ESSENTIALOILBTL@3.5KG</v>
          </cell>
          <cell r="C3771" t="str">
            <v>NƯỚC LAU SÀN POWER100 TINH DẦU HOA THIÊN NHIÊN 3.5KG</v>
          </cell>
          <cell r="D3771" t="str">
            <v>POWER100 FC FLORAL ESSENTIALOILBTL@3.5KG</v>
          </cell>
          <cell r="E3771">
            <v>3.5</v>
          </cell>
          <cell r="F3771" t="str">
            <v>Chọn</v>
          </cell>
          <cell r="G3771"/>
          <cell r="H3771"/>
        </row>
        <row r="3772">
          <cell r="A3772" t="str">
            <v>7.707663652817000H</v>
          </cell>
          <cell r="B3772" t="str">
            <v>POWER100 FCFLORAL ESSENTIALOIL3.5KG*4BTL</v>
          </cell>
          <cell r="C3772" t="str">
            <v>NƯỚC LAU SÀN POWER100 TINH DẦU HOA THIÊN NHIÊN 3.5KG*4</v>
          </cell>
          <cell r="D3772" t="str">
            <v>POWER100 FCFLORAL ESSENTIALOIL3.5KG*4BTL</v>
          </cell>
          <cell r="E3772">
            <v>14</v>
          </cell>
          <cell r="F3772" t="str">
            <v>Chọn</v>
          </cell>
          <cell r="G3772"/>
          <cell r="H3772" t="str">
            <v>7.7076636528170000</v>
          </cell>
        </row>
        <row r="3773">
          <cell r="A3773" t="str">
            <v>7.7076646528170000</v>
          </cell>
          <cell r="B3773" t="str">
            <v>POWER100 FC LG ESSENTIALOIL BTL@3.5KG</v>
          </cell>
          <cell r="C3773" t="str">
            <v>NƯỚC LAU SÀN POWER100 TINH DẦU CHANH SẢ 3.5KG</v>
          </cell>
          <cell r="D3773" t="str">
            <v>POWER100 FC LG ESSENTIALOIL BTL@3.5KG</v>
          </cell>
          <cell r="E3773">
            <v>3.5</v>
          </cell>
          <cell r="F3773" t="str">
            <v>Chọn</v>
          </cell>
          <cell r="G3773"/>
          <cell r="H3773"/>
        </row>
        <row r="3774">
          <cell r="A3774" t="str">
            <v>7.707664652817000H</v>
          </cell>
          <cell r="B3774" t="str">
            <v>POWER100 FC LEMONGRASS ESSENTIAL OIL 3.5KG*4BTL</v>
          </cell>
          <cell r="C3774" t="str">
            <v>NƯỚC LAU SÀN POWER100 TINH DẦU CHANH SẢ 3.5KG*4</v>
          </cell>
          <cell r="D3774" t="str">
            <v>POWER100 FC LEMONGRASS ESSENTIAL OIL 3.5KG*4BTL</v>
          </cell>
          <cell r="E3774">
            <v>14</v>
          </cell>
          <cell r="F3774" t="str">
            <v>Chọn</v>
          </cell>
          <cell r="G3774"/>
          <cell r="H3774" t="str">
            <v>7.7076646528170000</v>
          </cell>
        </row>
        <row r="3775">
          <cell r="A3775" t="str">
            <v>7.707663N528170000</v>
          </cell>
          <cell r="B3775" t="str">
            <v>POWER100 FC FLORAL ESSENTIALOIL BTL@9KG</v>
          </cell>
          <cell r="C3775" t="str">
            <v>NƯỚC LAU SÀN POWER100 TINH DẦU HOA THIÊN NHIÊN 9.0KG</v>
          </cell>
          <cell r="D3775" t="str">
            <v>POWER100 FC FLORAL ESSENTIALOIL BTL@9KG</v>
          </cell>
          <cell r="E3775">
            <v>9</v>
          </cell>
          <cell r="F3775" t="str">
            <v>Chọn</v>
          </cell>
          <cell r="G3775"/>
          <cell r="H3775"/>
        </row>
        <row r="3776">
          <cell r="A3776" t="str">
            <v>7.707663N52817000X</v>
          </cell>
          <cell r="B3776" t="str">
            <v>POWER100 FC FLORAL ESSENTIALOIL 9KG*2BTL</v>
          </cell>
          <cell r="C3776" t="str">
            <v>NƯỚC LAU SÀN POWER100 TINH DẦU HOA THIÊN NHIÊN 9.0KG*2</v>
          </cell>
          <cell r="D3776" t="str">
            <v>POWER100 FC FLORAL ESSENTIALOIL 9KG*2BTL</v>
          </cell>
          <cell r="E3776">
            <v>18</v>
          </cell>
          <cell r="F3776" t="str">
            <v>Chọn</v>
          </cell>
          <cell r="G3776"/>
          <cell r="H3776" t="str">
            <v>7.707663N528170000</v>
          </cell>
        </row>
        <row r="3777">
          <cell r="A3777" t="str">
            <v>7.707664N528170000</v>
          </cell>
          <cell r="B3777" t="str">
            <v>POWER100 FCLEMONGRASSESSENTIALOILBTL@9KG</v>
          </cell>
          <cell r="C3777" t="str">
            <v>NƯỚC LAU SÀN POWER100 TINH DẦU CHANH SẢ 9.0KG</v>
          </cell>
          <cell r="D3777" t="str">
            <v>POWER100 FCLEMONGRASSESSENTIALOILBTL@9KG</v>
          </cell>
          <cell r="E3777">
            <v>9</v>
          </cell>
          <cell r="F3777" t="str">
            <v>Chọn</v>
          </cell>
          <cell r="G3777"/>
          <cell r="H3777"/>
        </row>
        <row r="3778">
          <cell r="A3778" t="str">
            <v>7.707664N52817000X</v>
          </cell>
          <cell r="B3778" t="str">
            <v>POWER100FCLEMONGRASSESSENTIALOIL9KG*2BTL</v>
          </cell>
          <cell r="C3778" t="str">
            <v>NƯỚC LAU SÀN POWER100 TINH DẦU CHANH SẢ 9.0KG*2</v>
          </cell>
          <cell r="D3778" t="str">
            <v>POWER100FCLEMONGRASSESSENTIALOIL9KG*2BTL</v>
          </cell>
          <cell r="E3778">
            <v>18</v>
          </cell>
          <cell r="F3778" t="str">
            <v>Chọn</v>
          </cell>
          <cell r="G3778"/>
          <cell r="H3778" t="str">
            <v>7.707664N528170000</v>
          </cell>
        </row>
        <row r="3779">
          <cell r="A3779" t="str">
            <v>7.707587L828170000</v>
          </cell>
          <cell r="B3779" t="str">
            <v>POWER100 GLASS CLEANER MINT BTL@500ML</v>
          </cell>
          <cell r="C3779" t="str">
            <v>NƯỚC LAU KÍNH POWER100 HƯƠNG BẠC HÀ 500ML</v>
          </cell>
          <cell r="D3779" t="str">
            <v>POWER100 GLASS CLEANER MINT BTL@500ML</v>
          </cell>
          <cell r="E3779">
            <v>0.496</v>
          </cell>
          <cell r="F3779" t="str">
            <v>Chọn</v>
          </cell>
          <cell r="G3779"/>
          <cell r="H3779"/>
        </row>
        <row r="3780">
          <cell r="A3780" t="str">
            <v>7.707587L82817000A</v>
          </cell>
          <cell r="B3780" t="str">
            <v>POWER100 GLASS CLEANER MINT 500ML*24BTL</v>
          </cell>
          <cell r="C3780" t="str">
            <v>NƯỚC LAU KÍNH POWER100 HƯƠNG BẠC HÀ 500ML*24</v>
          </cell>
          <cell r="D3780" t="str">
            <v>POWER100 GLASS CLEANER MINT 500ML*24BTL</v>
          </cell>
          <cell r="E3780">
            <v>11.904</v>
          </cell>
          <cell r="F3780" t="str">
            <v>Chọn</v>
          </cell>
          <cell r="G3780"/>
          <cell r="H3780" t="str">
            <v>7.707587L828170000</v>
          </cell>
        </row>
        <row r="3781">
          <cell r="A3781" t="str">
            <v>7.B24062362B80199</v>
          </cell>
          <cell r="B3781" t="str">
            <v>BLACK SAUCE 255G X 24 BOT/CAR</v>
          </cell>
          <cell r="C3781" t="str">
            <v>TƯƠNG ĐEN 255G X 24 CHAI/THÙNG</v>
          </cell>
          <cell r="D3781" t="str">
            <v>BLACK SAUCE 255G X 24 BOT/CAR</v>
          </cell>
          <cell r="E3781">
            <v>6.12</v>
          </cell>
          <cell r="F3781" t="str">
            <v>Bỏ chọn</v>
          </cell>
          <cell r="G3781" t="str">
            <v>2000000008</v>
          </cell>
          <cell r="H3781" t="str">
            <v>7.B24062362B8019901</v>
          </cell>
        </row>
        <row r="3782">
          <cell r="A3782" t="str">
            <v>7.B24062362B8019901</v>
          </cell>
          <cell r="B3782" t="str">
            <v>BLACK SAUCE 255G</v>
          </cell>
          <cell r="C3782" t="str">
            <v>TƯƠNG ĐEN 255G</v>
          </cell>
          <cell r="D3782" t="str">
            <v>BLACK SAUCE 255G</v>
          </cell>
          <cell r="E3782">
            <v>0.255</v>
          </cell>
          <cell r="F3782" t="str">
            <v>Bỏ chọn</v>
          </cell>
          <cell r="G3782" t="str">
            <v>2000000008</v>
          </cell>
          <cell r="H3782"/>
        </row>
        <row r="3783">
          <cell r="A3783" t="str">
            <v>V51.000.166</v>
          </cell>
          <cell r="B3783" t="str">
            <v>CARTON TO STORE DOCUMENT 245*320*350MM</v>
          </cell>
          <cell r="C3783" t="str">
            <v>THÙNG CARTON CHỨA HỒ SƠ, CÓ NẮP RỜI 350*320*245MM</v>
          </cell>
          <cell r="D3783" t="str">
            <v>CARTON TO STORE DOCUMENT 245*320*350MM</v>
          </cell>
          <cell r="E3783">
            <v>0</v>
          </cell>
          <cell r="F3783" t="str">
            <v>Bỏ chọn</v>
          </cell>
          <cell r="G3783"/>
          <cell r="H3783"/>
        </row>
        <row r="3784">
          <cell r="A3784" t="str">
            <v>7.B24022399B80103</v>
          </cell>
          <cell r="B3784" t="str">
            <v>SPECIAL HOT CHILI SAUCE 255G X 24 BOT/CAR</v>
          </cell>
          <cell r="C3784" t="str">
            <v>TƯƠNG ỚT ĐẶC BIỆT CAY 255G X 24 CHAI/THÙNG</v>
          </cell>
          <cell r="D3784" t="str">
            <v>SPECIAL HOT CHILI SAUCE 255G X 24 BOT/CAR</v>
          </cell>
          <cell r="E3784">
            <v>6.12</v>
          </cell>
          <cell r="F3784" t="str">
            <v>Bỏ chọn</v>
          </cell>
          <cell r="G3784" t="str">
            <v>2000000008</v>
          </cell>
          <cell r="H3784" t="str">
            <v>7.B24022399B8010301</v>
          </cell>
        </row>
        <row r="3785">
          <cell r="A3785" t="str">
            <v>7.B24022399B8010301</v>
          </cell>
          <cell r="B3785" t="str">
            <v>SPECIAL HOT CHILI SAUCE 255G</v>
          </cell>
          <cell r="C3785" t="str">
            <v>TƯƠNG ỚT ĐẶC BIỆT CAY 255G</v>
          </cell>
          <cell r="D3785" t="str">
            <v>SPECIAL HOT CHILI SAUCE 255G</v>
          </cell>
          <cell r="E3785">
            <v>0.255</v>
          </cell>
          <cell r="F3785" t="str">
            <v>Bỏ chọn</v>
          </cell>
          <cell r="G3785" t="str">
            <v>2000000008</v>
          </cell>
          <cell r="H3785"/>
        </row>
        <row r="3786">
          <cell r="A3786" t="str">
            <v>7.B24012302D29101</v>
          </cell>
          <cell r="B3786" t="str">
            <v>SAUCE SOY HANG VIET HORECA 4 LITERS X 4 BOT/ CAR</v>
          </cell>
          <cell r="C3786" t="str">
            <v>NƯỚC CHẤM ĐẬU NÀNH HÀNG VIỆT HORECA 4 LÍT X 4 CHAI/THÙNG</v>
          </cell>
          <cell r="D3786" t="str">
            <v>SAUCE SOY HANG VIET HORECA 4 LITERS X 4 BOT/ CAR</v>
          </cell>
          <cell r="E3786">
            <v>17.088000000000001</v>
          </cell>
          <cell r="F3786" t="str">
            <v>Bỏ chọn</v>
          </cell>
          <cell r="G3786" t="str">
            <v>2000000008</v>
          </cell>
          <cell r="H3786" t="str">
            <v>7.B24012302D2910101</v>
          </cell>
        </row>
        <row r="3787">
          <cell r="A3787" t="str">
            <v>7.B24012302D2910101</v>
          </cell>
          <cell r="B3787" t="str">
            <v>SAUCE SOY HANG VIET HORECA 4 LITERS</v>
          </cell>
          <cell r="C3787" t="str">
            <v>NƯỚC CHẤM ĐẬU NÀNH HÀNG VIỆT HORECA 4 LÍT</v>
          </cell>
          <cell r="D3787" t="str">
            <v>SAUCE SOY HANG VIET HORECA 4 LITERS</v>
          </cell>
          <cell r="E3787">
            <v>4.2720000000000002</v>
          </cell>
          <cell r="F3787" t="str">
            <v>Bỏ chọn</v>
          </cell>
          <cell r="G3787" t="str">
            <v>2000000008</v>
          </cell>
          <cell r="H3787"/>
        </row>
        <row r="3788">
          <cell r="A3788" t="str">
            <v>V51.050.017</v>
          </cell>
          <cell r="B3788" t="str">
            <v>MEIZAN PREMIUM MACARONI 200G</v>
          </cell>
          <cell r="C3788" t="str">
            <v>NUI CAO CẤP MEIZAN 200G X 24 GÓI</v>
          </cell>
          <cell r="D3788" t="str">
            <v>MEIZAN PREMIUM MACARONI 200G</v>
          </cell>
          <cell r="E3788">
            <v>0</v>
          </cell>
          <cell r="F3788" t="str">
            <v>Bỏ chọn</v>
          </cell>
          <cell r="G3788"/>
          <cell r="H3788"/>
        </row>
        <row r="3789">
          <cell r="A3789" t="str">
            <v>7.B24100899309199</v>
          </cell>
          <cell r="B3789" t="str">
            <v>MAYONNAISE MEIZAN HORECA 3KG X 4 PAC/CAR</v>
          </cell>
          <cell r="C3789" t="str">
            <v>MAYONNAISE MEIZAN HORECA 3KG X 4 TÚI/ THÙNG</v>
          </cell>
          <cell r="D3789" t="str">
            <v>MAYONNAISE MEIZAN HORECA 3KG X 4 PAC/CAR</v>
          </cell>
          <cell r="E3789">
            <v>12</v>
          </cell>
          <cell r="F3789" t="str">
            <v>Bỏ chọn</v>
          </cell>
          <cell r="G3789" t="str">
            <v>2000000008</v>
          </cell>
          <cell r="H3789" t="str">
            <v>7.B2410089930919901</v>
          </cell>
        </row>
        <row r="3790">
          <cell r="A3790" t="str">
            <v>7.B2410089930919901</v>
          </cell>
          <cell r="B3790" t="str">
            <v>MAYONNAISE MEIZAN HORECA 3KG</v>
          </cell>
          <cell r="C3790" t="str">
            <v>MAYONNAISE MEIZAN HORECA 3KG</v>
          </cell>
          <cell r="D3790" t="str">
            <v>MAYONNAISE MEIZAN HORECA 3KG</v>
          </cell>
          <cell r="E3790">
            <v>3</v>
          </cell>
          <cell r="F3790" t="str">
            <v>Bỏ chọn</v>
          </cell>
          <cell r="G3790" t="str">
            <v>2000000008</v>
          </cell>
          <cell r="H3790"/>
        </row>
        <row r="3791">
          <cell r="A3791" t="str">
            <v>7.52399049905I0</v>
          </cell>
          <cell r="B3791" t="str">
            <v>BROWN COMPASS - AFI 25KG (NON FE&amp;ZN)</v>
          </cell>
          <cell r="C3791" t="str">
            <v>BỘT MÌ HIỆU LA BÀN NÂU 25KG</v>
          </cell>
          <cell r="D3791" t="str">
            <v>BROWN COMPASS - AFI 25KG (NON FE&amp;ZN)</v>
          </cell>
          <cell r="E3791">
            <v>1</v>
          </cell>
          <cell r="F3791" t="str">
            <v>Bỏ chọn</v>
          </cell>
          <cell r="G3791"/>
          <cell r="H3791"/>
        </row>
        <row r="3792">
          <cell r="A3792" t="str">
            <v>V51.000.167</v>
          </cell>
          <cell r="B3792" t="str">
            <v>NEPTUNE ST25 PLUS SPECIALTY RICE 5KG</v>
          </cell>
          <cell r="C3792" t="str">
            <v>NEPTUNE GẠO THƠM DẺO - ĐẶC BIỆT ST25 PLUS 5KG</v>
          </cell>
          <cell r="D3792" t="str">
            <v>NEPTUNE ST25 PLUS SPECIALTY RICE 5KG</v>
          </cell>
          <cell r="E3792">
            <v>5</v>
          </cell>
          <cell r="F3792" t="str">
            <v>Chọn</v>
          </cell>
          <cell r="G3792"/>
          <cell r="H3792"/>
        </row>
        <row r="3793">
          <cell r="A3793" t="str">
            <v>7.707658E928170000TD</v>
          </cell>
          <cell r="B3793" t="str">
            <v>POWER100 GREEN DWL GRAPEFRUIT 750G</v>
          </cell>
          <cell r="C3793" t="str">
            <v>NƯỚC RỬA CHÉN POWER100 GREEN TINH DẦU BƯỞI TÂY 750G</v>
          </cell>
          <cell r="D3793" t="str">
            <v>POWER100 GREEN DWL GRAPEFRUIT 750G</v>
          </cell>
          <cell r="E3793">
            <v>0.75</v>
          </cell>
          <cell r="F3793" t="str">
            <v>Chọn</v>
          </cell>
          <cell r="G3793"/>
          <cell r="H3793"/>
        </row>
        <row r="3794">
          <cell r="A3794" t="str">
            <v>7.705F0</v>
          </cell>
          <cell r="B3794" t="str">
            <v>ISOPROPYL PALMITATE (IPP)/ RSPO MB IN BOTTLE 500GR</v>
          </cell>
          <cell r="C3794" t="str">
            <v>ISOPROPYL PALMITATE (IPP)/ RSPO MB - NGUYÊN LIỆU SẢN XUẤT SẢN PHẨM CHĂM SÓC DA VÀ TÓC, DẠNG LỎNG ĐÓNG TRONG CHAI 500GR</v>
          </cell>
          <cell r="D3794" t="str">
            <v>ISOPROPYL PALMITATE (IPP)/ RSPO MB IN BOTTLE 500GR</v>
          </cell>
          <cell r="E3794">
            <v>1</v>
          </cell>
          <cell r="F3794" t="str">
            <v>Chọn</v>
          </cell>
          <cell r="G3794"/>
          <cell r="H3794"/>
        </row>
        <row r="3795">
          <cell r="A3795" t="str">
            <v>7.705F1</v>
          </cell>
          <cell r="B3795" t="str">
            <v>ISOPROPYL MYRISTATE (IPM) IN BOTTLE 500GR</v>
          </cell>
          <cell r="C3795" t="str">
            <v>ISOPROPYL MYRISTATE (IPM) - NGUYÊN LIỆU SẢN XUẤT SẢN PHẨM CHĂM SÓC DA VÀ TÓC, DẠNG LỎNG ĐÓNG TRONG CHAI 500GR</v>
          </cell>
          <cell r="D3795" t="str">
            <v>ISOPROPYL MYRISTATE (IPM) IN BOTTLE 500GR</v>
          </cell>
          <cell r="E3795">
            <v>1</v>
          </cell>
          <cell r="F3795" t="str">
            <v>Chọn</v>
          </cell>
          <cell r="G3795"/>
          <cell r="H3795"/>
        </row>
        <row r="3796">
          <cell r="A3796" t="str">
            <v>7.705F2</v>
          </cell>
          <cell r="B3796" t="str">
            <v>MEDIUM CHAIN TRIGLYCERIDE (MCT) IN BOTTLE 500GR</v>
          </cell>
          <cell r="C3796" t="str">
            <v>MEDIUM CHAIN TRIGLYCERIDE (MCT)- HỖN HỢP CÁC ESTE CỦA AXIT BÉO MẠCH TRUNG BÌNH ĐÓNG TRONG CHAI 500GR</v>
          </cell>
          <cell r="D3796" t="str">
            <v>MEDIUM CHAIN TRIGLYCERIDE (MCT) IN BOTTLE 500GR</v>
          </cell>
          <cell r="E3796">
            <v>1</v>
          </cell>
          <cell r="F3796" t="str">
            <v>Chọn</v>
          </cell>
          <cell r="G3796"/>
          <cell r="H3796"/>
        </row>
        <row r="3797">
          <cell r="A3797" t="str">
            <v>V51.000.168</v>
          </cell>
          <cell r="B3797" t="str">
            <v>MESSAGE BOARD "QUYET CHIEN 2023"</v>
          </cell>
          <cell r="C3797" t="str">
            <v>BẢNG THÔNG ĐIỆP QUYẾT CHIẾN 2023</v>
          </cell>
          <cell r="D3797" t="str">
            <v>MESSAGE BOARD "QUYET CHIEN 2023"</v>
          </cell>
          <cell r="E3797">
            <v>0</v>
          </cell>
          <cell r="F3797" t="str">
            <v>Chọn</v>
          </cell>
          <cell r="G3797"/>
          <cell r="H3797"/>
        </row>
        <row r="3798">
          <cell r="A3798" t="str">
            <v>V51.041.018</v>
          </cell>
          <cell r="B3798" t="str">
            <v>NEPTUNE ST25 PLUS SPECIALTY RICE 1KG</v>
          </cell>
          <cell r="C3798" t="str">
            <v>NEPTUNE GẠO THƠM DẺO-ĐẶC BIỆT ST25 PLUS 1KG</v>
          </cell>
          <cell r="D3798" t="str">
            <v>NEPTUNE ST25 PLUS SPECIALTY RICE 1KG</v>
          </cell>
          <cell r="E3798">
            <v>1</v>
          </cell>
          <cell r="F3798" t="str">
            <v>Bỏ chọn</v>
          </cell>
          <cell r="G3798"/>
          <cell r="H3798"/>
        </row>
        <row r="3799">
          <cell r="A3799" t="str">
            <v>7.131081061703F90</v>
          </cell>
          <cell r="B3799" t="str">
            <v>CO-COOP HAPPY 5L X 4BTL</v>
          </cell>
          <cell r="C3799" t="str">
            <v>DẦU THỰC VẬT TINH LUYỆN COOP HAPPY 5L</v>
          </cell>
          <cell r="D3799" t="str">
            <v>CO-COOP HAPPY 5L X 4BTL</v>
          </cell>
          <cell r="E3799">
            <v>18.2</v>
          </cell>
          <cell r="F3799" t="str">
            <v>Chọn</v>
          </cell>
          <cell r="G3799"/>
          <cell r="H3799"/>
        </row>
        <row r="3800">
          <cell r="A3800" t="str">
            <v>7.131081031705F90</v>
          </cell>
          <cell r="B3800" t="str">
            <v>CO-COOP HAPPY 1L X 12 BTL</v>
          </cell>
          <cell r="C3800" t="str">
            <v>DẦU THỰC VẬT TINH LUYỆN COOP HAPPY 1L</v>
          </cell>
          <cell r="D3800" t="str">
            <v>CO-COOP HAPPY 1L X 12 BTL</v>
          </cell>
          <cell r="E3800">
            <v>10.92</v>
          </cell>
          <cell r="F3800" t="str">
            <v>Chọn</v>
          </cell>
          <cell r="G3800"/>
          <cell r="H3800"/>
        </row>
        <row r="3801">
          <cell r="A3801" t="str">
            <v>7.705F3</v>
          </cell>
          <cell r="B3801" t="str">
            <v>OLEIC ACID 7072 IN BAG 500GR</v>
          </cell>
          <cell r="C3801" t="str">
            <v>AXIT OLEIC 7072 DÙNG TRONG SẢN XUẤT KEO, CAO SU ĐÓNG TRONG GÓI 500GR</v>
          </cell>
          <cell r="D3801" t="str">
            <v>OLEIC ACID 7072 IN BAG 500GR</v>
          </cell>
          <cell r="E3801">
            <v>1</v>
          </cell>
          <cell r="F3801" t="str">
            <v>Chọn</v>
          </cell>
          <cell r="G3801"/>
          <cell r="H3801"/>
        </row>
        <row r="3802">
          <cell r="A3802" t="str">
            <v>7.705F4</v>
          </cell>
          <cell r="B3802" t="str">
            <v>PALM FAT CALMAX 5155 IN BAG 5KG</v>
          </cell>
          <cell r="C3802" t="str">
            <v>PALM FAT CALMAX 5155 - DẦU HẠT CỌ ĐÃ QUA TINH CHẾ, THỂ RẮN ĐÓNG TRONG TÚI 5KG</v>
          </cell>
          <cell r="D3802" t="str">
            <v>PALM FAT CALMAX 5155 IN BAG 5KG</v>
          </cell>
          <cell r="E3802">
            <v>1</v>
          </cell>
          <cell r="F3802" t="str">
            <v>Chọn</v>
          </cell>
          <cell r="G3802"/>
          <cell r="H3802"/>
        </row>
        <row r="3803">
          <cell r="A3803" t="str">
            <v>7.B250894990301A4</v>
          </cell>
          <cell r="B3803" t="str">
            <v xml:space="preserve">ORCHID PORK BOUILLON GRANULE 5KG X 3 PAC/CAR
</v>
          </cell>
          <cell r="C3803" t="str">
            <v>HẠT NÊM ORCHID THỊT, XƯƠNG ỐNG VÀ TỦY 5KG X 3 TÚI/THÙNG</v>
          </cell>
          <cell r="D3803" t="str">
            <v>ORCHID PORK BOUILLON GRANULE 5KG X 3 PAC/CAR</v>
          </cell>
          <cell r="E3803">
            <v>15</v>
          </cell>
          <cell r="F3803" t="str">
            <v>Bỏ chọn</v>
          </cell>
          <cell r="G3803" t="str">
            <v>2000000008</v>
          </cell>
          <cell r="H3803" t="str">
            <v>7.B250894990301A401</v>
          </cell>
        </row>
        <row r="3804">
          <cell r="A3804" t="str">
            <v>7.B250894990401A4</v>
          </cell>
          <cell r="B3804" t="str">
            <v xml:space="preserve">ORCHID PORK BOUILLON GRANULE 10KG X 2 PAC/BAG
</v>
          </cell>
          <cell r="C3804" t="str">
            <v>HẠT NÊM ORCHID THỊT, XƯƠNG ỐNG VÀ TỦY 10KG X 2 TÚI/BAO</v>
          </cell>
          <cell r="D3804" t="str">
            <v xml:space="preserve">ORCHID PORK BOUILLON GRANULE 10KG X 2 PAC/BAG
_x000D_
</v>
          </cell>
          <cell r="E3804">
            <v>20</v>
          </cell>
          <cell r="F3804" t="str">
            <v>Bỏ chọn</v>
          </cell>
          <cell r="G3804" t="str">
            <v>2000000008</v>
          </cell>
          <cell r="H3804" t="str">
            <v>7.B250894990401A401</v>
          </cell>
        </row>
        <row r="3805">
          <cell r="A3805" t="str">
            <v>7.B250894990401A401</v>
          </cell>
          <cell r="B3805" t="str">
            <v>ORCHID PORK BOUILLON GRANULE 10KG</v>
          </cell>
          <cell r="C3805" t="str">
            <v>HẠT NÊM ORCHID THỊT, XƯƠNG ỐNG VÀ TỦY 10KG</v>
          </cell>
          <cell r="D3805" t="str">
            <v>ORCHID PORK BOUILLON GRANULE 10KG</v>
          </cell>
          <cell r="E3805">
            <v>10</v>
          </cell>
          <cell r="F3805" t="str">
            <v>Bỏ chọn</v>
          </cell>
          <cell r="G3805" t="str">
            <v>2000000008</v>
          </cell>
          <cell r="H3805"/>
        </row>
        <row r="3806">
          <cell r="A3806" t="str">
            <v>7.B250894990301A401</v>
          </cell>
          <cell r="B3806" t="str">
            <v xml:space="preserve">ORCHID PORK BOUILLON GRANULE 5KG
</v>
          </cell>
          <cell r="C3806" t="str">
            <v>HẠT NÊM ORCHID THỊT, XƯƠNG ỐNG VÀ TỦY 5KG</v>
          </cell>
          <cell r="D3806" t="str">
            <v>ORCHID PORK BOUILLON GRANULE 5KG</v>
          </cell>
          <cell r="E3806">
            <v>5</v>
          </cell>
          <cell r="F3806" t="str">
            <v>Bỏ chọn</v>
          </cell>
          <cell r="G3806" t="str">
            <v>2000000008</v>
          </cell>
          <cell r="H3806"/>
        </row>
        <row r="3807">
          <cell r="A3807" t="str">
            <v>V51.00A.065</v>
          </cell>
          <cell r="B3807" t="str">
            <v>PLASTIC HANGER</v>
          </cell>
          <cell r="C3807" t="str">
            <v>DÂY TREO CHAI</v>
          </cell>
          <cell r="D3807" t="str">
            <v>PLASTIC HANGER</v>
          </cell>
          <cell r="E3807">
            <v>0</v>
          </cell>
          <cell r="F3807" t="str">
            <v>Bỏ chọn</v>
          </cell>
          <cell r="G3807"/>
          <cell r="H3807"/>
        </row>
        <row r="3808">
          <cell r="A3808" t="str">
            <v>7.705F5</v>
          </cell>
          <cell r="B3808" t="str">
            <v>REFINED GLYCERINE 99,7% IN BAG 8KG</v>
          </cell>
          <cell r="C3808" t="str">
            <v>REFINED GLYCERINE - PHỤ GIA THỰC PHẨM WILFARIN GLYXERIN TINH KHIẾT 99,7% ĐÓNG TRONG BAO 8KG</v>
          </cell>
          <cell r="D3808" t="str">
            <v>REFINED GLYCERINE 99,7% IN BAG 8KG</v>
          </cell>
          <cell r="E3808">
            <v>1</v>
          </cell>
          <cell r="F3808" t="str">
            <v>Chọn</v>
          </cell>
          <cell r="G3808"/>
          <cell r="H3808"/>
        </row>
        <row r="3809">
          <cell r="A3809" t="str">
            <v>V51.153.035</v>
          </cell>
          <cell r="B3809" t="str">
            <v>POWER100 WAIST BAG</v>
          </cell>
          <cell r="C3809" t="str">
            <v>TÚI BAO TỬ POWER100</v>
          </cell>
          <cell r="D3809" t="str">
            <v>POWER100 WAIST BAG</v>
          </cell>
          <cell r="E3809">
            <v>0.5</v>
          </cell>
          <cell r="F3809" t="str">
            <v>Bỏ chọn</v>
          </cell>
          <cell r="G3809"/>
          <cell r="H3809"/>
        </row>
        <row r="3810">
          <cell r="A3810" t="str">
            <v>7.52399259905J0</v>
          </cell>
          <cell r="B3810" t="str">
            <v>BLUE KEY NOODLE - AN PHU 25KG</v>
          </cell>
          <cell r="C3810" t="str">
            <v>BỘT MÌ HIỆU CHÌA KHÓA XANH MÌ SỢI 25KG</v>
          </cell>
          <cell r="D3810" t="str">
            <v>BLUE KEY NOODLE - AN PHU 25KG</v>
          </cell>
          <cell r="E3810">
            <v>1</v>
          </cell>
          <cell r="F3810" t="str">
            <v>Bỏ chọn</v>
          </cell>
          <cell r="G3810"/>
          <cell r="H3810"/>
        </row>
        <row r="3811">
          <cell r="A3811" t="str">
            <v>7.52399259905K1</v>
          </cell>
          <cell r="B3811" t="str">
            <v>BLUE KEY NOODLE - RB 25KG (NON FE&amp;ZN)</v>
          </cell>
          <cell r="C3811" t="str">
            <v>BỘT MÌ HIỆU CKX MÌ SỢI 25KG</v>
          </cell>
          <cell r="D3811" t="str">
            <v>BLUE KEY NOODLE - RB 25KG (NON FE&amp;ZN)</v>
          </cell>
          <cell r="E3811">
            <v>1</v>
          </cell>
          <cell r="F3811" t="str">
            <v>Bỏ chọn</v>
          </cell>
          <cell r="G3811"/>
          <cell r="H3811"/>
        </row>
        <row r="3812">
          <cell r="A3812" t="str">
            <v>7.52399129905K1</v>
          </cell>
          <cell r="B3812" t="str">
            <v>PINK KEY - RB 25KG (NON FE&amp;ZN)</v>
          </cell>
          <cell r="C3812" t="str">
            <v>BỘT MÌ HIỆU CHÌA KHÓA HỒNG 25KG</v>
          </cell>
          <cell r="D3812" t="str">
            <v>PINK KEY - RB 25KG (NON FE&amp;ZN)</v>
          </cell>
          <cell r="E3812">
            <v>1</v>
          </cell>
          <cell r="F3812" t="str">
            <v>Bỏ chọn</v>
          </cell>
          <cell r="G3812"/>
          <cell r="H3812"/>
        </row>
        <row r="3813">
          <cell r="A3813" t="str">
            <v>7.52399153405K1</v>
          </cell>
          <cell r="B3813" t="str">
            <v>RED KEY NOODLE - RB 25KG (NON FE&amp;ZN)</v>
          </cell>
          <cell r="C3813" t="str">
            <v>BỘT MÌ HIỆU CHÌA KHÓA ĐỎ MÌ SỢI 25KG</v>
          </cell>
          <cell r="D3813" t="str">
            <v>RED KEY NOODLE - RB 25KG (NON FE&amp;ZN)</v>
          </cell>
          <cell r="E3813">
            <v>1</v>
          </cell>
          <cell r="F3813" t="str">
            <v>Bỏ chọn</v>
          </cell>
          <cell r="G3813"/>
          <cell r="H3813"/>
        </row>
        <row r="3814">
          <cell r="A3814" t="str">
            <v>7.52399799905K1</v>
          </cell>
          <cell r="B3814" t="str">
            <v>RED SATELLITE - RB 25KG (NON FE&amp;ZN)</v>
          </cell>
          <cell r="C3814" t="str">
            <v>BỘT MÌ HIỆU VỆ TINH ĐỎ 25KG</v>
          </cell>
          <cell r="D3814" t="str">
            <v>RED SATELLITE - RB 25KG (NON FE&amp;ZN)</v>
          </cell>
          <cell r="E3814">
            <v>1</v>
          </cell>
          <cell r="F3814" t="str">
            <v>Bỏ chọn</v>
          </cell>
          <cell r="G3814"/>
          <cell r="H3814"/>
        </row>
        <row r="3815">
          <cell r="A3815" t="str">
            <v>7.52399099905K1</v>
          </cell>
          <cell r="B3815" t="str">
            <v>MS-1 - RB 25KG (NON FE&amp;ZN)</v>
          </cell>
          <cell r="C3815" t="str">
            <v>BỘT MÌ HIỆU MS-1 25KG</v>
          </cell>
          <cell r="D3815" t="str">
            <v>MS-1 - RB 25KG (NON FE&amp;ZN)</v>
          </cell>
          <cell r="E3815">
            <v>1</v>
          </cell>
          <cell r="F3815" t="str">
            <v>Bỏ chọn</v>
          </cell>
          <cell r="G3815"/>
          <cell r="H3815"/>
        </row>
        <row r="3816">
          <cell r="A3816" t="str">
            <v>7.705F6</v>
          </cell>
          <cell r="B3816" t="str">
            <v>SLS (SODIUM LAURYL SULFATE) IN BOTTLE 3KG</v>
          </cell>
          <cell r="C3816" t="str">
            <v>SLS (SODIUM LAURYL SULFATE)-CHẤT HOẠT ĐỘNG BỀ MẶT, DẠNG ANION ĐÓNG TRONG CHAI 3KG</v>
          </cell>
          <cell r="D3816" t="str">
            <v>SLS (SODIUM LAURYL SULFATE) IN BOTTLE 3KG</v>
          </cell>
          <cell r="E3816">
            <v>1</v>
          </cell>
          <cell r="F3816" t="str">
            <v>Chọn</v>
          </cell>
          <cell r="G3816"/>
          <cell r="H3816"/>
        </row>
        <row r="3817">
          <cell r="A3817" t="str">
            <v>7.B2508089902010517</v>
          </cell>
          <cell r="B3817" t="str">
            <v>MEIZAN PORK BOUILLON GRANULE 1KG X 10 PAC ON PACK 10 PAC MUSHROOM BOUILLON GRANULE 380G / CAR</v>
          </cell>
          <cell r="C3817" t="str">
            <v xml:space="preserve">HẠT NÊM MEIZAN THỊT, XƯƠNG ỐNG, TỦY, CÀ RỐT – VỊ HEO 1KG X 10 GÓI ĐÓNG KÈM 10 GÓI HẠT NÊM TAM BẢO VỊ NẤM 380G / THÙNG </v>
          </cell>
          <cell r="D3817" t="str">
            <v>MEIZAN PORK BOUILLON GRANULE 1KG X 10 PAC ON PACK 10 PAC MUSHROOM BOUILLON GRANULE 380G / CAR</v>
          </cell>
          <cell r="E3817">
            <v>10</v>
          </cell>
          <cell r="F3817" t="str">
            <v>Bỏ chọn</v>
          </cell>
          <cell r="G3817" t="str">
            <v>2000000008</v>
          </cell>
          <cell r="H3817" t="str">
            <v>7.B250808990201051701</v>
          </cell>
        </row>
        <row r="3818">
          <cell r="A3818" t="str">
            <v>7.B250808990201051701</v>
          </cell>
          <cell r="B3818" t="str">
            <v>MEIZAN PORK BOUILLON GRANULE 1KG  ON PACK 01 PAC MUSHROOM BOUILLON GRANULE 380G</v>
          </cell>
          <cell r="C3818" t="str">
            <v>HẠT NÊM MEIZAN THỊT, XƯƠNG ỐNG, TỦY, CÀ RỐT – VỊ HEO 1KG ĐÓNG KÈM 01 GÓI HẠT NÊM TAM BẢO VỊ NẤM 380G</v>
          </cell>
          <cell r="D3818" t="str">
            <v>MEIZAN PORK BOUILLON GRANULE 1KG  ON PACK 01 PAC MUSHROOM BOUILLON GRANULE 380G</v>
          </cell>
          <cell r="E3818">
            <v>1</v>
          </cell>
          <cell r="F3818" t="str">
            <v>Bỏ chọn</v>
          </cell>
          <cell r="G3818" t="str">
            <v>2000000008</v>
          </cell>
          <cell r="H3818"/>
        </row>
        <row r="3819">
          <cell r="A3819" t="str">
            <v>7.B2508089902010518</v>
          </cell>
          <cell r="B3819" t="str">
            <v>MEIZAN PORK BOUILLON GRANULE 1KG X 10 PAC ON PACK 10 PAC MEIZAN PORK BOUILLON GRANULE 400G / CAR</v>
          </cell>
          <cell r="C3819" t="str">
            <v xml:space="preserve">HẠT NÊM MEIZAN THỊT, XƯƠNG ỐNG, TỦY, CÀ RỐT – VỊ HEO 1KG X 10 GÓI ĐÓNG KÈM 10 GÓI HẠT NÊM MEIZAN THỊT, XƯƠNG ỐNG, TUỶ, CÀ RỐT - VỊ HEO 400G / THÙNG </v>
          </cell>
          <cell r="D3819" t="str">
            <v>MEIZAN PORK BOUILLON GRANULE 1KG X 10 PAC ON PACK 10 PAC MEIZAN PORK BOUILLON GRANULE 400G / CAR</v>
          </cell>
          <cell r="E3819">
            <v>10</v>
          </cell>
          <cell r="F3819" t="str">
            <v>Bỏ chọn</v>
          </cell>
          <cell r="G3819" t="str">
            <v>2000000008</v>
          </cell>
          <cell r="H3819" t="str">
            <v>7.B250808990201051801</v>
          </cell>
        </row>
        <row r="3820">
          <cell r="A3820" t="str">
            <v>7.B250808990201051801</v>
          </cell>
          <cell r="B3820" t="str">
            <v>MEIZAN PORK BOUILLON GRANULE 1KG ON PACK 01 PAC MEIZAN PORK BOUILLON GRANULE 400G</v>
          </cell>
          <cell r="C3820" t="str">
            <v>HẠT NÊM MEIZAN THỊT, XƯƠNG ỐNG, TỦY, CÀ RỐT – VỊ HEO 1KG ĐÓNG KÈM 01 GÓI HẠT NÊM MEIZAN THỊT, XƯƠNG ỐNG, TUỶ, CÀ RỐT - VỊ HEO 400G</v>
          </cell>
          <cell r="D3820" t="str">
            <v>MEIZAN PORK BOUILLON GRANULE 1KG ON PACK 01 PAC MEIZAN PORK BOUILLON GRANULE 400G</v>
          </cell>
          <cell r="E3820">
            <v>1</v>
          </cell>
          <cell r="F3820" t="str">
            <v>Bỏ chọn</v>
          </cell>
          <cell r="G3820" t="str">
            <v>2000000008</v>
          </cell>
          <cell r="H3820"/>
        </row>
        <row r="3821">
          <cell r="A3821" t="str">
            <v>7.B2508549995010517</v>
          </cell>
          <cell r="B3821" t="str">
            <v>PORK BOUILLON GRANULE 850G X 10 PAC ON PACK 10 PAC MUSHROOM BOUILLON GRANULE 380G / CAR</v>
          </cell>
          <cell r="C3821" t="str">
            <v>HẠT NÊM 4 TRONG 1 VỊ HEO 850G X 10 GÓI ĐÓNG KÈM 10 GÓI HẠT NÊM TAM BẢO VỊ NẤM 380G / THÙNG</v>
          </cell>
          <cell r="D3821" t="str">
            <v>PORK BOUILLON GRANULE 850G X 10 PAC ON PACK 10 PAC MUSHROOM BOUILLON GRANULE 380G / CAR</v>
          </cell>
          <cell r="E3821">
            <v>8.5</v>
          </cell>
          <cell r="F3821" t="str">
            <v>Bỏ chọn</v>
          </cell>
          <cell r="G3821" t="str">
            <v>2000000008</v>
          </cell>
          <cell r="H3821" t="str">
            <v>7.B250854999501051701</v>
          </cell>
        </row>
        <row r="3822">
          <cell r="A3822" t="str">
            <v>7.B250854999501051701</v>
          </cell>
          <cell r="B3822" t="str">
            <v>PORK BOUILLON GRANULE 850G ON PACK 01 PAC MUSHROOM BOUILLON GRANULE 380G</v>
          </cell>
          <cell r="C3822" t="str">
            <v>HẠT NÊM 4 TRONG 1 VỊ HEO 850G ĐÓNG KÈM 01 GÓI HẠT NÊM TAM BẢO VỊ NẤM 380G</v>
          </cell>
          <cell r="D3822" t="str">
            <v>PORK BOUILLON GRANULE 850G ON PACK 01 PAC MUSHROOM BOUILLON GRANULE 380G</v>
          </cell>
          <cell r="E3822">
            <v>0.85</v>
          </cell>
          <cell r="F3822" t="str">
            <v>Bỏ chọn</v>
          </cell>
          <cell r="G3822" t="str">
            <v>2000000008</v>
          </cell>
          <cell r="H3822"/>
        </row>
        <row r="3823">
          <cell r="A3823" t="str">
            <v>7.B2508089902010519</v>
          </cell>
          <cell r="B3823" t="str">
            <v>PORK BOUILLON GRANULE 850G X 10 PAC ON PACK 10 PAC PORK BOUILLON GRANULE 500G / CAR</v>
          </cell>
          <cell r="C3823" t="str">
            <v>HẠT NÊM 4 TRONG 1 VỊ HEO 850G X 10 GÓI ĐÓNG KÈM 10 GÓI HẠT NÊM 4 TRONG 1 - VỊ HEO 500G / THÙNG</v>
          </cell>
          <cell r="D3823" t="str">
            <v>PORK BOUILLON GRANULE 850G X 10 PAC ON PACK 10 PAC PORK BOUILLON GRANULE 500G / CAR</v>
          </cell>
          <cell r="E3823">
            <v>8.5</v>
          </cell>
          <cell r="F3823" t="str">
            <v>Bỏ chọn</v>
          </cell>
          <cell r="G3823" t="str">
            <v>2000000008</v>
          </cell>
          <cell r="H3823" t="str">
            <v>7.B250808990201051901</v>
          </cell>
        </row>
        <row r="3824">
          <cell r="A3824" t="str">
            <v>7.B250808990201051901</v>
          </cell>
          <cell r="B3824" t="str">
            <v>PORK BOUILLON GRANULE 850G ON PACK 01 PAC PORK BOUILLON GRANULE 500G</v>
          </cell>
          <cell r="C3824" t="str">
            <v>HẠT NÊM 4 TRONG 1 VỊ HEO 850G ĐÓNG KÈM 01 GÓI HẠT NÊM 4 TRONG 1 - VỊ HEO 500G</v>
          </cell>
          <cell r="D3824" t="str">
            <v>PORK BOUILLON GRANULE 850G ON PACK 01 PAC PORK BOUILLON GRANULE 500G</v>
          </cell>
          <cell r="E3824">
            <v>0.85</v>
          </cell>
          <cell r="F3824" t="str">
            <v>Bỏ chọn</v>
          </cell>
          <cell r="G3824" t="str">
            <v>2000000008</v>
          </cell>
          <cell r="H3824"/>
        </row>
        <row r="3825">
          <cell r="A3825" t="str">
            <v>V51.000.169</v>
          </cell>
          <cell r="B3825" t="str">
            <v>PRIZE BOARD LUCKY DRAW WCM</v>
          </cell>
          <cell r="C3825" t="str">
            <v>BẢNG TRAO THƯỞNG LUCKY DRAW WCM</v>
          </cell>
          <cell r="D3825" t="str">
            <v>PRIZE BOARD LUCKY DRAW WCM</v>
          </cell>
          <cell r="E3825">
            <v>0</v>
          </cell>
          <cell r="F3825" t="str">
            <v>Chọn</v>
          </cell>
          <cell r="G3825"/>
          <cell r="H3825"/>
        </row>
        <row r="3826">
          <cell r="A3826" t="str">
            <v>V51.000.170</v>
          </cell>
          <cell r="B3826" t="str">
            <v>LEAFLET LUCKY DRAW WCM</v>
          </cell>
          <cell r="C3826" t="str">
            <v>TỜ RƠI LUCKY DRAW WCM</v>
          </cell>
          <cell r="D3826" t="str">
            <v>LEAFLET LUCKY DRAW WCM</v>
          </cell>
          <cell r="E3826">
            <v>0</v>
          </cell>
          <cell r="F3826" t="str">
            <v>Chọn</v>
          </cell>
          <cell r="G3826"/>
          <cell r="H3826"/>
        </row>
        <row r="3827">
          <cell r="A3827" t="str">
            <v>V51.000.171</v>
          </cell>
          <cell r="B3827" t="str">
            <v>NECKTAG LUCKY DRAW WCM</v>
          </cell>
          <cell r="C3827" t="str">
            <v>NECKTAG LUCKY DRAW WCM</v>
          </cell>
          <cell r="D3827" t="str">
            <v>NECKTAG LUCKY DRAW WCM</v>
          </cell>
          <cell r="E3827">
            <v>0</v>
          </cell>
          <cell r="F3827" t="str">
            <v>Chọn</v>
          </cell>
          <cell r="G3827"/>
          <cell r="H3827"/>
        </row>
        <row r="3828">
          <cell r="A3828" t="str">
            <v>V51.000.172</v>
          </cell>
          <cell r="B3828" t="str">
            <v>STANDEE LUCKY DRAW WCM</v>
          </cell>
          <cell r="C3828" t="str">
            <v>STANDEE LUCKY DRAW WCM</v>
          </cell>
          <cell r="D3828" t="str">
            <v>STANDEE LUCKY DRAW WCM</v>
          </cell>
          <cell r="E3828">
            <v>0</v>
          </cell>
          <cell r="F3828" t="str">
            <v>Chọn</v>
          </cell>
          <cell r="G3828"/>
          <cell r="H3828"/>
        </row>
        <row r="3829">
          <cell r="A3829" t="str">
            <v>7.B24012361A3014220</v>
          </cell>
          <cell r="B3829" t="str">
            <v>FERMENTED SOYA SAUCE 710ML X 12 BOT ONPACK 12 BOT NAM DUONG CONDENSED SOYA SAUCE 280ML / CAR</v>
          </cell>
          <cell r="C3829" t="str">
            <v>NƯỚC TƯƠNG NAM DƯƠNG ĐẬU NÀNH LÊN MEN TỰ NHIÊN 710ML X 12 CHAI ĐÓNG KÈM 12 CHAI THỰC PHẨM BỔ SUNG NƯỚC TƯƠNG NAM DƯƠNG ĐẬM ĐẶC 280ML / THÙNG</v>
          </cell>
          <cell r="D3829" t="str">
            <v>FERMENTED SOYA SAUCE 710ML X 12 BOT ONPACK 12 BOT NAM DUONG CONDENSED SOYA SAUCE 280ML / CAR</v>
          </cell>
          <cell r="E3829">
            <v>9.7569999999999997</v>
          </cell>
          <cell r="F3829" t="str">
            <v>Bỏ chọn</v>
          </cell>
          <cell r="G3829" t="str">
            <v>2000000008</v>
          </cell>
          <cell r="H3829" t="str">
            <v>7.B24012361A301422001</v>
          </cell>
        </row>
        <row r="3830">
          <cell r="A3830" t="str">
            <v>7.B24012361A301422001</v>
          </cell>
          <cell r="B3830" t="str">
            <v>FERMENTED SOYA SAUCE 710ML ONPACK 01 BOT NAM DUONG CONDENSED SOYA SAUCE 280ML</v>
          </cell>
          <cell r="C3830" t="str">
            <v>NƯỚC TƯƠNG NAM DƯƠNG ĐẬU NÀNH LÊN MEN TỰ NHIÊN 710ML ĐÓNG KÈM 01 CHAI THỰC PHẨM BỔ SUNG NƯỚC TƯƠNG NAM DƯƠNG ĐẬM ĐẶC 280ML</v>
          </cell>
          <cell r="D3830" t="str">
            <v>FERMENTED SOYA SAUCE 710ML ONPACK 01 BOT NAM DUONG CONDENSED SOYA SAUCE 280ML</v>
          </cell>
          <cell r="E3830">
            <v>0.81299999999999994</v>
          </cell>
          <cell r="F3830" t="str">
            <v>Bỏ chọn</v>
          </cell>
          <cell r="G3830" t="str">
            <v>2000000008</v>
          </cell>
          <cell r="H3830"/>
        </row>
        <row r="3831">
          <cell r="A3831" t="str">
            <v>7.B2401239937010421</v>
          </cell>
          <cell r="B3831" t="str">
            <v>PREMIUM SOYA SAUCE 500ML X 24 BOT ONPACK 24 BOT PREMIUM SOYA SAUCE 210ML / CAR</v>
          </cell>
          <cell r="C3831" t="str">
            <v>NƯỚC TƯƠNG THƯỢNG HẠNG 500ML X 24 CHAI ĐÓNG KÈM 24 CHAI NƯỚC TƯƠNG THƯỢNG HẠNG 210ML / THÙNG</v>
          </cell>
          <cell r="D3831" t="str">
            <v>PREMIUM SOYA SAUCE 500ML X 24 BOT ONPACK 24 BOT PREMIUM SOYA SAUCE 210ML / CAR</v>
          </cell>
          <cell r="E3831">
            <v>13.385999999999999</v>
          </cell>
          <cell r="F3831" t="str">
            <v>Bỏ chọn</v>
          </cell>
          <cell r="G3831" t="str">
            <v>2000000008</v>
          </cell>
          <cell r="H3831" t="str">
            <v>7.B240123993701042101</v>
          </cell>
        </row>
        <row r="3832">
          <cell r="A3832" t="str">
            <v>7.B240123993701042101</v>
          </cell>
          <cell r="B3832" t="str">
            <v>PREMIUM SOYA SAUCE 500ML ONPACK 01 BOT PREMIUM SOYA SAUCE 210ML</v>
          </cell>
          <cell r="C3832" t="str">
            <v>NƯỚC TƯƠNG THƯỢNG HẠNG 500ML ĐÓNG KÈM 01 CHAI NƯỚC TƯƠNG THƯỢNG HẠNG 210ML</v>
          </cell>
          <cell r="D3832" t="str">
            <v>PREMIUM SOYA SAUCE 500ML ONPACK 01 BOT PREMIUM SOYA SAUCE 210ML</v>
          </cell>
          <cell r="E3832">
            <v>0.55800000000000005</v>
          </cell>
          <cell r="F3832" t="str">
            <v>Bỏ chọn</v>
          </cell>
          <cell r="G3832" t="str">
            <v>2000000008</v>
          </cell>
          <cell r="H3832"/>
        </row>
        <row r="3833">
          <cell r="A3833" t="str">
            <v>7.E3801789985K232</v>
          </cell>
          <cell r="B3833" t="str">
            <v>MEADOW FRESH UHT FULL CREAM MILK NO CAP 1LX12</v>
          </cell>
          <cell r="C3833" t="str">
            <v xml:space="preserve">SỮA TƯƠI TIỆT TRÙNG NGUYÊN KEM KHÔNG NẮP NHÃN HIỆU MEADOW FRESH 1LX12 </v>
          </cell>
          <cell r="D3833" t="str">
            <v>MEADOW FRESH UHT FULL CREAM MILK NO CAP 1LX12</v>
          </cell>
          <cell r="E3833">
            <v>12</v>
          </cell>
          <cell r="F3833" t="str">
            <v>Chọn</v>
          </cell>
          <cell r="G3833"/>
          <cell r="H3833" t="str">
            <v>7.E3801789985K23201</v>
          </cell>
        </row>
        <row r="3834">
          <cell r="A3834" t="str">
            <v>7.E3801789985K23201</v>
          </cell>
          <cell r="B3834" t="str">
            <v>MEADOW FRESH UHT FULL CREAM MILK NO CAP 1L</v>
          </cell>
          <cell r="C3834" t="str">
            <v>SỮA TƯƠI TIỆT TRÙNG NGUYÊN KEM KHÔNG NẮP NHÃN HIỆU MEADOW FRESH 1L</v>
          </cell>
          <cell r="D3834" t="str">
            <v>MEADOW FRESH UHT FULL CREAM MILK NO CAP 1L</v>
          </cell>
          <cell r="E3834">
            <v>1</v>
          </cell>
          <cell r="F3834" t="str">
            <v>Chọn</v>
          </cell>
          <cell r="G3834"/>
          <cell r="H3834"/>
        </row>
        <row r="3835">
          <cell r="A3835" t="str">
            <v>7.92419B799D301A0</v>
          </cell>
          <cell r="B3835" t="str">
            <v>ANCHOVY FISH SAUCE 40°N PET BOTTLES 50ML X 100 BOT IN CARTON</v>
          </cell>
          <cell r="C3835" t="str">
            <v>NƯỚC MẮM NHỈ CÁ CƠM 40° ĐẠM CHAI PET 50ML X 100 CHAI ĐÓNG TRONG THÙNG CARTON</v>
          </cell>
          <cell r="D3835" t="str">
            <v>ANCHOVY FISH SAUCE 40°N PET BOTTLES 50ML X 100 BOT IN CARTON</v>
          </cell>
          <cell r="E3835">
            <v>6</v>
          </cell>
          <cell r="F3835" t="str">
            <v>Chọn</v>
          </cell>
          <cell r="G3835"/>
          <cell r="H3835" t="str">
            <v>7.92419B799D301A001</v>
          </cell>
        </row>
        <row r="3836">
          <cell r="A3836" t="str">
            <v>7.92419B799D301A001</v>
          </cell>
          <cell r="B3836" t="str">
            <v>ANCHOVY FISH SAUCE 40°N PET BOTTLES 50ML</v>
          </cell>
          <cell r="C3836" t="str">
            <v>NƯỚC MẮM NHỈ CÁ CƠM 40° ĐẠM CHAI PET 50ML</v>
          </cell>
          <cell r="D3836" t="str">
            <v>ANCHOVY FISH SAUCE 40°N PET BOTTLES 50ML</v>
          </cell>
          <cell r="E3836">
            <v>0.06</v>
          </cell>
          <cell r="F3836" t="str">
            <v>Chọn</v>
          </cell>
          <cell r="G3836"/>
          <cell r="H3836"/>
        </row>
        <row r="3837">
          <cell r="A3837" t="str">
            <v>7.92419B799D301A2</v>
          </cell>
          <cell r="B3837" t="str">
            <v>ANCHOVY FISH SAUCE 25°N PET BOTTLES 50ML X 100 BOT IN CARTON</v>
          </cell>
          <cell r="C3837" t="str">
            <v>NƯỚC MẮM NHỈ CÁ CƠM 25° ĐẠM CHAI PET 50ML X 100 CHAI ĐÓNG TRONG THÙNG CARTON</v>
          </cell>
          <cell r="D3837" t="str">
            <v>ANCHOVY FISH SAUCE 25°N PET BOTTLES 50ML X 100 BOT IN CARTON</v>
          </cell>
          <cell r="E3837">
            <v>6</v>
          </cell>
          <cell r="F3837" t="str">
            <v>Chọn</v>
          </cell>
          <cell r="G3837"/>
          <cell r="H3837" t="str">
            <v>7.92419B799D301A201</v>
          </cell>
        </row>
        <row r="3838">
          <cell r="A3838" t="str">
            <v>7.92419B799D301A201</v>
          </cell>
          <cell r="B3838" t="str">
            <v>ANCHOVY FISH SAUCE 25°N PET BOTTLES 50ML</v>
          </cell>
          <cell r="C3838" t="str">
            <v>NƯỚC MẮM NHỈ CÁ CƠM 25° ĐẠM CHAI PET 50ML</v>
          </cell>
          <cell r="D3838" t="str">
            <v>ANCHOVY FISH SAUCE 25°N PET BOTTLES 50ML</v>
          </cell>
          <cell r="E3838">
            <v>0.06</v>
          </cell>
          <cell r="F3838" t="str">
            <v>Chọn</v>
          </cell>
          <cell r="G3838"/>
          <cell r="H3838"/>
        </row>
        <row r="3839">
          <cell r="A3839" t="str">
            <v>7.A320108990101A5</v>
          </cell>
          <cell r="B3839" t="str">
            <v>MEIZAN PREMIUM EGG NOODLE - THIN ROUND STRING 500G X 12 PACKS</v>
          </cell>
          <cell r="C3839" t="str">
            <v>MÌ TRỨNG CAO CẤP MEIZAN - SỢI NHỎ 500G X 12 GÓI</v>
          </cell>
          <cell r="D3839" t="str">
            <v>MEIZAN PREMIUM EGG NOODLE - THIN ROUND STRING 500G X 12 PACKS</v>
          </cell>
          <cell r="E3839">
            <v>6</v>
          </cell>
          <cell r="F3839" t="str">
            <v>Bỏ chọn</v>
          </cell>
          <cell r="G3839"/>
          <cell r="H3839"/>
        </row>
        <row r="3840">
          <cell r="A3840" t="str">
            <v>7.A320108990101A501</v>
          </cell>
          <cell r="B3840" t="str">
            <v>MEIZAN PREMIUM EGG NOODLE - THIN ROUND STRING 500G</v>
          </cell>
          <cell r="C3840" t="str">
            <v>MÌ TRỨNG CAO CẤP MEIZAN - SỢI NHỎ 500G</v>
          </cell>
          <cell r="D3840" t="str">
            <v>MEIZAN PREMIUM EGG NOODLE - THIN ROUND STRING 500G</v>
          </cell>
          <cell r="E3840">
            <v>0.5</v>
          </cell>
          <cell r="F3840" t="str">
            <v>Bỏ chọn</v>
          </cell>
          <cell r="G3840"/>
          <cell r="H3840"/>
        </row>
        <row r="3841">
          <cell r="A3841" t="str">
            <v>7.705F7</v>
          </cell>
          <cell r="B3841" t="str">
            <v>FATTY ALCOHOL POLYOXYMETHYLENE ETHER AEO-7  IN BOTTLE 1KG</v>
          </cell>
          <cell r="C3841" t="str">
            <v>FATTY ALCOHOL POLYOXYMETHYLENE ETHER AEO-7 - CHẤT HỮU CƠ HOẠT ĐỘNG BỀ MẶT DẠNG KHÔNG PHÂN LY AEO-7 ĐÓNG TRONG CHAI 1KG</v>
          </cell>
          <cell r="D3841" t="str">
            <v>FATTY ALCOHOL POLYOXYMETHYLENE ETHER AEO-7  IN BOTTLE 1KG</v>
          </cell>
          <cell r="E3841">
            <v>1</v>
          </cell>
          <cell r="F3841" t="str">
            <v>Chọn</v>
          </cell>
          <cell r="G3841"/>
          <cell r="H3841"/>
        </row>
        <row r="3842">
          <cell r="A3842" t="str">
            <v>7.52399229905K3</v>
          </cell>
          <cell r="B3842" t="str">
            <v>BLUE COMPASS - MESA 25KG</v>
          </cell>
          <cell r="C3842" t="str">
            <v>BỘT MÌ HIỆU LA BÀN XANH 25KG</v>
          </cell>
          <cell r="D3842" t="str">
            <v>BLUE COMPASS - MESA 25KG</v>
          </cell>
          <cell r="E3842">
            <v>1</v>
          </cell>
          <cell r="F3842" t="str">
            <v>Bỏ chọn</v>
          </cell>
          <cell r="G3842"/>
          <cell r="H3842"/>
        </row>
        <row r="3843">
          <cell r="A3843" t="str">
            <v>7.705F8</v>
          </cell>
          <cell r="B3843" t="str">
            <v>MEDIUM CHAIN FATTY ACID (MCFA) IN JERRY CAN 3.5KG</v>
          </cell>
          <cell r="C3843" t="str">
            <v>MEDIUM CHAIN FATTY ACID (MCFA) -HỖN HỢP AXIT BÉO MẠCH TRUNG BÌNH TÁCH TỪ DẦU NHÂN CỌ, BỔ SUNG HỖN HỢP AXIT BÉO MẠCH TRUNG BÌNH TRONG THỨC ĂN CHO LỢN,GIA CẦM ĐÓNG TRONG CAN 3.5KG</v>
          </cell>
          <cell r="D3843" t="str">
            <v>MEDIUM CHAIN FATTY ACID (MCFA) IN JERRY CAN 3.5KG</v>
          </cell>
          <cell r="E3843">
            <v>1</v>
          </cell>
          <cell r="F3843" t="str">
            <v>Chọn</v>
          </cell>
          <cell r="G3843"/>
          <cell r="H3843"/>
        </row>
        <row r="3844">
          <cell r="A3844" t="str">
            <v>7.458050051700000TD</v>
          </cell>
          <cell r="B3844" t="str">
            <v>SIMPLY PURE SUNFLOWER OIL 2L</v>
          </cell>
          <cell r="C3844" t="str">
            <v>DẦU HƯỚNG DƯƠNG NHÃN HIỆU SIMPLY 2L</v>
          </cell>
          <cell r="D3844" t="str">
            <v xml:space="preserve">SIMPLY PURE SUNFLOWER OIL 2L_x000D_
</v>
          </cell>
          <cell r="E3844">
            <v>1.82</v>
          </cell>
          <cell r="F3844" t="str">
            <v>Chọn</v>
          </cell>
          <cell r="G3844"/>
          <cell r="H3844"/>
        </row>
        <row r="3845">
          <cell r="A3845" t="str">
            <v>V39.000.068</v>
          </cell>
          <cell r="B3845" t="str">
            <v>WCLV UNIFORM SHIRT FOR MALE (GREEN)</v>
          </cell>
          <cell r="C3845" t="str">
            <v>ÁO ĐỒNG PHỤC WCLV NAM (MÀU XANH)</v>
          </cell>
          <cell r="D3845" t="str">
            <v>WCLV UNIFORM SHIRT FOR MALE (GREEN)</v>
          </cell>
          <cell r="E3845">
            <v>0</v>
          </cell>
          <cell r="F3845" t="str">
            <v>Chọn</v>
          </cell>
          <cell r="G3845"/>
          <cell r="H3845"/>
        </row>
        <row r="3846">
          <cell r="A3846" t="str">
            <v>V39.000.069</v>
          </cell>
          <cell r="B3846" t="str">
            <v>WCLV UNIFORM SHIRT FOR FEMALE (GREEN)</v>
          </cell>
          <cell r="C3846" t="str">
            <v>ÁO ĐỒNG PHỤC WCLV NỮ (MÀU XANH)</v>
          </cell>
          <cell r="D3846" t="str">
            <v>WCLV UNIFORM SHIRT FOR FEMALE (GREEN)</v>
          </cell>
          <cell r="E3846">
            <v>0</v>
          </cell>
          <cell r="F3846" t="str">
            <v>Chọn</v>
          </cell>
          <cell r="G3846"/>
          <cell r="H3846"/>
        </row>
        <row r="3847">
          <cell r="A3847" t="str">
            <v>V51.600.257</v>
          </cell>
          <cell r="B3847" t="str">
            <v>WEANING BOWL SET</v>
          </cell>
          <cell r="C3847" t="str">
            <v>BỘ DỤNG CỤ ĂN DẶM CHO TRẺ EM</v>
          </cell>
          <cell r="D3847" t="str">
            <v>WEANING BOWL SET</v>
          </cell>
          <cell r="E3847">
            <v>0.13800000000000001</v>
          </cell>
          <cell r="F3847" t="str">
            <v>Bỏ chọn</v>
          </cell>
          <cell r="G3847"/>
          <cell r="H3847"/>
        </row>
        <row r="3848">
          <cell r="A3848" t="str">
            <v>7.52399419905K4</v>
          </cell>
          <cell r="B3848" t="str">
            <v>AP SF34 25KG</v>
          </cell>
          <cell r="C3848" t="str">
            <v>BỘT MÌ HIỆU AP 25KG</v>
          </cell>
          <cell r="D3848" t="str">
            <v>AP SF34 25KG</v>
          </cell>
          <cell r="E3848">
            <v>1</v>
          </cell>
          <cell r="F3848" t="str">
            <v>Bỏ chọn</v>
          </cell>
          <cell r="G3848"/>
          <cell r="H3848"/>
        </row>
        <row r="3849">
          <cell r="A3849" t="str">
            <v>V51.050.031</v>
          </cell>
          <cell r="B3849" t="str">
            <v>MEIZAN PREMIUM MACARONI – STELLINE 200G</v>
          </cell>
          <cell r="C3849" t="str">
            <v>NUI CAO CẤP MEIZAN-HÌNH SAO 200G</v>
          </cell>
          <cell r="D3849" t="str">
            <v>MEIZAN PREMIUM MACARONI – STELLINE 200G</v>
          </cell>
          <cell r="E3849">
            <v>0.2</v>
          </cell>
          <cell r="F3849" t="str">
            <v>Bỏ chọn</v>
          </cell>
          <cell r="G3849"/>
          <cell r="H3849"/>
        </row>
        <row r="3850">
          <cell r="A3850" t="str">
            <v>7.101041792201C50</v>
          </cell>
          <cell r="B3850" t="str">
            <v>RBD PALM OLEIN IV58 IN FLEXIBAG@20MT</v>
          </cell>
          <cell r="C3850" t="str">
            <v>DẦU OLEIN CỌ TINH LUYỆN TRONG TÚI FLEXIBAG</v>
          </cell>
          <cell r="D3850" t="str">
            <v>RBD PALM OLEIN IV58 IN FLEXIBAG@20MT</v>
          </cell>
          <cell r="E3850">
            <v>1</v>
          </cell>
          <cell r="F3850" t="str">
            <v>Chọn</v>
          </cell>
          <cell r="G3850"/>
          <cell r="H3850"/>
        </row>
        <row r="3851">
          <cell r="A3851" t="str">
            <v>V51.153.036</v>
          </cell>
          <cell r="B3851" t="str">
            <v>JUTE BAG</v>
          </cell>
          <cell r="C3851" t="str">
            <v>TÚI VẢI ĐAY</v>
          </cell>
          <cell r="D3851" t="str">
            <v>JUTE BAG</v>
          </cell>
          <cell r="E3851">
            <v>0.18</v>
          </cell>
          <cell r="F3851" t="str">
            <v>Bỏ chọn</v>
          </cell>
          <cell r="G3851"/>
          <cell r="H3851"/>
        </row>
        <row r="3852">
          <cell r="A3852" t="str">
            <v>7.B24012399D20199</v>
          </cell>
          <cell r="B3852" t="str">
            <v>UP SOY SAUCE 4 LITRES X 4 BOTTLES / CARTON</v>
          </cell>
          <cell r="C3852" t="str">
            <v>NƯỚC TƯƠNG UP 4 LÍT X 4 CHAI/ THÙNG</v>
          </cell>
          <cell r="D3852" t="str">
            <v>UP SOY SAUCE 4 LITRES X 4 BOTTLES / CARTON</v>
          </cell>
          <cell r="E3852">
            <v>17.773</v>
          </cell>
          <cell r="F3852" t="str">
            <v>Bỏ chọn</v>
          </cell>
          <cell r="G3852"/>
          <cell r="H3852"/>
        </row>
        <row r="3853">
          <cell r="A3853" t="str">
            <v>7.B24012399D2019901</v>
          </cell>
          <cell r="B3853" t="str">
            <v>UP SOY SAUCE 4 LITRES</v>
          </cell>
          <cell r="C3853" t="str">
            <v>NƯỚC TƯƠNG UP 4 LÍT</v>
          </cell>
          <cell r="D3853" t="str">
            <v xml:space="preserve">UP SOY SAUCE 4 LITRES_x000D_
</v>
          </cell>
          <cell r="E3853">
            <v>4.4432</v>
          </cell>
          <cell r="F3853" t="str">
            <v>Bỏ chọn</v>
          </cell>
          <cell r="G3853"/>
          <cell r="H3853"/>
        </row>
        <row r="3854">
          <cell r="A3854" t="str">
            <v>7.B24019499D40199</v>
          </cell>
          <cell r="B3854" t="str">
            <v>HYDROLYZED VEGETABLE PROTEIN (HVP-2.4N) X 29 LITRES / JRG</v>
          </cell>
          <cell r="C3854" t="str">
            <v>NGUYÊN LIỆU THỰC PHẨM: CỐT NƯỚC TƯƠNG (HVP-2.4N) X 29 LÍT / CAN</v>
          </cell>
          <cell r="D3854" t="str">
            <v>HYDROLYZED VEGETABLE PROTEIN (HVP-2.4N) X 29 LITRES / JRG</v>
          </cell>
          <cell r="E3854">
            <v>34.6</v>
          </cell>
          <cell r="F3854" t="str">
            <v>Bỏ chọn</v>
          </cell>
          <cell r="G3854"/>
          <cell r="H3854"/>
        </row>
        <row r="3855">
          <cell r="A3855" t="str">
            <v>V51.000.173</v>
          </cell>
          <cell r="B3855" t="str">
            <v>DHFOODS HANGER (9 BOXES_27X68)</v>
          </cell>
          <cell r="C3855" t="str">
            <v>VỈ NHỰA DHFOODS (LOẠI 9 HỘC_27X68)</v>
          </cell>
          <cell r="D3855" t="str">
            <v>DHFOODS HANGER (9 BOXES_27X68)</v>
          </cell>
          <cell r="E3855">
            <v>0</v>
          </cell>
          <cell r="F3855" t="str">
            <v>Bỏ chọn</v>
          </cell>
          <cell r="G3855"/>
          <cell r="H3855"/>
        </row>
        <row r="3856">
          <cell r="A3856" t="str">
            <v>V51.000.174</v>
          </cell>
          <cell r="B3856" t="str">
            <v>DHFOODS HOOK</v>
          </cell>
          <cell r="C3856" t="str">
            <v>MÓC TREO DHFOODS</v>
          </cell>
          <cell r="D3856" t="str">
            <v>DHFOODS HOOK</v>
          </cell>
          <cell r="E3856">
            <v>0</v>
          </cell>
          <cell r="F3856" t="str">
            <v>Chọn</v>
          </cell>
          <cell r="G3856"/>
          <cell r="H3856"/>
        </row>
        <row r="3857">
          <cell r="A3857" t="str">
            <v>7.5239904490512</v>
          </cell>
          <cell r="B3857" t="str">
            <v>BROWN COMPASS 111 LAOS 25KG</v>
          </cell>
          <cell r="C3857" t="str">
            <v>BỘT MÌ HIỆU LA BÀN NÂU - 111 (TIẾNG LÀO) 25KG</v>
          </cell>
          <cell r="D3857" t="str">
            <v>BROWN COMPASS 111 LAOS 25KG</v>
          </cell>
          <cell r="E3857">
            <v>1</v>
          </cell>
          <cell r="F3857" t="str">
            <v>Bỏ chọn</v>
          </cell>
          <cell r="G3857"/>
          <cell r="H3857"/>
        </row>
        <row r="3858">
          <cell r="A3858" t="str">
            <v>V51.600.261</v>
          </cell>
          <cell r="B3858" t="str">
            <v>POWER100 GREEN IRON SHELF</v>
          </cell>
          <cell r="C3858" t="str">
            <v>KỆ SẮT POWER100 GREEN</v>
          </cell>
          <cell r="D3858" t="str">
            <v>POWER100 GREEN IRON SHELF</v>
          </cell>
          <cell r="E3858">
            <v>2</v>
          </cell>
          <cell r="F3858" t="str">
            <v>Bỏ chọn</v>
          </cell>
          <cell r="G3858"/>
          <cell r="H3858"/>
        </row>
        <row r="3859">
          <cell r="A3859" t="str">
            <v>V51.600.264</v>
          </cell>
          <cell r="B3859" t="str">
            <v>POWER100 ICOOL 6 ICE BOTTLE</v>
          </cell>
          <cell r="C3859" t="str">
            <v>BÌNH ĐÁ POWER100 ICOOL 6</v>
          </cell>
          <cell r="D3859" t="str">
            <v>POWER100 ICOOL 6 ICE BOTTLE</v>
          </cell>
          <cell r="E3859">
            <v>1.3</v>
          </cell>
          <cell r="F3859" t="str">
            <v>Bỏ chọn</v>
          </cell>
          <cell r="G3859"/>
          <cell r="H3859"/>
        </row>
        <row r="3860">
          <cell r="A3860" t="str">
            <v>7.5239933990601</v>
          </cell>
          <cell r="B3860" t="str">
            <v>SA-3 40KG</v>
          </cell>
          <cell r="C3860" t="str">
            <v>BỘT MÌ HIỆU SA-3 40KG</v>
          </cell>
          <cell r="D3860" t="str">
            <v>SA-3 40KG</v>
          </cell>
          <cell r="E3860">
            <v>1</v>
          </cell>
          <cell r="F3860" t="str">
            <v>Bỏ chọn</v>
          </cell>
          <cell r="G3860"/>
          <cell r="H3860"/>
        </row>
        <row r="3861">
          <cell r="A3861" t="str">
            <v>7.52399089601K5</v>
          </cell>
          <cell r="B3861" t="str">
            <v>MEIZAN INSTANT DRY YEAST - YELLOW LABEL 500GR</v>
          </cell>
          <cell r="C3861" t="str">
            <v>MEN KHÔ DÙNG LIỀN HIỆU MEIZAN- NHÃN VÀNG (500G*20 GÓI/THÙNG)</v>
          </cell>
          <cell r="D3861" t="str">
            <v>MEIZAN INSTANT DRY YEAST - YELLOW LABEL 500GR</v>
          </cell>
          <cell r="E3861">
            <v>10</v>
          </cell>
          <cell r="F3861" t="str">
            <v>Bỏ chọn</v>
          </cell>
          <cell r="G3861"/>
          <cell r="H3861"/>
        </row>
        <row r="3862">
          <cell r="A3862" t="str">
            <v>7.52399089601K501</v>
          </cell>
          <cell r="B3862" t="str">
            <v>MEIZAN INSTANT DRY YEAST - YELLOW LABEL 500GR</v>
          </cell>
          <cell r="C3862" t="str">
            <v>MEN KHÔ DÙNG LIỀN HIỆU MEIZAN- NHÃN VÀNG 500GR (GÓI)</v>
          </cell>
          <cell r="D3862" t="str">
            <v>MEIZAN INSTANT DRY YEAST - YELLOW LABEL 500GR</v>
          </cell>
          <cell r="E3862">
            <v>0.5</v>
          </cell>
          <cell r="F3862" t="str">
            <v>Bỏ chọn</v>
          </cell>
          <cell r="G3862"/>
          <cell r="H3862"/>
        </row>
        <row r="3863">
          <cell r="A3863" t="str">
            <v>7.52399089701K5</v>
          </cell>
          <cell r="B3863" t="str">
            <v>MEIZAN INSTANT DRY YEAST - RED LABEL 500GR</v>
          </cell>
          <cell r="C3863" t="str">
            <v>MEN KHÔ DÙNG LIỀN HIỆU MEIZAN- NHÃN ĐỎ (500G*20 GÓI/THÙNG)</v>
          </cell>
          <cell r="D3863" t="str">
            <v>MEIZAN INSTANT DRY YEAST - RED LABEL 500GR</v>
          </cell>
          <cell r="E3863">
            <v>10</v>
          </cell>
          <cell r="F3863" t="str">
            <v>Bỏ chọn</v>
          </cell>
          <cell r="G3863"/>
          <cell r="H3863"/>
        </row>
        <row r="3864">
          <cell r="A3864" t="str">
            <v>7.52399089701K501</v>
          </cell>
          <cell r="B3864" t="str">
            <v>MEIZAN INSTANT DRY YEAST - RED LABEL 500GR</v>
          </cell>
          <cell r="C3864" t="str">
            <v>MEN KHÔ DÙNG LIỀN HIỆU MEIZAN- NHÃN ĐỎ 500G (GÓI)</v>
          </cell>
          <cell r="D3864" t="str">
            <v>MEIZAN INSTANT DRY YEAST - RED LABEL 500GR</v>
          </cell>
          <cell r="E3864">
            <v>0.5</v>
          </cell>
          <cell r="F3864" t="str">
            <v>Bỏ chọn</v>
          </cell>
          <cell r="G3864"/>
          <cell r="H3864"/>
        </row>
        <row r="3865">
          <cell r="A3865" t="str">
            <v>7.705F9</v>
          </cell>
          <cell r="B3865" t="str">
            <v>MEDIUM CHAIN TRIGLYCERIDE (MCT 6040) IN BOTTLE 1KG</v>
          </cell>
          <cell r="C3865" t="str">
            <v>MCT 6040-HỖN HỢP CÁC ESTE CỦA AXIT BÉO MẠCH TRUNG BÌNH ĐÓNG TRONG CHAI 1KG</v>
          </cell>
          <cell r="D3865" t="str">
            <v>MEDIUM CHAIN TRIGLYCERIDE (MCT 6040) IN BOTTLE 1KG</v>
          </cell>
          <cell r="E3865">
            <v>1</v>
          </cell>
          <cell r="F3865" t="str">
            <v>Chọn</v>
          </cell>
          <cell r="G3865"/>
          <cell r="H3865"/>
        </row>
        <row r="3866">
          <cell r="A3866" t="str">
            <v>7.705G0</v>
          </cell>
          <cell r="B3866" t="str">
            <v>MEDIUM CHAIN TRIGLYCERIDE (MCT 7030) IN BOTTLE 1KG</v>
          </cell>
          <cell r="C3866" t="str">
            <v>MCT 7030-HỖN HỢP CÁC ESTE CỦA AXIT BÉO MẠCH TRUNG BÌNH ĐÓNG TRONG CHAI 1KG</v>
          </cell>
          <cell r="D3866" t="str">
            <v>MEDIUM CHAIN TRIGLYCERIDE (MCT 7030) IN BOTTLE 1KG</v>
          </cell>
          <cell r="E3866">
            <v>1</v>
          </cell>
          <cell r="F3866" t="str">
            <v>Chọn</v>
          </cell>
          <cell r="G3866"/>
          <cell r="H3866"/>
        </row>
        <row r="3867">
          <cell r="A3867" t="str">
            <v>7.458051B51700000TD</v>
          </cell>
          <cell r="B3867" t="str">
            <v>MEIZAN SUNFLOWER OIL 1L</v>
          </cell>
          <cell r="C3867" t="str">
            <v>DẦU HƯỚNG DƯƠNG NHÃN HIỆU MEIZAN 1L</v>
          </cell>
          <cell r="D3867" t="str">
            <v>MEIZAN SUNFLOWER OIL 1L</v>
          </cell>
          <cell r="E3867">
            <v>0.91</v>
          </cell>
          <cell r="F3867" t="str">
            <v>Chọn</v>
          </cell>
          <cell r="G3867"/>
          <cell r="H3867"/>
        </row>
        <row r="3868">
          <cell r="A3868" t="str">
            <v>V51.00A.066</v>
          </cell>
          <cell r="B3868" t="str">
            <v>VIETNAMESE PANCAKE MIX 400G X 12 PAC</v>
          </cell>
          <cell r="C3868" t="str">
            <v>BỘT BÁNH XÈO MEIZAN 400G X 12 GÓI</v>
          </cell>
          <cell r="D3868" t="str">
            <v>VIETNAMESE PANCAKE MIX 400G X 12 PAC</v>
          </cell>
          <cell r="E3868">
            <v>4.8</v>
          </cell>
          <cell r="F3868" t="str">
            <v>Bỏ chọn</v>
          </cell>
          <cell r="G3868"/>
          <cell r="H3868"/>
        </row>
        <row r="3869">
          <cell r="A3869" t="str">
            <v>V51.00A.067</v>
          </cell>
          <cell r="B3869" t="str">
            <v>MEIZAN PREMIUM MACARONI 200G X 24 PAC</v>
          </cell>
          <cell r="C3869" t="str">
            <v>NUI CAO CẤP MEIZAN 200G X 24 GÓI</v>
          </cell>
          <cell r="D3869" t="str">
            <v>MEIZAN PREMIUM MACARONI 200G X 24 PAC</v>
          </cell>
          <cell r="E3869">
            <v>4.8</v>
          </cell>
          <cell r="F3869" t="str">
            <v>Bỏ chọn</v>
          </cell>
          <cell r="G3869"/>
          <cell r="H3869"/>
        </row>
        <row r="3870">
          <cell r="A3870" t="str">
            <v>V51.047.022</v>
          </cell>
          <cell r="B3870" t="str">
            <v>VIETNAMESE PANCAKE MIX 400G X 12 BAG</v>
          </cell>
          <cell r="C3870" t="str">
            <v>BỘT BÁNH XÈO MEIZAN 400G X 12 GÓI</v>
          </cell>
          <cell r="D3870" t="str">
            <v>VIETNAMESE PANCAKE MIX 400G X 12 BAG</v>
          </cell>
          <cell r="E3870">
            <v>4.8</v>
          </cell>
          <cell r="F3870" t="str">
            <v>Bỏ chọn</v>
          </cell>
          <cell r="G3870"/>
          <cell r="H3870"/>
        </row>
        <row r="3871">
          <cell r="A3871" t="str">
            <v>7.52399149906K6</v>
          </cell>
          <cell r="B3871" t="str">
            <v>RED COMPASS - THIEN HUONG 40KG (NON FE&amp;ZN)</v>
          </cell>
          <cell r="C3871" t="str">
            <v>BỘT MÌ HIỆU LA BÀN ĐỎ 40KG</v>
          </cell>
          <cell r="D3871" t="str">
            <v>RED COMPASS - THIEN HUONG 40KG (NON FE&amp;ZN)</v>
          </cell>
          <cell r="E3871">
            <v>1</v>
          </cell>
          <cell r="F3871" t="str">
            <v>Bỏ chọn</v>
          </cell>
          <cell r="G3871"/>
          <cell r="H3871"/>
        </row>
        <row r="3872">
          <cell r="A3872" t="str">
            <v>V51.000.175</v>
          </cell>
          <cell r="B3872" t="str">
            <v>99.99% GOLD RING</v>
          </cell>
          <cell r="C3872" t="str">
            <v>NHẪN VÀNG 99,99% LOẠI 1 CHỈ</v>
          </cell>
          <cell r="D3872" t="str">
            <v>99.99% GOLD RING</v>
          </cell>
          <cell r="E3872">
            <v>0</v>
          </cell>
          <cell r="F3872" t="str">
            <v>Chọn</v>
          </cell>
          <cell r="G3872"/>
          <cell r="H3872"/>
        </row>
        <row r="3873">
          <cell r="A3873" t="str">
            <v>7.52399079905K7</v>
          </cell>
          <cell r="B3873" t="str">
            <v>GREEN KEY - HCM 25KG (NON FE&amp;ZN)</v>
          </cell>
          <cell r="C3873" t="str">
            <v>BỘT MÌ HIỆU CHÌA KHÓA XANH LÁ 25KG</v>
          </cell>
          <cell r="D3873" t="str">
            <v>GREEN KEY - HCM 25KG (NON FE&amp;ZN)</v>
          </cell>
          <cell r="E3873">
            <v>1</v>
          </cell>
          <cell r="F3873" t="str">
            <v>Bỏ chọn</v>
          </cell>
          <cell r="G3873"/>
          <cell r="H3873"/>
        </row>
        <row r="3874">
          <cell r="A3874" t="str">
            <v>7.705G1</v>
          </cell>
          <cell r="B3874" t="str">
            <v>GENAGEN CAB UQS 0200, DRUM 200KGS</v>
          </cell>
          <cell r="C3874" t="str">
            <v>CHẤT HOẠT ĐỘNG BỀ MẶT GENAGEN CAB UQS 0200, PHUY 200KG</v>
          </cell>
          <cell r="D3874" t="str">
            <v>GENAGEN CAB UQS 0200, DRUM 200KGS</v>
          </cell>
          <cell r="E3874">
            <v>1</v>
          </cell>
          <cell r="F3874" t="str">
            <v>Chọn</v>
          </cell>
          <cell r="G3874"/>
          <cell r="H3874"/>
        </row>
        <row r="3875">
          <cell r="A3875" t="str">
            <v>6.52299R711</v>
          </cell>
          <cell r="B3875" t="str">
            <v>NOODLE FLOUR (PROTEIN 10%,ASH 0.55%)</v>
          </cell>
          <cell r="C3875" t="str">
            <v>BỘT MÌ HIỆU VFM-2 BULK</v>
          </cell>
          <cell r="D3875" t="str">
            <v>VFM-2 IN-BULK</v>
          </cell>
          <cell r="E3875">
            <v>1</v>
          </cell>
          <cell r="F3875" t="str">
            <v>Chọn</v>
          </cell>
          <cell r="G3875"/>
          <cell r="H3875"/>
        </row>
        <row r="3876">
          <cell r="A3876" t="str">
            <v>6.52299R712</v>
          </cell>
          <cell r="B3876" t="str">
            <v>NOODLE FLOUR (PROTEIN 10%,ASH 0.6%)</v>
          </cell>
          <cell r="C3876" t="str">
            <v>BỘT MÌ HIỆU VFM-4 BULK</v>
          </cell>
          <cell r="D3876" t="str">
            <v>VFM-4 IN-BULK</v>
          </cell>
          <cell r="E3876">
            <v>1</v>
          </cell>
          <cell r="F3876" t="str">
            <v>Chọn</v>
          </cell>
          <cell r="G3876"/>
          <cell r="H3876"/>
        </row>
        <row r="3877">
          <cell r="A3877" t="str">
            <v>7.706102173201200TD</v>
          </cell>
          <cell r="B3877" t="str">
            <v>WILFARIN REFINED GLYCERINE 99.7% IN JERRY CAN 30KG</v>
          </cell>
          <cell r="C3877" t="str">
            <v>PHỤ GIA THỰC PHẨM GLYXERIN TINH KHIẾT 99,7% WILFARIN - ĐÓNG TRONG CAN 30KG</v>
          </cell>
          <cell r="D3877" t="str">
            <v>WILFARIN REFINED GLYCERINE 99.7% IN JERRY CAN 30KG</v>
          </cell>
          <cell r="E3877">
            <v>1</v>
          </cell>
          <cell r="F3877" t="str">
            <v>Chọn</v>
          </cell>
          <cell r="G3877"/>
          <cell r="H3877"/>
        </row>
        <row r="3878">
          <cell r="A3878" t="str">
            <v>7.B24012399370104TD</v>
          </cell>
          <cell r="B3878" t="str">
            <v>PREMIUM SOYA SAUCE 500ML X 24 BOT/ CAR</v>
          </cell>
          <cell r="C3878" t="str">
            <v>NƯỚC TƯƠNG THƯỢNG HẠNG 500ML X 24 CHAI/THÙNG</v>
          </cell>
          <cell r="D3878" t="str">
            <v>PREMIUM SOYA SAUCE 500ML X 24 BOT/ CAR</v>
          </cell>
          <cell r="E3878">
            <v>13.385999999999999</v>
          </cell>
          <cell r="F3878" t="str">
            <v>Bỏ chọn</v>
          </cell>
          <cell r="G3878"/>
          <cell r="H3878"/>
        </row>
        <row r="3879">
          <cell r="A3879" t="str">
            <v>7.B2401239937010401TD</v>
          </cell>
          <cell r="B3879" t="str">
            <v>PREMIUM SOYA SAUCE 500ML</v>
          </cell>
          <cell r="C3879" t="str">
            <v>NƯỚC TƯƠNG THƯỢNG HẠNG 500ML</v>
          </cell>
          <cell r="D3879" t="str">
            <v>PREMIUM SOYA SAUCE 500ML</v>
          </cell>
          <cell r="E3879">
            <v>0.55800000000000005</v>
          </cell>
          <cell r="F3879" t="str">
            <v>Bỏ chọn</v>
          </cell>
          <cell r="G3879"/>
          <cell r="H3879"/>
        </row>
        <row r="3880">
          <cell r="A3880" t="str">
            <v>7.B251108990501</v>
          </cell>
          <cell r="B3880" t="str">
            <v>MONOSODIUM GLUTAMATE 25KG</v>
          </cell>
          <cell r="C3880" t="str">
            <v>BỘT NGỌT 25KG</v>
          </cell>
          <cell r="D3880" t="str">
            <v>MONOSODIUM GLUTAMATE 25KG</v>
          </cell>
          <cell r="E3880">
            <v>25</v>
          </cell>
          <cell r="F3880" t="str">
            <v>Bỏ chọn</v>
          </cell>
          <cell r="G3880" t="str">
            <v>2000000008</v>
          </cell>
          <cell r="H3880"/>
        </row>
        <row r="3881">
          <cell r="A3881" t="str">
            <v>V39.00A.011</v>
          </cell>
          <cell r="B3881" t="str">
            <v>UNIFORM T-SHIRT FOR STAFF</v>
          </cell>
          <cell r="C3881" t="str">
            <v>ÁO THUN ĐỒNG PHỤC NHÂN VIÊN CHUYÊN TRÁCH</v>
          </cell>
          <cell r="D3881" t="str">
            <v>UNIFORM T-SHIRT FOR STAFF</v>
          </cell>
          <cell r="E3881">
            <v>0</v>
          </cell>
          <cell r="F3881" t="str">
            <v>Bỏ chọn</v>
          </cell>
          <cell r="G3881"/>
          <cell r="H3881"/>
        </row>
        <row r="3882">
          <cell r="A3882" t="str">
            <v>V51.00A.069</v>
          </cell>
          <cell r="B3882" t="str">
            <v>DHFOODS AW FOR SAMPLING BOOTH (4 PCS/SET)</v>
          </cell>
          <cell r="C3882" t="str">
            <v>BẢNG IN TRANG TRÍ XE SAMPLING DHFOODS (4 TẤM/BỘ)</v>
          </cell>
          <cell r="D3882" t="str">
            <v>DHFOODS AW FOR SAMPLING BOOTH (4 PCS/SET)</v>
          </cell>
          <cell r="E3882">
            <v>0</v>
          </cell>
          <cell r="F3882" t="str">
            <v>Chọn</v>
          </cell>
          <cell r="G3882"/>
          <cell r="H3882"/>
        </row>
        <row r="3883">
          <cell r="A3883" t="str">
            <v>V51.00A.070</v>
          </cell>
          <cell r="B3883" t="str">
            <v>DHFOODS AW FOR SAMPLING COUNTER (3 PCS/SET)</v>
          </cell>
          <cell r="C3883" t="str">
            <v>BẢNG IN TRANG TRÍ BÀN SAMPLING DHFOODS (3 TẤM/BỘ)</v>
          </cell>
          <cell r="D3883" t="str">
            <v>DHFOODS AW FOR SAMPLING COUNTER (3 PCS/SET)</v>
          </cell>
          <cell r="E3883">
            <v>0</v>
          </cell>
          <cell r="F3883" t="str">
            <v>Bỏ chọn</v>
          </cell>
          <cell r="G3883"/>
          <cell r="H3883"/>
        </row>
        <row r="3884">
          <cell r="A3884" t="str">
            <v>V51.00A.068</v>
          </cell>
          <cell r="B3884" t="str">
            <v>DHFOODS CARTON DISPLAY TRAY</v>
          </cell>
          <cell r="C3884" t="str">
            <v>KỆ GIẤY TRƯNG BÀY DHFOODS</v>
          </cell>
          <cell r="D3884" t="str">
            <v>DHFOODS CARTON DISPLAY TRAY</v>
          </cell>
          <cell r="E3884">
            <v>0</v>
          </cell>
          <cell r="F3884" t="str">
            <v>Bỏ chọn</v>
          </cell>
          <cell r="G3884"/>
          <cell r="H3884"/>
        </row>
        <row r="3885">
          <cell r="A3885" t="str">
            <v>7.705G2</v>
          </cell>
          <cell r="B3885" t="str">
            <v>HYDROGENATED PALM FATTY ACIDS - MEGA-ENERGY IN BAG 25KG</v>
          </cell>
          <cell r="C3885" t="str">
            <v>AXIT BÉO ĐÃ HYDRO HÓA- MEGA-ENERGY TRONG TÚI 25KG</v>
          </cell>
          <cell r="D3885" t="str">
            <v>HYDROGENATED PALM FATTY ACIDS - MEGA-ENERGY IN BAG 25KG</v>
          </cell>
          <cell r="E3885">
            <v>1</v>
          </cell>
          <cell r="F3885" t="str">
            <v>Chọn</v>
          </cell>
          <cell r="G3885"/>
          <cell r="H3885"/>
        </row>
        <row r="3886">
          <cell r="A3886" t="str">
            <v>7.707658O828170000</v>
          </cell>
          <cell r="B3886" t="str">
            <v>POWER100 GREEN DWL GRAPE BTL @3.6KG+750G</v>
          </cell>
          <cell r="C3886" t="str">
            <v>NƯỚC RỬA CHÉN POWER100 GREEN TINH DẦU BƯỞI TÂY 3.6KG KÈM NƯỚC RỬA CHÉN POWER100 GREEN TINH DẦU BƯỞI TÂY 750G</v>
          </cell>
          <cell r="D3886" t="str">
            <v>POWER100 GREEN DWL GRAPE BTL @3.6KG+750G</v>
          </cell>
          <cell r="E3886">
            <v>4.3499999999999996</v>
          </cell>
          <cell r="F3886" t="str">
            <v>Chọn</v>
          </cell>
          <cell r="G3886"/>
          <cell r="H3886"/>
        </row>
        <row r="3887">
          <cell r="A3887" t="str">
            <v>7.707658O82817000H</v>
          </cell>
          <cell r="B3887" t="str">
            <v>POWER100 GREEN DWLGRAPE(3.6KG+750G)*4BTL</v>
          </cell>
          <cell r="C3887" t="str">
            <v>NƯỚC RỬA CHÉN POWER100 GREEN TINH DẦU BƯỞI TÂY 3.6KG*4 KÈM NƯỚC RỬA CHÉN POWER100 GREEN TINH DẦU BƯỞI TÂY 750G</v>
          </cell>
          <cell r="D3887" t="str">
            <v>POWER100 GREEN DWLGRAPE(3.6KG+750G)*4BTL</v>
          </cell>
          <cell r="E3887">
            <v>17.399999999999999</v>
          </cell>
          <cell r="F3887" t="str">
            <v>Chọn</v>
          </cell>
          <cell r="G3887"/>
          <cell r="H3887" t="str">
            <v>7.707658O828170000</v>
          </cell>
        </row>
        <row r="3888">
          <cell r="A3888" t="str">
            <v>7.707658O928170000</v>
          </cell>
          <cell r="B3888" t="str">
            <v>POWER100 GREEN DWL GRAPE BTL @750G+750G</v>
          </cell>
          <cell r="C3888" t="str">
            <v>NƯỚC RỬA CHÉN POWER100 GREEN TINH DẦU BƯỞI TÂY 750G KÈM NƯỚC RỬA CHÉN POWER100 GREEN TINH DẦU BƯỞI TÂY 750G</v>
          </cell>
          <cell r="D3888" t="str">
            <v>POWER100 GREEN DWL GRAPE BTL @750G+750G</v>
          </cell>
          <cell r="E3888">
            <v>1.5</v>
          </cell>
          <cell r="F3888" t="str">
            <v>Chọn</v>
          </cell>
          <cell r="G3888"/>
          <cell r="H3888"/>
        </row>
        <row r="3889">
          <cell r="A3889" t="str">
            <v>7.705G3</v>
          </cell>
          <cell r="B3889" t="str">
            <v>DISTILLED MONOGLYCERIDE IN BAG 25KG</v>
          </cell>
          <cell r="C3889" t="str">
            <v>DISTILLED MONOGLYCERIDE - LÀM CHẤT NHŨ HÓA, CHẤT CHỐNG TẠO BỌT, CHẤT LÀM BÓNG, CHẤT ỔN ĐỊNH DÙNG CHO THỰC PHẨM ĐÓNG TRONG BAO 25KG</v>
          </cell>
          <cell r="D3889" t="str">
            <v>DISTILLED MONOGLYCERIDE IN BAG 25KG</v>
          </cell>
          <cell r="E3889">
            <v>1</v>
          </cell>
          <cell r="F3889" t="str">
            <v>Chọn</v>
          </cell>
          <cell r="G3889"/>
          <cell r="H3889"/>
        </row>
        <row r="3890">
          <cell r="A3890" t="str">
            <v>7.52899389930A0</v>
          </cell>
          <cell r="B3890" t="str">
            <v>SAMPLE POLLARD 3KG</v>
          </cell>
          <cell r="C3890" t="str">
            <v>CÁM MÌ HIỆU POLLARD 3KG</v>
          </cell>
          <cell r="D3890" t="str">
            <v>SAMPLE POLLARD 3KG</v>
          </cell>
          <cell r="E3890">
            <v>1</v>
          </cell>
          <cell r="F3890" t="str">
            <v>Bỏ chọn</v>
          </cell>
          <cell r="G3890"/>
          <cell r="H3890"/>
        </row>
        <row r="3891">
          <cell r="A3891" t="str">
            <v>7.52899389903A0</v>
          </cell>
          <cell r="B3891" t="str">
            <v>SAMPLE POLLARD 5KG</v>
          </cell>
          <cell r="C3891" t="str">
            <v>CÁM MÌ HIỆU POLLARD 5KG</v>
          </cell>
          <cell r="D3891" t="str">
            <v>SAMPLE POLLARD 5KG</v>
          </cell>
          <cell r="E3891">
            <v>1</v>
          </cell>
          <cell r="F3891" t="str">
            <v>Bỏ chọn</v>
          </cell>
          <cell r="G3891"/>
          <cell r="H3891"/>
        </row>
        <row r="3892">
          <cell r="A3892" t="str">
            <v>7.52399419930A0</v>
          </cell>
          <cell r="B3892" t="str">
            <v>SAMPLE AP 3KG</v>
          </cell>
          <cell r="C3892" t="str">
            <v>BỘT MÌ HIỆU AP 3KG</v>
          </cell>
          <cell r="D3892" t="str">
            <v>SAMPLE AP 3KG</v>
          </cell>
          <cell r="E3892">
            <v>1</v>
          </cell>
          <cell r="F3892" t="str">
            <v>Bỏ chọn</v>
          </cell>
          <cell r="G3892"/>
          <cell r="H3892"/>
        </row>
        <row r="3893">
          <cell r="A3893" t="str">
            <v>7.52399419903A0</v>
          </cell>
          <cell r="B3893" t="str">
            <v>SAMPLE AP 5KG</v>
          </cell>
          <cell r="C3893" t="str">
            <v>BỘT MÌ HIỆU AP 5KG</v>
          </cell>
          <cell r="D3893" t="str">
            <v>SAMPLE AP 5KG</v>
          </cell>
          <cell r="E3893">
            <v>1</v>
          </cell>
          <cell r="F3893" t="str">
            <v>Bỏ chọn</v>
          </cell>
          <cell r="G3893"/>
          <cell r="H3893"/>
        </row>
        <row r="3894">
          <cell r="A3894" t="str">
            <v>7.705G4</v>
          </cell>
          <cell r="B3894" t="str">
            <v>SODIUM LAURYL SULPHATE IN BAG 25KG</v>
          </cell>
          <cell r="C3894" t="str">
            <v>CHẤT HOẠT ĐỘNG BỀ MẶT - SODIUM LAURYL SULPHATE ĐÓNG TRONG BAO 25KG</v>
          </cell>
          <cell r="D3894" t="str">
            <v>SODIUM LAURYL SULPHATE IN BAG 25KG</v>
          </cell>
          <cell r="E3894">
            <v>1</v>
          </cell>
          <cell r="F3894" t="str">
            <v>Chọn</v>
          </cell>
          <cell r="G3894"/>
          <cell r="H3894"/>
        </row>
        <row r="3895">
          <cell r="A3895" t="str">
            <v>7.B24012399D50104</v>
          </cell>
          <cell r="B3895" t="str">
            <v>PREMIUM SOY SAUCE 210ML X 24 BOT / CAR</v>
          </cell>
          <cell r="C3895" t="str">
            <v>NƯỚC TƯƠNG THƯỢNG HẠNG 210ML X 24 CHAI / THÙNG</v>
          </cell>
          <cell r="D3895" t="str">
            <v>PREMIUM SOY SAUCE 210ML X 24 BOT / CAR</v>
          </cell>
          <cell r="E3895">
            <v>5.6219999999999999</v>
          </cell>
          <cell r="F3895" t="str">
            <v>Bỏ chọn</v>
          </cell>
          <cell r="G3895" t="str">
            <v>2000000008</v>
          </cell>
          <cell r="H3895" t="str">
            <v>7.B2401239940010401</v>
          </cell>
        </row>
        <row r="3896">
          <cell r="A3896" t="str">
            <v>7.706102031401200</v>
          </cell>
          <cell r="B3896" t="str">
            <v>WILFARIN REFINED GLYCERINE 99.7 DR@250KG</v>
          </cell>
          <cell r="C3896" t="str">
            <v>PHỤ GIA THỰC PHẨM GLYXERIN TINH KHIẾT 99,7% - WILFARIN, ĐÓNG TRONG PHUY 250KG</v>
          </cell>
          <cell r="D3896" t="str">
            <v>WILFARIN REFINED GLYCERINE 99.7 DR@250KG</v>
          </cell>
          <cell r="E3896">
            <v>250</v>
          </cell>
          <cell r="F3896" t="str">
            <v>Chọn</v>
          </cell>
          <cell r="G3896"/>
          <cell r="H3896"/>
        </row>
        <row r="3897">
          <cell r="A3897" t="str">
            <v>7.706102451701200</v>
          </cell>
          <cell r="B3897" t="str">
            <v>WILFARIN REFINED GLYCERINE 99.7 FXB@20MT</v>
          </cell>
          <cell r="C3897" t="str">
            <v>PHỤ GIA THỰC PHẨM GLYXERIN TINH KHIẾT 99,7% - WILFARIN, ĐÓNG TRONG TÚI FLEXIBAG</v>
          </cell>
          <cell r="D3897" t="str">
            <v>WILFARIN REFINED GLYCERINE 99.7 FXB@20MT</v>
          </cell>
          <cell r="E3897">
            <v>1</v>
          </cell>
          <cell r="F3897" t="str">
            <v>Chọn</v>
          </cell>
          <cell r="G3897"/>
          <cell r="H3897"/>
        </row>
        <row r="3898">
          <cell r="A3898" t="str">
            <v>6.7064046</v>
          </cell>
          <cell r="B3898" t="str">
            <v>WILFARIN REFINED GLYCERINE 99.7%</v>
          </cell>
          <cell r="C3898" t="str">
            <v>PHỤ GIA THỰC PHẨM GLYXERIN TINH KHIẾT 99,7% - WILFARIN</v>
          </cell>
          <cell r="D3898" t="str">
            <v>WILFARIN REFINED GLYCERINE 99.7%</v>
          </cell>
          <cell r="E3898">
            <v>1</v>
          </cell>
          <cell r="F3898" t="str">
            <v>Chọn</v>
          </cell>
          <cell r="G3898"/>
          <cell r="H3898"/>
        </row>
        <row r="3899">
          <cell r="A3899" t="str">
            <v>7.G4001B598320199</v>
          </cell>
          <cell r="B3899" t="str">
            <v>VINATEA VIET FLAVOR 200G</v>
          </cell>
          <cell r="C3899" t="str">
            <v>TRÀ VINATEA HƯƠNG VIỆT 200G</v>
          </cell>
          <cell r="D3899" t="str">
            <v>VINATEA VIET FLAVOR 200G</v>
          </cell>
          <cell r="E3899">
            <v>0.2</v>
          </cell>
          <cell r="F3899" t="str">
            <v>Chọn</v>
          </cell>
          <cell r="G3899"/>
          <cell r="H3899"/>
        </row>
        <row r="3900">
          <cell r="A3900" t="str">
            <v>7.5239917480518</v>
          </cell>
          <cell r="B3900" t="str">
            <v>RED SATELLITE KINH DO 25KG</v>
          </cell>
          <cell r="C3900" t="str">
            <v>BỘT MÌ HIỆU VỆ TINH ĐỎ 25KG</v>
          </cell>
          <cell r="D3900" t="str">
            <v>RED SATELLITE KINH DO 25KG</v>
          </cell>
          <cell r="E3900">
            <v>1</v>
          </cell>
          <cell r="F3900" t="str">
            <v>Bỏ chọn</v>
          </cell>
          <cell r="G3900"/>
          <cell r="H3900"/>
        </row>
        <row r="3901">
          <cell r="A3901" t="str">
            <v>7.G4001B599330186</v>
          </cell>
          <cell r="B3901" t="str">
            <v>VINATEA JASMINE FLAVORED TEA 400G X 10 BAGS IN CARTON</v>
          </cell>
          <cell r="C3901" t="str">
            <v>TRÀ VINATEA HƯƠNG NHÀI 400G X 10 TÚI ĐÓNG TRONG THÙNG CARTON</v>
          </cell>
          <cell r="D3901" t="str">
            <v>VINATEA JASMINE FLAVORED TEA 400G X 10 BAGS IN CARTON</v>
          </cell>
          <cell r="E3901">
            <v>4</v>
          </cell>
          <cell r="F3901" t="str">
            <v>Chọn</v>
          </cell>
          <cell r="G3901"/>
          <cell r="H3901" t="str">
            <v>7.G4001B59933018601</v>
          </cell>
        </row>
        <row r="3902">
          <cell r="A3902" t="str">
            <v>7.G4001B599D60186</v>
          </cell>
          <cell r="B3902" t="str">
            <v>VINATEA JASMINE FLAVORED TEA 70G X 50 BAGS IN CARTON</v>
          </cell>
          <cell r="C3902" t="str">
            <v>TRÀ VINATEA HƯƠNG NHÀI 70G X 50 TÚI ĐÓNG TRONG THÙNG CARTON</v>
          </cell>
          <cell r="D3902" t="str">
            <v>VINATEA JASMINE FLAVORED TEA 70G X 50 BAGS IN CARTON</v>
          </cell>
          <cell r="E3902">
            <v>3.5</v>
          </cell>
          <cell r="F3902" t="str">
            <v>Chọn</v>
          </cell>
          <cell r="G3902"/>
          <cell r="H3902" t="str">
            <v>7.G4001B599D6018601</v>
          </cell>
        </row>
        <row r="3903">
          <cell r="A3903" t="str">
            <v>7.1070123103608250</v>
          </cell>
          <cell r="B3903" t="str">
            <v>MEIZAN MARGARINE VN SAMPLE 200GR X 36</v>
          </cell>
          <cell r="C3903" t="str">
            <v>BƠ THỰC VẬT NHÃN HIỆU MEIZAN 200G HÀNG MẪU</v>
          </cell>
          <cell r="D3903" t="str">
            <v>MEIZAN MARGARINE VN SAMPLE 200GR X 36</v>
          </cell>
          <cell r="E3903">
            <v>7.2</v>
          </cell>
          <cell r="F3903" t="str">
            <v>Chọn</v>
          </cell>
          <cell r="G3903"/>
          <cell r="H3903"/>
        </row>
        <row r="3904">
          <cell r="A3904" t="str">
            <v>7.1070123203628050</v>
          </cell>
          <cell r="B3904" t="str">
            <v>MEIZANMARGARINEVNSAMPLE 800GX12ROUNDTUBE</v>
          </cell>
          <cell r="C3904" t="str">
            <v>BƠ THỰC VẬT NHÃN HIỆU MEIZAN 800G HÀNG MẪU</v>
          </cell>
          <cell r="D3904" t="str">
            <v>MEIZANMARGARINEVNSAMPLE 800GX12ROUNDTUBE</v>
          </cell>
          <cell r="E3904">
            <v>9.6</v>
          </cell>
          <cell r="F3904" t="str">
            <v>Chọn</v>
          </cell>
          <cell r="G3904"/>
          <cell r="H3904"/>
        </row>
        <row r="3905">
          <cell r="A3905" t="str">
            <v>7.G4001B59933018601</v>
          </cell>
          <cell r="B3905" t="str">
            <v>VINATEA JASMINE FLAVORED TEA 400G</v>
          </cell>
          <cell r="C3905" t="str">
            <v>TRÀ VINATEA HƯƠNG NHÀI 400G</v>
          </cell>
          <cell r="D3905" t="str">
            <v>VINATEA JASMINE FLAVORED TEA 400G</v>
          </cell>
          <cell r="E3905">
            <v>0.4</v>
          </cell>
          <cell r="F3905" t="str">
            <v>Chọn</v>
          </cell>
          <cell r="G3905"/>
          <cell r="H3905"/>
        </row>
        <row r="3906">
          <cell r="A3906" t="str">
            <v>7.G4001B599D6018601</v>
          </cell>
          <cell r="B3906" t="str">
            <v>VINATEA JASMINE FLAVORED TEA 70G</v>
          </cell>
          <cell r="C3906" t="str">
            <v>TRÀ VINATEA HƯƠNG NHÀI 70G</v>
          </cell>
          <cell r="D3906" t="str">
            <v>VINATEA JASMINE FLAVORED TEA 70G</v>
          </cell>
          <cell r="E3906">
            <v>7.0000000000000007E-2</v>
          </cell>
          <cell r="F3906" t="str">
            <v>Chọn</v>
          </cell>
          <cell r="G3906"/>
          <cell r="H3906"/>
        </row>
        <row r="3907">
          <cell r="A3907" t="str">
            <v>7.5220680907U1901</v>
          </cell>
          <cell r="B3907" t="str">
            <v>BROWN COMPASS CAKE FL BT PPBAG@40KG</v>
          </cell>
          <cell r="C3907" t="str">
            <v>BỘT MÌ HIỆU LA BÀN NÂU 40KG</v>
          </cell>
          <cell r="D3907" t="str">
            <v>BROWN COMPASS CAKE FL BT PPBAG@40KG</v>
          </cell>
          <cell r="E3907">
            <v>40</v>
          </cell>
          <cell r="F3907" t="str">
            <v>Chọn</v>
          </cell>
          <cell r="G3907"/>
          <cell r="H3907"/>
        </row>
        <row r="3908">
          <cell r="A3908" t="str">
            <v>7.1060140239008010</v>
          </cell>
          <cell r="B3908" t="str">
            <v>SATELLITE SHT MP 48-51 IV 43 PEBAG@20KG</v>
          </cell>
          <cell r="C3908" t="str">
            <v>SHORTENING NHÃN HIỆU SATELLITE 20KG</v>
          </cell>
          <cell r="D3908" t="str">
            <v>SATELLITE SHT MP 48-51 IV 43 PEBAG@20KG</v>
          </cell>
          <cell r="E3908">
            <v>20</v>
          </cell>
          <cell r="F3908" t="str">
            <v>Chọn</v>
          </cell>
          <cell r="G3908"/>
          <cell r="H3908"/>
        </row>
        <row r="3909">
          <cell r="A3909" t="str">
            <v>7.52399049905K8</v>
          </cell>
          <cell r="B3909" t="str">
            <v>BROWN COMPASS - BIBICA 25KG (NON FE&amp;ZN)</v>
          </cell>
          <cell r="C3909" t="str">
            <v>BỘT MÌ HIỆU LA BÀN NÂU 25KG</v>
          </cell>
          <cell r="D3909" t="str">
            <v>BROWN COMPASS - BIBICA 25KG (NON FE&amp;ZN)</v>
          </cell>
          <cell r="E3909">
            <v>1</v>
          </cell>
          <cell r="F3909" t="str">
            <v>Bỏ chọn</v>
          </cell>
          <cell r="G3909"/>
          <cell r="H3909"/>
        </row>
        <row r="3910">
          <cell r="A3910" t="str">
            <v>7.B24022302820199</v>
          </cell>
          <cell r="B3910" t="str">
            <v>HANG VIET CHILI SAUCE 800G X 12 BOT/ CAR</v>
          </cell>
          <cell r="C3910" t="str">
            <v>TƯƠNG ỚT HÀNG VIỆT 800G X 12 CHAI/ THÙNG</v>
          </cell>
          <cell r="D3910" t="str">
            <v>HANG VIET CHILI SAUCE 800G X 12 BOT/ CAR</v>
          </cell>
          <cell r="E3910">
            <v>9.6</v>
          </cell>
          <cell r="F3910" t="str">
            <v>Bỏ chọn</v>
          </cell>
          <cell r="G3910" t="str">
            <v>2000000008</v>
          </cell>
          <cell r="H3910" t="str">
            <v>7.B2402230282019901</v>
          </cell>
        </row>
        <row r="3911">
          <cell r="A3911" t="str">
            <v>7.B2402230282019901</v>
          </cell>
          <cell r="B3911" t="str">
            <v>HANG VIET CHILI SAUCE 800G</v>
          </cell>
          <cell r="C3911" t="str">
            <v>TƯƠNG ỚT HÀNG VIỆT 800G</v>
          </cell>
          <cell r="D3911" t="str">
            <v>HANG VIET CHILI SAUCE 800G</v>
          </cell>
          <cell r="E3911">
            <v>0.8</v>
          </cell>
          <cell r="F3911" t="str">
            <v>Bỏ chọn</v>
          </cell>
          <cell r="G3911" t="str">
            <v>2000000008</v>
          </cell>
          <cell r="H3911"/>
        </row>
        <row r="3912">
          <cell r="A3912" t="str">
            <v>V51.000.176</v>
          </cell>
          <cell r="B3912" t="str">
            <v>WHITE EMPTY PP BAG PRINTED KALI POWDER MATERIAL FOR PRODUCTION, SIZE 50 KG</v>
          </cell>
          <cell r="C3912" t="str">
            <v>BAO PP TRẮNG IN KALI BỘT NGUYÊN LIỆU CHO SẢN XUẤT, LOẠI 50 KG</v>
          </cell>
          <cell r="D3912" t="str">
            <v>WHITE EMPTY PP BAG PRINTED KALI POWDER MATERIAL FOR PRODUCTION, SIZE 50 KG</v>
          </cell>
          <cell r="E3912">
            <v>0.12</v>
          </cell>
          <cell r="F3912" t="str">
            <v>Chọn</v>
          </cell>
          <cell r="G3912"/>
          <cell r="H3912"/>
        </row>
        <row r="3913">
          <cell r="A3913" t="str">
            <v>V51.000.177</v>
          </cell>
          <cell r="B3913" t="str">
            <v>WHITE EMPTY PP BAG PRINTED KALI GRANULAR MATERIAL FOR PRODUCTION, SIZE 50 KG</v>
          </cell>
          <cell r="C3913" t="str">
            <v>BAO PP TRẮNG IN KALI HẠT NGUYÊN LIỆU CHO SẢN XUẤT, LOẠI 50 KG</v>
          </cell>
          <cell r="D3913" t="str">
            <v>WHITE EMPTY PP BAG PRINTED KALI GRANULAR MATERIAL FOR PRODUCTION, SIZE 50 KG</v>
          </cell>
          <cell r="E3913">
            <v>0.12</v>
          </cell>
          <cell r="F3913" t="str">
            <v>Chọn</v>
          </cell>
          <cell r="G3913"/>
          <cell r="H3913"/>
        </row>
        <row r="3914">
          <cell r="A3914" t="str">
            <v>6.7064003</v>
          </cell>
          <cell r="B3914" t="str">
            <v>REFINED GLYCERINE 99.7% MIN</v>
          </cell>
          <cell r="C3914" t="str">
            <v>PHỤ GIA THỰC PHẨM GLYXERIN TINH KHIẾT 99,7%</v>
          </cell>
          <cell r="D3914" t="str">
            <v>REFINED GLYCERINE 99.7% MIN</v>
          </cell>
          <cell r="E3914">
            <v>1</v>
          </cell>
          <cell r="F3914" t="str">
            <v>Chọn</v>
          </cell>
          <cell r="G3914"/>
          <cell r="H3914"/>
        </row>
        <row r="3915">
          <cell r="A3915" t="str">
            <v>7.522068022281901</v>
          </cell>
          <cell r="B3915" t="str">
            <v>BROWNCOMPASS COOKIESFL BIBICA PPBAG@25KG</v>
          </cell>
          <cell r="C3915" t="str">
            <v>BỘT MÌ HIỆU LA BÀN NÂU 25KG</v>
          </cell>
          <cell r="D3915" t="str">
            <v>BROWNCOMPASS COOKIESFL BIBICA PPBAG@25KG</v>
          </cell>
          <cell r="E3915">
            <v>25</v>
          </cell>
          <cell r="F3915" t="str">
            <v>Chọn</v>
          </cell>
          <cell r="G3915"/>
          <cell r="H3915"/>
        </row>
        <row r="3916">
          <cell r="A3916" t="str">
            <v>7.92414B699D70199</v>
          </cell>
          <cell r="B3916" t="str">
            <v>BBQ SAUCE FOR GRILLED MEAT 65G x 120 PCS IN CARTON</v>
          </cell>
          <cell r="C3916" t="str">
            <v>SỐT ƯỚP THỊT NƯỚNG 65G x 120 GÓI ĐÓNG TRONG THÙNG CARTON</v>
          </cell>
          <cell r="D3916" t="str">
            <v>BBQ SAUCE FOR GRILLED MEAT 65G x 120 PCS IN CARTON</v>
          </cell>
          <cell r="E3916">
            <v>7.8</v>
          </cell>
          <cell r="F3916" t="str">
            <v>Chọn</v>
          </cell>
          <cell r="G3916"/>
          <cell r="H3916" t="str">
            <v>7.92414B699D7019901</v>
          </cell>
        </row>
        <row r="3917">
          <cell r="A3917" t="str">
            <v>7.92419B7998501A2</v>
          </cell>
          <cell r="B3917" t="str">
            <v>ANCHOVY FISH SAUCE 25°N PLASTIC BOTTLES 1L X 12 BOT IN CARTON</v>
          </cell>
          <cell r="C3917" t="str">
            <v>NƯỚC MẮM NHỈ CÁ CƠM 25° ĐẠM CHAI PET 1L X 12 CHAI ĐÓNG TRONG THÙNG CARTON</v>
          </cell>
          <cell r="D3917" t="str">
            <v>ANCHOVY FISH SAUCE 25°N PLASTIC BOTTLES 1L X 12 BOT IN CARTON</v>
          </cell>
          <cell r="E3917">
            <v>14.423</v>
          </cell>
          <cell r="F3917" t="str">
            <v>Chọn</v>
          </cell>
          <cell r="G3917"/>
          <cell r="H3917" t="str">
            <v>7.92419B7998501A201</v>
          </cell>
        </row>
        <row r="3918">
          <cell r="A3918" t="str">
            <v>7.92419B7998501A201</v>
          </cell>
          <cell r="B3918" t="str">
            <v>ANCHOVY FISH SAUCE 25°N PLASTIC BOTTLES 1L</v>
          </cell>
          <cell r="C3918" t="str">
            <v>NƯỚC MẮM NHỈ CÁ CƠM 25° ĐẠM CHAI PET 1L</v>
          </cell>
          <cell r="D3918" t="str">
            <v>ANCHOVY FISH SAUCE 25°N PLASTIC BOTTLES 1L</v>
          </cell>
          <cell r="E3918">
            <v>1.202</v>
          </cell>
          <cell r="F3918" t="str">
            <v>Chọn</v>
          </cell>
          <cell r="G3918"/>
          <cell r="H3918"/>
        </row>
        <row r="3919">
          <cell r="A3919" t="str">
            <v>7.92419B7998501A3</v>
          </cell>
          <cell r="B3919" t="str">
            <v>ANCHOVY FISH SAUCE 12°N PLASTIC BOTTLES 1L X 12 BOT IN CARTON</v>
          </cell>
          <cell r="C3919" t="str">
            <v>NƯỚC MẮM CÁ CƠM 12° ĐẠM CHAI PET 1L X 12 CHAI ĐÓNG TRONG THÙNG CARTON</v>
          </cell>
          <cell r="D3919" t="str">
            <v>ANCHOVY FISH SAUCE 12°N PLASTIC BOTTLES 1L X 12 BOT IN CARTON</v>
          </cell>
          <cell r="E3919">
            <v>14.183</v>
          </cell>
          <cell r="F3919" t="str">
            <v>Chọn</v>
          </cell>
          <cell r="G3919"/>
          <cell r="H3919" t="str">
            <v>7.92419B7998501A301</v>
          </cell>
        </row>
        <row r="3920">
          <cell r="A3920" t="str">
            <v>7.92419B7998501A301</v>
          </cell>
          <cell r="B3920" t="str">
            <v>ANCHOVY FISH SAUCE 12°N PLASTIC BOTTLES 1L</v>
          </cell>
          <cell r="C3920" t="str">
            <v>NƯỚC MẮM CÁ CƠM 12° ĐẠM CHAI PET 1L</v>
          </cell>
          <cell r="D3920" t="str">
            <v>ANCHOVY FISH SAUCE 12°N PLASTIC BOTTLES 1L</v>
          </cell>
          <cell r="E3920">
            <v>1.1819999999999999</v>
          </cell>
          <cell r="F3920" t="str">
            <v>Chọn</v>
          </cell>
          <cell r="G3920"/>
          <cell r="H3920"/>
        </row>
        <row r="3921">
          <cell r="A3921" t="str">
            <v>7.F3902B39907K956</v>
          </cell>
          <cell r="B3921" t="str">
            <v>RED STANDARD GRADE MURIATE OF POTASH (MOP)/ KALI (KCL)/WMCLV MURIATE OF POTASH 61 PACKED IN 50KG PP/PE BAG, USED FOR PRODUCTION MATERIAL; CANADA ORIGIN</v>
          </cell>
          <cell r="C3921" t="str">
            <v>WMCLV MURIATE OF POTASH 61 (PHÂN BÓN KALI CLORUA) DẠNG BỘT, ĐÓNG TRONG BAO PP/PE 50KG DÙNG LÀM NGUYÊN LIỆU SẢN XUẤT; XUẤT XỨ CANADA</v>
          </cell>
          <cell r="D3921" t="str">
            <v>RED STANDARD GRADE MURIATE OF POTASH (MOP)/ KALI (KCL)/WMCLV MURIATE OF POTASH 61 PACKED IN 50KG PP/PE BAG, USED FOR PRODUCTION MATERIAL; CANADA ORIGIN</v>
          </cell>
          <cell r="E3921">
            <v>1</v>
          </cell>
          <cell r="F3921" t="str">
            <v>Chọn</v>
          </cell>
          <cell r="G3921"/>
          <cell r="H3921"/>
        </row>
        <row r="3922">
          <cell r="A3922" t="str">
            <v>7.F3902B39907K957</v>
          </cell>
          <cell r="B3922" t="str">
            <v>RED GRANULAR GRADE MURIATE OF POTASH (MOP)/ KALI (KCL)/WMCLV MURIATE OF POTASH 61 PACKED IN 50KG PP/PE BAG, USED FOR PRODUCTION MATERIAL; CANADA ORIGIN</v>
          </cell>
          <cell r="C3922" t="str">
            <v>WMCLV MURIATE OF POTASH 61 (PHÂN BÓN KALI CLORUA) DẠNG HẠT, ĐÓNG TRONG BAO PP/PE 50KG DÙNG LÀM NGUYÊN LIỆU SẢN XUẤT; XUẤT XỨ CANADA</v>
          </cell>
          <cell r="D3922" t="str">
            <v>RED GRANULAR GRADE MURIATE OF POTASH (MOP)/ KALI (KCL)/WMCLV MURIATE OF POTASH 61 PACKED IN 50KG PP/PE BAG, USED FOR PRODUCTION MATERIAL; CANADA ORIGIN</v>
          </cell>
          <cell r="E3922">
            <v>1</v>
          </cell>
          <cell r="F3922" t="str">
            <v>Chọn</v>
          </cell>
          <cell r="G3922"/>
          <cell r="H3922"/>
        </row>
        <row r="3923">
          <cell r="A3923" t="str">
            <v>V51.000.178</v>
          </cell>
          <cell r="B3923" t="str">
            <v>OPP TAPE, LOGO WMCLV, 46.5MM</v>
          </cell>
          <cell r="C3923" t="str">
            <v>BĂNG KEO, LOGO WILMAR CLV, 46.5MM</v>
          </cell>
          <cell r="D3923" t="str">
            <v>OPP TAPE, LOGO WMCLV, 46.5MM</v>
          </cell>
          <cell r="E3923">
            <v>0</v>
          </cell>
          <cell r="F3923" t="str">
            <v>Chọn</v>
          </cell>
          <cell r="G3923"/>
          <cell r="H3923"/>
        </row>
        <row r="3924">
          <cell r="A3924" t="str">
            <v>7.A3308089932011901</v>
          </cell>
          <cell r="B3924" t="str">
            <v>MEIZAN PREMIUM VEGETABLE MACARONI - ELBOW 200G</v>
          </cell>
          <cell r="C3924" t="str">
            <v>NUI RAU CỦ CAO CẤP MEIZAN - CHỮ "C" 200G</v>
          </cell>
          <cell r="D3924" t="str">
            <v>MEIZAN PREMIUM VEGETABLE MACARONI - ELBOW 200G</v>
          </cell>
          <cell r="E3924">
            <v>0.2</v>
          </cell>
          <cell r="F3924" t="str">
            <v>Bỏ chọn</v>
          </cell>
          <cell r="G3924"/>
          <cell r="H3924"/>
        </row>
        <row r="3925">
          <cell r="A3925" t="str">
            <v>7.A33080899320119</v>
          </cell>
          <cell r="B3925" t="str">
            <v>MEIZAN PREMIUM VEGETABLE MACARONI - ELBOW 200G X 24 PAC</v>
          </cell>
          <cell r="C3925" t="str">
            <v>NUI RAU CỦ CAO CẤP MEIZAN - CHỮ "C" 200G X 24 GÓI</v>
          </cell>
          <cell r="D3925" t="str">
            <v>MEIZAN PREMIUM VEGETABLE MACARONI - ELBOW 200G X 24 PAC</v>
          </cell>
          <cell r="E3925">
            <v>4.8</v>
          </cell>
          <cell r="F3925" t="str">
            <v>Bỏ chọn</v>
          </cell>
          <cell r="G3925"/>
          <cell r="H3925"/>
        </row>
        <row r="3926">
          <cell r="A3926" t="str">
            <v>7.B24078299B80116</v>
          </cell>
          <cell r="B3926" t="str">
            <v>THE PIZZA COMPANY TOMATO SAUCE 255G X 24 BOT / CAR</v>
          </cell>
          <cell r="C3926" t="str">
            <v>TƯƠNG CÀ THE PIZZA COMPANY 255G X 24 CHAI / THÙNG</v>
          </cell>
          <cell r="D3926" t="str">
            <v>THE PIZZA COMPANY TOMATO SAUCE 255G X 24 BOT / CAR</v>
          </cell>
          <cell r="E3926">
            <v>6.12</v>
          </cell>
          <cell r="F3926" t="str">
            <v>Bỏ chọn</v>
          </cell>
          <cell r="G3926" t="str">
            <v>2000000008</v>
          </cell>
          <cell r="H3926" t="str">
            <v>7.B24078299B8011601</v>
          </cell>
        </row>
        <row r="3927">
          <cell r="A3927" t="str">
            <v>7.B24078299B8011601</v>
          </cell>
          <cell r="B3927" t="str">
            <v>THE PIZZA COMPANY TOMATO SAUCE 255G</v>
          </cell>
          <cell r="C3927" t="str">
            <v>TƯƠNG CÀ THE PIZZA COMPANY 255G</v>
          </cell>
          <cell r="D3927" t="str">
            <v>THE PIZZA COMPANY TOMATO SAUCE 255G</v>
          </cell>
          <cell r="E3927">
            <v>0.255</v>
          </cell>
          <cell r="F3927" t="str">
            <v>Bỏ chọn</v>
          </cell>
          <cell r="G3927" t="str">
            <v>2000000008</v>
          </cell>
          <cell r="H3927"/>
        </row>
        <row r="3928">
          <cell r="A3928" t="str">
            <v>7.B24028299B80199</v>
          </cell>
          <cell r="B3928" t="str">
            <v>THE PIZZA COMPANY CHILI SAUCE 255G X 24 BOT / CAR</v>
          </cell>
          <cell r="C3928" t="str">
            <v>TƯƠNG ỚT THE PIZZA COMPANY 255G X 24 CHAI / THÙNG</v>
          </cell>
          <cell r="D3928" t="str">
            <v>THE PIZZA COMPANY CHILI SAUCE 255G X 24 BOT / CAR</v>
          </cell>
          <cell r="E3928">
            <v>6.12</v>
          </cell>
          <cell r="F3928" t="str">
            <v>Bỏ chọn</v>
          </cell>
          <cell r="G3928" t="str">
            <v>2000000008</v>
          </cell>
          <cell r="H3928" t="str">
            <v>7.B24028299B8019901</v>
          </cell>
        </row>
        <row r="3929">
          <cell r="A3929" t="str">
            <v>7.B24028299B8019901</v>
          </cell>
          <cell r="B3929" t="str">
            <v>THE PIZZA COMPANY CHILI SAUCE 255G</v>
          </cell>
          <cell r="C3929" t="str">
            <v>TƯƠNG ỚT THE PIZZA COMPANY 255G</v>
          </cell>
          <cell r="D3929" t="str">
            <v>THE PIZZA COMPANY CHILI SAUCE 255G</v>
          </cell>
          <cell r="E3929">
            <v>0.255</v>
          </cell>
          <cell r="F3929" t="str">
            <v>Bỏ chọn</v>
          </cell>
          <cell r="G3929" t="str">
            <v>2000000008</v>
          </cell>
          <cell r="H3929"/>
        </row>
        <row r="3930">
          <cell r="A3930" t="str">
            <v>7.92414B699D7019901</v>
          </cell>
          <cell r="B3930" t="str">
            <v>BBQ SAUCE FOR GRILLED MEAT 65G</v>
          </cell>
          <cell r="C3930" t="str">
            <v>SỐT ƯỚP THỊT NƯỚNG 65G</v>
          </cell>
          <cell r="D3930" t="str">
            <v>BBQ SAUCE FOR GRILLED MEAT 65G</v>
          </cell>
          <cell r="E3930">
            <v>6.5000000000000002E-2</v>
          </cell>
          <cell r="F3930" t="str">
            <v>Chọn</v>
          </cell>
          <cell r="G3930"/>
          <cell r="H3930"/>
        </row>
        <row r="3931">
          <cell r="A3931" t="str">
            <v>V51.000.179</v>
          </cell>
          <cell r="B3931" t="str">
            <v>PHUC NGUYET PREMIUM MOON CAKE 1KG (PN)</v>
          </cell>
          <cell r="C3931" t="str">
            <v>BÁNH TRUNG THU CAO CẤP PHÚC NGUYỆT 1KG (PN)</v>
          </cell>
          <cell r="D3931" t="str">
            <v>PHUC NGUYET PREMIUM MOON CAKE 1KG (PN)</v>
          </cell>
          <cell r="E3931">
            <v>0</v>
          </cell>
          <cell r="F3931" t="str">
            <v>Chọn</v>
          </cell>
          <cell r="G3931"/>
          <cell r="H3931"/>
        </row>
        <row r="3932">
          <cell r="A3932" t="str">
            <v>V34.000.005</v>
          </cell>
          <cell r="B3932" t="str">
            <v>ROYAL LOGO HELMET, IN WHITE COLOR WITH RED-GREEN STRIPES</v>
          </cell>
          <cell r="C3932" t="str">
            <v>NÓN BẢO HIỂM LOGO HOÀNG GIA, MÀU TRẮNG CÓ SỌC XANH ĐỎ</v>
          </cell>
          <cell r="D3932" t="str">
            <v>ROYAL LOGO HELMET, IN WHITE COLOR WITH RED-GREEN STRIPES</v>
          </cell>
          <cell r="E3932">
            <v>0</v>
          </cell>
          <cell r="F3932" t="str">
            <v>Chọn</v>
          </cell>
          <cell r="G3932"/>
          <cell r="H3932"/>
        </row>
        <row r="3933">
          <cell r="A3933" t="str">
            <v>V51.600.265</v>
          </cell>
          <cell r="B3933" t="str">
            <v>PREMIUM SILK SCARF OLIVOILA (65X65)CM</v>
          </cell>
          <cell r="C3933" t="str">
            <v>KHĂN LỤA CAO CẤP OLIVOILÀ (65X65)CM</v>
          </cell>
          <cell r="D3933" t="str">
            <v>PREMIUM SILK SCARF OLIVOILA (65X65)CM</v>
          </cell>
          <cell r="E3933">
            <v>0.02</v>
          </cell>
          <cell r="F3933" t="str">
            <v>Bỏ chọn</v>
          </cell>
          <cell r="G3933"/>
          <cell r="H3933"/>
        </row>
        <row r="3934">
          <cell r="A3934" t="str">
            <v>7.G4001B599470181</v>
          </cell>
          <cell r="B3934" t="str">
            <v>VINATEA OOLONG TEA 80G X 22 PAPER TUBE BOXES IN CARTON</v>
          </cell>
          <cell r="C3934" t="str">
            <v>TRÀ OOLONG HIỆU VINATEA, LOẠI 80G X 22 LON GIẤY ĐÓNG TRONG THÙNG CARTON</v>
          </cell>
          <cell r="D3934" t="str">
            <v>VINATEA OOLONG TEA 80G X 22 PAPER TUBE BOXES IN CARTON</v>
          </cell>
          <cell r="E3934">
            <v>1.76</v>
          </cell>
          <cell r="F3934" t="str">
            <v>Chọn</v>
          </cell>
          <cell r="G3934"/>
          <cell r="H3934" t="str">
            <v>7.G4001B59947018101</v>
          </cell>
        </row>
        <row r="3935">
          <cell r="A3935" t="str">
            <v>7.G4001B59947018101</v>
          </cell>
          <cell r="B3935" t="str">
            <v>VINATEA OOLONG TEA 80G</v>
          </cell>
          <cell r="C3935" t="str">
            <v>TRÀ OOLONG HIỆU VINATEA, LOẠI 80G</v>
          </cell>
          <cell r="D3935" t="str">
            <v>VINATEA OOLONG TEA 80G</v>
          </cell>
          <cell r="E3935">
            <v>0.08</v>
          </cell>
          <cell r="F3935" t="str">
            <v>Chọn</v>
          </cell>
          <cell r="G3935"/>
          <cell r="H3935"/>
        </row>
        <row r="3936">
          <cell r="A3936" t="str">
            <v>7.089062120111103</v>
          </cell>
          <cell r="B3936" t="str">
            <v>MEIZANDRYYEASTHISUGAR 500GX20BAGYELLOWLB</v>
          </cell>
          <cell r="C3936" t="str">
            <v>MEN KHÔ DÙNG LIỀN HIỆU MEIZAN - NHÃN VÀNG (500G*20 GÓI/THÙNG)</v>
          </cell>
          <cell r="D3936" t="str">
            <v>MEIZANDRYYEASTHISUGAR 500GX20BAGYELLOWLB</v>
          </cell>
          <cell r="E3936">
            <v>10</v>
          </cell>
          <cell r="F3936" t="str">
            <v>Chọn</v>
          </cell>
          <cell r="G3936"/>
          <cell r="H3936" t="str">
            <v>7.089062120111101</v>
          </cell>
        </row>
        <row r="3937">
          <cell r="A3937" t="str">
            <v>7.089062120091203</v>
          </cell>
          <cell r="B3937" t="str">
            <v>MEIZAN DRYYEASTLOWSUGAR 500GX20BAG REDLB</v>
          </cell>
          <cell r="C3937" t="str">
            <v>MEN KHÔ DÙNG LIỀN HIỆU MEIZAN - NHÃN ĐỎ (500G*20 GÓI/THÙNG)</v>
          </cell>
          <cell r="D3937" t="str">
            <v>MEIZAN DRYYEASTLOWSUGAR 500GX20BAG REDLB</v>
          </cell>
          <cell r="E3937">
            <v>10</v>
          </cell>
          <cell r="F3937" t="str">
            <v>Chọn</v>
          </cell>
          <cell r="G3937"/>
          <cell r="H3937" t="str">
            <v>7.089062120091201</v>
          </cell>
        </row>
        <row r="3938">
          <cell r="A3938" t="str">
            <v>7.G4001B599470186</v>
          </cell>
          <cell r="B3938" t="str">
            <v>VINATEA JASMINE FLAVORED TEA 80G X 22 PAPER TUBE BOXES IN CARTON</v>
          </cell>
          <cell r="C3938" t="str">
            <v>TRÀ HƯƠNG NHÀI HIỆU VINATEA, LOẠI 80G X 22 LON GIẤY ĐÓNG TRONG THÙNG CARTON</v>
          </cell>
          <cell r="D3938" t="str">
            <v>VINATEA JASMINE FLAVORED TEA 80G X 22 PAPER TUBE BOXES IN CARTON</v>
          </cell>
          <cell r="E3938">
            <v>1.76</v>
          </cell>
          <cell r="F3938" t="str">
            <v>Chọn</v>
          </cell>
          <cell r="G3938"/>
          <cell r="H3938" t="str">
            <v>7.G4001B59947018601</v>
          </cell>
        </row>
        <row r="3939">
          <cell r="A3939" t="str">
            <v>7.G4001B59947018601</v>
          </cell>
          <cell r="B3939" t="str">
            <v>VINATEA JASMINE FLAVORED TEA 80G</v>
          </cell>
          <cell r="C3939" t="str">
            <v>TRÀ HƯƠNG NHÀI HIỆU VINATEA, LOẠI 80G</v>
          </cell>
          <cell r="D3939" t="str">
            <v>VINATEA JASMINE FLAVORED TEA 80G</v>
          </cell>
          <cell r="E3939">
            <v>0.08</v>
          </cell>
          <cell r="F3939" t="str">
            <v>Chọn</v>
          </cell>
          <cell r="G3939"/>
          <cell r="H3939"/>
        </row>
        <row r="3940">
          <cell r="A3940" t="str">
            <v>7.G4001B5994701A6</v>
          </cell>
          <cell r="B3940" t="str">
            <v>VINATEA LOTUS FLAVORED TEA 80G X 22 PAPER TUBE BOXES IN CARTON</v>
          </cell>
          <cell r="C3940" t="str">
            <v>TRÀ HƯƠNG SEN HIỆU VINATEA, LOẠI 80G X 22 LON GIẤY ĐÓNG TRONG THÙNG CARTON</v>
          </cell>
          <cell r="D3940" t="str">
            <v>VINATEA LOTUS FLAVORED TEA 80G X 22 PAPER TUBE BOXES IN CARTON</v>
          </cell>
          <cell r="E3940">
            <v>1.76</v>
          </cell>
          <cell r="F3940" t="str">
            <v>Chọn</v>
          </cell>
          <cell r="G3940"/>
          <cell r="H3940" t="str">
            <v>7.G4001B5994701A601</v>
          </cell>
        </row>
        <row r="3941">
          <cell r="A3941" t="str">
            <v>7.G4001B5994701A601</v>
          </cell>
          <cell r="B3941" t="str">
            <v>VINATEA LOTUS FLAVORED TEA 80G</v>
          </cell>
          <cell r="C3941" t="str">
            <v>TRÀ HƯƠNG SEN HIỆU VINATEA, LOẠI 80G</v>
          </cell>
          <cell r="D3941" t="str">
            <v>VINATEA LOTUS FLAVORED TEA 80G</v>
          </cell>
          <cell r="E3941">
            <v>0.08</v>
          </cell>
          <cell r="F3941" t="str">
            <v>Chọn</v>
          </cell>
          <cell r="G3941"/>
          <cell r="H3941"/>
        </row>
        <row r="3942">
          <cell r="A3942" t="str">
            <v>7.G4001B5994701A7</v>
          </cell>
          <cell r="B3942" t="str">
            <v>VINATEA CHAMOMILE TEA 80G X 22 PAPER TUBE BOXES IN CARTON</v>
          </cell>
          <cell r="C3942" t="str">
            <v>TRÀ HOA CÚC MẬT HIỆU VINATEA, LOẠI 80G X 22 LON GIẤY ĐÓNG TRONG THÙNG CARTON</v>
          </cell>
          <cell r="D3942" t="str">
            <v>VINATEA CHAMOMILE TEA 80G X 22 PAPER TUBE BOXES IN CARTON</v>
          </cell>
          <cell r="E3942">
            <v>1.76</v>
          </cell>
          <cell r="F3942" t="str">
            <v>Chọn</v>
          </cell>
          <cell r="G3942"/>
          <cell r="H3942" t="str">
            <v>7.G4001B5994701A701</v>
          </cell>
        </row>
        <row r="3943">
          <cell r="A3943" t="str">
            <v>7.G4001B5994701A701</v>
          </cell>
          <cell r="B3943" t="str">
            <v>VINATEA CHAMOMILE TEA 80G</v>
          </cell>
          <cell r="C3943" t="str">
            <v>TRÀ HOA CÚC MẬT HIỆU VINATEA, LOẠI 80G</v>
          </cell>
          <cell r="D3943" t="str">
            <v>VINATEA CHAMOMILE TEA 80G</v>
          </cell>
          <cell r="E3943">
            <v>0.08</v>
          </cell>
          <cell r="F3943" t="str">
            <v>Chọn</v>
          </cell>
          <cell r="G3943"/>
          <cell r="H3943"/>
        </row>
        <row r="3944">
          <cell r="A3944" t="str">
            <v>V51.064.005</v>
          </cell>
          <cell r="B3944" t="str">
            <v>POWER100 LEAFLET A5</v>
          </cell>
          <cell r="C3944" t="str">
            <v>TỜ RƠI A5 POWER100</v>
          </cell>
          <cell r="D3944" t="str">
            <v>POWER100 LEAFLET A5</v>
          </cell>
          <cell r="E3944">
            <v>1</v>
          </cell>
          <cell r="F3944" t="str">
            <v>Bỏ chọn</v>
          </cell>
          <cell r="G3944"/>
          <cell r="H3944"/>
        </row>
        <row r="3945">
          <cell r="A3945" t="str">
            <v>V51.901.083</v>
          </cell>
          <cell r="B3945" t="str">
            <v>STANDEE POWER100</v>
          </cell>
          <cell r="C3945" t="str">
            <v>KHUNG QUẢNG CÁO (STANDEE) POWER100</v>
          </cell>
          <cell r="D3945" t="str">
            <v>STANDEE POWER100</v>
          </cell>
          <cell r="E3945">
            <v>1</v>
          </cell>
          <cell r="F3945" t="str">
            <v>Bỏ chọn</v>
          </cell>
          <cell r="G3945"/>
          <cell r="H3945"/>
        </row>
        <row r="3946">
          <cell r="A3946" t="str">
            <v>7.5221230005L0000</v>
          </cell>
          <cell r="B3946" t="str">
            <v>GREENKEY CAKEFL KINH DO MDLZ PRO7.5-8.5%</v>
          </cell>
          <cell r="C3946" t="str">
            <v>BỘT MÌ HIỆU CHÌA KHÓA XANH LÁ</v>
          </cell>
          <cell r="D3946" t="str">
            <v>GREENKEY CAKEFL KINH DO MDLZ PRO7.5-8.5%</v>
          </cell>
          <cell r="E3946">
            <v>1</v>
          </cell>
          <cell r="F3946" t="str">
            <v>Chọn</v>
          </cell>
          <cell r="G3946"/>
          <cell r="H3946"/>
        </row>
        <row r="3947">
          <cell r="A3947" t="str">
            <v>6.1213004</v>
          </cell>
          <cell r="B3947" t="str">
            <v>DOUBLE REFINED PALM STEARIN</v>
          </cell>
          <cell r="C3947" t="str">
            <v>CHẤT BÉO CỌ CALMAX 5155</v>
          </cell>
          <cell r="D3947" t="str">
            <v>DOUBLE REFINED PALM STEARIN</v>
          </cell>
          <cell r="E3947">
            <v>1</v>
          </cell>
          <cell r="F3947" t="str">
            <v>Chọn</v>
          </cell>
          <cell r="G3947"/>
          <cell r="H3947"/>
        </row>
        <row r="3948">
          <cell r="A3948" t="str">
            <v>6.1213521</v>
          </cell>
          <cell r="B3948" t="str">
            <v>PALM FAT CALMAX MP 51-55 / RSPO MB</v>
          </cell>
          <cell r="C3948" t="str">
            <v>CHẤT BÉO CỌ CALMAX 5155 RSPO MB</v>
          </cell>
          <cell r="D3948" t="str">
            <v>PALM FAT CALMAX MP 51-55 / RSPO MB</v>
          </cell>
          <cell r="E3948">
            <v>1</v>
          </cell>
          <cell r="F3948" t="str">
            <v>Chọn</v>
          </cell>
          <cell r="G3948"/>
          <cell r="H3948"/>
        </row>
        <row r="3949">
          <cell r="A3949" t="str">
            <v>7.475056081708020</v>
          </cell>
          <cell r="B3949" t="str">
            <v>CO-OLIVOILA POMACE OLIVE OIL 5LX3BTL</v>
          </cell>
          <cell r="C3949" t="str">
            <v>DẦU Ô-LIU POMACE NHÃN HIỆU OLIVOILÀ 5L</v>
          </cell>
          <cell r="D3949" t="str">
            <v>CO-OLIVOILA POMACE OLIVE OIL 5LX3BTL</v>
          </cell>
          <cell r="E3949">
            <v>13.65</v>
          </cell>
          <cell r="F3949" t="str">
            <v>Chọn</v>
          </cell>
          <cell r="G3949"/>
          <cell r="H3949" t="str">
            <v>7.475056081701020</v>
          </cell>
        </row>
        <row r="3950">
          <cell r="A3950" t="str">
            <v>7.475056081701020</v>
          </cell>
          <cell r="B3950" t="str">
            <v>CO-OLIVOILA POMACE OLIVE OIL IN BOT @5L</v>
          </cell>
          <cell r="C3950" t="str">
            <v>DẦU Ô-LIU POMACE NHÃN HIỆU OLIVOILÀ 5L</v>
          </cell>
          <cell r="D3950" t="str">
            <v>CO-OLIVOILA POMACE OLIVE OIL IN BOT @5L</v>
          </cell>
          <cell r="E3950">
            <v>4.55</v>
          </cell>
          <cell r="F3950" t="str">
            <v>Chọn</v>
          </cell>
          <cell r="G3950"/>
          <cell r="H3950"/>
        </row>
        <row r="3951">
          <cell r="A3951" t="str">
            <v>7.101041590801H70</v>
          </cell>
          <cell r="B3951" t="str">
            <v>PALM FAT CALMAX 5155 IN PE BAG @25KG</v>
          </cell>
          <cell r="C3951" t="str">
            <v>CHẤT BÉO CỌ CALMAX 5155 25KG</v>
          </cell>
          <cell r="D3951" t="str">
            <v>PALM FAT CALMAX 5155 IN PE BAG @25KG</v>
          </cell>
          <cell r="E3951">
            <v>25</v>
          </cell>
          <cell r="F3951" t="str">
            <v>Chọn</v>
          </cell>
          <cell r="G3951"/>
          <cell r="H3951"/>
        </row>
        <row r="3952">
          <cell r="A3952" t="str">
            <v>7.101041590801H80</v>
          </cell>
          <cell r="B3952" t="str">
            <v>PALM FAT CALMAX 5155 PE BAG@25KG/RSPO MB</v>
          </cell>
          <cell r="C3952" t="str">
            <v>CHẤT BÉO CỌ CALMAX 5155 RSPO MB 25KG</v>
          </cell>
          <cell r="D3952" t="str">
            <v>PALM FAT CALMAX 5155 PE BAG@25KG/RSPO MB</v>
          </cell>
          <cell r="E3952">
            <v>25</v>
          </cell>
          <cell r="F3952" t="str">
            <v>Chọn</v>
          </cell>
          <cell r="G3952"/>
          <cell r="H3952"/>
        </row>
        <row r="3953">
          <cell r="A3953" t="str">
            <v>7.707583E928174002</v>
          </cell>
          <cell r="B3953" t="str">
            <v>POWER100 SAVING DWL LEMON 750G*12BTL</v>
          </cell>
          <cell r="C3953" t="str">
            <v>NƯỚC RỬA CHÉN POWER100 TIẾT KIỆM HƯƠNG CHANH 750G*12</v>
          </cell>
          <cell r="D3953" t="str">
            <v>POWER100 SAVING DWL LEMON 750G*12BTL</v>
          </cell>
          <cell r="E3953">
            <v>9</v>
          </cell>
          <cell r="F3953" t="str">
            <v>Chọn</v>
          </cell>
          <cell r="G3953"/>
          <cell r="H3953"/>
        </row>
        <row r="3954">
          <cell r="A3954" t="str">
            <v>7.707704N228170000</v>
          </cell>
          <cell r="B3954" t="str">
            <v>POWER100MULTIPPSGLASSCLEANERMINTBTL@3.8L</v>
          </cell>
          <cell r="C3954" t="str">
            <v>NƯỚC LAU KÍNH ĐA NĂNG POWER100 HƯƠNG BẠC HÀ 3.8L</v>
          </cell>
          <cell r="D3954" t="str">
            <v>POWER100MULTIPPSGLASSCLEANERMINTBTL@3.8L</v>
          </cell>
          <cell r="E3954">
            <v>3.76</v>
          </cell>
          <cell r="F3954" t="str">
            <v>Chọn</v>
          </cell>
          <cell r="G3954"/>
          <cell r="H3954"/>
        </row>
        <row r="3955">
          <cell r="A3955" t="str">
            <v>7.707704N22817000H</v>
          </cell>
          <cell r="B3955" t="str">
            <v>POWER100MULTIPPGLASSCLEANERMINT3.8L*4BTL</v>
          </cell>
          <cell r="C3955" t="str">
            <v>NƯỚC LAU KÍNH ĐA NĂNG POWER100 HƯƠNG BẠC HÀ 3.8L*4</v>
          </cell>
          <cell r="D3955" t="str">
            <v>POWER100MULTIPPGLASSCLEANERMINT3.8L*4BTL</v>
          </cell>
          <cell r="E3955">
            <v>15.04</v>
          </cell>
          <cell r="F3955" t="str">
            <v>Chọn</v>
          </cell>
          <cell r="G3955"/>
          <cell r="H3955" t="str">
            <v>7.707704N228170000</v>
          </cell>
        </row>
        <row r="3956">
          <cell r="A3956" t="str">
            <v>V51.00A.071</v>
          </cell>
          <cell r="B3956" t="str">
            <v>GREEN HANGING PLASTIC ROPE</v>
          </cell>
          <cell r="C3956" t="str">
            <v>DÂY NHỰA TREO MÀU XANH LÁ</v>
          </cell>
          <cell r="D3956" t="str">
            <v>GREEN HANGING PLASTIC ROPE</v>
          </cell>
          <cell r="E3956">
            <v>1.6E-2</v>
          </cell>
          <cell r="F3956" t="str">
            <v>Bỏ chọn</v>
          </cell>
          <cell r="G3956"/>
          <cell r="H3956"/>
        </row>
        <row r="3957">
          <cell r="A3957" t="str">
            <v>7.705G5</v>
          </cell>
          <cell r="B3957" t="str">
            <v>SWING NOODLE 9010 IN BAG 4KG</v>
          </cell>
          <cell r="C3957" t="str">
            <v>SWING NOODLE 9010- PHÔI XÀ PHÒNG, NGUYÊN LIỆU TRONG SẢN XUẤT XÀ BÔNG CỤC ĐÓNG TRONG BAO 4KG</v>
          </cell>
          <cell r="D3957" t="str">
            <v>SWING NOODLE 9010 IN BAG 4KG</v>
          </cell>
          <cell r="E3957">
            <v>1</v>
          </cell>
          <cell r="F3957" t="str">
            <v>Chọn</v>
          </cell>
          <cell r="G3957"/>
          <cell r="H3957"/>
        </row>
        <row r="3958">
          <cell r="A3958" t="str">
            <v>V51.052.003</v>
          </cell>
          <cell r="B3958" t="str">
            <v>GRANULE NEPTUNE 200G</v>
          </cell>
          <cell r="C3958" t="str">
            <v>HẠT NÊM 4 TRONG 1 - VỊ HEO 200G</v>
          </cell>
          <cell r="D3958" t="str">
            <v>GRANULE NEPTUNE 200G</v>
          </cell>
          <cell r="E3958">
            <v>0.2</v>
          </cell>
          <cell r="F3958" t="str">
            <v>Bỏ chọn</v>
          </cell>
          <cell r="G3958"/>
          <cell r="H3958"/>
        </row>
        <row r="3959">
          <cell r="A3959" t="str">
            <v>7.52211207B952710</v>
          </cell>
          <cell r="B3959" t="str">
            <v>MEIZAN NOODLE-PAU FL W/BENZOYL 1KG*10BAG</v>
          </cell>
          <cell r="C3959" t="str">
            <v>BỘT MÌ CAO CẤP HIỆU MEIZAN MÌ SỢI - BÁNH BAO 1KG (1KG*10 GÓI/THÙNG)</v>
          </cell>
          <cell r="D3959" t="str">
            <v>MEIZAN NOODLE-PAU FL W/BENZOYL 1KG*10BAG</v>
          </cell>
          <cell r="E3959">
            <v>10</v>
          </cell>
          <cell r="F3959" t="str">
            <v>Chọn</v>
          </cell>
          <cell r="G3959"/>
          <cell r="H3959" t="str">
            <v>7.52211207B952701</v>
          </cell>
        </row>
        <row r="3960">
          <cell r="A3960" t="str">
            <v>7.522145071362710</v>
          </cell>
          <cell r="B3960" t="str">
            <v>COMPASS MULTIPURPOSE FL 9-11% 1KG*10BAG</v>
          </cell>
          <cell r="C3960" t="str">
            <v>BỘT MÌ ĐA DỤNG HIỆU LA BÀN (1KG*10 GÓI/THÙNG)</v>
          </cell>
          <cell r="D3960" t="str">
            <v>COMPASS MULTIPURPOSE FL 9-11% 1KG*10BAG</v>
          </cell>
          <cell r="E3960">
            <v>10</v>
          </cell>
          <cell r="F3960" t="str">
            <v>Chọn</v>
          </cell>
          <cell r="G3960"/>
          <cell r="H3960" t="str">
            <v>7.522145071362701</v>
          </cell>
        </row>
        <row r="3961">
          <cell r="A3961" t="str">
            <v>7.522145291362712</v>
          </cell>
          <cell r="B3961" t="str">
            <v>COMPASS MULTIPURPOSE FLOUR 500G*20BAG</v>
          </cell>
          <cell r="C3961" t="str">
            <v>BỘT MÌ ĐA DỤNG HIỆU LA BÀN (0.5KG *20 GÓI/THÙNG)</v>
          </cell>
          <cell r="D3961" t="str">
            <v>COMPASS MULTIPURPOSE FLOUR 500G*20BAG</v>
          </cell>
          <cell r="E3961">
            <v>10</v>
          </cell>
          <cell r="F3961" t="str">
            <v>Chọn</v>
          </cell>
          <cell r="G3961"/>
          <cell r="H3961" t="str">
            <v>7.522145291362701</v>
          </cell>
        </row>
        <row r="3962">
          <cell r="A3962" t="str">
            <v>7.5221540205D1901</v>
          </cell>
          <cell r="B3962" t="str">
            <v>GREENSATELLITE CAKEFL W/FE,ZN PPBAG@25KG</v>
          </cell>
          <cell r="C3962" t="str">
            <v>BỘT MÌ VỆ TINH XANH LÁ</v>
          </cell>
          <cell r="D3962" t="str">
            <v>GREENSATELLITE CAKEFL W/FE,ZN PPBAG@25KG</v>
          </cell>
          <cell r="E3962">
            <v>25</v>
          </cell>
          <cell r="F3962" t="str">
            <v>Chọn</v>
          </cell>
          <cell r="G3962"/>
          <cell r="H3962"/>
        </row>
        <row r="3963">
          <cell r="A3963" t="str">
            <v>7.522068020901901</v>
          </cell>
          <cell r="B3963" t="str">
            <v>BROWNCOMPASS MULTIPURPOSE 9% PPBAG@25KG</v>
          </cell>
          <cell r="C3963" t="str">
            <v>BỘT MÌ LA BÀN NÂU 25KG</v>
          </cell>
          <cell r="D3963" t="str">
            <v>BROWNCOMPASS MULTIPURPOSE 9% PPBAG@25KG</v>
          </cell>
          <cell r="E3963">
            <v>25</v>
          </cell>
          <cell r="F3963" t="str">
            <v>Chọn</v>
          </cell>
          <cell r="G3963"/>
          <cell r="H3963"/>
        </row>
        <row r="3964">
          <cell r="A3964" t="str">
            <v>7.522185001320000</v>
          </cell>
          <cell r="B3964" t="str">
            <v>LWW-1 SOFT WHEAT FL PRO11.5-12.8% FE&amp;ZN</v>
          </cell>
          <cell r="C3964" t="str">
            <v>BỘT MÌ HIỆU SOFT WHEAT FLOUR LWW-1 BULK</v>
          </cell>
          <cell r="D3964" t="str">
            <v>LWW-1 SOFT WHEAT FL PRO11.5-12.8% FE&amp;ZN</v>
          </cell>
          <cell r="E3964">
            <v>1</v>
          </cell>
          <cell r="F3964" t="str">
            <v>Chọn</v>
          </cell>
          <cell r="G3964"/>
          <cell r="H3964"/>
        </row>
        <row r="3965">
          <cell r="A3965" t="str">
            <v>7.52213709A931901</v>
          </cell>
          <cell r="B3965" t="str">
            <v>RED COMPASS NOODLEFL MASAN XK PPBAG@40KG</v>
          </cell>
          <cell r="C3965" t="str">
            <v>BỘT MÌ HIỆU LA BÀN ĐỎ 40KG</v>
          </cell>
          <cell r="D3965" t="str">
            <v>RED COMPASS NOODLEFL MASAN XK PPBAG@40KG</v>
          </cell>
          <cell r="E3965">
            <v>40</v>
          </cell>
          <cell r="F3965" t="str">
            <v>Chọn</v>
          </cell>
          <cell r="G3965"/>
          <cell r="H3965"/>
        </row>
        <row r="3966">
          <cell r="A3966" t="str">
            <v>7.5221230205J1901</v>
          </cell>
          <cell r="B3966" t="str">
            <v>GREENKEYCAKEFLIMANAKA ASH0.45%PPBAG@25KG</v>
          </cell>
          <cell r="C3966" t="str">
            <v>BỘT MÌ HIỆU CHÌA KHÓA XANH LÁ 25KG</v>
          </cell>
          <cell r="D3966" t="str">
            <v>GREENKEYCAKEFLIMANAKA ASH0.45%PPBAG@25KG</v>
          </cell>
          <cell r="E3966">
            <v>25</v>
          </cell>
          <cell r="F3966" t="str">
            <v>Chọn</v>
          </cell>
          <cell r="G3966"/>
          <cell r="H3966"/>
        </row>
        <row r="3967">
          <cell r="A3967" t="str">
            <v>7.5221230207G1901</v>
          </cell>
          <cell r="B3967" t="str">
            <v>GREENKEYCAKEFL BIBICA 8.3-9.3%PPBAG@25KG</v>
          </cell>
          <cell r="C3967" t="str">
            <v>BỘT MÌ HIỆU CHÌA KHÓA XANH LÁ 25KG</v>
          </cell>
          <cell r="D3967" t="str">
            <v>GREENKEYCAKEFL BIBICA 8.3-9.3%PPBAG@25KG</v>
          </cell>
          <cell r="E3967">
            <v>25</v>
          </cell>
          <cell r="F3967" t="str">
            <v>Chọn</v>
          </cell>
          <cell r="G3967"/>
          <cell r="H3967"/>
        </row>
        <row r="3968">
          <cell r="A3968" t="str">
            <v>7.52213602B071901</v>
          </cell>
          <cell r="B3968" t="str">
            <v>REDSATELLITE BREADFL JOLLIBEE PPBAG@25KG</v>
          </cell>
          <cell r="C3968" t="str">
            <v>BỘT MÌ HIỆU VỆ TINH ĐỎ 25KG</v>
          </cell>
          <cell r="D3968" t="str">
            <v>REDSATELLITE BREADFL JOLLIBEE PPBAG@25KG</v>
          </cell>
          <cell r="E3968">
            <v>25</v>
          </cell>
          <cell r="F3968" t="str">
            <v>Chọn</v>
          </cell>
          <cell r="G3968"/>
          <cell r="H3968"/>
        </row>
        <row r="3969">
          <cell r="A3969" t="str">
            <v>7.522123020561901</v>
          </cell>
          <cell r="B3969" t="str">
            <v>GREEN KEY CAKE FLOUR PRO 7% PPBAG@25KG</v>
          </cell>
          <cell r="C3969" t="str">
            <v>BỘT MÌ HIỆU CHÌA KHÓA XANH LÁ 25KG</v>
          </cell>
          <cell r="D3969" t="str">
            <v>GREEN KEY CAKE FLOUR PRO 7% PPBAG@25KG</v>
          </cell>
          <cell r="E3969">
            <v>25</v>
          </cell>
          <cell r="F3969" t="str">
            <v>Chọn</v>
          </cell>
          <cell r="G3969"/>
          <cell r="H3969"/>
        </row>
        <row r="3970">
          <cell r="A3970" t="str">
            <v>7.522134021621901</v>
          </cell>
          <cell r="B3970" t="str">
            <v>BLUECOMPASSFRIEDCHICKENFL KFC PPBAG@25KG</v>
          </cell>
          <cell r="C3970" t="str">
            <v>BỘT MÌ HIỆU LA BÀN XANH 25KG</v>
          </cell>
          <cell r="D3970" t="str">
            <v>BLUECOMPASSFRIEDCHICKENFL KFC PPBAG@25KG</v>
          </cell>
          <cell r="E3970">
            <v>25</v>
          </cell>
          <cell r="F3970" t="str">
            <v>Chọn</v>
          </cell>
          <cell r="G3970"/>
          <cell r="H3970"/>
        </row>
        <row r="3971">
          <cell r="A3971" t="str">
            <v>7.5221540205P1901</v>
          </cell>
          <cell r="B3971" t="str">
            <v>GREENSATELLITECAKEFLBISCAFUNKVC BAG@25KG</v>
          </cell>
          <cell r="C3971" t="str">
            <v>BỘT MÌ HIỆU VỆ TINH XANH LÁ 25KG</v>
          </cell>
          <cell r="D3971" t="str">
            <v>GREENSATELLITECAKEFLBISCAFUNKVC BAG@25KG</v>
          </cell>
          <cell r="E3971">
            <v>25</v>
          </cell>
          <cell r="F3971" t="str">
            <v>Chọn</v>
          </cell>
          <cell r="G3971"/>
          <cell r="H3971"/>
        </row>
        <row r="3972">
          <cell r="A3972" t="str">
            <v>7.5221230206U0601</v>
          </cell>
          <cell r="B3972" t="str">
            <v>GREENKEYCAKEFLNISSHIN 8.2-9.2PPRBAG@25KG</v>
          </cell>
          <cell r="C3972" t="str">
            <v>BỘT MÌ HIỆU CHÌA KHÓA XANH LÁ 25KG</v>
          </cell>
          <cell r="D3972" t="str">
            <v>GREENKEYCAKEFLNISSHIN 8.2-9.2PPRBAG@25KG</v>
          </cell>
          <cell r="E3972">
            <v>25</v>
          </cell>
          <cell r="F3972" t="str">
            <v>Chọn</v>
          </cell>
          <cell r="G3972"/>
          <cell r="H3972"/>
        </row>
        <row r="3973">
          <cell r="A3973" t="str">
            <v>7.5221230207F1901</v>
          </cell>
          <cell r="B3973" t="str">
            <v>GREENKEY CAKEFL HCM PRO7.8-8.3PPBAG@25KG</v>
          </cell>
          <cell r="C3973" t="str">
            <v>BỘT MÌ HIỆU CHÌA KHÓA XANH LÁ 25KG</v>
          </cell>
          <cell r="D3973" t="str">
            <v>GREENKEY CAKEFL HCM PRO7.8-8.3PPBAG@25KG</v>
          </cell>
          <cell r="E3973">
            <v>25</v>
          </cell>
          <cell r="F3973" t="str">
            <v>Chọn</v>
          </cell>
          <cell r="G3973"/>
          <cell r="H3973"/>
        </row>
        <row r="3974">
          <cell r="A3974" t="str">
            <v>7.522123090531901</v>
          </cell>
          <cell r="B3974" t="str">
            <v>GREENKEYCAKEFLLIENHUNG ASH0.55PPBAG@40KG</v>
          </cell>
          <cell r="C3974" t="str">
            <v>BỘT MÌ HIỆU CHÌA KHÓA XANH LÁ 40KG</v>
          </cell>
          <cell r="D3974" t="str">
            <v>GREENKEYCAKEFLLIENHUNG ASH0.55PPBAG@40KG</v>
          </cell>
          <cell r="E3974">
            <v>40</v>
          </cell>
          <cell r="F3974" t="str">
            <v>Chọn</v>
          </cell>
          <cell r="G3974"/>
          <cell r="H3974"/>
        </row>
        <row r="3975">
          <cell r="A3975" t="str">
            <v>7.522068092221901</v>
          </cell>
          <cell r="B3975" t="str">
            <v>BROWNCOMPASSGENERALFL PDS 9-12PPBAG@40KG</v>
          </cell>
          <cell r="C3975" t="str">
            <v>BỘT MÌ LA BÀN NÂU 40KG</v>
          </cell>
          <cell r="D3975" t="str">
            <v>BROWNCOMPASSGENERALFL PDS 9-12PPBAG@40KG</v>
          </cell>
          <cell r="E3975">
            <v>40</v>
          </cell>
          <cell r="F3975" t="str">
            <v>Chọn</v>
          </cell>
          <cell r="G3975"/>
          <cell r="H3975"/>
        </row>
        <row r="3976">
          <cell r="A3976" t="str">
            <v>7.52215802B291901</v>
          </cell>
          <cell r="B3976" t="str">
            <v>MS-1 BREAD FL VFK PRO10-10.9% PPBAG@25KG</v>
          </cell>
          <cell r="C3976" t="str">
            <v>BỘT MÌ HIỆU MS-1 25KG</v>
          </cell>
          <cell r="D3976" t="str">
            <v>MS-1 BREAD FL VFK PRO10-10.9% PPBAG@25KG</v>
          </cell>
          <cell r="E3976">
            <v>25</v>
          </cell>
          <cell r="F3976" t="str">
            <v>Chọn</v>
          </cell>
          <cell r="G3976"/>
          <cell r="H3976"/>
        </row>
        <row r="3977">
          <cell r="A3977" t="str">
            <v>7.52216102B081901</v>
          </cell>
          <cell r="B3977" t="str">
            <v>PINK KEY BREAD FL VFK PRO 13% PPBAG@25KG</v>
          </cell>
          <cell r="C3977" t="str">
            <v>BỘT MÌ HIỆU CHÌA KHÓA HỒNG 25KG</v>
          </cell>
          <cell r="D3977" t="str">
            <v>PINK KEY BREAD FL VFK PRO 13% PPBAG@25KG</v>
          </cell>
          <cell r="E3977">
            <v>25</v>
          </cell>
          <cell r="F3977" t="str">
            <v>Chọn</v>
          </cell>
          <cell r="G3977"/>
          <cell r="H3977"/>
        </row>
        <row r="3978">
          <cell r="A3978" t="str">
            <v>7.52207102B681901</v>
          </cell>
          <cell r="B3978" t="str">
            <v>RED KEY NOODLEFL VFK PRO11-12%PPBAG@25KG</v>
          </cell>
          <cell r="C3978" t="str">
            <v>BỘT MÌ HIỆU CHÌA KHÓA ĐỎ MÌ SỢI 25KG</v>
          </cell>
          <cell r="D3978" t="str">
            <v>RED KEY NOODLEFL VFK PRO11-12%PPBAG@25KG</v>
          </cell>
          <cell r="E3978">
            <v>25</v>
          </cell>
          <cell r="F3978" t="str">
            <v>Chọn</v>
          </cell>
          <cell r="G3978"/>
          <cell r="H3978"/>
        </row>
        <row r="3979">
          <cell r="A3979" t="str">
            <v>7.5221230206Q1901</v>
          </cell>
          <cell r="B3979" t="str">
            <v>GREENKEY CAKEFL HCM FE,ZN PPBAG@25KG</v>
          </cell>
          <cell r="C3979" t="str">
            <v>BỘT MÌ HIỆU CHÌA KHÓA XANH LÁ 25KG</v>
          </cell>
          <cell r="D3979" t="str">
            <v>GREENKEY CAKEFL HCM FE,ZN PPBAG@25KG</v>
          </cell>
          <cell r="E3979">
            <v>25</v>
          </cell>
          <cell r="F3979" t="str">
            <v>Chọn</v>
          </cell>
          <cell r="G3979"/>
          <cell r="H3979"/>
        </row>
        <row r="3980">
          <cell r="A3980" t="str">
            <v>7.52218709B571901</v>
          </cell>
          <cell r="B3980" t="str">
            <v>28 NOODLE FL 10-10.7% W/FE,ZN PPBAG@40KG</v>
          </cell>
          <cell r="C3980" t="str">
            <v>BỘT MÌ 28 40KG</v>
          </cell>
          <cell r="D3980" t="str">
            <v>28 NOODLE FL 10-10.7% W/FE,ZN PPBAG@40KG</v>
          </cell>
          <cell r="E3980">
            <v>40</v>
          </cell>
          <cell r="F3980" t="str">
            <v>Chọn</v>
          </cell>
          <cell r="G3980"/>
          <cell r="H3980"/>
        </row>
        <row r="3981">
          <cell r="A3981" t="str">
            <v>7.52218309A321901</v>
          </cell>
          <cell r="B3981" t="str">
            <v>26 NOODLE FLOUR PRO 9-12% PPBAG@40KG</v>
          </cell>
          <cell r="C3981" t="str">
            <v>BỘT MÌ 26 40KG</v>
          </cell>
          <cell r="D3981" t="str">
            <v>26 NOODLE FLOUR PRO 9-12% PPBAG@40KG</v>
          </cell>
          <cell r="E3981">
            <v>40</v>
          </cell>
          <cell r="F3981" t="str">
            <v>Chọn</v>
          </cell>
          <cell r="G3981"/>
          <cell r="H3981"/>
        </row>
        <row r="3982">
          <cell r="A3982" t="str">
            <v>7.52214202A790601</v>
          </cell>
          <cell r="B3982" t="str">
            <v>BCR-1 BREADFL NISSHIN ASH0.38PPRBAG@25KG</v>
          </cell>
          <cell r="C3982" t="str">
            <v>BỘT MÌ HIỆU BCR-1 25KG</v>
          </cell>
          <cell r="D3982" t="str">
            <v>BCR-1 BREADFL NISSHIN ASH0.38PPRBAG@25KG</v>
          </cell>
          <cell r="E3982">
            <v>25</v>
          </cell>
          <cell r="F3982" t="str">
            <v>Chọn</v>
          </cell>
          <cell r="G3982"/>
          <cell r="H3982"/>
        </row>
        <row r="3983">
          <cell r="A3983" t="str">
            <v>7.522114020470601</v>
          </cell>
          <cell r="B3983" t="str">
            <v>BLUEKEYPAUFL NISSHIN 9.5-10.5PPRBAG@25KG</v>
          </cell>
          <cell r="C3983" t="str">
            <v>BỘT MÌ HIỆU CKX BÁNH BAO 25KG</v>
          </cell>
          <cell r="D3983" t="str">
            <v>BLUEKEYPAUFL NISSHIN 9.5-10.5PPRBAG@25KG</v>
          </cell>
          <cell r="E3983">
            <v>25</v>
          </cell>
          <cell r="F3983" t="str">
            <v>Chọn</v>
          </cell>
          <cell r="G3983"/>
          <cell r="H3983"/>
        </row>
        <row r="3984">
          <cell r="A3984" t="str">
            <v>7.52213709B621901</v>
          </cell>
          <cell r="B3984" t="str">
            <v>REDCOMPASSNOODLEFL BT 10-12%FEZNBAG@40KG</v>
          </cell>
          <cell r="C3984" t="str">
            <v>BỘT MÌ HIỆU LA BÀN ĐỎ 40KG</v>
          </cell>
          <cell r="D3984" t="str">
            <v>REDCOMPASSNOODLEFL BT 10-12%FEZNBAG@40KG</v>
          </cell>
          <cell r="E3984">
            <v>40</v>
          </cell>
          <cell r="F3984" t="str">
            <v>Chọn</v>
          </cell>
          <cell r="G3984"/>
          <cell r="H3984"/>
        </row>
        <row r="3985">
          <cell r="A3985" t="str">
            <v>7.52213409A921901</v>
          </cell>
          <cell r="B3985" t="str">
            <v>BLUECOMPASS NOODLEFL BT FE&amp;ZN PPBAG@40KG</v>
          </cell>
          <cell r="C3985" t="str">
            <v>BỘT MÌ HIỆU LA BÀN XANH 40KG</v>
          </cell>
          <cell r="D3985" t="str">
            <v>BLUECOMPASS NOODLEFL BT FE&amp;ZN PPBAG@40KG</v>
          </cell>
          <cell r="E3985">
            <v>40</v>
          </cell>
          <cell r="F3985" t="str">
            <v>Chọn</v>
          </cell>
          <cell r="G3985"/>
          <cell r="H3985"/>
        </row>
        <row r="3986">
          <cell r="A3986" t="str">
            <v>7.52206702B741901</v>
          </cell>
          <cell r="B3986" t="str">
            <v>RED PEN BREADFL POULTRY FE&amp;ZN PPBAG@25KG</v>
          </cell>
          <cell r="C3986" t="str">
            <v>BỘT MÌ HIỆU CÂY VIẾT ĐỎ 25KG</v>
          </cell>
          <cell r="D3986" t="str">
            <v>RED PEN BREADFL POULTRY FE&amp;ZN PPBAG@25KG</v>
          </cell>
          <cell r="E3986">
            <v>25</v>
          </cell>
          <cell r="F3986" t="str">
            <v>Chọn</v>
          </cell>
          <cell r="G3986"/>
          <cell r="H3986"/>
        </row>
        <row r="3987">
          <cell r="A3987" t="str">
            <v>7.52213709B651901</v>
          </cell>
          <cell r="B3987" t="str">
            <v>REDCOMPASSNOODLEFL MASAN 10-11PPBAG@40KG</v>
          </cell>
          <cell r="C3987" t="str">
            <v>BỘT MÌ HIỆU LA BÀN ĐỎ 40KG</v>
          </cell>
          <cell r="D3987" t="str">
            <v>REDCOMPASSNOODLEFL MASAN 10-11PPBAG@40KG</v>
          </cell>
          <cell r="E3987">
            <v>40</v>
          </cell>
          <cell r="F3987" t="str">
            <v>Chọn</v>
          </cell>
          <cell r="G3987"/>
          <cell r="H3987"/>
        </row>
        <row r="3988">
          <cell r="A3988" t="str">
            <v>7.52211402A291901</v>
          </cell>
          <cell r="B3988" t="str">
            <v>BLUE KEY NOODLE FL MASAN PRO9%PPBAG@25KG</v>
          </cell>
          <cell r="C3988" t="str">
            <v>BỘT MÌ HIỆU CKX MÌ SỢI 25KG</v>
          </cell>
          <cell r="D3988" t="str">
            <v>BLUE KEY NOODLE FL MASAN PRO9%PPBAG@25KG</v>
          </cell>
          <cell r="E3988">
            <v>25</v>
          </cell>
          <cell r="F3988" t="str">
            <v>Chọn</v>
          </cell>
          <cell r="G3988"/>
          <cell r="H3988"/>
        </row>
        <row r="3989">
          <cell r="A3989" t="str">
            <v>7.52213409A821901</v>
          </cell>
          <cell r="B3989" t="str">
            <v>BLUECOMPASS NOODLEFL VIFON 0.7PPBAG@40KG</v>
          </cell>
          <cell r="C3989" t="str">
            <v>BỘT MÌ HIỆU LA BÀN XANH 40KG</v>
          </cell>
          <cell r="D3989" t="str">
            <v>BLUECOMPASS NOODLEFL VIFON 0.7PPBAG@40KG</v>
          </cell>
          <cell r="E3989">
            <v>40</v>
          </cell>
          <cell r="F3989" t="str">
            <v>Chọn</v>
          </cell>
          <cell r="G3989"/>
          <cell r="H3989"/>
        </row>
        <row r="3990">
          <cell r="A3990" t="str">
            <v>7.522114000470000</v>
          </cell>
          <cell r="B3990" t="str">
            <v>BLUE KEY PAU FLOUR NISSHIN PRO 9.5-10.5%</v>
          </cell>
          <cell r="C3990" t="str">
            <v>BỘT MÌ HIỆU CKX BÁNH BAO BULK</v>
          </cell>
          <cell r="D3990" t="str">
            <v>BLUE KEY PAU FLOUR NISSHIN PRO 9.5-10.5%</v>
          </cell>
          <cell r="E3990">
            <v>1</v>
          </cell>
          <cell r="F3990" t="str">
            <v>Chọn</v>
          </cell>
          <cell r="G3990"/>
          <cell r="H3990"/>
        </row>
        <row r="3991">
          <cell r="A3991" t="str">
            <v>7.522161021451901</v>
          </cell>
          <cell r="B3991" t="str">
            <v>PINK KEY SNACK FL LWW W/FE&amp;ZN PPBAG@25KG</v>
          </cell>
          <cell r="C3991" t="str">
            <v>BỘT MÌ HIỆU CHÌA KHÓA HỒNG 25KG</v>
          </cell>
          <cell r="D3991" t="str">
            <v>PINK KEY SNACK FL LWW W/FE&amp;ZN PPBAG@25KG</v>
          </cell>
          <cell r="E3991">
            <v>25</v>
          </cell>
          <cell r="F3991" t="str">
            <v>Chọn</v>
          </cell>
          <cell r="G3991"/>
          <cell r="H3991"/>
        </row>
        <row r="3992">
          <cell r="A3992" t="str">
            <v>7.52213602B431901</v>
          </cell>
          <cell r="B3992" t="str">
            <v>REDSATELLITEBREADFL RB ASH0.52PPBAG@25KG</v>
          </cell>
          <cell r="C3992" t="str">
            <v>BỘT MÌ HIỆU VỆ TINH ĐỎ 25KG</v>
          </cell>
          <cell r="D3992" t="str">
            <v>REDSATELLITEBREADFL RB ASH0.52PPBAG@25KG</v>
          </cell>
          <cell r="E3992">
            <v>25</v>
          </cell>
          <cell r="F3992" t="str">
            <v>Chọn</v>
          </cell>
          <cell r="G3992"/>
          <cell r="H3992"/>
        </row>
        <row r="3993">
          <cell r="A3993" t="str">
            <v>7.52207102B611901</v>
          </cell>
          <cell r="B3993" t="str">
            <v>REDKEY NOODLEFL VINAMILK 11-12PPBAG@25KG</v>
          </cell>
          <cell r="C3993" t="str">
            <v>BỘT MÌ HIỆU CHÌA KHÓA ĐỎ MÌ SỢI 25KG</v>
          </cell>
          <cell r="D3993" t="str">
            <v>REDKEY NOODLEFL VINAMILK 11-12PPBAG@25KG</v>
          </cell>
          <cell r="E3993">
            <v>25</v>
          </cell>
          <cell r="F3993" t="str">
            <v>Chọn</v>
          </cell>
          <cell r="G3993"/>
          <cell r="H3993"/>
        </row>
        <row r="3994">
          <cell r="A3994" t="str">
            <v>7.52214202A260601</v>
          </cell>
          <cell r="B3994" t="str">
            <v>BCR-1 BREAD FLOUR ASH0.42% PAPERBAG@25KG</v>
          </cell>
          <cell r="C3994" t="str">
            <v>BỘT MÌ HIỆU BCR-1 25KG</v>
          </cell>
          <cell r="D3994" t="str">
            <v>BCR-1 BREAD FLOUR ASH0.42% PAPERBAG@25KG</v>
          </cell>
          <cell r="E3994">
            <v>25</v>
          </cell>
          <cell r="F3994" t="str">
            <v>Chọn</v>
          </cell>
          <cell r="G3994"/>
          <cell r="H3994"/>
        </row>
        <row r="3995">
          <cell r="A3995" t="str">
            <v>7.52206702A591901</v>
          </cell>
          <cell r="B3995" t="str">
            <v>RED PEN BREAD FLOUR W/FE&amp;ZN PPBAG@25KG</v>
          </cell>
          <cell r="C3995" t="str">
            <v>BỘT MÌ HIỆU CÂY VIẾT ĐỎ 25KG</v>
          </cell>
          <cell r="D3995" t="str">
            <v>RED PEN BREAD FLOUR W/FE&amp;ZN PPBAG@25KG</v>
          </cell>
          <cell r="E3995">
            <v>25</v>
          </cell>
          <cell r="F3995" t="str">
            <v>Bỏ chọn</v>
          </cell>
          <cell r="G3995"/>
          <cell r="H3995"/>
        </row>
        <row r="3996">
          <cell r="A3996" t="str">
            <v>7.522001020941901</v>
          </cell>
          <cell r="B3996" t="str">
            <v>PLAIN FLOUR IN PP BAG @25KG</v>
          </cell>
          <cell r="C3996" t="str">
            <v>HÀNG MẪU 25KG</v>
          </cell>
          <cell r="D3996" t="str">
            <v>PLAIN FLOUR IN PP BAG @25KG</v>
          </cell>
          <cell r="E3996">
            <v>25</v>
          </cell>
          <cell r="F3996" t="str">
            <v>Chọn</v>
          </cell>
          <cell r="G3996"/>
          <cell r="H3996"/>
        </row>
        <row r="3997">
          <cell r="A3997" t="str">
            <v>7.52213602A611901</v>
          </cell>
          <cell r="B3997" t="str">
            <v>REDSATELLITE BREADFL REBISCO PPBAG@25KG</v>
          </cell>
          <cell r="C3997" t="str">
            <v>BỘT MÌ HIỆU VỆ TINH ĐỎ 25KG</v>
          </cell>
          <cell r="D3997" t="str">
            <v>REDSATELLITE BREADFL REBISCO PPBAG@25KG</v>
          </cell>
          <cell r="E3997">
            <v>25</v>
          </cell>
          <cell r="F3997" t="str">
            <v>Chọn</v>
          </cell>
          <cell r="G3997"/>
          <cell r="H3997"/>
        </row>
        <row r="3998">
          <cell r="A3998" t="str">
            <v>7.522068021641901</v>
          </cell>
          <cell r="B3998" t="str">
            <v>BROWNCOMPASSPREMIXFL AJI XT FUMIBAG@25KG</v>
          </cell>
          <cell r="C3998" t="str">
            <v>BỘT MÌ HIỆU LA BÀN NÂU 25KG</v>
          </cell>
          <cell r="D3998" t="str">
            <v>BROWNCOMPASSPREMIXFL AJI XT FUMIBAG@25KG</v>
          </cell>
          <cell r="E3998">
            <v>25</v>
          </cell>
          <cell r="F3998" t="str">
            <v>Chọn</v>
          </cell>
          <cell r="G3998"/>
          <cell r="H3998"/>
        </row>
        <row r="3999">
          <cell r="A3999" t="str">
            <v>7.5221230205O1901</v>
          </cell>
          <cell r="B3999" t="str">
            <v>GREENKEYCAKEFL REBISCO PRO8.5%PPBAG@25KG</v>
          </cell>
          <cell r="C3999" t="str">
            <v>BỘT MÌ HIỆU CHÌA KHÓA XANH LÁ 25KG</v>
          </cell>
          <cell r="D3999" t="str">
            <v>GREENKEYCAKEFL REBISCO PRO8.5%PPBAG@25KG</v>
          </cell>
          <cell r="E3999">
            <v>25</v>
          </cell>
          <cell r="F3999" t="str">
            <v>Chọn</v>
          </cell>
          <cell r="G3999"/>
          <cell r="H3999"/>
        </row>
        <row r="4000">
          <cell r="A4000" t="str">
            <v>7.5221230205M1901</v>
          </cell>
          <cell r="B4000" t="str">
            <v>GREENKEY CAKEFL MASAN ASH0.45%PPBAG@25KG</v>
          </cell>
          <cell r="C4000" t="str">
            <v>BỘT MÌ HIỆU CHÌA KHÓA XANH LÁ 25KG</v>
          </cell>
          <cell r="D4000" t="str">
            <v>GREENKEY CAKEFL MASAN ASH0.45%PPBAG@25KG</v>
          </cell>
          <cell r="E4000">
            <v>25</v>
          </cell>
          <cell r="F4000" t="str">
            <v>Chọn</v>
          </cell>
          <cell r="G4000"/>
          <cell r="H4000"/>
        </row>
        <row r="4001">
          <cell r="A4001" t="str">
            <v>7.5221840205U1901</v>
          </cell>
          <cell r="B4001" t="str">
            <v>LWW-3 HARD WHEAT FL 12.5-13.5%PPBAG@25KG</v>
          </cell>
          <cell r="C4001" t="str">
            <v>BỘT MÌ HIỆU HARD WHEAT FLOUR LWW-3 25KG</v>
          </cell>
          <cell r="D4001" t="str">
            <v>LWW-3 HARD WHEAT FL 12.5-13.5%PPBAG@25KG</v>
          </cell>
          <cell r="E4001">
            <v>25</v>
          </cell>
          <cell r="F4001" t="str">
            <v>Chọn</v>
          </cell>
          <cell r="G4001"/>
          <cell r="H4001"/>
        </row>
        <row r="4002">
          <cell r="A4002" t="str">
            <v>7.522187091441901</v>
          </cell>
          <cell r="B4002" t="str">
            <v>28 NOODLE FL MDLZ 10.5% FE&amp;ZN PPBAG@40KG</v>
          </cell>
          <cell r="C4002" t="str">
            <v>BỘT MÌ 28 40KG (BOT MI MEDIUM)</v>
          </cell>
          <cell r="D4002" t="str">
            <v>28 NOODLE FL MDLZ 10.5% FE&amp;ZN PPBAG@40KG</v>
          </cell>
          <cell r="E4002">
            <v>40</v>
          </cell>
          <cell r="F4002" t="str">
            <v>Chọn</v>
          </cell>
          <cell r="G4002"/>
          <cell r="H4002"/>
        </row>
        <row r="4003">
          <cell r="A4003" t="str">
            <v>7.522068021751901</v>
          </cell>
          <cell r="B4003" t="str">
            <v>BROWNCOMPASS MULTIPURPOSE 333 PPBAG@25KG</v>
          </cell>
          <cell r="C4003" t="str">
            <v>BỘT MÌ HIỆU LA BÀN NÂU - 333 25KG</v>
          </cell>
          <cell r="D4003" t="str">
            <v>BROWNCOMPASS MULTIPURPOSE 333 PPBAG@25KG</v>
          </cell>
          <cell r="E4003">
            <v>25</v>
          </cell>
          <cell r="F4003" t="str">
            <v>Chọn</v>
          </cell>
          <cell r="G4003"/>
          <cell r="H4003"/>
        </row>
        <row r="4004">
          <cell r="A4004" t="str">
            <v>7.52211207B952701</v>
          </cell>
          <cell r="B4004" t="str">
            <v>MEIZAN NOODLE-PAU FL W/BENZOYL PEBAG@1KG</v>
          </cell>
          <cell r="C4004" t="str">
            <v>BỘT MÌ CAO CẤP HIỆU MEIZAN MÌ SỢI - BÁNH BAO 1KG (GÓI)</v>
          </cell>
          <cell r="D4004" t="str">
            <v>MEIZAN NOODLE-PAU FL W/BENZOYL PEBAG@1KG</v>
          </cell>
          <cell r="E4004">
            <v>1</v>
          </cell>
          <cell r="F4004" t="str">
            <v>Chọn</v>
          </cell>
          <cell r="G4004"/>
          <cell r="H4004"/>
        </row>
        <row r="4005">
          <cell r="A4005" t="str">
            <v>7.522145291362701</v>
          </cell>
          <cell r="B4005" t="str">
            <v>COMPASS MULTIPURPOSE FLOUR PEBAG @0.5KG</v>
          </cell>
          <cell r="C4005" t="str">
            <v>BỘT MÌ ĐA DỤNG HIỆU LA BÀN 0.5KG (GÓI)</v>
          </cell>
          <cell r="D4005" t="str">
            <v>COMPASS MULTIPURPOSE FLOUR PEBAG @0.5KG</v>
          </cell>
          <cell r="E4005">
            <v>0.5</v>
          </cell>
          <cell r="F4005" t="str">
            <v>Chọn</v>
          </cell>
          <cell r="G4005"/>
          <cell r="H4005"/>
        </row>
        <row r="4006">
          <cell r="A4006" t="str">
            <v>7.522145071362701</v>
          </cell>
          <cell r="B4006" t="str">
            <v>COMPASS MULTIPURPOSE FLOUR PEBAG @1KG</v>
          </cell>
          <cell r="C4006" t="str">
            <v>BỘT MÌ ĐA DỤNG HIỆU LA BÀN 1KG (GÓI)</v>
          </cell>
          <cell r="D4006" t="str">
            <v>COMPASS MULTIPURPOSE FLOUR PEBAG @1KG</v>
          </cell>
          <cell r="E4006">
            <v>1</v>
          </cell>
          <cell r="F4006" t="str">
            <v>Chọn</v>
          </cell>
          <cell r="G4006"/>
          <cell r="H4006"/>
        </row>
        <row r="4007">
          <cell r="A4007" t="str">
            <v>7.522138021341901</v>
          </cell>
          <cell r="B4007" t="str">
            <v>ACE GLUESSTICKFLOUR PRO8% IN PPBAG@25KG</v>
          </cell>
          <cell r="C4007" t="str">
            <v>BỘT MÌ CÔNG NGHIỆP ACE 25KG</v>
          </cell>
          <cell r="D4007" t="str">
            <v>ACE GLUESSTICKFLOUR PRO8% IN PPBAG@25KG</v>
          </cell>
          <cell r="E4007">
            <v>25</v>
          </cell>
          <cell r="F4007" t="str">
            <v>Chọn</v>
          </cell>
          <cell r="G4007"/>
          <cell r="H4007"/>
        </row>
        <row r="4008">
          <cell r="A4008" t="str">
            <v>7.522179023291901</v>
          </cell>
          <cell r="B4008" t="str">
            <v>AP FEED FLOUR 12.5-13.5% PPBAG@25KG</v>
          </cell>
          <cell r="C4008" t="str">
            <v>BỘT MÌ HIỆU AP 25KG</v>
          </cell>
          <cell r="D4008" t="str">
            <v>AP FEED FLOUR 12.5-13.5% PPBAG@25KG</v>
          </cell>
          <cell r="E4008">
            <v>25</v>
          </cell>
          <cell r="F4008" t="str">
            <v>Chọn</v>
          </cell>
          <cell r="G4008"/>
          <cell r="H4008"/>
        </row>
        <row r="4009">
          <cell r="A4009" t="str">
            <v>7.52206702B901901</v>
          </cell>
          <cell r="B4009" t="str">
            <v>REDPEN BREAD FLOUR LAOS PRO11%PPBAG@25KG</v>
          </cell>
          <cell r="C4009" t="str">
            <v>BỘT MÌ HIỆU CÂY VIẾT ĐỎ (TIẾNG LÀO) 25KG</v>
          </cell>
          <cell r="D4009" t="str">
            <v>REDPEN BREAD FLOUR LAOS PRO11%PPBAG@25KG</v>
          </cell>
          <cell r="E4009">
            <v>25</v>
          </cell>
          <cell r="F4009" t="str">
            <v>Chọn</v>
          </cell>
          <cell r="G4009"/>
          <cell r="H4009"/>
        </row>
        <row r="4010">
          <cell r="A4010" t="str">
            <v>7.52206702B851901</v>
          </cell>
          <cell r="B4010" t="str">
            <v>RED PEN BREAD FL W/VIT,FE,ZN PPBAG@25KG</v>
          </cell>
          <cell r="C4010" t="str">
            <v>BỘT MÌ HIỆU CÂY VIẾT ĐỎ 25KG</v>
          </cell>
          <cell r="D4010" t="str">
            <v>RED PEN BREAD FL W/VIT,FE,ZN PPBAG@25KG</v>
          </cell>
          <cell r="E4010">
            <v>25</v>
          </cell>
          <cell r="F4010" t="str">
            <v>Chọn</v>
          </cell>
          <cell r="G4010"/>
          <cell r="H4010"/>
        </row>
        <row r="4011">
          <cell r="A4011" t="str">
            <v>7.52206701B891901</v>
          </cell>
          <cell r="B4011" t="str">
            <v>RED PEN BREAD FLOUR W/VIT PPBAG@5KG</v>
          </cell>
          <cell r="C4011" t="str">
            <v>BỘT MÌ HIỆU CÂY VIẾT ĐỎ 5KG</v>
          </cell>
          <cell r="D4011" t="str">
            <v>RED PEN BREAD FLOUR W/VIT PPBAG@5KG</v>
          </cell>
          <cell r="E4011">
            <v>5</v>
          </cell>
          <cell r="F4011" t="str">
            <v>Chọn</v>
          </cell>
          <cell r="G4011"/>
          <cell r="H4011"/>
        </row>
        <row r="4012">
          <cell r="A4012" t="str">
            <v>7.52215902B911901</v>
          </cell>
          <cell r="B4012" t="str">
            <v>ORANGE KEY BREAD FL LAOS 111 PPBAG@25KG</v>
          </cell>
          <cell r="C4012" t="str">
            <v>BỘT MÌ HIỆU CHÌA KHÓA CAM - 111 (TIẾNG LÀO) 25KG</v>
          </cell>
          <cell r="D4012" t="str">
            <v>ORANGE KEY BREAD FL LAOS 111 PPBAG@25KG</v>
          </cell>
          <cell r="E4012">
            <v>25</v>
          </cell>
          <cell r="F4012" t="str">
            <v>Chọn</v>
          </cell>
          <cell r="G4012"/>
          <cell r="H4012"/>
        </row>
        <row r="4013">
          <cell r="A4013" t="str">
            <v>7.52215902B771901</v>
          </cell>
          <cell r="B4013" t="str">
            <v>ORANGEKEY BREAD FL LAO 11-14% PPBAG@25KG</v>
          </cell>
          <cell r="C4013" t="str">
            <v>BỘT MÌ HIỆU CHÌA KHÓA CAM (TIẾNG LÀO) 25KG</v>
          </cell>
          <cell r="D4013" t="str">
            <v>ORANGEKEY BREAD FL LAO 11-14% PPBAG@25KG</v>
          </cell>
          <cell r="E4013">
            <v>25</v>
          </cell>
          <cell r="F4013" t="str">
            <v>Chọn</v>
          </cell>
          <cell r="G4013"/>
          <cell r="H4013"/>
        </row>
        <row r="4014">
          <cell r="A4014" t="str">
            <v>7.52215902A631901</v>
          </cell>
          <cell r="B4014" t="str">
            <v>ORANGEKEY BREADFL W/FE,ZN,VIT PPBAG@25KG</v>
          </cell>
          <cell r="C4014" t="str">
            <v>BỘT MÌ CHÌA KHÓA CAM 25KG</v>
          </cell>
          <cell r="D4014" t="str">
            <v>ORANGEKEY BREADFL W/FE,ZN,VIT PPBAG@25KG</v>
          </cell>
          <cell r="E4014">
            <v>25</v>
          </cell>
          <cell r="F4014" t="str">
            <v>Chọn</v>
          </cell>
          <cell r="G4014"/>
          <cell r="H4014"/>
        </row>
        <row r="4015">
          <cell r="A4015" t="str">
            <v>7.522159010092701</v>
          </cell>
          <cell r="B4015" t="str">
            <v>ORANGE KEY BREAD FLOUR 11.5% PEBAG@5KG</v>
          </cell>
          <cell r="C4015" t="str">
            <v>BỘT MÌ CHÌA KHÓA CAM 5KG</v>
          </cell>
          <cell r="D4015" t="str">
            <v>ORANGE KEY BREAD FLOUR 11.5% PEBAG@5KG</v>
          </cell>
          <cell r="E4015">
            <v>5</v>
          </cell>
          <cell r="F4015" t="str">
            <v>Chọn</v>
          </cell>
          <cell r="G4015"/>
          <cell r="H4015"/>
        </row>
        <row r="4016">
          <cell r="A4016" t="str">
            <v>7.52207102B791901</v>
          </cell>
          <cell r="B4016" t="str">
            <v>RED KEY BREAD FL LAOS W/VIT PPBAG@25KG</v>
          </cell>
          <cell r="C4016" t="str">
            <v>BỘT MÌ HIỆU CHÌA KHÓA ĐỎ (TIẾNG LÀO) 25KG</v>
          </cell>
          <cell r="D4016" t="str">
            <v>RED KEY BREAD FL LAOS W/VIT PPBAG@25KG</v>
          </cell>
          <cell r="E4016">
            <v>25</v>
          </cell>
          <cell r="F4016" t="str">
            <v>Chọn</v>
          </cell>
          <cell r="G4016"/>
          <cell r="H4016"/>
        </row>
        <row r="4017">
          <cell r="A4017" t="str">
            <v>7.52207102B041901</v>
          </cell>
          <cell r="B4017" t="str">
            <v>RED KEY BREAD FL KA W/ENZYMES PPBAG@25KG</v>
          </cell>
          <cell r="C4017" t="str">
            <v>BỘT MÌ HIỆU CHÌA KHÓA ĐỎ 25KG</v>
          </cell>
          <cell r="D4017" t="str">
            <v>RED KEY BREAD FL KA W/ENZYMES PPBAG@25KG</v>
          </cell>
          <cell r="E4017">
            <v>25</v>
          </cell>
          <cell r="F4017" t="str">
            <v>Chọn</v>
          </cell>
          <cell r="G4017"/>
          <cell r="H4017"/>
        </row>
        <row r="4018">
          <cell r="A4018" t="str">
            <v>7.52207102A691901</v>
          </cell>
          <cell r="B4018" t="str">
            <v>REDKEY BREAD FLOUR PRO 11-13% PPBAG@25KG</v>
          </cell>
          <cell r="C4018" t="str">
            <v>BỘT MÌ HIỆU CHÌA KHÓA ĐỎ 25KG</v>
          </cell>
          <cell r="D4018" t="str">
            <v>REDKEY BREAD FLOUR PRO 11-13% PPBAG@25KG</v>
          </cell>
          <cell r="E4018">
            <v>25</v>
          </cell>
          <cell r="F4018" t="str">
            <v>Chọn</v>
          </cell>
          <cell r="G4018"/>
          <cell r="H4018"/>
        </row>
        <row r="4019">
          <cell r="A4019" t="str">
            <v>7.52207101B242701</v>
          </cell>
          <cell r="B4019" t="str">
            <v>RED KEY BREAD FLOUR PRO11-13% PEBAG@5KG</v>
          </cell>
          <cell r="C4019" t="str">
            <v>BỘT MÌ HIỆU CHÌA KHÓA ĐỎ 5KG</v>
          </cell>
          <cell r="D4019" t="str">
            <v>RED KEY BREAD FLOUR PRO11-13% PEBAG@5KG</v>
          </cell>
          <cell r="E4019">
            <v>5</v>
          </cell>
          <cell r="F4019" t="str">
            <v>Chọn</v>
          </cell>
          <cell r="G4019"/>
          <cell r="H4019"/>
        </row>
        <row r="4020">
          <cell r="A4020" t="str">
            <v>7.52207102B801901</v>
          </cell>
          <cell r="B4020" t="str">
            <v>REDKEY BREADFL SP W/FE,ZN,BNZ PPBAG@25KG</v>
          </cell>
          <cell r="C4020" t="str">
            <v>BỘT MÌ HIỆU CHÌA KHÓA ĐỎ SP 25KG</v>
          </cell>
          <cell r="D4020" t="str">
            <v>REDKEY BREADFL SP W/FE,ZN,BNZ PPBAG@25KG</v>
          </cell>
          <cell r="E4020">
            <v>25</v>
          </cell>
          <cell r="F4020" t="str">
            <v>Chọn</v>
          </cell>
          <cell r="G4020"/>
          <cell r="H4020"/>
        </row>
        <row r="4021">
          <cell r="A4021" t="str">
            <v>7.52207101C122701</v>
          </cell>
          <cell r="B4021" t="str">
            <v>RED KEY BREAD FLOUR SP W/BNZ PEBAG@5KG</v>
          </cell>
          <cell r="C4021" t="str">
            <v>BỘT MÌ HIỆU CHÌA KHÓA ĐỎ SP 5KG</v>
          </cell>
          <cell r="D4021" t="str">
            <v>RED KEY BREAD FLOUR SP W/BNZ PEBAG@5KG</v>
          </cell>
          <cell r="E4021">
            <v>5</v>
          </cell>
          <cell r="F4021" t="str">
            <v>Chọn</v>
          </cell>
          <cell r="G4021"/>
          <cell r="H4021"/>
        </row>
        <row r="4022">
          <cell r="A4022" t="str">
            <v>7.52216102A651901</v>
          </cell>
          <cell r="B4022" t="str">
            <v>PINK KEY BREADFLOUR W/BENZOYL PPBAG@25KG</v>
          </cell>
          <cell r="C4022" t="str">
            <v>BỘT MÌ HIỆU CHÌA KHÓA HỒNG 25KG</v>
          </cell>
          <cell r="D4022" t="str">
            <v>PINK KEY BREADFLOUR W/BENZOYL PPBAG@25KG</v>
          </cell>
          <cell r="E4022">
            <v>25</v>
          </cell>
          <cell r="F4022" t="str">
            <v>Chọn</v>
          </cell>
          <cell r="G4022"/>
          <cell r="H4022"/>
        </row>
        <row r="4023">
          <cell r="A4023" t="str">
            <v>7.5221610106D2701</v>
          </cell>
          <cell r="B4023" t="str">
            <v>PINK KEY VEGETARIAN FL PRO14% PEBAG@5KG</v>
          </cell>
          <cell r="C4023" t="str">
            <v>BỘT MÌ HIỆU CHÌA KHÓA HỒNG 5KG</v>
          </cell>
          <cell r="D4023" t="str">
            <v>PINK KEY VEGETARIAN FL PRO14% PEBAG@5KG</v>
          </cell>
          <cell r="E4023">
            <v>5</v>
          </cell>
          <cell r="F4023" t="str">
            <v>Chọn</v>
          </cell>
          <cell r="G4023"/>
          <cell r="H4023"/>
        </row>
        <row r="4024">
          <cell r="A4024" t="str">
            <v>7.5221140207I1901</v>
          </cell>
          <cell r="B4024" t="str">
            <v>BLUE KEY PAU FL W/FE,ZN,BNZ PPBAG@25KG</v>
          </cell>
          <cell r="C4024" t="str">
            <v>BỘT MÌ HIỆU CHÌA KHÓA XANH BÁNH BAO 25KG</v>
          </cell>
          <cell r="D4024" t="str">
            <v>BLUE KEY PAU FL W/FE,ZN,BNZ PPBAG@25KG</v>
          </cell>
          <cell r="E4024">
            <v>25</v>
          </cell>
          <cell r="F4024" t="str">
            <v>Chọn</v>
          </cell>
          <cell r="G4024"/>
          <cell r="H4024"/>
        </row>
        <row r="4025">
          <cell r="A4025" t="str">
            <v>7.5221140105X2701</v>
          </cell>
          <cell r="B4025" t="str">
            <v>BLUEKEY PAU FLOUR 9% W/ENZYME PEBAG@5KG</v>
          </cell>
          <cell r="C4025" t="str">
            <v>BỘT MÌ HIỆU CHÌA KHÓA XANH BÁNH BAO 5KG</v>
          </cell>
          <cell r="D4025" t="str">
            <v>BLUEKEY PAU FLOUR 9% W/ENZYME PEBAG@5KG</v>
          </cell>
          <cell r="E4025">
            <v>5</v>
          </cell>
          <cell r="F4025" t="str">
            <v>Chọn</v>
          </cell>
          <cell r="G4025"/>
          <cell r="H4025"/>
        </row>
        <row r="4026">
          <cell r="A4026" t="str">
            <v>7.5221140207J1901</v>
          </cell>
          <cell r="B4026" t="str">
            <v>BLUEKEY PAUFLOUR PM W/ENZYM,FE,ZN @25KG</v>
          </cell>
          <cell r="C4026" t="str">
            <v>BỘT MÌ HIỆU CHÌA KHÓA XANH BÁNH BAO PM 25KG</v>
          </cell>
          <cell r="D4026" t="str">
            <v>BLUEKEY PAUFLOUR PM W/ENZYM,FE,ZN @25KG</v>
          </cell>
          <cell r="E4026">
            <v>25</v>
          </cell>
          <cell r="F4026" t="str">
            <v>Chọn</v>
          </cell>
          <cell r="G4026"/>
          <cell r="H4026"/>
        </row>
        <row r="4027">
          <cell r="A4027" t="str">
            <v>7.5221140205Y1901</v>
          </cell>
          <cell r="B4027" t="str">
            <v>BLUEKEY PAU FLOUR SP W/ENZYME PPBAG@25KG</v>
          </cell>
          <cell r="C4027" t="str">
            <v>BỘT MÌ HIỆU CHÌA KHÓA XANH BÁNH BAO SP 25KG</v>
          </cell>
          <cell r="D4027" t="str">
            <v>BLUEKEY PAU FLOUR SP W/ENZYME PPBAG@25KG</v>
          </cell>
          <cell r="E4027">
            <v>25</v>
          </cell>
          <cell r="F4027" t="str">
            <v>Chọn</v>
          </cell>
          <cell r="G4027"/>
          <cell r="H4027"/>
        </row>
        <row r="4028">
          <cell r="A4028" t="str">
            <v>7.5221140105Y2701</v>
          </cell>
          <cell r="B4028" t="str">
            <v>BLUEKEY PAU FL SP 9.2%W/ENZYME PEBAG@5KG</v>
          </cell>
          <cell r="C4028" t="str">
            <v>BỘT MÌ HIỆU CHÌA KHÓA XANH BÁNH BAO SP 5KG</v>
          </cell>
          <cell r="D4028" t="str">
            <v>BLUEKEY PAU FL SP 9.2%W/ENZYME PEBAG@5KG</v>
          </cell>
          <cell r="E4028">
            <v>5</v>
          </cell>
          <cell r="F4028" t="str">
            <v>Chọn</v>
          </cell>
          <cell r="G4028"/>
          <cell r="H4028"/>
        </row>
        <row r="4029">
          <cell r="A4029" t="str">
            <v>7.5221230206G1901</v>
          </cell>
          <cell r="B4029" t="str">
            <v>GREENKEY CAKEFL 111BISCAFUN W/FE&amp;ZN@25KG</v>
          </cell>
          <cell r="C4029" t="str">
            <v>BỘT MÌ HIỆU CHÌA KHÓA XANH LÁ - 111 25KG</v>
          </cell>
          <cell r="D4029" t="str">
            <v>GREENKEY CAKEFL 111BISCAFUN W/FE&amp;ZN@25KG</v>
          </cell>
          <cell r="E4029">
            <v>25</v>
          </cell>
          <cell r="F4029" t="str">
            <v>Chọn</v>
          </cell>
          <cell r="G4029"/>
          <cell r="H4029"/>
        </row>
        <row r="4030">
          <cell r="A4030" t="str">
            <v>7.5221230207T1901</v>
          </cell>
          <cell r="B4030" t="str">
            <v>GREENKEY CAKEFL 111BISCAFUN 9% PPBG@25KG</v>
          </cell>
          <cell r="C4030" t="str">
            <v>BỘT MÌ HIỆU CHÌA KHÓA XANH LÁ - 111 25KG</v>
          </cell>
          <cell r="D4030" t="str">
            <v>GREENKEY CAKEFL 111BISCAFUN 9% PPBG@25KG</v>
          </cell>
          <cell r="E4030">
            <v>25</v>
          </cell>
          <cell r="F4030" t="str">
            <v>Chọn</v>
          </cell>
          <cell r="G4030"/>
          <cell r="H4030"/>
        </row>
        <row r="4031">
          <cell r="A4031" t="str">
            <v>7.5221230207C1901</v>
          </cell>
          <cell r="B4031" t="str">
            <v>GREEN KEY CAKE FLOUR 111 PPBAG@25KG</v>
          </cell>
          <cell r="C4031" t="str">
            <v>BỘT MÌ HIỆU CHÌA KHÓA XANH LÁ - 111 25KG</v>
          </cell>
          <cell r="D4031" t="str">
            <v>GREEN KEY CAKE FLOUR 111 PPBAG@25KG</v>
          </cell>
          <cell r="E4031">
            <v>25</v>
          </cell>
          <cell r="F4031" t="str">
            <v>Chọn</v>
          </cell>
          <cell r="G4031"/>
          <cell r="H4031"/>
        </row>
        <row r="4032">
          <cell r="A4032" t="str">
            <v>7.5221230206H1901</v>
          </cell>
          <cell r="B4032" t="str">
            <v>GREEN KEY CAKE FL 111 TRANGAN PPBAG@25KG</v>
          </cell>
          <cell r="C4032" t="str">
            <v>BỘT MÌ HIỆU CHÌA KHÓA XANH LÁ - 111 25KG</v>
          </cell>
          <cell r="D4032" t="str">
            <v>GREEN KEY CAKE FL 111 TRANGAN PPBAG@25KG</v>
          </cell>
          <cell r="E4032">
            <v>25</v>
          </cell>
          <cell r="F4032" t="str">
            <v>Chọn</v>
          </cell>
          <cell r="G4032"/>
          <cell r="H4032"/>
        </row>
        <row r="4033">
          <cell r="A4033" t="str">
            <v>7.5221230207O1901</v>
          </cell>
          <cell r="B4033" t="str">
            <v>GREEN KEY CAKE FLOUR LAOS PPBAG@25KG</v>
          </cell>
          <cell r="C4033" t="str">
            <v>BỘT MÌ HIỆU CHÌA KHÓA XANH LÁ (TIẾNG LÀO) 25KG</v>
          </cell>
          <cell r="D4033" t="str">
            <v>GREEN KEY CAKE FLOUR LAOS PPBAG@25KG</v>
          </cell>
          <cell r="E4033">
            <v>25</v>
          </cell>
          <cell r="F4033" t="str">
            <v>Chọn</v>
          </cell>
          <cell r="G4033"/>
          <cell r="H4033"/>
        </row>
        <row r="4034">
          <cell r="A4034" t="str">
            <v>7.5221230206C1901</v>
          </cell>
          <cell r="B4034" t="str">
            <v>GREENKEY CAKE FL PHAM NGUYEN PPBAG@25KG</v>
          </cell>
          <cell r="C4034" t="str">
            <v>BỘT MÌ HIỆU CHÌA KHÓA XANH LÁ 25KG</v>
          </cell>
          <cell r="D4034" t="str">
            <v>GREENKEY CAKE FL PHAM NGUYEN PPBAG@25KG</v>
          </cell>
          <cell r="E4034">
            <v>25</v>
          </cell>
          <cell r="F4034" t="str">
            <v>Chọn</v>
          </cell>
          <cell r="G4034"/>
          <cell r="H4034"/>
        </row>
        <row r="4035">
          <cell r="A4035" t="str">
            <v>7.5221230205B0601</v>
          </cell>
          <cell r="B4035" t="str">
            <v>GREENKEY CAKEFL ORION 8-8.3%PAPERBG@25KG</v>
          </cell>
          <cell r="C4035" t="str">
            <v>BỘT MÌ HIỆU CHÌA KHÓA XANH LÁ 25KG</v>
          </cell>
          <cell r="D4035" t="str">
            <v>GREENKEY CAKEFL ORION 8-8.3%PAPERBG@25KG</v>
          </cell>
          <cell r="E4035">
            <v>25</v>
          </cell>
          <cell r="F4035" t="str">
            <v>Chọn</v>
          </cell>
          <cell r="G4035"/>
          <cell r="H4035"/>
        </row>
        <row r="4036">
          <cell r="A4036" t="str">
            <v>7.5221230207S1901</v>
          </cell>
          <cell r="B4036" t="str">
            <v>GREEN KEY CAKE FLOUR BAOHUNG PPBAG@25KG</v>
          </cell>
          <cell r="C4036" t="str">
            <v>BỘT MÌ HIỆU CHÌA KHÓA XANH LÁ 25KG</v>
          </cell>
          <cell r="D4036" t="str">
            <v>GREEN KEY CAKE FLOUR BAOHUNG PPBAG@25KG</v>
          </cell>
          <cell r="E4036">
            <v>25</v>
          </cell>
          <cell r="F4036" t="str">
            <v>Chọn</v>
          </cell>
          <cell r="G4036"/>
          <cell r="H4036"/>
        </row>
        <row r="4037">
          <cell r="A4037" t="str">
            <v>7.5221230106B2701</v>
          </cell>
          <cell r="B4037" t="str">
            <v>GREEN KEY CAKE FLOUR PRO 7.2% PEBAG@5KG</v>
          </cell>
          <cell r="C4037" t="str">
            <v>BỘT MÌ HIỆU CHÌA KHÓA XANH LÁ 5KG</v>
          </cell>
          <cell r="D4037" t="str">
            <v>GREEN KEY CAKE FLOUR PRO 7.2% PEBAG@5KG</v>
          </cell>
          <cell r="E4037">
            <v>5</v>
          </cell>
          <cell r="F4037" t="str">
            <v>Chọn</v>
          </cell>
          <cell r="G4037"/>
          <cell r="H4037"/>
        </row>
        <row r="4038">
          <cell r="A4038" t="str">
            <v>7.5221230207P1901</v>
          </cell>
          <cell r="B4038" t="str">
            <v>GREENKEY CAKE FLOUR SPTRANGAN PPBAG@25KG</v>
          </cell>
          <cell r="C4038" t="str">
            <v>BỘT MÌ CHÌA KHÓA XANH LÁ SP 25KG</v>
          </cell>
          <cell r="D4038" t="str">
            <v>GREENKEY CAKE FLOUR SPTRANGAN PPBAG@25KG</v>
          </cell>
          <cell r="E4038">
            <v>25</v>
          </cell>
          <cell r="F4038" t="str">
            <v>Chọn</v>
          </cell>
          <cell r="G4038"/>
          <cell r="H4038"/>
        </row>
        <row r="4039">
          <cell r="A4039" t="str">
            <v>7.5221230206J1901</v>
          </cell>
          <cell r="B4039" t="str">
            <v>GREEN KEY CAKE FLOUR SP PPBAG@25KG</v>
          </cell>
          <cell r="C4039" t="str">
            <v>BỘT MÌ HIỆU CHÌA KHÓA XANH LÁ SP 25KG</v>
          </cell>
          <cell r="D4039" t="str">
            <v>GREEN KEY CAKE FLOUR SP PPBAG@25KG</v>
          </cell>
          <cell r="E4039">
            <v>25</v>
          </cell>
          <cell r="F4039" t="str">
            <v>Chọn</v>
          </cell>
          <cell r="G4039"/>
          <cell r="H4039"/>
        </row>
        <row r="4040">
          <cell r="A4040" t="str">
            <v>7.5221230206K1901</v>
          </cell>
          <cell r="B4040" t="str">
            <v>GREENKEY CAKEFLOUR SP DIAMOND PPBAG@25KG</v>
          </cell>
          <cell r="C4040" t="str">
            <v>BỘT MÌ HIỆU CHÌA KHÓA XANH LÁ SP 25KG</v>
          </cell>
          <cell r="D4040" t="str">
            <v>GREENKEY CAKEFLOUR SP DIAMOND PPBAG@25KG</v>
          </cell>
          <cell r="E4040">
            <v>25</v>
          </cell>
          <cell r="F4040" t="str">
            <v>Chọn</v>
          </cell>
          <cell r="G4040"/>
          <cell r="H4040"/>
        </row>
        <row r="4041">
          <cell r="A4041" t="str">
            <v>7.5221230106J2701</v>
          </cell>
          <cell r="B4041" t="str">
            <v>GREENKEY CAKE FLOUR SP 7.5-9.5%PEBAG@5KG</v>
          </cell>
          <cell r="C4041" t="str">
            <v>BỘT MÌ HIỆU CHÌA KHÓA XANH LÁ SP 5KG</v>
          </cell>
          <cell r="D4041" t="str">
            <v>GREENKEY CAKE FLOUR SP 7.5-9.5%PEBAG@5KG</v>
          </cell>
          <cell r="E4041">
            <v>5</v>
          </cell>
          <cell r="F4041" t="str">
            <v>Chọn</v>
          </cell>
          <cell r="G4041"/>
          <cell r="H4041"/>
        </row>
        <row r="4042">
          <cell r="A4042" t="str">
            <v>7.52211402C101901</v>
          </cell>
          <cell r="B4042" t="str">
            <v>BLUE KEY NOODLE FL MASAN PPBAG@25KG</v>
          </cell>
          <cell r="C4042" t="str">
            <v>BỘT MÌ CKX MÌ SỢI 25KG</v>
          </cell>
          <cell r="D4042" t="str">
            <v>BLUE KEY NOODLE FL MASAN PPBAG@25KG</v>
          </cell>
          <cell r="E4042">
            <v>25</v>
          </cell>
          <cell r="F4042" t="str">
            <v>Chọn</v>
          </cell>
          <cell r="G4042"/>
          <cell r="H4042"/>
        </row>
        <row r="4043">
          <cell r="A4043" t="str">
            <v>7.52211402C131901</v>
          </cell>
          <cell r="B4043" t="str">
            <v xml:space="preserve">BLUEKEY NOODLE FL W/FE,ZN,BNZ PPBAG@25KG_x000D_
</v>
          </cell>
          <cell r="C4043" t="str">
            <v>BỘT MÌ CKX MÌ SỢI 25KG</v>
          </cell>
          <cell r="D4043" t="str">
            <v xml:space="preserve">BLUEKEY NOODLE FL W/FE,ZN,BNZ PPBAG@25KG_x000D_
</v>
          </cell>
          <cell r="E4043">
            <v>25</v>
          </cell>
          <cell r="F4043" t="str">
            <v>Chọn</v>
          </cell>
          <cell r="G4043"/>
          <cell r="H4043"/>
        </row>
        <row r="4044">
          <cell r="A4044" t="str">
            <v>7.52211402B251901</v>
          </cell>
          <cell r="B4044" t="str">
            <v xml:space="preserve">BLUE KEY NOODLE FLOUR AN PHU PPBAG@25KG_x000D_
</v>
          </cell>
          <cell r="C4044" t="str">
            <v>BỘT MÌ CKX MÌ SỢI 25KG</v>
          </cell>
          <cell r="D4044" t="str">
            <v xml:space="preserve">BLUE KEY NOODLE FLOUR AN PHU PPBAG@25KG_x000D_
</v>
          </cell>
          <cell r="E4044">
            <v>25</v>
          </cell>
          <cell r="F4044" t="str">
            <v>Chọn</v>
          </cell>
          <cell r="G4044"/>
          <cell r="H4044"/>
        </row>
        <row r="4045">
          <cell r="A4045" t="str">
            <v>7.52211401B972701</v>
          </cell>
          <cell r="B4045" t="str">
            <v xml:space="preserve">BLUE KEY NOODLE FL W/BENZOYL PEBAG@5KG_x000D_
</v>
          </cell>
          <cell r="C4045" t="str">
            <v>BỘT MÌ CKX MÌ SỢI 5KG</v>
          </cell>
          <cell r="D4045" t="str">
            <v xml:space="preserve">BLUE KEY NOODLE FL W/BENZOYL PEBAG@5KG_x000D_
</v>
          </cell>
          <cell r="E4045">
            <v>5</v>
          </cell>
          <cell r="F4045" t="str">
            <v>Chọn</v>
          </cell>
          <cell r="G4045"/>
          <cell r="H4045"/>
        </row>
        <row r="4046">
          <cell r="A4046" t="str">
            <v>7.52213709C071901</v>
          </cell>
          <cell r="B4046" t="str">
            <v>RED COMPASS NOODLE FL MASAN PPBAG@40KG</v>
          </cell>
          <cell r="C4046" t="str">
            <v>BỘT MÌ LA BÀN ĐỎ (40KG)</v>
          </cell>
          <cell r="D4046" t="str">
            <v>RED COMPASS NOODLE FL MASAN PPBAG@40KG</v>
          </cell>
          <cell r="E4046">
            <v>40</v>
          </cell>
          <cell r="F4046" t="str">
            <v>Chọn</v>
          </cell>
          <cell r="G4046"/>
          <cell r="H4046"/>
        </row>
        <row r="4047">
          <cell r="A4047" t="str">
            <v>7.52213702A251901</v>
          </cell>
          <cell r="B4047" t="str">
            <v>RED COMPASS BREAD FLOUR LAOS PPBAG@25KG</v>
          </cell>
          <cell r="C4047" t="str">
            <v>BỘT MÌ HIỆU LA BÀN ĐỎ (TIẾNG LÀO) 25KG</v>
          </cell>
          <cell r="D4047" t="str">
            <v>RED COMPASS BREAD FLOUR LAOS PPBAG@25KG</v>
          </cell>
          <cell r="E4047">
            <v>25</v>
          </cell>
          <cell r="F4047" t="str">
            <v>Chọn</v>
          </cell>
          <cell r="G4047"/>
          <cell r="H4047"/>
        </row>
        <row r="4048">
          <cell r="A4048" t="str">
            <v>7.52213702B711901</v>
          </cell>
          <cell r="B4048" t="str">
            <v>RED COMPASS NOODLE FL MICOEM PPBAG@25KG</v>
          </cell>
          <cell r="C4048" t="str">
            <v>BỘT MÌ HIỆU LA BÀN ĐỎ 25KG</v>
          </cell>
          <cell r="D4048" t="str">
            <v>RED COMPASS NOODLE FL MICOEM PPBAG@25KG</v>
          </cell>
          <cell r="E4048">
            <v>25</v>
          </cell>
          <cell r="F4048" t="str">
            <v>Chọn</v>
          </cell>
          <cell r="G4048"/>
          <cell r="H4048"/>
        </row>
        <row r="4049">
          <cell r="A4049" t="str">
            <v>7.5221370206I1901</v>
          </cell>
          <cell r="B4049" t="str">
            <v>RED COMPASS MOONCAKEFL BIBICA PPBAG@25KG</v>
          </cell>
          <cell r="C4049" t="str">
            <v>BỘT MÌ HIỆU LA BÀN ĐỎ 25KG</v>
          </cell>
          <cell r="D4049" t="str">
            <v>RED COMPASS MOONCAKEFL BIBICA PPBAG@25KG</v>
          </cell>
          <cell r="E4049">
            <v>25</v>
          </cell>
          <cell r="F4049" t="str">
            <v>Chọn</v>
          </cell>
          <cell r="G4049"/>
          <cell r="H4049"/>
        </row>
        <row r="4050">
          <cell r="A4050" t="str">
            <v>7.52213702B311901</v>
          </cell>
          <cell r="B4050" t="str">
            <v>REDCOMPASS BREAD FL W/ENZ,VIT PPBAG@25KG</v>
          </cell>
          <cell r="C4050" t="str">
            <v>BỘT MÌ HIỆU LA BÀN ĐỎ 25KG</v>
          </cell>
          <cell r="D4050" t="str">
            <v>REDCOMPASS BREAD FL W/ENZ,VIT PPBAG@25KG</v>
          </cell>
          <cell r="E4050">
            <v>25</v>
          </cell>
          <cell r="F4050" t="str">
            <v>Chọn</v>
          </cell>
          <cell r="G4050"/>
          <cell r="H4050"/>
        </row>
        <row r="4051">
          <cell r="A4051" t="str">
            <v>7.52213709B201901</v>
          </cell>
          <cell r="B4051" t="str">
            <v>RED COMPASS NOODLE FL PALDO PPBAG@25KG</v>
          </cell>
          <cell r="C4051" t="str">
            <v>BỘT MÌ HIỆU LA BÀN ĐỎ 25KG</v>
          </cell>
          <cell r="D4051" t="str">
            <v>RED COMPASS NOODLE FL PALDO PPBAG@25KG</v>
          </cell>
          <cell r="E4051">
            <v>25</v>
          </cell>
          <cell r="F4051" t="str">
            <v>Chọn</v>
          </cell>
          <cell r="G4051"/>
          <cell r="H4051"/>
        </row>
        <row r="4052">
          <cell r="A4052" t="str">
            <v>7.522137012142701</v>
          </cell>
          <cell r="B4052" t="str">
            <v>RED COMPASS MULTIPURPOSE FL PEBAG@5KG</v>
          </cell>
          <cell r="C4052" t="str">
            <v>BỘT MÌ HIỆU LA BÀN ĐỎ 5KG</v>
          </cell>
          <cell r="D4052" t="str">
            <v>RED COMPASS MULTIPURPOSE FL PEBAG@5KG</v>
          </cell>
          <cell r="E4052">
            <v>5</v>
          </cell>
          <cell r="F4052" t="str">
            <v>Chọn</v>
          </cell>
          <cell r="G4052"/>
          <cell r="H4052"/>
        </row>
        <row r="4053">
          <cell r="A4053" t="str">
            <v>7.522068022121901</v>
          </cell>
          <cell r="B4053" t="str">
            <v>BROWNCOMPASS MULTIPURPOSE 111 LAOS @25KG</v>
          </cell>
          <cell r="C4053" t="str">
            <v>BỘT MÌ HIỆU LA BÀN NÂU - 111 (TIẾNG LÀO) 25KG</v>
          </cell>
          <cell r="D4053" t="str">
            <v>BROWNCOMPASS MULTIPURPOSE 111 LAOS @25KG</v>
          </cell>
          <cell r="E4053">
            <v>25</v>
          </cell>
          <cell r="F4053" t="str">
            <v>Chọn</v>
          </cell>
          <cell r="G4053"/>
          <cell r="H4053"/>
        </row>
        <row r="4054">
          <cell r="A4054" t="str">
            <v>7.522068021361901</v>
          </cell>
          <cell r="B4054" t="str">
            <v>BROWNCOMPASS MULTIPURPOSE 111 PPBAG@25KG</v>
          </cell>
          <cell r="C4054" t="str">
            <v>BỘT MÌ LA BÀN NÂU - 111 25KG</v>
          </cell>
          <cell r="D4054" t="str">
            <v>BROWNCOMPASS MULTIPURPOSE 111 PPBAG@25KG</v>
          </cell>
          <cell r="E4054">
            <v>25</v>
          </cell>
          <cell r="F4054" t="str">
            <v>Chọn</v>
          </cell>
          <cell r="G4054"/>
          <cell r="H4054"/>
        </row>
        <row r="4055">
          <cell r="A4055" t="str">
            <v>7.522068011362701</v>
          </cell>
          <cell r="B4055" t="str">
            <v>BROWNCOMPASS MULTIPURPOSE 111 PEBAG@5KG</v>
          </cell>
          <cell r="C4055" t="str">
            <v>BỘT MÌ LA BÀN NÂU - 111 5KG</v>
          </cell>
          <cell r="D4055" t="str">
            <v>BROWNCOMPASS MULTIPURPOSE 111 PEBAG@5KG</v>
          </cell>
          <cell r="E4055">
            <v>5</v>
          </cell>
          <cell r="F4055" t="str">
            <v>Chọn</v>
          </cell>
          <cell r="G4055"/>
          <cell r="H4055"/>
        </row>
        <row r="4056">
          <cell r="A4056" t="str">
            <v>7.522068022101901</v>
          </cell>
          <cell r="B4056" t="str">
            <v>BROWNCOMPASS MULTIPURPOSE 333BIMBIM@25KG</v>
          </cell>
          <cell r="C4056" t="str">
            <v>BỘT MÌ HIỆU LA BÀN NÂU - 333 25KG</v>
          </cell>
          <cell r="D4056" t="str">
            <v>BROWNCOMPASS MULTIPURPOSE 333BIMBIM@25KG</v>
          </cell>
          <cell r="E4056">
            <v>25</v>
          </cell>
          <cell r="F4056" t="str">
            <v>Chọn</v>
          </cell>
          <cell r="G4056"/>
          <cell r="H4056"/>
        </row>
        <row r="4057">
          <cell r="A4057" t="str">
            <v>7.5220680207L1901</v>
          </cell>
          <cell r="B4057" t="str">
            <v>BROWNCOMPASS CRACKERFL 333CONGTUYEN@25KG</v>
          </cell>
          <cell r="C4057" t="str">
            <v>BỘT MÌ HIỆU LA BÀN NÂU - 333 25KG</v>
          </cell>
          <cell r="D4057" t="str">
            <v>BROWNCOMPASS CRACKERFL 333CONGTUYEN@25KG</v>
          </cell>
          <cell r="E4057">
            <v>25</v>
          </cell>
          <cell r="F4057" t="str">
            <v>Chọn</v>
          </cell>
          <cell r="G4057"/>
          <cell r="H4057"/>
        </row>
        <row r="4058">
          <cell r="A4058" t="str">
            <v>7.522068021981901</v>
          </cell>
          <cell r="B4058" t="str">
            <v>BROWNCOMPASS MULTIPURPOSE 555 PPBAG@25KG</v>
          </cell>
          <cell r="C4058" t="str">
            <v>BỘT MÌ HIỆU LA BÀN NÂU - 555 25KG</v>
          </cell>
          <cell r="D4058" t="str">
            <v>BROWNCOMPASS MULTIPURPOSE 555 PPBAG@25KG</v>
          </cell>
          <cell r="E4058">
            <v>25</v>
          </cell>
          <cell r="F4058" t="str">
            <v>Chọn</v>
          </cell>
          <cell r="G4058"/>
          <cell r="H4058"/>
        </row>
        <row r="4059">
          <cell r="A4059" t="str">
            <v>7.522068022131901</v>
          </cell>
          <cell r="B4059" t="str">
            <v>BROWNCOMPASS MULTIPURPOSE 999 PPBAG@25KG</v>
          </cell>
          <cell r="C4059" t="str">
            <v>BỘT MÌ HIỆU LA BÀN NÂU - 999 25KG</v>
          </cell>
          <cell r="D4059" t="str">
            <v>BROWNCOMPASS MULTIPURPOSE 999 PPBAG@25KG</v>
          </cell>
          <cell r="E4059">
            <v>25</v>
          </cell>
          <cell r="F4059" t="str">
            <v>Chọn</v>
          </cell>
          <cell r="G4059"/>
          <cell r="H4059"/>
        </row>
        <row r="4060">
          <cell r="A4060" t="str">
            <v>7.52206809B691901</v>
          </cell>
          <cell r="B4060" t="str">
            <v>BROWN COMPASS NOODLE FL MASAN PPBAG@40KG</v>
          </cell>
          <cell r="C4060" t="str">
            <v>BỘT MÌ LA BÀN NÂU (40KG)</v>
          </cell>
          <cell r="D4060" t="str">
            <v>BROWN COMPASS NOODLE FL MASAN PPBAG@40KG</v>
          </cell>
          <cell r="E4060">
            <v>40</v>
          </cell>
          <cell r="F4060" t="str">
            <v>Chọn</v>
          </cell>
          <cell r="G4060"/>
          <cell r="H4060"/>
        </row>
        <row r="4061">
          <cell r="A4061" t="str">
            <v>7.5220680207K1901</v>
          </cell>
          <cell r="B4061" t="str">
            <v>BROWNCOMPASS CRACKERFL 111 BAOHUNG @25KG</v>
          </cell>
          <cell r="C4061" t="str">
            <v>BỘT MÌ LA BÀN NÂU -111 25KG</v>
          </cell>
          <cell r="D4061" t="str">
            <v>BROWNCOMPASS CRACKERFL 111 BAOHUNG @25KG</v>
          </cell>
          <cell r="E4061">
            <v>25</v>
          </cell>
          <cell r="F4061" t="str">
            <v>Chọn</v>
          </cell>
          <cell r="G4061"/>
          <cell r="H4061"/>
        </row>
        <row r="4062">
          <cell r="A4062" t="str">
            <v>7.522068022001901</v>
          </cell>
          <cell r="B4062" t="str">
            <v>BROWNCOMPASSMULTIPURPOSE PHAMNGUYEN@25KG</v>
          </cell>
          <cell r="C4062" t="str">
            <v>BỘT MÌ HIỆU LA BÀN NÂU 25KG</v>
          </cell>
          <cell r="D4062" t="str">
            <v>BROWNCOMPASSMULTIPURPOSE PHAMNGUYEN@25KG</v>
          </cell>
          <cell r="E4062">
            <v>25</v>
          </cell>
          <cell r="F4062" t="str">
            <v>Chọn</v>
          </cell>
          <cell r="G4062"/>
          <cell r="H4062"/>
        </row>
        <row r="4063">
          <cell r="A4063" t="str">
            <v>7.52206802B261901</v>
          </cell>
          <cell r="B4063" t="str">
            <v>BROWN COMPASS NOODLE FL HANOI FOOD@25KG</v>
          </cell>
          <cell r="C4063" t="str">
            <v>BỘT MÌ HIỆU LA BÀN NÂU 25KG</v>
          </cell>
          <cell r="D4063" t="str">
            <v>BROWN COMPASS NOODLE FL HANOI FOOD@25KG</v>
          </cell>
          <cell r="E4063">
            <v>25</v>
          </cell>
          <cell r="F4063" t="str">
            <v>Chọn</v>
          </cell>
          <cell r="G4063"/>
          <cell r="H4063"/>
        </row>
        <row r="4064">
          <cell r="A4064" t="str">
            <v>7.522068012262701</v>
          </cell>
          <cell r="B4064" t="str">
            <v>BROWNCOMPASS MULTIPURPOSE 9.2% PEBAG@5KG</v>
          </cell>
          <cell r="C4064" t="str">
            <v>BỘT MÌ HIỆU LA BÀN NÂU 5KG</v>
          </cell>
          <cell r="D4064" t="str">
            <v>BROWNCOMPASS MULTIPURPOSE 9.2% PEBAG@5KG</v>
          </cell>
          <cell r="E4064">
            <v>5</v>
          </cell>
          <cell r="F4064" t="str">
            <v>Chọn</v>
          </cell>
          <cell r="G4064"/>
          <cell r="H4064"/>
        </row>
        <row r="4065">
          <cell r="A4065" t="str">
            <v>7.52213402C111901</v>
          </cell>
          <cell r="B4065" t="str">
            <v>BLUE COMPASS NOODLE FL MICOEM PPBAG@25KG</v>
          </cell>
          <cell r="C4065" t="str">
            <v>BỘT MÌ HIỆU LA BÀN XANH 25KG</v>
          </cell>
          <cell r="D4065" t="str">
            <v>BLUE COMPASS NOODLE FL MICOEM PPBAG@25KG</v>
          </cell>
          <cell r="E4065">
            <v>25</v>
          </cell>
          <cell r="F4065" t="str">
            <v>Chọn</v>
          </cell>
          <cell r="G4065"/>
          <cell r="H4065"/>
        </row>
        <row r="4066">
          <cell r="A4066" t="str">
            <v>7.52213402C081901</v>
          </cell>
          <cell r="B4066" t="str">
            <v>BLUE COMPASS NOODLE FL VIFON PPBAG@25KG</v>
          </cell>
          <cell r="C4066" t="str">
            <v>BỘT MÌ HIỆU LA BÀN XANH 25KG</v>
          </cell>
          <cell r="D4066" t="str">
            <v>BLUE COMPASS NOODLE FL VIFON PPBAG@25KG</v>
          </cell>
          <cell r="E4066">
            <v>25</v>
          </cell>
          <cell r="F4066" t="str">
            <v>Chọn</v>
          </cell>
          <cell r="G4066"/>
          <cell r="H4066"/>
        </row>
        <row r="4067">
          <cell r="A4067" t="str">
            <v>7.522134022191901</v>
          </cell>
          <cell r="B4067" t="str">
            <v>BLUECOMPASS FRIEDCHICKNFL KFC PPBAG@25KG</v>
          </cell>
          <cell r="C4067" t="str">
            <v>BỘT MÌ HIỆU LA BÀN XANH 25KG</v>
          </cell>
          <cell r="D4067" t="str">
            <v>BLUECOMPASS FRIEDCHICKNFL KFC PPBAG@25KG</v>
          </cell>
          <cell r="E4067">
            <v>25</v>
          </cell>
          <cell r="F4067" t="str">
            <v>Chọn</v>
          </cell>
          <cell r="G4067"/>
          <cell r="H4067"/>
        </row>
        <row r="4068">
          <cell r="A4068" t="str">
            <v>7.52213402A271901</v>
          </cell>
          <cell r="B4068" t="str">
            <v>BLUECOMPASS BREADFLW/FE,ZN,BNZPPBAG@25KG</v>
          </cell>
          <cell r="C4068" t="str">
            <v>BỘT MÌ HIỆU LA BÀN XANH 25KG</v>
          </cell>
          <cell r="D4068" t="str">
            <v>BLUECOMPASS BREADFLW/FE,ZN,BNZPPBAG@25KG</v>
          </cell>
          <cell r="E4068">
            <v>25</v>
          </cell>
          <cell r="F4068" t="str">
            <v>Chọn</v>
          </cell>
          <cell r="G4068"/>
          <cell r="H4068"/>
        </row>
        <row r="4069">
          <cell r="A4069" t="str">
            <v>7.52213402B981901</v>
          </cell>
          <cell r="B4069" t="str">
            <v>BLUE COMPASS TIPO FL HUU NGHI PPBAG@25KG</v>
          </cell>
          <cell r="C4069" t="str">
            <v>BỘT MÌ HIỆU LA BÀN XANH 25KG</v>
          </cell>
          <cell r="D4069" t="str">
            <v>BLUE COMPASS TIPO FL HUU NGHI PPBAG@25KG</v>
          </cell>
          <cell r="E4069">
            <v>25</v>
          </cell>
          <cell r="F4069" t="str">
            <v>Chọn</v>
          </cell>
          <cell r="G4069"/>
          <cell r="H4069"/>
        </row>
        <row r="4070">
          <cell r="A4070" t="str">
            <v>7.52213409B481901</v>
          </cell>
          <cell r="B4070" t="str">
            <v>BLUECOMPASS NOODLEFL FE,ZN,BNZPPBAG@40KG</v>
          </cell>
          <cell r="C4070" t="str">
            <v>BỘT MÌ HIỆU LA BÀN XANH 40KG</v>
          </cell>
          <cell r="D4070" t="str">
            <v>BLUECOMPASS NOODLEFL FE,ZN,BNZPPBAG@40KG</v>
          </cell>
          <cell r="E4070">
            <v>40</v>
          </cell>
          <cell r="F4070" t="str">
            <v>Chọn</v>
          </cell>
          <cell r="G4070"/>
          <cell r="H4070"/>
        </row>
        <row r="4071">
          <cell r="A4071" t="str">
            <v>7.522134011742701</v>
          </cell>
          <cell r="B4071" t="str">
            <v>BLUE COMPASS MULTIPURPOSEFL9.2%PEBAG@5KG</v>
          </cell>
          <cell r="C4071" t="str">
            <v>BỘT MÌ HIỆU LA BÀN XANH 5KG</v>
          </cell>
          <cell r="D4071" t="str">
            <v>BLUE COMPASS MULTIPURPOSEFL9.2%PEBAG@5KG</v>
          </cell>
          <cell r="E4071">
            <v>5</v>
          </cell>
          <cell r="F4071" t="str">
            <v>Chọn</v>
          </cell>
          <cell r="G4071"/>
          <cell r="H4071"/>
        </row>
        <row r="4072">
          <cell r="A4072" t="str">
            <v>7.522186050510601</v>
          </cell>
          <cell r="B4072" t="str">
            <v>PIZZA WHEAT FLOUR PIZZA HUT PAPERBG@10KG</v>
          </cell>
          <cell r="C4072" t="str">
            <v>BỘT MÌ HIỆU PIZZA (10KG)</v>
          </cell>
          <cell r="D4072" t="str">
            <v>PIZZA WHEAT FLOUR PIZZA HUT PAPERBG@10KG</v>
          </cell>
          <cell r="E4072">
            <v>10</v>
          </cell>
          <cell r="F4072" t="str">
            <v>Chọn</v>
          </cell>
          <cell r="G4072"/>
          <cell r="H4072"/>
        </row>
        <row r="4073">
          <cell r="A4073" t="str">
            <v>7.52218002B861901</v>
          </cell>
          <cell r="B4073" t="str">
            <v>SATELLITE BREAD FLOUR LAOS PPBAG@25KG</v>
          </cell>
          <cell r="C4073" t="str">
            <v>BỘT MÌ HIỆU VỆ TINH (TIẾNG LÀO) 25KG</v>
          </cell>
          <cell r="D4073" t="str">
            <v>SATELLITE BREAD FLOUR LAOS PPBAG@25KG</v>
          </cell>
          <cell r="E4073">
            <v>25</v>
          </cell>
          <cell r="F4073" t="str">
            <v>Chọn</v>
          </cell>
          <cell r="G4073"/>
          <cell r="H4073"/>
        </row>
        <row r="4074">
          <cell r="A4074" t="str">
            <v>7.52218002B511901</v>
          </cell>
          <cell r="B4074" t="str">
            <v>SATELLITE BREADFLOUR KINHDO PPBAG@25KG</v>
          </cell>
          <cell r="C4074" t="str">
            <v>BỘT MÌ HIỆU VỆ TINH 25KG</v>
          </cell>
          <cell r="D4074" t="str">
            <v>SATELLITE BREADFLOUR KINHDO PPBAG@25KG</v>
          </cell>
          <cell r="E4074">
            <v>25</v>
          </cell>
          <cell r="F4074" t="str">
            <v>Chọn</v>
          </cell>
          <cell r="G4074"/>
          <cell r="H4074"/>
        </row>
        <row r="4075">
          <cell r="A4075" t="str">
            <v>7.52213602B841901</v>
          </cell>
          <cell r="B4075" t="str">
            <v>RED SATELLITE SANDWICH FL HUU NGHI@25KG</v>
          </cell>
          <cell r="C4075" t="str">
            <v>BỘT MÌ HIỆU VỆ TINH ĐỎ 25KG</v>
          </cell>
          <cell r="D4075" t="str">
            <v>RED SATELLITE SANDWICH FL HUU NGHI@25KG</v>
          </cell>
          <cell r="E4075">
            <v>25</v>
          </cell>
          <cell r="F4075" t="str">
            <v>Chọn</v>
          </cell>
          <cell r="G4075"/>
          <cell r="H4075"/>
        </row>
        <row r="4076">
          <cell r="A4076" t="str">
            <v>7.52213602B921901</v>
          </cell>
          <cell r="B4076" t="str">
            <v>RED SATELLITE BREAD FL LIBRA PPBAG@25KG</v>
          </cell>
          <cell r="C4076" t="str">
            <v>BỘT MÌ HIỆU VỆ TINH ĐỎ 25KG</v>
          </cell>
          <cell r="D4076" t="str">
            <v>RED SATELLITE BREAD FL LIBRA PPBAG@25KG</v>
          </cell>
          <cell r="E4076">
            <v>25</v>
          </cell>
          <cell r="F4076" t="str">
            <v>Chọn</v>
          </cell>
          <cell r="G4076"/>
          <cell r="H4076"/>
        </row>
        <row r="4077">
          <cell r="A4077" t="str">
            <v>7.52213602C141901</v>
          </cell>
          <cell r="B4077" t="str">
            <v>REDSATELLITE BREAD FL KINH DO PPBAG@25KG</v>
          </cell>
          <cell r="C4077" t="str">
            <v>BỘT MÌ HIỆU VỆ TINH ĐỎ 25KG</v>
          </cell>
          <cell r="D4077" t="str">
            <v>REDSATELLITE BREAD FL KINH DO PPBAG@25KG</v>
          </cell>
          <cell r="E4077">
            <v>25</v>
          </cell>
          <cell r="F4077" t="str">
            <v>Chọn</v>
          </cell>
          <cell r="G4077"/>
          <cell r="H4077"/>
        </row>
        <row r="4078">
          <cell r="A4078" t="str">
            <v>7.52213602B371901</v>
          </cell>
          <cell r="B4078" t="str">
            <v>REDSATELLITE BREADFL W/VIT,ENZ PPBG@25KG</v>
          </cell>
          <cell r="C4078" t="str">
            <v>BỘT MÌ VỆ TINH ĐỎ 25KG</v>
          </cell>
          <cell r="D4078" t="str">
            <v>REDSATELLITE BREADFL W/VIT,ENZ PPBG@25KG</v>
          </cell>
          <cell r="E4078">
            <v>25</v>
          </cell>
          <cell r="F4078" t="str">
            <v>Chọn</v>
          </cell>
          <cell r="G4078"/>
          <cell r="H4078"/>
        </row>
        <row r="4079">
          <cell r="A4079" t="str">
            <v>7.52213601B882701</v>
          </cell>
          <cell r="B4079" t="str">
            <v>REDSATELLITE BREADFL W/BNZ,VIT PEBAG@5KG</v>
          </cell>
          <cell r="C4079" t="str">
            <v>BỘT MÌ HIỆU VỆ TINH ĐỎ 5KG</v>
          </cell>
          <cell r="D4079" t="str">
            <v>REDSATELLITE BREADFL W/BNZ,VIT PEBAG@5KG</v>
          </cell>
          <cell r="E4079">
            <v>5</v>
          </cell>
          <cell r="F4079" t="str">
            <v>Chọn</v>
          </cell>
          <cell r="G4079"/>
          <cell r="H4079"/>
        </row>
        <row r="4080">
          <cell r="A4080" t="str">
            <v>6.52299R724</v>
          </cell>
          <cell r="B4080" t="str">
            <v>NOODLE FLOUR VF2 ASH 0.55% W/FE&amp;ZN</v>
          </cell>
          <cell r="C4080" t="str">
            <v>BỘT MÌ VFMW-2</v>
          </cell>
          <cell r="D4080" t="str">
            <v>NOODLE FLOUR VF2 ASH 0.55% W/FE&amp;ZN</v>
          </cell>
          <cell r="E4080">
            <v>1</v>
          </cell>
          <cell r="F4080" t="str">
            <v>Chọn</v>
          </cell>
          <cell r="G4080"/>
          <cell r="H4080"/>
        </row>
        <row r="4081">
          <cell r="A4081" t="str">
            <v>6.52299R725</v>
          </cell>
          <cell r="B4081" t="str">
            <v>NOODLE FLOUR VF4 ASH 0.6% W/FE&amp;ZN</v>
          </cell>
          <cell r="C4081" t="str">
            <v>BỘT MÌ VFMW-4</v>
          </cell>
          <cell r="D4081" t="str">
            <v>NOODLE FLOUR VF4 ASH 0.6% W/FE&amp;ZN</v>
          </cell>
          <cell r="E4081">
            <v>1</v>
          </cell>
          <cell r="F4081" t="str">
            <v>Chọn</v>
          </cell>
          <cell r="G4081"/>
          <cell r="H4081"/>
        </row>
        <row r="4082">
          <cell r="A4082" t="str">
            <v>7.522112012262701</v>
          </cell>
          <cell r="B4082" t="str">
            <v>MEIZAN MULTIPURPOSE W/FE&amp;ZN PEBAG@5KG</v>
          </cell>
          <cell r="C4082" t="str">
            <v>BỘT MÌ ĐA DỤNG CAO CẤP HIỆU MEIZAN 5KG (GÓI)</v>
          </cell>
          <cell r="D4082" t="str">
            <v>MEIZAN MULTIPURPOSE W/FE&amp;ZN PEBAG@5KG</v>
          </cell>
          <cell r="E4082">
            <v>5</v>
          </cell>
          <cell r="F4082" t="str">
            <v>Bỏ chọn</v>
          </cell>
          <cell r="G4082"/>
          <cell r="H4082"/>
        </row>
        <row r="4083">
          <cell r="A4083" t="str">
            <v>7.522112012292787</v>
          </cell>
          <cell r="B4083" t="str">
            <v>MEIZAN MULTIPURPOSE FL 8.5% 5KG X 6BAG</v>
          </cell>
          <cell r="C4083" t="str">
            <v>BỘT MÌ ĐA DỤNG CAO CẤP HIỆU MEIZAN (5KG*6 GÓI/BAO)</v>
          </cell>
          <cell r="D4083" t="str">
            <v>MEIZAN MULTIPURPOSE FL 8.5% 5KG X 6BAG</v>
          </cell>
          <cell r="E4083">
            <v>30</v>
          </cell>
          <cell r="F4083" t="str">
            <v>Chọn</v>
          </cell>
          <cell r="G4083"/>
          <cell r="H4083" t="str">
            <v>7.522112012072501</v>
          </cell>
        </row>
        <row r="4084">
          <cell r="A4084" t="str">
            <v>7.522134021591901</v>
          </cell>
          <cell r="B4084" t="str">
            <v>BLUE COMPASS GENERAL FL AFI PPBAG@25KG</v>
          </cell>
          <cell r="C4084" t="str">
            <v>BỘT MÌ HIỆU LA BÀN XANH 25KG</v>
          </cell>
          <cell r="D4084" t="str">
            <v>BLUE COMPASS GENERAL FL AFI PPBAG@25KG</v>
          </cell>
          <cell r="E4084">
            <v>25</v>
          </cell>
          <cell r="F4084" t="str">
            <v>Chọn</v>
          </cell>
          <cell r="G4084"/>
          <cell r="H4084"/>
        </row>
        <row r="4085">
          <cell r="A4085" t="str">
            <v>7.522068021721901</v>
          </cell>
          <cell r="B4085" t="str">
            <v>BROWNCOMPASS MULTIPURPOSE AFI 9FEZN@25KG</v>
          </cell>
          <cell r="C4085" t="str">
            <v>BỘT MÌ HIỆU LA BÀN NÂU 25KG</v>
          </cell>
          <cell r="D4085" t="str">
            <v>BROWNCOMPASS MULTIPURPOSE AFI 9FEZN@25KG</v>
          </cell>
          <cell r="E4085">
            <v>25</v>
          </cell>
          <cell r="F4085" t="str">
            <v>Chọn</v>
          </cell>
          <cell r="G4085"/>
          <cell r="H4085"/>
        </row>
        <row r="4086">
          <cell r="A4086" t="str">
            <v>7.522068021931901</v>
          </cell>
          <cell r="B4086" t="str">
            <v>BROWNCOMPASS COOKIESFL STF 9.7-10.9@25KG</v>
          </cell>
          <cell r="C4086" t="str">
            <v>BỘT MÌ HIỆU LA BÀN NÂU 25KG</v>
          </cell>
          <cell r="D4086" t="str">
            <v>BROWNCOMPASS COOKIESFL STF 9.7-10.9@25KG</v>
          </cell>
          <cell r="E4086">
            <v>25</v>
          </cell>
          <cell r="F4086" t="str">
            <v>Chọn</v>
          </cell>
          <cell r="G4086"/>
          <cell r="H4086"/>
        </row>
        <row r="4087">
          <cell r="A4087" t="str">
            <v>7.522137092161901</v>
          </cell>
          <cell r="B4087" t="str">
            <v>REDCOMPASSCOOKIESFL MDLZ 10.5-11.5%@40KG</v>
          </cell>
          <cell r="C4087" t="str">
            <v>BỘT MÌ HIỆU LA BÀN ĐỎ 40KG (BOT MI MEDIUM - NON FORTIFICATION)</v>
          </cell>
          <cell r="D4087" t="str">
            <v>REDCOMPASSCOOKIESFL MDLZ 10.5-11.5%@40KG</v>
          </cell>
          <cell r="E4087">
            <v>40</v>
          </cell>
          <cell r="F4087" t="str">
            <v>Chọn</v>
          </cell>
          <cell r="G4087"/>
          <cell r="H4087"/>
        </row>
        <row r="4088">
          <cell r="A4088" t="str">
            <v>7.522068021631901</v>
          </cell>
          <cell r="B4088" t="str">
            <v>BROWNCOMPASS PREMIXFL AJI FE,ZNPPBG@25KG</v>
          </cell>
          <cell r="C4088" t="str">
            <v>BỘT MÌ HIỆU LA BÀN NÂU 25KG</v>
          </cell>
          <cell r="D4088" t="str">
            <v>BROWNCOMPASS PREMIXFL AJI FE,ZNPPBG@25KG</v>
          </cell>
          <cell r="E4088">
            <v>25</v>
          </cell>
          <cell r="F4088" t="str">
            <v>Chọn</v>
          </cell>
          <cell r="G4088"/>
          <cell r="H4088"/>
        </row>
        <row r="4089">
          <cell r="A4089" t="str">
            <v>7.52207102B030601</v>
          </cell>
          <cell r="B4089" t="str">
            <v>RED KEY BREADFL NISSHIN 11.2%PPRBAG@25KG</v>
          </cell>
          <cell r="C4089" t="str">
            <v>BỘT MÌ HIỆU CHÌA KHÓA ĐỎ 25KG</v>
          </cell>
          <cell r="D4089" t="str">
            <v>RED KEY BREADFL NISSHIN 11.2%PPRBAG@25KG</v>
          </cell>
          <cell r="E4089">
            <v>25</v>
          </cell>
          <cell r="F4089" t="str">
            <v>Chọn</v>
          </cell>
          <cell r="G4089"/>
          <cell r="H4089"/>
        </row>
        <row r="4090">
          <cell r="A4090" t="str">
            <v>7.5221230005B0000</v>
          </cell>
          <cell r="B4090" t="str">
            <v>GREEN KEY CAKE FL ORION PRO8-8.3%ASH0.4%</v>
          </cell>
          <cell r="C4090" t="str">
            <v>BỘT MÌ HIỆU CHÌA KHÓA XANH LÁ BULK</v>
          </cell>
          <cell r="D4090" t="str">
            <v>GREEN KEY CAKE FL ORION PRO8-8.3%ASH0.4%</v>
          </cell>
          <cell r="E4090">
            <v>1</v>
          </cell>
          <cell r="F4090" t="str">
            <v>Chọn</v>
          </cell>
          <cell r="G4090"/>
          <cell r="H4090"/>
        </row>
        <row r="4091">
          <cell r="A4091" t="str">
            <v>7.522068021651901</v>
          </cell>
          <cell r="B4091" t="str">
            <v>BROWNCOMPASSCOOKIESFL PN 9.5-10.5BG@25KG</v>
          </cell>
          <cell r="C4091" t="str">
            <v>BỘT MÌ HIỆU LA BÀN NÂU 25KG</v>
          </cell>
          <cell r="D4091" t="str">
            <v>BROWNCOMPASSCOOKIESFL PN 9.5-10.5BG@25KG</v>
          </cell>
          <cell r="E4091">
            <v>25</v>
          </cell>
          <cell r="F4091" t="str">
            <v>Chọn</v>
          </cell>
          <cell r="G4091"/>
          <cell r="H4091"/>
        </row>
        <row r="4092">
          <cell r="A4092" t="str">
            <v>7.5221230205N0601</v>
          </cell>
          <cell r="B4092" t="str">
            <v>GREENKEY CAKEFL PDS PRO11% PAPERBAG@25KG</v>
          </cell>
          <cell r="C4092" t="str">
            <v>BỘT MÌ HIỆU CHÌA KHÓA XANH LÁ 25KG</v>
          </cell>
          <cell r="D4092" t="str">
            <v>GREENKEY CAKEFL PDS PRO11% PAPERBAG@25KG</v>
          </cell>
          <cell r="E4092">
            <v>25</v>
          </cell>
          <cell r="F4092" t="str">
            <v>Chọn</v>
          </cell>
          <cell r="G4092"/>
          <cell r="H4092"/>
        </row>
        <row r="4093">
          <cell r="A4093" t="str">
            <v>7.522134091601901</v>
          </cell>
          <cell r="B4093" t="str">
            <v>BLUE COMPASS GENERAL FL ASIA PPBAG@40KG</v>
          </cell>
          <cell r="C4093" t="str">
            <v>BỘT MÌ HIỆU LA BÀN XANH 40KG</v>
          </cell>
          <cell r="D4093" t="str">
            <v>BLUE COMPASS GENERAL FL ASIA PPBAG@40KG</v>
          </cell>
          <cell r="E4093">
            <v>40</v>
          </cell>
          <cell r="F4093" t="str">
            <v>Chọn</v>
          </cell>
          <cell r="G4093"/>
          <cell r="H4093"/>
        </row>
        <row r="4094">
          <cell r="A4094" t="str">
            <v>7.52213609B161901</v>
          </cell>
          <cell r="B4094" t="str">
            <v>REDSATELLITEBREADFL MDLZ 12-14.5BAG@40KG</v>
          </cell>
          <cell r="C4094" t="str">
            <v>BỘT MÌ HIỆU VỆ TINH ĐỎ 40KG  (BOT MI HARD - FORTIFICATION</v>
          </cell>
          <cell r="D4094" t="str">
            <v>REDSATELLITEBREADFL MDLZ 12-14.5BAG@40KG</v>
          </cell>
          <cell r="E4094">
            <v>40</v>
          </cell>
          <cell r="F4094" t="str">
            <v>Chọn</v>
          </cell>
          <cell r="G4094"/>
          <cell r="H4094"/>
        </row>
        <row r="4095">
          <cell r="A4095" t="str">
            <v>7.52213709C041901</v>
          </cell>
          <cell r="B4095" t="str">
            <v>REDCOMPASSBREADFL THIEN HUONG PPBAG@40KG</v>
          </cell>
          <cell r="C4095" t="str">
            <v>BỘT MÌ HIỆU LA BÀN ĐỎ 40KG</v>
          </cell>
          <cell r="D4095" t="str">
            <v>REDCOMPASSBREADFL THIEN HUONG PPBAG@40KG</v>
          </cell>
          <cell r="E4095">
            <v>40</v>
          </cell>
          <cell r="F4095" t="str">
            <v>Chọn</v>
          </cell>
          <cell r="G4095"/>
          <cell r="H4095"/>
        </row>
        <row r="4096">
          <cell r="A4096" t="str">
            <v>7.522001021471901</v>
          </cell>
          <cell r="B4096" t="str">
            <v>SEMOLINA FLOUR IN PP BAG@25KG</v>
          </cell>
          <cell r="C4096" t="str">
            <v>BỘT MÌ HIỆU SEMOLINA 25KG</v>
          </cell>
          <cell r="D4096" t="str">
            <v>SEMOLINA FLOUR IN PP BAG@25KG</v>
          </cell>
          <cell r="E4096">
            <v>25</v>
          </cell>
          <cell r="F4096" t="str">
            <v>Chọn</v>
          </cell>
          <cell r="G4096"/>
          <cell r="H4096"/>
        </row>
        <row r="4097">
          <cell r="A4097" t="str">
            <v>7.52213709C061901</v>
          </cell>
          <cell r="B4097" t="str">
            <v>REDCOMPASSNOODLEFL VIFON 10.5%PPBAG@40KG</v>
          </cell>
          <cell r="C4097" t="str">
            <v>BỘT MÌ HIỆU LA BÀN ĐỎ 40KG</v>
          </cell>
          <cell r="D4097" t="str">
            <v>REDCOMPASSNOODLEFL VIFON 10.5%PPBAG@40KG</v>
          </cell>
          <cell r="E4097">
            <v>40</v>
          </cell>
          <cell r="F4097" t="str">
            <v>Chọn</v>
          </cell>
          <cell r="G4097"/>
          <cell r="H4097"/>
        </row>
        <row r="4098">
          <cell r="A4098" t="str">
            <v>7.5221230905L1901</v>
          </cell>
          <cell r="B4098" t="str">
            <v>GREENKEY CAKEFL KINH DO MDLZ PPBAG @40KG</v>
          </cell>
          <cell r="C4098" t="str">
            <v>BỘT MÌ HIỆU CHÌA KHÓA XANH LÁ 40KG (BỘT MÌ SOFT)</v>
          </cell>
          <cell r="D4098" t="str">
            <v>GREENKEY CAKEFL KINH DO MDLZ PPBAG @40KG</v>
          </cell>
          <cell r="E4098">
            <v>40</v>
          </cell>
          <cell r="F4098" t="str">
            <v>Chọn</v>
          </cell>
          <cell r="G4098"/>
          <cell r="H4098"/>
        </row>
        <row r="4099">
          <cell r="A4099" t="str">
            <v>7.5221230205S1901</v>
          </cell>
          <cell r="B4099" t="str">
            <v>GREEN KEY CAKE FL KIDO 8-10% PPBAG@25KG</v>
          </cell>
          <cell r="C4099" t="str">
            <v>BỘT MÌ HIỆU CHÌA KHÓA XANH LÁ 25KG</v>
          </cell>
          <cell r="D4099" t="str">
            <v>GREEN KEY CAKE FL KIDO 8-10% PPBAG@25KG</v>
          </cell>
          <cell r="E4099">
            <v>25</v>
          </cell>
          <cell r="F4099" t="str">
            <v>Chọn</v>
          </cell>
          <cell r="G4099"/>
          <cell r="H4099"/>
        </row>
        <row r="4100">
          <cell r="A4100" t="str">
            <v>7.522157020491901</v>
          </cell>
          <cell r="B4100" t="str">
            <v>LWW-2 CRACKER FLOUR IN PPBAG@25KG</v>
          </cell>
          <cell r="C4100" t="str">
            <v>BỘT MÌ HIỆU CAKE FLOUR LWW-2 25KG</v>
          </cell>
          <cell r="D4100" t="str">
            <v>LWW-2 CRACKER FLOUR IN PPBAG@25KG</v>
          </cell>
          <cell r="E4100">
            <v>25</v>
          </cell>
          <cell r="F4100" t="str">
            <v>Chọn</v>
          </cell>
          <cell r="G4100"/>
          <cell r="H4100"/>
        </row>
        <row r="4101">
          <cell r="A4101" t="str">
            <v>7.522185021321901</v>
          </cell>
          <cell r="B4101" t="str">
            <v>LWW-1 SOFT WHEAT FL W/FE&amp;ZN PPBAG@25KG</v>
          </cell>
          <cell r="C4101" t="str">
            <v>BỘT MÌ HIỆU SOFT WHEAT FLOUR LWW-1 25KG</v>
          </cell>
          <cell r="D4101" t="str">
            <v>LWW-1 SOFT WHEAT FL W/FE&amp;ZN PPBAG@25KG</v>
          </cell>
          <cell r="E4101">
            <v>25</v>
          </cell>
          <cell r="F4101" t="str">
            <v>Chọn</v>
          </cell>
          <cell r="G4101"/>
          <cell r="H4101"/>
        </row>
        <row r="4102">
          <cell r="A4102" t="str">
            <v>7.52214202C010601</v>
          </cell>
          <cell r="B4102" t="str">
            <v>BCR-1 BREADFLSUMIMOTO 12.5%PAPERBAG@25KG</v>
          </cell>
          <cell r="C4102" t="str">
            <v>BỘT MÌ HIỆU BCR-1 25KG</v>
          </cell>
          <cell r="D4102" t="str">
            <v>BCR-1 BREADFLSUMIMOTO 12.5%PAPERBAG@25KG</v>
          </cell>
          <cell r="E4102">
            <v>25</v>
          </cell>
          <cell r="F4102" t="str">
            <v>Chọn</v>
          </cell>
          <cell r="G4102"/>
          <cell r="H4102"/>
        </row>
        <row r="4103">
          <cell r="A4103" t="str">
            <v>7.52211402A301901</v>
          </cell>
          <cell r="B4103" t="str">
            <v>BLUEKEY NOODLEFL SUMIMOTO KVC PPBAG@25KG</v>
          </cell>
          <cell r="C4103" t="str">
            <v>BỘT MÌ HIỆU CKX MÌ SỢI 25KG</v>
          </cell>
          <cell r="D4103" t="str">
            <v>BLUEKEY NOODLEFL SUMIMOTO KVC PPBAG@25KG</v>
          </cell>
          <cell r="E4103">
            <v>25</v>
          </cell>
          <cell r="F4103" t="str">
            <v>Chọn</v>
          </cell>
          <cell r="G4103"/>
          <cell r="H4103"/>
        </row>
        <row r="4104">
          <cell r="A4104" t="str">
            <v>7.522134022051901</v>
          </cell>
          <cell r="B4104" t="str">
            <v>BLUE COMPASS MULTIFL BIBICA W/FE&amp;ZN@25KG</v>
          </cell>
          <cell r="C4104" t="str">
            <v>BỘT MÌ HIỆU LA BÀN XANH 25KG</v>
          </cell>
          <cell r="D4104" t="str">
            <v>BLUE COMPASS MULTIFL BIBICA W/FE&amp;ZN@25KG</v>
          </cell>
          <cell r="E4104">
            <v>25</v>
          </cell>
          <cell r="F4104" t="str">
            <v>Chọn</v>
          </cell>
          <cell r="G4104"/>
          <cell r="H4104"/>
        </row>
        <row r="4105">
          <cell r="A4105" t="str">
            <v>7.522068091551901</v>
          </cell>
          <cell r="B4105" t="str">
            <v>BROWNCOMPASS GENERALFL FL 333 FE&amp;ZN@40KG</v>
          </cell>
          <cell r="C4105" t="str">
            <v>BỘT MÌ HIỆU LA BÀN NÂU - 333 (40KG)</v>
          </cell>
          <cell r="D4105" t="str">
            <v>BROWNCOMPASS GENERALFL FL 333 FE&amp;ZN@40KG</v>
          </cell>
          <cell r="E4105">
            <v>40</v>
          </cell>
          <cell r="F4105" t="str">
            <v>Chọn</v>
          </cell>
          <cell r="G4105"/>
          <cell r="H4105"/>
        </row>
        <row r="4106">
          <cell r="A4106" t="str">
            <v>7.52213602A621901</v>
          </cell>
          <cell r="B4106" t="str">
            <v>REDSATELLITE BREADFL HN ASH0.56%BAG@25KG</v>
          </cell>
          <cell r="C4106" t="str">
            <v>BỘT MÌ HIỆU VỆ TINH ĐỎ 25KG</v>
          </cell>
          <cell r="D4106" t="str">
            <v>REDSATELLITE BREADFL HN ASH0.56%BAG@25KG</v>
          </cell>
          <cell r="E4106">
            <v>25</v>
          </cell>
          <cell r="F4106" t="str">
            <v>Chọn</v>
          </cell>
          <cell r="G4106"/>
          <cell r="H4106"/>
        </row>
        <row r="4107">
          <cell r="A4107" t="str">
            <v>7.522071021461901</v>
          </cell>
          <cell r="B4107" t="str">
            <v>RED KEY GENERAL FL AFI  10.5% PPBAG@25KG</v>
          </cell>
          <cell r="C4107" t="str">
            <v>BỘT MÌ HIỆU CHÌA KHÓA ĐỎ 25KG</v>
          </cell>
          <cell r="D4107" t="str">
            <v>RED KEY GENERAL FL AFI  10.5% PPBAG@25KG</v>
          </cell>
          <cell r="E4107">
            <v>25</v>
          </cell>
          <cell r="F4107" t="str">
            <v>Chọn</v>
          </cell>
          <cell r="G4107"/>
          <cell r="H4107"/>
        </row>
        <row r="4108">
          <cell r="A4108" t="str">
            <v>7.522068021821901</v>
          </cell>
          <cell r="B4108" t="str">
            <v>BROWNCOMPASS PREMIXFL AFI FEZNPPBAG@25KG</v>
          </cell>
          <cell r="C4108" t="str">
            <v>BỘT MÌ HIỆU LA BÀN NÂU 25KG</v>
          </cell>
          <cell r="D4108" t="str">
            <v>BROWNCOMPASS PREMIXFL AFI FEZNPPBAG@25KG</v>
          </cell>
          <cell r="E4108">
            <v>25</v>
          </cell>
          <cell r="F4108" t="str">
            <v>Chọn</v>
          </cell>
          <cell r="G4108"/>
          <cell r="H4108"/>
        </row>
        <row r="4109">
          <cell r="A4109" t="str">
            <v>7.52211402C051901</v>
          </cell>
          <cell r="B4109" t="str">
            <v>BLUE KEY NOODLE FLOUR RB 9-12%PPBAG@25KG</v>
          </cell>
          <cell r="C4109" t="str">
            <v>BỘT MÌ HIỆU CKX MÌ SỢI 25KG</v>
          </cell>
          <cell r="D4109" t="str">
            <v>BLUE KEY NOODLE FLOUR RB 9-12%PPBAG@25KG</v>
          </cell>
          <cell r="E4109">
            <v>25</v>
          </cell>
          <cell r="F4109" t="str">
            <v>Chọn</v>
          </cell>
          <cell r="G4109"/>
          <cell r="H4109"/>
        </row>
        <row r="4110">
          <cell r="A4110" t="str">
            <v>7.52216102A431901</v>
          </cell>
          <cell r="B4110" t="str">
            <v>PINKKEY BREADFL RB 13MIN0.5MAXPPBAG@25KG</v>
          </cell>
          <cell r="C4110" t="str">
            <v>BỘT MÌ HIỆU CHÌA KHÓA HỒNG 25KG</v>
          </cell>
          <cell r="D4110" t="str">
            <v>PINKKEY BREADFL RB 13MIN0.5MAXPPBAG@25KG</v>
          </cell>
          <cell r="E4110">
            <v>25</v>
          </cell>
          <cell r="F4110" t="str">
            <v>Chọn</v>
          </cell>
          <cell r="G4110"/>
          <cell r="H4110"/>
        </row>
        <row r="4111">
          <cell r="A4111" t="str">
            <v>7.52207102B641901</v>
          </cell>
          <cell r="B4111" t="str">
            <v>RED KEY NOODLE FL RB PRO11-13%PPBAG@25KG</v>
          </cell>
          <cell r="C4111" t="str">
            <v>BỘT MÌ HIỆU CHÌA KHÓA ĐỎ MÌ SỢI 25KG</v>
          </cell>
          <cell r="D4111" t="str">
            <v>RED KEY NOODLE FL RB PRO11-13%PPBAG@25KG</v>
          </cell>
          <cell r="E4111">
            <v>25</v>
          </cell>
          <cell r="F4111" t="str">
            <v>Chọn</v>
          </cell>
          <cell r="G4111"/>
          <cell r="H4111"/>
        </row>
        <row r="4112">
          <cell r="A4112" t="str">
            <v>7.52215802B381901</v>
          </cell>
          <cell r="B4112" t="str">
            <v>MS-1 BREAD FLOUR RB 10.8-11.5%PPBAG@25KG</v>
          </cell>
          <cell r="C4112" t="str">
            <v>BỘT MÌ HIỆU MS-1 25KG</v>
          </cell>
          <cell r="D4112" t="str">
            <v>MS-1 BREAD FLOUR RB 10.8-11.5%PPBAG@25KG</v>
          </cell>
          <cell r="E4112">
            <v>25</v>
          </cell>
          <cell r="F4112" t="str">
            <v>Chọn</v>
          </cell>
          <cell r="G4112"/>
          <cell r="H4112"/>
        </row>
        <row r="4113">
          <cell r="A4113" t="str">
            <v>7.52213602B471901</v>
          </cell>
          <cell r="B4113" t="str">
            <v>REDSATELLITE BREAD FL PDS ENZ PPBAG@25KG</v>
          </cell>
          <cell r="C4113" t="str">
            <v>BỘT MÌ HIỆU VỆ TINH ĐỎ 25KG</v>
          </cell>
          <cell r="D4113" t="str">
            <v>REDSATELLITE BREAD FL PDS ENZ PPBAG@25KG</v>
          </cell>
          <cell r="E4113">
            <v>25</v>
          </cell>
          <cell r="F4113" t="str">
            <v>Chọn</v>
          </cell>
          <cell r="G4113"/>
          <cell r="H4113"/>
        </row>
        <row r="4114">
          <cell r="A4114" t="str">
            <v>7.52213409A511901</v>
          </cell>
          <cell r="B4114" t="str">
            <v>BLUECOMPASSNOODLEFL PDS FEZNBNZPBAG@40KG</v>
          </cell>
          <cell r="C4114" t="str">
            <v>BỘT MÌ HIỆU LA BÀN XANH 40KG</v>
          </cell>
          <cell r="D4114" t="str">
            <v>BLUECOMPASSNOODLEFL PDS FEZNBNZPBAG@40KG</v>
          </cell>
          <cell r="E4114">
            <v>40</v>
          </cell>
          <cell r="F4114" t="str">
            <v>Chọn</v>
          </cell>
          <cell r="G4114"/>
          <cell r="H4114"/>
        </row>
        <row r="4115">
          <cell r="A4115" t="str">
            <v>7.5221140205R1901</v>
          </cell>
          <cell r="B4115" t="str">
            <v>BLUE KEY PAU FL KIDO PRO8-11% PPBAG@25KG</v>
          </cell>
          <cell r="C4115" t="str">
            <v>BỘT MÌ HIỆU CKX BÁNH BAO 25KG</v>
          </cell>
          <cell r="D4115" t="str">
            <v>BLUE KEY PAU FL KIDO PRO8-11% PPBAG@25KG</v>
          </cell>
          <cell r="E4115">
            <v>25</v>
          </cell>
          <cell r="F4115" t="str">
            <v>Chọn</v>
          </cell>
          <cell r="G4115"/>
          <cell r="H4115"/>
        </row>
        <row r="4116">
          <cell r="A4116" t="str">
            <v>7.522114020581901</v>
          </cell>
          <cell r="B4116" t="str">
            <v>BLUE KEY PAU FL LWW PRO10-12% PPBAG@25KG</v>
          </cell>
          <cell r="C4116" t="str">
            <v>BỘT MÌ HIỆU CKX BÁNH BAO 25KG</v>
          </cell>
          <cell r="D4116" t="str">
            <v>BLUE KEY PAU FL LWW PRO10-12% PPBAG@25KG</v>
          </cell>
          <cell r="E4116">
            <v>25</v>
          </cell>
          <cell r="F4116" t="str">
            <v>Chọn</v>
          </cell>
          <cell r="G4116"/>
          <cell r="H4116"/>
        </row>
        <row r="4117">
          <cell r="A4117" t="str">
            <v>7.52213802B111901</v>
          </cell>
          <cell r="B4117" t="str">
            <v>ACE BREAD FLOUR 10% W/ENZYMES PPBAG@25KG</v>
          </cell>
          <cell r="C4117" t="str">
            <v>BỘT MÌ ACE-1 25KG</v>
          </cell>
          <cell r="D4117" t="str">
            <v>ACE BREAD FLOUR 10% W/ENZYMES PPBAG@25KG</v>
          </cell>
          <cell r="E4117">
            <v>25</v>
          </cell>
          <cell r="F4117" t="str">
            <v>Chọn</v>
          </cell>
          <cell r="G4117"/>
          <cell r="H4117"/>
        </row>
        <row r="4118">
          <cell r="A4118" t="str">
            <v>7.52213409A561901</v>
          </cell>
          <cell r="B4118" t="str">
            <v>BLUECOMPASS BREADFL 111 FE&amp;ZN PPBAG@40KG</v>
          </cell>
          <cell r="C4118" t="str">
            <v>BỘT MÌ LA BÀN XANH - 111 40KG</v>
          </cell>
          <cell r="D4118" t="str">
            <v>BLUECOMPASS BREADFL 111 FE&amp;ZN PPBAG@40KG</v>
          </cell>
          <cell r="E4118">
            <v>40</v>
          </cell>
          <cell r="F4118" t="str">
            <v>Chọn</v>
          </cell>
          <cell r="G4118"/>
          <cell r="H4118"/>
        </row>
        <row r="4119">
          <cell r="A4119" t="str">
            <v>7.52213409A571901</v>
          </cell>
          <cell r="B4119" t="str">
            <v>BLUE COMPASS BREADFL 333 10.1%PPBAG@40KG</v>
          </cell>
          <cell r="C4119" t="str">
            <v>BỘT MÌ HIỆU LA BÀN XANH - 333 40KG</v>
          </cell>
          <cell r="D4119" t="str">
            <v>BLUE COMPASS BREADFL 333 10.1%PPBAG@40KG</v>
          </cell>
          <cell r="E4119">
            <v>40</v>
          </cell>
          <cell r="F4119" t="str">
            <v>Chọn</v>
          </cell>
          <cell r="G4119"/>
          <cell r="H4119"/>
        </row>
        <row r="4120">
          <cell r="A4120" t="str">
            <v>7.52213409A581901</v>
          </cell>
          <cell r="B4120" t="str">
            <v>BLUE COMPASS BREADFL 555 10.3%PPBAG@40KG</v>
          </cell>
          <cell r="C4120" t="str">
            <v>BỘT MÌ HIỆU LA BÀN XANH - 555 40KG</v>
          </cell>
          <cell r="D4120" t="str">
            <v>BLUE COMPASS BREADFL 555 10.3%PPBAG@40KG</v>
          </cell>
          <cell r="E4120">
            <v>40</v>
          </cell>
          <cell r="F4120" t="str">
            <v>Chọn</v>
          </cell>
          <cell r="G4120"/>
          <cell r="H4120"/>
        </row>
        <row r="4121">
          <cell r="A4121" t="str">
            <v>7.52213409A531901</v>
          </cell>
          <cell r="B4121" t="str">
            <v>BLUECOMPASS NOODLEFL 666 10.5%PPBAG@40KG</v>
          </cell>
          <cell r="C4121" t="str">
            <v>BỘT MÌ LA BÀN XANH - 666 40KG</v>
          </cell>
          <cell r="D4121" t="str">
            <v>BLUECOMPASS NOODLEFL 666 10.5%PPBAG@40KG</v>
          </cell>
          <cell r="E4121">
            <v>40</v>
          </cell>
          <cell r="F4121" t="str">
            <v>Chọn</v>
          </cell>
          <cell r="G4121"/>
          <cell r="H4121"/>
        </row>
        <row r="4122">
          <cell r="A4122" t="str">
            <v>7.52213409A541901</v>
          </cell>
          <cell r="B4122" t="str">
            <v>BLUE COMPASS NOODLEFL 888 12% PPBAG@40KG</v>
          </cell>
          <cell r="C4122" t="str">
            <v>BỘT MÌ LA BÀN XANH - 888 40KG</v>
          </cell>
          <cell r="D4122" t="str">
            <v>BLUE COMPASS NOODLEFL 888 12% PPBAG@40KG</v>
          </cell>
          <cell r="E4122">
            <v>40</v>
          </cell>
          <cell r="F4122" t="str">
            <v>Chọn</v>
          </cell>
          <cell r="G4122"/>
          <cell r="H4122"/>
        </row>
        <row r="4123">
          <cell r="A4123" t="str">
            <v>7.52213409A551901</v>
          </cell>
          <cell r="B4123" t="str">
            <v>BLUECOMPASS NOODLEFL 999 10.2%PPBAG@40KG</v>
          </cell>
          <cell r="C4123" t="str">
            <v>BỘT MÌ HIỆU LA BÀN XANH - 999 40KG</v>
          </cell>
          <cell r="D4123" t="str">
            <v>BLUECOMPASS NOODLEFL 999 10.2%PPBAG@40KG</v>
          </cell>
          <cell r="E4123">
            <v>40</v>
          </cell>
          <cell r="F4123" t="str">
            <v>Chọn</v>
          </cell>
          <cell r="G4123"/>
          <cell r="H4123"/>
        </row>
        <row r="4124">
          <cell r="A4124" t="str">
            <v>7.52211402A591901</v>
          </cell>
          <cell r="B4124" t="str">
            <v>BLUE KEY BREAD FLOUR 11-13% PPBAG@25KG</v>
          </cell>
          <cell r="C4124" t="str">
            <v>BỘT MÌ CHÌA KHÓA XANH 25KG</v>
          </cell>
          <cell r="D4124" t="str">
            <v>BLUE KEY BREAD FLOUR 11-13% PPBAG@25KG</v>
          </cell>
          <cell r="E4124">
            <v>25</v>
          </cell>
          <cell r="F4124" t="str">
            <v>Chọn</v>
          </cell>
          <cell r="G4124"/>
          <cell r="H4124"/>
        </row>
        <row r="4125">
          <cell r="A4125" t="str">
            <v>7.52211409A591901</v>
          </cell>
          <cell r="B4125" t="str">
            <v>BLUE KEY BREAD FLOUR 11-13% PPBAG@40KG</v>
          </cell>
          <cell r="C4125" t="str">
            <v>BỘT MÌ CHÌA KHÓA XANH 40KG</v>
          </cell>
          <cell r="D4125" t="str">
            <v>BLUE KEY BREAD FLOUR 11-13% PPBAG@40KG</v>
          </cell>
          <cell r="E4125">
            <v>40</v>
          </cell>
          <cell r="F4125" t="str">
            <v>Chọn</v>
          </cell>
          <cell r="G4125"/>
          <cell r="H4125"/>
        </row>
        <row r="4126">
          <cell r="A4126" t="str">
            <v>7.522114020450601</v>
          </cell>
          <cell r="B4126" t="str">
            <v>BLUE KEY PIAFL 111 10.5-12%PAPERBAG@25KG</v>
          </cell>
          <cell r="C4126" t="str">
            <v>BỘT MÌ CHÌA KHÓA XANH - 111 25KG</v>
          </cell>
          <cell r="D4126" t="str">
            <v>BLUE KEY PIAFL 111 10.5-12%PAPERBAG@25KG</v>
          </cell>
          <cell r="E4126">
            <v>25</v>
          </cell>
          <cell r="F4126" t="str">
            <v>Chọn</v>
          </cell>
          <cell r="G4126"/>
          <cell r="H4126"/>
        </row>
        <row r="4127">
          <cell r="A4127" t="str">
            <v>7.52211402A521901</v>
          </cell>
          <cell r="B4127" t="str">
            <v>BLUE KEY NOODLE FLOUR 10-12% PPBAG @25KG</v>
          </cell>
          <cell r="C4127" t="str">
            <v>BỘT MÌ CKX MÌ SỢI 25KG</v>
          </cell>
          <cell r="D4127" t="str">
            <v>BLUE KEY NOODLE FLOUR 10-12% PPBAG @25KG</v>
          </cell>
          <cell r="E4127">
            <v>25</v>
          </cell>
          <cell r="F4127" t="str">
            <v>Chọn</v>
          </cell>
          <cell r="G4127"/>
          <cell r="H4127"/>
        </row>
        <row r="4128">
          <cell r="A4128" t="str">
            <v>7.5221140206L1901</v>
          </cell>
          <cell r="B4128" t="str">
            <v>BLUE KEY PAU FL W/BNZ,FE,ZN PPBAG@25KG</v>
          </cell>
          <cell r="C4128" t="str">
            <v>BỘT MÌ CKX BÁNH BAO 25KG</v>
          </cell>
          <cell r="D4128" t="str">
            <v>BLUE KEY PAU FL W/BNZ,FE,ZN PPBAG@25KG</v>
          </cell>
          <cell r="E4128">
            <v>25</v>
          </cell>
          <cell r="F4128" t="str">
            <v>Chọn</v>
          </cell>
          <cell r="G4128"/>
          <cell r="H4128"/>
        </row>
        <row r="4129">
          <cell r="A4129" t="str">
            <v>7.522114020591901</v>
          </cell>
          <cell r="B4129" t="str">
            <v>BLUE KEY PAU FLOUR SP PRO 10% PPBAG@25KG</v>
          </cell>
          <cell r="C4129" t="str">
            <v>BỘT MÌ HIỆU CKX BÁNH BAO SP 25KG</v>
          </cell>
          <cell r="D4129" t="str">
            <v>BLUE KEY PAU FLOUR SP PRO 10% PPBAG@25KG</v>
          </cell>
          <cell r="E4129">
            <v>25</v>
          </cell>
          <cell r="F4129" t="str">
            <v>Chọn</v>
          </cell>
          <cell r="G4129"/>
          <cell r="H4129"/>
        </row>
        <row r="4130">
          <cell r="A4130" t="str">
            <v>7.5221146705A1901</v>
          </cell>
          <cell r="B4130" t="str">
            <v>BLUE KEY PAUFL PAU ThO PHAT PPBAG@37.5KG</v>
          </cell>
          <cell r="C4130" t="str">
            <v>BỘT MÌ HIỆU CKX BÁNH BAO THỌ PHÁT 37.5KG</v>
          </cell>
          <cell r="D4130" t="str">
            <v>BLUE KEY PAUFL PAU ThO PHAT PPBAG@37.5KG</v>
          </cell>
          <cell r="E4130">
            <v>37.5</v>
          </cell>
          <cell r="F4130" t="str">
            <v>Chọn</v>
          </cell>
          <cell r="G4130"/>
          <cell r="H4130"/>
        </row>
        <row r="4131">
          <cell r="A4131" t="str">
            <v>7.52214409A981901</v>
          </cell>
          <cell r="B4131" t="str">
            <v>BLUE VI VI NOODLE FL W/FE&amp;ZN PPBAG@40KG</v>
          </cell>
          <cell r="C4131" t="str">
            <v>BỘT MÌ HIỆU VI VI XANH 40KG</v>
          </cell>
          <cell r="D4131" t="str">
            <v>BLUE VI VI NOODLE FL W/FE&amp;ZN PPBAG@40KG</v>
          </cell>
          <cell r="E4131">
            <v>40</v>
          </cell>
          <cell r="F4131" t="str">
            <v>Chọn</v>
          </cell>
          <cell r="G4131"/>
          <cell r="H4131"/>
        </row>
        <row r="4132">
          <cell r="A4132" t="str">
            <v>7.522068022221901</v>
          </cell>
          <cell r="B4132" t="str">
            <v>BROWNCOMPASSGENERALFL PDS 9-12PPBAG@25KG</v>
          </cell>
          <cell r="C4132" t="str">
            <v>BỘT MÌ HIỆU LA BÀN NÂU 25KG</v>
          </cell>
          <cell r="D4132" t="str">
            <v>BROWNCOMPASSGENERALFL PDS 9-12PPBAG@25KG</v>
          </cell>
          <cell r="E4132">
            <v>25</v>
          </cell>
          <cell r="F4132" t="str">
            <v>Chọn</v>
          </cell>
          <cell r="G4132"/>
          <cell r="H4132"/>
        </row>
        <row r="4133">
          <cell r="A4133" t="str">
            <v>7.522068090901901</v>
          </cell>
          <cell r="B4133" t="str">
            <v>BROWNCOMPASS MULTIPURPOSE 9% PPBAG@40KG</v>
          </cell>
          <cell r="C4133" t="str">
            <v>BỘT MÌ HIỆU LA BÀN NÂU 40KG</v>
          </cell>
          <cell r="D4133" t="str">
            <v>BROWNCOMPASS MULTIPURPOSE 9% PPBAG@40KG</v>
          </cell>
          <cell r="E4133">
            <v>40</v>
          </cell>
          <cell r="F4133" t="str">
            <v>Chọn</v>
          </cell>
          <cell r="G4133"/>
          <cell r="H4133"/>
        </row>
        <row r="4134">
          <cell r="A4134" t="str">
            <v>7.522068091541901</v>
          </cell>
          <cell r="B4134" t="str">
            <v>BROWNCOMPASS GENERALFL 111 9-12%BAG@40KG</v>
          </cell>
          <cell r="C4134" t="str">
            <v>BỘT MÌ HIỆU LA BÀN NÂU - 111 40KG</v>
          </cell>
          <cell r="D4134" t="str">
            <v>BROWNCOMPASS GENERALFL 111 9-12%BAG@40KG</v>
          </cell>
          <cell r="E4134">
            <v>40</v>
          </cell>
          <cell r="F4134" t="str">
            <v>Chọn</v>
          </cell>
          <cell r="G4134"/>
          <cell r="H4134"/>
        </row>
        <row r="4135">
          <cell r="A4135" t="str">
            <v>7.522068091841901</v>
          </cell>
          <cell r="B4135" t="str">
            <v>BROWNCOMPASSMULTIPURPOSE 555 VITBNZ@40KG</v>
          </cell>
          <cell r="C4135" t="str">
            <v>BỘT MÌ LA BÀN NÂU - 555 40KG</v>
          </cell>
          <cell r="D4135" t="str">
            <v>BROWNCOMPASSMULTIPURPOSE 555 VITBNZ@40KG</v>
          </cell>
          <cell r="E4135">
            <v>40</v>
          </cell>
          <cell r="F4135" t="str">
            <v>Chọn</v>
          </cell>
          <cell r="G4135"/>
          <cell r="H4135"/>
        </row>
        <row r="4136">
          <cell r="A4136" t="str">
            <v>7.522068091851901</v>
          </cell>
          <cell r="B4136" t="str">
            <v>BROWNCOMPASS MULTIPURPOSEFL 666 BNZ@40KG</v>
          </cell>
          <cell r="C4136" t="str">
            <v>BỘT MÌ HIỆU LA BÀN NÂU - 666 40KG</v>
          </cell>
          <cell r="D4136" t="str">
            <v>BROWNCOMPASS MULTIPURPOSEFL 666 BNZ@40KG</v>
          </cell>
          <cell r="E4136">
            <v>40</v>
          </cell>
          <cell r="F4136" t="str">
            <v>Chọn</v>
          </cell>
          <cell r="G4136"/>
          <cell r="H4136"/>
        </row>
        <row r="4137">
          <cell r="A4137" t="str">
            <v>7.522068091871901</v>
          </cell>
          <cell r="B4137" t="str">
            <v>BROWNCOMPASS MULTIPURPOSE 888 FE&amp;ZN@40KG</v>
          </cell>
          <cell r="C4137" t="str">
            <v>BỘT MÌ LA BÀN NÂU - 888 40KG</v>
          </cell>
          <cell r="D4137" t="str">
            <v>BROWNCOMPASS MULTIPURPOSE 888 FE&amp;ZN@40KG</v>
          </cell>
          <cell r="E4137">
            <v>40</v>
          </cell>
          <cell r="F4137" t="str">
            <v>Chọn</v>
          </cell>
          <cell r="G4137"/>
          <cell r="H4137"/>
        </row>
        <row r="4138">
          <cell r="A4138" t="str">
            <v>7.522068091861901</v>
          </cell>
          <cell r="B4138" t="str">
            <v>BROWNCOMPASS MULTIPURPOSE 999 W/VIT@40KG</v>
          </cell>
          <cell r="C4138" t="str">
            <v>BỘT MÌ HIỆU LA BÀN NÂU - 999 40KG</v>
          </cell>
          <cell r="D4138" t="str">
            <v>BROWNCOMPASS MULTIPURPOSE 999 W/VIT@40KG</v>
          </cell>
          <cell r="E4138">
            <v>40</v>
          </cell>
          <cell r="F4138" t="str">
            <v>Chọn</v>
          </cell>
          <cell r="G4138"/>
          <cell r="H4138"/>
        </row>
        <row r="4139">
          <cell r="A4139" t="str">
            <v>7.52214909A281901</v>
          </cell>
          <cell r="B4139" t="str">
            <v>DUC LE NOODLE FLOUR PRO 9-12% PPBAG@40KG</v>
          </cell>
          <cell r="C4139" t="str">
            <v>BỘT MÌ HIỆU ĐỨC LỆ 40KG</v>
          </cell>
          <cell r="D4139" t="str">
            <v>DUC LE NOODLE FLOUR PRO 9-12% PPBAG@40KG</v>
          </cell>
          <cell r="E4139">
            <v>40</v>
          </cell>
          <cell r="F4139" t="str">
            <v>Chọn</v>
          </cell>
          <cell r="G4139"/>
          <cell r="H4139"/>
        </row>
        <row r="4140">
          <cell r="A4140" t="str">
            <v>7.52215509A341901</v>
          </cell>
          <cell r="B4140" t="str">
            <v>GREEN VIVI BREAD FL W/ENZYME PPBAG@40KG</v>
          </cell>
          <cell r="C4140" t="str">
            <v>BỘT MÌ HIỆU VI VI XANH LÁ 40KG</v>
          </cell>
          <cell r="D4140" t="str">
            <v>GREEN VIVI BREAD FL W/ENZYME PPBAG@40KG</v>
          </cell>
          <cell r="E4140">
            <v>40</v>
          </cell>
          <cell r="F4140" t="str">
            <v>Chọn</v>
          </cell>
          <cell r="G4140"/>
          <cell r="H4140"/>
        </row>
        <row r="4141">
          <cell r="A4141" t="str">
            <v>7.52211207A632710</v>
          </cell>
          <cell r="B4141" t="str">
            <v>MEIZAN BREADFL W/FE,ZN,VIT.C 1KG X 10BAG</v>
          </cell>
          <cell r="C4141" t="str">
            <v>BỘT MÌ HIỆU MEIZAN BÁNH MÌ (1KG *10 GÓI/THÙNG)</v>
          </cell>
          <cell r="D4141" t="str">
            <v>MEIZAN BREADFL W/FE,ZN,VIT.C 1KG X 10BAG</v>
          </cell>
          <cell r="E4141">
            <v>10</v>
          </cell>
          <cell r="F4141" t="str">
            <v>Chọn</v>
          </cell>
          <cell r="G4141" t="str">
            <v>2100000002</v>
          </cell>
          <cell r="H4141" t="str">
            <v>7.52211207B502701</v>
          </cell>
        </row>
        <row r="4142">
          <cell r="A4142" t="str">
            <v>7.5221120705D2710</v>
          </cell>
          <cell r="B4142" t="str">
            <v>MEIZAN CAKE FL 7-9% W/FE&amp;ZN 1KG X 10BAG</v>
          </cell>
          <cell r="C4142" t="str">
            <v>BỘT MÌ HIỆU MEIZAN BÁNH BÔNG LAN (1KG *10 GÓI/THÙNG)</v>
          </cell>
          <cell r="D4142" t="str">
            <v>MEIZAN CAKE FL 7-9% W/FE&amp;ZN 1KG X 10BAG</v>
          </cell>
          <cell r="E4142">
            <v>10</v>
          </cell>
          <cell r="F4142" t="str">
            <v>Chọn</v>
          </cell>
          <cell r="G4142" t="str">
            <v>2100000002</v>
          </cell>
          <cell r="H4142" t="str">
            <v>7.5221120705D2701</v>
          </cell>
        </row>
        <row r="4143">
          <cell r="A4143" t="str">
            <v>7.52215909A631901</v>
          </cell>
          <cell r="B4143" t="str">
            <v>ORANGEKEY BREADFL W/FE,ZN,VIT PPBAG@40KG</v>
          </cell>
          <cell r="C4143" t="str">
            <v>BỘT MÌ HIỆU CHÌA KHÓA CAM 40KG</v>
          </cell>
          <cell r="D4143" t="str">
            <v>ORANGEKEY BREADFL W/FE,ZN,VIT PPBAG@40KG</v>
          </cell>
          <cell r="E4143">
            <v>40</v>
          </cell>
          <cell r="F4143" t="str">
            <v>Chọn</v>
          </cell>
          <cell r="G4143"/>
          <cell r="H4143"/>
        </row>
        <row r="4144">
          <cell r="A4144" t="str">
            <v>7.52216202A361901</v>
          </cell>
          <cell r="B4144" t="str">
            <v>PINKSATELLITE BREAD FL 13-20% PPBAG@25KG</v>
          </cell>
          <cell r="C4144" t="str">
            <v>BỘT MÌ HIỆU VỆ TINH HỒNG 25KG</v>
          </cell>
          <cell r="D4144" t="str">
            <v>PINKSATELLITE BREAD FL 13-20% PPBAG@25KG</v>
          </cell>
          <cell r="E4144">
            <v>25</v>
          </cell>
          <cell r="F4144" t="str">
            <v>Chọn</v>
          </cell>
          <cell r="G4144"/>
          <cell r="H4144"/>
        </row>
        <row r="4145">
          <cell r="A4145" t="str">
            <v>7.52213709B311901</v>
          </cell>
          <cell r="B4145" t="str">
            <v>REDCOMPASS BREAD FL W/ENZ,VIT PPBAG@40KG</v>
          </cell>
          <cell r="C4145" t="str">
            <v>BỘT MÌ HIỆU LA BÀN ĐỎ 40KG</v>
          </cell>
          <cell r="D4145" t="str">
            <v>REDCOMPASS BREAD FL W/ENZ,VIT PPBAG@40KG</v>
          </cell>
          <cell r="E4145">
            <v>40</v>
          </cell>
          <cell r="F4145" t="str">
            <v>Chọn</v>
          </cell>
          <cell r="G4145"/>
          <cell r="H4145"/>
        </row>
        <row r="4146">
          <cell r="A4146" t="str">
            <v>7.52213709B331901</v>
          </cell>
          <cell r="B4146" t="str">
            <v>REDCOMPASS BREADFL 111 ENZYME PPBAG@40KG</v>
          </cell>
          <cell r="C4146" t="str">
            <v>BỘT MÌ LA BÀN ĐỎ - 111 40KG</v>
          </cell>
          <cell r="D4146" t="str">
            <v>REDCOMPASS BREADFL 111 ENZYME PPBAG@40KG</v>
          </cell>
          <cell r="E4146">
            <v>40</v>
          </cell>
          <cell r="F4146" t="str">
            <v>Chọn</v>
          </cell>
          <cell r="G4146"/>
          <cell r="H4146"/>
        </row>
        <row r="4147">
          <cell r="A4147" t="str">
            <v>7.52213709B341901</v>
          </cell>
          <cell r="B4147" t="str">
            <v>REDCOMPASS BREADFL 333 FE&amp;ZN PPBAG@40KG</v>
          </cell>
          <cell r="C4147" t="str">
            <v>BỘT MÌ HIỆU LA BÀN ĐỎ - 333 40KG</v>
          </cell>
          <cell r="D4147" t="str">
            <v>REDCOMPASS BREADFL 333 FE&amp;ZN PPBAG@40KG</v>
          </cell>
          <cell r="E4147">
            <v>40</v>
          </cell>
          <cell r="F4147" t="str">
            <v>Chọn</v>
          </cell>
          <cell r="G4147"/>
          <cell r="H4147"/>
        </row>
        <row r="4148">
          <cell r="A4148" t="str">
            <v>7.52213709B351901</v>
          </cell>
          <cell r="B4148" t="str">
            <v>REDCOMPASS BREAD FL 555 PPBAG@40KG</v>
          </cell>
          <cell r="C4148" t="str">
            <v>BỘT MÌ HIỆU LA BÀN ĐỎ - 555 40KG</v>
          </cell>
          <cell r="D4148" t="str">
            <v>REDCOMPASS BREAD FL 555 PPBAG@40KG</v>
          </cell>
          <cell r="E4148">
            <v>40</v>
          </cell>
          <cell r="F4148" t="str">
            <v>Chọn</v>
          </cell>
          <cell r="G4148"/>
          <cell r="H4148"/>
        </row>
        <row r="4149">
          <cell r="A4149" t="str">
            <v>7.52213709B361901</v>
          </cell>
          <cell r="B4149" t="str">
            <v>REDCOMPASS BREADFL 666 0.7%BNZPPBAG@40KG</v>
          </cell>
          <cell r="C4149" t="str">
            <v>BỘT MÌ HIỆU LA BÀN ĐỎ - 666 40KG</v>
          </cell>
          <cell r="D4149" t="str">
            <v>REDCOMPASS BREADFL 666 0.7%BNZPPBAG@40KG</v>
          </cell>
          <cell r="E4149">
            <v>40</v>
          </cell>
          <cell r="F4149" t="str">
            <v>Chọn</v>
          </cell>
          <cell r="G4149"/>
          <cell r="H4149"/>
        </row>
        <row r="4150">
          <cell r="A4150" t="str">
            <v>7.52213709B131901</v>
          </cell>
          <cell r="B4150" t="str">
            <v>REDCOMPASSBREADFL 888 ASH0.57%PPBAG@40KG</v>
          </cell>
          <cell r="C4150" t="str">
            <v>BỘT MÌ HIỆU LA BÀN ĐỎ - 888 40KG</v>
          </cell>
          <cell r="D4150" t="str">
            <v>REDCOMPASSBREADFL 888 ASH0.57%PPBAG@40KG</v>
          </cell>
          <cell r="E4150">
            <v>40</v>
          </cell>
          <cell r="F4150" t="str">
            <v>Chọn</v>
          </cell>
          <cell r="G4150"/>
          <cell r="H4150"/>
        </row>
        <row r="4151">
          <cell r="A4151" t="str">
            <v>7.52213709A681901</v>
          </cell>
          <cell r="B4151" t="str">
            <v>REDCOMPASSBREADFL 999 ASH0.59%PPBAG@40KG</v>
          </cell>
          <cell r="C4151" t="str">
            <v>BỘT MÌ LA BÀN ĐỎ - 999 40KG</v>
          </cell>
          <cell r="D4151" t="str">
            <v>REDCOMPASSBREADFL 999 ASH0.59%PPBAG@40KG</v>
          </cell>
          <cell r="E4151">
            <v>40</v>
          </cell>
          <cell r="F4151" t="str">
            <v>Chọn</v>
          </cell>
          <cell r="G4151"/>
          <cell r="H4151"/>
        </row>
        <row r="4152">
          <cell r="A4152" t="str">
            <v>7.52207109A691901</v>
          </cell>
          <cell r="B4152" t="str">
            <v>REDKEY BREAD FLOUR PRO 11-13% PPBAG@40KG</v>
          </cell>
          <cell r="C4152" t="str">
            <v>BỘT MÌ HIỆU CHÌA KHÓA ĐỎ 40KG</v>
          </cell>
          <cell r="D4152" t="str">
            <v>REDKEY BREAD FLOUR PRO 11-13% PPBAG@40KG</v>
          </cell>
          <cell r="E4152">
            <v>40</v>
          </cell>
          <cell r="F4152" t="str">
            <v>Chọn</v>
          </cell>
          <cell r="G4152"/>
          <cell r="H4152"/>
        </row>
        <row r="4153">
          <cell r="A4153" t="str">
            <v>7.52216602A631901</v>
          </cell>
          <cell r="B4153" t="str">
            <v>REDPEGASUS BREADFLW/FE,ZN,VIT PPBAG@25KG</v>
          </cell>
          <cell r="C4153" t="str">
            <v>BỘT MÌ HIỆU THIÊN MÃ ĐỎ 25KG</v>
          </cell>
          <cell r="D4153" t="str">
            <v>REDPEGASUS BREADFLW/FE,ZN,VIT PPBAG@25KG</v>
          </cell>
          <cell r="E4153">
            <v>25</v>
          </cell>
          <cell r="F4153" t="str">
            <v>Chọn</v>
          </cell>
          <cell r="G4153"/>
          <cell r="H4153"/>
        </row>
        <row r="4154">
          <cell r="A4154" t="str">
            <v>7.52216709A721901</v>
          </cell>
          <cell r="B4154" t="str">
            <v>RED VIVI BREAD FL W/FE,ZN,ENZ PPBAG@40KG</v>
          </cell>
          <cell r="C4154" t="str">
            <v>BỘT MÌ HIỆU VI VI ĐỎ 40KG</v>
          </cell>
          <cell r="D4154" t="str">
            <v>RED VIVI BREAD FL W/FE,ZN,ENZ PPBAG@40KG</v>
          </cell>
          <cell r="E4154">
            <v>40</v>
          </cell>
          <cell r="F4154" t="str">
            <v>Chọn</v>
          </cell>
          <cell r="G4154"/>
          <cell r="H4154"/>
        </row>
        <row r="4155">
          <cell r="A4155" t="str">
            <v>7.5221720205F0601</v>
          </cell>
          <cell r="B4155" t="str">
            <v>TANHUEVIENCAKEFL GREEN FE,ZN PPRBAG@25KG</v>
          </cell>
          <cell r="C4155" t="str">
            <v>BỘT MÌ HIỆU TÂN HUÊ VIÊN - XANH LÁ 25KG</v>
          </cell>
          <cell r="D4155" t="str">
            <v>TANHUEVIENCAKEFL GREEN FE,ZN PPRBAG@25KG</v>
          </cell>
          <cell r="E4155">
            <v>25</v>
          </cell>
          <cell r="F4155" t="str">
            <v>Chọn</v>
          </cell>
          <cell r="G4155"/>
          <cell r="H4155"/>
        </row>
        <row r="4156">
          <cell r="A4156" t="str">
            <v>7.52217302A390601</v>
          </cell>
          <cell r="B4156" t="str">
            <v>TANHUEVIENBREADFL PINK FE,ZN PPRBAG@25KG</v>
          </cell>
          <cell r="C4156" t="str">
            <v>BỘT MÌ HIỆU TÂN HUÊ VIÊN - HỒNG 25KG</v>
          </cell>
          <cell r="D4156" t="str">
            <v>TANHUEVIENBREADFL PINK FE,ZN PPRBAG@25KG</v>
          </cell>
          <cell r="E4156">
            <v>25</v>
          </cell>
          <cell r="F4156" t="str">
            <v>Chọn</v>
          </cell>
          <cell r="G4156"/>
          <cell r="H4156"/>
        </row>
        <row r="4157">
          <cell r="A4157" t="str">
            <v>7.522001551481901</v>
          </cell>
          <cell r="B4157" t="str">
            <v>WHOLEMEAL  FLOUR IN PP BAG @15KG</v>
          </cell>
          <cell r="C4157" t="str">
            <v>BỘT MÌ HIỆU "WHOLE WHEAT FLOUR" 15KG</v>
          </cell>
          <cell r="D4157" t="str">
            <v>WHOLEMEAL  FLOUR IN PP BAG @15KG</v>
          </cell>
          <cell r="E4157">
            <v>15</v>
          </cell>
          <cell r="F4157" t="str">
            <v>Chọn</v>
          </cell>
          <cell r="G4157"/>
          <cell r="H4157"/>
        </row>
        <row r="4158">
          <cell r="A4158" t="str">
            <v>7.52217702A751901</v>
          </cell>
          <cell r="B4158" t="str">
            <v>YELLOWKEY BREADFL W/FE,ZN,VIT PPBAG@25KG</v>
          </cell>
          <cell r="C4158" t="str">
            <v>BỘT MÌ CHÌA KHÓA VÀNG 25KG</v>
          </cell>
          <cell r="D4158" t="str">
            <v>YELLOWKEY BREADFL W/FE,ZN,VIT PPBAG@25KG</v>
          </cell>
          <cell r="E4158">
            <v>25</v>
          </cell>
          <cell r="F4158" t="str">
            <v>Chọn</v>
          </cell>
          <cell r="G4158"/>
          <cell r="H4158"/>
        </row>
        <row r="4159">
          <cell r="A4159" t="str">
            <v>7.52217709A751901</v>
          </cell>
          <cell r="B4159" t="str">
            <v>YELLOWKEY BREADFL W/FE,ZN,VIT PPBAG@40KG</v>
          </cell>
          <cell r="C4159" t="str">
            <v>BỘT MÌ CHÌA KHÓA VÀNG 40KG</v>
          </cell>
          <cell r="D4159" t="str">
            <v>YELLOWKEY BREADFL W/FE,ZN,VIT PPBAG@40KG</v>
          </cell>
          <cell r="E4159">
            <v>40</v>
          </cell>
          <cell r="F4159" t="str">
            <v>Chọn</v>
          </cell>
          <cell r="G4159"/>
          <cell r="H4159"/>
        </row>
        <row r="4160">
          <cell r="A4160" t="str">
            <v>7.522112292032712</v>
          </cell>
          <cell r="B4160" t="str">
            <v>MEIZAN MULTIFL 9.5-12%W/FE&amp;ZN 500G*20BAG</v>
          </cell>
          <cell r="C4160" t="str">
            <v>BỘT MÌ ĐA DỤNG CAO CẤP HIỆU MEIZAN (0.5KG*20 GÓI/THÙNG)</v>
          </cell>
          <cell r="D4160" t="str">
            <v>MEIZAN MULTIFL 9.5-12%W/FE&amp;ZN 500G*20BAG</v>
          </cell>
          <cell r="E4160">
            <v>10</v>
          </cell>
          <cell r="F4160" t="str">
            <v>Chọn</v>
          </cell>
          <cell r="G4160"/>
          <cell r="H4160" t="str">
            <v>7.522112292032701</v>
          </cell>
        </row>
        <row r="4161">
          <cell r="A4161" t="str">
            <v>7.522112071922710</v>
          </cell>
          <cell r="B4161" t="str">
            <v>MEIZAN MULTIPURPOSE W/FE,ZN,VIT 1KG*10BG</v>
          </cell>
          <cell r="C4161" t="str">
            <v>BỘT MÌ ĐA DỤNG CAO CẤP HIỆU MEIZAN (1KG*10 GÓI/THÙNG)</v>
          </cell>
          <cell r="D4161" t="str">
            <v>MEIZAN MULTIPURPOSE W/FE,ZN,VIT 1KG*10BG</v>
          </cell>
          <cell r="E4161">
            <v>10</v>
          </cell>
          <cell r="F4161" t="str">
            <v>Chọn</v>
          </cell>
          <cell r="G4161"/>
          <cell r="H4161" t="str">
            <v>7.522112072032701</v>
          </cell>
        </row>
        <row r="4162">
          <cell r="A4162" t="str">
            <v>7.522001070941901</v>
          </cell>
          <cell r="B4162" t="str">
            <v>PLAIN FLOUR IN PP BAG @1KG</v>
          </cell>
          <cell r="C4162" t="str">
            <v>HÀNG MẪU 1KG</v>
          </cell>
          <cell r="D4162" t="str">
            <v>PLAIN FLOUR IN PP BAG @1KG</v>
          </cell>
          <cell r="E4162">
            <v>1</v>
          </cell>
          <cell r="F4162" t="str">
            <v>Chọn</v>
          </cell>
          <cell r="G4162"/>
          <cell r="H4162"/>
        </row>
        <row r="4163">
          <cell r="A4163" t="str">
            <v>7.522001010941901</v>
          </cell>
          <cell r="B4163" t="str">
            <v>PLAIN FLOUR IN PP BAG @5KG</v>
          </cell>
          <cell r="C4163" t="str">
            <v>BỘT MÌ MẪU 5KG</v>
          </cell>
          <cell r="D4163" t="str">
            <v>PLAIN FLOUR IN PP BAG @5KG</v>
          </cell>
          <cell r="E4163">
            <v>5</v>
          </cell>
          <cell r="F4163" t="str">
            <v>Chọn</v>
          </cell>
          <cell r="G4163"/>
          <cell r="H4163"/>
        </row>
        <row r="4164">
          <cell r="A4164" t="str">
            <v>7.522001360941901</v>
          </cell>
          <cell r="B4164" t="str">
            <v>PLAIN FLOUR IN PP BAG @2KG</v>
          </cell>
          <cell r="C4164" t="str">
            <v>HÀNG MẪU 2KG</v>
          </cell>
          <cell r="D4164" t="str">
            <v>PLAIN FLOUR IN PP BAG @2KG</v>
          </cell>
          <cell r="E4164">
            <v>2</v>
          </cell>
          <cell r="F4164" t="str">
            <v>Chọn</v>
          </cell>
          <cell r="G4164"/>
          <cell r="H4164"/>
        </row>
        <row r="4165">
          <cell r="A4165" t="str">
            <v>7.522001630941901</v>
          </cell>
          <cell r="B4165" t="str">
            <v>PLAIN FLOUR IN PP BAG @3KG</v>
          </cell>
          <cell r="C4165" t="str">
            <v>HÀNG MẪU 3KG</v>
          </cell>
          <cell r="D4165" t="str">
            <v>PLAIN FLOUR IN PP BAG @3KG</v>
          </cell>
          <cell r="E4165">
            <v>3</v>
          </cell>
          <cell r="F4165" t="str">
            <v>Chọn</v>
          </cell>
          <cell r="G4165"/>
          <cell r="H4165"/>
        </row>
        <row r="4166">
          <cell r="A4166" t="str">
            <v>7.522001090941901</v>
          </cell>
          <cell r="B4166" t="str">
            <v>PLAIN FLOUR IN PP BAG @40KG</v>
          </cell>
          <cell r="C4166" t="str">
            <v>HÀNG MẪU 40KG</v>
          </cell>
          <cell r="D4166" t="str">
            <v>PLAIN FLOUR IN PP BAG @40KG</v>
          </cell>
          <cell r="E4166">
            <v>40</v>
          </cell>
          <cell r="F4166" t="str">
            <v>Chọn</v>
          </cell>
          <cell r="G4166"/>
          <cell r="H4166"/>
        </row>
        <row r="4167">
          <cell r="A4167" t="str">
            <v>7.52213409B531901</v>
          </cell>
          <cell r="B4167" t="str">
            <v>BLUECOMPASS NOODLEFL HL FE,ZN,BNZ @40KG</v>
          </cell>
          <cell r="C4167" t="str">
            <v>BỘT MÌ HIỆU LA BÀN XANH 40KG</v>
          </cell>
          <cell r="D4167" t="str">
            <v>BLUECOMPASS NOODLEFL HL FE,ZN,BNZ @40KG</v>
          </cell>
          <cell r="E4167">
            <v>40</v>
          </cell>
          <cell r="F4167" t="str">
            <v>Chọn</v>
          </cell>
          <cell r="G4167"/>
          <cell r="H4167"/>
        </row>
        <row r="4168">
          <cell r="A4168" t="str">
            <v>7.522134021401901</v>
          </cell>
          <cell r="B4168" t="str">
            <v>BLUECOMPASSFRIEDFL MESA FEZNBNZPPBG@25KG</v>
          </cell>
          <cell r="C4168" t="str">
            <v>BỘT MÌ LA BÀN XANH 25KG</v>
          </cell>
          <cell r="D4168" t="str">
            <v>BLUECOMPASSFRIEDFL MESA FEZNBNZPPBG@25KG</v>
          </cell>
          <cell r="E4168">
            <v>25</v>
          </cell>
          <cell r="F4168" t="str">
            <v>Chọn</v>
          </cell>
          <cell r="G4168"/>
          <cell r="H4168"/>
        </row>
        <row r="4169">
          <cell r="A4169" t="str">
            <v>7.522068091681901</v>
          </cell>
          <cell r="B4169" t="str">
            <v>BROWNCOMPASS GENERALFL 333 PDS FEZN@40KG</v>
          </cell>
          <cell r="C4169" t="str">
            <v>BỘT MÌ HIỆU LA BÀN NÂU - 333 40KG</v>
          </cell>
          <cell r="D4169" t="str">
            <v>BROWNCOMPASS GENERALFL 333 PDS FEZN@40KG</v>
          </cell>
          <cell r="E4169">
            <v>40</v>
          </cell>
          <cell r="F4169" t="str">
            <v>Chọn</v>
          </cell>
          <cell r="G4169"/>
          <cell r="H4169"/>
        </row>
        <row r="4170">
          <cell r="A4170" t="str">
            <v>7.52206809A901901</v>
          </cell>
          <cell r="B4170" t="str">
            <v>ROWNCOMPASS NOODLEFL HL FE,ZNPPBAG@40KG</v>
          </cell>
          <cell r="C4170" t="str">
            <v>BỘT MÌ HIỆU LA BÀN NÂU 40KG</v>
          </cell>
          <cell r="D4170" t="str">
            <v>ROWNCOMPASS NOODLEFL HL FE,ZNPPBAG@40KG</v>
          </cell>
          <cell r="E4170">
            <v>40</v>
          </cell>
          <cell r="F4170" t="str">
            <v>Chọn</v>
          </cell>
          <cell r="G4170"/>
          <cell r="H4170"/>
        </row>
        <row r="4171">
          <cell r="A4171" t="str">
            <v>7.522068091431901</v>
          </cell>
          <cell r="B4171" t="str">
            <v>BROWNCOMPASS COOKIESFL TSP 9% PPBAG@40KG</v>
          </cell>
          <cell r="C4171" t="str">
            <v>BỘT MÌ HIỆU LA BÀN NÂU 40KG</v>
          </cell>
          <cell r="D4171" t="str">
            <v>BROWNCOMPASS COOKIESFL TSP 9% PPBAG@40KG</v>
          </cell>
          <cell r="E4171">
            <v>40</v>
          </cell>
          <cell r="F4171" t="str">
            <v>Chọn</v>
          </cell>
          <cell r="G4171"/>
          <cell r="H4171"/>
        </row>
        <row r="4172">
          <cell r="A4172" t="str">
            <v>7.5221230206O1901</v>
          </cell>
          <cell r="B4172" t="str">
            <v>GREEN KEY CAKE FL TSP ASH0.63%PPBAG@25KG</v>
          </cell>
          <cell r="C4172" t="str">
            <v>BỘT MÌ HIỆU CHÌA KHÓA XANH LÁ 25KG</v>
          </cell>
          <cell r="D4172" t="str">
            <v>GREEN KEY CAKE FL TSP ASH0.63%PPBAG@25KG</v>
          </cell>
          <cell r="E4172">
            <v>25</v>
          </cell>
          <cell r="F4172" t="str">
            <v>Chọn</v>
          </cell>
          <cell r="G4172"/>
          <cell r="H4172"/>
        </row>
        <row r="4173">
          <cell r="A4173" t="str">
            <v>7.52218109A601901</v>
          </cell>
          <cell r="B4173" t="str">
            <v>SA-3 BREADFL PRO10.4% W/FE,ZN PPBAG@40KG</v>
          </cell>
          <cell r="C4173" t="str">
            <v>BỘT MÌ SA-3 40KG</v>
          </cell>
          <cell r="D4173" t="str">
            <v>SA-3 BREADFL PRO10.4% W/FE,ZN PPBAG@40KG</v>
          </cell>
          <cell r="E4173">
            <v>40</v>
          </cell>
          <cell r="F4173" t="str">
            <v>Chọn</v>
          </cell>
          <cell r="G4173"/>
          <cell r="H4173"/>
        </row>
        <row r="4174">
          <cell r="A4174" t="str">
            <v>7.5221540206T1901</v>
          </cell>
          <cell r="B4174" t="str">
            <v>GREENSATELLITECAKEFL PDS 7.5-8PPBAG@25KG</v>
          </cell>
          <cell r="C4174" t="str">
            <v>BỘT MÌ VỆ TINH XANH LÁ 25KG</v>
          </cell>
          <cell r="D4174" t="str">
            <v>GREENSATELLITECAKEFL PDS 7.5-8PPBAG@25KG</v>
          </cell>
          <cell r="E4174">
            <v>25</v>
          </cell>
          <cell r="F4174" t="str">
            <v>Chọn</v>
          </cell>
          <cell r="G4174"/>
          <cell r="H4174"/>
        </row>
        <row r="4175">
          <cell r="A4175" t="str">
            <v>7.52215909B181901</v>
          </cell>
          <cell r="B4175" t="str">
            <v>ORANGEKEY NOODLE FL CLH PPBAG@40KG</v>
          </cell>
          <cell r="C4175" t="str">
            <v>BỘT MÌ HIỆU CHÌA KHÓA CAM 40KG</v>
          </cell>
          <cell r="D4175" t="str">
            <v>ORANGEKEY NOODLE FL CLH PPBAG@40KG</v>
          </cell>
          <cell r="E4175">
            <v>40</v>
          </cell>
          <cell r="F4175" t="str">
            <v>Chọn</v>
          </cell>
          <cell r="G4175"/>
          <cell r="H4175"/>
        </row>
        <row r="4176">
          <cell r="A4176" t="str">
            <v>7.522161021501901</v>
          </cell>
          <cell r="B4176" t="str">
            <v>PINK KEY CHACHAY FLOUR TSP PPBAG@25KG</v>
          </cell>
          <cell r="C4176" t="str">
            <v>BỘT MÌ HIỆU CHÌA KHÓA HỒNG 25KG</v>
          </cell>
          <cell r="D4176" t="str">
            <v>PINK KEY CHACHAY FLOUR TSP PPBAG@25KG</v>
          </cell>
          <cell r="E4176">
            <v>25</v>
          </cell>
          <cell r="F4176" t="str">
            <v>Chọn</v>
          </cell>
          <cell r="G4176"/>
          <cell r="H4176"/>
        </row>
        <row r="4177">
          <cell r="A4177" t="str">
            <v>7.52213702B391901</v>
          </cell>
          <cell r="B4177" t="str">
            <v>REDCOMPASS BREADFL HL ASH0.65%PPBAG@25KG</v>
          </cell>
          <cell r="C4177" t="str">
            <v>BỘT MÌ HIỆU LA BÀN ĐỎ 25KG</v>
          </cell>
          <cell r="D4177" t="str">
            <v>REDCOMPASS BREADFL HL ASH0.65%PPBAG@25KG</v>
          </cell>
          <cell r="E4177">
            <v>25</v>
          </cell>
          <cell r="F4177" t="str">
            <v>Chọn</v>
          </cell>
          <cell r="G4177"/>
          <cell r="H4177"/>
        </row>
        <row r="4178">
          <cell r="A4178" t="str">
            <v>7.52213702B451901</v>
          </cell>
          <cell r="B4178" t="str">
            <v>REDCOMPASS BREADFL KHV ASH0.62PPBAG@25KG</v>
          </cell>
          <cell r="C4178" t="str">
            <v>BỘT MÌ HIỆU LA BÀN ĐỎ 25KG</v>
          </cell>
          <cell r="D4178" t="str">
            <v>REDCOMPASS BREADFL KHV ASH0.62PPBAG@25KG</v>
          </cell>
          <cell r="E4178">
            <v>25</v>
          </cell>
          <cell r="F4178" t="str">
            <v>Chọn</v>
          </cell>
          <cell r="G4178"/>
          <cell r="H4178"/>
        </row>
        <row r="4179">
          <cell r="A4179" t="str">
            <v>7.52207109A481901</v>
          </cell>
          <cell r="B4179" t="str">
            <v>REDKEY BREAD FL KHV PRO 11% PPBAG@40KG</v>
          </cell>
          <cell r="C4179" t="str">
            <v>BỘT MÌ HIỆU CHÌA KHÓA ĐỎ 40KG</v>
          </cell>
          <cell r="D4179" t="str">
            <v>REDKEY BREAD FL KHV PRO 11% PPBAG@40KG</v>
          </cell>
          <cell r="E4179">
            <v>40</v>
          </cell>
          <cell r="F4179" t="str">
            <v>Chọn</v>
          </cell>
          <cell r="G4179"/>
          <cell r="H4179"/>
        </row>
        <row r="4180">
          <cell r="A4180" t="str">
            <v>7.52207102A451901</v>
          </cell>
          <cell r="B4180" t="str">
            <v>RED KEY NOODLE FL HL ASH0.45%PPBAG@25KG</v>
          </cell>
          <cell r="C4180" t="str">
            <v>BỘT MÌ HIỆU CHÌA KHÓA ĐỎ MÌ SỢI 25KG</v>
          </cell>
          <cell r="D4180" t="str">
            <v>RED KEY NOODLE FL HL ASH0.45%PPBAG@25KG</v>
          </cell>
          <cell r="E4180">
            <v>25</v>
          </cell>
          <cell r="F4180" t="str">
            <v>Chọn</v>
          </cell>
          <cell r="G4180"/>
          <cell r="H4180"/>
        </row>
        <row r="4181">
          <cell r="A4181" t="str">
            <v>7.52207109B761901</v>
          </cell>
          <cell r="B4181" t="str">
            <v>RED KEY BREADFL SP PRO13ASH0.6PPBAG@40KG</v>
          </cell>
          <cell r="C4181" t="str">
            <v>BỘT MÌ CHÌA KHÓA ĐỎ SP 40KG</v>
          </cell>
          <cell r="D4181" t="str">
            <v>RED KEY BREADFL SP PRO13ASH0.6PPBAG@40KG</v>
          </cell>
          <cell r="E4181">
            <v>40</v>
          </cell>
          <cell r="F4181" t="str">
            <v>Chọn</v>
          </cell>
          <cell r="G4181"/>
          <cell r="H4181"/>
        </row>
        <row r="4182">
          <cell r="A4182" t="str">
            <v>7.52206702B051901</v>
          </cell>
          <cell r="B4182" t="str">
            <v>REDPENBREADFL BANH VANG FE&amp;ZN PPBAG@25KG</v>
          </cell>
          <cell r="C4182" t="str">
            <v>BỘT MÌ HIỆU CÂY VIẾT ĐỎ 25KG</v>
          </cell>
          <cell r="D4182" t="str">
            <v>REDPENBREADFL BANH VANG FE&amp;ZN PPBAG@25KG</v>
          </cell>
          <cell r="E4182">
            <v>25</v>
          </cell>
          <cell r="F4182" t="str">
            <v>Chọn</v>
          </cell>
          <cell r="G4182"/>
          <cell r="H4182"/>
        </row>
        <row r="4183">
          <cell r="A4183" t="str">
            <v>7.522112292032701</v>
          </cell>
          <cell r="B4183" t="str">
            <v>MEIZAN MULTIPURPOSEFL W/FE&amp;ZN PEBAG@500G</v>
          </cell>
          <cell r="C4183" t="str">
            <v>BỘT MÌ ĐA DỤNG CAO CẤP HIỆU MEIZAN 0.5KG (GÓI)</v>
          </cell>
          <cell r="D4183" t="str">
            <v>MEIZAN MULTIPURPOSEFL W/FE&amp;ZN PEBAG@500G</v>
          </cell>
          <cell r="E4183">
            <v>0.5</v>
          </cell>
          <cell r="F4183" t="str">
            <v>Chọn</v>
          </cell>
          <cell r="G4183"/>
          <cell r="H4183"/>
        </row>
        <row r="4184">
          <cell r="A4184" t="str">
            <v>7.522112072032701</v>
          </cell>
          <cell r="B4184" t="str">
            <v>MEIZAN MULTIPURPOSE FL W/FE&amp;ZN PEBAG@1KG</v>
          </cell>
          <cell r="C4184" t="str">
            <v>BỘT MÌ ĐA DỤNG CAO CẤP HIỆU MEIZAN 1KG (GÓI)</v>
          </cell>
          <cell r="D4184" t="str">
            <v>MEIZAN MULTIPURPOSE FL W/FE&amp;ZN PEBAG@1KG</v>
          </cell>
          <cell r="E4184">
            <v>1</v>
          </cell>
          <cell r="F4184" t="str">
            <v>Chọn</v>
          </cell>
          <cell r="G4184"/>
          <cell r="H4184"/>
        </row>
        <row r="4185">
          <cell r="A4185" t="str">
            <v>7.52211207B502701</v>
          </cell>
          <cell r="B4185" t="str">
            <v>MEIZAN BREADFL 13-14% W/VIT PEBAG@1KG</v>
          </cell>
          <cell r="C4185" t="str">
            <v>BỘT MÌ HIỆU MEIZAN BÁNH MÌ 1KG (GÓI)</v>
          </cell>
          <cell r="D4185" t="str">
            <v>MEIZAN BREADFL 13-14% W/VIT PEBAG@1KG</v>
          </cell>
          <cell r="E4185">
            <v>1</v>
          </cell>
          <cell r="F4185" t="str">
            <v>Chọn</v>
          </cell>
          <cell r="G4185" t="str">
            <v>2100000002</v>
          </cell>
          <cell r="H4185"/>
        </row>
        <row r="4186">
          <cell r="A4186" t="str">
            <v>7.5221120705D2701</v>
          </cell>
          <cell r="B4186" t="str">
            <v>MEIZAN CAKE FLOUR W/FE&amp;ZN PEBAG@1KG</v>
          </cell>
          <cell r="C4186" t="str">
            <v>BỘT MÌ HIỆU MEIZAN BÁNH BÔNG LAN 1KG (GÓI)</v>
          </cell>
          <cell r="D4186" t="str">
            <v>MEIZAN CAKE FLOUR W/FE&amp;ZN PEBAG@1KG</v>
          </cell>
          <cell r="E4186">
            <v>1</v>
          </cell>
          <cell r="F4186" t="str">
            <v>Chọn</v>
          </cell>
          <cell r="G4186" t="str">
            <v>2100000002</v>
          </cell>
          <cell r="H4186"/>
        </row>
        <row r="4187">
          <cell r="A4187" t="str">
            <v>7.52207102C031901</v>
          </cell>
          <cell r="B4187" t="str">
            <v>REDKEY BREADFL PAS PRO11ASH0.6PPBAG@25KG</v>
          </cell>
          <cell r="C4187" t="str">
            <v>BỘT MÌ HIỆU CHÌA KHÓA ĐỎ 25KG</v>
          </cell>
          <cell r="D4187" t="str">
            <v>REDKEY BREADFL PAS PRO11ASH0.6PPBAG@25KG</v>
          </cell>
          <cell r="E4187">
            <v>25</v>
          </cell>
          <cell r="F4187" t="str">
            <v>Chọn</v>
          </cell>
          <cell r="G4187"/>
          <cell r="H4187"/>
        </row>
        <row r="4188">
          <cell r="A4188" t="str">
            <v>7.522001143011901</v>
          </cell>
          <cell r="B4188" t="str">
            <v>BRAN POLLARD IN PP BAG @50KG</v>
          </cell>
          <cell r="C4188" t="str">
            <v>CÁM MÌ HIỆU POLLARD 50KG</v>
          </cell>
          <cell r="D4188" t="str">
            <v>BRAN POLLARD IN PP BAG @50KG</v>
          </cell>
          <cell r="E4188">
            <v>50</v>
          </cell>
          <cell r="F4188" t="str">
            <v>Chọn</v>
          </cell>
          <cell r="G4188"/>
          <cell r="H4188"/>
        </row>
        <row r="4189">
          <cell r="A4189" t="str">
            <v>7.522168093131901</v>
          </cell>
          <cell r="B4189" t="str">
            <v>SF-3 FEED FLOUR PRO 9.5% PPBAG@40KG</v>
          </cell>
          <cell r="C4189" t="str">
            <v>BỘT MÌ HIỆU SF-3 40KG</v>
          </cell>
          <cell r="D4189" t="str">
            <v>SF-3 FEED FLOUR PRO 9.5% PPBAG@40KG</v>
          </cell>
          <cell r="E4189">
            <v>40</v>
          </cell>
          <cell r="F4189" t="str">
            <v>Chọn</v>
          </cell>
          <cell r="G4189"/>
          <cell r="H4189"/>
        </row>
        <row r="4190">
          <cell r="A4190" t="str">
            <v>7.522182093261901</v>
          </cell>
          <cell r="B4190" t="str">
            <v>BROWNKINGSHRIMP AQUAFEEDFL24 10-11%@40KG</v>
          </cell>
          <cell r="C4190" t="str">
            <v>BỘT MÌ HIỆU TÔM VUA NÂU 40KG</v>
          </cell>
          <cell r="D4190" t="str">
            <v>BROWNKINGSHRIMP AQUAFEEDFL24 10-11%@40KG</v>
          </cell>
          <cell r="E4190">
            <v>40</v>
          </cell>
          <cell r="F4190" t="str">
            <v>Chọn</v>
          </cell>
          <cell r="G4190"/>
          <cell r="H4190"/>
        </row>
        <row r="4191">
          <cell r="A4191" t="str">
            <v>7.522164093161901</v>
          </cell>
          <cell r="B4191" t="str">
            <v>PURPLEKINGSHRIMP AQUAFEEDFL11%PPBAG@40KG</v>
          </cell>
          <cell r="C4191" t="str">
            <v>BỘT MÌ HIỆU TÔM VUA TÍM 40KG</v>
          </cell>
          <cell r="D4191" t="str">
            <v>PURPLEKINGSHRIMP AQUAFEEDFL11%PPBAG@40KG</v>
          </cell>
          <cell r="E4191">
            <v>40</v>
          </cell>
          <cell r="F4191" t="str">
            <v>Chọn</v>
          </cell>
          <cell r="G4191"/>
          <cell r="H4191"/>
        </row>
        <row r="4192">
          <cell r="A4192" t="str">
            <v>7.522143093141901</v>
          </cell>
          <cell r="B4192" t="str">
            <v>BLUEKINGSHRIMP AQUAFEED W/BNZ PPBAG@40KG</v>
          </cell>
          <cell r="C4192" t="str">
            <v>BỘT MÌ HIỆU TÔM VUA XANH 40KG</v>
          </cell>
          <cell r="D4192" t="str">
            <v>BLUEKINGSHRIMP AQUAFEED W/BNZ PPBAG@40KG</v>
          </cell>
          <cell r="E4192">
            <v>40</v>
          </cell>
          <cell r="F4192" t="str">
            <v>Chọn</v>
          </cell>
          <cell r="G4192"/>
          <cell r="H4192"/>
        </row>
        <row r="4193">
          <cell r="A4193" t="str">
            <v>7.52213602A471901</v>
          </cell>
          <cell r="B4193" t="str">
            <v>REDSATELLITE BREADFL LOW ASH PPBAG@25KG</v>
          </cell>
          <cell r="C4193" t="str">
            <v>BỘT MÌ HIỆU VỆ TINH ĐỎ - ĐỘ TRO THẤP 25KG</v>
          </cell>
          <cell r="D4193" t="str">
            <v>REDSATELLITE BREADFL LOW ASH PPBAG@25KG</v>
          </cell>
          <cell r="E4193">
            <v>25</v>
          </cell>
          <cell r="F4193" t="str">
            <v>Chọn</v>
          </cell>
          <cell r="G4193"/>
          <cell r="H4193"/>
        </row>
        <row r="4194">
          <cell r="A4194" t="str">
            <v>V51.060.007</v>
          </cell>
          <cell r="B4194" t="str">
            <v>NEPTUNE TET BLOC CALENDAR 2024</v>
          </cell>
          <cell r="C4194" t="str">
            <v>LỊCH BLOC NEPTUNE TẾT 2024</v>
          </cell>
          <cell r="D4194" t="str">
            <v>NEPTUNE TET BLOC CALENDAR 2024</v>
          </cell>
          <cell r="E4194">
            <v>1</v>
          </cell>
          <cell r="F4194" t="str">
            <v>Bỏ chọn</v>
          </cell>
          <cell r="G4194"/>
          <cell r="H4194"/>
        </row>
        <row r="4195">
          <cell r="A4195" t="str">
            <v>7.52213602B101901</v>
          </cell>
          <cell r="B4195" t="str">
            <v>REDSATELLITE BREADFL HADILAO BAG@25KG</v>
          </cell>
          <cell r="C4195" t="str">
            <v>BỘT MÌ HIỆU VỆ TINH ĐỎ 25KG</v>
          </cell>
          <cell r="D4195" t="str">
            <v>REDSATELLITE BREADFL HADILAO BAG@25KG</v>
          </cell>
          <cell r="E4195">
            <v>25</v>
          </cell>
          <cell r="F4195" t="str">
            <v>Chọn</v>
          </cell>
          <cell r="G4195"/>
          <cell r="H4195"/>
        </row>
        <row r="4196">
          <cell r="A4196" t="str">
            <v>V51.901.082</v>
          </cell>
          <cell r="B4196" t="str">
            <v>VIETTEL CARD WITH 10.000 VND</v>
          </cell>
          <cell r="C4196" t="str">
            <v>THẺ CÀO VIETTEL MỆNH GIÁ 10.000 ĐỒNG</v>
          </cell>
          <cell r="D4196" t="str">
            <v>VIETTEL CARD WITH 10.000 VND</v>
          </cell>
          <cell r="E4196">
            <v>0</v>
          </cell>
          <cell r="F4196" t="str">
            <v>Bỏ chọn</v>
          </cell>
          <cell r="G4196"/>
          <cell r="H4196"/>
        </row>
        <row r="4197">
          <cell r="A4197" t="str">
            <v>7.B25085499D80105</v>
          </cell>
          <cell r="B4197" t="str">
            <v>PORK BOUILLON GRANULE 200G X 160 PAC/ CAR</v>
          </cell>
          <cell r="C4197" t="str">
            <v>HẠT NÊM 4 TRONG 1 VỊ HEO 200G X 160 GÓI/ THÙNG</v>
          </cell>
          <cell r="D4197" t="str">
            <v>PORK BOUILLON GRANULE 200G X 160 PAC/ CAR</v>
          </cell>
          <cell r="E4197">
            <v>32</v>
          </cell>
          <cell r="F4197" t="str">
            <v>Bỏ chọn</v>
          </cell>
          <cell r="G4197"/>
          <cell r="H4197"/>
        </row>
        <row r="4198">
          <cell r="A4198" t="str">
            <v>7.7076660132188000</v>
          </cell>
          <cell r="B4198" t="str">
            <v>HORECA SPECIALIZED DWL IN JERRYCAN @25KG</v>
          </cell>
          <cell r="C4198" t="str">
            <v>NƯỚC RỬA CHÉN CHUYÊN DỤNG HORECA CAN 25KG</v>
          </cell>
          <cell r="D4198" t="str">
            <v>HORECA SPECIALIZED DWL IN JERRYCAN @25KG</v>
          </cell>
          <cell r="E4198">
            <v>25</v>
          </cell>
          <cell r="F4198" t="str">
            <v>Chọn</v>
          </cell>
          <cell r="G4198"/>
          <cell r="H4198"/>
        </row>
        <row r="4199">
          <cell r="A4199" t="str">
            <v>7.705G6</v>
          </cell>
          <cell r="B4199" t="str">
            <v>STEARIC ACID SA1810 IN BAG 3KG</v>
          </cell>
          <cell r="C4199" t="str">
            <v>STEARIC ACID SA1810 - AXIT STEARIC THƯƠNG PHẨM, DÙNG SẢN XUẤT NHỰA, CAO SU, NẾN, DẠNG RẮN ĐÓNG TRONG BAO 3KG</v>
          </cell>
          <cell r="D4199" t="str">
            <v>STEARIC ACID SA1810 IN BAG 3KG</v>
          </cell>
          <cell r="E4199">
            <v>1</v>
          </cell>
          <cell r="F4199" t="str">
            <v>Chọn</v>
          </cell>
          <cell r="G4199"/>
          <cell r="H4199"/>
        </row>
        <row r="4200">
          <cell r="A4200" t="str">
            <v>V51.000.180</v>
          </cell>
          <cell r="B4200" t="str">
            <v>BLOC NEPTUNE TET CALENDAR 2024</v>
          </cell>
          <cell r="C4200" t="str">
            <v>LỊCH BLOC NEPTUNE TẾT 2024</v>
          </cell>
          <cell r="D4200" t="str">
            <v>BLOC NEPTUNE TET CALENDAR 2024</v>
          </cell>
          <cell r="E4200">
            <v>0</v>
          </cell>
          <cell r="F4200" t="str">
            <v>Chọn</v>
          </cell>
          <cell r="G4200"/>
          <cell r="H4200"/>
        </row>
        <row r="4201">
          <cell r="A4201" t="str">
            <v>N04.0017001.00006</v>
          </cell>
          <cell r="B4201" t="str">
            <v>APRON,COTTON,PC</v>
          </cell>
          <cell r="C4201" t="str">
            <v>TẠP DỀ CHÌA KHÓA CAM</v>
          </cell>
          <cell r="D4201" t="str">
            <v>APRON,COTTON,PC</v>
          </cell>
          <cell r="E4201">
            <v>0</v>
          </cell>
          <cell r="F4201" t="str">
            <v>Chọn</v>
          </cell>
          <cell r="G4201"/>
          <cell r="H4201"/>
        </row>
        <row r="4202">
          <cell r="A4202" t="str">
            <v>N04.0017005.00027</v>
          </cell>
          <cell r="B4202" t="str">
            <v>KNIFE,PLASTIC,400 X 420 X 580 MM</v>
          </cell>
          <cell r="C4202" t="str">
            <v>DAO CẮT BỘT</v>
          </cell>
          <cell r="D4202" t="str">
            <v>KNIFE,PLASTIC,400 X 420 X 580 MM</v>
          </cell>
          <cell r="E4202">
            <v>0</v>
          </cell>
          <cell r="F4202" t="str">
            <v>Chọn</v>
          </cell>
          <cell r="G4202"/>
          <cell r="H4202"/>
        </row>
        <row r="4203">
          <cell r="A4203" t="str">
            <v>N04.0017015.00004</v>
          </cell>
          <cell r="B4203" t="str">
            <v>ROLLING PIN,23 X 2.5 CM,12 CM,PVC</v>
          </cell>
          <cell r="C4203" t="str">
            <v>CÂY LĂN BỘT</v>
          </cell>
          <cell r="D4203" t="str">
            <v>ROLLING PIN,23 X 2.5 CM,12 CM,PVC</v>
          </cell>
          <cell r="E4203">
            <v>0</v>
          </cell>
          <cell r="F4203" t="str">
            <v>Chọn</v>
          </cell>
          <cell r="G4203"/>
          <cell r="H4203"/>
        </row>
        <row r="4204">
          <cell r="A4204" t="str">
            <v>N04.0017016.00062</v>
          </cell>
          <cell r="B4204" t="str">
            <v>KITCHEN UTENSILS,SPATULA</v>
          </cell>
          <cell r="C4204" t="str">
            <v>CÂY VÉT BỘT</v>
          </cell>
          <cell r="D4204" t="str">
            <v>KITCHEN UTENSILS,SPATULA</v>
          </cell>
          <cell r="E4204">
            <v>0</v>
          </cell>
          <cell r="F4204" t="str">
            <v>Chọn</v>
          </cell>
          <cell r="G4204"/>
          <cell r="H4204"/>
        </row>
        <row r="4205">
          <cell r="A4205" t="str">
            <v>N04.0019026.00166</v>
          </cell>
          <cell r="B4205" t="str">
            <v>UNIFORM,POLO SHIRT,SHORT SLEEVE,RED KEY</v>
          </cell>
          <cell r="C4205" t="str">
            <v>ÁO THUN CAO CẤP</v>
          </cell>
          <cell r="D4205" t="str">
            <v>UNIFORM,POLO SHIRT,SHORT SLEEVE,RED KEY</v>
          </cell>
          <cell r="E4205">
            <v>0</v>
          </cell>
          <cell r="F4205" t="str">
            <v>Chọn</v>
          </cell>
          <cell r="G4205"/>
          <cell r="H4205"/>
        </row>
        <row r="4206">
          <cell r="A4206" t="str">
            <v>N04.0019026.00167</v>
          </cell>
          <cell r="B4206" t="str">
            <v>UNIFORM,POLO SHIRT,SHORT SLEEVE,GREEN KEY</v>
          </cell>
          <cell r="C4206" t="str">
            <v>ÁO THUN CỔ TRỤ</v>
          </cell>
          <cell r="D4206" t="str">
            <v>UNIFORM,POLO SHIRT,SHORT SLEEVE,GREEN KEY</v>
          </cell>
          <cell r="E4206">
            <v>0</v>
          </cell>
          <cell r="F4206" t="str">
            <v>Chọn</v>
          </cell>
          <cell r="G4206"/>
          <cell r="H4206"/>
        </row>
        <row r="4207">
          <cell r="A4207" t="str">
            <v>N11.0003008.00318</v>
          </cell>
          <cell r="B4207" t="str">
            <v>HAND GLOVE,COTTON</v>
          </cell>
          <cell r="C4207" t="str">
            <v>BAO TAY LÀM BÁNH</v>
          </cell>
          <cell r="D4207" t="str">
            <v>HAND GLOVE,COTTON</v>
          </cell>
          <cell r="E4207">
            <v>0</v>
          </cell>
          <cell r="F4207" t="str">
            <v>Chọn</v>
          </cell>
          <cell r="G4207"/>
          <cell r="H4207"/>
        </row>
        <row r="4208">
          <cell r="A4208" t="str">
            <v>7.92419B799D901A0</v>
          </cell>
          <cell r="B4208" t="str">
            <v>584 NHA TRANG ANCHOVY FISH SAUCE 40°N GIFT PACK OF 02 GLASS BOTTLES 510ML X 3 PCS IN CARTON</v>
          </cell>
          <cell r="C4208" t="str">
            <v>NƯỚC MẮM NHỈ CÁ CƠM 40° ĐẠM HIỆU 584 NHA TRANG HỘP 2 CHAI THỦY TINH 510ML X 3 HỘP ĐÓNG TRONG THÙNG CARTON</v>
          </cell>
          <cell r="D4208" t="str">
            <v>584 NHA TRANG ANCHOVY FISH SAUCE 40°N GIFT PACK OF 02 GLASS BOTTLES 510ML X 3 PCS IN CARTON</v>
          </cell>
          <cell r="E4208">
            <v>3.72</v>
          </cell>
          <cell r="F4208" t="str">
            <v>Chọn</v>
          </cell>
          <cell r="G4208"/>
          <cell r="H4208" t="str">
            <v>7.92419B799D901A001</v>
          </cell>
        </row>
        <row r="4209">
          <cell r="A4209" t="str">
            <v>7.92419B799D901A001</v>
          </cell>
          <cell r="B4209" t="str">
            <v>584 NHA TRANG ANCHOVY FISH SAUCE 40°N GIFT PACK OF 02 GLASS BOTTLES 510ML</v>
          </cell>
          <cell r="C4209" t="str">
            <v>NƯỚC MẮM NHỈ CÁ CƠM 40° ĐẠM HIỆU 584 NHA TRANG HỘP 2 CHAI THỦY TINH 510ML</v>
          </cell>
          <cell r="D4209" t="str">
            <v>584 NHA TRANG ANCHOVY FISH SAUCE 40°N GIFT PACK OF 02 GLASS BOTTLES 510ML</v>
          </cell>
          <cell r="E4209">
            <v>1.24</v>
          </cell>
          <cell r="F4209" t="str">
            <v>Chọn</v>
          </cell>
          <cell r="G4209"/>
          <cell r="H4209"/>
        </row>
        <row r="4210">
          <cell r="A4210" t="str">
            <v>7.92419B799D901A1</v>
          </cell>
          <cell r="B4210" t="str">
            <v>584 NHA TRANG ANCHOVY FISH SAUCE 35°N GIFT PACK OF 02 GLASS BOTTLES 510ML X 3 PCS IN CARTON</v>
          </cell>
          <cell r="C4210" t="str">
            <v>NƯỚC MẮM NHỈ CÁ CƠM 35° ĐẠM HIỆU 584 NHA TRANG HỘP 2 CHAI THỦY TINH 510ML X 3 HỘP ĐÓNG TRONG THÙNG CARTON</v>
          </cell>
          <cell r="D4210" t="str">
            <v>584 NHA TRANG ANCHOVY FISH SAUCE 35°N GIFT PACK OF 02 GLASS BOTTLES 510ML X 3 PCS IN CARTON</v>
          </cell>
          <cell r="E4210">
            <v>3.72</v>
          </cell>
          <cell r="F4210" t="str">
            <v>Chọn</v>
          </cell>
          <cell r="G4210"/>
          <cell r="H4210" t="str">
            <v>7.92419B799D901A101</v>
          </cell>
        </row>
        <row r="4211">
          <cell r="A4211" t="str">
            <v>7.92419B799D901A101</v>
          </cell>
          <cell r="B4211" t="str">
            <v>584 NHA TRANG ANCHOVY FISH SAUCE 35°N GIFT PACK OF 02 GLASS BOTTLES 510ML</v>
          </cell>
          <cell r="C4211" t="str">
            <v>NƯỚC MẮM NHỈ CÁ CƠM 35° ĐẠM HIỆU 584 NHA TRANG HỘP 2 CHAI THỦY TINH 510ML</v>
          </cell>
          <cell r="D4211" t="str">
            <v>584 NHA TRANG ANCHOVY FISH SAUCE 35°N GIFT PACK OF 02 GLASS BOTTLES 510ML</v>
          </cell>
          <cell r="E4211">
            <v>1.24</v>
          </cell>
          <cell r="F4211" t="str">
            <v>Chọn</v>
          </cell>
          <cell r="G4211"/>
          <cell r="H4211"/>
        </row>
        <row r="4212">
          <cell r="A4212" t="str">
            <v>7.52215902B301901</v>
          </cell>
          <cell r="B4212" t="str">
            <v>ORANGE KEY BREAD FL CPC W/VIT PPBAG@25KG</v>
          </cell>
          <cell r="C4212" t="str">
            <v>BỘT MÌ HIỆU CHÌA KHÓA CAM 25KG</v>
          </cell>
          <cell r="D4212" t="str">
            <v>ORANGE KEY BREAD FL CPC W/VIT PPBAG@25KG</v>
          </cell>
          <cell r="E4212">
            <v>25</v>
          </cell>
          <cell r="F4212" t="str">
            <v>Chọn</v>
          </cell>
          <cell r="G4212"/>
          <cell r="H4212"/>
        </row>
        <row r="4213">
          <cell r="A4213" t="str">
            <v>7.705G7</v>
          </cell>
          <cell r="B4213" t="str">
            <v>(WILMAX 5110) RBD HYDROGENATED SHEA OLEIN IN BAG 10KG</v>
          </cell>
          <cell r="C4213" t="str">
            <v>(WILMAX 5110) RBD HYDROGENATED SHEA OLEIN - DẦU OLEIN HẠT MỠ ĐÃ HYDRO HÓA, DÙNG TRONG SẢN XUẤT NẾN ĐÓNG TRONG BAO 10KG</v>
          </cell>
          <cell r="D4213" t="str">
            <v>(WILMAX 5110) RBD HYDROGENATED SHEA OLEIN IN BAG 10KG</v>
          </cell>
          <cell r="E4213">
            <v>1</v>
          </cell>
          <cell r="F4213" t="str">
            <v>Chọn</v>
          </cell>
          <cell r="G4213"/>
          <cell r="H4213"/>
        </row>
        <row r="4214">
          <cell r="A4214" t="str">
            <v>V58.014.002</v>
          </cell>
          <cell r="B4214" t="str">
            <v>OPP TAPE 48MM X 80M, WITH LOGO</v>
          </cell>
          <cell r="C4214" t="str">
            <v>BĂNG KEO OPP TRONG IN LOGO, 48MM X 80M</v>
          </cell>
          <cell r="D4214" t="str">
            <v>OPP TAPE 48MM X 80M, WITH LOGO</v>
          </cell>
          <cell r="E4214">
            <v>0</v>
          </cell>
          <cell r="F4214" t="str">
            <v>Bỏ chọn</v>
          </cell>
          <cell r="G4214"/>
          <cell r="H4214"/>
        </row>
        <row r="4215">
          <cell r="A4215" t="str">
            <v>N09.0007005.01489</v>
          </cell>
          <cell r="B4215" t="str">
            <v>CARTON,CAI LAN,COOKING OIL,1 X 18KG,340</v>
          </cell>
          <cell r="C4215" t="str">
            <v>THÙNG 2 MÀU - CÁI LÂN 18KG BIB</v>
          </cell>
          <cell r="D4215" t="str">
            <v>CARTON,CAI LAN,COOKING OIL,1 X 18KG,340</v>
          </cell>
          <cell r="E4215">
            <v>0</v>
          </cell>
          <cell r="F4215" t="str">
            <v>Chọn</v>
          </cell>
          <cell r="G4215"/>
          <cell r="H4215"/>
        </row>
        <row r="4216">
          <cell r="A4216" t="str">
            <v>N09.0007005.01465</v>
          </cell>
          <cell r="B4216" t="str">
            <v>CARTON,ORCHID,COOKING OIL,1 X 18KG,340 X</v>
          </cell>
          <cell r="C4216" t="str">
            <v>THÙNG 2 MÀU - ORCHID 18KG BIB</v>
          </cell>
          <cell r="D4216" t="str">
            <v>CARTON,ORCHID,COOKING OIL,1 X 18KG,340 X</v>
          </cell>
          <cell r="E4216">
            <v>0</v>
          </cell>
          <cell r="F4216" t="str">
            <v>Chọn</v>
          </cell>
          <cell r="G4216"/>
          <cell r="H4216"/>
        </row>
        <row r="4217">
          <cell r="A4217" t="str">
            <v>V51.000.181</v>
          </cell>
          <cell r="B4217" t="str">
            <v>SHRINK WRAPPING 100CM X 80CM</v>
          </cell>
          <cell r="C4217" t="str">
            <v>MÀNG CO 100CM X 80CM</v>
          </cell>
          <cell r="D4217" t="str">
            <v>SHRINK WRAPPING 100CM X 80CM</v>
          </cell>
          <cell r="E4217">
            <v>0</v>
          </cell>
          <cell r="F4217" t="str">
            <v>Chọn</v>
          </cell>
          <cell r="G4217"/>
          <cell r="H4217"/>
        </row>
        <row r="4218">
          <cell r="A4218" t="str">
            <v>V51.000.182</v>
          </cell>
          <cell r="B4218" t="str">
            <v>RECTANGULAR BASKET</v>
          </cell>
          <cell r="C4218" t="str">
            <v>RỔ CHỮ NHẬT CẠP TỰ NHIÊN</v>
          </cell>
          <cell r="D4218" t="str">
            <v>RECTANGULAR BASKET</v>
          </cell>
          <cell r="E4218">
            <v>0</v>
          </cell>
          <cell r="F4218" t="str">
            <v>Chọn</v>
          </cell>
          <cell r="G4218"/>
          <cell r="H4218"/>
        </row>
        <row r="4219">
          <cell r="A4219" t="str">
            <v>V51.000.183</v>
          </cell>
          <cell r="B4219" t="str">
            <v>RED SMALL FLOWER BOW 74 X 5CM</v>
          </cell>
          <cell r="C4219" t="str">
            <v>NƠ HOA BÉ MÀU ĐỎ 74 X 5CM</v>
          </cell>
          <cell r="D4219" t="str">
            <v>RED SMALL FLOWER BOW 74 X 5CM</v>
          </cell>
          <cell r="E4219">
            <v>0</v>
          </cell>
          <cell r="F4219" t="str">
            <v>Chọn</v>
          </cell>
          <cell r="G4219"/>
          <cell r="H4219"/>
        </row>
        <row r="4220">
          <cell r="A4220" t="str">
            <v>7.B2401236137014201TD</v>
          </cell>
          <cell r="B4220" t="str">
            <v>FERMENTED SOY SAUCE 500ML</v>
          </cell>
          <cell r="C4220" t="str">
            <v>NƯỚC TƯƠNG ĐẬU NÀNH LÊN MEN NAM DƯƠNG 500ML</v>
          </cell>
          <cell r="D4220" t="str">
            <v>FERMENTED SOY SAUCE 500ML</v>
          </cell>
          <cell r="E4220">
            <v>0.57389999999999997</v>
          </cell>
          <cell r="F4220" t="str">
            <v>Bỏ chọn</v>
          </cell>
          <cell r="G4220"/>
          <cell r="H4220"/>
        </row>
        <row r="4221">
          <cell r="A4221" t="str">
            <v>7.705G8</v>
          </cell>
          <cell r="B4221" t="str">
            <v>STEARIC ACID SA1892 (WILFARIN SA-1892) IN BAG 5KG</v>
          </cell>
          <cell r="C4221" t="str">
            <v>AXIT STEARIC WILFARIN SA-1892 ĐÓNG TRONG BAO 5KG</v>
          </cell>
          <cell r="D4221" t="str">
            <v>STEARIC ACID SA1892 (WILFARIN SA-1892) IN BAG 5KG</v>
          </cell>
          <cell r="E4221">
            <v>1</v>
          </cell>
          <cell r="F4221" t="str">
            <v>Chọn</v>
          </cell>
          <cell r="G4221"/>
          <cell r="H4221"/>
        </row>
        <row r="4222">
          <cell r="A4222" t="str">
            <v>7.705G9</v>
          </cell>
          <cell r="B4222" t="str">
            <v>STEARIC ACID SA1843 (WILFARIN SA-1843) IN BAG 5KG</v>
          </cell>
          <cell r="C4222" t="str">
            <v>AXIT STEARIC WILFARIN SA-1843 ĐÓNG TRONG BAO 5KG</v>
          </cell>
          <cell r="D4222" t="str">
            <v>STEARIC ACID SA1843 (WILFARIN SA-1843) IN BAG 5KG</v>
          </cell>
          <cell r="E4222">
            <v>1</v>
          </cell>
          <cell r="F4222" t="str">
            <v>Chọn</v>
          </cell>
          <cell r="G4222"/>
          <cell r="H4222"/>
        </row>
        <row r="4223">
          <cell r="A4223" t="str">
            <v>6.7047228</v>
          </cell>
          <cell r="B4223" t="str">
            <v>DISHWASHING LIQUID LEMON</v>
          </cell>
          <cell r="C4223" t="str">
            <v>NƯỚC RỬA CHÉN TINH DẦU CHANH</v>
          </cell>
          <cell r="D4223" t="str">
            <v>DISHWASHING LIQUID LEMON</v>
          </cell>
          <cell r="E4223">
            <v>1</v>
          </cell>
          <cell r="F4223" t="str">
            <v>Chọn</v>
          </cell>
          <cell r="G4223"/>
          <cell r="H4223"/>
        </row>
        <row r="4224">
          <cell r="A4224" t="str">
            <v>7.A3199089902L099</v>
          </cell>
          <cell r="B4224" t="str">
            <v>MEIZAN NON-DAIRY CREAMER 1KG X 10 PAC</v>
          </cell>
          <cell r="C4224" t="str">
            <v>BỘT KEM BÉO MEIZAN 1KG X 10 GÓI</v>
          </cell>
          <cell r="D4224" t="str">
            <v>MEIZAN NON-DAIRY CREAMER 1KG X 10 PAC</v>
          </cell>
          <cell r="E4224">
            <v>10</v>
          </cell>
          <cell r="F4224" t="str">
            <v>Bỏ chọn</v>
          </cell>
          <cell r="G4224"/>
          <cell r="H4224"/>
        </row>
        <row r="4225">
          <cell r="A4225" t="str">
            <v>7.A3199089902L09901</v>
          </cell>
          <cell r="B4225" t="str">
            <v>MEIZAN NON-DAIRY CREAMER 1KG</v>
          </cell>
          <cell r="C4225" t="str">
            <v>BỘT KEM BÉO MEIZAN 1KG</v>
          </cell>
          <cell r="D4225" t="str">
            <v>MEIZAN NON-DAIRY CREAMER 1KG</v>
          </cell>
          <cell r="E4225">
            <v>1</v>
          </cell>
          <cell r="F4225" t="str">
            <v>Bỏ chọn</v>
          </cell>
          <cell r="G4225"/>
          <cell r="H4225"/>
        </row>
        <row r="4226">
          <cell r="A4226" t="str">
            <v>7.G4001B499E0A02701</v>
          </cell>
          <cell r="B4226" t="str">
            <v>TWINKLE LEMON GREEN TEA IN BAG 1.5G</v>
          </cell>
          <cell r="C4226" t="str">
            <v>TRÀ XANH HƯƠNG CHANH HIỆU TWINKLE ĐÓNG GÓI TÚI LỌC 1.5G</v>
          </cell>
          <cell r="D4226" t="str">
            <v>TWINKLE LEMON GREEN TEA IN BAG 1.5G</v>
          </cell>
          <cell r="E4226">
            <v>1.5E-3</v>
          </cell>
          <cell r="F4226" t="str">
            <v>Chọn</v>
          </cell>
          <cell r="G4226"/>
          <cell r="H4226"/>
        </row>
        <row r="4227">
          <cell r="A4227" t="str">
            <v>7.G4001B499E0A03601</v>
          </cell>
          <cell r="B4227" t="str">
            <v>TWINKLE STRAWBERRY - GREEN TEA IN BAG 1.5G</v>
          </cell>
          <cell r="C4227" t="str">
            <v>TRÀ XANH HƯƠNG DÂU HIỆU TWINKLE ĐÓNG GÓI TÚI LỌC 1.5G</v>
          </cell>
          <cell r="D4227" t="str">
            <v>TWINKLE STRAWBERRY - GREEN TEA IN BAG 1.5G</v>
          </cell>
          <cell r="E4227">
            <v>1.5E-3</v>
          </cell>
          <cell r="F4227" t="str">
            <v>Chọn</v>
          </cell>
          <cell r="G4227"/>
          <cell r="H4227"/>
        </row>
        <row r="4228">
          <cell r="A4228" t="str">
            <v>7.G4001B499E0A0A801</v>
          </cell>
          <cell r="B4228" t="str">
            <v>TWINKLE BLUEBERRY - GREEN TEA IN BAG 1.5G</v>
          </cell>
          <cell r="C4228" t="str">
            <v>TRÀ XANH HƯƠNG VIỆT QUẤT HIỆU TWINKLE ĐÓNG GÓI TÚI LỌC 1.5G</v>
          </cell>
          <cell r="D4228" t="str">
            <v>TWINKLE BLUEBERRY - GREEN TEA IN BAG 1.5G</v>
          </cell>
          <cell r="E4228">
            <v>1.5E-3</v>
          </cell>
          <cell r="F4228" t="str">
            <v>Chọn</v>
          </cell>
          <cell r="G4228"/>
          <cell r="H4228"/>
        </row>
        <row r="4229">
          <cell r="A4229" t="str">
            <v>7.G4001B499E0A0A901</v>
          </cell>
          <cell r="B4229" t="str">
            <v>TWINKLE MANGO - GREEN TEA IN BAG 1.5G</v>
          </cell>
          <cell r="C4229" t="str">
            <v>TRÀ XANH HƯƠNG XOÀI HIỆU TWINKLE ĐÓNG GÓI TÚI LỌC 1.5G</v>
          </cell>
          <cell r="D4229" t="str">
            <v>TWINKLE MANGO - GREEN TEA IN BAG 1.5G</v>
          </cell>
          <cell r="E4229">
            <v>1.5E-3</v>
          </cell>
          <cell r="F4229" t="str">
            <v>Chọn</v>
          </cell>
          <cell r="G4229"/>
          <cell r="H4229"/>
        </row>
        <row r="4230">
          <cell r="A4230" t="str">
            <v>7.G4001B499E0A0B001</v>
          </cell>
          <cell r="B4230" t="str">
            <v>TWINKLE WILDBERRY - BLACK TEA IN BAG 1.5G</v>
          </cell>
          <cell r="C4230" t="str">
            <v>TRÀ HƯƠNG DÂU DẠI HIỆU TWINKLE ĐÓNG GÓI TÚI LỌC 1.5G</v>
          </cell>
          <cell r="D4230" t="str">
            <v>TWINKLE WILDBERRY - BLACK TEA IN BAG 1.5G</v>
          </cell>
          <cell r="E4230">
            <v>1.5E-3</v>
          </cell>
          <cell r="F4230" t="str">
            <v>Chọn</v>
          </cell>
          <cell r="G4230"/>
          <cell r="H4230"/>
        </row>
        <row r="4231">
          <cell r="A4231" t="str">
            <v>7.G4001B499E0A0B101</v>
          </cell>
          <cell r="B4231" t="str">
            <v>TWINKLE ENGLISH BREAKFAST - BLACK IN BAG 1.5G</v>
          </cell>
          <cell r="C4231" t="str">
            <v>TRÀ ĐIỂM TÂM ANH QUỐC HIỆU TWINKLE ĐÓNG GÓI TÚI LỌC 1.5G</v>
          </cell>
          <cell r="D4231" t="str">
            <v>TWINKLE ENGLISH BREAKFAST - BLACK IN BAG 1.5G</v>
          </cell>
          <cell r="E4231">
            <v>1.5E-3</v>
          </cell>
          <cell r="F4231" t="str">
            <v>Chọn</v>
          </cell>
          <cell r="G4231"/>
          <cell r="H4231"/>
        </row>
        <row r="4232">
          <cell r="A4232" t="str">
            <v>7.G4001B499E0A08301</v>
          </cell>
          <cell r="B4232" t="str">
            <v>TWINKLE EARL GREY BLACK TEA - IN BAG 1.5G</v>
          </cell>
          <cell r="C4232" t="str">
            <v>TRÀ BÁ TƯỚC HIỆU TWINKLE ĐÓNG GÓI TÚI LỌC 1.5G</v>
          </cell>
          <cell r="D4232" t="str">
            <v>TWINKLE EARL GREY BLACK TEA - IN BAG 1.5G</v>
          </cell>
          <cell r="E4232">
            <v>1.5E-3</v>
          </cell>
          <cell r="F4232" t="str">
            <v>Chọn</v>
          </cell>
          <cell r="G4232"/>
          <cell r="H4232"/>
        </row>
        <row r="4233">
          <cell r="A4233" t="str">
            <v>7.G4001B499E0A0B201</v>
          </cell>
          <cell r="B4233" t="str">
            <v>TWINKLE PEACH &amp; MANGO - BLACK TEA IN BAG 1.5G</v>
          </cell>
          <cell r="C4233" t="str">
            <v>TRÀ HƯƠNG ĐÀO XOÀI HIỆU TWINKLE ĐÓNG GÓI TÚI LỌC 1.5G</v>
          </cell>
          <cell r="D4233" t="str">
            <v>TWINKLE PEACH &amp; MANGO - BLACK TEA IN BAG 1.5G</v>
          </cell>
          <cell r="E4233">
            <v>1.5E-3</v>
          </cell>
          <cell r="F4233" t="str">
            <v>Chọn</v>
          </cell>
          <cell r="G4233"/>
          <cell r="H4233"/>
        </row>
        <row r="4234">
          <cell r="A4234" t="str">
            <v>7.G4001B499E0A08501</v>
          </cell>
          <cell r="B4234" t="str">
            <v>TWINKLE GINGER - BLACK TEA IN BAG 1.5G</v>
          </cell>
          <cell r="C4234" t="str">
            <v>TRÀ HƯƠNG GỪNG HIỆU TWINKLE ĐÓNG GÓI TÚI LỌC 1.5G</v>
          </cell>
          <cell r="D4234" t="str">
            <v>TWINKLE GINGER - BLACK TEA IN BAG 1.5G</v>
          </cell>
          <cell r="E4234">
            <v>1.5E-3</v>
          </cell>
          <cell r="F4234" t="str">
            <v>Chọn</v>
          </cell>
          <cell r="G4234"/>
          <cell r="H4234"/>
        </row>
        <row r="4235">
          <cell r="A4235" t="str">
            <v>7.G4001B499E0A0B301</v>
          </cell>
          <cell r="B4235" t="str">
            <v>TWINKLE ROSEHIP &amp; HIBISCUS HERBS IN BAG 1.5G</v>
          </cell>
          <cell r="C4235" t="str">
            <v>TRÀ HƯƠNG HOA HỒNG &amp; HOA DÂM BỤT HIỆU TWINKLE ĐÓNG GÓI TÚI LỌC 1.5G</v>
          </cell>
          <cell r="D4235" t="str">
            <v>TWINKLE ROSEHIP &amp; HIBISCUS HERBS IN BAG 1.5G</v>
          </cell>
          <cell r="E4235">
            <v>1.5E-3</v>
          </cell>
          <cell r="F4235" t="str">
            <v>Chọn</v>
          </cell>
          <cell r="G4235"/>
          <cell r="H4235"/>
        </row>
        <row r="4236">
          <cell r="A4236" t="str">
            <v>7.G4001B499E0A00801</v>
          </cell>
          <cell r="B4236" t="str">
            <v>TWINKLE CHAMOMILE HERBS IN BAG 1.5G</v>
          </cell>
          <cell r="C4236" t="str">
            <v>TRÀ THẢO MỘC HOA CÚC HIỆU TWINKLE ĐÓNG GÓI TÚI LỌC 1.5G</v>
          </cell>
          <cell r="D4236" t="str">
            <v>TWINKLE CHAMOMILE HERBS IN BAG 1.5G</v>
          </cell>
          <cell r="E4236">
            <v>1.5E-3</v>
          </cell>
          <cell r="F4236" t="str">
            <v>Chọn</v>
          </cell>
          <cell r="G4236"/>
          <cell r="H4236"/>
        </row>
        <row r="4237">
          <cell r="A4237" t="str">
            <v>7.G4001B499E0A0B401</v>
          </cell>
          <cell r="B4237" t="str">
            <v>TWINKLE VANILLA ROOIBOS HERBS IN BAG 1.5G</v>
          </cell>
          <cell r="C4237" t="str">
            <v>TRÀ BỤI ĐỎ HIỆU TWINKLE ĐÓNG GÓI TÚI LỌC 1.5G</v>
          </cell>
          <cell r="D4237" t="str">
            <v>TWINKLE VANILLA ROOIBOS HERBS IN BAG 1.5G</v>
          </cell>
          <cell r="E4237">
            <v>1.5E-3</v>
          </cell>
          <cell r="F4237" t="str">
            <v>Chọn</v>
          </cell>
          <cell r="G4237"/>
          <cell r="H4237"/>
        </row>
        <row r="4238">
          <cell r="A4238" t="str">
            <v>V51.000.184</v>
          </cell>
          <cell r="B4238" t="str">
            <v>DECICATION TROPHY FOR DISTRIBUTOR</v>
          </cell>
          <cell r="C4238" t="str">
            <v>KỶ NIỆM CHƯƠNG CỐNG HIẾN CHO NPP</v>
          </cell>
          <cell r="D4238" t="str">
            <v>DECICATION TROPHY FOR DISTRIBUTOR</v>
          </cell>
          <cell r="E4238">
            <v>0</v>
          </cell>
          <cell r="F4238" t="str">
            <v>Chọn</v>
          </cell>
          <cell r="G4238"/>
          <cell r="H4238"/>
        </row>
        <row r="4239">
          <cell r="A4239" t="str">
            <v>V51.000.185</v>
          </cell>
          <cell r="B4239" t="str">
            <v>TROPHY FOR AWARDS</v>
          </cell>
          <cell r="C4239" t="str">
            <v>KỶ NIỆM CHƯƠNG GIẢI THƯỞNG</v>
          </cell>
          <cell r="D4239" t="str">
            <v>TROPHY FOR AWARDS</v>
          </cell>
          <cell r="E4239">
            <v>0</v>
          </cell>
          <cell r="F4239" t="str">
            <v>Chọn</v>
          </cell>
          <cell r="G4239"/>
          <cell r="H4239"/>
        </row>
        <row r="4240">
          <cell r="A4240" t="str">
            <v>V51.000.186</v>
          </cell>
          <cell r="B4240" t="str">
            <v>TROPHY FOR SALES STAFF</v>
          </cell>
          <cell r="C4240" t="str">
            <v>KỶ NIỆM CHƯƠNG CHO NVBH</v>
          </cell>
          <cell r="D4240" t="str">
            <v>TROPHY FOR SALES STAFF</v>
          </cell>
          <cell r="E4240">
            <v>0</v>
          </cell>
          <cell r="F4240" t="str">
            <v>Chọn</v>
          </cell>
          <cell r="G4240"/>
          <cell r="H4240"/>
        </row>
        <row r="4241">
          <cell r="A4241" t="str">
            <v>7.705H0</v>
          </cell>
          <cell r="B4241" t="str">
            <v>GENAGEN CAB-H 0200, DRUM 200KGS</v>
          </cell>
          <cell r="C4241" t="str">
            <v>CHẤT HOẠT ĐỘNG BỀ MẶT GENAGEN CAB-H 0200, PHUY 200KG</v>
          </cell>
          <cell r="D4241" t="str">
            <v>GENAGEN CAB-H 0200, DRUM 200KGS</v>
          </cell>
          <cell r="E4241">
            <v>1</v>
          </cell>
          <cell r="F4241" t="str">
            <v>Chọn</v>
          </cell>
          <cell r="G4241"/>
          <cell r="H4241"/>
        </row>
        <row r="4242">
          <cell r="A4242" t="str">
            <v>7.707705P42817000H</v>
          </cell>
          <cell r="B4242" t="str">
            <v>POWER100 LDCHARMINGFRNCPERFUME3.4KG*4BTL</v>
          </cell>
          <cell r="C4242" t="str">
            <v>NƯỚC GIẶT XẢ POWER100 HƯƠNG NƯỚC HOA PHÁP QUYẾN RŨ 3.4KG*4</v>
          </cell>
          <cell r="D4242" t="str">
            <v>POWER100 LDCHARMINGFRNCPERFUME3.4KG*4BTL</v>
          </cell>
          <cell r="E4242">
            <v>13.6</v>
          </cell>
          <cell r="F4242" t="str">
            <v>Chọn</v>
          </cell>
          <cell r="G4242"/>
          <cell r="H4242" t="str">
            <v>7.707705P428170000</v>
          </cell>
        </row>
        <row r="4243">
          <cell r="A4243" t="str">
            <v>6.70590</v>
          </cell>
          <cell r="B4243" t="str">
            <v>SODIUM LAURYL ETHER SULFATE IN ISO TANK</v>
          </cell>
          <cell r="C4243" t="str">
            <v>CHẤT HOẠT ĐỘNG BỀ MẶT - SODIUM LAURYL ETHER SULFATE ĐÓNG TRONG ISO TANK</v>
          </cell>
          <cell r="D4243" t="str">
            <v>SODIUM LAURYL ETHER SULFATE IN ISO TANK</v>
          </cell>
          <cell r="E4243">
            <v>1</v>
          </cell>
          <cell r="F4243" t="str">
            <v>Chọn</v>
          </cell>
          <cell r="G4243"/>
          <cell r="H4243"/>
        </row>
        <row r="4244">
          <cell r="A4244" t="str">
            <v>7.707705P428170000</v>
          </cell>
          <cell r="B4244" t="str">
            <v>POWER100 LDCHARMINGFRNCHPERFUMEBTL@3.4KG</v>
          </cell>
          <cell r="C4244" t="str">
            <v>NƯỚC GIẶT XẢ POWER100 HƯƠNG NƯỚC HOA PHÁP QUYẾN RŨ 3.4KG</v>
          </cell>
          <cell r="D4244" t="str">
            <v>POWER100 LDCHARMINGFRNCHPERFUMEBTL@3.4KG</v>
          </cell>
          <cell r="E4244">
            <v>3.4</v>
          </cell>
          <cell r="F4244" t="str">
            <v>Chọn</v>
          </cell>
          <cell r="G4244"/>
          <cell r="H4244"/>
        </row>
        <row r="4245">
          <cell r="A4245" t="str">
            <v>7.52213402A831901</v>
          </cell>
          <cell r="B4245" t="str">
            <v>BLUECOMPASSBREADFL CPC ASH0.57PPBAG@25KG</v>
          </cell>
          <cell r="C4245" t="str">
            <v>BỘT MÌ HIỆU LA BÀN XANH 25KG</v>
          </cell>
          <cell r="D4245" t="str">
            <v>BLUECOMPASSBREADFL CPC ASH0.57PPBAG@25KG</v>
          </cell>
          <cell r="E4245">
            <v>25</v>
          </cell>
          <cell r="F4245" t="str">
            <v>Chọn</v>
          </cell>
          <cell r="G4245"/>
          <cell r="H4245"/>
        </row>
        <row r="4246">
          <cell r="A4246" t="str">
            <v>7.92599B6A0E10199</v>
          </cell>
          <cell r="B4246" t="str">
            <v>DHFOODS VAN AN KITCHEN GIFT PACK (8 SKUS + 1 TET CARD) X 5 BOXES IN CARTON</v>
          </cell>
          <cell r="C4246" t="str">
            <v>HỘP QUÀ BẾP VẠN AN HIỆU DHFOODS (8 LOẠI SẢN PHẨM + 1 THIỆP TẾT) X 5 HỘP ĐÓNG TRONG THÙNG CARTON</v>
          </cell>
          <cell r="D4246" t="str">
            <v>DHFOODS VAN AN KITCHEN GIFT PACK (8 SKUS + 1 TET CARD) X 5 BOXES IN CARTON</v>
          </cell>
          <cell r="E4246">
            <v>3.9</v>
          </cell>
          <cell r="F4246" t="str">
            <v>Chọn</v>
          </cell>
          <cell r="G4246"/>
          <cell r="H4246" t="str">
            <v>7.92599B6A0E1019901</v>
          </cell>
        </row>
        <row r="4247">
          <cell r="A4247" t="str">
            <v>7.92599B6A0E1019901</v>
          </cell>
          <cell r="B4247" t="str">
            <v>DHFOODS VAN AN KITCHEN GIFT PACK (8 SKUS + 1 TET CARD)</v>
          </cell>
          <cell r="C4247" t="str">
            <v>HỘP QUÀ BẾP VẠN AN HIỆU DHFOODS (8 LOẠI SẢN PHẨM + 1 THIỆP TẾT)</v>
          </cell>
          <cell r="D4247" t="str">
            <v>DHFOODS VAN AN KITCHEN GIFT PACK (8 SKUS + 1 TET CARD)</v>
          </cell>
          <cell r="E4247">
            <v>0.78</v>
          </cell>
          <cell r="F4247" t="str">
            <v>Chọn</v>
          </cell>
          <cell r="G4247"/>
          <cell r="H4247"/>
        </row>
        <row r="4248">
          <cell r="A4248" t="str">
            <v>7.92599B6A1E20199</v>
          </cell>
          <cell r="B4248" t="str">
            <v>DHFOODS VAN LOC KITCHEN GIFT PACK (12 SKUS + 1 TET CARD + 6 ANGPOWS) X 2 BOX IN CARTON</v>
          </cell>
          <cell r="C4248" t="str">
            <v>HỘP QUÀ BẾP VẠN LỘC HIỆU DHFOODS (12 LOẠI SẢN PHẨM + 1 THIỆP TẾT + 6 BAO LÌ XÌ) X 2 HỘP ĐÓNG TRONG THÙNG CARTON</v>
          </cell>
          <cell r="D4248" t="str">
            <v>DHFOODS VAN LOC KITCHEN GIFT PACK (12 SKUS + 1 TET CARD + 6 ANGPOWS) X 2 BOX IN CARTON</v>
          </cell>
          <cell r="E4248">
            <v>1.81</v>
          </cell>
          <cell r="F4248" t="str">
            <v>Chọn</v>
          </cell>
          <cell r="G4248"/>
          <cell r="H4248" t="str">
            <v>7.92599B6A1E2019901</v>
          </cell>
        </row>
        <row r="4249">
          <cell r="A4249" t="str">
            <v>7.92599B6A1E2019901</v>
          </cell>
          <cell r="B4249" t="str">
            <v>DHFOODS VAN LOC KITCHEN GIFT PACK (12 SKUS + 1 TET CARD + 6 ANGPOWS)</v>
          </cell>
          <cell r="C4249" t="str">
            <v>HỘP QUÀ BẾP VẠN LỘC HIỆU DHFOODS (12 LOẠI SẢN PHẨM + 1 THIỆP TẾT + 6 BAO LÌ XÌ)</v>
          </cell>
          <cell r="D4249" t="str">
            <v>DHFOODS VAN LOC KITCHEN GIFT PACK (12 SKUS + 1 TET CARD + 6 ANGPOWS)</v>
          </cell>
          <cell r="E4249">
            <v>0.90500000000000003</v>
          </cell>
          <cell r="F4249" t="str">
            <v>Chọn</v>
          </cell>
          <cell r="G4249"/>
          <cell r="H4249"/>
        </row>
        <row r="4250">
          <cell r="A4250" t="str">
            <v>V39.000.070</v>
          </cell>
          <cell r="B4250" t="str">
            <v>TEA SET 0.45 L IVORY WHITE WITH LOGO PRINTED</v>
          </cell>
          <cell r="C4250" t="str">
            <v>BỘ TRÀ 0.45 L ANH VŨ TRẮNG NGÀ IN LOGO</v>
          </cell>
          <cell r="D4250" t="str">
            <v>TEA SET 0.45 L IVORY WHITE WITH LOGO PRINTED</v>
          </cell>
          <cell r="E4250">
            <v>0</v>
          </cell>
          <cell r="F4250" t="str">
            <v>Chọn</v>
          </cell>
          <cell r="G4250"/>
          <cell r="H4250"/>
        </row>
        <row r="4251">
          <cell r="A4251" t="str">
            <v>V51.000.187</v>
          </cell>
          <cell r="B4251" t="str">
            <v>IPHONE 15 PRO MAX 256GB NATURAL TITANIUM</v>
          </cell>
          <cell r="C4251" t="str">
            <v>ĐIỆN THOẠI IPHONE 15 PRO MAX 256GB TITAN TỰ NHIÊN</v>
          </cell>
          <cell r="D4251" t="str">
            <v>IPHONE 15 PRO MAX 256GB NATURAL TITANIUM</v>
          </cell>
          <cell r="E4251">
            <v>0</v>
          </cell>
          <cell r="F4251" t="str">
            <v>Chọn</v>
          </cell>
          <cell r="G4251"/>
          <cell r="H4251"/>
        </row>
        <row r="4252">
          <cell r="A4252" t="str">
            <v>V51.000.188</v>
          </cell>
          <cell r="B4252" t="str">
            <v>SAMSUNG GALAXY TAB S9 FE 5G TABLET 8GB 128GB GRAY SM-X516</v>
          </cell>
          <cell r="C4252" t="str">
            <v>MÁY TÍNH BẢNG SAMSUNG GALAXY TAB S9 FE 5G 8GB 128GB XÁM SM-X516</v>
          </cell>
          <cell r="D4252" t="str">
            <v>SAMSUNG GALAXY TAB S9 FE 5G TABLET 8GB 128GB GRAY SM-X516</v>
          </cell>
          <cell r="E4252">
            <v>0</v>
          </cell>
          <cell r="F4252" t="str">
            <v>Chọn</v>
          </cell>
          <cell r="G4252"/>
          <cell r="H4252"/>
        </row>
        <row r="4253">
          <cell r="A4253" t="str">
            <v>7.705H1</v>
          </cell>
          <cell r="B4253" t="str">
            <v>SLES (SODIUM LAURYL ETHER SULFATE) IN JERRY CAN 1KG</v>
          </cell>
          <cell r="C4253" t="str">
            <v>SLES (SODIUM LAURYL ETHER SULFATE)-CHẤT HOẠT ĐỘNG BỀ MẶT, DẠNG ANION ĐÓNG TRONG CAN 1KG</v>
          </cell>
          <cell r="D4253" t="str">
            <v>SLES (SODIUM LAURYL ETHER SULFATE) IN JERRY CAN 1KG</v>
          </cell>
          <cell r="E4253">
            <v>1</v>
          </cell>
          <cell r="F4253" t="str">
            <v>Chọn</v>
          </cell>
          <cell r="G4253"/>
          <cell r="H4253"/>
        </row>
        <row r="4254">
          <cell r="A4254" t="str">
            <v>7.F390210990701B5</v>
          </cell>
          <cell r="B4254" t="str">
            <v>NPK WMCLV 16-16-8 IN BAG 50KG</v>
          </cell>
          <cell r="C4254" t="str">
            <v>NPK WMCLV 16-16-8 ĐÓNG TRONG BAO 50KG</v>
          </cell>
          <cell r="D4254" t="str">
            <v>NPK WMCLV 16-16-8 IN BAG 50KG</v>
          </cell>
          <cell r="E4254">
            <v>1</v>
          </cell>
          <cell r="F4254" t="str">
            <v>Chọn</v>
          </cell>
          <cell r="G4254"/>
          <cell r="H4254"/>
        </row>
        <row r="4255">
          <cell r="A4255" t="str">
            <v>7.F390210990701B6</v>
          </cell>
          <cell r="B4255" t="str">
            <v>NPK WMCLV 15-15-15 IN BAG 50KG</v>
          </cell>
          <cell r="C4255" t="str">
            <v>NPK WMCLV 15-15-15 ĐÓNG TRONG BAO 50KG</v>
          </cell>
          <cell r="D4255" t="str">
            <v>NPK WMCLV 15-15-15 IN BAG 50KG</v>
          </cell>
          <cell r="E4255">
            <v>1</v>
          </cell>
          <cell r="F4255" t="str">
            <v>Chọn</v>
          </cell>
          <cell r="G4255"/>
          <cell r="H4255"/>
        </row>
        <row r="4256">
          <cell r="A4256" t="str">
            <v>7.7042283028170000</v>
          </cell>
          <cell r="B4256" t="str">
            <v>POWER100 LD CHARMING FRENCH PERFUME@200G</v>
          </cell>
          <cell r="C4256" t="str">
            <v>NƯỚC GIẶT XẢ POWER100 HƯƠNG NƯỚC HOA PHÁP QUYẾN RŨ 200G</v>
          </cell>
          <cell r="D4256" t="str">
            <v>POWER100 LD CHARMING FRENCH PERFUME@200G</v>
          </cell>
          <cell r="E4256">
            <v>0.2</v>
          </cell>
          <cell r="F4256" t="str">
            <v>Chọn</v>
          </cell>
          <cell r="G4256"/>
          <cell r="H4256"/>
        </row>
        <row r="4257">
          <cell r="A4257" t="str">
            <v>7.704228302817000O</v>
          </cell>
          <cell r="B4257" t="str">
            <v>POWER100 LD CHARMINGFRENCH PF 200G*50BTL</v>
          </cell>
          <cell r="C4257" t="str">
            <v>NƯỚC GIẶT XẢ POWER100 HƯƠNG NƯỚC HOA PHÁP QUYẾN RŨ 200G*50</v>
          </cell>
          <cell r="D4257" t="str">
            <v>POWER100 LD CHARMINGFRENCH PF 200G*50BTL</v>
          </cell>
          <cell r="E4257">
            <v>10</v>
          </cell>
          <cell r="F4257" t="str">
            <v>Chọn</v>
          </cell>
          <cell r="G4257"/>
          <cell r="H4257" t="str">
            <v>7.7042283028170000</v>
          </cell>
        </row>
        <row r="4258">
          <cell r="A4258" t="str">
            <v>N04.0018006.00276</v>
          </cell>
          <cell r="B4258" t="str">
            <v>PROMOTIONAL STUFF,GIFT BOX</v>
          </cell>
          <cell r="C4258" t="str">
            <v>VỎ HỘP QUÀ TẾT BIG C 2024 - HỘP QUÀ LỚN</v>
          </cell>
          <cell r="D4258" t="str">
            <v>PROMOTIONAL STUFF,GIFT BOX</v>
          </cell>
          <cell r="E4258">
            <v>0</v>
          </cell>
          <cell r="F4258" t="str">
            <v>Chọn</v>
          </cell>
          <cell r="G4258"/>
          <cell r="H4258"/>
        </row>
        <row r="4259">
          <cell r="A4259" t="str">
            <v>N04.0018006.00275</v>
          </cell>
          <cell r="B4259" t="str">
            <v>PROMOTIONAL STUFF,GIFT BOX</v>
          </cell>
          <cell r="C4259" t="str">
            <v>VỎ HỘP QUÀ TẾT BIG C 2024 - HỘP QUÀ NHỎ</v>
          </cell>
          <cell r="D4259" t="str">
            <v>PROMOTIONAL STUFF,GIFT BOX</v>
          </cell>
          <cell r="E4259">
            <v>0</v>
          </cell>
          <cell r="F4259" t="str">
            <v>Chọn</v>
          </cell>
          <cell r="G4259"/>
          <cell r="H4259"/>
        </row>
        <row r="4260">
          <cell r="A4260" t="str">
            <v>V51.600.268</v>
          </cell>
          <cell r="B4260" t="str">
            <v>DUY TAN RECTANGULAR PLASTIC BASKET 2T2</v>
          </cell>
          <cell r="C4260" t="str">
            <v>RỔ NHỰA DUY TÂN CHỮ NHẬT 2T2</v>
          </cell>
          <cell r="D4260" t="str">
            <v>DUY TAN RECTANGULAR PLASTIC BASKET 2T2</v>
          </cell>
          <cell r="E4260">
            <v>1</v>
          </cell>
          <cell r="F4260" t="str">
            <v>Bỏ chọn</v>
          </cell>
          <cell r="G4260"/>
          <cell r="H4260"/>
        </row>
        <row r="4261">
          <cell r="A4261" t="str">
            <v>V51.600.269</v>
          </cell>
          <cell r="B4261" t="str">
            <v>STICKER FOR BASKET</v>
          </cell>
          <cell r="C4261" t="str">
            <v>NHÃN DÁN RỔ</v>
          </cell>
          <cell r="D4261" t="str">
            <v>STICKER FOR BASKET</v>
          </cell>
          <cell r="E4261">
            <v>0.01</v>
          </cell>
          <cell r="F4261" t="str">
            <v>Bỏ chọn</v>
          </cell>
          <cell r="G4261"/>
          <cell r="H4261"/>
        </row>
        <row r="4262">
          <cell r="A4262" t="str">
            <v>V39.000.071</v>
          </cell>
          <cell r="B4262" t="str">
            <v>TIVI LED SONY KD - 65X80L</v>
          </cell>
          <cell r="C4262" t="str">
            <v>TIVI LED SONY KD - 65X80L</v>
          </cell>
          <cell r="D4262" t="str">
            <v>TIVI LED SONY KD - 65X80L</v>
          </cell>
          <cell r="E4262">
            <v>33</v>
          </cell>
          <cell r="F4262" t="str">
            <v>Chọn</v>
          </cell>
          <cell r="G4262"/>
          <cell r="H4262"/>
        </row>
        <row r="4263">
          <cell r="A4263" t="str">
            <v>V39.000.072</v>
          </cell>
          <cell r="B4263" t="str">
            <v>DAIKIN 2-WAY AIR CONDITIONER ATHF35XVMV</v>
          </cell>
          <cell r="C4263" t="str">
            <v>MÁY ĐIỀU HÒA 2 CHIỀU DAIKIN ATHF35XVMV</v>
          </cell>
          <cell r="D4263" t="str">
            <v>DAIKIN 2-WAY AIR CONDITIONER ATHF35XVMV</v>
          </cell>
          <cell r="E4263">
            <v>33</v>
          </cell>
          <cell r="F4263" t="str">
            <v>Chọn</v>
          </cell>
          <cell r="G4263"/>
          <cell r="H4263"/>
        </row>
        <row r="4264">
          <cell r="A4264" t="str">
            <v>V39.000.073</v>
          </cell>
          <cell r="B4264" t="str">
            <v>DAIKIN AIR CONDITIONER ATKF35XVMV</v>
          </cell>
          <cell r="C4264" t="str">
            <v>MÁY LẠNH DAIKIN ATKF35XVMV</v>
          </cell>
          <cell r="D4264" t="str">
            <v>DAIKIN AIR CONDITIONER ATKF35XVMV</v>
          </cell>
          <cell r="E4264">
            <v>33</v>
          </cell>
          <cell r="F4264" t="str">
            <v>Chọn</v>
          </cell>
          <cell r="G4264"/>
          <cell r="H4264"/>
        </row>
        <row r="4265">
          <cell r="A4265" t="str">
            <v>7.B2508549995010522</v>
          </cell>
          <cell r="B4265" t="str">
            <v>PORK BOUILLON GRANULE 850G X 10 PAC ON PACK 10 BOT FERMENTED SOYA SAUCE 500ML / CAR</v>
          </cell>
          <cell r="C4265" t="str">
            <v>HẠT NÊM 4 TRONG 1 VỊ HEO 850G X 10 GÓI ĐÓNG KÈM 10 CHAI NƯỚC TƯƠNG NAM DƯƠNG ĐẬU NÀNH LÊN MEN TỰ NHIÊN 500ML / THÙNG</v>
          </cell>
          <cell r="D4265" t="str">
            <v>PORK BOUILLON GRANULE 850G X 10 PAC ON PACK 10 BOT FERMENTED SOYA SAUCE 500ML / CAR</v>
          </cell>
          <cell r="E4265">
            <v>8.5</v>
          </cell>
          <cell r="F4265" t="str">
            <v>Bỏ chọn</v>
          </cell>
          <cell r="G4265" t="str">
            <v>2000000008</v>
          </cell>
          <cell r="H4265" t="str">
            <v>7.B250854999501052201</v>
          </cell>
        </row>
        <row r="4266">
          <cell r="A4266" t="str">
            <v>7.B250854999501052201</v>
          </cell>
          <cell r="B4266" t="str">
            <v>PORK BOUILLON GRANULE 850G ON PACK 01 BOT FERMENTED SOYA SAUCE 500ML</v>
          </cell>
          <cell r="C4266" t="str">
            <v>HẠT NÊM 4 TRONG 1 VỊ HEO 850G ĐÓNG KÈM 01 CHAI NƯỚC TƯƠNG NAM DƯƠNG ĐẬU NÀNH LÊN MEN TỰ NHIÊN 500ML</v>
          </cell>
          <cell r="D4266" t="str">
            <v>PORK BOUILLON GRANULE 850G ON PACK 01 BOT FERMENTED SOYA SAUCE 500ML</v>
          </cell>
          <cell r="E4266">
            <v>0.85</v>
          </cell>
          <cell r="F4266" t="str">
            <v>Bỏ chọn</v>
          </cell>
          <cell r="G4266" t="str">
            <v>2000000008</v>
          </cell>
          <cell r="H4266"/>
        </row>
        <row r="4267">
          <cell r="A4267" t="str">
            <v>V51.600.267</v>
          </cell>
          <cell r="B4267" t="str">
            <v>POWER100 SPONGE SCOURING PAD</v>
          </cell>
          <cell r="C4267" t="str">
            <v>MIẾNG CƯỚC RỬA CHÉN POWER100</v>
          </cell>
          <cell r="D4267" t="str">
            <v>POWER100 SPONGE SCOURING PAD</v>
          </cell>
          <cell r="E4267">
            <v>0.1</v>
          </cell>
          <cell r="F4267" t="str">
            <v>Bỏ chọn</v>
          </cell>
          <cell r="G4267"/>
          <cell r="H4267"/>
        </row>
        <row r="4268">
          <cell r="A4268" t="str">
            <v>7.A42090899610199</v>
          </cell>
          <cell r="B4268" t="str">
            <v>MEIZAN RICE VERMICELLI 300G X 24 PACK</v>
          </cell>
          <cell r="C4268" t="str">
            <v>BÚN TƯƠI MEIZAN 300G X 24 GÓI</v>
          </cell>
          <cell r="D4268" t="str">
            <v>MEIZAN RICE VERMICELLI 300G X 24 PACK</v>
          </cell>
          <cell r="E4268">
            <v>7.2</v>
          </cell>
          <cell r="F4268" t="str">
            <v>Bỏ chọn</v>
          </cell>
          <cell r="G4268"/>
          <cell r="H4268"/>
        </row>
        <row r="4269">
          <cell r="A4269" t="str">
            <v>7.A4209089961019901</v>
          </cell>
          <cell r="B4269" t="str">
            <v>MEIZAN RICE VERMICELLI 300G</v>
          </cell>
          <cell r="C4269" t="str">
            <v>BÚN TƯƠI MEIZAN 300G</v>
          </cell>
          <cell r="D4269" t="str">
            <v>MEIZAN RICE VERMICELLI 300G</v>
          </cell>
          <cell r="E4269">
            <v>0.3</v>
          </cell>
          <cell r="F4269" t="str">
            <v>Bỏ chọn</v>
          </cell>
          <cell r="G4269"/>
          <cell r="H4269"/>
        </row>
        <row r="4270">
          <cell r="A4270" t="str">
            <v>7.52218702C261901</v>
          </cell>
          <cell r="B4270" t="str">
            <v>28 NOODLESFLPRO10.2-12GLU27.5 PPBAG@25KG</v>
          </cell>
          <cell r="C4270" t="str">
            <v>BỘT MÌ 28 25KG</v>
          </cell>
          <cell r="D4270" t="str">
            <v>28 NOODLESFLPRO10.2-12GLU27.5 PPBAG@25KG</v>
          </cell>
          <cell r="E4270">
            <v>25</v>
          </cell>
          <cell r="F4270" t="str">
            <v>Chọn</v>
          </cell>
          <cell r="G4270"/>
          <cell r="H4270"/>
        </row>
        <row r="4271">
          <cell r="A4271" t="str">
            <v>7.705H2</v>
          </cell>
          <cell r="B4271" t="str">
            <v>DISTILLED MONOGLYCERIDE (PRODUCT CODE : DMG-CF01)</v>
          </cell>
          <cell r="C4271" t="str">
            <v>PHỤ GIA THỰC PHẨM MONOGLYCERID CHƯNG CẤT (DMG-CF01); BAO 25KG</v>
          </cell>
          <cell r="D4271" t="str">
            <v>DISTILLED MONOGLYCERIDE (PRODUCT CODE : DMG-CF01)</v>
          </cell>
          <cell r="E4271">
            <v>1</v>
          </cell>
          <cell r="F4271" t="str">
            <v>Chọn</v>
          </cell>
          <cell r="G4271"/>
          <cell r="H4271"/>
        </row>
        <row r="4272">
          <cell r="A4272" t="str">
            <v>7.5221340207X1901</v>
          </cell>
          <cell r="B4272" t="str">
            <v>BLUECOMPASS CRACKER FLOUR 555 PPBAG@25KG</v>
          </cell>
          <cell r="C4272" t="str">
            <v>BỘT MÌ HIỆU LA BÀN XANH - 555 25KG</v>
          </cell>
          <cell r="D4272" t="str">
            <v>BLUECOMPASS CRACKER FLOUR 555 PPBAG@25KG</v>
          </cell>
          <cell r="E4272">
            <v>25</v>
          </cell>
          <cell r="F4272" t="str">
            <v>Chọn</v>
          </cell>
          <cell r="G4272"/>
          <cell r="H4272"/>
        </row>
        <row r="4273">
          <cell r="A4273" t="str">
            <v>7.522134022371901</v>
          </cell>
          <cell r="B4273" t="str">
            <v>BLUECOMPASS GP FLOUR 666 LAOS PPBAG@25KG</v>
          </cell>
          <cell r="C4273" t="str">
            <v>BỘT MÌ HIỆU LA BÀN XANH – 666 (TIẾNG LÀO) 25KG</v>
          </cell>
          <cell r="D4273" t="str">
            <v>BLUECOMPASS GP FLOUR 666 LAOS PPBAG@25KG</v>
          </cell>
          <cell r="E4273">
            <v>25</v>
          </cell>
          <cell r="F4273" t="str">
            <v>Chọn</v>
          </cell>
          <cell r="G4273"/>
          <cell r="H4273"/>
        </row>
        <row r="4274">
          <cell r="A4274" t="str">
            <v>7.522134022381901</v>
          </cell>
          <cell r="B4274" t="str">
            <v>BLUECOMPASS WETSNACKFLOUR 888 PPBAG@25KG</v>
          </cell>
          <cell r="C4274" t="str">
            <v>BỘT MÌ HIỆU LA BÀN XANH - 888 25KG</v>
          </cell>
          <cell r="D4274" t="str">
            <v>BLUECOMPASS WETSNACKFLOUR 888 PPBAG@25KG</v>
          </cell>
          <cell r="E4274">
            <v>25</v>
          </cell>
          <cell r="F4274" t="str">
            <v>Chọn</v>
          </cell>
          <cell r="G4274"/>
          <cell r="H4274"/>
        </row>
        <row r="4275">
          <cell r="A4275" t="str">
            <v>7.522134022391901</v>
          </cell>
          <cell r="B4275" t="str">
            <v>BLUECOMPASS DRYSNACKFLOUR 333 PPBAG@25KG</v>
          </cell>
          <cell r="C4275" t="str">
            <v>BỘT MÌ HIỆU LA BÀN XANH - 333 25KG</v>
          </cell>
          <cell r="D4275" t="str">
            <v>BLUECOMPASS DRYSNACKFLOUR 333 PPBAG@25KG</v>
          </cell>
          <cell r="E4275">
            <v>25</v>
          </cell>
          <cell r="F4275" t="str">
            <v>Chọn</v>
          </cell>
          <cell r="G4275"/>
          <cell r="H4275"/>
        </row>
        <row r="4276">
          <cell r="A4276" t="str">
            <v>V51.000.189</v>
          </cell>
          <cell r="B4276" t="str">
            <v>BROCHURE</v>
          </cell>
          <cell r="C4276" t="str">
            <v>CUỐN GIỚI THIỆU SẢN PHẨM</v>
          </cell>
          <cell r="D4276" t="str">
            <v>BROCHURE</v>
          </cell>
          <cell r="E4276">
            <v>0</v>
          </cell>
          <cell r="F4276" t="str">
            <v>Chọn</v>
          </cell>
          <cell r="G4276"/>
          <cell r="H4276"/>
        </row>
        <row r="4277">
          <cell r="A4277" t="str">
            <v>7.B240223996701B899</v>
          </cell>
          <cell r="B4277" t="str">
            <v>SACHET CHILI 10G (KFC) X 1.000 PCH/ CAR</v>
          </cell>
          <cell r="C4277" t="str">
            <v>TƯƠNG ỚT TÚI 10G (KFC) X 1.000 TÚI/ THÙNG</v>
          </cell>
          <cell r="D4277" t="str">
            <v>SACHET CHILI 10G (KFC) X 1.000 PCH/ CAR</v>
          </cell>
          <cell r="E4277">
            <v>10</v>
          </cell>
          <cell r="F4277" t="str">
            <v>Bỏ chọn</v>
          </cell>
          <cell r="G4277"/>
          <cell r="H4277"/>
        </row>
        <row r="4278">
          <cell r="A4278" t="str">
            <v>7.B240223996701B89901</v>
          </cell>
          <cell r="B4278" t="str">
            <v>SACHET CHILI 10G (KFC)</v>
          </cell>
          <cell r="C4278" t="str">
            <v>TƯƠNG ỚT TÚI 10G (KFC)</v>
          </cell>
          <cell r="D4278" t="str">
            <v>SACHET CHILI 10G (KFC)</v>
          </cell>
          <cell r="E4278">
            <v>0.01</v>
          </cell>
          <cell r="F4278" t="str">
            <v>Bỏ chọn</v>
          </cell>
          <cell r="G4278"/>
          <cell r="H4278"/>
        </row>
        <row r="4279">
          <cell r="A4279" t="str">
            <v>7.B240723996701B899</v>
          </cell>
          <cell r="B4279" t="str">
            <v>SACHET KETCHUP 10G (KFC) X 1.000 PCH/ CAR</v>
          </cell>
          <cell r="C4279" t="str">
            <v>TƯƠNG CÀ TÚI 10G (KFC) X 1.000 TÚI/ THÙNG</v>
          </cell>
          <cell r="D4279" t="str">
            <v>SACHET KETCHUP 10G (KFC) X 1.000 PCH/ CAR</v>
          </cell>
          <cell r="E4279">
            <v>10</v>
          </cell>
          <cell r="F4279" t="str">
            <v>Bỏ chọn</v>
          </cell>
          <cell r="G4279"/>
          <cell r="H4279"/>
        </row>
        <row r="4280">
          <cell r="A4280" t="str">
            <v>7.B240723996701B89901</v>
          </cell>
          <cell r="B4280" t="str">
            <v>SACHET KETCHUP 10G (KFC)</v>
          </cell>
          <cell r="C4280" t="str">
            <v>TƯƠNG CÀ TÚI 10G (KFC)</v>
          </cell>
          <cell r="D4280" t="str">
            <v>SACHET KETCHUP 10G (KFC)</v>
          </cell>
          <cell r="E4280">
            <v>0.01</v>
          </cell>
          <cell r="F4280" t="str">
            <v>Bỏ chọn</v>
          </cell>
          <cell r="G4280"/>
          <cell r="H4280"/>
        </row>
        <row r="4281">
          <cell r="A4281" t="str">
            <v>7.131087286002H10TD</v>
          </cell>
          <cell r="B4281" t="str">
            <v>NEPTUNE LIGHT TET GIFT PACK 1L X 2 BTL</v>
          </cell>
          <cell r="C4281" t="str">
            <v>DẦU ĂN THƯỢNG HẠNG HIỆU NEPTUNE LIGHT 1L (2 CHAI/ HỘP)</v>
          </cell>
          <cell r="D4281" t="str">
            <v>NEPTUNE LIGHT TET GIFT PACK 1L X 2 BTL</v>
          </cell>
          <cell r="E4281">
            <v>1.82</v>
          </cell>
          <cell r="F4281" t="str">
            <v>Bỏ chọn</v>
          </cell>
          <cell r="G4281"/>
          <cell r="H4281"/>
        </row>
        <row r="4282">
          <cell r="A4282" t="str">
            <v>7.H4101B899E301</v>
          </cell>
          <cell r="B4282" t="str">
            <v>PASEO TOILET PAPER 3PLY 6 ROLLS X 8 PCS IN CARTON</v>
          </cell>
          <cell r="C4282" t="str">
            <v>GIẤY VỆ SINH PASEO 6 CUỘN 3 LỚP X 8 LỐC TRONG THÙNG CARTON</v>
          </cell>
          <cell r="D4282" t="str">
            <v>PASEO TOILET PAPER 3PLY 6 ROLLS X 8 PCS IN CARTON</v>
          </cell>
          <cell r="E4282">
            <v>6.8719999999999999</v>
          </cell>
          <cell r="F4282" t="str">
            <v>Chọn</v>
          </cell>
          <cell r="G4282"/>
          <cell r="H4282" t="str">
            <v>7.H4101B899E30101</v>
          </cell>
        </row>
        <row r="4283">
          <cell r="A4283" t="str">
            <v>7.H4101B899E30101</v>
          </cell>
          <cell r="B4283" t="str">
            <v>PASEO TOILET PAPER 3PLY 6 ROLLS</v>
          </cell>
          <cell r="C4283" t="str">
            <v>GIẤY VỆ SINH PASEO 6 CUỘN 3 LỚP</v>
          </cell>
          <cell r="D4283" t="str">
            <v>PASEO TOILET PAPER 3PLY 6 ROLLS</v>
          </cell>
          <cell r="E4283">
            <v>0.85899999999999999</v>
          </cell>
          <cell r="F4283" t="str">
            <v>Chọn</v>
          </cell>
          <cell r="G4283"/>
          <cell r="H4283"/>
        </row>
        <row r="4284">
          <cell r="A4284" t="str">
            <v>7.H4102B8991901</v>
          </cell>
          <cell r="B4284" t="str">
            <v>PASEO FACIAL TISSUE 2 PLY 250 SHEETS SOFT PACK X 40 PCS IN CARTON</v>
          </cell>
          <cell r="C4284" t="str">
            <v>KHĂN GIẤY LAU MẶT PASEO 250 TỜ 2 LỚP X 40 GÓI TRONG THÙNG CARTON</v>
          </cell>
          <cell r="D4284" t="str">
            <v>PASEO FACIAL TISSUE 2 PLY 250 SHEETS SOFT PACK X 40 PCS IN CARTON</v>
          </cell>
          <cell r="E4284">
            <v>11.805</v>
          </cell>
          <cell r="F4284" t="str">
            <v>Chọn</v>
          </cell>
          <cell r="G4284"/>
          <cell r="H4284" t="str">
            <v>7.H4102B899190101</v>
          </cell>
        </row>
        <row r="4285">
          <cell r="A4285" t="str">
            <v>7.H4102B899190101</v>
          </cell>
          <cell r="B4285" t="str">
            <v>PASEO FACIAL TISSUE 2 PLY 250 SHEETS SOFT PACK</v>
          </cell>
          <cell r="C4285" t="str">
            <v>KHĂN GIẤY LAU MẶT PASEO 250 TỜ 2 LỚP</v>
          </cell>
          <cell r="D4285" t="str">
            <v>PASEO FACIAL TISSUE 2 PLY 250 SHEETS SOFT PACK</v>
          </cell>
          <cell r="E4285">
            <v>0.29499999999999998</v>
          </cell>
          <cell r="F4285" t="str">
            <v>Chọn</v>
          </cell>
          <cell r="G4285"/>
          <cell r="H4285"/>
        </row>
        <row r="4286">
          <cell r="A4286" t="str">
            <v>7.H4102B999E401</v>
          </cell>
          <cell r="B4286" t="str">
            <v>NICE FACIAL TISSUE 2 PLY 220 SHEETS SOFT PACK X 48 PCS IN CARTON</v>
          </cell>
          <cell r="C4286" t="str">
            <v>KHĂN GIẤY LAU MẶT NICE 220 TỜ 2 LỚP X 48 GÓI TRONG THÙNG CARTON</v>
          </cell>
          <cell r="D4286" t="str">
            <v>NICE FACIAL TISSUE 2 PLY 220 SHEETS SOFT PACK X 48 PCS IN CARTON</v>
          </cell>
          <cell r="E4286">
            <v>11.714</v>
          </cell>
          <cell r="F4286" t="str">
            <v>Chọn</v>
          </cell>
          <cell r="G4286"/>
          <cell r="H4286" t="str">
            <v>7.H4102B999E40101</v>
          </cell>
        </row>
        <row r="4287">
          <cell r="A4287" t="str">
            <v>7.H4102B999E40101</v>
          </cell>
          <cell r="B4287" t="str">
            <v>NICE FACIAL TISSUE 2 PLY 220 SHEETS SOFT PACK</v>
          </cell>
          <cell r="C4287" t="str">
            <v>KHĂN GIẤY LAU MẶT NICE 220 TỜ 2 LỚP</v>
          </cell>
          <cell r="D4287" t="str">
            <v>NICE FACIAL TISSUE 2 PLY 220 SHEETS SOFT PACK</v>
          </cell>
          <cell r="E4287">
            <v>0.24399999999999999</v>
          </cell>
          <cell r="F4287" t="str">
            <v>Chọn</v>
          </cell>
          <cell r="G4287"/>
          <cell r="H4287"/>
        </row>
        <row r="4288">
          <cell r="A4288" t="str">
            <v>7.H4101B9A2E501</v>
          </cell>
          <cell r="B4288" t="str">
            <v>NICE MEGA TOILET PAPER 2 PLY 2 38M 8 ROLLS X 12 PCS IN CARTON</v>
          </cell>
          <cell r="C4288" t="str">
            <v>GIẤY VỆ SINH NICE MEGA 8 CUỘN 2 LỚP 38M X 12 LỐC TRONG THÙNG CARTON</v>
          </cell>
          <cell r="D4288" t="str">
            <v>NICE MEGA TOILET PAPER 2 PLY 2 38M 8 ROLLS X 12 PCS IN CARTON</v>
          </cell>
          <cell r="E4288">
            <v>10.459</v>
          </cell>
          <cell r="F4288" t="str">
            <v>Chọn</v>
          </cell>
          <cell r="G4288"/>
          <cell r="H4288" t="str">
            <v>7.H4101B9A2E50101</v>
          </cell>
        </row>
        <row r="4289">
          <cell r="A4289" t="str">
            <v>7.H4101B9A2E50101</v>
          </cell>
          <cell r="B4289" t="str">
            <v>NICE MEGA TOILET PAPER 2 PLY 2 38M 8 ROLLS</v>
          </cell>
          <cell r="C4289" t="str">
            <v>GIẤY VỆ SINH NICE MEGA 8 CUỘN 2 LỚP 38M</v>
          </cell>
          <cell r="D4289" t="str">
            <v>NICE MEGA TOILET PAPER 2 PLY 2 38M 8 ROLLS</v>
          </cell>
          <cell r="E4289">
            <v>0.872</v>
          </cell>
          <cell r="F4289" t="str">
            <v>Chọn</v>
          </cell>
          <cell r="G4289"/>
          <cell r="H4289"/>
        </row>
        <row r="4290">
          <cell r="A4290" t="str">
            <v>7.H4101B999E601</v>
          </cell>
          <cell r="B4290" t="str">
            <v>NICE TOILET PAPER 2 PLY 2 16M 8 ROLLS X 20 PCS IN CARTON</v>
          </cell>
          <cell r="C4290" t="str">
            <v>GIẤY VỆ SINH NICE 8 CUỘN 2 LỚP 16M X 20 LỐC TRONG THÙNG CARTON</v>
          </cell>
          <cell r="D4290" t="str">
            <v>NICE TOILET PAPER 2 PLY 2 16M 8 ROLLS X 20 PCS IN CARTON</v>
          </cell>
          <cell r="E4290">
            <v>7.2469999999999999</v>
          </cell>
          <cell r="F4290" t="str">
            <v>Chọn</v>
          </cell>
          <cell r="G4290"/>
          <cell r="H4290" t="str">
            <v>7.H4101B999E70101</v>
          </cell>
        </row>
        <row r="4291">
          <cell r="A4291" t="str">
            <v>7.H4101B999E70101</v>
          </cell>
          <cell r="B4291" t="str">
            <v>NICE TOILET PAPER 2 PLY 2 16M 8 ROLLS</v>
          </cell>
          <cell r="C4291" t="str">
            <v>GIẤY VỆ SINH NICE 8 CUỘN 2 LỚP 16M</v>
          </cell>
          <cell r="D4291" t="str">
            <v>NICE TOILET PAPER 2 PLY 2 16M 8 ROLLS</v>
          </cell>
          <cell r="E4291">
            <v>0.36199999999999999</v>
          </cell>
          <cell r="F4291" t="str">
            <v>Chọn</v>
          </cell>
          <cell r="G4291"/>
          <cell r="H4291"/>
        </row>
        <row r="4292">
          <cell r="A4292" t="str">
            <v>7.H4103B999E701</v>
          </cell>
          <cell r="B4292" t="str">
            <v>NICE NAPKIN 100 SHEETS 1PLY SOFT PACK X 48 PCS IN CARTON</v>
          </cell>
          <cell r="C4292" t="str">
            <v>KHĂN ĂN NICE 100 TỜ 1 LỚP X 48 GÓI TRONG THÙNG CARTON</v>
          </cell>
          <cell r="D4292" t="str">
            <v>NICE NAPKIN 100 SHEETS 1PLY SOFT PACK X 48 PCS IN CARTON</v>
          </cell>
          <cell r="E4292">
            <v>8.42</v>
          </cell>
          <cell r="F4292" t="str">
            <v>Chọn</v>
          </cell>
          <cell r="G4292"/>
          <cell r="H4292" t="str">
            <v>7.H4103B999E70101</v>
          </cell>
        </row>
        <row r="4293">
          <cell r="A4293" t="str">
            <v>7.H4103B999E70101</v>
          </cell>
          <cell r="B4293" t="str">
            <v>NICE NAPKIN 100 SHEETS 1PLY SOFT PACK</v>
          </cell>
          <cell r="C4293" t="str">
            <v>KHĂN ĂN NICE 100 TỜ 1 LỚP</v>
          </cell>
          <cell r="D4293" t="str">
            <v>NICE NAPKIN 100 SHEETS 1PLY SOFT PACK</v>
          </cell>
          <cell r="E4293">
            <v>0.17499999999999999</v>
          </cell>
          <cell r="F4293" t="str">
            <v>Chọn</v>
          </cell>
          <cell r="G4293"/>
          <cell r="H4293"/>
        </row>
        <row r="4294">
          <cell r="A4294" t="str">
            <v>6.7064024</v>
          </cell>
          <cell r="B4294" t="str">
            <v>REFINED GLYCERINE (TECHNICAL GRADE)</v>
          </cell>
          <cell r="C4294" t="str">
            <v>GLYXERIN TIÊU CHUẨN CÔNG NGHIỆP</v>
          </cell>
          <cell r="D4294" t="str">
            <v>REFINED GLYCERINE (TECHNICAL GRADE)</v>
          </cell>
          <cell r="E4294">
            <v>1</v>
          </cell>
          <cell r="F4294" t="str">
            <v>Chọn</v>
          </cell>
          <cell r="G4294"/>
          <cell r="H4294"/>
        </row>
        <row r="4295">
          <cell r="A4295" t="str">
            <v>V51.000.190</v>
          </cell>
          <cell r="B4295" t="str">
            <v>VINID GIFTCARD 50.000</v>
          </cell>
          <cell r="C4295" t="str">
            <v>THẺ QUÀ TẶNG VINID GIFTCARD 50.000</v>
          </cell>
          <cell r="D4295" t="str">
            <v>VINID GIFTCARD 50.000</v>
          </cell>
          <cell r="E4295">
            <v>0</v>
          </cell>
          <cell r="F4295" t="str">
            <v>Chọn</v>
          </cell>
          <cell r="G4295"/>
          <cell r="H4295"/>
        </row>
        <row r="4296">
          <cell r="A4296" t="str">
            <v>V51.000.191</v>
          </cell>
          <cell r="B4296" t="str">
            <v>VINID GIFTCARD 100.000</v>
          </cell>
          <cell r="C4296" t="str">
            <v>THẺ QUÀ TẶNG VINID GIFTCARD 100.000</v>
          </cell>
          <cell r="D4296" t="str">
            <v>VINID GIFTCARD 100.000</v>
          </cell>
          <cell r="E4296">
            <v>0</v>
          </cell>
          <cell r="F4296" t="str">
            <v>Chọn</v>
          </cell>
          <cell r="G4296"/>
          <cell r="H4296"/>
        </row>
        <row r="4297">
          <cell r="A4297" t="str">
            <v>V51.000.192</v>
          </cell>
          <cell r="B4297" t="str">
            <v>VINID GIFTCARD 300.000</v>
          </cell>
          <cell r="C4297" t="str">
            <v>THẺ QUÀ TẶNG VINID GIFTCARD 300.000</v>
          </cell>
          <cell r="D4297" t="str">
            <v>VINID GIFTCARD 300.000</v>
          </cell>
          <cell r="E4297">
            <v>0</v>
          </cell>
          <cell r="F4297" t="str">
            <v>Chọn</v>
          </cell>
          <cell r="G4297"/>
          <cell r="H4297"/>
        </row>
        <row r="4298">
          <cell r="A4298" t="str">
            <v>V51.000.193</v>
          </cell>
          <cell r="B4298" t="str">
            <v>VINID GIFTCARD 500.000</v>
          </cell>
          <cell r="C4298" t="str">
            <v>THẺ QUÀ TẶNG VINID GIFTCARD 500.000</v>
          </cell>
          <cell r="D4298" t="str">
            <v>VINID GIFTCARD 500.000</v>
          </cell>
          <cell r="E4298">
            <v>0</v>
          </cell>
          <cell r="F4298" t="str">
            <v>Chọn</v>
          </cell>
          <cell r="G4298"/>
          <cell r="H4298"/>
        </row>
        <row r="4299">
          <cell r="A4299" t="str">
            <v>7.704228P537170000</v>
          </cell>
          <cell r="B4299" t="str">
            <v>POWER100 LD CHARMINGFRENCH PERFUME@3.2KG</v>
          </cell>
          <cell r="C4299" t="str">
            <v>NƯỚC GIẶT XẢ POWER100 HƯƠNG NƯỚC HOA PHÁP QUYẾN RŨ 3.2KG</v>
          </cell>
          <cell r="D4299" t="str">
            <v>POWER100 LD CHARMINGFRENCH PERFUME@3.2KG</v>
          </cell>
          <cell r="E4299">
            <v>3.2</v>
          </cell>
          <cell r="F4299" t="str">
            <v>Chọn</v>
          </cell>
          <cell r="G4299"/>
          <cell r="H4299"/>
        </row>
        <row r="4300">
          <cell r="A4300" t="str">
            <v>7.704228P53717000H</v>
          </cell>
          <cell r="B4300" t="str">
            <v>POWER100 LD CHARMINGFRENCH PF 3.2KG*4PCH</v>
          </cell>
          <cell r="C4300" t="str">
            <v>NƯỚC GIẶT XẢ POWER100 HƯƠNG NƯỚC HOA PHÁP QUYẾN RŨ 3.2KG*4</v>
          </cell>
          <cell r="D4300" t="str">
            <v>POWER100 LD CHARMINGFRENCH PF 3.2KG*4PCH</v>
          </cell>
          <cell r="E4300">
            <v>12.8</v>
          </cell>
          <cell r="F4300" t="str">
            <v>Chọn</v>
          </cell>
          <cell r="G4300"/>
          <cell r="H4300" t="str">
            <v>7.704228P537170000</v>
          </cell>
        </row>
        <row r="4301">
          <cell r="A4301" t="str">
            <v>7.704228N528170019</v>
          </cell>
          <cell r="B4301" t="str">
            <v>POWER100 LDCHARMINGFRENCHPERFUME9KG*2BTL</v>
          </cell>
          <cell r="C4301" t="str">
            <v>NƯỚC GIẶT XẢ POWER100 HƯƠNG NƯỚC HOA PHÁP QUYẾN RŨ 9.0KG*2</v>
          </cell>
          <cell r="D4301" t="str">
            <v>POWER100 LDCHARMINGFRENCHPERFUME9KG*2BTL</v>
          </cell>
          <cell r="E4301">
            <v>18</v>
          </cell>
          <cell r="F4301" t="str">
            <v>Chọn</v>
          </cell>
          <cell r="G4301"/>
          <cell r="H4301" t="str">
            <v>7.704228N528170000</v>
          </cell>
        </row>
        <row r="4302">
          <cell r="A4302" t="str">
            <v>7.704228N528170000</v>
          </cell>
          <cell r="B4302" t="str">
            <v>POWER100 LD CHARMING FRENCH PERFUME @9.0KG</v>
          </cell>
          <cell r="C4302" t="str">
            <v>NƯỚC GIẶT XẢ POWER100 HƯƠNG NƯỚC HOA PHÁP QUYẾN RŨ 9.0KG</v>
          </cell>
          <cell r="D4302" t="str">
            <v>POWER100 LD CHARMING FRENCH PERFUME @9.0KG</v>
          </cell>
          <cell r="E4302">
            <v>9</v>
          </cell>
          <cell r="F4302" t="str">
            <v>Chọn</v>
          </cell>
          <cell r="G4302"/>
          <cell r="H4302"/>
        </row>
        <row r="4303">
          <cell r="A4303" t="str">
            <v>V51.00A.072</v>
          </cell>
          <cell r="B4303" t="str">
            <v>MEIZAN MACARONI - PREMIX HANGER</v>
          </cell>
          <cell r="C4303" t="str">
            <v>MÓC TREO CÁC SẢN PHẨM NUI - BỘT (MEIZAN)</v>
          </cell>
          <cell r="D4303" t="str">
            <v>MEIZAN MACARONI - PREMIX HANGER</v>
          </cell>
          <cell r="E4303">
            <v>2.7E-2</v>
          </cell>
          <cell r="F4303" t="str">
            <v>Bỏ chọn</v>
          </cell>
          <cell r="G4303"/>
          <cell r="H4303"/>
        </row>
        <row r="4304">
          <cell r="A4304" t="str">
            <v>7.705H3</v>
          </cell>
          <cell r="B4304" t="str">
            <v>DODIGEN 2808 IN BAG 1KG</v>
          </cell>
          <cell r="C4304" t="str">
            <v>DODIGEN 2808 - CHẤT HỮU CƠ HOẠT ĐỘNG BỀ MẶT DẠNG CATION, DÙNG CHO SẢN XUẤT NƯỚC LAU SÀN, NƯỚC RỬA CHÉN ĐÓNG BAO 1KG</v>
          </cell>
          <cell r="D4304" t="str">
            <v>DODIGEN 2808 IN BAG 1KG</v>
          </cell>
          <cell r="E4304">
            <v>1</v>
          </cell>
          <cell r="F4304" t="str">
            <v>Chọn</v>
          </cell>
          <cell r="G4304"/>
          <cell r="H4304"/>
        </row>
        <row r="4305">
          <cell r="A4305" t="str">
            <v>7.705H4</v>
          </cell>
          <cell r="B4305" t="str">
            <v>DODIGEN 1711 IN BAG 1KG</v>
          </cell>
          <cell r="C4305" t="str">
            <v>DODIGEN 1711 - CHẤT HỮU CƠ HOẠT ĐỘNG BỀ MẶT DẠNG CATION, DÙNG CHO SẢN XUẤT NƯỚC LAU SÀN, NƯỚC RỬA CHÉN ĐÓNG BAO 1KG</v>
          </cell>
          <cell r="D4305" t="str">
            <v>DODIGEN 1711 IN BAG 1KG</v>
          </cell>
          <cell r="E4305">
            <v>1</v>
          </cell>
          <cell r="F4305" t="str">
            <v>Chọn</v>
          </cell>
          <cell r="G4305"/>
          <cell r="H4305"/>
        </row>
        <row r="4306">
          <cell r="A4306" t="str">
            <v>7.B25085499520105</v>
          </cell>
          <cell r="B4306" t="str">
            <v>PORK BOUILLON GRANULE 200G X 40 PAC/ CAR</v>
          </cell>
          <cell r="C4306" t="str">
            <v>HẠT NÊM 4 TRONG 1 VỊ HEO 200G X 40 GÓI/ THÙNG</v>
          </cell>
          <cell r="D4306" t="str">
            <v>PORK BOUILLON GRANULE 200G X 40 PAC/ CAR</v>
          </cell>
          <cell r="E4306">
            <v>8</v>
          </cell>
          <cell r="F4306" t="str">
            <v>Bỏ chọn</v>
          </cell>
          <cell r="G4306"/>
          <cell r="H4306"/>
        </row>
        <row r="4307">
          <cell r="A4307" t="str">
            <v>7.705H5</v>
          </cell>
          <cell r="B4307" t="str">
            <v>MEDIUM CHAIN TRIGLYCERIDES (WILFARESTER MCT 7030) IN FLEXIBAG</v>
          </cell>
          <cell r="C4307" t="str">
            <v>DẦU ĂN MẠCH TRUNG BÌNH WILFARESTER MCT 7030 ĐÓNG TRONG TÚI FLEXIBAG</v>
          </cell>
          <cell r="D4307" t="str">
            <v>MEDIUM CHAIN TRIGLYCERIDES (WILFARESTER MCT 7030) IN FLEXIBAG</v>
          </cell>
          <cell r="E4307">
            <v>1</v>
          </cell>
          <cell r="F4307" t="str">
            <v>Chọn</v>
          </cell>
          <cell r="G4307"/>
          <cell r="H4307"/>
        </row>
        <row r="4308">
          <cell r="A4308" t="str">
            <v>7.5221230107Q2701</v>
          </cell>
          <cell r="B4308" t="str">
            <v>GREENKEY CAKE FLOUR 111 7.5-11%PEBAG@5KG</v>
          </cell>
          <cell r="C4308" t="str">
            <v>BỘT MÌ HIỆU CHÌA KHÓA XANH LÁ - 111 5KG</v>
          </cell>
          <cell r="D4308" t="str">
            <v>GREENKEY CAKE FLOUR 111 7.5-11%PEBAG@5KG</v>
          </cell>
          <cell r="E4308">
            <v>5</v>
          </cell>
          <cell r="F4308" t="str">
            <v>Chọn</v>
          </cell>
          <cell r="G4308"/>
          <cell r="H4308"/>
        </row>
        <row r="4309">
          <cell r="A4309" t="str">
            <v>7.52217602C281901</v>
          </cell>
          <cell r="B4309" t="str">
            <v>YELLOWCOMPASSBREADFLLAOSPRO10 PPBAG@25KG</v>
          </cell>
          <cell r="C4309" t="str">
            <v>BỘT MÌ HIỆU LA BÀN VÀNG (TIẾNG LÀO) 25KG</v>
          </cell>
          <cell r="D4309" t="str">
            <v>YELLOWCOMPASSBREADFLLAOSPRO10 PPBAG@25KG</v>
          </cell>
          <cell r="E4309">
            <v>25</v>
          </cell>
          <cell r="F4309" t="str">
            <v>Chọn</v>
          </cell>
          <cell r="G4309"/>
          <cell r="H4309"/>
        </row>
        <row r="4310">
          <cell r="A4310" t="str">
            <v>7.52211402C291901</v>
          </cell>
          <cell r="B4310" t="str">
            <v>BLUE KEY NOODLEFL LAOS INS928 PPBAG@25KG</v>
          </cell>
          <cell r="C4310" t="str">
            <v>BỘT MÌ HIỆU CHÌA KHÓA XANH MÌ SỢI (TIẾNG LÀO) 25KG</v>
          </cell>
          <cell r="D4310" t="str">
            <v>BLUE KEY NOODLEFL LAOS INS928 PPBAG@25KG</v>
          </cell>
          <cell r="E4310">
            <v>25</v>
          </cell>
          <cell r="F4310" t="str">
            <v>Chọn</v>
          </cell>
          <cell r="G4310"/>
          <cell r="H4310"/>
        </row>
        <row r="4311">
          <cell r="A4311" t="str">
            <v>7.52219902C301901</v>
          </cell>
          <cell r="B4311" t="str">
            <v>ORANGECOMPASSBREADFLLAOSINS300PPBAG@25KG</v>
          </cell>
          <cell r="C4311" t="str">
            <v>BỘT MÌ HIỆU LA BÀN CAM (TIẾNG LÀO) 25KG</v>
          </cell>
          <cell r="D4311" t="str">
            <v>ORANGECOMPASSBREADFLLAOSINS300PPBAG@25KG</v>
          </cell>
          <cell r="E4311">
            <v>25</v>
          </cell>
          <cell r="F4311" t="str">
            <v>Chọn</v>
          </cell>
          <cell r="G4311"/>
          <cell r="H4311"/>
        </row>
        <row r="4312">
          <cell r="A4312" t="str">
            <v>V51.000.194</v>
          </cell>
          <cell r="B4312" t="str">
            <v>MEIZAN RICE VERMICELLI 300G</v>
          </cell>
          <cell r="C4312" t="str">
            <v>BÚN TƯƠI MEIZAN 300G</v>
          </cell>
          <cell r="D4312" t="str">
            <v>MEIZAN RICE VERMICELLI 300G</v>
          </cell>
          <cell r="E4312">
            <v>0.3</v>
          </cell>
          <cell r="F4312" t="str">
            <v>Chọn</v>
          </cell>
          <cell r="G4312"/>
          <cell r="H4312"/>
        </row>
        <row r="4313">
          <cell r="A4313" t="str">
            <v>V51.000.195</v>
          </cell>
          <cell r="B4313" t="str">
            <v>POWER100 LDCHARMINGFRNCHPERFUMEBTL@3.4KG</v>
          </cell>
          <cell r="C4313" t="str">
            <v>NƯỚC GIẶT XẢ POWER100 HƯƠNG NƯỚC HOA PHÁP QUYẾN RŨ 3.4KG</v>
          </cell>
          <cell r="D4313" t="str">
            <v>POWER100 LDCHARMINGFRNCHPERFUMEBTL@3.4KG</v>
          </cell>
          <cell r="E4313">
            <v>3.4</v>
          </cell>
          <cell r="F4313" t="str">
            <v>Chọn</v>
          </cell>
          <cell r="G4313"/>
          <cell r="H4313"/>
        </row>
        <row r="4314">
          <cell r="A4314" t="str">
            <v>V51.000.196</v>
          </cell>
          <cell r="B4314" t="str">
            <v>FIORINO SANGIOVESE PUGLIA WINE</v>
          </cell>
          <cell r="C4314" t="str">
            <v>RƯỢU VANG FIORINO SANGIOVESE PUGLIA</v>
          </cell>
          <cell r="D4314" t="str">
            <v>FIORINO SANGIOVESE PUGLIA WINE</v>
          </cell>
          <cell r="E4314">
            <v>0</v>
          </cell>
          <cell r="F4314" t="str">
            <v>Chọn</v>
          </cell>
          <cell r="G4314"/>
          <cell r="H4314"/>
        </row>
        <row r="4315">
          <cell r="A4315" t="str">
            <v>7.705H6</v>
          </cell>
          <cell r="B4315" t="str">
            <v>WILFARIN REFINED GLYCERINE 99.7%</v>
          </cell>
          <cell r="C4315" t="str">
            <v>WILFARIN REFINED GLYCERINE 99.7% (NGUYÊN LIỆU ĐƠN TRONG SẢN XUẤT THỨC ĂN CHĂN NUÔI)</v>
          </cell>
          <cell r="D4315" t="str">
            <v>WILFARIN REFINED GLYCERINE 99.7%</v>
          </cell>
          <cell r="E4315">
            <v>1</v>
          </cell>
          <cell r="F4315" t="str">
            <v>Chọn</v>
          </cell>
          <cell r="G4315"/>
          <cell r="H4315"/>
        </row>
        <row r="4316">
          <cell r="A4316" t="str">
            <v>7.707663F628170000</v>
          </cell>
          <cell r="B4316" t="str">
            <v>POWER100 FC FLORAL ESSENTIAL OIL BTL@400G</v>
          </cell>
          <cell r="C4316" t="str">
            <v>NƯỚC LAU SÀN POWER100 TINH DẦU HOA THIÊN NHIÊN 400G</v>
          </cell>
          <cell r="D4316" t="str">
            <v>POWER100 FC FLORAL ESSENTIAL OIL BTL@400G</v>
          </cell>
          <cell r="E4316">
            <v>0.4</v>
          </cell>
          <cell r="F4316" t="str">
            <v>Chọn</v>
          </cell>
          <cell r="G4316"/>
          <cell r="H4316"/>
        </row>
        <row r="4317">
          <cell r="A4317" t="str">
            <v>7.707663F62817000A</v>
          </cell>
          <cell r="B4317" t="str">
            <v>POWER100 FCFLORALESSENTIALOIL 400G*24BTL</v>
          </cell>
          <cell r="C4317" t="str">
            <v>NƯỚC LAU SÀN POWER100 TINH DẦU HOA THIÊN NHIÊN 400G*24</v>
          </cell>
          <cell r="D4317" t="str">
            <v>POWER100 FCFLORALESSENTIALOIL 400G*24BTL</v>
          </cell>
          <cell r="E4317">
            <v>9.6</v>
          </cell>
          <cell r="F4317" t="str">
            <v>Chọn</v>
          </cell>
          <cell r="G4317"/>
          <cell r="H4317" t="str">
            <v>7.707663F628170000</v>
          </cell>
        </row>
        <row r="4318">
          <cell r="A4318" t="str">
            <v>7.707664F628170000</v>
          </cell>
          <cell r="B4318" t="str">
            <v>POWER100 FC LEMONGRASS ESSENTIALOIL@400G</v>
          </cell>
          <cell r="C4318" t="str">
            <v>NƯỚC LAU SÀN POWER100 TINH DẦU CHANH SẢ 400G</v>
          </cell>
          <cell r="D4318" t="str">
            <v>POWER100 FC LEMONGRASS ESSENTIALOIL@400G</v>
          </cell>
          <cell r="E4318">
            <v>0.4</v>
          </cell>
          <cell r="F4318" t="str">
            <v>Chọn</v>
          </cell>
          <cell r="G4318"/>
          <cell r="H4318"/>
        </row>
        <row r="4319">
          <cell r="A4319" t="str">
            <v>7.707664F62817000A</v>
          </cell>
          <cell r="B4319" t="str">
            <v>POWER100FCLEMONGRASSESSENTIAL 400G*24BTL</v>
          </cell>
          <cell r="C4319" t="str">
            <v>NƯỚC LAU SÀN POWER100 TINH DẦU CHANH SẢ 400G*24</v>
          </cell>
          <cell r="D4319" t="str">
            <v>POWER100FCLEMONGRASSESSENTIAL 400G*24BTL</v>
          </cell>
          <cell r="E4319">
            <v>9.6</v>
          </cell>
          <cell r="F4319" t="str">
            <v>Chọn</v>
          </cell>
          <cell r="G4319"/>
          <cell r="H4319" t="str">
            <v>7.707664F628170000</v>
          </cell>
        </row>
        <row r="4320">
          <cell r="A4320" t="str">
            <v>7.92514B699D701B701</v>
          </cell>
          <cell r="B4320" t="str">
            <v>BBQ SAUCE FOR FIVE SPICE GRILLED MEAT 65G</v>
          </cell>
          <cell r="C4320" t="str">
            <v>SỐT ƯỚP THỊT NƯỚNG NGŨ VỊ 65GR</v>
          </cell>
          <cell r="D4320" t="str">
            <v>BBQ SAUCE FOR FIVE SPICE GRILLED MEAT 65G</v>
          </cell>
          <cell r="E4320">
            <v>6.5000000000000002E-2</v>
          </cell>
          <cell r="F4320" t="str">
            <v>Chọn</v>
          </cell>
          <cell r="G4320"/>
          <cell r="H4320"/>
        </row>
        <row r="4321">
          <cell r="A4321" t="str">
            <v>7.92514B699D701B7</v>
          </cell>
          <cell r="B4321" t="str">
            <v>BBQ SAUCE FOR FIVE SPICE GRILLED MEAT 65G x 120 PCS IN CARTON</v>
          </cell>
          <cell r="C4321" t="str">
            <v>SỐT ƯỚP THỊT NƯỚNG NGŨ VỊ 65GR X 120 GÓI ĐÓNG TRONG THÙNG CARTON</v>
          </cell>
          <cell r="D4321" t="str">
            <v>BBQ SAUCE FOR FIVE SPICE GRILLED MEAT 65G x 120 PCS IN CARTON</v>
          </cell>
          <cell r="E4321">
            <v>7.8</v>
          </cell>
          <cell r="F4321" t="str">
            <v>Chọn</v>
          </cell>
          <cell r="G4321"/>
          <cell r="H4321" t="str">
            <v>7.92514B699D701B701</v>
          </cell>
        </row>
        <row r="4322">
          <cell r="A4322" t="str">
            <v>7.92520B69943019901</v>
          </cell>
          <cell r="B4322" t="str">
            <v>DIPPING FRUIT SALT 50G</v>
          </cell>
          <cell r="C4322" t="str">
            <v>MUỐI CHẤM HOA QUẢ 50GR</v>
          </cell>
          <cell r="D4322" t="str">
            <v>DIPPING FRUIT SALT 50G</v>
          </cell>
          <cell r="E4322">
            <v>0.05</v>
          </cell>
          <cell r="F4322" t="str">
            <v>Chọn</v>
          </cell>
          <cell r="G4322"/>
          <cell r="H4322"/>
        </row>
        <row r="4323">
          <cell r="A4323" t="str">
            <v>7.92520B699430199</v>
          </cell>
          <cell r="B4323" t="str">
            <v>DIPPING FRUIT SALT 50G x 48 PCS IN CARTON</v>
          </cell>
          <cell r="C4323" t="str">
            <v>MUỐI CHẤM HOA QUẢ 50GR X 48 HŨ ĐÓNG TRONG THÙNG CARTON</v>
          </cell>
          <cell r="D4323" t="str">
            <v>DIPPING FRUIT SALT 50G x 48 PCS IN CARTON</v>
          </cell>
          <cell r="E4323">
            <v>2.4</v>
          </cell>
          <cell r="F4323" t="str">
            <v>Chọn</v>
          </cell>
          <cell r="G4323"/>
          <cell r="H4323" t="str">
            <v>7.92520B69943019901</v>
          </cell>
        </row>
        <row r="4324">
          <cell r="A4324" t="str">
            <v>V74.000.005</v>
          </cell>
          <cell r="B4324" t="str">
            <v>CLEAR BAG A4</v>
          </cell>
          <cell r="C4324" t="str">
            <v>BÌA NÚT A4</v>
          </cell>
          <cell r="D4324" t="str">
            <v>CLEAR BAG A4</v>
          </cell>
          <cell r="E4324">
            <v>0</v>
          </cell>
          <cell r="F4324" t="str">
            <v>Chọn</v>
          </cell>
          <cell r="G4324"/>
          <cell r="H4324"/>
        </row>
        <row r="4325">
          <cell r="A4325" t="str">
            <v>V51.103.805</v>
          </cell>
          <cell r="B4325" t="str">
            <v>POWER100 SPIN MOP</v>
          </cell>
          <cell r="C4325" t="str">
            <v>BỘ LAU NHÀ POWER100</v>
          </cell>
          <cell r="D4325" t="str">
            <v>POWER100 SPIN MOP</v>
          </cell>
          <cell r="E4325">
            <v>1.3</v>
          </cell>
          <cell r="F4325" t="str">
            <v>Bỏ chọn</v>
          </cell>
          <cell r="G4325"/>
          <cell r="H4325"/>
        </row>
        <row r="4326">
          <cell r="A4326" t="str">
            <v>V51.000.197</v>
          </cell>
          <cell r="B4326" t="str">
            <v>PACKING CARTON FOR FULL CREAM UHT MILK INTL 1LX12</v>
          </cell>
          <cell r="C4326" t="str">
            <v>VỎ THÙNG CARTON SỮA TƯƠI TIỆT TRÙNG NGUYÊN KEM LOẠI 1LX12</v>
          </cell>
          <cell r="D4326" t="str">
            <v>PACKING CARTON FOR FULL CREAM UHT MILK INTL 1LX12</v>
          </cell>
          <cell r="E4326">
            <v>0</v>
          </cell>
          <cell r="F4326" t="str">
            <v>Chọn</v>
          </cell>
          <cell r="G4326"/>
          <cell r="H4326"/>
        </row>
        <row r="4327">
          <cell r="A4327" t="str">
            <v>7.1070120296808010</v>
          </cell>
          <cell r="B4327" t="str">
            <v>MEIZAN SUPERIORMGR GREEN MP33-40BAG@20KG</v>
          </cell>
          <cell r="C4327" t="str">
            <v>BƠ THỰC VẬT CAO CẤP NHÃN HIỆU MEIZAN (NHÃN MÀU XANH LÁ) 20KG</v>
          </cell>
          <cell r="D4327" t="str">
            <v>MEIZAN SUPERIORMGR GREEN MP33-40BAG@20KG</v>
          </cell>
          <cell r="E4327">
            <v>20</v>
          </cell>
          <cell r="F4327" t="str">
            <v>Chọn</v>
          </cell>
          <cell r="G4327"/>
          <cell r="H4327"/>
        </row>
        <row r="4328">
          <cell r="A4328" t="str">
            <v>7.1070120296908010</v>
          </cell>
          <cell r="B4328" t="str">
            <v>MEIZAN BOS (GREEN) MP 32-40 PEBAG@20KG</v>
          </cell>
          <cell r="C4328" t="str">
            <v>DẦU BƠ THAY THẾ NHÃN HIỆU MEIZAN (NHÃN MÀU XANH LÁ) 20KG</v>
          </cell>
          <cell r="D4328" t="str">
            <v>MEIZAN BOS (GREEN) MP 32-40 PEBAG@20KG</v>
          </cell>
          <cell r="E4328">
            <v>20</v>
          </cell>
          <cell r="F4328" t="str">
            <v>Chọn</v>
          </cell>
          <cell r="G4328"/>
          <cell r="H4328"/>
        </row>
        <row r="4329">
          <cell r="A4329" t="str">
            <v>V51.000.198</v>
          </cell>
          <cell r="B4329" t="str">
            <v>POWER100 SAVING DISHWASHING LIQUID LEMON, 750G</v>
          </cell>
          <cell r="C4329" t="str">
            <v>NƯỚC RỬA CHÉN POWER100 TIẾT KIỆM HƯƠNG CHANH, LOẠI 750G</v>
          </cell>
          <cell r="D4329" t="str">
            <v>POWER100 SAVING DISHWASHING LIQUID LEMON, 750G</v>
          </cell>
          <cell r="E4329">
            <v>0.75</v>
          </cell>
          <cell r="F4329" t="str">
            <v>Chọn</v>
          </cell>
          <cell r="G4329"/>
          <cell r="H4329"/>
        </row>
        <row r="4330">
          <cell r="A4330" t="str">
            <v>V51.000.199</v>
          </cell>
          <cell r="B4330" t="str">
            <v>MEIZAN PREMIUM EGG NOODLE - THIN ROUND STRING 500G</v>
          </cell>
          <cell r="C4330" t="str">
            <v>MÌ TRỨNG CAO CẤP MEIZAN - SỢI NHỎ 500G</v>
          </cell>
          <cell r="D4330" t="str">
            <v>MEIZAN PREMIUM EGG NOODLE - THIN ROUND STRING 500G</v>
          </cell>
          <cell r="E4330">
            <v>0.5</v>
          </cell>
          <cell r="F4330" t="str">
            <v>Chọn</v>
          </cell>
          <cell r="G4330"/>
          <cell r="H4330"/>
        </row>
        <row r="4331">
          <cell r="A4331" t="str">
            <v>V39.000.074</v>
          </cell>
          <cell r="B4331" t="str">
            <v>RED KEY POLO T-SHIRT</v>
          </cell>
          <cell r="C4331" t="str">
            <v>ÁO THUN CHÌA KHÓA ĐỎ</v>
          </cell>
          <cell r="D4331" t="str">
            <v>RED KEY POLO T-SHIRT</v>
          </cell>
          <cell r="E4331">
            <v>0</v>
          </cell>
          <cell r="F4331" t="str">
            <v>Chọn</v>
          </cell>
          <cell r="G4331"/>
          <cell r="H4331"/>
        </row>
        <row r="4332">
          <cell r="A4332" t="str">
            <v>7.707664P537170000</v>
          </cell>
          <cell r="B4332" t="str">
            <v>POWER100 FC LG ESSENTIALOIL POUCH@3.2KG</v>
          </cell>
          <cell r="C4332" t="str">
            <v>NƯỚC LAU SÀN POWER100 TINH DẦU CHANH SẢ 3.2KG TÚI</v>
          </cell>
          <cell r="D4332" t="str">
            <v>POWER100 FC LG ESSENTIALOIL POUCH@3.2KG</v>
          </cell>
          <cell r="E4332">
            <v>3.2</v>
          </cell>
          <cell r="F4332" t="str">
            <v>Chọn</v>
          </cell>
          <cell r="G4332"/>
          <cell r="H4332"/>
        </row>
        <row r="4333">
          <cell r="A4333" t="str">
            <v>7.707664P53717000H</v>
          </cell>
          <cell r="B4333" t="str">
            <v>POWER100 FC LG ESSENTIALOIL 3.2KG X 4PCH</v>
          </cell>
          <cell r="C4333" t="str">
            <v>NƯỚC LAU SÀN POWER100 TINH DẦU CHANH SẢ 3.2KG*4 TÚI</v>
          </cell>
          <cell r="D4333" t="str">
            <v>POWER100 FC LG ESSENTIALOIL 3.2KG X 4PCH</v>
          </cell>
          <cell r="E4333">
            <v>12.8</v>
          </cell>
          <cell r="F4333" t="str">
            <v>Chọn</v>
          </cell>
          <cell r="G4333"/>
          <cell r="H4333" t="str">
            <v>7.707664P537170000</v>
          </cell>
        </row>
        <row r="4334">
          <cell r="A4334" t="str">
            <v>7.92419B7993701B8</v>
          </cell>
          <cell r="B4334" t="str">
            <v>584 NHA TRANG ANCHOVY FISH SAUCE 30°N PET BOTTLES 500ML X 6 PCS IN CARTON</v>
          </cell>
          <cell r="C4334" t="str">
            <v>NƯỚC MẮM NHỈ CÁ CƠM 30° ĐẠM HIỆU 584 NHA TRANG CHAI PET 500ML X 6 CHAI ĐÓNG TRONG THÙNG CARTON</v>
          </cell>
          <cell r="D4334" t="str">
            <v>584 NHA TRANG ANCHOVY FISH SAUCE 30°N PET BOTTLES 500ML X 6 PCS IN CARTON</v>
          </cell>
          <cell r="E4334">
            <v>3.66</v>
          </cell>
          <cell r="F4334" t="str">
            <v>Chọn</v>
          </cell>
          <cell r="G4334"/>
          <cell r="H4334" t="str">
            <v>7.92419B7993701B801</v>
          </cell>
        </row>
        <row r="4335">
          <cell r="A4335" t="str">
            <v>7.92419B7993701B801</v>
          </cell>
          <cell r="B4335" t="str">
            <v>584 NHA TRANG ANCHOVY FISH SAUCE 30°N PET BOTTLES 500ML</v>
          </cell>
          <cell r="C4335" t="str">
            <v>NƯỚC MẮM NHỈ CÁ CƠM 30° ĐẠM HIỆU 584 NHA TRANG CHAI PET 500ML</v>
          </cell>
          <cell r="D4335" t="str">
            <v>584 NHA TRANG ANCHOVY FISH SAUCE 30°N PET BOTTLES 500ML</v>
          </cell>
          <cell r="E4335">
            <v>0.61</v>
          </cell>
          <cell r="F4335" t="str">
            <v>Chọn</v>
          </cell>
          <cell r="G4335"/>
          <cell r="H4335"/>
        </row>
        <row r="4336">
          <cell r="A4336" t="str">
            <v>7.92419B7993701B9</v>
          </cell>
          <cell r="B4336" t="str">
            <v>584 NHA TRANG ANCHOVY FISH SAUCE 15°N OF PET BOTTLES 500ML X 20 PCS IN CARTON</v>
          </cell>
          <cell r="C4336" t="str">
            <v>NƯỚC MẮM CÁ CƠM 15° ĐẠM HIỆU 584 NHA TRANG CHAI PET 500ML X 20 CHAI ĐÓNG TRONG THÙNG CARTON</v>
          </cell>
          <cell r="D4336" t="str">
            <v>584 NHA TRANG ANCHOVY FISH SAUCE 15°N OF PET BOTTLES 500ML X 20 PCS IN CARTON</v>
          </cell>
          <cell r="E4336">
            <v>11.98</v>
          </cell>
          <cell r="F4336" t="str">
            <v>Chọn</v>
          </cell>
          <cell r="G4336"/>
          <cell r="H4336" t="str">
            <v>7.92419B7993701B901</v>
          </cell>
        </row>
        <row r="4337">
          <cell r="A4337" t="str">
            <v>7.92419B7993701B901</v>
          </cell>
          <cell r="B4337" t="str">
            <v>584 NHA TRANG ANCHOVY FISH SAUCE 15°N OF PET BOTTLES 500ML</v>
          </cell>
          <cell r="C4337" t="str">
            <v>NƯỚC MẮM CÁ CƠM 15° ĐẠM HIỆU 584 NHA TRANG CHAI PET 500ML</v>
          </cell>
          <cell r="D4337" t="str">
            <v>584 NHA TRANG ANCHOVY FISH SAUCE 15°N OF PET BOTTLES 500ML</v>
          </cell>
          <cell r="E4337">
            <v>0.59899999999999998</v>
          </cell>
          <cell r="F4337" t="str">
            <v>Chọn</v>
          </cell>
          <cell r="G4337"/>
          <cell r="H4337"/>
        </row>
        <row r="4338">
          <cell r="A4338" t="str">
            <v>7.92419B799C901B9</v>
          </cell>
          <cell r="B4338" t="str">
            <v>585 NHA TRANG ANCHOVY FISH SAUCE 15°N OF PET BOTTLES 2L X 6 PCS IN CARTON</v>
          </cell>
          <cell r="C4338" t="str">
            <v>NƯỚC MẮM CÁ CƠM 15° ĐẠM HIỆU 584 NHA TRANG CHAI PET 2L X 6 CHAI ĐÓNG TRONG THÙNG CARTON</v>
          </cell>
          <cell r="D4338" t="str">
            <v>585 NHA TRANG ANCHOVY FISH SAUCE 15°N OF PET BOTTLES 2L X 6 PCS IN CARTON</v>
          </cell>
          <cell r="E4338">
            <v>14.28</v>
          </cell>
          <cell r="F4338" t="str">
            <v>Chọn</v>
          </cell>
          <cell r="G4338"/>
          <cell r="H4338" t="str">
            <v>7.92419B799C901B901</v>
          </cell>
        </row>
        <row r="4339">
          <cell r="A4339" t="str">
            <v>7.92419B799C901B901</v>
          </cell>
          <cell r="B4339" t="str">
            <v>585 NHA TRANG ANCHOVY FISH SAUCE 15°N OF PET BOTTLES 2L</v>
          </cell>
          <cell r="C4339" t="str">
            <v>NƯỚC MẮM CÁ CƠM 15° ĐẠM HIỆU 584 NHA TRANG CHAI PET 2L</v>
          </cell>
          <cell r="D4339" t="str">
            <v>585 NHA TRANG ANCHOVY FISH SAUCE 15°N OF PET BOTTLES 2L</v>
          </cell>
          <cell r="E4339">
            <v>2.38</v>
          </cell>
          <cell r="F4339" t="str">
            <v>Chọn</v>
          </cell>
          <cell r="G4339"/>
          <cell r="H4339"/>
        </row>
        <row r="4340">
          <cell r="A4340" t="str">
            <v>7.92419B799D001B9</v>
          </cell>
          <cell r="B4340" t="str">
            <v>584 NHA TRANG ANCHOVY FISH SAUCE 15°N OF PET BOTTLES 5L X 4 PCS IN CARTON</v>
          </cell>
          <cell r="C4340" t="str">
            <v>NƯỚC MẮM CÁ CƠM 15° ĐẠM HIỆU 584 NHA TRANG CHAI PET 5L X 4 CHAI ĐÓNG TRONG THÙNG CARTON</v>
          </cell>
          <cell r="D4340" t="str">
            <v>584 NHA TRANG ANCHOVY FISH SAUCE 15°N OF PET BOTTLES 5L X 4 PCS IN CARTON</v>
          </cell>
          <cell r="E4340">
            <v>23.64</v>
          </cell>
          <cell r="F4340" t="str">
            <v>Chọn</v>
          </cell>
          <cell r="G4340"/>
          <cell r="H4340" t="str">
            <v>7.92419B799D001B901</v>
          </cell>
        </row>
        <row r="4341">
          <cell r="A4341" t="str">
            <v>7.92419B799D001B901</v>
          </cell>
          <cell r="B4341" t="str">
            <v>584 NHA TRANG ANCHOVY FISH SAUCE 15°N OF PET BOTTLES 5L</v>
          </cell>
          <cell r="C4341" t="str">
            <v>NƯỚC MẮM CÁ CƠM 15° ĐẠM HIỆU 584 NHA TRANG CHAI PET 5L</v>
          </cell>
          <cell r="D4341" t="str">
            <v>584 NHA TRANG ANCHOVY FISH SAUCE 15°N OF PET BOTTLES 5L</v>
          </cell>
          <cell r="E4341">
            <v>5.91</v>
          </cell>
          <cell r="F4341" t="str">
            <v>Chọn</v>
          </cell>
          <cell r="G4341"/>
          <cell r="H4341"/>
        </row>
        <row r="4342">
          <cell r="A4342" t="str">
            <v>V51.00A.073</v>
          </cell>
          <cell r="B4342" t="str">
            <v>GIFT CARD VND 500.000</v>
          </cell>
          <cell r="C4342" t="str">
            <v>THẺ QUÀ TẶNG 500.000 VND</v>
          </cell>
          <cell r="D4342" t="str">
            <v>GIFT CARD VND 500.000</v>
          </cell>
          <cell r="E4342">
            <v>0</v>
          </cell>
          <cell r="F4342" t="str">
            <v>Chọn</v>
          </cell>
          <cell r="G4342"/>
          <cell r="H4342"/>
        </row>
        <row r="4343">
          <cell r="A4343" t="str">
            <v>7.705H7</v>
          </cell>
          <cell r="B4343" t="str">
            <v>MIZULAN FL-80S BRAND MES (METHYL ESTER SULPHONATE) IN BAG 3KG</v>
          </cell>
          <cell r="C4343" t="str">
            <v>CHẤT HOẠT ĐỘNG BỀ MẶT DẠNG ANION MES (METHYL ESTER SULPHONATE) NHÃN HIỆU MIZULAN PL-80S ĐÓNG BAO 3KG</v>
          </cell>
          <cell r="D4343" t="str">
            <v>MIZULAN FL-80S BRAND MES (METHYL ESTER SULPHONATE) IN BAG 3KG</v>
          </cell>
          <cell r="E4343">
            <v>1</v>
          </cell>
          <cell r="F4343" t="str">
            <v>Chọn</v>
          </cell>
          <cell r="G4343"/>
          <cell r="H4343"/>
        </row>
        <row r="4344">
          <cell r="A4344" t="str">
            <v>7.705H8</v>
          </cell>
          <cell r="B4344" t="str">
            <v>MIZULAN P-82 BRAND MES (METHYL ESTER SULPHONATE) IN BAG 3KG</v>
          </cell>
          <cell r="C4344" t="str">
            <v>CHẤT HOẠT ĐỘNG BỀ MẶT DẠNG ANION MES (METHYL ESTER SULPHONATE) NHÃN HIỆU MIZULAN P-82 ĐÓNG BAO 3KG</v>
          </cell>
          <cell r="D4344" t="str">
            <v>MIZULAN P-82 BRAND MES (METHYL ESTER SULPHONATE) IN BAG 3KG</v>
          </cell>
          <cell r="E4344">
            <v>1</v>
          </cell>
          <cell r="F4344" t="str">
            <v>Chọn</v>
          </cell>
          <cell r="G4344"/>
          <cell r="H4344"/>
        </row>
        <row r="4345">
          <cell r="A4345" t="str">
            <v>7.705H9</v>
          </cell>
          <cell r="B4345" t="str">
            <v>METHYL ESTER SULPHONATE FLAKE REGULAR GRADE IN BAG 3KG</v>
          </cell>
          <cell r="C4345" t="str">
            <v>CHẤT HOẠT ĐỘNG BỀ MẶT DẠNG ANION METHYL ESTER SULPHONATE FLAKE REGULAR GRADE ĐÓNG BAO 3KG</v>
          </cell>
          <cell r="D4345" t="str">
            <v>METHYL ESTER SULPHONATE FLAKE REGULAR GRADE IN BAG 3KG</v>
          </cell>
          <cell r="E4345">
            <v>1</v>
          </cell>
          <cell r="F4345" t="str">
            <v>Chọn</v>
          </cell>
          <cell r="G4345"/>
          <cell r="H4345"/>
        </row>
        <row r="4346">
          <cell r="A4346" t="str">
            <v>7.705I0</v>
          </cell>
          <cell r="B4346" t="str">
            <v>METHYL ESTER SULPHONATE C16 PR-15 IN BAG 3KG</v>
          </cell>
          <cell r="C4346" t="str">
            <v>CHẤT HOẠT ĐỘNG BỀ MẶT DẠNG ANION METHYL ESTER SULPHONATE C16 PR-15 ĐÓNG BAO 3KG</v>
          </cell>
          <cell r="D4346" t="str">
            <v>METHYL ESTER SULPHONATE C16 PR-15 IN BAG 3KG</v>
          </cell>
          <cell r="E4346">
            <v>1</v>
          </cell>
          <cell r="F4346" t="str">
            <v>Chọn</v>
          </cell>
          <cell r="G4346"/>
          <cell r="H4346"/>
        </row>
        <row r="4347">
          <cell r="A4347" t="str">
            <v>7.705I1</v>
          </cell>
          <cell r="B4347" t="str">
            <v>PURE SOAP POWDER IN BAG 3KG</v>
          </cell>
          <cell r="C4347" t="str">
            <v>PURE SOAP POWDER- PHÔI XÀ PHÒNG ĐÓNG TRONG BAO 3KG</v>
          </cell>
          <cell r="D4347" t="str">
            <v>PURE SOAP POWDER IN BAG 3KG</v>
          </cell>
          <cell r="E4347">
            <v>1</v>
          </cell>
          <cell r="F4347" t="str">
            <v>Chọn</v>
          </cell>
          <cell r="G4347"/>
          <cell r="H4347"/>
        </row>
        <row r="4348">
          <cell r="A4348" t="str">
            <v>7.705I2</v>
          </cell>
          <cell r="B4348" t="str">
            <v>MEIZAN BRAND-GOLDEN SWALLOW SHORTENING IN BAG 20KG</v>
          </cell>
          <cell r="C4348" t="str">
            <v>GOLDEN SWALLOW SHORTENING NHÃN HIỆU MEIZAN ĐÓNG TRONG BAO 20KG</v>
          </cell>
          <cell r="D4348" t="str">
            <v>MEIZAN BRAND-GOLDEN SWALLOW SHORTENING IN BAG 20KG</v>
          </cell>
          <cell r="E4348">
            <v>1</v>
          </cell>
          <cell r="F4348" t="str">
            <v>Chọn</v>
          </cell>
          <cell r="G4348"/>
          <cell r="H4348"/>
        </row>
        <row r="4349">
          <cell r="A4349" t="str">
            <v>V51.050.040</v>
          </cell>
          <cell r="B4349" t="str">
            <v>MEIZAN PREMIUM EGG NOODLE - THIN ROUND</v>
          </cell>
          <cell r="C4349" t="str">
            <v>MÌ TRỨNG CAO CẤP MEIZAN SỢI NHỎ 500G</v>
          </cell>
          <cell r="D4349" t="str">
            <v>MEIZAN PREMIUM EGG NOODLE - THIN ROUND</v>
          </cell>
          <cell r="E4349">
            <v>0.5</v>
          </cell>
          <cell r="F4349" t="str">
            <v>Bỏ chọn</v>
          </cell>
          <cell r="G4349"/>
          <cell r="H4349"/>
        </row>
        <row r="4350">
          <cell r="A4350" t="str">
            <v>V51.000.200</v>
          </cell>
          <cell r="B4350" t="str">
            <v>YELLOW KEY 40KG</v>
          </cell>
          <cell r="C4350" t="str">
            <v>BỘT MÌ HIỆU CHÌA KHÓA VÀNG 40KG</v>
          </cell>
          <cell r="D4350" t="str">
            <v>YELLOW KEY 40KG</v>
          </cell>
          <cell r="E4350">
            <v>0</v>
          </cell>
          <cell r="F4350" t="str">
            <v>Chọn</v>
          </cell>
          <cell r="G4350"/>
          <cell r="H4350"/>
        </row>
        <row r="4351">
          <cell r="A4351" t="str">
            <v>V51.000.201</v>
          </cell>
          <cell r="B4351" t="str">
            <v>RED KEY 40KG</v>
          </cell>
          <cell r="C4351" t="str">
            <v>BỘT MÌ HIỆU CHÌA KHÓA ĐỎ 40KG</v>
          </cell>
          <cell r="D4351" t="str">
            <v>RED KEY 40KG</v>
          </cell>
          <cell r="E4351">
            <v>0</v>
          </cell>
          <cell r="F4351" t="str">
            <v>Chọn</v>
          </cell>
          <cell r="G4351"/>
          <cell r="H4351"/>
        </row>
        <row r="4352">
          <cell r="A4352" t="str">
            <v>V51.000.202</v>
          </cell>
          <cell r="B4352" t="str">
            <v>MEIZAN INSTANT DRY YEAST - YELLOW LABEL 500GR</v>
          </cell>
          <cell r="C4352" t="str">
            <v>MEN KHÔ DÙNG LIỀN HIỆU MEIZAN- NHÃN VÀNG (500G*20 GÓI/THÙNG)</v>
          </cell>
          <cell r="D4352" t="str">
            <v>MEIZAN INSTANT DRY YEAST - YELLOW LABEL 500GR</v>
          </cell>
          <cell r="E4352">
            <v>0</v>
          </cell>
          <cell r="F4352" t="str">
            <v>Chọn</v>
          </cell>
          <cell r="G4352"/>
          <cell r="H4352"/>
        </row>
        <row r="4353">
          <cell r="A4353" t="str">
            <v>V51.000.203</v>
          </cell>
          <cell r="B4353" t="str">
            <v>MEIZAN INSTANT DRY YEAST - RED LABEL 500GR</v>
          </cell>
          <cell r="C4353" t="str">
            <v>MEN KHÔ DÙNG LIỀN HIỆU MEIZAN- NHÃN ĐỎ (500G*20 GÓI/THÙNG)</v>
          </cell>
          <cell r="D4353" t="str">
            <v>MEIZAN INSTANT DRY YEAST - RED LABEL 500GR</v>
          </cell>
          <cell r="E4353">
            <v>0</v>
          </cell>
          <cell r="F4353" t="str">
            <v>Chọn</v>
          </cell>
          <cell r="G4353"/>
          <cell r="H4353"/>
        </row>
        <row r="4354">
          <cell r="A4354" t="str">
            <v>N04.0018006.00296</v>
          </cell>
          <cell r="B4354" t="str">
            <v>PROMOTIONAL STUFF,GOODIE BAG,SIMPLY-POWE</v>
          </cell>
          <cell r="C4354" t="str">
            <v>TÚI VẢI KHÔNG DỆT SIMPLY - POWER100</v>
          </cell>
          <cell r="D4354" t="str">
            <v>PROMOTIONAL STUFF,GOODIE BAG,SIMPLY-POWE</v>
          </cell>
          <cell r="E4354">
            <v>0</v>
          </cell>
          <cell r="F4354" t="str">
            <v>Chọn</v>
          </cell>
          <cell r="G4354"/>
          <cell r="H4354"/>
        </row>
        <row r="4355">
          <cell r="A4355" t="str">
            <v>N13.0009002.00032</v>
          </cell>
          <cell r="B4355" t="str">
            <v>FOOD ADDITIVE,POWDER,MAURIPAN YEAST</v>
          </cell>
          <cell r="C4355" t="str">
            <v>MEN KHÔ MAURI 10GR</v>
          </cell>
          <cell r="D4355" t="str">
            <v>FOOD ADDITIVE,POWDER,MAURIPAN YEAST</v>
          </cell>
          <cell r="E4355">
            <v>0</v>
          </cell>
          <cell r="F4355" t="str">
            <v>Chọn</v>
          </cell>
          <cell r="G4355"/>
          <cell r="H4355"/>
        </row>
        <row r="4356">
          <cell r="A4356" t="str">
            <v>V39.000.075</v>
          </cell>
          <cell r="B4356" t="str">
            <v>LG FV1410S4P WASHING MACHINE</v>
          </cell>
          <cell r="C4356" t="str">
            <v>MÁY GIẶT LG FV1410S4P</v>
          </cell>
          <cell r="D4356" t="str">
            <v>LG FV1410S4P WASHING MACHINE</v>
          </cell>
          <cell r="E4356">
            <v>0</v>
          </cell>
          <cell r="F4356" t="str">
            <v>Chọn</v>
          </cell>
          <cell r="G4356"/>
          <cell r="H4356"/>
        </row>
        <row r="4357">
          <cell r="A4357" t="str">
            <v>V39.000.076</v>
          </cell>
          <cell r="B4357" t="str">
            <v>HITACHI RV-X15N VACUUM CLEANER ROBOT</v>
          </cell>
          <cell r="C4357" t="str">
            <v>ROBOT HÚT BỤI HITACHI RV-X15N</v>
          </cell>
          <cell r="D4357" t="str">
            <v>HITACHI RV-X15N VACUUM CLEANER ROBOT</v>
          </cell>
          <cell r="E4357">
            <v>0</v>
          </cell>
          <cell r="F4357" t="str">
            <v>Chọn</v>
          </cell>
          <cell r="G4357"/>
          <cell r="H4357"/>
        </row>
        <row r="4358">
          <cell r="A4358" t="str">
            <v>V39.000.077</v>
          </cell>
          <cell r="B4358" t="str">
            <v>SUNHOUSE SHD6017 INFRARED KITCHEN</v>
          </cell>
          <cell r="C4358" t="str">
            <v>BẾP HỒNG NGOẠI SUNHOUSE SHD6017</v>
          </cell>
          <cell r="D4358" t="str">
            <v>SUNHOUSE SHD6017 INFRARED KITCHEN</v>
          </cell>
          <cell r="E4358">
            <v>0</v>
          </cell>
          <cell r="F4358" t="str">
            <v>Chọn</v>
          </cell>
          <cell r="G4358"/>
          <cell r="H4358"/>
        </row>
        <row r="4359">
          <cell r="A4359" t="str">
            <v>V39.000.078</v>
          </cell>
          <cell r="B4359" t="str">
            <v>ELMICH TRIMAX ECO EL-8002 SIZE 16,20,22 SIZE 16,20,22 STAINLESS STEEL POT, STIR-FRY POT 28CM</v>
          </cell>
          <cell r="C4359" t="str">
            <v>BỘ NỒI INOX LIỀN KHỐI ELMICH TRIMAX ECO EL-8002 SIZE 16,20,22, LẨU XÀO 28CM</v>
          </cell>
          <cell r="D4359" t="str">
            <v>ELMICH TRIMAX ECO EL-8002 SIZE 16,20,22 SIZE 16,20,22 STAINLESS STEEL POT, STIR-FRY POT 28CM</v>
          </cell>
          <cell r="E4359">
            <v>0</v>
          </cell>
          <cell r="F4359" t="str">
            <v>Chọn</v>
          </cell>
          <cell r="G4359"/>
          <cell r="H4359"/>
        </row>
        <row r="4360">
          <cell r="A4360" t="str">
            <v>V39.000.079</v>
          </cell>
          <cell r="B4360" t="str">
            <v>TOSHIBA GR-RT303WE-PMV REFRIGERATOR(52)</v>
          </cell>
          <cell r="C4360" t="str">
            <v>TỦ LẠNH TOSHIBA GR-RT303WE-PMV(52)</v>
          </cell>
          <cell r="D4360" t="str">
            <v>TOSHIBA GR-RT303WE-PMV REFRIGERATOR(52)</v>
          </cell>
          <cell r="E4360">
            <v>0</v>
          </cell>
          <cell r="F4360" t="str">
            <v>Chọn</v>
          </cell>
          <cell r="G4360"/>
          <cell r="H4360"/>
        </row>
        <row r="4361">
          <cell r="A4361" t="str">
            <v>V39.000.080</v>
          </cell>
          <cell r="B4361" t="str">
            <v>DAIKIN MC30YVM7 AIR PURIFIER</v>
          </cell>
          <cell r="C4361" t="str">
            <v>MÁY LỌC KHÔNG KHÍ DAIKIN MC30YVM7</v>
          </cell>
          <cell r="D4361" t="str">
            <v>DAIKIN MC30YVM7 AIR PURIFIER</v>
          </cell>
          <cell r="E4361">
            <v>0</v>
          </cell>
          <cell r="F4361" t="str">
            <v>Chọn</v>
          </cell>
          <cell r="G4361"/>
          <cell r="H4361"/>
        </row>
        <row r="4362">
          <cell r="A4362" t="str">
            <v>V39.000.081</v>
          </cell>
          <cell r="B4362" t="str">
            <v>TOSHIBA KT-17DR1NV SUPER SPEED HEATER</v>
          </cell>
          <cell r="C4362" t="str">
            <v>BÌNH ĐUN SIÊU TỐC TOSHIBA KT-17DR1NV</v>
          </cell>
          <cell r="D4362" t="str">
            <v>TOSHIBA KT-17DR1NV SUPER SPEED HEATER</v>
          </cell>
          <cell r="E4362">
            <v>0</v>
          </cell>
          <cell r="F4362" t="str">
            <v>Chọn</v>
          </cell>
          <cell r="G4362"/>
          <cell r="H4362"/>
        </row>
        <row r="4363">
          <cell r="A4363" t="str">
            <v>V39.000.082</v>
          </cell>
          <cell r="B4363" t="str">
            <v>SUNHOUSE ELECTRIC HOT POT SHD4526</v>
          </cell>
          <cell r="C4363" t="str">
            <v>LẨU ĐIỆN SUNHOUSE SHD4526</v>
          </cell>
          <cell r="D4363" t="str">
            <v>SUNHOUSE ELECTRIC HOT POT SHD4526</v>
          </cell>
          <cell r="E4363">
            <v>0</v>
          </cell>
          <cell r="F4363" t="str">
            <v>Chọn</v>
          </cell>
          <cell r="G4363"/>
          <cell r="H4363"/>
        </row>
        <row r="4364">
          <cell r="A4364" t="str">
            <v>V39.000.083</v>
          </cell>
          <cell r="B4364" t="str">
            <v>PANASONIC MX-EX1011WRA BLENDER</v>
          </cell>
          <cell r="C4364" t="str">
            <v>MÁY XAY SINH TỐ PANASONIC MX-EX1011WRA</v>
          </cell>
          <cell r="D4364" t="str">
            <v>PANASONIC MX-EX1011WRA BLENDER</v>
          </cell>
          <cell r="E4364">
            <v>0</v>
          </cell>
          <cell r="F4364" t="str">
            <v>Chọn</v>
          </cell>
          <cell r="G4364"/>
          <cell r="H4364"/>
        </row>
        <row r="4365">
          <cell r="A4365" t="str">
            <v>V39.000.084</v>
          </cell>
          <cell r="B4365" t="str">
            <v>PHILIPS HAIR DRYER BHD500/00</v>
          </cell>
          <cell r="C4365" t="str">
            <v>MÁY SẤY TÓC PHILIPS BHD500/00</v>
          </cell>
          <cell r="D4365" t="str">
            <v>PHILIPS HAIR DRYER BHD500/00</v>
          </cell>
          <cell r="E4365">
            <v>0</v>
          </cell>
          <cell r="F4365" t="str">
            <v>Chọn</v>
          </cell>
          <cell r="G4365"/>
          <cell r="H4365"/>
        </row>
        <row r="4366">
          <cell r="A4366" t="str">
            <v>V78.000.044</v>
          </cell>
          <cell r="B4366" t="str">
            <v>CHEF COAT</v>
          </cell>
          <cell r="C4366" t="str">
            <v>ÁO BẾP</v>
          </cell>
          <cell r="D4366" t="str">
            <v>CHEF COAT</v>
          </cell>
          <cell r="E4366">
            <v>0</v>
          </cell>
          <cell r="F4366" t="str">
            <v>Chọn</v>
          </cell>
          <cell r="G4366"/>
          <cell r="H4366"/>
        </row>
        <row r="4367">
          <cell r="A4367" t="str">
            <v>7.706539031400000</v>
          </cell>
          <cell r="B4367" t="str">
            <v>REF GLYCERINE(TECH GRADE)IN PE DRM@250KG</v>
          </cell>
          <cell r="C4367" t="str">
            <v>GLYXERIN TIÊU CHUẨN CÔNG NGHIỆP, ĐÓNG TRONG PHUY 250KG</v>
          </cell>
          <cell r="D4367" t="str">
            <v>REF GLYCERINE(TECH GRADE)IN PE DRM@250KG</v>
          </cell>
          <cell r="E4367">
            <v>250</v>
          </cell>
          <cell r="F4367" t="str">
            <v>Chọn</v>
          </cell>
          <cell r="G4367"/>
          <cell r="H4367"/>
        </row>
        <row r="4368">
          <cell r="A4368" t="str">
            <v>V51.000.204</v>
          </cell>
          <cell r="B4368" t="str">
            <v>NON-WOVEN FABRIC BAG PRINTED LOGO WILMAR-ROYAL</v>
          </cell>
          <cell r="C4368" t="str">
            <v>TÚI VẢI KHÔNG DỆT IN LOGO WILMAR-ROYAL</v>
          </cell>
          <cell r="D4368" t="str">
            <v>NON-WOVEN FABRIC BAG PRINTED LOGO WILMAR-ROYAL</v>
          </cell>
          <cell r="E4368">
            <v>0</v>
          </cell>
          <cell r="F4368" t="str">
            <v>Chọn</v>
          </cell>
          <cell r="G4368"/>
          <cell r="H4368"/>
        </row>
        <row r="4369">
          <cell r="A4369" t="str">
            <v>V51.000.205</v>
          </cell>
          <cell r="B4369" t="str">
            <v>MEIZAN BOS IN PLASTIC BUCKET 18KG (YELLOW LABEL)</v>
          </cell>
          <cell r="C4369" t="str">
            <v>DẦU BƠ THAY THẾ NHÃN HIỆU MEIZAN TRONG THÙNG NHỰA 18 KG (NHÃN MÀU VÀNG)</v>
          </cell>
          <cell r="D4369" t="str">
            <v>MEIZAN BOS IN PLASTIC BUCKET 18KG (YELLOW LABEL)</v>
          </cell>
          <cell r="E4369">
            <v>0</v>
          </cell>
          <cell r="F4369" t="str">
            <v>Chọn</v>
          </cell>
          <cell r="G4369"/>
          <cell r="H4369"/>
        </row>
        <row r="4370">
          <cell r="A4370" t="str">
            <v>V51.000.206</v>
          </cell>
          <cell r="B4370" t="str">
            <v>PORK BOUILLON GRANULE 200G</v>
          </cell>
          <cell r="C4370" t="str">
            <v>HẠT NÊM 4 TRONG 1 VỊ HEO 200G</v>
          </cell>
          <cell r="D4370" t="str">
            <v>PORK BOUILLON GRANULE 200G</v>
          </cell>
          <cell r="E4370">
            <v>0</v>
          </cell>
          <cell r="F4370" t="str">
            <v>Chọn</v>
          </cell>
          <cell r="G4370"/>
          <cell r="H4370"/>
        </row>
        <row r="4371">
          <cell r="A4371" t="str">
            <v>V51.000.207</v>
          </cell>
          <cell r="B4371" t="str">
            <v>DHFOODS HANGER</v>
          </cell>
          <cell r="C4371" t="str">
            <v>VỈ NHỰA DHFOODS</v>
          </cell>
          <cell r="D4371" t="str">
            <v>DHFOODS HANGER</v>
          </cell>
          <cell r="E4371">
            <v>0</v>
          </cell>
          <cell r="F4371" t="str">
            <v>Chọn</v>
          </cell>
          <cell r="G4371"/>
          <cell r="H4371"/>
        </row>
        <row r="4372">
          <cell r="A4372" t="str">
            <v>7.089062120111103TD</v>
          </cell>
          <cell r="B4372" t="str">
            <v>MEIZAN INSTANT DRY YEAST - YELLOW LABEL 500GR</v>
          </cell>
          <cell r="C4372" t="str">
            <v>MEN KHÔ DÙNG LIỀN HIỆU MEIZAN - NHÃN VÀNG (500G*20 GÓI/THÙNG)</v>
          </cell>
          <cell r="D4372" t="str">
            <v>MEIZAN INSTANT DRY YEAST - YELLOW LABEL 500GR</v>
          </cell>
          <cell r="E4372">
            <v>10</v>
          </cell>
          <cell r="F4372" t="str">
            <v>Chọn</v>
          </cell>
          <cell r="G4372"/>
          <cell r="H4372"/>
        </row>
        <row r="4373">
          <cell r="A4373" t="str">
            <v>7.08906212011110301TD</v>
          </cell>
          <cell r="B4373" t="str">
            <v>MEIZAN INSTANT DRY YEAST - YELLOW LABEL 500GR</v>
          </cell>
          <cell r="C4373" t="str">
            <v>MEN KHÔ DÙNG LIỀN HIỆU MEIZAN - NHÃN VÀNG 500G</v>
          </cell>
          <cell r="D4373" t="str">
            <v>MEIZAN INSTANT DRY YEAST - YELLOW LABEL 500GR</v>
          </cell>
          <cell r="E4373">
            <v>0</v>
          </cell>
          <cell r="F4373" t="str">
            <v>Bỏ chọn</v>
          </cell>
          <cell r="G4373"/>
          <cell r="H4373"/>
        </row>
        <row r="4374">
          <cell r="A4374" t="str">
            <v>7.089062120091203TD</v>
          </cell>
          <cell r="B4374" t="str">
            <v>MEIZAN INSTANT DRY YEAST - RED LABEL 500GR</v>
          </cell>
          <cell r="C4374" t="str">
            <v>MEN KHÔ DÙNG LIỀN HIỆU MEIZAN - NHÃN ĐỎ (500G*20 GÓI/THÙNG)</v>
          </cell>
          <cell r="D4374" t="str">
            <v>MEIZAN INSTANT DRY YEAST - RED LABEL 500GR</v>
          </cell>
          <cell r="E4374">
            <v>10</v>
          </cell>
          <cell r="F4374" t="str">
            <v>Chọn</v>
          </cell>
          <cell r="G4374"/>
          <cell r="H4374"/>
        </row>
        <row r="4375">
          <cell r="A4375" t="str">
            <v>7.08906212009120301TD</v>
          </cell>
          <cell r="B4375" t="str">
            <v>MEIZAN INSTANT DRY YEAST - RED LABEL 500GR</v>
          </cell>
          <cell r="C4375" t="str">
            <v>MEN KHÔ DÙNG LIỀN HIỆU MEIZAN - NHÃN ĐỎ 500G</v>
          </cell>
          <cell r="D4375" t="str">
            <v>MEIZAN INSTANT DRY YEAST - RED LABEL 500GR</v>
          </cell>
          <cell r="E4375">
            <v>0</v>
          </cell>
          <cell r="F4375" t="str">
            <v>Bỏ chọn</v>
          </cell>
          <cell r="G4375"/>
          <cell r="H4375"/>
        </row>
        <row r="4376">
          <cell r="A4376" t="str">
            <v>7.705I3</v>
          </cell>
          <cell r="B4376" t="str">
            <v>PEARLESCENT PIGMENT IN BAG 1.5KG</v>
          </cell>
          <cell r="C4376" t="str">
            <v>PEARLESCENT PIGMENT: BỘT MÀU - PHỤ GIA CHỐNG TRƯỢT DÙNG TRONG SẢN XUẤT NHỰA ĐÓNG TRONG BAO 1.5KG</v>
          </cell>
          <cell r="D4376" t="str">
            <v>PEARLESCENT PIGMENT IN BAG 1.5KG</v>
          </cell>
          <cell r="E4376">
            <v>1</v>
          </cell>
          <cell r="F4376" t="str">
            <v>Chọn</v>
          </cell>
          <cell r="G4376"/>
          <cell r="H4376"/>
        </row>
        <row r="4377">
          <cell r="A4377" t="str">
            <v>7.705I4</v>
          </cell>
          <cell r="B4377" t="str">
            <v>PEARLESCENT PIGMENT IN BAG 3KG</v>
          </cell>
          <cell r="C4377" t="str">
            <v>PEARLESCENT PIGMENT: BỘT MÀU - PHỤ GIA CHỐNG TRƯỢT DÙNG TRONG SẢN XUẤT NHỰA ĐÓNG TRONG BAO 3KG</v>
          </cell>
          <cell r="D4377" t="str">
            <v>PEARLESCENT PIGMENT IN BAG 3KG</v>
          </cell>
          <cell r="E4377">
            <v>1</v>
          </cell>
          <cell r="F4377" t="str">
            <v>Chọn</v>
          </cell>
          <cell r="G4377"/>
          <cell r="H4377"/>
        </row>
        <row r="4378">
          <cell r="A4378" t="str">
            <v>7.B24106333E80199</v>
          </cell>
          <cell r="B4378" t="str">
            <v>MAYONNAISE SIMPLY 3KG X 4 TUB/ CAR</v>
          </cell>
          <cell r="C4378" t="str">
            <v>MAYONNAISE SIMPLY 3KG X 4 HỘP/ THÙNG</v>
          </cell>
          <cell r="D4378" t="str">
            <v>MAYONNAISE SIMPLY 3KG X 4 TUB/ CAR</v>
          </cell>
          <cell r="E4378">
            <v>12</v>
          </cell>
          <cell r="F4378" t="str">
            <v>Bỏ chọn</v>
          </cell>
          <cell r="G4378" t="str">
            <v>2000000008</v>
          </cell>
          <cell r="H4378" t="str">
            <v>7.B24106333E8019901</v>
          </cell>
        </row>
        <row r="4379">
          <cell r="A4379" t="str">
            <v>7.B24106333E8019901</v>
          </cell>
          <cell r="B4379" t="str">
            <v>MAYONNAISE SIMPLY 3KG</v>
          </cell>
          <cell r="C4379" t="str">
            <v>MAYONNAISE SIMPLY 3KG</v>
          </cell>
          <cell r="D4379" t="str">
            <v>MAYONNAISE SIMPLY 3KG</v>
          </cell>
          <cell r="E4379">
            <v>3</v>
          </cell>
          <cell r="F4379" t="str">
            <v>Bỏ chọn</v>
          </cell>
          <cell r="G4379" t="str">
            <v>2000000008</v>
          </cell>
          <cell r="H4379"/>
        </row>
        <row r="4380">
          <cell r="A4380" t="str">
            <v>7.1070120292108010</v>
          </cell>
          <cell r="B4380" t="str">
            <v>MEIZAN BOS MP34-38 IV48-52 PEBAG@20KG</v>
          </cell>
          <cell r="C4380" t="str">
            <v>DẦU BƠ THAY THẾ NHÃN HIỆU MEIZAN 20KG</v>
          </cell>
          <cell r="D4380" t="str">
            <v>MEIZAN BOS MP34-38 IV48-52 PEBAG@20KG</v>
          </cell>
          <cell r="E4380">
            <v>20</v>
          </cell>
          <cell r="F4380" t="str">
            <v>Chọn</v>
          </cell>
          <cell r="G4380"/>
          <cell r="H4380"/>
        </row>
        <row r="4381">
          <cell r="A4381" t="str">
            <v>7.B24100833E80199</v>
          </cell>
          <cell r="B4381" t="str">
            <v>MAYONNAISE MEIZAN 3KG X 4 TUB/ CAR</v>
          </cell>
          <cell r="C4381" t="str">
            <v>MAYONNAISE MEIZAN 3KG X 4 HỘP/ THÙNG</v>
          </cell>
          <cell r="D4381" t="str">
            <v>MAYONNAISE MEIZAN 3KG X 4 TUB/ CAR</v>
          </cell>
          <cell r="E4381">
            <v>12</v>
          </cell>
          <cell r="F4381" t="str">
            <v>Bỏ chọn</v>
          </cell>
          <cell r="G4381" t="str">
            <v>2000000008</v>
          </cell>
          <cell r="H4381" t="str">
            <v>7.B24100833E8019901</v>
          </cell>
        </row>
        <row r="4382">
          <cell r="A4382" t="str">
            <v>7.B24100833E8019901</v>
          </cell>
          <cell r="B4382" t="str">
            <v>MAYONNAISE MEIZAN 3KG</v>
          </cell>
          <cell r="C4382" t="str">
            <v>MAYONNAISE MEIZAN 3KG</v>
          </cell>
          <cell r="D4382" t="str">
            <v>MAYONNAISE MEIZAN 3KG</v>
          </cell>
          <cell r="E4382">
            <v>3</v>
          </cell>
          <cell r="F4382" t="str">
            <v>Bỏ chọn</v>
          </cell>
          <cell r="G4382" t="str">
            <v>2000000008</v>
          </cell>
          <cell r="H4382"/>
        </row>
        <row r="4383">
          <cell r="A4383" t="str">
            <v>7.705I5</v>
          </cell>
          <cell r="B4383" t="str">
            <v>ELEVANCE CLEAN 1200 IN BOTTLE 1.2KG</v>
          </cell>
          <cell r="C4383" t="str">
            <v>ELEVANCE CLEAN 1200 - CHẤT TẨY RỬA DẦU MỠ ĐÓNG TRONG LỌ 1.2KG</v>
          </cell>
          <cell r="D4383" t="str">
            <v>ELEVANCE CLEAN 1200 IN BOTTLE 1.2KG</v>
          </cell>
          <cell r="E4383">
            <v>1</v>
          </cell>
          <cell r="F4383" t="str">
            <v>Chọn</v>
          </cell>
          <cell r="G4383"/>
          <cell r="H4383"/>
        </row>
        <row r="4384">
          <cell r="A4384" t="str">
            <v>7.705I6</v>
          </cell>
          <cell r="B4384" t="str">
            <v>UNIFY 270 IN BOTTLE 1.2KG</v>
          </cell>
          <cell r="C4384" t="str">
            <v>UNIFY 270 - CHẤT TẠO MÀNG CHO SƠN ĐÓNG TRONG LỌ 1.2KG</v>
          </cell>
          <cell r="D4384" t="str">
            <v>UNIFY 270 IN BOTTLE 1.2KG</v>
          </cell>
          <cell r="E4384">
            <v>1</v>
          </cell>
          <cell r="F4384" t="str">
            <v>Chọn</v>
          </cell>
          <cell r="G4384"/>
          <cell r="H4384"/>
        </row>
        <row r="4385">
          <cell r="A4385" t="str">
            <v>7.705I7</v>
          </cell>
          <cell r="B4385" t="str">
            <v>UNIFY 270 WITH FRAGRANCE IN BOTTLE 1.2KG</v>
          </cell>
          <cell r="C4385" t="str">
            <v>UNIFY 270 WITH FRAGRANCE - CHẤT TẠO MÀNG CHO SƠN ĐÓNG TRONG LỌ 1.2KG</v>
          </cell>
          <cell r="D4385" t="str">
            <v>UNIFY 270 WITH FRAGRANCE IN BOTTLE 1.2KG</v>
          </cell>
          <cell r="E4385">
            <v>1</v>
          </cell>
          <cell r="F4385" t="str">
            <v>Chọn</v>
          </cell>
          <cell r="G4385"/>
          <cell r="H4385"/>
        </row>
        <row r="4386">
          <cell r="A4386" t="str">
            <v>N04.0022039.00093</v>
          </cell>
          <cell r="B4386" t="str">
            <v>TEXT BOOK, SIZE:210 X 297 MM, TITLE:MEIZAN FLOUR AND YEAST CATALOG, ADDITIONAL DETAILS:36 PAGES INCLUDE COVER, COVER: 4 PAGES, C200 PAPER, TEXT BLOCK: 32PAGES,C100 PAPER, 4-COLOR PRINTING ON BOTH SIDES, STAPLE, BINDING COVER 1&lt;(&gt;&amp;&lt;)&gt;4</v>
          </cell>
          <cell r="C4386" t="str">
            <v>CATALOGUE BỘT MÌ VÀ MEN</v>
          </cell>
          <cell r="D4386" t="str">
            <v>TEXT BOOK,MEIZAN FLOUR AND YEAST CATALOG</v>
          </cell>
          <cell r="E4386">
            <v>0</v>
          </cell>
          <cell r="F4386" t="str">
            <v>Chọn</v>
          </cell>
          <cell r="G4386"/>
          <cell r="H4386"/>
        </row>
        <row r="4387">
          <cell r="A4387" t="str">
            <v>7.705I8</v>
          </cell>
          <cell r="B4387" t="str">
            <v>ELEVANCE CLEAN 1000 IN BOTTLE 0.5KG</v>
          </cell>
          <cell r="C4387" t="str">
            <v>ELEVANCE CLEAN 1000 - CHẤT TẨY RỬA DẦU MỠ ĐÓNG TRONG LỌ 0.5KG</v>
          </cell>
          <cell r="D4387" t="str">
            <v>ELEVANCE CLEAN 1000 IN BOTTLE 0.5KG</v>
          </cell>
          <cell r="E4387">
            <v>1</v>
          </cell>
          <cell r="F4387" t="str">
            <v>Chọn</v>
          </cell>
          <cell r="G4387"/>
          <cell r="H4387"/>
        </row>
        <row r="4388">
          <cell r="A4388" t="str">
            <v>N04.0018006.00295</v>
          </cell>
          <cell r="B4388" t="str">
            <v>PROMOTIONAL STUFF,BOOTH/STAND,MEIZAN</v>
          </cell>
          <cell r="C4388" t="str">
            <v>BÀN (BOOTH SAMPLING) MEIZAN</v>
          </cell>
          <cell r="D4388" t="str">
            <v>PROMOTIONAL STUFF,BOOTH/STAND,MEIZAN</v>
          </cell>
          <cell r="E4388">
            <v>0</v>
          </cell>
          <cell r="F4388" t="str">
            <v>Chọn</v>
          </cell>
          <cell r="G4388"/>
          <cell r="H4388"/>
        </row>
        <row r="4389">
          <cell r="A4389" t="str">
            <v>N04.0014027.00042</v>
          </cell>
          <cell r="B4389" t="str">
            <v>CART,DISPLAY SHELF,IRON,W. 47.6 X D. 24</v>
          </cell>
          <cell r="C4389" t="str">
            <v>KỆ SẮT MEIZAN LỚN 2 TẦNG</v>
          </cell>
          <cell r="D4389" t="str">
            <v>CART,DISPLAY SHELF,IRON,W. 47.6 X D. 24</v>
          </cell>
          <cell r="E4389">
            <v>0</v>
          </cell>
          <cell r="F4389" t="str">
            <v>Chọn</v>
          </cell>
          <cell r="G4389"/>
          <cell r="H4389"/>
        </row>
        <row r="4390">
          <cell r="A4390" t="str">
            <v>N04.0018006.00294</v>
          </cell>
          <cell r="B4390" t="str">
            <v>PROMOTIONAL STUFF,SHELF DUMP BINS DISPLA</v>
          </cell>
          <cell r="C4390" t="str">
            <v>KỆ SẮT MEIZAN NHỎ 1 TẦNG</v>
          </cell>
          <cell r="D4390" t="str">
            <v>PROMOTIONAL STUFF,SHELF DUMP BINS DISPLA</v>
          </cell>
          <cell r="E4390">
            <v>0</v>
          </cell>
          <cell r="F4390" t="str">
            <v>Chọn</v>
          </cell>
          <cell r="G4390"/>
          <cell r="H4390"/>
        </row>
        <row r="4391">
          <cell r="A4391" t="str">
            <v>N17.0117001.00277</v>
          </cell>
          <cell r="B4391" t="str">
            <v>SCALE,WEIGH,500 G,114 X 113.5 X 2 MM,PLA</v>
          </cell>
          <cell r="C4391" t="str">
            <v>CÂN NHƠN HÒA 500 GR</v>
          </cell>
          <cell r="D4391" t="str">
            <v>SCALE,WEIGH,500 G,114 X 113.5 X 2 MM,PLA</v>
          </cell>
          <cell r="E4391">
            <v>0</v>
          </cell>
          <cell r="F4391" t="str">
            <v>Chọn</v>
          </cell>
          <cell r="G4391"/>
          <cell r="H4391"/>
        </row>
        <row r="4392">
          <cell r="A4392" t="str">
            <v>V51.00A.074</v>
          </cell>
          <cell r="B4392" t="str">
            <v>TUCK BOTTOM PAPER TRAY (WITH PRINTED LOGO, TAGLINE)</v>
          </cell>
          <cell r="C4392" t="str">
            <v>KHAY GIẤY ĐÁY GÀI (CÓ IN LOGO, TAGLINE)</v>
          </cell>
          <cell r="D4392" t="str">
            <v>TUCK BOTTOM PAPER TRAY (WITH PRINTED LOGO, TAGLINE)</v>
          </cell>
          <cell r="E4392">
            <v>0</v>
          </cell>
          <cell r="F4392" t="str">
            <v>Bỏ chọn</v>
          </cell>
          <cell r="G4392"/>
          <cell r="H4392"/>
        </row>
        <row r="4393">
          <cell r="A4393" t="str">
            <v>7.A320108990101C0</v>
          </cell>
          <cell r="B4393" t="str">
            <v>MEIZAN PREMIUM EGG NOODLE - FLAT STRING 500G X 12 PACKS</v>
          </cell>
          <cell r="C4393" t="str">
            <v>MÌ TRỨNG CAO CẤP MEIZAN - SỢI DẸT 500G X 12 GÓI</v>
          </cell>
          <cell r="D4393" t="str">
            <v>MEIZAN PREMIUM EGG NOODLE - FLAT STRING 500G X 12 PACKS</v>
          </cell>
          <cell r="E4393">
            <v>6</v>
          </cell>
          <cell r="F4393" t="str">
            <v>Bỏ chọn</v>
          </cell>
          <cell r="G4393"/>
          <cell r="H4393"/>
        </row>
        <row r="4394">
          <cell r="A4394" t="str">
            <v>7.A320108990101C001</v>
          </cell>
          <cell r="B4394" t="str">
            <v>MEIZAN PREMIUM EGG NOODLE - FLAT STRING 500G</v>
          </cell>
          <cell r="C4394" t="str">
            <v>MÌ TRỨNG CAO CẤP MEIZAN - SỢI DẸT 500G</v>
          </cell>
          <cell r="D4394" t="str">
            <v>MEIZAN PREMIUM EGG NOODLE - FLAT STRING 500G</v>
          </cell>
          <cell r="E4394">
            <v>0.5</v>
          </cell>
          <cell r="F4394" t="str">
            <v>Bỏ chọn</v>
          </cell>
          <cell r="G4394"/>
          <cell r="H4394"/>
        </row>
        <row r="4395">
          <cell r="A4395" t="str">
            <v>V51.000.208</v>
          </cell>
          <cell r="B4395" t="str">
            <v>PASEO FACIAL TISSUE 2 PLY 220 SHEETS SOFT PACK X 40 PCS IN CARTON</v>
          </cell>
          <cell r="C4395" t="str">
            <v>KHĂN GIẤY LAU MẶT PASEO 220 TỜ 2 LỚP X 40 GÓI TRONG THÙNG CARTON</v>
          </cell>
          <cell r="D4395" t="str">
            <v>PASEO FACIAL TISSUE 2 PLY 220 SHEETS SOFT PACK X 40 PCS IN CARTON</v>
          </cell>
          <cell r="E4395">
            <v>9.8019999999999996</v>
          </cell>
          <cell r="F4395" t="str">
            <v>Chọn</v>
          </cell>
          <cell r="G4395"/>
          <cell r="H4395"/>
        </row>
        <row r="4396">
          <cell r="A4396" t="str">
            <v>V51.000.209</v>
          </cell>
          <cell r="B4396" t="str">
            <v>PASEO FACIAL TISSUE 2 PLY 220 SHEETS SOFT PACK</v>
          </cell>
          <cell r="C4396" t="str">
            <v>KHĂN GIẤY LAU MẶT PASEO 220 TỜ 2 LỚP</v>
          </cell>
          <cell r="D4396" t="str">
            <v>PASEO FACIAL TISSUE 2 PLY 220 SHEETS SOFT PACK</v>
          </cell>
          <cell r="E4396">
            <v>0.245</v>
          </cell>
          <cell r="F4396" t="str">
            <v>Chọn</v>
          </cell>
          <cell r="G4396"/>
          <cell r="H4396"/>
        </row>
        <row r="4397">
          <cell r="A4397" t="str">
            <v>7.707706N328170000</v>
          </cell>
          <cell r="B4397" t="str">
            <v>POWER100DWLCINNAMONESSENTIALOILBTL@1.4KG</v>
          </cell>
          <cell r="C4397" t="str">
            <v>NƯỚC RỬA CHÉN POWER100 TINH DẦU QUẾ 1.4KG</v>
          </cell>
          <cell r="D4397" t="str">
            <v>POWER100DWLCINNAMONESSENTIALOILBTL@1.4KG</v>
          </cell>
          <cell r="E4397">
            <v>1.4</v>
          </cell>
          <cell r="F4397" t="str">
            <v>Chọn</v>
          </cell>
          <cell r="G4397"/>
          <cell r="H4397"/>
        </row>
        <row r="4398">
          <cell r="A4398" t="str">
            <v>7.7077066528170000</v>
          </cell>
          <cell r="B4398" t="str">
            <v>POWER100DWLCINNAMONESSENTIALOILBTL@3.5KG</v>
          </cell>
          <cell r="C4398" t="str">
            <v>NƯỚC RỬA CHÉN POWER100 TINH DẦU QUẾ 3.5KG</v>
          </cell>
          <cell r="D4398" t="str">
            <v>POWER100DWLCINNAMONESSENTIALOILBTL@3.5KG</v>
          </cell>
          <cell r="E4398">
            <v>3.5</v>
          </cell>
          <cell r="F4398" t="str">
            <v>Chọn</v>
          </cell>
          <cell r="G4398"/>
          <cell r="H4398"/>
        </row>
        <row r="4399">
          <cell r="A4399" t="str">
            <v>7.707706N32817000K</v>
          </cell>
          <cell r="B4399" t="str">
            <v>POWER100DWLCINNAMONESENTIALOIL1.4KG*8BTL</v>
          </cell>
          <cell r="C4399" t="str">
            <v>NƯỚC RỬA CHÉN POWER100 TINH DẦU QUẾ 1.4KG*8</v>
          </cell>
          <cell r="D4399" t="str">
            <v>POWER100DWLCINNAMONESENTIALOIL1.4KG*8BTL</v>
          </cell>
          <cell r="E4399">
            <v>11.2</v>
          </cell>
          <cell r="F4399" t="str">
            <v>Chọn</v>
          </cell>
          <cell r="G4399"/>
          <cell r="H4399" t="str">
            <v>7.707706N328170000</v>
          </cell>
        </row>
        <row r="4400">
          <cell r="A4400" t="str">
            <v>7.707706652817000H</v>
          </cell>
          <cell r="B4400" t="str">
            <v>POWER100DWLCINNAMONESENTIALOIL3.5KG*4BTL</v>
          </cell>
          <cell r="C4400" t="str">
            <v>NƯỚC RỬA CHÉN POWER100 TINH DẦU QUẾ 3.5KG*4</v>
          </cell>
          <cell r="D4400" t="str">
            <v>POWER100DWLCINNAMONESENTIALOIL3.5KG*4BTL</v>
          </cell>
          <cell r="E4400">
            <v>14</v>
          </cell>
          <cell r="F4400" t="str">
            <v>Chọn</v>
          </cell>
          <cell r="G4400"/>
          <cell r="H4400" t="str">
            <v>7.7077066528170000</v>
          </cell>
        </row>
        <row r="4401">
          <cell r="A4401" t="str">
            <v>N04.0018006.00297</v>
          </cell>
          <cell r="B4401" t="str">
            <v>PROMOTIONAL STUFF,LEAFLET,POWER 100</v>
          </cell>
          <cell r="C4401" t="str">
            <v>TỜ RƠI GIỚI THIỆU SẢN PHẨM POWER100</v>
          </cell>
          <cell r="D4401" t="str">
            <v>PROMOTIONAL STUFF,LEAFLET,POWER 100</v>
          </cell>
          <cell r="E4401">
            <v>0</v>
          </cell>
          <cell r="F4401" t="str">
            <v>Chọn</v>
          </cell>
          <cell r="G4401"/>
          <cell r="H4401"/>
        </row>
        <row r="4402">
          <cell r="A4402" t="str">
            <v>N04.0017001.00022</v>
          </cell>
          <cell r="B4402" t="str">
            <v>APRON,FABRIC</v>
          </cell>
          <cell r="C4402" t="str">
            <v>TẠP DỀ NEPTUNE</v>
          </cell>
          <cell r="D4402" t="str">
            <v>APRON,FABRIC</v>
          </cell>
          <cell r="E4402">
            <v>0</v>
          </cell>
          <cell r="F4402" t="str">
            <v>Chọn</v>
          </cell>
          <cell r="G4402"/>
          <cell r="H4402"/>
        </row>
        <row r="4403">
          <cell r="A4403" t="str">
            <v>N13.0007002.00030</v>
          </cell>
          <cell r="B4403" t="str">
            <v>RICE,PREMIUM WHITE RICE</v>
          </cell>
          <cell r="C4403" t="str">
            <v>NEPTUNE GẠO THƠM THƯỢNG HẠNG 5 KG</v>
          </cell>
          <cell r="D4403" t="str">
            <v>RICE,PREMIUM WHITE RICE</v>
          </cell>
          <cell r="E4403">
            <v>0</v>
          </cell>
          <cell r="F4403" t="str">
            <v>Chọn</v>
          </cell>
          <cell r="G4403"/>
          <cell r="H4403"/>
        </row>
        <row r="4404">
          <cell r="A4404" t="str">
            <v>7.A43100899C30199</v>
          </cell>
          <cell r="B4404" t="str">
            <v>MEIZAN RICE PAPER 120G X 40 PACKS</v>
          </cell>
          <cell r="C4404" t="str">
            <v>BÁNH TRÁNG MEIZAN 120G</v>
          </cell>
          <cell r="D4404" t="str">
            <v>MEIZAN RICE PAPER 120G X 40 PACKS</v>
          </cell>
          <cell r="E4404">
            <v>4.8</v>
          </cell>
          <cell r="F4404" t="str">
            <v>Bỏ chọn</v>
          </cell>
          <cell r="G4404"/>
          <cell r="H4404"/>
        </row>
        <row r="4405">
          <cell r="A4405" t="str">
            <v>7.A43100899C3019901</v>
          </cell>
          <cell r="B4405" t="str">
            <v>MEIZAN RICE PAPER 120G</v>
          </cell>
          <cell r="C4405" t="str">
            <v>BÁNH TRÁNG MEIZAN 120G</v>
          </cell>
          <cell r="D4405" t="str">
            <v>MEIZAN RICE PAPER 120G</v>
          </cell>
          <cell r="E4405">
            <v>0.12</v>
          </cell>
          <cell r="F4405" t="str">
            <v>Bỏ chọn</v>
          </cell>
          <cell r="G4405"/>
          <cell r="H4405"/>
        </row>
        <row r="4406">
          <cell r="A4406" t="str">
            <v>7.705J0</v>
          </cell>
          <cell r="B4406" t="str">
            <v>FATTY ALCOHOL 1698 IN BAG 25KG</v>
          </cell>
          <cell r="C4406" t="str">
            <v>HỢP CHẤT FATTY ALCOHOL 1698 ĐÓNG TRONG BAO 25KG</v>
          </cell>
          <cell r="D4406" t="str">
            <v>FATTY ALCOHOL 1698 IN BAG 25KG</v>
          </cell>
          <cell r="E4406">
            <v>1</v>
          </cell>
          <cell r="F4406" t="str">
            <v>Chọn</v>
          </cell>
          <cell r="G4406"/>
          <cell r="H4406"/>
        </row>
        <row r="4407">
          <cell r="A4407" t="str">
            <v>7.089062120111101</v>
          </cell>
          <cell r="B4407" t="str">
            <v>MEIZANDRYYEASTHISUGAR YELLOWLBPEBAG@500G</v>
          </cell>
          <cell r="C4407" t="str">
            <v>MEN KHÔ DÙNG LIỀN HIỆU MEIZAN - NHÃN VÀNG 500GR (GÓI)</v>
          </cell>
          <cell r="D4407" t="str">
            <v>MEIZANDRYYEASTHISUGAR YELLOWLBPEBAG@500G</v>
          </cell>
          <cell r="E4407">
            <v>0.5</v>
          </cell>
          <cell r="F4407" t="str">
            <v>Chọn</v>
          </cell>
          <cell r="G4407"/>
          <cell r="H4407"/>
        </row>
        <row r="4408">
          <cell r="A4408" t="str">
            <v>7.089062120091201</v>
          </cell>
          <cell r="B4408" t="str">
            <v>MEIZAN DRYYEASTLOWSUGAR REDLB PEBAG@500G</v>
          </cell>
          <cell r="C4408" t="str">
            <v>MEN KHÔ DÙNG LIỀN HIỆU MEIZAN - NHÃN ĐỎ 500GR (GÓI)</v>
          </cell>
          <cell r="D4408" t="str">
            <v>MEIZAN DRYYEASTLOWSUGAR REDLB PEBAG@500G</v>
          </cell>
          <cell r="E4408">
            <v>0.5</v>
          </cell>
          <cell r="F4408" t="str">
            <v>Chọn</v>
          </cell>
          <cell r="G4408"/>
          <cell r="H4408"/>
        </row>
        <row r="4409">
          <cell r="A4409" t="str">
            <v>N04.0018006.00309</v>
          </cell>
          <cell r="B4409" t="str">
            <v>PROMOTIONAL STUFF,HANGING SAMPLING TRAY,</v>
          </cell>
          <cell r="C4409" t="str">
            <v>KHAY MẪU NƯỚC RỬA CHÉN POWER100 TREO KỆ</v>
          </cell>
          <cell r="D4409" t="str">
            <v>PROMOTIONAL STUFF,HANGING SAMPLING TRAY,</v>
          </cell>
          <cell r="E4409">
            <v>0</v>
          </cell>
          <cell r="F4409" t="str">
            <v>Chọn</v>
          </cell>
          <cell r="G4409"/>
          <cell r="H4409"/>
        </row>
        <row r="4410">
          <cell r="A4410" t="str">
            <v>N04.0023001.00319</v>
          </cell>
          <cell r="B4410" t="str">
            <v>BANNER,180 X 80 CM,DECAL</v>
          </cell>
          <cell r="C4410" t="str">
            <v>KHUNG TRƯNG BÀY (STANDEE) MEIZAN</v>
          </cell>
          <cell r="D4410" t="str">
            <v>BANNER,180 X 80 CM,DECAL</v>
          </cell>
          <cell r="E4410">
            <v>0</v>
          </cell>
          <cell r="F4410" t="str">
            <v>Chọn</v>
          </cell>
          <cell r="G4410"/>
          <cell r="H4410"/>
        </row>
        <row r="4411">
          <cell r="A4411" t="str">
            <v>N04.0018006.00291</v>
          </cell>
          <cell r="B4411" t="str">
            <v>PROMOTIONAL STUFF,T-SHIRT,MEIZAN</v>
          </cell>
          <cell r="C4411" t="str">
            <v>ÁO THUN MEIZAN</v>
          </cell>
          <cell r="D4411" t="str">
            <v>PROMOTIONAL STUFF,T-SHIRT,MEIZAN</v>
          </cell>
          <cell r="E4411">
            <v>0</v>
          </cell>
          <cell r="F4411" t="str">
            <v>Chọn</v>
          </cell>
          <cell r="G4411"/>
          <cell r="H4411"/>
        </row>
        <row r="4412">
          <cell r="A4412" t="str">
            <v>7.707658F628170000</v>
          </cell>
          <cell r="B4412" t="str">
            <v>POWER100 GREEN DWL GRAPEFRUIT BTL@400G</v>
          </cell>
          <cell r="C4412" t="str">
            <v>NƯỚC RỬA CHÉN POWER100 GREEN TINH DẦU BƯỞI TÂY 400G</v>
          </cell>
          <cell r="D4412" t="str">
            <v>POWER100 GREEN DWL GRAPEFRUIT BTL@400G</v>
          </cell>
          <cell r="E4412">
            <v>0.4</v>
          </cell>
          <cell r="F4412" t="str">
            <v>Chọn</v>
          </cell>
          <cell r="G4412"/>
          <cell r="H4412"/>
        </row>
        <row r="4413">
          <cell r="A4413" t="str">
            <v>7.707658N328170000</v>
          </cell>
          <cell r="B4413" t="str">
            <v>POWER100 GREEN DWL GRAPEFRUIT BTL@1.4KG</v>
          </cell>
          <cell r="C4413" t="str">
            <v>NƯỚC RỬA CHÉN POWER100 GREEN TINH DẦU BƯỞI TÂY 1.4KG</v>
          </cell>
          <cell r="D4413" t="str">
            <v>POWER100 GREEN DWL GRAPEFRUIT BTL@1.4KG</v>
          </cell>
          <cell r="E4413">
            <v>1.4</v>
          </cell>
          <cell r="F4413" t="str">
            <v>Chọn</v>
          </cell>
          <cell r="G4413"/>
          <cell r="H4413"/>
        </row>
        <row r="4414">
          <cell r="A4414" t="str">
            <v>7.707658F62817000A</v>
          </cell>
          <cell r="B4414" t="str">
            <v>POWER100 GREEN DWL GRAPEFRUIT 400G*24BTL</v>
          </cell>
          <cell r="C4414" t="str">
            <v>NƯỚC RỬA CHÉN POWER100 GREEN TINH DẦU BƯỞI TÂY 400G*24</v>
          </cell>
          <cell r="D4414" t="str">
            <v>POWER100 GREEN DWL GRAPEFRUIT 400G*24BTL</v>
          </cell>
          <cell r="E4414">
            <v>9.6</v>
          </cell>
          <cell r="F4414" t="str">
            <v>Chọn</v>
          </cell>
          <cell r="G4414"/>
          <cell r="H4414" t="str">
            <v>7.707658F628170000</v>
          </cell>
        </row>
        <row r="4415">
          <cell r="A4415" t="str">
            <v>7.707658N32817000K</v>
          </cell>
          <cell r="B4415" t="str">
            <v>POWER100 GREEN DWL GRAPEFRUIT 1.4KG*8BTL</v>
          </cell>
          <cell r="C4415" t="str">
            <v>NƯỚC RỬA CHÉN POWER100 GREEN TINH DẦU BƯỞI TÂY 1.4KG*8</v>
          </cell>
          <cell r="D4415" t="str">
            <v>POWER100 GREEN DWL GRAPEFRUIT 1.4KG*8BTL</v>
          </cell>
          <cell r="E4415">
            <v>11.2</v>
          </cell>
          <cell r="F4415" t="str">
            <v>Chọn</v>
          </cell>
          <cell r="G4415"/>
          <cell r="H4415" t="str">
            <v>7.707658N328170000</v>
          </cell>
        </row>
        <row r="4416">
          <cell r="A4416" t="str">
            <v>7.B24092399020199</v>
          </cell>
          <cell r="B4416" t="str">
            <v>SALAD DRESSING 250G X 4 PCS/ CAR</v>
          </cell>
          <cell r="C4416" t="str">
            <v>SỐT DẦU DẤM TRỘN SALAD 250G X 4 LỐC/ THÙNG</v>
          </cell>
          <cell r="D4416" t="str">
            <v>SALAD DRESSING 250G X 4 PCS/ CAR</v>
          </cell>
          <cell r="E4416">
            <v>6</v>
          </cell>
          <cell r="F4416" t="str">
            <v>Bỏ chọn</v>
          </cell>
          <cell r="G4416"/>
          <cell r="H4416"/>
        </row>
        <row r="4417">
          <cell r="A4417" t="str">
            <v>7.B24022399E90166</v>
          </cell>
          <cell r="B4417" t="str">
            <v>NAM DUONG HOT CHILI SAUCE 255G X 4 PCS/ CAR</v>
          </cell>
          <cell r="C4417" t="str">
            <v>TƯƠNG ỚT NAM DƯƠNG CAY VỪA 255G X 4 LỐC/ THÙNG</v>
          </cell>
          <cell r="D4417" t="str">
            <v>NAM DUONG HOT CHILI SAUCE 255G X 4 PCS/ CAR</v>
          </cell>
          <cell r="E4417">
            <v>6.12</v>
          </cell>
          <cell r="F4417" t="str">
            <v>Bỏ chọn</v>
          </cell>
          <cell r="G4417"/>
          <cell r="H4417"/>
        </row>
        <row r="4418">
          <cell r="A4418" t="str">
            <v>N04.0019026.00239</v>
          </cell>
          <cell r="B4418" t="str">
            <v>UNIFORM,POLO SHIRT,SHORT SLEEVE,POWER100</v>
          </cell>
          <cell r="C4418" t="str">
            <v>ÁO THUN POWER100 XANH</v>
          </cell>
          <cell r="D4418" t="str">
            <v>UNIFORM,POLO SHIRT,SHORT SLEEVE,POWER100</v>
          </cell>
          <cell r="E4418">
            <v>0</v>
          </cell>
          <cell r="F4418" t="str">
            <v>Chọn</v>
          </cell>
          <cell r="G4418"/>
          <cell r="H4418"/>
        </row>
        <row r="4419">
          <cell r="A4419" t="str">
            <v>N04.0013032.00011</v>
          </cell>
          <cell r="B4419" t="str">
            <v>WATER JUG DISPENSER,POLYPROPYLENE</v>
          </cell>
          <cell r="C4419" t="str">
            <v>BÌNH ĐÁ POWER100 ICOOL 6</v>
          </cell>
          <cell r="D4419" t="str">
            <v>WATER JUG DISPENSER,POLYPROPYLENE</v>
          </cell>
          <cell r="E4419">
            <v>0</v>
          </cell>
          <cell r="F4419" t="str">
            <v>Chọn</v>
          </cell>
          <cell r="G4419"/>
          <cell r="H4419"/>
        </row>
        <row r="4420">
          <cell r="A4420" t="str">
            <v>N04.0018006.00306</v>
          </cell>
          <cell r="B4420" t="str">
            <v>PROMOTIONAL STUFF,DISPLAY STAND SHELF,PO</v>
          </cell>
          <cell r="C4420" t="str">
            <v>KỆ SẮT POWER100</v>
          </cell>
          <cell r="D4420" t="str">
            <v>PROMOTIONAL STUFF,DISPLAY STAND SHELF,PO</v>
          </cell>
          <cell r="E4420">
            <v>0</v>
          </cell>
          <cell r="F4420" t="str">
            <v>Chọn</v>
          </cell>
          <cell r="G4420"/>
          <cell r="H4420"/>
        </row>
        <row r="4421">
          <cell r="A4421" t="str">
            <v>N16.0459001.00003</v>
          </cell>
          <cell r="B4421" t="str">
            <v>LANYARD,LANYARD,4 (IRON HOOK STRAP TOPBO</v>
          </cell>
          <cell r="C4421" t="str">
            <v>DÂY TREO CỔ CHAI POWER100 (XANH DƯƠNG)</v>
          </cell>
          <cell r="D4421" t="str">
            <v>LANYARD,LANYARD,4 (IRON HOOK STRAP TOPBO</v>
          </cell>
          <cell r="E4421">
            <v>0</v>
          </cell>
          <cell r="F4421" t="str">
            <v>Chọn</v>
          </cell>
          <cell r="G4421"/>
          <cell r="H4421"/>
        </row>
        <row r="4422">
          <cell r="A4422" t="str">
            <v>7.705J1</v>
          </cell>
          <cell r="B4422" t="str">
            <v>FATTY ALCOHOL 1618 IN BAG 25KG</v>
          </cell>
          <cell r="C4422" t="str">
            <v>HỢP CHẤT FATTY ALCOHOL 1618 ĐÓNG TRONG BAO 25KG</v>
          </cell>
          <cell r="D4422" t="str">
            <v>FATTY ALCOHOL 1618 IN BAG 25KG</v>
          </cell>
          <cell r="E4422">
            <v>1</v>
          </cell>
          <cell r="F4422" t="str">
            <v>Chọn</v>
          </cell>
          <cell r="G4422"/>
          <cell r="H4422"/>
        </row>
        <row r="4423">
          <cell r="A4423" t="str">
            <v>7.090026641990900</v>
          </cell>
          <cell r="B4423" t="str">
            <v>MEIZAN VIETNAMESE PANCAKE MIX PEBAG@400G</v>
          </cell>
          <cell r="C4423" t="str">
            <v>BỘT BÁNH XÈO MEIZAN 400G</v>
          </cell>
          <cell r="D4423" t="str">
            <v>MEIZAN VIETNAMESE PANCAKE MIX PEBAG@400G</v>
          </cell>
          <cell r="E4423">
            <v>0.4</v>
          </cell>
          <cell r="F4423" t="str">
            <v>Chọn</v>
          </cell>
          <cell r="G4423" t="str">
            <v>2000000007</v>
          </cell>
          <cell r="H4423"/>
        </row>
        <row r="4424">
          <cell r="A4424" t="str">
            <v>7.090026641990913</v>
          </cell>
          <cell r="B4424" t="str">
            <v>MEIZAN VIETNAMESE PANCAKE MIX 400G*12BAG</v>
          </cell>
          <cell r="C4424" t="str">
            <v>BỘT BÁNH XÈO MEIZAN 400G X 12 GÓI</v>
          </cell>
          <cell r="D4424" t="str">
            <v>MEIZAN VIETNAMESE PANCAKE MIX 400G*12BAG</v>
          </cell>
          <cell r="E4424">
            <v>4.8</v>
          </cell>
          <cell r="F4424" t="str">
            <v>Chọn</v>
          </cell>
          <cell r="G4424" t="str">
            <v>2000000007</v>
          </cell>
          <cell r="H4424" t="str">
            <v>7.090026641990900</v>
          </cell>
        </row>
        <row r="4425">
          <cell r="A4425" t="str">
            <v>7.55601010672006</v>
          </cell>
          <cell r="B4425" t="str">
            <v>MEIZAN CORN STARCH 150G X 22 PLASTIC BAG</v>
          </cell>
          <cell r="C4425" t="str">
            <v>BỘT BẮP MEIZAN 150G X 22 GÓI</v>
          </cell>
          <cell r="D4425" t="str">
            <v>MEIZAN CORN STARCH 150G X 22 PLASTIC BAG</v>
          </cell>
          <cell r="E4425">
            <v>3.3</v>
          </cell>
          <cell r="F4425" t="str">
            <v>Chọn</v>
          </cell>
          <cell r="G4425" t="str">
            <v>2000000007</v>
          </cell>
          <cell r="H4425" t="str">
            <v>7.55601010670006</v>
          </cell>
        </row>
        <row r="4426">
          <cell r="A4426" t="str">
            <v>7.55601010670006</v>
          </cell>
          <cell r="B4426" t="str">
            <v>MEIZAN CORN STARCH IN PLASTIC BAG @150G</v>
          </cell>
          <cell r="C4426" t="str">
            <v>BỘT BẮP MEIZAN 150G</v>
          </cell>
          <cell r="D4426" t="str">
            <v>MEIZAN CORN STARCH IN PLASTIC BAG @150G</v>
          </cell>
          <cell r="E4426">
            <v>0.15</v>
          </cell>
          <cell r="F4426" t="str">
            <v>Chọn</v>
          </cell>
          <cell r="G4426" t="str">
            <v>2000000007</v>
          </cell>
          <cell r="H4426"/>
        </row>
        <row r="4427">
          <cell r="A4427" t="str">
            <v>7.55601041671206</v>
          </cell>
          <cell r="B4427" t="str">
            <v>MEIZAN CORN STARCH 1KG X 10 PLASTIC BAG</v>
          </cell>
          <cell r="C4427" t="str">
            <v>BỘT BẮP MEIZAN 1KG X 10 GÓI</v>
          </cell>
          <cell r="D4427" t="str">
            <v>MEIZAN CORN STARCH 1KG X 10 PLASTIC BAG</v>
          </cell>
          <cell r="E4427">
            <v>10</v>
          </cell>
          <cell r="F4427" t="str">
            <v>Chọn</v>
          </cell>
          <cell r="G4427" t="str">
            <v>2000000007</v>
          </cell>
          <cell r="H4427" t="str">
            <v>7.55601041670006</v>
          </cell>
        </row>
        <row r="4428">
          <cell r="A4428" t="str">
            <v>7.55601041670006</v>
          </cell>
          <cell r="B4428" t="str">
            <v>MEIZAN CORN STARCH IN PLASTIC BAG @1KG</v>
          </cell>
          <cell r="C4428" t="str">
            <v>BỘT BẮP MEIZAN 1KG</v>
          </cell>
          <cell r="D4428" t="str">
            <v>MEIZAN CORN STARCH IN PLASTIC BAG @1KG</v>
          </cell>
          <cell r="E4428">
            <v>1</v>
          </cell>
          <cell r="F4428" t="str">
            <v>Chọn</v>
          </cell>
          <cell r="G4428" t="str">
            <v>2000000007</v>
          </cell>
          <cell r="H4428"/>
        </row>
        <row r="4429">
          <cell r="A4429" t="str">
            <v>7.522112052520101</v>
          </cell>
          <cell r="B4429" t="str">
            <v>MEIZAN CHICKEN FRYING FLOUR WOVENBG@10KG</v>
          </cell>
          <cell r="C4429" t="str">
            <v>BỘT CHIÊN GÀ BC MEIZAN 10KG</v>
          </cell>
          <cell r="D4429" t="str">
            <v>MEIZAN CHICKEN FRYING FLOUR WOVENBG@10KG</v>
          </cell>
          <cell r="E4429">
            <v>10</v>
          </cell>
          <cell r="F4429" t="str">
            <v>Chọn</v>
          </cell>
          <cell r="G4429" t="str">
            <v>2000000007</v>
          </cell>
          <cell r="H4429"/>
        </row>
        <row r="4430">
          <cell r="A4430" t="str">
            <v>7.5221450707Y0210</v>
          </cell>
          <cell r="B4430" t="str">
            <v>COMPASS CRISPY FRYING MIX 1KG X 10BAG</v>
          </cell>
          <cell r="C4430" t="str">
            <v>BỘT CHIÊN GIÒN LA BÀN 1KG X 10 GÓI</v>
          </cell>
          <cell r="D4430" t="str">
            <v>COMPASS CRISPY FRYING MIX 1KG X 10BAG</v>
          </cell>
          <cell r="E4430">
            <v>10</v>
          </cell>
          <cell r="F4430" t="str">
            <v>Chọn</v>
          </cell>
          <cell r="G4430" t="str">
            <v>2000000007</v>
          </cell>
          <cell r="H4430" t="str">
            <v>7.5221450707Y0201</v>
          </cell>
        </row>
        <row r="4431">
          <cell r="A4431" t="str">
            <v>7.5221450707Y0201</v>
          </cell>
          <cell r="B4431" t="str">
            <v>COMPASS CRISPY FRYING MIX PLASTICBAG@1KG</v>
          </cell>
          <cell r="C4431" t="str">
            <v>BỘT CHIÊN GIÒN LA BÀN 1KG</v>
          </cell>
          <cell r="D4431" t="str">
            <v>COMPASS CRISPY FRYING MIX PLASTICBAG@1KG</v>
          </cell>
          <cell r="E4431">
            <v>1</v>
          </cell>
          <cell r="F4431" t="str">
            <v>Chọn</v>
          </cell>
          <cell r="G4431" t="str">
            <v>2000000007</v>
          </cell>
          <cell r="H4431"/>
        </row>
        <row r="4432">
          <cell r="A4432" t="str">
            <v>7.5221125707Y0206</v>
          </cell>
          <cell r="B4432" t="str">
            <v>MEIZAN CRISPY FRYING MIX 150G X 24BAG</v>
          </cell>
          <cell r="C4432" t="str">
            <v>BỘT CHIÊN GIÒN MEIZAN 150G X 24 GÓI</v>
          </cell>
          <cell r="D4432" t="str">
            <v>MEIZAN CRISPY FRYING MIX 150G X 24BAG</v>
          </cell>
          <cell r="E4432">
            <v>3.6</v>
          </cell>
          <cell r="F4432" t="str">
            <v>Chọn</v>
          </cell>
          <cell r="G4432" t="str">
            <v>2000000007</v>
          </cell>
          <cell r="H4432" t="str">
            <v>7.5221125707Y0201</v>
          </cell>
        </row>
        <row r="4433">
          <cell r="A4433" t="str">
            <v>7.5221125707Y0201</v>
          </cell>
          <cell r="B4433" t="str">
            <v>MEIZAN CRISPY FRYING MIX PLASTICBAG@150G</v>
          </cell>
          <cell r="C4433" t="str">
            <v>BỘT CHIÊN GIÒN MEIZAN 150G</v>
          </cell>
          <cell r="D4433" t="str">
            <v>MEIZAN CRISPY FRYING MIX PLASTICBAG@150G</v>
          </cell>
          <cell r="E4433">
            <v>0.15</v>
          </cell>
          <cell r="F4433" t="str">
            <v>Chọn</v>
          </cell>
          <cell r="G4433" t="str">
            <v>2000000007</v>
          </cell>
          <cell r="H4433"/>
        </row>
        <row r="4434">
          <cell r="A4434" t="str">
            <v>7.5221125707Y0223</v>
          </cell>
          <cell r="B4434" t="str">
            <v>MEIZAN CRISPY FRYING MIX 150G X 60BAG</v>
          </cell>
          <cell r="C4434" t="str">
            <v>BỘT CHIÊN GIÒN MEIZAN 150G X 60 GÓI</v>
          </cell>
          <cell r="D4434" t="str">
            <v>MEIZAN CRISPY FRYING MIX 150G X 60BAG</v>
          </cell>
          <cell r="E4434">
            <v>9</v>
          </cell>
          <cell r="F4434" t="str">
            <v>Chọn</v>
          </cell>
          <cell r="G4434" t="str">
            <v>2000000007</v>
          </cell>
          <cell r="H4434" t="str">
            <v>7.5221125707Y0201</v>
          </cell>
        </row>
        <row r="4435">
          <cell r="A4435" t="str">
            <v>7.5221120707Y0210</v>
          </cell>
          <cell r="B4435" t="str">
            <v>MEIZAN CRISPY FRYING MIX 1KG X 10BAG</v>
          </cell>
          <cell r="C4435" t="str">
            <v>BỘT CHIÊN GIÒN MEIZAN 1KG X 10 GÓI</v>
          </cell>
          <cell r="D4435" t="str">
            <v>MEIZAN CRISPY FRYING MIX 1KG X 10BAG</v>
          </cell>
          <cell r="E4435">
            <v>10</v>
          </cell>
          <cell r="F4435" t="str">
            <v>Chọn</v>
          </cell>
          <cell r="G4435" t="str">
            <v>2000000007</v>
          </cell>
          <cell r="H4435" t="str">
            <v>7.5221120707Y0201</v>
          </cell>
        </row>
        <row r="4436">
          <cell r="A4436" t="str">
            <v>7.5221120707Y0201</v>
          </cell>
          <cell r="B4436" t="str">
            <v>MEIZAN CRISPY FRYING MIX PLASTICBAG@1KG</v>
          </cell>
          <cell r="C4436" t="str">
            <v>BỘT CHIÊN GIÒN MEIZAN 1KG</v>
          </cell>
          <cell r="D4436" t="str">
            <v>MEIZAN CRISPY FRYING MIX PLASTICBAG@1KG</v>
          </cell>
          <cell r="E4436">
            <v>1</v>
          </cell>
          <cell r="F4436" t="str">
            <v>Chọn</v>
          </cell>
          <cell r="G4436" t="str">
            <v>2000000007</v>
          </cell>
          <cell r="H4436"/>
        </row>
        <row r="4437">
          <cell r="A4437" t="str">
            <v>7.5221125707Z0206</v>
          </cell>
          <cell r="B4437" t="str">
            <v>MEIZAN SEASONED CRISPY FRYMIX 150G*24BAG</v>
          </cell>
          <cell r="C4437" t="str">
            <v>BỘT CHIÊN GIÒN MEIZAN ĐÃ NÊM SẴN GIA VỊ 150G X 24 GÓI</v>
          </cell>
          <cell r="D4437" t="str">
            <v>MEIZAN SEASONED CRISPY FRYMIX 150G*24BAG</v>
          </cell>
          <cell r="E4437">
            <v>3.6</v>
          </cell>
          <cell r="F4437" t="str">
            <v>Chọn</v>
          </cell>
          <cell r="G4437" t="str">
            <v>2000000007</v>
          </cell>
          <cell r="H4437" t="str">
            <v>7.5221125707Z0201</v>
          </cell>
        </row>
        <row r="4438">
          <cell r="A4438" t="str">
            <v>7.5221125707Z0201</v>
          </cell>
          <cell r="B4438" t="str">
            <v>MEIZAN SEASONED CRISPYFRYINGMIX BAG@150G</v>
          </cell>
          <cell r="C4438" t="str">
            <v>BỘT CHIÊN GIÒN MEIZAN ĐÃ NÊM SẴN GIA VỊ 150G</v>
          </cell>
          <cell r="D4438" t="str">
            <v>MEIZAN SEASONED CRISPYFRYINGMIX BAG@150G</v>
          </cell>
          <cell r="E4438">
            <v>0.15</v>
          </cell>
          <cell r="F4438" t="str">
            <v>Chọn</v>
          </cell>
          <cell r="G4438" t="str">
            <v>2000000007</v>
          </cell>
          <cell r="H4438"/>
        </row>
        <row r="4439">
          <cell r="A4439" t="str">
            <v>7.522112072510210</v>
          </cell>
          <cell r="B4439" t="str">
            <v>MEIZAN SEASONEDCHICKNFRIEDCOATMIX 1KG*10</v>
          </cell>
          <cell r="C4439" t="str">
            <v>BỘT GÀ RÁN MEIZAN CÓ GIA VỊ 1KG X 10 GÓI</v>
          </cell>
          <cell r="D4439" t="str">
            <v>MEIZAN SEASONEDCHICKNFRIEDCOATMIX 1KG*10</v>
          </cell>
          <cell r="E4439">
            <v>10</v>
          </cell>
          <cell r="F4439" t="str">
            <v>Bỏ chọn</v>
          </cell>
          <cell r="G4439" t="str">
            <v>2000000007</v>
          </cell>
          <cell r="H4439"/>
        </row>
        <row r="4440">
          <cell r="A4440" t="str">
            <v>7.522112052520601</v>
          </cell>
          <cell r="B4440" t="str">
            <v>MEIZAN CHICKEN FRYING FLOUR PAPERBG@10KG</v>
          </cell>
          <cell r="C4440" t="str">
            <v>BỘT GÀ RÁN MEIZAN 10KG</v>
          </cell>
          <cell r="D4440" t="str">
            <v>MEIZAN CHICKEN FRYING FLOUR PAPERBG@10KG</v>
          </cell>
          <cell r="E4440">
            <v>10</v>
          </cell>
          <cell r="F4440" t="str">
            <v>Chọn</v>
          </cell>
          <cell r="G4440" t="str">
            <v>2000000007</v>
          </cell>
          <cell r="H4440"/>
        </row>
        <row r="4441">
          <cell r="A4441" t="str">
            <v>7.58810100202L0100</v>
          </cell>
          <cell r="B4441" t="str">
            <v>MEIZAN NON DAIRY CREAMER PLASTICBAG@1KG</v>
          </cell>
          <cell r="C4441" t="str">
            <v>BỘT KEM BÉO MEIZAN 1KG</v>
          </cell>
          <cell r="D4441" t="str">
            <v>MEIZAN NON DAIRY CREAMER PLASTICBAG@1KG</v>
          </cell>
          <cell r="E4441">
            <v>1</v>
          </cell>
          <cell r="F4441" t="str">
            <v>Chọn</v>
          </cell>
          <cell r="G4441" t="str">
            <v>2000000007</v>
          </cell>
          <cell r="H4441"/>
        </row>
        <row r="4442">
          <cell r="A4442" t="str">
            <v>7.58810100202L0103</v>
          </cell>
          <cell r="B4442" t="str">
            <v>MEIZAN NON-DAIRY CREAMER 1KG X 10BAG</v>
          </cell>
          <cell r="C4442" t="str">
            <v>BỘT KEM BÉO MEIZAN 1KG X 10 GÓI</v>
          </cell>
          <cell r="D4442" t="str">
            <v>MEIZAN NON-DAIRY CREAMER 1KG X 10BAG</v>
          </cell>
          <cell r="E4442">
            <v>10</v>
          </cell>
          <cell r="F4442" t="str">
            <v>Chọn</v>
          </cell>
          <cell r="G4442" t="str">
            <v>2000000007</v>
          </cell>
          <cell r="H4442" t="str">
            <v>7.58810100202L0100</v>
          </cell>
        </row>
        <row r="4443">
          <cell r="A4443" t="str">
            <v>7.01410701050101</v>
          </cell>
          <cell r="B4443" t="str">
            <v>MEIZAN ALL PURP TAPIOCA STARCH BAG@10KG</v>
          </cell>
          <cell r="C4443" t="str">
            <v>BỘT NĂNG ĐA DỤNG MEIZAN 10KG</v>
          </cell>
          <cell r="D4443" t="str">
            <v>MEIZAN ALL PURP TAPIOCA STARCH BAG@10KG</v>
          </cell>
          <cell r="E4443">
            <v>10</v>
          </cell>
          <cell r="F4443" t="str">
            <v>Chọn</v>
          </cell>
          <cell r="G4443" t="str">
            <v>2000000007</v>
          </cell>
          <cell r="H4443"/>
        </row>
        <row r="4444">
          <cell r="A4444" t="str">
            <v>7.01410705050210</v>
          </cell>
          <cell r="B4444" t="str">
            <v>MEIZAN ALLPURPOSETAPIOCASTARCH 1KG*10BAG</v>
          </cell>
          <cell r="C4444" t="str">
            <v>BỘT NĂNG ĐA DỤNG MEIZAN 1KG</v>
          </cell>
          <cell r="D4444" t="str">
            <v>MEIZAN ALLPURPOSETAPIOCASTARCH 1KG*10BAG</v>
          </cell>
          <cell r="E4444">
            <v>10</v>
          </cell>
          <cell r="F4444" t="str">
            <v>Chọn</v>
          </cell>
          <cell r="G4444" t="str">
            <v>2000000007</v>
          </cell>
          <cell r="H4444" t="str">
            <v>7.01410705050201</v>
          </cell>
        </row>
        <row r="4445">
          <cell r="A4445" t="str">
            <v>7.01410705050201</v>
          </cell>
          <cell r="B4445" t="str">
            <v>MEIZAN ALLPURPOSE TAPIOCA STARCH BAG@1KG</v>
          </cell>
          <cell r="C4445" t="str">
            <v>BỘT NĂNG ĐA DỤNG MEIZAN 1KG</v>
          </cell>
          <cell r="D4445" t="str">
            <v>MEIZAN ALLPURPOSE TAPIOCA STARCH BAG@1KG</v>
          </cell>
          <cell r="E4445">
            <v>1</v>
          </cell>
          <cell r="F4445" t="str">
            <v>Chọn</v>
          </cell>
          <cell r="G4445" t="str">
            <v>2000000007</v>
          </cell>
          <cell r="H4445"/>
        </row>
        <row r="4446">
          <cell r="A4446" t="str">
            <v>7.01410721050205</v>
          </cell>
          <cell r="B4446" t="str">
            <v>MEIZAN ALLPURP TAPIOCA STARCH 400G*12BAG</v>
          </cell>
          <cell r="C4446" t="str">
            <v>BỘT NĂNG ĐA DỤNG MEIZAN 400G X 12 GÓI</v>
          </cell>
          <cell r="D4446" t="str">
            <v>MEIZAN ALLPURP TAPIOCA STARCH 400G*12BAG</v>
          </cell>
          <cell r="E4446">
            <v>4.8</v>
          </cell>
          <cell r="F4446" t="str">
            <v>Chọn</v>
          </cell>
          <cell r="G4446" t="str">
            <v>2000000007</v>
          </cell>
          <cell r="H4446" t="str">
            <v>7.01410721050201</v>
          </cell>
        </row>
        <row r="4447">
          <cell r="A4447" t="str">
            <v>7.01410721050201</v>
          </cell>
          <cell r="B4447" t="str">
            <v>MEIZAN ALLPURP TAPIOCA STARCH BAG@400G</v>
          </cell>
          <cell r="C4447" t="str">
            <v>BỘT NĂNG ĐA DỤNG MEIZAN 400G</v>
          </cell>
          <cell r="D4447" t="str">
            <v>MEIZAN ALLPURP TAPIOCA STARCH BAG@400G</v>
          </cell>
          <cell r="E4447">
            <v>0.4</v>
          </cell>
          <cell r="F4447" t="str">
            <v>Chọn</v>
          </cell>
          <cell r="G4447" t="str">
            <v>2000000007</v>
          </cell>
          <cell r="H4447"/>
        </row>
        <row r="4448">
          <cell r="A4448" t="str">
            <v>7.090026542070900</v>
          </cell>
          <cell r="B4448" t="str">
            <v>MEIZAN CHIFFON CAKE PREMIX PEBAG@1KG</v>
          </cell>
          <cell r="C4448" t="str">
            <v>BỘT TRỘN SẴN BÁNH BÔNG LAN CHIFFON MEIZAN 1KG</v>
          </cell>
          <cell r="D4448" t="str">
            <v>MEIZAN CHIFFON CAKE PREMIX PEBAG@1KG</v>
          </cell>
          <cell r="E4448">
            <v>1</v>
          </cell>
          <cell r="F4448" t="str">
            <v>Chọn</v>
          </cell>
          <cell r="G4448" t="str">
            <v>2000000007</v>
          </cell>
          <cell r="H4448"/>
        </row>
        <row r="4449">
          <cell r="A4449" t="str">
            <v>7.090026542070914</v>
          </cell>
          <cell r="B4449" t="str">
            <v>MEIZAN CHIFFON CAKE MIX 1KG X 10BAG</v>
          </cell>
          <cell r="C4449" t="str">
            <v>BỘT TRỘN SẴN BÁNH BÔNG LAN CHIFFON MEIZAN 1KG X 10 GÓI</v>
          </cell>
          <cell r="D4449" t="str">
            <v>MEIZAN CHIFFON CAKE MIX 1KG X 10BAG</v>
          </cell>
          <cell r="E4449">
            <v>10</v>
          </cell>
          <cell r="F4449" t="str">
            <v>Chọn</v>
          </cell>
          <cell r="G4449" t="str">
            <v>2000000007</v>
          </cell>
          <cell r="H4449" t="str">
            <v>7.090026542070900</v>
          </cell>
        </row>
        <row r="4450">
          <cell r="A4450" t="str">
            <v>7.090026542010900</v>
          </cell>
          <cell r="B4450" t="str">
            <v>MEIZAN BANANA CAKE MIX IN PEBAG@1KG</v>
          </cell>
          <cell r="C4450" t="str">
            <v>BỘT TRỘN SẴN BÁNH CAKE CHUỐI MEIZAN 1KG</v>
          </cell>
          <cell r="D4450" t="str">
            <v>MEIZAN BANANA CAKE MIX IN PEBAG@1KG</v>
          </cell>
          <cell r="E4450">
            <v>1</v>
          </cell>
          <cell r="F4450" t="str">
            <v>Chọn</v>
          </cell>
          <cell r="G4450" t="str">
            <v>2000000007</v>
          </cell>
          <cell r="H4450"/>
        </row>
        <row r="4451">
          <cell r="A4451" t="str">
            <v>7.090026542010914</v>
          </cell>
          <cell r="B4451" t="str">
            <v>MEIZAN BANANA CAKE MIX 1KG X 10BAG</v>
          </cell>
          <cell r="C4451" t="str">
            <v>BỘT TRỘN SẴN BÁNH CAKE CHUỐI MEIZAN 1KG X 10 GÓI</v>
          </cell>
          <cell r="D4451" t="str">
            <v>MEIZAN BANANA CAKE MIX 1KG X 10BAG</v>
          </cell>
          <cell r="E4451">
            <v>10</v>
          </cell>
          <cell r="F4451" t="str">
            <v>Chọn</v>
          </cell>
          <cell r="G4451" t="str">
            <v>2000000007</v>
          </cell>
          <cell r="H4451" t="str">
            <v>7.090026542010900</v>
          </cell>
        </row>
        <row r="4452">
          <cell r="A4452" t="str">
            <v>7.090026540150900</v>
          </cell>
          <cell r="B4452" t="str">
            <v>MEIZAN GRAIN BREAD MIX IN PEBAG@1KG</v>
          </cell>
          <cell r="C4452" t="str">
            <v>BỘT TRỘN SẴN BÁNH MÌ NGŨ CỐC MEIZAN 1KG</v>
          </cell>
          <cell r="D4452" t="str">
            <v>MEIZAN GRAIN BREAD MIX IN PEBAG@1KG</v>
          </cell>
          <cell r="E4452">
            <v>1</v>
          </cell>
          <cell r="F4452" t="str">
            <v>Chọn</v>
          </cell>
          <cell r="G4452" t="str">
            <v>2000000007</v>
          </cell>
          <cell r="H4452"/>
        </row>
        <row r="4453">
          <cell r="A4453" t="str">
            <v>7.090026540150914</v>
          </cell>
          <cell r="B4453" t="str">
            <v>MEIZAN GRAIN BREAD MIX 1KG X 10PEBAG</v>
          </cell>
          <cell r="C4453" t="str">
            <v>BỘT TRỘN SẴN BÁNH MÌ NGŨ CỐC MEIZAN 1KG X 10 GÓI</v>
          </cell>
          <cell r="D4453" t="str">
            <v>MEIZAN GRAIN BREAD MIX 1KG X 10PEBAG</v>
          </cell>
          <cell r="E4453">
            <v>10</v>
          </cell>
          <cell r="F4453" t="str">
            <v>Chọn</v>
          </cell>
          <cell r="G4453" t="str">
            <v>2000000007</v>
          </cell>
          <cell r="H4453" t="str">
            <v>7.090026540150900</v>
          </cell>
        </row>
        <row r="4454">
          <cell r="A4454" t="str">
            <v>7.090026540520900</v>
          </cell>
          <cell r="B4454" t="str">
            <v>MEIZAN CHOCOLATE MUFFIN MIX PEBAG@1KG</v>
          </cell>
          <cell r="C4454" t="str">
            <v>BỘT TRỘN SẴN BÁNH MUFFIN CHOCOLATE MEIZAN 1KG</v>
          </cell>
          <cell r="D4454" t="str">
            <v>MEIZAN CHOCOLATE MUFFIN MIX PEBAG@1KG</v>
          </cell>
          <cell r="E4454">
            <v>1</v>
          </cell>
          <cell r="F4454" t="str">
            <v>Chọn</v>
          </cell>
          <cell r="G4454" t="str">
            <v>2000000007</v>
          </cell>
          <cell r="H4454"/>
        </row>
        <row r="4455">
          <cell r="A4455" t="str">
            <v>7.090026540520914</v>
          </cell>
          <cell r="B4455" t="str">
            <v>MEIZAN CHOCOLATE MUFFIN MIX 1KG*10BAG</v>
          </cell>
          <cell r="C4455" t="str">
            <v>BỘT TRỘN SẴN BÁNH MUFFIN CHOCOLATE MEIZAN 1KG X 10 GÓI</v>
          </cell>
          <cell r="D4455" t="str">
            <v>MEIZAN CHOCOLATE MUFFIN MIX 1KG*10BAG</v>
          </cell>
          <cell r="E4455">
            <v>10</v>
          </cell>
          <cell r="F4455" t="str">
            <v>Chọn</v>
          </cell>
          <cell r="G4455" t="str">
            <v>2000000007</v>
          </cell>
          <cell r="H4455" t="str">
            <v>7.090026540520900</v>
          </cell>
        </row>
        <row r="4456">
          <cell r="A4456" t="str">
            <v>7.090026542020900</v>
          </cell>
          <cell r="B4456" t="str">
            <v>MEIZAN VANILLA MUFFIN MIX PEBAG@1KG</v>
          </cell>
          <cell r="C4456" t="str">
            <v>BỘT TRỘN SẴN BÁNH MUFFIN VANI MEIZAN 1KG</v>
          </cell>
          <cell r="D4456" t="str">
            <v>MEIZAN VANILLA MUFFIN MIX PEBAG@1KG</v>
          </cell>
          <cell r="E4456">
            <v>1</v>
          </cell>
          <cell r="F4456" t="str">
            <v>Chọn</v>
          </cell>
          <cell r="G4456" t="str">
            <v>2000000007</v>
          </cell>
          <cell r="H4456"/>
        </row>
        <row r="4457">
          <cell r="A4457" t="str">
            <v>7.090026542020914</v>
          </cell>
          <cell r="B4457" t="str">
            <v>MEIZAN VANILLA MUFFIN MIX 1KG X 10BAG</v>
          </cell>
          <cell r="C4457" t="str">
            <v>BỘT TRỘN SẴN BÁNH MUFFIN VANI MEIZAN 1KG X 10 GÓI</v>
          </cell>
          <cell r="D4457" t="str">
            <v>MEIZAN VANILLA MUFFIN MIX 1KG X 10BAG</v>
          </cell>
          <cell r="E4457">
            <v>10</v>
          </cell>
          <cell r="F4457" t="str">
            <v>Chọn</v>
          </cell>
          <cell r="G4457" t="str">
            <v>2000000007</v>
          </cell>
          <cell r="H4457" t="str">
            <v>7.090026542020900</v>
          </cell>
        </row>
        <row r="4458">
          <cell r="A4458" t="str">
            <v>7.522B856181401020</v>
          </cell>
          <cell r="B4458" t="str">
            <v>MEIZAN RICE VERMICELLI 300G X 24BAG</v>
          </cell>
          <cell r="C4458" t="str">
            <v>BÚN TƯƠI MEIZAN 300G X 24 GÓI</v>
          </cell>
          <cell r="D4458" t="str">
            <v>MEIZAN RICE VERMICELLI 300G X 24BAG</v>
          </cell>
          <cell r="E4458">
            <v>7.2</v>
          </cell>
          <cell r="F4458" t="str">
            <v>Chọn</v>
          </cell>
          <cell r="G4458" t="str">
            <v>2000000007</v>
          </cell>
          <cell r="H4458" t="str">
            <v>7.522B856181401000</v>
          </cell>
        </row>
        <row r="4459">
          <cell r="A4459" t="str">
            <v>7.522B856158101140</v>
          </cell>
          <cell r="B4459" t="str">
            <v>MEIZAN PREMIUM VEG NOODLE 250G X 12BAG</v>
          </cell>
          <cell r="C4459" t="str">
            <v>MÌ CHAY CAO CẤP MEIZAN 250G X 12 GÓI</v>
          </cell>
          <cell r="D4459" t="str">
            <v>MEIZAN PREMIUM VEG NOODLE 250G X 12BAG</v>
          </cell>
          <cell r="E4459">
            <v>3</v>
          </cell>
          <cell r="F4459" t="str">
            <v>Chọn</v>
          </cell>
          <cell r="G4459" t="str">
            <v>2000000007</v>
          </cell>
          <cell r="H4459" t="str">
            <v>7.522B856158101000</v>
          </cell>
        </row>
        <row r="4460">
          <cell r="A4460" t="str">
            <v>7.522B856158101000</v>
          </cell>
          <cell r="B4460" t="str">
            <v>MEIZAN PREMIUM VEG NOODLE PLASTICBG@250G</v>
          </cell>
          <cell r="C4460" t="str">
            <v>MÌ CHAY CAO CẤP MEIZAN 250G</v>
          </cell>
          <cell r="D4460" t="str">
            <v>MEIZAN PREMIUM VEG NOODLE PLASTICBG@250G</v>
          </cell>
          <cell r="E4460">
            <v>0.25</v>
          </cell>
          <cell r="F4460" t="str">
            <v>Chọn</v>
          </cell>
          <cell r="G4460" t="str">
            <v>2000000007</v>
          </cell>
          <cell r="H4460"/>
        </row>
        <row r="4461">
          <cell r="A4461" t="str">
            <v>7.522H860110765160</v>
          </cell>
          <cell r="B4461" t="str">
            <v>OLIVOILA SPAGHETTI N.5 500G X 18BOX</v>
          </cell>
          <cell r="C4461" t="str">
            <v>MÌ SPAGHETTI OLIVOILÀ N.5 500G X 18 HỘP</v>
          </cell>
          <cell r="D4461" t="str">
            <v>OLIVOILA SPAGHETTI N.5 500G X 18BOX</v>
          </cell>
          <cell r="E4461">
            <v>9</v>
          </cell>
          <cell r="F4461" t="str">
            <v>Chọn</v>
          </cell>
          <cell r="G4461" t="str">
            <v>2000000007</v>
          </cell>
          <cell r="H4461" t="str">
            <v>7.522H860110765000</v>
          </cell>
        </row>
        <row r="4462">
          <cell r="A4462" t="str">
            <v>7.522H860110701000</v>
          </cell>
          <cell r="B4462" t="str">
            <v>OLIVOILA SPAGHETTI N.5 PLASTICBAG@500G</v>
          </cell>
          <cell r="C4462" t="str">
            <v>MÌ SPAGHETTI OLIVOILÀ N.5 500G</v>
          </cell>
          <cell r="D4462" t="str">
            <v>OLIVOILA SPAGHETTI N.5 PLASTICBAG@500G</v>
          </cell>
          <cell r="E4462">
            <v>0.5</v>
          </cell>
          <cell r="F4462" t="str">
            <v>Bỏ chọn</v>
          </cell>
          <cell r="G4462" t="str">
            <v>2000000007</v>
          </cell>
          <cell r="H4462"/>
        </row>
        <row r="4463">
          <cell r="A4463" t="str">
            <v>7.522H860110765000</v>
          </cell>
          <cell r="B4463" t="str">
            <v>OLIVOILA SPAGHETTI N.5 IN BOX@500G</v>
          </cell>
          <cell r="C4463" t="str">
            <v>MÌ SPAGHETTI OLIVOILÀ N.5 500G</v>
          </cell>
          <cell r="D4463" t="str">
            <v>OLIVOILA SPAGHETTI N.5 IN BOX@500G</v>
          </cell>
          <cell r="E4463">
            <v>0.5</v>
          </cell>
          <cell r="F4463" t="str">
            <v>Chọn</v>
          </cell>
          <cell r="G4463" t="str">
            <v>2000000007</v>
          </cell>
          <cell r="H4463"/>
        </row>
        <row r="4464">
          <cell r="A4464" t="str">
            <v>7.522B856160701000</v>
          </cell>
          <cell r="B4464" t="str">
            <v>MEIZAN THIN ROUND STRING NOODLE BAG@500G</v>
          </cell>
          <cell r="C4464" t="str">
            <v>MÌ TRỨNG CAO CẤP MEIZAN SỢI NHỎ 500G</v>
          </cell>
          <cell r="D4464" t="str">
            <v>MEIZAN THIN ROUND STRING NOODLE BAG@500G</v>
          </cell>
          <cell r="E4464">
            <v>0.5</v>
          </cell>
          <cell r="F4464" t="str">
            <v>Chọn</v>
          </cell>
          <cell r="G4464" t="str">
            <v>2000000007</v>
          </cell>
          <cell r="H4464"/>
        </row>
        <row r="4465">
          <cell r="A4465" t="str">
            <v>7.522B856160701140</v>
          </cell>
          <cell r="B4465" t="str">
            <v>MEIZAN THINROUNDSTRING NOODLE 500G*12BAG</v>
          </cell>
          <cell r="C4465" t="str">
            <v>MÌ TRỨNG CAO CẤP MEIZAN - SỢI NHỎ 500G X 12 GÓI</v>
          </cell>
          <cell r="D4465" t="str">
            <v>MEIZAN THINROUNDSTRING NOODLE 500G*12BAG</v>
          </cell>
          <cell r="E4465">
            <v>6</v>
          </cell>
          <cell r="F4465" t="str">
            <v>Chọn</v>
          </cell>
          <cell r="G4465" t="str">
            <v>2000000007</v>
          </cell>
          <cell r="H4465" t="str">
            <v>7.522B856160701000</v>
          </cell>
        </row>
        <row r="4466">
          <cell r="A4466" t="str">
            <v>7.522B850641901000</v>
          </cell>
          <cell r="B4466" t="str">
            <v>MEIZAN PREMIUM EGG NOODLE PLASTICBAG@1KG</v>
          </cell>
          <cell r="C4466" t="str">
            <v>MÌ TRỨNG CAO CẤP MEIZAN 1KG</v>
          </cell>
          <cell r="D4466" t="str">
            <v>MEIZAN PREMIUM EGG NOODLE PLASTICBAG@1KG</v>
          </cell>
          <cell r="E4466">
            <v>1</v>
          </cell>
          <cell r="F4466" t="str">
            <v>Chọn</v>
          </cell>
          <cell r="G4466" t="str">
            <v>2000000007</v>
          </cell>
          <cell r="H4466"/>
        </row>
        <row r="4467">
          <cell r="A4467" t="str">
            <v>7.522B850641901150</v>
          </cell>
          <cell r="B4467" t="str">
            <v>MEIZAN PREMIUM EGG NOODLE 1KG X 8BAG</v>
          </cell>
          <cell r="C4467" t="str">
            <v>MÌ TRỨNG CAO CẤP MEIZAN 1KG X 8 GÓI</v>
          </cell>
          <cell r="D4467" t="str">
            <v>MEIZAN PREMIUM EGG NOODLE 1KG X 8BAG</v>
          </cell>
          <cell r="E4467">
            <v>8</v>
          </cell>
          <cell r="F4467" t="str">
            <v>Chọn</v>
          </cell>
          <cell r="G4467" t="str">
            <v>2000000007</v>
          </cell>
          <cell r="H4467" t="str">
            <v>7.522B850641901000</v>
          </cell>
        </row>
        <row r="4468">
          <cell r="A4468" t="str">
            <v>7.522B850648101000</v>
          </cell>
          <cell r="B4468" t="str">
            <v>MEIZAN PREMIUM EGG NOODLE PLASTICBG@250G</v>
          </cell>
          <cell r="C4468" t="str">
            <v>MÌ TRỨNG CAO CẤP MEIZAN 250G</v>
          </cell>
          <cell r="D4468" t="str">
            <v>MEIZAN PREMIUM EGG NOODLE PLASTICBG@250G</v>
          </cell>
          <cell r="E4468">
            <v>0.25</v>
          </cell>
          <cell r="F4468" t="str">
            <v>Chọn</v>
          </cell>
          <cell r="G4468" t="str">
            <v>2000000007</v>
          </cell>
          <cell r="H4468"/>
        </row>
        <row r="4469">
          <cell r="A4469" t="str">
            <v>7.522B850648101020</v>
          </cell>
          <cell r="B4469" t="str">
            <v>MEIZAN PREMIUM EGG NOODLE 250G X 24BAG</v>
          </cell>
          <cell r="C4469" t="str">
            <v>MÌ TRỨNG CAO CẤP MEIZAN 250G X 24 GÓI</v>
          </cell>
          <cell r="D4469" t="str">
            <v>MEIZAN PREMIUM EGG NOODLE 250G X 24BAG</v>
          </cell>
          <cell r="E4469">
            <v>6</v>
          </cell>
          <cell r="F4469" t="str">
            <v>Chọn</v>
          </cell>
          <cell r="G4469" t="str">
            <v>2000000007</v>
          </cell>
          <cell r="H4469" t="str">
            <v>7.522B850648101000</v>
          </cell>
        </row>
        <row r="4470">
          <cell r="A4470" t="str">
            <v>7.522B850640701000</v>
          </cell>
          <cell r="B4470" t="str">
            <v>MEIZAN PREMIUM EGG NOODLE PLASTICBG@500G</v>
          </cell>
          <cell r="C4470" t="str">
            <v>MÌ TRỨNG CAO CẤP MEIZAN 500G</v>
          </cell>
          <cell r="D4470" t="str">
            <v>MEIZAN PREMIUM EGG NOODLE PLASTICBG@500G</v>
          </cell>
          <cell r="E4470">
            <v>0.5</v>
          </cell>
          <cell r="F4470" t="str">
            <v>Chọn</v>
          </cell>
          <cell r="G4470" t="str">
            <v>2000000007</v>
          </cell>
          <cell r="H4470"/>
        </row>
        <row r="4471">
          <cell r="A4471" t="str">
            <v>7.522B850640701140</v>
          </cell>
          <cell r="B4471" t="str">
            <v>MEIZAN PREMIUM EGG NOODLE 500G X 12BAG</v>
          </cell>
          <cell r="C4471" t="str">
            <v>MÌ TRỨNG CAO CẤP MEIZAN 500G X 12 GÓI</v>
          </cell>
          <cell r="D4471" t="str">
            <v>MEIZAN PREMIUM EGG NOODLE 500G X 12BAG</v>
          </cell>
          <cell r="E4471">
            <v>6</v>
          </cell>
          <cell r="F4471" t="str">
            <v>Chọn</v>
          </cell>
          <cell r="G4471" t="str">
            <v>2000000007</v>
          </cell>
          <cell r="H4471" t="str">
            <v>7.522B850640701000</v>
          </cell>
        </row>
        <row r="4472">
          <cell r="A4472" t="str">
            <v>7.522B850641C01320</v>
          </cell>
          <cell r="B4472" t="str">
            <v>MEIZAN PREMIUMEGGNOODLE PLASTICBAG@6.5KG</v>
          </cell>
          <cell r="C4472" t="str">
            <v>MÌ TRỨNG CAO CẤP MEIZAN 6,5KG</v>
          </cell>
          <cell r="D4472" t="str">
            <v>MEIZAN PREMIUMEGGNOODLE PLASTICBAG@6.5KG</v>
          </cell>
          <cell r="E4472">
            <v>6.5</v>
          </cell>
          <cell r="F4472" t="str">
            <v>Chọn</v>
          </cell>
          <cell r="G4472" t="str">
            <v>2000000007</v>
          </cell>
          <cell r="H4472"/>
        </row>
        <row r="4473">
          <cell r="A4473" t="str">
            <v>7.522H850040101000</v>
          </cell>
          <cell r="B4473" t="str">
            <v>MEIZAN MACARONI ELBOW IN PLASTICBAG@200G</v>
          </cell>
          <cell r="C4473" t="str">
            <v xml:space="preserve">NUI CAO CẤP MEIZAN - CHỮ "C" 200G </v>
          </cell>
          <cell r="D4473" t="str">
            <v>MEIZAN MACARONI ELBOW IN PLASTICBAG@200G</v>
          </cell>
          <cell r="E4473">
            <v>0.2</v>
          </cell>
          <cell r="F4473" t="str">
            <v>Chọn</v>
          </cell>
          <cell r="G4473" t="str">
            <v>2000000007</v>
          </cell>
          <cell r="H4473"/>
        </row>
        <row r="4474">
          <cell r="A4474" t="str">
            <v>7.522H850040101020</v>
          </cell>
          <cell r="B4474" t="str">
            <v>MEIZAN MACARONI ELBOW 200G X 24BAG</v>
          </cell>
          <cell r="C4474" t="str">
            <v>NUI CAO CẤP MEIZAN - CHỮ "C" 200G X 24 GÓI</v>
          </cell>
          <cell r="D4474" t="str">
            <v>MEIZAN MACARONI ELBOW 200G X 24BAG</v>
          </cell>
          <cell r="E4474">
            <v>4.8</v>
          </cell>
          <cell r="F4474" t="str">
            <v>Chọn</v>
          </cell>
          <cell r="G4474" t="str">
            <v>2000000007</v>
          </cell>
          <cell r="H4474" t="str">
            <v>7.522H850040101000</v>
          </cell>
        </row>
        <row r="4475">
          <cell r="A4475" t="str">
            <v>7.522H850041201000</v>
          </cell>
          <cell r="B4475" t="str">
            <v>MEIZAN MACARONI ELBOW IN PLASTICBAG@400G</v>
          </cell>
          <cell r="C4475" t="str">
            <v>NUI CAO CẤP MEIZAN - CHỮ "C" 400G</v>
          </cell>
          <cell r="D4475" t="str">
            <v>MEIZAN MACARONI ELBOW IN PLASTICBAG@400G</v>
          </cell>
          <cell r="E4475">
            <v>0.4</v>
          </cell>
          <cell r="F4475" t="str">
            <v>Chọn</v>
          </cell>
          <cell r="G4475" t="str">
            <v>2000000007</v>
          </cell>
          <cell r="H4475"/>
        </row>
        <row r="4476">
          <cell r="A4476" t="str">
            <v>7.522H850041201140</v>
          </cell>
          <cell r="B4476" t="str">
            <v>MEIZAN MACARONI ELBOW 400G X 12BAG</v>
          </cell>
          <cell r="C4476" t="str">
            <v>NUI CAO CẤP MEIZAN - CHỮ "C" 400G X 12 GÓI</v>
          </cell>
          <cell r="D4476" t="str">
            <v>MEIZAN MACARONI ELBOW 400G X 12BAG</v>
          </cell>
          <cell r="E4476">
            <v>4.8</v>
          </cell>
          <cell r="F4476" t="str">
            <v>Chọn</v>
          </cell>
          <cell r="G4476" t="str">
            <v>2000000007</v>
          </cell>
          <cell r="H4476" t="str">
            <v>7.522H850041201000</v>
          </cell>
        </row>
        <row r="4477">
          <cell r="A4477" t="str">
            <v>7.522H850043B01320</v>
          </cell>
          <cell r="B4477" t="str">
            <v>MEIZAN MACARONI ELBOW PLASTIC BAG@8.5KG</v>
          </cell>
          <cell r="C4477" t="str">
            <v>NUI CAO CẤP MEIZAN - CHỮ "C" 8.5KG</v>
          </cell>
          <cell r="D4477" t="str">
            <v>MEIZAN MACARONI ELBOW PLASTIC BAG@8.5KG</v>
          </cell>
          <cell r="E4477">
            <v>8.5</v>
          </cell>
          <cell r="F4477" t="str">
            <v>Chọn</v>
          </cell>
          <cell r="G4477" t="str">
            <v>2000000007</v>
          </cell>
          <cell r="H4477"/>
        </row>
        <row r="4478">
          <cell r="A4478" t="str">
            <v>7.522H850240101000</v>
          </cell>
          <cell r="B4478" t="str">
            <v>MEIZAN MACARONI STELLINE PLASTICBAG@200G</v>
          </cell>
          <cell r="C4478" t="str">
            <v>NUI CAO CẤP MEIZAN - HÌNH SAO 200G</v>
          </cell>
          <cell r="D4478" t="str">
            <v>MEIZAN MACARONI STELLINE PLASTICBAG@200G</v>
          </cell>
          <cell r="E4478">
            <v>0.2</v>
          </cell>
          <cell r="F4478" t="str">
            <v>Chọn</v>
          </cell>
          <cell r="G4478" t="str">
            <v>2000000007</v>
          </cell>
          <cell r="H4478"/>
        </row>
        <row r="4479">
          <cell r="A4479" t="str">
            <v>7.522H850240101020</v>
          </cell>
          <cell r="B4479" t="str">
            <v>MEIZAN MACARONI STELLINE 200G X 24BAG</v>
          </cell>
          <cell r="C4479" t="str">
            <v>NUI CAO CẤP MEIZAN - HÌNH SAO 200G X 24 GÓI</v>
          </cell>
          <cell r="D4479" t="str">
            <v>MEIZAN MACARONI STELLINE 200G X 24BAG</v>
          </cell>
          <cell r="E4479">
            <v>4.8</v>
          </cell>
          <cell r="F4479" t="str">
            <v>Chọn</v>
          </cell>
          <cell r="G4479" t="str">
            <v>2000000007</v>
          </cell>
          <cell r="H4479" t="str">
            <v>7.522H850240101000</v>
          </cell>
        </row>
        <row r="4480">
          <cell r="A4480" t="str">
            <v>7.522H850251401000</v>
          </cell>
          <cell r="B4480" t="str">
            <v>MEIZAN MACARONI SPIRAL PLASTICBAG@300G</v>
          </cell>
          <cell r="C4480" t="str">
            <v>NUI CAO CẤP MEIZAN - HÌNH XOẮN 300G</v>
          </cell>
          <cell r="D4480" t="str">
            <v>MEIZAN MACARONI SPIRAL PLASTICBAG@300G</v>
          </cell>
          <cell r="E4480">
            <v>0.3</v>
          </cell>
          <cell r="F4480" t="str">
            <v>Chọn</v>
          </cell>
          <cell r="G4480" t="str">
            <v>2000000007</v>
          </cell>
          <cell r="H4480"/>
        </row>
        <row r="4481">
          <cell r="A4481" t="str">
            <v>7.522H850251401140</v>
          </cell>
          <cell r="B4481" t="str">
            <v>MEIZAN MACARONI SPIRAL 300G X 12BAG</v>
          </cell>
          <cell r="C4481" t="str">
            <v>NUI CAO CẤP MEIZAN - HÌNH XOẮN 300G X 12 GÓI</v>
          </cell>
          <cell r="D4481" t="str">
            <v>MEIZAN MACARONI SPIRAL 300G X 12BAG</v>
          </cell>
          <cell r="E4481">
            <v>3.6</v>
          </cell>
          <cell r="F4481" t="str">
            <v>Chọn</v>
          </cell>
          <cell r="G4481" t="str">
            <v>2000000007</v>
          </cell>
          <cell r="H4481" t="str">
            <v>7.522H850251401000</v>
          </cell>
        </row>
        <row r="4482">
          <cell r="A4482" t="str">
            <v>7.522H850251C01320</v>
          </cell>
          <cell r="B4482" t="str">
            <v>MEIZAN MACARONI SPIRAL PLASTIC BAG@6.5KG</v>
          </cell>
          <cell r="C4482" t="str">
            <v>NUI CAO CẤP MEIZAN - HÌNH XOẮN 6.5KG</v>
          </cell>
          <cell r="D4482" t="str">
            <v>MEIZAN MACARONI SPIRAL PLASTIC BAG@6.5KG</v>
          </cell>
          <cell r="E4482">
            <v>6.5</v>
          </cell>
          <cell r="F4482" t="str">
            <v>Chọn</v>
          </cell>
          <cell r="G4482" t="str">
            <v>2000000007</v>
          </cell>
          <cell r="H4482"/>
        </row>
        <row r="4483">
          <cell r="A4483" t="str">
            <v>7.522H850305201320</v>
          </cell>
          <cell r="B4483" t="str">
            <v>MEIZAN MACARONI LONG TUBE PLASTICBAG@8KG</v>
          </cell>
          <cell r="C4483" t="str">
            <v>NUI CAO CẤP MEIZAN - ỐNG DÀI 8KG</v>
          </cell>
          <cell r="D4483" t="str">
            <v>MEIZAN MACARONI LONG TUBE PLASTICBAG@8KG</v>
          </cell>
          <cell r="E4483">
            <v>8</v>
          </cell>
          <cell r="F4483" t="str">
            <v>Chọn</v>
          </cell>
          <cell r="G4483" t="str">
            <v>2000000007</v>
          </cell>
          <cell r="H4483"/>
        </row>
        <row r="4484">
          <cell r="A4484" t="str">
            <v>7.522H850301201140</v>
          </cell>
          <cell r="B4484" t="str">
            <v>MEIZAN MACARONI LONG TUBE 400G*12BAG</v>
          </cell>
          <cell r="C4484" t="str">
            <v>NUI CAO CẤP MEIZAN 400G X 12 GÓI</v>
          </cell>
          <cell r="D4484" t="str">
            <v>MEIZAN MACARONI LONG TUBE 400G*12BAG</v>
          </cell>
          <cell r="E4484">
            <v>4.8</v>
          </cell>
          <cell r="F4484" t="str">
            <v>Chọn</v>
          </cell>
          <cell r="G4484" t="str">
            <v>2000000007</v>
          </cell>
          <cell r="H4484" t="str">
            <v>7.522H850301201000</v>
          </cell>
        </row>
        <row r="4485">
          <cell r="A4485" t="str">
            <v>7.522H850260101000</v>
          </cell>
          <cell r="B4485" t="str">
            <v>MEIZAN RICEMACARONI ELBOW PLASTICBG@200G</v>
          </cell>
          <cell r="C4485" t="str">
            <v>NUI GẠO CAO CẤP MEIZAN - CHỮ "C" 200G</v>
          </cell>
          <cell r="D4485" t="str">
            <v>MEIZAN RICEMACARONI ELBOW PLASTICBG@200G</v>
          </cell>
          <cell r="E4485">
            <v>0.2</v>
          </cell>
          <cell r="F4485" t="str">
            <v>Chọn</v>
          </cell>
          <cell r="G4485" t="str">
            <v>2000000007</v>
          </cell>
          <cell r="H4485"/>
        </row>
        <row r="4486">
          <cell r="A4486" t="str">
            <v>7.522H850260101020</v>
          </cell>
          <cell r="B4486" t="str">
            <v>MEIZAN RICE MACARONI ELBOW 200G X 24BAG</v>
          </cell>
          <cell r="C4486" t="str">
            <v>NUI GẠO CAO CẤP MEIZAN - CHỮ "C" 200G X 24 GÓI</v>
          </cell>
          <cell r="D4486" t="str">
            <v>MEIZAN RICE MACARONI ELBOW 200G X 24BAG</v>
          </cell>
          <cell r="E4486">
            <v>4.8</v>
          </cell>
          <cell r="F4486" t="str">
            <v>Chọn</v>
          </cell>
          <cell r="G4486" t="str">
            <v>2000000007</v>
          </cell>
          <cell r="H4486" t="str">
            <v>7.522H850260101000</v>
          </cell>
        </row>
        <row r="4487">
          <cell r="A4487" t="str">
            <v>7.522H850261201000</v>
          </cell>
          <cell r="B4487" t="str">
            <v>MEIZAN RICEMACARONI ELBOW PLASTICBG@400G</v>
          </cell>
          <cell r="C4487" t="str">
            <v>NUI GẠO CAO CẤP MEIZAN - CHỮ "C" 400G</v>
          </cell>
          <cell r="D4487" t="str">
            <v>MEIZAN RICEMACARONI ELBOW PLASTICBG@400G</v>
          </cell>
          <cell r="E4487">
            <v>0.4</v>
          </cell>
          <cell r="F4487" t="str">
            <v>Chọn</v>
          </cell>
          <cell r="G4487" t="str">
            <v>2000000007</v>
          </cell>
          <cell r="H4487"/>
        </row>
        <row r="4488">
          <cell r="A4488" t="str">
            <v>7.522H850271201000</v>
          </cell>
          <cell r="B4488" t="str">
            <v>MEIZAN RICEMACARONI LONGTUBE BAG@400G</v>
          </cell>
          <cell r="C4488" t="str">
            <v>NUI GẠO CAO CẤP MEIZAN - ỐNG DÀI 400G</v>
          </cell>
          <cell r="D4488" t="str">
            <v>MEIZAN RICEMACARONI LONGTUBE BAG@400G</v>
          </cell>
          <cell r="E4488">
            <v>0.4</v>
          </cell>
          <cell r="F4488" t="str">
            <v>Chọn</v>
          </cell>
          <cell r="G4488" t="str">
            <v>2000000007</v>
          </cell>
          <cell r="H4488"/>
        </row>
        <row r="4489">
          <cell r="A4489" t="str">
            <v>7.522H850271201140</v>
          </cell>
          <cell r="B4489" t="str">
            <v>MEIZAN RICEMACARONI LONGTUBE 400G*12BAG</v>
          </cell>
          <cell r="C4489" t="str">
            <v>NUI GẠO CAO CẤP MEIZAN - ỐNG DÀI 400G X 12 GÓI</v>
          </cell>
          <cell r="D4489" t="str">
            <v>MEIZAN RICEMACARONI LONGTUBE 400G*12BAG</v>
          </cell>
          <cell r="E4489">
            <v>4.8</v>
          </cell>
          <cell r="F4489" t="str">
            <v>Chọn</v>
          </cell>
          <cell r="G4489" t="str">
            <v>2000000007</v>
          </cell>
          <cell r="H4489" t="str">
            <v>7.522H850271201000</v>
          </cell>
        </row>
        <row r="4490">
          <cell r="A4490" t="str">
            <v>7.522H870300803000</v>
          </cell>
          <cell r="B4490" t="str">
            <v>REDCOMPASS MACARONILONGTUBE WOVENBG@10KG</v>
          </cell>
          <cell r="C4490" t="str">
            <v>NUI LA BÀN ĐỎ - ỐNG DÀI 10KG</v>
          </cell>
          <cell r="D4490" t="str">
            <v>REDCOMPASS MACARONILONGTUBE WOVENBG@10KG</v>
          </cell>
          <cell r="E4490">
            <v>10</v>
          </cell>
          <cell r="F4490" t="str">
            <v>Chọn</v>
          </cell>
          <cell r="G4490" t="str">
            <v>2000000007</v>
          </cell>
          <cell r="H4490"/>
        </row>
        <row r="4491">
          <cell r="A4491" t="str">
            <v>7.522H850280101000</v>
          </cell>
          <cell r="B4491" t="str">
            <v>MEIZAN VEG MACARONI ELBOW PLASTICBG@200G</v>
          </cell>
          <cell r="C4491" t="str">
            <v>NUI RAU CỦ CAO CẤP MEIZAN - CHỮ “C” 200G</v>
          </cell>
          <cell r="D4491" t="str">
            <v>MEIZAN VEG MACARONI ELBOW PLASTICBG@200G</v>
          </cell>
          <cell r="E4491">
            <v>0.2</v>
          </cell>
          <cell r="F4491" t="str">
            <v>Chọn</v>
          </cell>
          <cell r="G4491" t="str">
            <v>2000000007</v>
          </cell>
          <cell r="H4491"/>
        </row>
        <row r="4492">
          <cell r="A4492" t="str">
            <v>7.522H850280101020</v>
          </cell>
          <cell r="B4492" t="str">
            <v>MEIZAN VEG MACARONI ELBOW 200G X 24BAG</v>
          </cell>
          <cell r="C4492" t="str">
            <v>NUI RAU CỦ CAO CẤP MEIZAN - CHỮ "C" 200G X 24 GÓI</v>
          </cell>
          <cell r="D4492" t="str">
            <v>MEIZAN VEG MACARONI ELBOW 200G X 24BAG</v>
          </cell>
          <cell r="E4492">
            <v>4.8</v>
          </cell>
          <cell r="F4492" t="str">
            <v>Chọn</v>
          </cell>
          <cell r="G4492" t="str">
            <v>2000000007</v>
          </cell>
          <cell r="H4492" t="str">
            <v>7.522H850280101000</v>
          </cell>
        </row>
        <row r="4493">
          <cell r="A4493" t="str">
            <v>V51.000.210</v>
          </cell>
          <cell r="B4493" t="str">
            <v>STRING NAME TAG COVER FOR STAFF</v>
          </cell>
          <cell r="C4493" t="str">
            <v>THẺ NHÂN VIÊN</v>
          </cell>
          <cell r="D4493" t="str">
            <v>STRING NAME TAG COVER FOR STAFF</v>
          </cell>
          <cell r="E4493">
            <v>0</v>
          </cell>
          <cell r="F4493" t="str">
            <v>Bỏ chọn</v>
          </cell>
          <cell r="G4493"/>
          <cell r="H4493"/>
        </row>
        <row r="4494">
          <cell r="A4494" t="str">
            <v>7.705I9</v>
          </cell>
          <cell r="B4494" t="str">
            <v>REFINED HYDROGENATED COCONUT OIL IN 20KG CARTON</v>
          </cell>
          <cell r="C4494" t="str">
            <v>DẦU DỪA TINH LUYỆN ĐÃ HYDRO HÓA ĐÓNG TRONG THÙNG CARTON 20KG</v>
          </cell>
          <cell r="D4494" t="str">
            <v>REFINED HYDROGENATED COCONUT OIL IN 20KG CARTON</v>
          </cell>
          <cell r="E4494">
            <v>1</v>
          </cell>
          <cell r="F4494" t="str">
            <v>Chọn</v>
          </cell>
          <cell r="G4494"/>
          <cell r="H4494"/>
        </row>
        <row r="4495">
          <cell r="A4495" t="str">
            <v>7.705J2</v>
          </cell>
          <cell r="B4495" t="str">
            <v>SHORTENING (WILMAX KT230228) IN BAG 1KG</v>
          </cell>
          <cell r="C4495" t="str">
            <v>SHORTENING (WILMAX KT230228) ĐÓNG TRONG TÚI 1KG</v>
          </cell>
          <cell r="D4495" t="str">
            <v>SHORTENING (WILMAX KT230228) IN BAG 1KG</v>
          </cell>
          <cell r="E4495">
            <v>1</v>
          </cell>
          <cell r="F4495" t="str">
            <v>Chọn</v>
          </cell>
          <cell r="G4495"/>
          <cell r="H4495"/>
        </row>
        <row r="4496">
          <cell r="A4496" t="str">
            <v>7.522176021551901</v>
          </cell>
          <cell r="B4496" t="str">
            <v>YELLOWCOMPASS MULTIPURPOSEFL PPBAG@25KG</v>
          </cell>
          <cell r="C4496" t="str">
            <v>BỘT MÌ LA BÀN VÀNG 25KG</v>
          </cell>
          <cell r="D4496" t="str">
            <v>YELLOWCOMPASS MULTIPURPOSEFL PPBAG@25KG</v>
          </cell>
          <cell r="E4496">
            <v>25</v>
          </cell>
          <cell r="F4496" t="str">
            <v>Chọn</v>
          </cell>
          <cell r="G4496"/>
          <cell r="H4496"/>
        </row>
        <row r="4497">
          <cell r="A4497" t="str">
            <v>N13.0001006.00017</v>
          </cell>
          <cell r="B4497" t="str">
            <v>TEA BAG,BLACK</v>
          </cell>
          <cell r="C4497" t="str">
            <v>TRÀ TWINKLE ENGLISH BREAKFAST 1,8 G X 20</v>
          </cell>
          <cell r="D4497" t="str">
            <v>TEA BAG,BLACK</v>
          </cell>
          <cell r="E4497">
            <v>0</v>
          </cell>
          <cell r="F4497" t="str">
            <v>Chọn</v>
          </cell>
          <cell r="G4497"/>
          <cell r="H4497"/>
        </row>
        <row r="4498">
          <cell r="A4498" t="str">
            <v>N13.0001006.00018</v>
          </cell>
          <cell r="B4498" t="str">
            <v>TEA BAG,HERBAL</v>
          </cell>
          <cell r="C4498" t="str">
            <v>TRÀ TWINKLE THẢO MỘC HOA CÚC 1,5 G X 20</v>
          </cell>
          <cell r="D4498" t="str">
            <v>TEA BAG,HERBAL</v>
          </cell>
          <cell r="E4498">
            <v>0</v>
          </cell>
          <cell r="F4498" t="str">
            <v>Chọn</v>
          </cell>
          <cell r="G4498"/>
          <cell r="H4498"/>
        </row>
        <row r="4499">
          <cell r="A4499" t="str">
            <v>N13.0001006.00019</v>
          </cell>
          <cell r="B4499" t="str">
            <v>TEA BAG,BLACK</v>
          </cell>
          <cell r="C4499" t="str">
            <v>TRÀ TWINKLE HƯƠNG ĐÀO 1,8 G X 20</v>
          </cell>
          <cell r="D4499" t="str">
            <v>TEA BAG,BLACK</v>
          </cell>
          <cell r="E4499">
            <v>0</v>
          </cell>
          <cell r="F4499" t="str">
            <v>Chọn</v>
          </cell>
          <cell r="G4499"/>
          <cell r="H4499"/>
        </row>
        <row r="4500">
          <cell r="A4500" t="str">
            <v>N13.0001006.00020</v>
          </cell>
          <cell r="B4500" t="str">
            <v>TEA BAG,GREEN TEA</v>
          </cell>
          <cell r="C4500" t="str">
            <v>TRÀ XANH TWINKLE HOA NHÀI 1,5 G X 20</v>
          </cell>
          <cell r="D4500" t="str">
            <v>TEA BAG,GREEN TEA</v>
          </cell>
          <cell r="E4500">
            <v>0</v>
          </cell>
          <cell r="F4500" t="str">
            <v>Chọn</v>
          </cell>
          <cell r="G4500"/>
          <cell r="H4500"/>
        </row>
        <row r="4501">
          <cell r="A4501" t="str">
            <v>V51.000.211</v>
          </cell>
          <cell r="B4501" t="str">
            <v>STRING NAME TAG COVER FOR STAFF</v>
          </cell>
          <cell r="C4501" t="str">
            <v>THẺ NHÂN VIÊN</v>
          </cell>
          <cell r="D4501" t="str">
            <v>STRING NAME TAG COVER FOR STAFF</v>
          </cell>
          <cell r="E4501">
            <v>0</v>
          </cell>
          <cell r="F4501" t="str">
            <v>Chọn</v>
          </cell>
          <cell r="G4501"/>
          <cell r="H4501"/>
        </row>
        <row r="4502">
          <cell r="A4502" t="str">
            <v>N04.0018006.00292</v>
          </cell>
          <cell r="B4502" t="str">
            <v>PROMOTIONAL STUFF,HAWKER UMBRELLA,MEIZAN</v>
          </cell>
          <cell r="C4502" t="str">
            <v>DÙ MEIZAN</v>
          </cell>
          <cell r="D4502" t="str">
            <v>PROMOTIONAL STUFF,HAWKER UMBRELLA,MEIZAN</v>
          </cell>
          <cell r="E4502">
            <v>0</v>
          </cell>
          <cell r="F4502" t="str">
            <v>Chọn</v>
          </cell>
          <cell r="G4502"/>
          <cell r="H4502"/>
        </row>
        <row r="4503">
          <cell r="A4503" t="str">
            <v>7.52213702A561901</v>
          </cell>
          <cell r="B4503" t="str">
            <v>RED COMPASS BREAD FL 10-12% PPBAG@25KG</v>
          </cell>
          <cell r="C4503" t="str">
            <v>BỘT MÌ HIỆU LA BÀN ĐỎ 25KG</v>
          </cell>
          <cell r="D4503" t="str">
            <v>RED COMPASS BREAD FL 10-12% PPBAG@25KG</v>
          </cell>
          <cell r="E4503">
            <v>25</v>
          </cell>
          <cell r="F4503" t="str">
            <v>Chọn</v>
          </cell>
          <cell r="G4503"/>
          <cell r="H4503"/>
        </row>
        <row r="4504">
          <cell r="A4504" t="str">
            <v>V39.00A.012</v>
          </cell>
          <cell r="B4504" t="str">
            <v>RED COMPASS WHITE POLO T-SHIRT</v>
          </cell>
          <cell r="C4504" t="str">
            <v>ÁO THUN MÀU TRẮNG HÌNH LA BÀN ĐỎ</v>
          </cell>
          <cell r="D4504" t="str">
            <v>RED COMPASS WHITE POLO T-SHIRT</v>
          </cell>
          <cell r="E4504">
            <v>0</v>
          </cell>
          <cell r="F4504" t="str">
            <v>Bỏ chọn</v>
          </cell>
          <cell r="G4504"/>
          <cell r="H4504"/>
        </row>
        <row r="4505">
          <cell r="A4505" t="str">
            <v>V39.00A.013</v>
          </cell>
          <cell r="B4505" t="str">
            <v>RED COMPASS APRON</v>
          </cell>
          <cell r="C4505" t="str">
            <v>TẠP DỀ LA BÀN ĐỎ</v>
          </cell>
          <cell r="D4505" t="str">
            <v>RED COMPASS APRON</v>
          </cell>
          <cell r="E4505">
            <v>0</v>
          </cell>
          <cell r="F4505" t="str">
            <v>Bỏ chọn</v>
          </cell>
          <cell r="G4505"/>
          <cell r="H4505"/>
        </row>
        <row r="4506">
          <cell r="A4506" t="str">
            <v>V52.000.009</v>
          </cell>
          <cell r="B4506" t="str">
            <v>TWO-WHEEL MOTORCYCLE HONDA JA386 WAVE RSX FI</v>
          </cell>
          <cell r="C4506" t="str">
            <v>XE MÔ TÔ HAI BÁNH HONDA JA386 WAVE RSX FI</v>
          </cell>
          <cell r="D4506" t="str">
            <v>TWO-WHEEL MOTORCYCLE HONDA JA386 WAVE RSX FI</v>
          </cell>
          <cell r="E4506">
            <v>0</v>
          </cell>
          <cell r="F4506" t="str">
            <v>Chọn</v>
          </cell>
          <cell r="G4506"/>
          <cell r="H4506"/>
        </row>
        <row r="4507">
          <cell r="A4507" t="str">
            <v>7.705J3</v>
          </cell>
          <cell r="B4507" t="str">
            <v>MEDIUM CHAIN TRIGLYCERIDES 6040 IN BOTTLE 1KG</v>
          </cell>
          <cell r="C4507" t="str">
            <v>DẦU ĂN MẠCH TRUNG BÌNH 6040 ĐÓNG TRONG LỌ 1KG</v>
          </cell>
          <cell r="D4507" t="str">
            <v>MEDIUM CHAIN TRIGLYCERIDES 6040 IN BOTTLE 1KG</v>
          </cell>
          <cell r="E4507">
            <v>1</v>
          </cell>
          <cell r="F4507" t="str">
            <v>Chọn</v>
          </cell>
          <cell r="G4507"/>
          <cell r="H4507"/>
        </row>
        <row r="4508">
          <cell r="A4508" t="str">
            <v>7.705J4</v>
          </cell>
          <cell r="B4508" t="str">
            <v>MEDIUM CHAIN TRIGLYCERIDES 7030 IN BOTTLE 1KG</v>
          </cell>
          <cell r="C4508" t="str">
            <v>DẦU ĂN MẠCH TRUNG BÌNH 7030 ĐÓNG TRONG LỌ 1KG</v>
          </cell>
          <cell r="D4508" t="str">
            <v>MEDIUM CHAIN TRIGLYCERIDES 7030 IN BOTTLE 1KG</v>
          </cell>
          <cell r="E4508">
            <v>1</v>
          </cell>
          <cell r="F4508" t="str">
            <v>Chọn</v>
          </cell>
          <cell r="G4508"/>
          <cell r="H4508"/>
        </row>
        <row r="4509">
          <cell r="A4509" t="str">
            <v>7.522H860110701020</v>
          </cell>
          <cell r="B4509" t="str">
            <v>OLIVOILA SPAGHETTI N.5 500G X 24BAG</v>
          </cell>
          <cell r="C4509" t="str">
            <v>MÌ SPAGHETTI OLIVOILÀ N.5 500G X 24 GÓI</v>
          </cell>
          <cell r="D4509" t="str">
            <v>OLIVOILA SPAGHETTI N.5 500G X 24BAG</v>
          </cell>
          <cell r="E4509">
            <v>12</v>
          </cell>
          <cell r="F4509" t="str">
            <v>Bỏ chọn</v>
          </cell>
          <cell r="G4509"/>
          <cell r="H4509"/>
        </row>
        <row r="4510">
          <cell r="A4510" t="str">
            <v>7.522H870040803000</v>
          </cell>
          <cell r="B4510" t="str">
            <v>RED COMPASS MACARONI ELBOW WOVENBAG@10KG</v>
          </cell>
          <cell r="C4510" t="str">
            <v>NUI LA BÀN ĐỎ - CHỮ "C" 10KG</v>
          </cell>
          <cell r="D4510" t="str">
            <v>RED COMPASS MACARONI ELBOW WOVENBAG@10KG</v>
          </cell>
          <cell r="E4510">
            <v>10</v>
          </cell>
          <cell r="F4510" t="str">
            <v>Chọn</v>
          </cell>
          <cell r="G4510" t="str">
            <v>2000000007</v>
          </cell>
          <cell r="H4510"/>
        </row>
        <row r="4511">
          <cell r="A4511" t="str">
            <v>7.522H870050803000</v>
          </cell>
          <cell r="B4511" t="str">
            <v>RED COMPASS MACARONIFUSILLI WOVENBG@10KG</v>
          </cell>
          <cell r="C4511" t="str">
            <v>NUI LA BÀN ĐỎ - HÌNH XOẮN 10KG</v>
          </cell>
          <cell r="D4511" t="str">
            <v>RED COMPASS MACARONIFUSILLI WOVENBG@10KG</v>
          </cell>
          <cell r="E4511">
            <v>10</v>
          </cell>
          <cell r="F4511" t="str">
            <v>Chọn</v>
          </cell>
          <cell r="G4511" t="str">
            <v>2000000007</v>
          </cell>
          <cell r="H4511"/>
        </row>
        <row r="4512">
          <cell r="A4512" t="str">
            <v>7.090026642000900</v>
          </cell>
          <cell r="B4512" t="str">
            <v>MEIZAN CENTRAL VIETNAMPANCAKE PEBAG@400G</v>
          </cell>
          <cell r="C4512" t="str">
            <v>BỘT BÁNH XÈO MIỀN TRUNG MEIZAN 400G</v>
          </cell>
          <cell r="D4512" t="str">
            <v>MEIZAN CENTRAL VIETNAMPANCAKE PEBAG@400G</v>
          </cell>
          <cell r="E4512">
            <v>0.4</v>
          </cell>
          <cell r="F4512" t="str">
            <v>Chọn</v>
          </cell>
          <cell r="G4512" t="str">
            <v>2000000007</v>
          </cell>
          <cell r="H4512"/>
        </row>
        <row r="4513">
          <cell r="A4513" t="str">
            <v>7.090026642000913</v>
          </cell>
          <cell r="B4513" t="str">
            <v>MEIZAN CENTRAL VIETNAMPANCAKE 400G*12BAG</v>
          </cell>
          <cell r="C4513" t="str">
            <v>BỘT BÁNH XÈO MIỀN TRUNG MEIZAN 400G X 12 GÓI</v>
          </cell>
          <cell r="D4513" t="str">
            <v>MEIZAN CENTRAL VIETNAMPANCAKE 400G*12BAG</v>
          </cell>
          <cell r="E4513">
            <v>4.8</v>
          </cell>
          <cell r="F4513" t="str">
            <v>Bỏ chọn</v>
          </cell>
          <cell r="G4513" t="str">
            <v>2000000007</v>
          </cell>
          <cell r="H4513"/>
        </row>
        <row r="4514">
          <cell r="A4514" t="str">
            <v>7.522112052510601</v>
          </cell>
          <cell r="B4514" t="str">
            <v>MEIZAN SEASONEDCHICKN FRIEDCOATING @10KG</v>
          </cell>
          <cell r="C4514" t="str">
            <v>BỘT GÀ RÁN MEIZAN CÓ GIA VỊ 10KG</v>
          </cell>
          <cell r="D4514" t="str">
            <v>MEIZAN SEASONEDCHICKN FRIEDCOATING @10KG</v>
          </cell>
          <cell r="E4514">
            <v>10</v>
          </cell>
          <cell r="F4514" t="str">
            <v>Chọn</v>
          </cell>
          <cell r="G4514" t="str">
            <v>2000000007</v>
          </cell>
          <cell r="H4514"/>
        </row>
        <row r="4515">
          <cell r="A4515" t="str">
            <v>7.522B856170701000</v>
          </cell>
          <cell r="B4515" t="str">
            <v>MEIZAN EGG NOODLE-FLAT PLASTICBAG@500G</v>
          </cell>
          <cell r="C4515" t="str">
            <v>MÌ TRỨNG CAO CẤP MEIZAN - SỢI DẸT 500G</v>
          </cell>
          <cell r="D4515" t="str">
            <v>MEIZAN EGG NOODLE-FLAT PLASTICBAG@500G</v>
          </cell>
          <cell r="E4515">
            <v>0.5</v>
          </cell>
          <cell r="F4515" t="str">
            <v>Chọn</v>
          </cell>
          <cell r="G4515" t="str">
            <v>2000000007</v>
          </cell>
          <cell r="H4515"/>
        </row>
        <row r="4516">
          <cell r="A4516" t="str">
            <v>7.585D130830070100</v>
          </cell>
          <cell r="B4516" t="str">
            <v>MEIZAN RICE PAPER ROLL PLASTICBAG@120G</v>
          </cell>
          <cell r="C4516" t="str">
            <v>BÁNH TRÁNG MEIZAN 120G</v>
          </cell>
          <cell r="D4516" t="str">
            <v>MEIZAN RICE PAPER ROLL PLASTICBAG@120G</v>
          </cell>
          <cell r="E4516">
            <v>0.12</v>
          </cell>
          <cell r="F4516" t="str">
            <v>Bỏ chọn</v>
          </cell>
          <cell r="G4516"/>
          <cell r="H4516"/>
        </row>
        <row r="4517">
          <cell r="A4517" t="str">
            <v>7.585D130830070110</v>
          </cell>
          <cell r="B4517" t="str">
            <v>MEIZAN RICE PAPER ROLL 120G X 40BAG</v>
          </cell>
          <cell r="C4517" t="str">
            <v>BÁNH TRÁNG MEIZAN 120G</v>
          </cell>
          <cell r="D4517" t="str">
            <v>MEIZAN RICE PAPER ROLL 120G X 40BAG</v>
          </cell>
          <cell r="E4517">
            <v>4.8</v>
          </cell>
          <cell r="F4517" t="str">
            <v>Bỏ chọn</v>
          </cell>
          <cell r="G4517"/>
          <cell r="H4517"/>
        </row>
        <row r="4518">
          <cell r="A4518" t="str">
            <v>7.522B856181401000</v>
          </cell>
          <cell r="B4518" t="str">
            <v>MEIZAN RICE VERMICELLI PLASTICBAG@300G</v>
          </cell>
          <cell r="C4518" t="str">
            <v>BÚN TƯƠI MEIZAN 300G</v>
          </cell>
          <cell r="D4518" t="str">
            <v>MEIZAN RICE VERMICELLI PLASTICBAG@300G</v>
          </cell>
          <cell r="E4518">
            <v>0.3</v>
          </cell>
          <cell r="F4518" t="str">
            <v>Chọn</v>
          </cell>
          <cell r="G4518" t="str">
            <v>2000000007</v>
          </cell>
          <cell r="H4518"/>
        </row>
        <row r="4519">
          <cell r="A4519" t="str">
            <v>7.522B856170701140</v>
          </cell>
          <cell r="B4519" t="str">
            <v>MEIZAN EGGNOODLE FLATSTRING 500G*12BAG</v>
          </cell>
          <cell r="C4519" t="str">
            <v>MÌ TRỨNG CAO CẤP MEIZAN - SỢI DẸT 500G X 12 GÓI</v>
          </cell>
          <cell r="D4519" t="str">
            <v>MEIZAN EGGNOODLE FLATSTRING 500G*12BAG</v>
          </cell>
          <cell r="E4519">
            <v>6</v>
          </cell>
          <cell r="F4519" t="str">
            <v>Chọn</v>
          </cell>
          <cell r="G4519" t="str">
            <v>2000000007</v>
          </cell>
          <cell r="H4519" t="str">
            <v>7.522B856170701000</v>
          </cell>
        </row>
        <row r="4520">
          <cell r="A4520" t="str">
            <v>7.522H850300101000</v>
          </cell>
          <cell r="B4520" t="str">
            <v>MEIZAN MACARONI LONG TUBE PLASTICBG@200G</v>
          </cell>
          <cell r="C4520" t="str">
            <v>NUI CAO CẤP MEIZAN 200G</v>
          </cell>
          <cell r="D4520" t="str">
            <v>MEIZAN MACARONI LONG TUBE PLASTICBG@200G</v>
          </cell>
          <cell r="E4520">
            <v>0.2</v>
          </cell>
          <cell r="F4520" t="str">
            <v>Chọn</v>
          </cell>
          <cell r="G4520" t="str">
            <v>2000000007</v>
          </cell>
          <cell r="H4520"/>
        </row>
        <row r="4521">
          <cell r="A4521" t="str">
            <v>7.522H850300101020</v>
          </cell>
          <cell r="B4521" t="str">
            <v>MEIZAN MACARONI LONG TUBE 200G*24BAG</v>
          </cell>
          <cell r="C4521" t="str">
            <v>NUI CAO CẤP MEIZAN 200G X 24 GÓI</v>
          </cell>
          <cell r="D4521" t="str">
            <v>MEIZAN MACARONI LONG TUBE 200G*24BAG</v>
          </cell>
          <cell r="E4521">
            <v>4.8</v>
          </cell>
          <cell r="F4521" t="str">
            <v>Chọn</v>
          </cell>
          <cell r="G4521" t="str">
            <v>2000000007</v>
          </cell>
          <cell r="H4521" t="str">
            <v>7.522H850300101000</v>
          </cell>
        </row>
        <row r="4522">
          <cell r="A4522" t="str">
            <v>7.522H850301201000</v>
          </cell>
          <cell r="B4522" t="str">
            <v>MEIZAN MACARONI LONG TUBE PLASTICBG@400G</v>
          </cell>
          <cell r="C4522" t="str">
            <v>NUI CAO CẤP MEIZAN 400G</v>
          </cell>
          <cell r="D4522" t="str">
            <v>MEIZAN MACARONI LONG TUBE PLASTICBG@400G</v>
          </cell>
          <cell r="E4522">
            <v>0.4</v>
          </cell>
          <cell r="F4522" t="str">
            <v>Chọn</v>
          </cell>
          <cell r="G4522" t="str">
            <v>2000000007</v>
          </cell>
          <cell r="H4522"/>
        </row>
        <row r="4523">
          <cell r="A4523" t="str">
            <v>7.B25080899020199</v>
          </cell>
          <cell r="B4523" t="str">
            <v>MONOSODIUM GLUTAMATE MEIZAN 1KG x 12 PCH/ CAR</v>
          </cell>
          <cell r="C4523" t="str">
            <v>BỘT NGỌT MEIZAN 1KG x 12 TÚI/ THÙNG</v>
          </cell>
          <cell r="D4523" t="str">
            <v>MONOSODIUM GLUTAMATE MEIZAN 1KG x 12 PCH/ CAR</v>
          </cell>
          <cell r="E4523">
            <v>12</v>
          </cell>
          <cell r="F4523" t="str">
            <v>Bỏ chọn</v>
          </cell>
          <cell r="G4523" t="str">
            <v>2000000008</v>
          </cell>
          <cell r="H4523" t="str">
            <v>7.B2508089902019901</v>
          </cell>
        </row>
        <row r="4524">
          <cell r="A4524" t="str">
            <v>7.B2508089902019901</v>
          </cell>
          <cell r="B4524" t="str">
            <v>MONOSODIUM GLUTAMATE MEIZAN 1KG</v>
          </cell>
          <cell r="C4524" t="str">
            <v>BỘT NGỌT MEIZAN 1KG</v>
          </cell>
          <cell r="D4524" t="str">
            <v>MONOSODIUM GLUTAMATE MEIZAN 1KG</v>
          </cell>
          <cell r="E4524">
            <v>1</v>
          </cell>
          <cell r="F4524" t="str">
            <v>Bỏ chọn</v>
          </cell>
          <cell r="G4524" t="str">
            <v>2000000008</v>
          </cell>
          <cell r="H4524"/>
        </row>
        <row r="4525">
          <cell r="A4525" t="str">
            <v>N13.0002002.00024</v>
          </cell>
          <cell r="B4525" t="str">
            <v>SAUCE,SOYA BEAN</v>
          </cell>
          <cell r="C4525" t="str">
            <v>NƯỚC CHẤM ĐẬU NÀNH HÀNG VIỆT 500ML</v>
          </cell>
          <cell r="D4525" t="str">
            <v>SAUCE,SOYA BEAN</v>
          </cell>
          <cell r="E4525">
            <v>0</v>
          </cell>
          <cell r="F4525" t="str">
            <v>Chọn</v>
          </cell>
          <cell r="G4525"/>
          <cell r="H4525"/>
        </row>
        <row r="4526">
          <cell r="A4526" t="str">
            <v>N13.0002003.00033</v>
          </cell>
          <cell r="B4526" t="str">
            <v>SPICES,PORK FLAVOR</v>
          </cell>
          <cell r="C4526" t="str">
            <v>HẠT NÊM NEPTUNE 4 TRONG 1 – VỊ HEO 200G</v>
          </cell>
          <cell r="D4526" t="str">
            <v>SPICES,PORK FLAVOR</v>
          </cell>
          <cell r="E4526">
            <v>0</v>
          </cell>
          <cell r="F4526" t="str">
            <v>Chọn</v>
          </cell>
          <cell r="G4526"/>
          <cell r="H4526"/>
        </row>
        <row r="4527">
          <cell r="A4527" t="str">
            <v>N13.0002003.00043</v>
          </cell>
          <cell r="B4527" t="str">
            <v>SPICES,PORK FLAVOR</v>
          </cell>
          <cell r="C4527" t="str">
            <v>HẠT NÊM 4 TRONG 1 - VỊ HEO 500G</v>
          </cell>
          <cell r="D4527" t="str">
            <v>SPICES,PORK FLAVOR</v>
          </cell>
          <cell r="E4527">
            <v>0</v>
          </cell>
          <cell r="F4527" t="str">
            <v>Chọn</v>
          </cell>
          <cell r="G4527"/>
          <cell r="H4527"/>
        </row>
        <row r="4528">
          <cell r="A4528" t="str">
            <v>N13.0011005.00085</v>
          </cell>
          <cell r="B4528" t="str">
            <v>FLOUR,ALL-PURPOSE TAPIOCA STARCH,12.80%,</v>
          </cell>
          <cell r="C4528" t="str">
            <v>BỘT NĂNG ĐA DỤNG MEIZAN 400G</v>
          </cell>
          <cell r="D4528" t="str">
            <v>FLOUR,ALL-PURPOSE TAPIOCA STARCH,12.80%,</v>
          </cell>
          <cell r="E4528">
            <v>0</v>
          </cell>
          <cell r="F4528" t="str">
            <v>Chọn</v>
          </cell>
          <cell r="G4528"/>
          <cell r="H4528"/>
        </row>
        <row r="4529">
          <cell r="A4529" t="str">
            <v>N13.0011005.00086</v>
          </cell>
          <cell r="B4529" t="str">
            <v>FLOUR,FRYING MIX,8.52%,3.45%</v>
          </cell>
          <cell r="C4529" t="str">
            <v>BỘT CHIÊN GIÒN MEIZAN ĐÃ NÊM SẴN GV 150G</v>
          </cell>
          <cell r="D4529" t="str">
            <v>FLOUR,FRYING MIX,8.52%,3.45%</v>
          </cell>
          <cell r="E4529">
            <v>0</v>
          </cell>
          <cell r="F4529" t="str">
            <v>Chọn</v>
          </cell>
          <cell r="G4529"/>
          <cell r="H4529"/>
        </row>
        <row r="4530">
          <cell r="A4530" t="str">
            <v>7.705J5</v>
          </cell>
          <cell r="B4530" t="str">
            <v>GLYCEROL MONOOLEAT IN BOTTLE 0.5KG</v>
          </cell>
          <cell r="C4530" t="str">
            <v>GLYCEROL MONOOLEAT ĐÓNG TRONG CHAI 0.5KG</v>
          </cell>
          <cell r="D4530" t="str">
            <v>GLYCEROL MONOOLEAT IN BOTTLE 0.5KG</v>
          </cell>
          <cell r="E4530">
            <v>1</v>
          </cell>
          <cell r="F4530" t="str">
            <v>Chọn</v>
          </cell>
          <cell r="G4530"/>
          <cell r="H4530"/>
        </row>
        <row r="4531">
          <cell r="A4531" t="str">
            <v>7.705J6</v>
          </cell>
          <cell r="B4531" t="str">
            <v>METHYL OLEATE (ME 1898) IN BOTTLE 1KG</v>
          </cell>
          <cell r="C4531" t="str">
            <v xml:space="preserve">METHYL OLEATE (ME 1898) ĐÓNG TRONG CHAI 1KG </v>
          </cell>
          <cell r="D4531" t="str">
            <v>METHYL OLEATE (ME 1898) IN BOTTLE 1KG</v>
          </cell>
          <cell r="E4531">
            <v>1</v>
          </cell>
          <cell r="F4531" t="str">
            <v>Chọn</v>
          </cell>
          <cell r="G4531"/>
          <cell r="H4531"/>
        </row>
        <row r="4532">
          <cell r="A4532" t="str">
            <v>7.705J7</v>
          </cell>
          <cell r="B4532" t="str">
            <v>GLYCEROL MONOOLEATE (GMO) IN DRUM 180KG</v>
          </cell>
          <cell r="C4532" t="str">
            <v>GLYCEROL MONOOLEATE (GMO) ĐÓNG TRONG PHUY 180KG</v>
          </cell>
          <cell r="D4532" t="str">
            <v>GLYCEROL MONOOLEATE (GMO) IN DRUM 180KG</v>
          </cell>
          <cell r="E4532">
            <v>1</v>
          </cell>
          <cell r="F4532" t="str">
            <v>Chọn</v>
          </cell>
          <cell r="G4532"/>
          <cell r="H4532"/>
        </row>
        <row r="4533">
          <cell r="A4533" t="str">
            <v>7.522112732350205</v>
          </cell>
          <cell r="B4533" t="str">
            <v>MEIZAN RICE FLOUR 400G X 12BAG</v>
          </cell>
          <cell r="C4533" t="str">
            <v>BỘT GẠO MEIZAN 400G X 12 GÓI</v>
          </cell>
          <cell r="D4533" t="str">
            <v>MEIZAN RICE FLOUR 400G X 12BAG</v>
          </cell>
          <cell r="E4533">
            <v>4.8</v>
          </cell>
          <cell r="F4533" t="str">
            <v>Chọn</v>
          </cell>
          <cell r="G4533" t="str">
            <v>2000000007</v>
          </cell>
          <cell r="H4533" t="str">
            <v>7.522112732350201</v>
          </cell>
        </row>
        <row r="4534">
          <cell r="A4534" t="str">
            <v>7.522112732350201</v>
          </cell>
          <cell r="B4534" t="str">
            <v>MEIZAN RICE FLOUR IN PLASTICBAG@400G</v>
          </cell>
          <cell r="C4534" t="str">
            <v>BỘT GẠO MEIZAN 400G</v>
          </cell>
          <cell r="D4534" t="str">
            <v>MEIZAN RICE FLOUR IN PLASTICBAG@400G</v>
          </cell>
          <cell r="E4534">
            <v>0.4</v>
          </cell>
          <cell r="F4534" t="str">
            <v>Chọn</v>
          </cell>
          <cell r="G4534" t="str">
            <v>2000000007</v>
          </cell>
          <cell r="H4534"/>
        </row>
        <row r="4535">
          <cell r="A4535" t="str">
            <v>7.522112732590205</v>
          </cell>
          <cell r="B4535" t="str">
            <v>MEIZAN GLUTINOUS RICE FLOUR 400G*12BAG</v>
          </cell>
          <cell r="C4535" t="str">
            <v>BỘT NẾP MEIZAN 400G X 12 GÓI</v>
          </cell>
          <cell r="D4535" t="str">
            <v>MEIZAN GLUTINOUS RICE FLOUR 400G*12BAG</v>
          </cell>
          <cell r="E4535">
            <v>4.8</v>
          </cell>
          <cell r="F4535" t="str">
            <v>Chọn</v>
          </cell>
          <cell r="G4535" t="str">
            <v>2000000007</v>
          </cell>
          <cell r="H4535" t="str">
            <v>7.522112732590201</v>
          </cell>
        </row>
        <row r="4536">
          <cell r="A4536" t="str">
            <v>7.522112732590201</v>
          </cell>
          <cell r="B4536" t="str">
            <v>MEIZAN GLUTINOUS RICE FLOUR IN BAG@400G</v>
          </cell>
          <cell r="C4536" t="str">
            <v>BỘT NẾP MEIZAN 400G</v>
          </cell>
          <cell r="D4536" t="str">
            <v>MEIZAN GLUTINOUS RICE FLOUR IN BAG@400G</v>
          </cell>
          <cell r="E4536">
            <v>0.4</v>
          </cell>
          <cell r="F4536" t="str">
            <v>Chọn</v>
          </cell>
          <cell r="G4536" t="str">
            <v>2000000007</v>
          </cell>
          <cell r="H4536"/>
        </row>
        <row r="4537">
          <cell r="A4537" t="str">
            <v>7.G4001B599320199</v>
          </cell>
          <cell r="B4537" t="str">
            <v>VINATEA BLACK TEA (TEA BAG) 200G 2G X 100 BAGS X 16 BOXES IN CARTON</v>
          </cell>
          <cell r="C4537" t="str">
            <v>TRÀ ĐEN HẢO HẠNG HỘP VÀNG TÚI LỌC HIỆU VINATEA, LOẠI 200G 2G X 100 TÚI LỌC X 16 HỘP ĐÓNG TRONG THÙNG CARTON</v>
          </cell>
          <cell r="D4537" t="str">
            <v>VINATEA BLACK TEA (TEA BAG) 200G 2G X 100 BAGS X 16 BOXES IN CARTON</v>
          </cell>
          <cell r="E4537">
            <v>3.2</v>
          </cell>
          <cell r="F4537" t="str">
            <v>Chọn</v>
          </cell>
          <cell r="G4537"/>
          <cell r="H4537" t="str">
            <v>7.G4001B59932019901</v>
          </cell>
        </row>
        <row r="4538">
          <cell r="A4538" t="str">
            <v>7.G4001B599C20199</v>
          </cell>
          <cell r="B4538" t="str">
            <v>VINATEA GOOD NIGHT TEA (TEA BAG) 40G 2G X 20 BAGS X 24 BOXES IN CARTON</v>
          </cell>
          <cell r="C4538" t="str">
            <v>TRÀ GOOD NIGHT HIỆU VINATEA, LOẠI 40G 2G X 20 TÚI LỌC X 24 HỘP ĐÓNG TRONG THÙNG CARTON</v>
          </cell>
          <cell r="D4538" t="str">
            <v>VINATEA GOOD NIGHT TEA (TEA BAG) 40G 2G X 20 BAGS X 24 BOXES IN CARTON</v>
          </cell>
          <cell r="E4538">
            <v>0.96</v>
          </cell>
          <cell r="F4538" t="str">
            <v>Chọn</v>
          </cell>
          <cell r="G4538"/>
          <cell r="H4538" t="str">
            <v>7.G4001B599C2019901</v>
          </cell>
        </row>
        <row r="4539">
          <cell r="A4539" t="str">
            <v>V51.041.019</v>
          </cell>
          <cell r="B4539" t="str">
            <v>SIMPLY FRAGRANT BROWN RICE 1KG</v>
          </cell>
          <cell r="C4539" t="str">
            <v>SIMPLY GẠO LỨT THƠM ST25 1KG</v>
          </cell>
          <cell r="D4539" t="str">
            <v>SIMPLY FRAGRANT BROWN RICE 1KG</v>
          </cell>
          <cell r="E4539">
            <v>1</v>
          </cell>
          <cell r="F4539" t="str">
            <v>Bỏ chọn</v>
          </cell>
          <cell r="G4539"/>
          <cell r="H4539"/>
        </row>
        <row r="4540">
          <cell r="A4540" t="str">
            <v>7.G4001B599300186</v>
          </cell>
          <cell r="B4540" t="str">
            <v>VINATEA JASMINE TEA (TEA BAG) 50G 2G X 25 BAGS X 24 BOXES IN CARTON</v>
          </cell>
          <cell r="C4540" t="str">
            <v>TRÀ HOA NHÀI HIỆU VINATEA, LOẠI 50G 2G X 25 TÚI LỌC X 24 HỘP ĐÓNG TRONG THÙNG CARTON</v>
          </cell>
          <cell r="D4540" t="str">
            <v>VINATEA JASMINE TEA (TEA BAG) 50G 2G X 25 BAGS X 24 BOXES IN CARTON</v>
          </cell>
          <cell r="E4540">
            <v>1.2</v>
          </cell>
          <cell r="F4540" t="str">
            <v>Chọn</v>
          </cell>
          <cell r="G4540"/>
          <cell r="H4540" t="str">
            <v>7.G4001B59930018601</v>
          </cell>
        </row>
        <row r="4541">
          <cell r="A4541" t="str">
            <v>7.G4001B599830199</v>
          </cell>
          <cell r="B4541" t="str">
            <v>VINATEA PANDAN FLAVORED TEA 350G X 10 BAGS IN CARTON</v>
          </cell>
          <cell r="C4541" t="str">
            <v>TRÀ HƯƠNG SÂM DỨA HIỆU VINATEA, LOẠI 350G X 10 TÚI TRONG THÙNG CARTON</v>
          </cell>
          <cell r="D4541" t="str">
            <v>VINATEA PANDAN FLAVORED TEA 350G X 10 BAGS IN CARTON</v>
          </cell>
          <cell r="E4541">
            <v>3.5</v>
          </cell>
          <cell r="F4541" t="str">
            <v>Chọn</v>
          </cell>
          <cell r="G4541"/>
          <cell r="H4541" t="str">
            <v>7.G4001B59983019901</v>
          </cell>
        </row>
        <row r="4542">
          <cell r="A4542" t="str">
            <v>7.G4001B599030187</v>
          </cell>
          <cell r="B4542" t="str">
            <v>VINATEA RED TEA 1KG X 5 BAGS IN CARTON</v>
          </cell>
          <cell r="C4542" t="str">
            <v>HỒNG TRÀ HIỆU VINATEA TÚI 1KG X 5 TÚI ĐÓNG TRONG THÙNG CARTON</v>
          </cell>
          <cell r="D4542" t="str">
            <v>VINATEA RED TEA 1KG X 5 BAGS IN CARTON</v>
          </cell>
          <cell r="E4542">
            <v>5</v>
          </cell>
          <cell r="F4542" t="str">
            <v>Chọn</v>
          </cell>
          <cell r="G4542"/>
          <cell r="H4542" t="str">
            <v>7.G4001B59903018701</v>
          </cell>
        </row>
        <row r="4543">
          <cell r="A4543" t="str">
            <v>7.G4001B599010187</v>
          </cell>
          <cell r="B4543" t="str">
            <v>VINATEA RED TEA 500G X 10 BAGS IN CARTON</v>
          </cell>
          <cell r="C4543" t="str">
            <v>HỒNG TRÀ HIỆU VINATEA TÚI 500G X 10 TÚI ĐÓNG TRONG THÙNG CARTON</v>
          </cell>
          <cell r="D4543" t="str">
            <v>VINATEA RED TEA 500G X 10 BAGS IN CARTON</v>
          </cell>
          <cell r="E4543">
            <v>5</v>
          </cell>
          <cell r="F4543" t="str">
            <v>Chọn</v>
          </cell>
          <cell r="G4543"/>
          <cell r="H4543" t="str">
            <v>7.G4001B59901018701</v>
          </cell>
        </row>
        <row r="4544">
          <cell r="A4544" t="str">
            <v>7.B24012399390113</v>
          </cell>
          <cell r="B4544" t="str">
            <v>NAM DUONG CONDENSED SOYA SAUCE 280ML x 24 BOT/CAR</v>
          </cell>
          <cell r="C4544" t="str">
            <v>NƯỚC TƯƠNG NAM DƯƠNG ĐẬM ĐẶC 280ML X 24 CHAI/ THÙNG</v>
          </cell>
          <cell r="D4544" t="str">
            <v>NAM DUONG CONDENSED SOYA SAUCE 280ML x 24 BOT/CAR</v>
          </cell>
          <cell r="E4544">
            <v>7.5359999999999996</v>
          </cell>
          <cell r="F4544" t="str">
            <v>Bỏ chọn</v>
          </cell>
          <cell r="G4544" t="str">
            <v>2000000008</v>
          </cell>
          <cell r="H4544" t="str">
            <v>7.B2401239939011301</v>
          </cell>
        </row>
        <row r="4545">
          <cell r="A4545" t="str">
            <v>7.B2401239939011301</v>
          </cell>
          <cell r="B4545" t="str">
            <v>NAM DUONG CONDENSED SOYA SAUCE 280ML</v>
          </cell>
          <cell r="C4545" t="str">
            <v>NƯỚC TƯƠNG NAM DƯƠNG ĐẬM ĐẶC 280ML</v>
          </cell>
          <cell r="D4545" t="str">
            <v>NAM DUONG CONDENSED SOYA SAUCE 280ML</v>
          </cell>
          <cell r="E4545">
            <v>0.314</v>
          </cell>
          <cell r="F4545" t="str">
            <v>Bỏ chọn</v>
          </cell>
          <cell r="G4545" t="str">
            <v>2000000008</v>
          </cell>
          <cell r="H4545"/>
        </row>
        <row r="4546">
          <cell r="A4546" t="str">
            <v>7.B24012399370113</v>
          </cell>
          <cell r="B4546" t="str">
            <v>NAM DUONG CONDENSED SOYA SAUCE 500ML x 24 BOT/CAR</v>
          </cell>
          <cell r="C4546" t="str">
            <v>NƯỚC TƯƠNG NAM DƯƠNG ĐẬM ĐẶC 500ML X 24 CHAI/ THÙNG</v>
          </cell>
          <cell r="D4546" t="str">
            <v>NAM DUONG CONDENSED SOYA SAUCE 500ML x 24 BOT/CAR</v>
          </cell>
          <cell r="E4546">
            <v>13.458</v>
          </cell>
          <cell r="F4546" t="str">
            <v>Bỏ chọn</v>
          </cell>
          <cell r="G4546" t="str">
            <v>2000000008</v>
          </cell>
          <cell r="H4546" t="str">
            <v>7.B2401239937011301</v>
          </cell>
        </row>
        <row r="4547">
          <cell r="A4547" t="str">
            <v>7.B2401239937011301</v>
          </cell>
          <cell r="B4547" t="str">
            <v>NAM DUONG CONDENSED SOYA SAUCE 500ML</v>
          </cell>
          <cell r="C4547" t="str">
            <v>NƯỚC TƯƠNG NAM DƯƠNG ĐẬM ĐẶC 500ML</v>
          </cell>
          <cell r="D4547" t="str">
            <v>NAM DUONG CONDENSED SOYA SAUCE 500ML</v>
          </cell>
          <cell r="E4547">
            <v>0.56100000000000005</v>
          </cell>
          <cell r="F4547" t="str">
            <v>Bỏ chọn</v>
          </cell>
          <cell r="G4547" t="str">
            <v>2000000008</v>
          </cell>
          <cell r="H4547"/>
        </row>
        <row r="4548">
          <cell r="A4548" t="str">
            <v>7.G4001B59932019901</v>
          </cell>
          <cell r="B4548" t="str">
            <v>VINATEA BLACK TEA (TEA BAG) 200G</v>
          </cell>
          <cell r="C4548" t="str">
            <v>TRÀ ĐEN HẢO HẠNG HỘP VÀNG TÚI LỌC HIỆU VINATEA, LOẠI 200G</v>
          </cell>
          <cell r="D4548" t="str">
            <v>VINATEA BLACK TEA (TEA BAG) 200G</v>
          </cell>
          <cell r="E4548">
            <v>0.2</v>
          </cell>
          <cell r="F4548" t="str">
            <v>Chọn</v>
          </cell>
          <cell r="G4548"/>
          <cell r="H4548"/>
        </row>
        <row r="4549">
          <cell r="A4549" t="str">
            <v>7.G4001B599C2019901</v>
          </cell>
          <cell r="B4549" t="str">
            <v>VINATEA GOOD NIGHT TEA (TEA BAG) 40G</v>
          </cell>
          <cell r="C4549" t="str">
            <v>TRÀ GOOD NIGHT HIỆU VINATEA, LOẠI 40G</v>
          </cell>
          <cell r="D4549" t="str">
            <v>VINATEA GOOD NIGHT TEA (TEA BAG) 40G</v>
          </cell>
          <cell r="E4549">
            <v>0.04</v>
          </cell>
          <cell r="F4549" t="str">
            <v>Chọn</v>
          </cell>
          <cell r="G4549"/>
          <cell r="H4549"/>
        </row>
        <row r="4550">
          <cell r="A4550" t="str">
            <v>7.G4001B59930018601</v>
          </cell>
          <cell r="B4550" t="str">
            <v>VINATEA JASMINE TEA (TEA BAG) 50G</v>
          </cell>
          <cell r="C4550" t="str">
            <v>TRÀ HOA NHÀI HIỆU VINATEA, LOẠI 50G</v>
          </cell>
          <cell r="D4550" t="str">
            <v>VINATEA JASMINE TEA (TEA BAG) 50G</v>
          </cell>
          <cell r="E4550">
            <v>0.05</v>
          </cell>
          <cell r="F4550" t="str">
            <v>Chọn</v>
          </cell>
          <cell r="G4550"/>
          <cell r="H4550"/>
        </row>
        <row r="4551">
          <cell r="A4551" t="str">
            <v>7.G4001B59983019901</v>
          </cell>
          <cell r="B4551" t="str">
            <v>VINATEA PANDAN FLAVORED TEA 350G</v>
          </cell>
          <cell r="C4551" t="str">
            <v>TRÀ HƯƠNG SÂM DỨA HIỆU VINATEA, LOẠI 350G</v>
          </cell>
          <cell r="D4551" t="str">
            <v>VINATEA PANDAN FLAVORED TEA 350G</v>
          </cell>
          <cell r="E4551">
            <v>0.35</v>
          </cell>
          <cell r="F4551" t="str">
            <v>Chọn</v>
          </cell>
          <cell r="G4551"/>
          <cell r="H4551"/>
        </row>
        <row r="4552">
          <cell r="A4552" t="str">
            <v>7.G4001B59903018701</v>
          </cell>
          <cell r="B4552" t="str">
            <v>VINATEA RED TEA 1KG</v>
          </cell>
          <cell r="C4552" t="str">
            <v>HỒNG TRÀ HIỆU VINATEA TÚI 1KG</v>
          </cell>
          <cell r="D4552" t="str">
            <v>VINATEA RED TEA 1KG</v>
          </cell>
          <cell r="E4552">
            <v>1</v>
          </cell>
          <cell r="F4552" t="str">
            <v>Chọn</v>
          </cell>
          <cell r="G4552"/>
          <cell r="H4552"/>
        </row>
        <row r="4553">
          <cell r="A4553" t="str">
            <v>7.G4001B59901018701</v>
          </cell>
          <cell r="B4553" t="str">
            <v>VINATEA RED TEA 500G</v>
          </cell>
          <cell r="C4553" t="str">
            <v>HỒNG TRÀ HIỆU VINATEA TÚI 500G</v>
          </cell>
          <cell r="D4553" t="str">
            <v>VINATEA RED TEA 500G</v>
          </cell>
          <cell r="E4553">
            <v>0.5</v>
          </cell>
          <cell r="F4553" t="str">
            <v>Chọn</v>
          </cell>
          <cell r="G4553"/>
          <cell r="H4553"/>
        </row>
        <row r="4554">
          <cell r="A4554" t="str">
            <v>7.707707N32817000K</v>
          </cell>
          <cell r="B4554" t="str">
            <v>POWER100 DWL SVG GREENTEA ALOE1.4KG*8BTL</v>
          </cell>
          <cell r="C4554" t="str">
            <v>NƯỚC RỬA CHÉN POWER100 TIẾT KIỆM HƯƠNG TRÀ XANH LÔ HỘI 1.4KG*8</v>
          </cell>
          <cell r="D4554" t="str">
            <v>POWER100 DWL SVG GREENTEA ALOE1.4KG*8BTL</v>
          </cell>
          <cell r="E4554">
            <v>11.2</v>
          </cell>
          <cell r="F4554" t="str">
            <v>Chọn</v>
          </cell>
          <cell r="G4554"/>
          <cell r="H4554" t="str">
            <v>7.707707N328170000</v>
          </cell>
        </row>
        <row r="4555">
          <cell r="A4555" t="str">
            <v>7.707707N328170000</v>
          </cell>
          <cell r="B4555" t="str">
            <v>POWER100 DWL SVG GREENTEA ALOE BTL@1.4KG</v>
          </cell>
          <cell r="C4555" t="str">
            <v>NƯỚC RỬA CHÉN POWER100 TIẾT KIỆM HƯƠNG TRÀ XANH LÔ HỘI 1.4KG</v>
          </cell>
          <cell r="D4555" t="str">
            <v>POWER100 DWL SVG GREENTEA ALOE BTL@1.4KG</v>
          </cell>
          <cell r="E4555">
            <v>1.4</v>
          </cell>
          <cell r="F4555" t="str">
            <v>Chọn</v>
          </cell>
          <cell r="G4555"/>
          <cell r="H4555"/>
        </row>
        <row r="4556">
          <cell r="A4556" t="str">
            <v>N04.0018006.00320</v>
          </cell>
          <cell r="B4556" t="str">
            <v>PROMOTIONAL STUFF,DISPLAY STAND SHELF,PO</v>
          </cell>
          <cell r="C4556" t="str">
            <v>KỆ SẮT 2 TẦNG POWER100</v>
          </cell>
          <cell r="D4556" t="str">
            <v>PROMOTIONAL STUFF,DISPLAY STAND SHELF,PO</v>
          </cell>
          <cell r="E4556">
            <v>0</v>
          </cell>
          <cell r="F4556" t="str">
            <v>Chọn</v>
          </cell>
          <cell r="G4556"/>
          <cell r="H4556"/>
        </row>
        <row r="4557">
          <cell r="A4557" t="str">
            <v>6.70591</v>
          </cell>
          <cell r="B4557" t="str">
            <v>DIMER ACID BIODA-80 IN DRUM 190KG</v>
          </cell>
          <cell r="C4557" t="str">
            <v>AXIT DIMER BIODA-80 ĐÓNG TRONG PHUY 190KG</v>
          </cell>
          <cell r="D4557" t="str">
            <v>DIMER ACID BIODA-80 IN DRUM 190KG</v>
          </cell>
          <cell r="E4557">
            <v>1</v>
          </cell>
          <cell r="F4557" t="str">
            <v>Chọn</v>
          </cell>
          <cell r="G4557"/>
          <cell r="H4557"/>
        </row>
        <row r="4558">
          <cell r="A4558" t="str">
            <v>N13.0011005.00090</v>
          </cell>
          <cell r="B4558" t="str">
            <v>FLOUR,CRISPY FRYING MIX,&lt;=14%,&lt;=4%</v>
          </cell>
          <cell r="C4558" t="str">
            <v>BỘT CHIÊN GIÒN MEIZAN 150G</v>
          </cell>
          <cell r="D4558" t="str">
            <v>FLOUR,CRISPY FRYING MIX,&lt;=14%,&lt;=4%</v>
          </cell>
          <cell r="E4558">
            <v>0</v>
          </cell>
          <cell r="F4558" t="str">
            <v>Chọn</v>
          </cell>
          <cell r="G4558"/>
          <cell r="H4558"/>
        </row>
        <row r="4559">
          <cell r="A4559" t="str">
            <v>N13.0011005.00091</v>
          </cell>
          <cell r="B4559" t="str">
            <v>FLOUR,CRISPY FRYING MIX,&lt;=14%,&lt;=4%</v>
          </cell>
          <cell r="C4559" t="str">
            <v>BỘT CHIÊN GIÒN MEIZAN 150GR X 60 BAG</v>
          </cell>
          <cell r="D4559" t="str">
            <v>FLOUR,CRISPY FRYING MIX,&lt;=14%,&lt;=4%</v>
          </cell>
          <cell r="E4559">
            <v>0</v>
          </cell>
          <cell r="F4559" t="str">
            <v>Chọn</v>
          </cell>
          <cell r="G4559"/>
          <cell r="H4559"/>
        </row>
        <row r="4560">
          <cell r="A4560" t="str">
            <v>7.475056171704020TD</v>
          </cell>
          <cell r="B4560" t="str">
            <v>OLIVOILÀ BRAND POMACE OLIVE OIL 750ML X 6 BTL IN CARTON</v>
          </cell>
          <cell r="C4560" t="str">
            <v>DẦU Ô-LIU POMACE NHÃN HIỆU OLIVOILÀ 750ML X 6 CHAI ĐÓNG TRONG THÙNG CARTON</v>
          </cell>
          <cell r="D4560" t="str">
            <v>OLIVOILÀ BRAND POMACE OLIVE OIL 750ML X 6 BTL IN CARTON</v>
          </cell>
          <cell r="E4560">
            <v>4.0949999999999998</v>
          </cell>
          <cell r="F4560" t="str">
            <v>Chọn</v>
          </cell>
          <cell r="G4560"/>
          <cell r="H4560"/>
        </row>
        <row r="4561">
          <cell r="A4561" t="str">
            <v>7.475056081708020TD</v>
          </cell>
          <cell r="B4561" t="str">
            <v>CO-OLIVOILA POMACE OLIVE OIL 5LX3BTL</v>
          </cell>
          <cell r="C4561" t="str">
            <v>DẦU Ô-LIU POMACE NHÃN HIỆU OLIVOILÀ 5L</v>
          </cell>
          <cell r="D4561" t="str">
            <v>CO-OLIVOILA POMACE OLIVE OIL 5LX3BTL</v>
          </cell>
          <cell r="E4561">
            <v>13.65</v>
          </cell>
          <cell r="F4561" t="str">
            <v>Chọn</v>
          </cell>
          <cell r="G4561"/>
          <cell r="H4561"/>
        </row>
        <row r="4562">
          <cell r="A4562" t="str">
            <v>V39.015.714</v>
          </cell>
          <cell r="B4562" t="str">
            <v>MEIZAN APRON - DOMESTIC PRODUCT WITHOUT LINING</v>
          </cell>
          <cell r="C4562" t="str">
            <v>TẠP DỀ MEIZAN - NỘI ĐỊA KHÔNG LỚP LÓT</v>
          </cell>
          <cell r="D4562" t="str">
            <v>MEIZAN APRON - DOMESTIC PRODUCT WITHOUT LINING</v>
          </cell>
          <cell r="E4562">
            <v>0</v>
          </cell>
          <cell r="F4562" t="str">
            <v>Bỏ chọn</v>
          </cell>
          <cell r="G4562"/>
          <cell r="H4562"/>
        </row>
        <row r="4563">
          <cell r="A4563" t="str">
            <v>N04.0009001.00052</v>
          </cell>
          <cell r="B4563" t="str">
            <v>BOWL,POLY PLASTIC,160 X 55 X 215 MM</v>
          </cell>
          <cell r="C4563" t="str">
            <v>BỘ DỤNG CỤ ĂN DẶM KIDDY</v>
          </cell>
          <cell r="D4563" t="str">
            <v>BOWL,POLY PLASTIC,160 X 55 X 215 MM</v>
          </cell>
          <cell r="E4563">
            <v>0</v>
          </cell>
          <cell r="F4563" t="str">
            <v>Chọn</v>
          </cell>
          <cell r="G4563"/>
          <cell r="H4563"/>
        </row>
        <row r="4564">
          <cell r="A4564" t="str">
            <v>7.E38017899A40137</v>
          </cell>
          <cell r="B4564" t="str">
            <v>MEADOW FRESH CHOCOLATE UHT MILK 250MLX24</v>
          </cell>
          <cell r="C4564" t="str">
            <v>SỮA TIỆT TRÙNG HƯƠNG SÔ-CÔ-LA NHÃN HIỆU MEADOW FRESH 250ML X 24</v>
          </cell>
          <cell r="D4564" t="str">
            <v>MEADOW FRESH CHOCOLATE UHT MILK 250MLX24</v>
          </cell>
          <cell r="E4564">
            <v>6.18</v>
          </cell>
          <cell r="F4564" t="str">
            <v>Chọn</v>
          </cell>
          <cell r="G4564"/>
          <cell r="H4564"/>
        </row>
        <row r="4565">
          <cell r="A4565" t="str">
            <v>7.E38017899A40136</v>
          </cell>
          <cell r="B4565" t="str">
            <v>MEADOW FRESH STRAWBERRY UHT MILK 250MLX24</v>
          </cell>
          <cell r="C4565" t="str">
            <v>SỮA TIỆT TRÙNG HƯƠNG DÂU NHÃN HIỆU MEADOW FRESH 250ML X 24</v>
          </cell>
          <cell r="D4565" t="str">
            <v>MEADOW FRESH STRAWBERRY UHT MILK 250MLX24</v>
          </cell>
          <cell r="E4565">
            <v>6.18</v>
          </cell>
          <cell r="F4565" t="str">
            <v>Bỏ chọn</v>
          </cell>
          <cell r="G4565"/>
          <cell r="H4565"/>
        </row>
        <row r="4566">
          <cell r="A4566" t="str">
            <v>7.705J8</v>
          </cell>
          <cell r="B4566" t="str">
            <v>GLYCEROL MONOSTEARATE (GMS-AF01) IN BAG 1KG</v>
          </cell>
          <cell r="C4566" t="str">
            <v>CHẤT NHŨ HÓA GLYCEROL MONOSTEARATE (GMS-AF01) ĐÓNG TRONG TÚI 1KG</v>
          </cell>
          <cell r="D4566" t="str">
            <v>GLYCEROL MONOSTEARATE (GMS-AF01) IN BAG 1KG</v>
          </cell>
          <cell r="E4566">
            <v>1</v>
          </cell>
          <cell r="F4566" t="str">
            <v>Chọn</v>
          </cell>
          <cell r="G4566"/>
          <cell r="H4566"/>
        </row>
        <row r="4567">
          <cell r="A4567" t="str">
            <v>7.5221125007Y0206</v>
          </cell>
          <cell r="B4567" t="str">
            <v>MEIZAN CRISPY FRYING MIX 300G X 24BAG</v>
          </cell>
          <cell r="C4567" t="str">
            <v>BỘT CHIÊN GIÒN MEIZAN 300G X 24 GÓI</v>
          </cell>
          <cell r="D4567" t="str">
            <v>MEIZAN CRISPY FRYING MIX 300G X 24BAG</v>
          </cell>
          <cell r="E4567">
            <v>7.2</v>
          </cell>
          <cell r="F4567" t="str">
            <v>Chọn</v>
          </cell>
          <cell r="G4567" t="str">
            <v>2000000007</v>
          </cell>
          <cell r="H4567"/>
        </row>
        <row r="4568">
          <cell r="A4568" t="str">
            <v>7.B25080899330199</v>
          </cell>
          <cell r="B4568" t="str">
            <v>MONOSODIUM GLUTAMATE MEIZAN 400G x 30 PCH/ CAR</v>
          </cell>
          <cell r="C4568" t="str">
            <v>BỘT NGỌT MEIZAN 400G x 30 TÚI/ THÙNG</v>
          </cell>
          <cell r="D4568" t="str">
            <v>MONOSODIUM GLUTAMATE MEIZAN 400G x 30 PCH/ CAR</v>
          </cell>
          <cell r="E4568">
            <v>12</v>
          </cell>
          <cell r="F4568" t="str">
            <v>Bỏ chọn</v>
          </cell>
          <cell r="G4568" t="str">
            <v>2000000008</v>
          </cell>
          <cell r="H4568" t="str">
            <v>7.B2508089933019901</v>
          </cell>
        </row>
        <row r="4569">
          <cell r="A4569" t="str">
            <v>7.B2508089933019901</v>
          </cell>
          <cell r="B4569" t="str">
            <v>MONOSODIUM GLUTAMATE MEIZAN 400G</v>
          </cell>
          <cell r="C4569" t="str">
            <v>BỘT NGỌT MEIZAN 400G</v>
          </cell>
          <cell r="D4569" t="str">
            <v>MONOSODIUM GLUTAMATE MEIZAN 400G</v>
          </cell>
          <cell r="E4569">
            <v>0.4</v>
          </cell>
          <cell r="F4569" t="str">
            <v>Bỏ chọn</v>
          </cell>
          <cell r="G4569" t="str">
            <v>2000000008</v>
          </cell>
          <cell r="H4569"/>
        </row>
        <row r="4570">
          <cell r="A4570" t="str">
            <v>7.5221125007Y0201</v>
          </cell>
          <cell r="B4570" t="str">
            <v>MEIZAN CRISPY FRYING MIX PLASTICBAG@300G</v>
          </cell>
          <cell r="C4570" t="str">
            <v>BỘT CHIÊN GIÒN MEIZAN 300G</v>
          </cell>
          <cell r="D4570" t="str">
            <v>MEIZAN CRISPY FRYING MIX PLASTICBAG@300G</v>
          </cell>
          <cell r="E4570">
            <v>0.3</v>
          </cell>
          <cell r="F4570" t="str">
            <v>Chọn</v>
          </cell>
          <cell r="G4570" t="str">
            <v>2000000007</v>
          </cell>
          <cell r="H4570"/>
        </row>
        <row r="4571">
          <cell r="A4571" t="str">
            <v>N13.0004003.00028</v>
          </cell>
          <cell r="B4571" t="str">
            <v>CONSUMER PACK PALM OIL,COOKING OIL,1 L</v>
          </cell>
          <cell r="C4571" t="str">
            <v>DẦU THỰC VẬT HẢO HẠNG NHÃN HIỆU CÁI LÂN 1L</v>
          </cell>
          <cell r="D4571" t="str">
            <v>CONSUMER PACK PALM OIL,COOKING OIL,1 L</v>
          </cell>
          <cell r="E4571">
            <v>0</v>
          </cell>
          <cell r="F4571" t="str">
            <v>Chọn</v>
          </cell>
          <cell r="G4571"/>
          <cell r="H4571"/>
        </row>
        <row r="4572">
          <cell r="A4572" t="str">
            <v>N13.0004003.00029</v>
          </cell>
          <cell r="B4572" t="str">
            <v>CONSUMER PACK PALM OIL,COOKING OIL,1 L</v>
          </cell>
          <cell r="C4572" t="str">
            <v>DẦU ĂN CAO CẤP NHÃN HIỆU MEIZAN GOLD 1L</v>
          </cell>
          <cell r="D4572" t="str">
            <v>CONSUMER PACK PALM OIL,COOKING OIL,1 L</v>
          </cell>
          <cell r="E4572">
            <v>0</v>
          </cell>
          <cell r="F4572" t="str">
            <v>Chọn</v>
          </cell>
          <cell r="G4572"/>
          <cell r="H4572"/>
        </row>
        <row r="4573">
          <cell r="A4573" t="str">
            <v>7.B25085499440105</v>
          </cell>
          <cell r="B4573" t="str">
            <v>COMBO 01 PAC PORK BOUILLON GRANULE 850G AND 01 BOT PREMIUM SOYA SAUCE 500ML AND 01 BOT SPECIAL HOT CHILI SAUCE 255G x 10 PCH/CAR</v>
          </cell>
          <cell r="C4573" t="str">
            <v>COMBO 01 GÓI HẠT NÊM 4 TRONG 1 VỊ HEO 850G VÀ 01 CHAI NƯỚC TƯƠNG THƯỢNG HẠNG 500ML VÀ 01 CHAI TƯƠNG ỚT ĐẶC BIỆT CAY 255G x 10 TÚI/THÙNG</v>
          </cell>
          <cell r="D4573" t="str">
            <v>COMBO 01 PAC PORK BOUILLON GRANULE 850G AND 01 BOT PREMIUM SOYA SAUCE 500ML AND 01 BOT SPECIAL HOT CHILI SAUCE 255G x 10 PCH/CAR</v>
          </cell>
          <cell r="E4573">
            <v>16.63</v>
          </cell>
          <cell r="F4573" t="str">
            <v>Bỏ chọn</v>
          </cell>
          <cell r="G4573" t="str">
            <v>2000000008</v>
          </cell>
          <cell r="H4573" t="str">
            <v>7.B2508549944010501</v>
          </cell>
        </row>
        <row r="4574">
          <cell r="A4574" t="str">
            <v>7.B2508549944010501</v>
          </cell>
          <cell r="B4574" t="str">
            <v>COMBO 01 PAC PORK BOUILLON GRANULE 850G AND 01 BOT PREMIUM SOYA SAUCE 500ML AND 01 BOT SPECIAL HOT CHILI SAUCE 255G</v>
          </cell>
          <cell r="C4574" t="str">
            <v>COMBO 01 GÓI HẠT NÊM 4 TRONG 1 VỊ HEO 850G VÀ 01 CHAI NƯỚC TƯƠNG THƯỢNG HẠNG 500ML VÀ 01 CHAI TƯƠNG ỚT ĐẶC BIỆT CAY 255G</v>
          </cell>
          <cell r="D4574" t="str">
            <v>COMBO 01 PAC PORK BOUILLON GRANULE 850G AND 01 BOT PREMIUM SOYA SAUCE 500ML AND 01 BOT SPECIAL HOT CHILI SAUCE 255G</v>
          </cell>
          <cell r="E4574">
            <v>1.663</v>
          </cell>
          <cell r="F4574" t="str">
            <v>Bỏ chọn</v>
          </cell>
          <cell r="G4574" t="str">
            <v>2000000008</v>
          </cell>
          <cell r="H4574"/>
        </row>
        <row r="4575">
          <cell r="A4575" t="str">
            <v>7.B25111099050199</v>
          </cell>
          <cell r="B4575" t="str">
            <v>MONOSODIUM GLUTAMATE 25KG (S)</v>
          </cell>
          <cell r="C4575" t="str">
            <v>BỘT NGỌT 25KG (S)</v>
          </cell>
          <cell r="D4575" t="str">
            <v>MONOSODIUM GLUTAMATE 25KG (S)</v>
          </cell>
          <cell r="E4575">
            <v>25</v>
          </cell>
          <cell r="F4575" t="str">
            <v>Bỏ chọn</v>
          </cell>
          <cell r="G4575" t="str">
            <v>2000000008</v>
          </cell>
          <cell r="H4575"/>
        </row>
        <row r="4576">
          <cell r="A4576" t="str">
            <v>7.E38017899A4013701</v>
          </cell>
          <cell r="B4576" t="str">
            <v>MEADOW FRESH CHOCOLATE UHT MILK 250ML</v>
          </cell>
          <cell r="C4576" t="str">
            <v>SỮA TIỆT TRÙNG HƯƠNG SÔ-CÔ-LA NHÃN HIỆU MEADOW FRESH 250ML</v>
          </cell>
          <cell r="D4576" t="str">
            <v>MEADOW FRESH CHOCOLATE UHT MILK 250ML</v>
          </cell>
          <cell r="E4576">
            <v>0.26</v>
          </cell>
          <cell r="F4576" t="str">
            <v>Bỏ chọn</v>
          </cell>
          <cell r="G4576"/>
          <cell r="H4576"/>
        </row>
        <row r="4577">
          <cell r="A4577" t="str">
            <v>7.E38017899A4013601</v>
          </cell>
          <cell r="B4577" t="str">
            <v>MEADOW FRESH STRAWBERRY UHT MILK 250ML</v>
          </cell>
          <cell r="C4577" t="str">
            <v>SỮA TIỆT TRÙNG HƯƠNG DÂU NHÃN HIỆU MEADOW FRESH 250ML</v>
          </cell>
          <cell r="D4577" t="str">
            <v>MEADOW FRESH STRAWBERRY UHT MILK 250ML</v>
          </cell>
          <cell r="E4577">
            <v>0.26</v>
          </cell>
          <cell r="F4577" t="str">
            <v>Bỏ chọn</v>
          </cell>
          <cell r="G4577"/>
          <cell r="H4577"/>
        </row>
        <row r="4578">
          <cell r="A4578" t="str">
            <v>N04.0018001.00055</v>
          </cell>
          <cell r="B4578" t="str">
            <v>BAG,TOTE/GOODIE,NON-WOVEN FABRIC</v>
          </cell>
          <cell r="C4578" t="str">
            <v>TÚI VẢI SIMPLY</v>
          </cell>
          <cell r="D4578" t="str">
            <v>BAG,TOTE/GOODIE,NON-WOVEN FABRIC</v>
          </cell>
          <cell r="E4578">
            <v>0</v>
          </cell>
          <cell r="F4578" t="str">
            <v>Chọn</v>
          </cell>
          <cell r="G4578"/>
          <cell r="H4578"/>
        </row>
        <row r="4579">
          <cell r="A4579" t="str">
            <v>N04.0022044.00217</v>
          </cell>
          <cell r="B4579" t="str">
            <v>WRITING BOOK,80 X 150 MM,110 SHEETS</v>
          </cell>
          <cell r="C4579" t="str">
            <v>SỔ TAY_VIETNAM</v>
          </cell>
          <cell r="D4579" t="str">
            <v>WRITING BOOK,80 X 150 MM,110 SHEETS</v>
          </cell>
          <cell r="E4579">
            <v>0</v>
          </cell>
          <cell r="F4579" t="str">
            <v>Chọn</v>
          </cell>
          <cell r="G4579"/>
          <cell r="H4579"/>
        </row>
        <row r="4580">
          <cell r="A4580" t="str">
            <v>V51.000.212</v>
          </cell>
          <cell r="B4580" t="str">
            <v>POWER100 DWL LEMON ESSENTIAL OIL 3.5KG*4BTL</v>
          </cell>
          <cell r="C4580" t="str">
            <v>NƯỚC RỬA CHÉN POWER100 TINH DẦU CHANH 3.5KG*4</v>
          </cell>
          <cell r="D4580" t="str">
            <v>POWER100 DWL LEMON ESSENTIAL OIL 3.5KG*4BTL</v>
          </cell>
          <cell r="E4580">
            <v>14</v>
          </cell>
          <cell r="F4580" t="str">
            <v>Chọn</v>
          </cell>
          <cell r="G4580"/>
          <cell r="H4580"/>
        </row>
        <row r="4581">
          <cell r="A4581" t="str">
            <v>V51.000.213</v>
          </cell>
          <cell r="B4581" t="str">
            <v>MEIZAN MULTIFL 9.5-12%W/FE&amp;ZN 500G*20BAG</v>
          </cell>
          <cell r="C4581" t="str">
            <v>BỘT MÌ ĐA DỤNG CAO CẤP HIỆU MEIZAN (0.5KG*20 GÓI/THÙNG)</v>
          </cell>
          <cell r="D4581" t="str">
            <v>MEIZAN MULTIFL 9.5-12%W/FE&amp;ZN 500G*20BAG</v>
          </cell>
          <cell r="E4581">
            <v>10</v>
          </cell>
          <cell r="F4581" t="str">
            <v>Chọn</v>
          </cell>
          <cell r="G4581"/>
          <cell r="H4581"/>
        </row>
        <row r="4582">
          <cell r="A4582" t="str">
            <v>V51.000.214</v>
          </cell>
          <cell r="B4582" t="str">
            <v>MEIZAN PREMIUM MACARONI 400G X 12 BAG</v>
          </cell>
          <cell r="C4582" t="str">
            <v>NUI CAO CẤP MEIZAN 400G X 12 GÓI</v>
          </cell>
          <cell r="D4582" t="str">
            <v>MEIZAN PREMIUM MACARONI 400G X 12 BAG</v>
          </cell>
          <cell r="E4582">
            <v>4.8</v>
          </cell>
          <cell r="F4582" t="str">
            <v>Chọn</v>
          </cell>
          <cell r="G4582"/>
          <cell r="H4582"/>
        </row>
        <row r="4583">
          <cell r="A4583" t="str">
            <v>V51.000.215</v>
          </cell>
          <cell r="B4583" t="str">
            <v>SPECIAL HOT CHILI SAUCE 255G X 24 BOT/CAR</v>
          </cell>
          <cell r="C4583" t="str">
            <v>TƯƠNG ỚT ĐẶC BIỆT CAY 255G X 24 CHAI/THÙNG</v>
          </cell>
          <cell r="D4583" t="str">
            <v>SPECIAL HOT CHILI SAUCE 255G X 24 BOT/CAR</v>
          </cell>
          <cell r="E4583">
            <v>6.12</v>
          </cell>
          <cell r="F4583" t="str">
            <v>Chọn</v>
          </cell>
          <cell r="G4583"/>
          <cell r="H4583"/>
        </row>
        <row r="4584">
          <cell r="A4584" t="str">
            <v>7.707658E92817000I</v>
          </cell>
          <cell r="B4584" t="str">
            <v>POWER100 GREEN DWL GRAPEFRUIT 750G*18BTL</v>
          </cell>
          <cell r="C4584" t="str">
            <v>NƯỚC RỬA CHÉN POWER100 GREEN TINH DẦU BƯỞI TÂY 750G*18</v>
          </cell>
          <cell r="D4584" t="str">
            <v>POWER100 GREEN DWL GRAPEFRUIT 750G*18BTL</v>
          </cell>
          <cell r="E4584">
            <v>13.5</v>
          </cell>
          <cell r="F4584" t="str">
            <v>Chọn</v>
          </cell>
          <cell r="G4584"/>
          <cell r="H4584"/>
        </row>
        <row r="4585">
          <cell r="A4585" t="str">
            <v>N04.0017001.00021</v>
          </cell>
          <cell r="B4585" t="str">
            <v>APRON,POLYESTER</v>
          </cell>
          <cell r="C4585" t="str">
            <v>TẠP DỀ MEIZAN</v>
          </cell>
          <cell r="D4585" t="str">
            <v>APRON,POLYESTER</v>
          </cell>
          <cell r="E4585">
            <v>0</v>
          </cell>
          <cell r="F4585" t="str">
            <v>Chọn</v>
          </cell>
          <cell r="G4585"/>
          <cell r="H4585"/>
        </row>
        <row r="4586">
          <cell r="A4586" t="str">
            <v>N04.0023001.00358</v>
          </cell>
          <cell r="B4586" t="str">
            <v>BANNER,TOPBOARD: W.104.4 X H.24.5 CM,POL</v>
          </cell>
          <cell r="C4586" t="str">
            <v>HÌNH ẢNH XE ĐẨY POWER100</v>
          </cell>
          <cell r="D4586" t="str">
            <v>BANNER,TOPBOARD: W.104.4 X H.24.5 CM,POL</v>
          </cell>
          <cell r="E4586">
            <v>0</v>
          </cell>
          <cell r="F4586" t="str">
            <v>Chọn</v>
          </cell>
          <cell r="G4586"/>
          <cell r="H4586"/>
        </row>
        <row r="4587">
          <cell r="A4587" t="str">
            <v>V51.00A.075</v>
          </cell>
          <cell r="B4587" t="str">
            <v>NDFC DISPLAY SHELF</v>
          </cell>
          <cell r="C4587" t="str">
            <v>KỆ TRƯNG BÀY NDFC</v>
          </cell>
          <cell r="D4587" t="str">
            <v>NDFC DISPLAY SHELF</v>
          </cell>
          <cell r="E4587">
            <v>0</v>
          </cell>
          <cell r="F4587" t="str">
            <v>Bỏ chọn</v>
          </cell>
          <cell r="G4587"/>
          <cell r="H4587"/>
        </row>
        <row r="4588">
          <cell r="A4588" t="str">
            <v>N11.0003012.00041</v>
          </cell>
          <cell r="B4588" t="str">
            <v>RAIN COAT</v>
          </cell>
          <cell r="C4588" t="str">
            <v>ÁO MƯA MEIZAN</v>
          </cell>
          <cell r="D4588" t="str">
            <v>RAIN COAT, MATERIAL:PARACHUTE FABRIC, COLOR:RED AND YELLOW, ORIGIN:VIETNAM, ADDITIONAL DETAILS:MARKING : MEIZAN AND LOGO, JUST TOP WITH HOOD</v>
          </cell>
          <cell r="E4588">
            <v>0</v>
          </cell>
          <cell r="F4588" t="str">
            <v>Chọn</v>
          </cell>
          <cell r="G4588"/>
          <cell r="H4588"/>
        </row>
        <row r="4589">
          <cell r="A4589" t="str">
            <v>7.G4001B599E90181</v>
          </cell>
          <cell r="B4589" t="str">
            <v>VINATEA OOLONG TEA BOX 80G X 24 PAPER BOXES IN CARTON</v>
          </cell>
          <cell r="C4589" t="str">
            <v>TRÀ OOLONG HIỆU VINATEA, LOẠI HỘP 80G X 24 HỘP GIẤY ĐÓNG TRONG THÙNG CARTON</v>
          </cell>
          <cell r="D4589" t="str">
            <v>VINATEA OOLONG TEA BOX 80G X 24 PAPER BOXES IN CARTON</v>
          </cell>
          <cell r="E4589">
            <v>1.92</v>
          </cell>
          <cell r="F4589" t="str">
            <v>Chọn</v>
          </cell>
          <cell r="G4589"/>
          <cell r="H4589" t="str">
            <v>7.G4001B599E9018101</v>
          </cell>
        </row>
        <row r="4590">
          <cell r="A4590" t="str">
            <v>7.G4001B599E9018101</v>
          </cell>
          <cell r="B4590" t="str">
            <v>VINATEA OOLONG TEA BOX 80G</v>
          </cell>
          <cell r="C4590" t="str">
            <v>TRÀ OOLONG HIỆU VINATEA, LOẠI HỘP 80G</v>
          </cell>
          <cell r="D4590" t="str">
            <v>VINATEA OOLONG TEA BOX 80G</v>
          </cell>
          <cell r="E4590">
            <v>0.08</v>
          </cell>
          <cell r="F4590" t="str">
            <v>Chọn</v>
          </cell>
          <cell r="G4590"/>
          <cell r="H4590"/>
        </row>
        <row r="4591">
          <cell r="A4591" t="str">
            <v>V51.00A.076</v>
          </cell>
          <cell r="B4591" t="str">
            <v>HANGING ROPE</v>
          </cell>
          <cell r="C4591" t="str">
            <v>DÂY TREO CHAI</v>
          </cell>
          <cell r="D4591" t="str">
            <v>HANGING ROPE</v>
          </cell>
          <cell r="E4591">
            <v>3.4000000000000002E-2</v>
          </cell>
          <cell r="F4591" t="str">
            <v>Bỏ chọn</v>
          </cell>
          <cell r="G4591"/>
          <cell r="H4591"/>
        </row>
        <row r="4592">
          <cell r="A4592" t="str">
            <v>7.704229302817000O</v>
          </cell>
          <cell r="B4592" t="str">
            <v>POWER100 LD PASSION FRENCH 200G X 50BTL</v>
          </cell>
          <cell r="C4592" t="str">
            <v>NƯỚC GIẶT XẢ POWER100 HƯƠNG NƯỚC HOA PHÁP ĐAM MÊ 200G*50</v>
          </cell>
          <cell r="D4592" t="str">
            <v>POWER100 LD PASSION FRENCH 200G X 50BTL</v>
          </cell>
          <cell r="E4592">
            <v>10</v>
          </cell>
          <cell r="F4592" t="str">
            <v>Chọn</v>
          </cell>
          <cell r="G4592"/>
          <cell r="H4592" t="str">
            <v>7.7042293028170000</v>
          </cell>
        </row>
        <row r="4593">
          <cell r="A4593" t="str">
            <v>7.7042293028170000</v>
          </cell>
          <cell r="B4593" t="str">
            <v>POWER100 LD PASSION FRENCH BOTLE@200G</v>
          </cell>
          <cell r="C4593" t="str">
            <v>NƯỚC GIẶT XẢ POWER100 HƯƠNG NƯỚC HOA PHÁP ĐAM MÊ 200G</v>
          </cell>
          <cell r="D4593" t="str">
            <v>POWER100 LD PASSION FRENCH BOTLE@200G</v>
          </cell>
          <cell r="E4593">
            <v>0.2</v>
          </cell>
          <cell r="F4593" t="str">
            <v>Chọn</v>
          </cell>
          <cell r="G4593"/>
          <cell r="H4593"/>
        </row>
        <row r="4594">
          <cell r="A4594" t="str">
            <v>7.704229P537170000</v>
          </cell>
          <cell r="B4594" t="str">
            <v>POWER100 LD PASSION FRENCH POUCH@3.2KG</v>
          </cell>
          <cell r="C4594" t="str">
            <v>NƯỚC GIẶT XẢ POWER100 HƯƠNG NƯỚC HOA PHÁP ĐAM MÊ 3.2KG</v>
          </cell>
          <cell r="D4594" t="str">
            <v>POWER100 LD PASSION FRENCH POUCH@3.2KG</v>
          </cell>
          <cell r="E4594">
            <v>3.2</v>
          </cell>
          <cell r="F4594" t="str">
            <v>Chọn</v>
          </cell>
          <cell r="G4594"/>
          <cell r="H4594"/>
        </row>
        <row r="4595">
          <cell r="A4595" t="str">
            <v>7.704229P53717000H</v>
          </cell>
          <cell r="B4595" t="str">
            <v>POWER100 LD PASSION FRENCH 3.2KG X 4PCH</v>
          </cell>
          <cell r="C4595" t="str">
            <v>NƯỚC GIẶT XẢ POWER100 HƯƠNG NƯỚC HOA PHÁP ĐAM MÊ 3.2KG*4</v>
          </cell>
          <cell r="D4595" t="str">
            <v>POWER100 LD PASSION FRENCH 3.2KG X 4PCH</v>
          </cell>
          <cell r="E4595">
            <v>12.8</v>
          </cell>
          <cell r="F4595" t="str">
            <v>Chọn</v>
          </cell>
          <cell r="G4595"/>
          <cell r="H4595" t="str">
            <v>7.704229P537170000</v>
          </cell>
        </row>
        <row r="4596">
          <cell r="A4596" t="str">
            <v>7.704229P428170000</v>
          </cell>
          <cell r="B4596" t="str">
            <v>POWER100 LD PASSION FRENCH BOTLE@3.4KG</v>
          </cell>
          <cell r="C4596" t="str">
            <v>NƯỚC GIẶT XẢ POWER100 HƯƠNG NƯỚC HOA PHÁP ĐAM MÊ 3.4KG</v>
          </cell>
          <cell r="D4596" t="str">
            <v>POWER100 LD PASSION FRENCH BOTLE@3.4KG</v>
          </cell>
          <cell r="E4596">
            <v>3.4</v>
          </cell>
          <cell r="F4596" t="str">
            <v>Chọn</v>
          </cell>
          <cell r="G4596"/>
          <cell r="H4596"/>
        </row>
        <row r="4597">
          <cell r="A4597" t="str">
            <v>7.704229P42817000H</v>
          </cell>
          <cell r="B4597" t="str">
            <v>POWER100 LD PASSION FRENCH 3.4KG X 4BTL</v>
          </cell>
          <cell r="C4597" t="str">
            <v>NƯỚC GIẶT XẢ POWER100 HƯƠNG NƯỚC HOA PHÁP ĐAM MÊ 3.4KG*4</v>
          </cell>
          <cell r="D4597" t="str">
            <v>POWER100 LD PASSION FRENCH 3.4KG X 4BTL</v>
          </cell>
          <cell r="E4597">
            <v>13.6</v>
          </cell>
          <cell r="F4597" t="str">
            <v>Chọn</v>
          </cell>
          <cell r="G4597"/>
          <cell r="H4597" t="str">
            <v>7.704229P428170000</v>
          </cell>
        </row>
        <row r="4598">
          <cell r="A4598" t="str">
            <v>7.704229N528170000</v>
          </cell>
          <cell r="B4598" t="str">
            <v>POWER100 LD PASSION FRENCH BOTTLE@9.0KG</v>
          </cell>
          <cell r="C4598" t="str">
            <v>NƯỚC GIẶT XẢ POWER100 HƯƠNG NƯỚC HOA PHÁP ĐAM MÊ 9.0KG</v>
          </cell>
          <cell r="D4598" t="str">
            <v>POWER100 LD PASSION FRENCH BOTTLE@9.0KG</v>
          </cell>
          <cell r="E4598">
            <v>9</v>
          </cell>
          <cell r="F4598" t="str">
            <v>Chọn</v>
          </cell>
          <cell r="G4598"/>
          <cell r="H4598"/>
        </row>
        <row r="4599">
          <cell r="A4599" t="str">
            <v>7.704229N528170019</v>
          </cell>
          <cell r="B4599" t="str">
            <v>POWER100 LD PASSION FRENCH 9KG X 2BTL</v>
          </cell>
          <cell r="C4599" t="str">
            <v>NƯỚC GIẶT XẢ POWER100 HƯƠNG NƯỚC HOA PHÁP ĐAM MÊ 9.0KG*2</v>
          </cell>
          <cell r="D4599" t="str">
            <v>POWER100 LD PASSION FRENCH 9KG X 2BTL</v>
          </cell>
          <cell r="E4599">
            <v>18</v>
          </cell>
          <cell r="F4599" t="str">
            <v>Chọn</v>
          </cell>
          <cell r="G4599"/>
          <cell r="H4599" t="str">
            <v>7.704229N528170000</v>
          </cell>
        </row>
        <row r="4600">
          <cell r="A4600" t="str">
            <v>V51.000.216</v>
          </cell>
          <cell r="B4600" t="str">
            <v>BUY 1 GET 1 FREE PROMOTIONAL STICKER</v>
          </cell>
          <cell r="C4600" t="str">
            <v>STICKER KHUYẾN MẠI MUA 1 TẶNG 1</v>
          </cell>
          <cell r="D4600" t="str">
            <v>BUY 1 GET 1 FREE PROMOTIONAL STICKER</v>
          </cell>
          <cell r="E4600">
            <v>0</v>
          </cell>
          <cell r="F4600" t="str">
            <v>Chọn</v>
          </cell>
          <cell r="G4600"/>
          <cell r="H4600"/>
        </row>
        <row r="4601">
          <cell r="A4601" t="str">
            <v>V51.000.217</v>
          </cell>
          <cell r="B4601" t="str">
            <v>BUY 2 GET 1 FREE PROMOTIONAL STICKER</v>
          </cell>
          <cell r="C4601" t="str">
            <v>STICKER KHUYẾN MẠI MUA 2 TẶNG 1</v>
          </cell>
          <cell r="D4601" t="str">
            <v>BUY 2 GET 1 FREE PROMOTIONAL STICKER</v>
          </cell>
          <cell r="E4601">
            <v>0</v>
          </cell>
          <cell r="F4601" t="str">
            <v>Chọn</v>
          </cell>
          <cell r="G4601"/>
          <cell r="H4601"/>
        </row>
        <row r="4602">
          <cell r="A4602" t="str">
            <v>V51.000.218</v>
          </cell>
          <cell r="B4602" t="str">
            <v>WOBBLER DISCOUNT</v>
          </cell>
          <cell r="C4602" t="str">
            <v>WOBBLER GIẢM GIÁ</v>
          </cell>
          <cell r="D4602" t="str">
            <v>WOBBLER DISCOUNT</v>
          </cell>
          <cell r="E4602">
            <v>0</v>
          </cell>
          <cell r="F4602" t="str">
            <v>Chọn</v>
          </cell>
          <cell r="G4602"/>
          <cell r="H4602"/>
        </row>
        <row r="4603">
          <cell r="A4603" t="str">
            <v>V51.000.219</v>
          </cell>
          <cell r="B4603" t="str">
            <v>WOBBLER SHOCK PROMOTION</v>
          </cell>
          <cell r="C4603" t="str">
            <v>WOBBLER KHUYẾN MẠI SỐC</v>
          </cell>
          <cell r="D4603" t="str">
            <v>WOBBLER SHOCK PROMOTION</v>
          </cell>
          <cell r="E4603">
            <v>0</v>
          </cell>
          <cell r="F4603" t="str">
            <v>Chọn</v>
          </cell>
          <cell r="G4603"/>
          <cell r="H4603"/>
        </row>
        <row r="4604">
          <cell r="A4604" t="str">
            <v>V51.000.220</v>
          </cell>
          <cell r="B4604" t="str">
            <v>PROMOTIONAL PRICE LIST</v>
          </cell>
          <cell r="C4604" t="str">
            <v>BẢNG GIÁ KHUYẾN MẠI</v>
          </cell>
          <cell r="D4604" t="str">
            <v>PROMOTIONAL PRICE LIST</v>
          </cell>
          <cell r="E4604">
            <v>0</v>
          </cell>
          <cell r="F4604" t="str">
            <v>Chọn</v>
          </cell>
          <cell r="G4604"/>
          <cell r="H4604"/>
        </row>
        <row r="4605">
          <cell r="A4605" t="str">
            <v>7.522208022631901</v>
          </cell>
          <cell r="B4605" t="str">
            <v>ACE-111 WOODGLUE FLOUR ASH 3% PPBAG@25KG</v>
          </cell>
          <cell r="C4605" t="str">
            <v>BỘT MÌ CÔNG NGHIỆP ACE-111 (NGUYÊN LIỆU SẢN XUẤT HỒ DÁN, KEO DÁN GỖ) 25KG</v>
          </cell>
          <cell r="D4605" t="str">
            <v>ACE-111 WOODGLUE FLOUR ASH 3% PPBAG@25KG</v>
          </cell>
          <cell r="E4605">
            <v>25</v>
          </cell>
          <cell r="F4605" t="str">
            <v>Chọn</v>
          </cell>
          <cell r="G4605"/>
          <cell r="H4605"/>
        </row>
        <row r="4606">
          <cell r="A4606" t="str">
            <v>7.522209023351901</v>
          </cell>
          <cell r="B4606" t="str">
            <v>AP-1 FEED FLOUR PROTEIN 12% PPBAG@25KG</v>
          </cell>
          <cell r="C4606" t="str">
            <v>BỘT MÌ HIỆU AP-1 25KG</v>
          </cell>
          <cell r="D4606" t="str">
            <v>AP-1 FEED FLOUR PROTEIN 12% PPBAG@25KG</v>
          </cell>
          <cell r="E4606">
            <v>25</v>
          </cell>
          <cell r="F4606" t="str">
            <v>Chọn</v>
          </cell>
          <cell r="G4606"/>
          <cell r="H4606"/>
        </row>
        <row r="4607">
          <cell r="A4607" t="str">
            <v>N09.0007005.01750</v>
          </cell>
          <cell r="B4607" t="str">
            <v>CARTON,POWER100,4 X 3.5KG,DISHWASHING LI</v>
          </cell>
          <cell r="C4607" t="str">
            <v>THÙNG NRC POWER100 TINH DẦU CHANH 3.5KG</v>
          </cell>
          <cell r="D4607" t="str">
            <v>CARTON,POWER100,4 X 3.5KG,DISHWASHING LI</v>
          </cell>
          <cell r="E4607">
            <v>0</v>
          </cell>
          <cell r="F4607" t="str">
            <v>Chọn</v>
          </cell>
          <cell r="G4607"/>
          <cell r="H4607"/>
        </row>
        <row r="4608">
          <cell r="A4608" t="str">
            <v>7.705J9</v>
          </cell>
          <cell r="B4608" t="str">
            <v>GLYCEROL MONOOLEATE 90 IN BOTTLE 600GR</v>
          </cell>
          <cell r="C4608" t="str">
            <v>GLYCEROL MONOOLEATE 90 ĐÓNG TRONG CHAI 600GR</v>
          </cell>
          <cell r="D4608" t="str">
            <v>GLYCEROL MONOOLEATE 90 IN BOTTLE 600GR</v>
          </cell>
          <cell r="E4608">
            <v>1</v>
          </cell>
          <cell r="F4608" t="str">
            <v>Chọn</v>
          </cell>
          <cell r="G4608"/>
          <cell r="H4608"/>
        </row>
        <row r="4609">
          <cell r="A4609" t="str">
            <v>V51.00A.077</v>
          </cell>
          <cell r="B4609" t="str">
            <v>MEIZAN ONPACK BAG</v>
          </cell>
          <cell r="C4609" t="str">
            <v>TÚI ONPACK MEIZAN</v>
          </cell>
          <cell r="D4609" t="str">
            <v>MEIZAN ONPACK BAG</v>
          </cell>
          <cell r="E4609">
            <v>1.0200000000000001E-2</v>
          </cell>
          <cell r="F4609" t="str">
            <v>Bỏ chọn</v>
          </cell>
          <cell r="G4609"/>
          <cell r="H4609"/>
        </row>
        <row r="4610">
          <cell r="A4610" t="str">
            <v>N04.0009003.00022</v>
          </cell>
          <cell r="B4610" t="str">
            <v>CUP,DRINKING &amp; EATING UTENSILS,PORCELAIN</v>
          </cell>
          <cell r="C4610" t="str">
            <v>LY SỨ OLIVOILA</v>
          </cell>
          <cell r="D4610" t="str">
            <v>CUP,DRINKING &amp; EATING UTENSILS,PORCELAIN</v>
          </cell>
          <cell r="E4610">
            <v>0</v>
          </cell>
          <cell r="F4610" t="str">
            <v>Chọn</v>
          </cell>
          <cell r="G4610"/>
          <cell r="H4610"/>
        </row>
        <row r="4611">
          <cell r="A4611" t="str">
            <v>7.5222100208E0601</v>
          </cell>
          <cell r="B4611" t="str">
            <v>BLUESATELLITE PAUFLOUR PRO7%PAPERBG@25KG</v>
          </cell>
          <cell r="C4611" t="str">
            <v>BỘT MÌ HIỆU VỆ TINH XANH 25KG</v>
          </cell>
          <cell r="D4611" t="str">
            <v>BLUESATELLITE PAUFLOUR PRO7%PAPERBG@25KG</v>
          </cell>
          <cell r="E4611">
            <v>25</v>
          </cell>
          <cell r="F4611" t="str">
            <v>Chọn</v>
          </cell>
          <cell r="G4611"/>
          <cell r="H4611"/>
        </row>
        <row r="4612">
          <cell r="A4612" t="str">
            <v>N04.0017001.00023</v>
          </cell>
          <cell r="B4612" t="str">
            <v>APRON, MATERIAL:KHAKI FABRIC 65/35, SIZE:W.70 X L.77CM (+/- 1CM), BRAND:SIMPLY</v>
          </cell>
          <cell r="C4612" t="str">
            <v>TẠP DỀ SIMPLY</v>
          </cell>
          <cell r="D4612" t="str">
            <v>APRON,SIMPLY,KHAKI FABRIC 65/35</v>
          </cell>
          <cell r="E4612">
            <v>0</v>
          </cell>
          <cell r="F4612" t="str">
            <v>Chọn</v>
          </cell>
          <cell r="G4612"/>
          <cell r="H4612"/>
        </row>
        <row r="4613">
          <cell r="A4613" t="str">
            <v>N13.0007002.00038</v>
          </cell>
          <cell r="B4613" t="str">
            <v>RICE, TYPE:FRAGRANT, PACK SIZE:2 KG, ADDITIONAL DETAILS:PREMIUM, BRAND:NEPTUNE</v>
          </cell>
          <cell r="C4613" t="str">
            <v>NEPTUNE GẠO THƠM THƯỢNG HẠNG 2 KG</v>
          </cell>
          <cell r="D4613" t="str">
            <v>RICE,FRAGRANT</v>
          </cell>
          <cell r="E4613">
            <v>0</v>
          </cell>
          <cell r="F4613" t="str">
            <v>Chọn</v>
          </cell>
          <cell r="G4613"/>
          <cell r="H4613"/>
        </row>
        <row r="4614">
          <cell r="A4614" t="str">
            <v>7.B24012399370113TD</v>
          </cell>
          <cell r="B4614" t="str">
            <v>NAM DUONG CONDENSED SOY SAUCE 500ML X 24 BOTS/CARTON (LNS)</v>
          </cell>
          <cell r="C4614" t="str">
            <v>NƯỚC TƯƠNG NAM DƯƠNG ĐẬM ĐẶC 500ML X 24 CHAI/ THÙNG</v>
          </cell>
          <cell r="D4614" t="str">
            <v>NAM DUONG CONDENSED SOY SAUCE 500ML X 24 BOTS/CARTON (LNS)</v>
          </cell>
          <cell r="E4614">
            <v>13.46</v>
          </cell>
          <cell r="F4614" t="str">
            <v>Bỏ chọn</v>
          </cell>
          <cell r="G4614"/>
          <cell r="H4614"/>
        </row>
        <row r="4615">
          <cell r="A4615" t="str">
            <v>7.B2401239937011301TD</v>
          </cell>
          <cell r="B4615" t="str">
            <v>NAM DUONG CONDENSED SOY SAUCE 500ML (LNS)</v>
          </cell>
          <cell r="C4615" t="str">
            <v>NƯỚC TƯƠNG NAM DƯƠNG ĐẬM ĐẶC 500ML</v>
          </cell>
          <cell r="D4615" t="str">
            <v>NAM DUONG CONDENSED SOY SAUCE 500ML (LNS)</v>
          </cell>
          <cell r="E4615">
            <v>0.56000000000000005</v>
          </cell>
          <cell r="F4615" t="str">
            <v>Bỏ chọn</v>
          </cell>
          <cell r="G4615"/>
          <cell r="H4615"/>
        </row>
        <row r="4616">
          <cell r="A4616" t="str">
            <v>7.B24022399B80103TD</v>
          </cell>
          <cell r="B4616" t="str">
            <v>SPECIAL HOT CHILI SAUCE 255G X 24 BOT/CAR</v>
          </cell>
          <cell r="C4616" t="str">
            <v>TƯƠNG ỚT ĐẶC BIỆT CAY 255G X 24 CHAI/THÙNG</v>
          </cell>
          <cell r="D4616" t="str">
            <v>SPECIAL HOT CHILI SAUCE 255G X 24 BOT/CAR</v>
          </cell>
          <cell r="E4616">
            <v>6.12</v>
          </cell>
          <cell r="F4616" t="str">
            <v>Bỏ chọn</v>
          </cell>
          <cell r="G4616"/>
          <cell r="H4616"/>
        </row>
        <row r="4617">
          <cell r="A4617" t="str">
            <v>7.B24022399B8010301TD</v>
          </cell>
          <cell r="B4617" t="str">
            <v>HOT CHILI SAUCE 255G (LNS)</v>
          </cell>
          <cell r="C4617" t="str">
            <v>TƯƠNG ỚT ĐẶC BIỆT CAY 255G</v>
          </cell>
          <cell r="D4617" t="str">
            <v>HOT CHILI SAUCE 255G (LNS)</v>
          </cell>
          <cell r="E4617">
            <v>0.26</v>
          </cell>
          <cell r="F4617" t="str">
            <v>Bỏ chọn</v>
          </cell>
          <cell r="G4617"/>
          <cell r="H4617"/>
        </row>
        <row r="4618">
          <cell r="A4618" t="str">
            <v>7.B24092399180199TD</v>
          </cell>
          <cell r="B4618" t="str">
            <v>SALAD DRESSING 250G X 24 BOTS/CARTON (LNS)</v>
          </cell>
          <cell r="C4618" t="str">
            <v>SỐT DẦU DẤM TRỘN SALAD 250G X 24 CHAI/THÙNG</v>
          </cell>
          <cell r="D4618" t="str">
            <v>SALAD DRESSING 250G X 24 BOTS/CARTON (LNS)</v>
          </cell>
          <cell r="E4618">
            <v>6</v>
          </cell>
          <cell r="F4618" t="str">
            <v>Bỏ chọn</v>
          </cell>
          <cell r="G4618"/>
          <cell r="H4618"/>
        </row>
        <row r="4619">
          <cell r="A4619" t="str">
            <v>7.5221120707Y0210TD</v>
          </cell>
          <cell r="B4619" t="str">
            <v>MEIZAN CRISPY FRYING MIX 1KG X 10 BAG</v>
          </cell>
          <cell r="C4619" t="str">
            <v>BỘT CHIÊN GIÒN MEIZAN 1KG X 10 GÓI</v>
          </cell>
          <cell r="D4619" t="str">
            <v>MEIZAN CRISPY FRYING MIX 1KG X 10 BAG</v>
          </cell>
          <cell r="E4619">
            <v>10</v>
          </cell>
          <cell r="F4619" t="str">
            <v>Chọn</v>
          </cell>
          <cell r="G4619"/>
          <cell r="H4619"/>
        </row>
        <row r="4620">
          <cell r="A4620" t="str">
            <v>7.522H850301201140TD</v>
          </cell>
          <cell r="B4620" t="str">
            <v>MEIZAN PREMIUM MACARONI 400G X 12 BAG</v>
          </cell>
          <cell r="C4620" t="str">
            <v>NUI CAO CẤP MEIZAN 400G X 12 GÓI</v>
          </cell>
          <cell r="D4620" t="str">
            <v>MEIZAN PREMIUM MACARONI 400G X 12 BAG</v>
          </cell>
          <cell r="E4620">
            <v>4.8</v>
          </cell>
          <cell r="F4620" t="str">
            <v>Chọn</v>
          </cell>
          <cell r="G4620"/>
          <cell r="H4620"/>
        </row>
        <row r="4621">
          <cell r="A4621" t="str">
            <v>7.522B856160701140TD</v>
          </cell>
          <cell r="B4621" t="str">
            <v>MEIZAN PREMIUM EGG NOODLE THIN ROUND STRING 500G X 12 PACKS</v>
          </cell>
          <cell r="C4621" t="str">
            <v>MÌ TRỨNG CAO CẤP MEIZAN SỢI NHỎ 500GR X 12 GÓI</v>
          </cell>
          <cell r="D4621" t="str">
            <v>MEIZAN PREMIUM EGG NOODLE THIN ROUND STRING 500G X 12 PACKS</v>
          </cell>
          <cell r="E4621">
            <v>6</v>
          </cell>
          <cell r="F4621" t="str">
            <v>Chọn</v>
          </cell>
          <cell r="G4621"/>
          <cell r="H4621"/>
        </row>
        <row r="4622">
          <cell r="A4622" t="str">
            <v>7.522B856181401020TD</v>
          </cell>
          <cell r="B4622" t="str">
            <v>MEIZAN RICE VERMICELLI 300G X 24 PAC</v>
          </cell>
          <cell r="C4622" t="str">
            <v>BÚN TƯƠI MEIZAN 300G X 24 GÓI</v>
          </cell>
          <cell r="D4622" t="str">
            <v>MEIZAN RICE VERMICELLI 300G X 24 PAC</v>
          </cell>
          <cell r="E4622">
            <v>7.2</v>
          </cell>
          <cell r="F4622" t="str">
            <v>Chọn</v>
          </cell>
          <cell r="G4622"/>
          <cell r="H4622"/>
        </row>
        <row r="4623">
          <cell r="A4623" t="str">
            <v>V51.00A.078</v>
          </cell>
          <cell r="B4623" t="str">
            <v>NAM DUONG WOONDEN TRAY FOR SPICES</v>
          </cell>
          <cell r="C4623" t="str">
            <v>KHAY GỖ ĐỰNG GIA VỊ NAM DƯƠNG</v>
          </cell>
          <cell r="D4623" t="str">
            <v>NAM DUONG WOONDEN TRAY FOR SPICES</v>
          </cell>
          <cell r="E4623">
            <v>0.35</v>
          </cell>
          <cell r="F4623" t="str">
            <v>Bỏ chọn</v>
          </cell>
          <cell r="G4623"/>
          <cell r="H4623"/>
        </row>
        <row r="4624">
          <cell r="A4624" t="str">
            <v>7.1070123001852230TD</v>
          </cell>
          <cell r="B4624" t="str">
            <v>MEIZAN MARGARINE MP44MAX 80GRX60 OVALTUBE</v>
          </cell>
          <cell r="C4624" t="str">
            <v>BƠ THỰC VẬT NHÃN HIỆU MEIZAN 80G X 60 HỘP ĐÓNG TRONG THÙNG CARTON</v>
          </cell>
          <cell r="D4624" t="str">
            <v>MEIZAN MARGARINE MP44MAX 80GRX60 OVALTUBE</v>
          </cell>
          <cell r="E4624">
            <v>4.8</v>
          </cell>
          <cell r="F4624" t="str">
            <v>Chọn</v>
          </cell>
          <cell r="G4624"/>
          <cell r="H4624"/>
        </row>
        <row r="4625">
          <cell r="A4625" t="str">
            <v>7.1070123001852000TD</v>
          </cell>
          <cell r="B4625" t="str">
            <v>MEIZAN MARGARINE MP44MAX OVALTUBE@80GR</v>
          </cell>
          <cell r="C4625" t="str">
            <v>BƠ THỰC VẬT NHÃN HIỆU MEIZAN 80G</v>
          </cell>
          <cell r="D4625" t="str">
            <v>MEIZAN MARGARINE MP44MAX OVALTUBE@80GR</v>
          </cell>
          <cell r="E4625">
            <v>0.08</v>
          </cell>
          <cell r="F4625" t="str">
            <v>Chọn</v>
          </cell>
          <cell r="G4625"/>
          <cell r="H4625"/>
        </row>
        <row r="4626">
          <cell r="A4626" t="str">
            <v>N04.0018006.00307</v>
          </cell>
          <cell r="B4626" t="str">
            <v>PROMOTIONAL STUFF, TYPE:WOBBLER, MATERIAL:COATED ART PAPER 300 GSM, SIZE:140 X 117 MM, MARKING:SIMPLY-VIETNAM, ADDITIONAL DETAILS:WITH ALUMINUM CLIPS, FILM WIRE</v>
          </cell>
          <cell r="C4626" t="str">
            <v>WOBBLER_ VIETNAM</v>
          </cell>
          <cell r="D4626" t="str">
            <v>PROMOTIONAL STUFF,WOBBLER,SIMPLY-VIETNAM</v>
          </cell>
          <cell r="E4626">
            <v>0</v>
          </cell>
          <cell r="F4626" t="str">
            <v>Chọn</v>
          </cell>
          <cell r="G4626"/>
          <cell r="H4626"/>
        </row>
        <row r="4627">
          <cell r="A4627" t="str">
            <v>7.705K0</v>
          </cell>
          <cell r="B4627" t="str">
            <v>SODIUM LAURYL ETHER SULFATE IN BOTTLE 3KG</v>
          </cell>
          <cell r="C4627" t="str">
            <v>SODIUM LAURYL ETHER SULFATE-CHẤT HOẠT ĐỘNG BỀ MẶT DẠNG ANION ĐÓNG TRONG CHAI 3KG</v>
          </cell>
          <cell r="D4627" t="str">
            <v>SODIUM LAURYL ETHER SULFATE IN BOTTLE 3KG</v>
          </cell>
          <cell r="E4627">
            <v>1</v>
          </cell>
          <cell r="F4627" t="str">
            <v>Chọn</v>
          </cell>
          <cell r="G4627"/>
          <cell r="H4627"/>
        </row>
        <row r="4628">
          <cell r="A4628" t="str">
            <v>7.705K2</v>
          </cell>
          <cell r="B4628" t="str">
            <v>RICE BRAN WAX PACK IN BAG 2.15KG</v>
          </cell>
          <cell r="C4628" t="str">
            <v>SÁP CÁM GẠO ĐÓNG TRONG TÚI 2.15KG</v>
          </cell>
          <cell r="D4628" t="str">
            <v>RICE BRAN WAX PACK IN BAG 2.15KG</v>
          </cell>
          <cell r="E4628">
            <v>1</v>
          </cell>
          <cell r="F4628" t="str">
            <v>Chọn</v>
          </cell>
          <cell r="G4628"/>
          <cell r="H4628"/>
        </row>
        <row r="4629">
          <cell r="A4629" t="str">
            <v>7.705K3</v>
          </cell>
          <cell r="B4629" t="str">
            <v>GLYCEROL TRIOLEATE (GTO) PACK IN BOTTLE 0.5KG</v>
          </cell>
          <cell r="C4629" t="str">
            <v>GLYCEROL TRIOLEATE (GTO) ĐÓNG TRONG CHAI 0.5KG</v>
          </cell>
          <cell r="D4629" t="str">
            <v xml:space="preserve">GLYCEROL TRIOLEATE (GTO) PACK IN BOTTLE 0.5KG_x000D_
</v>
          </cell>
          <cell r="E4629">
            <v>1</v>
          </cell>
          <cell r="F4629" t="str">
            <v>Chọn</v>
          </cell>
          <cell r="G4629"/>
          <cell r="H4629"/>
        </row>
        <row r="4630">
          <cell r="A4630" t="str">
            <v>7.705K4</v>
          </cell>
          <cell r="B4630" t="str">
            <v>GENAGEN KB PACK IN BOTTLE 1KG</v>
          </cell>
          <cell r="C4630" t="str">
            <v>CHẤT HOẠT ĐỘNG BỀ MẶT GENAGEN KB ĐÓNG TRONG CHAI 1KG</v>
          </cell>
          <cell r="D4630" t="str">
            <v>GENAGEN KB PACK IN BOTTLE 1KG</v>
          </cell>
          <cell r="E4630">
            <v>1</v>
          </cell>
          <cell r="F4630" t="str">
            <v>Chọn</v>
          </cell>
          <cell r="G4630"/>
          <cell r="H4630"/>
        </row>
        <row r="4631">
          <cell r="A4631" t="str">
            <v>7.705K5</v>
          </cell>
          <cell r="B4631" t="str">
            <v>FATTY ACID AMIDE ESTER (ADWIL AID DT50) PACK IN BAG 0.5KG</v>
          </cell>
          <cell r="C4631" t="str">
            <v>FATTY ACID AMIDE ESTER (ADWIL AID DT50) ĐÓNG TRONG TÚI 0.5KG</v>
          </cell>
          <cell r="D4631" t="str">
            <v>FATTY ACID AMIDE ESTER (ADWIL AID DT50) PACK IN BAG 0.5KG</v>
          </cell>
          <cell r="E4631">
            <v>1</v>
          </cell>
          <cell r="F4631" t="str">
            <v>Chọn</v>
          </cell>
          <cell r="G4631"/>
          <cell r="H4631"/>
        </row>
        <row r="4632">
          <cell r="A4632" t="str">
            <v>7.705K6</v>
          </cell>
          <cell r="B4632" t="str">
            <v>PENTA ADIPATE STEARATE (ADWIL LUBE 74) PACK IN BAG 0.5KG</v>
          </cell>
          <cell r="C4632" t="str">
            <v>PENTA ADIPATE STEARATE (ADWIL LUBE 74) ĐÓNG TRONG TÚI 0.5KG</v>
          </cell>
          <cell r="D4632" t="str">
            <v>PENTA ADIPATE STEARATE (ADWIL LUBE 74) PACK IN BAG 0.5KG</v>
          </cell>
          <cell r="E4632">
            <v>1</v>
          </cell>
          <cell r="F4632" t="str">
            <v>Chọn</v>
          </cell>
          <cell r="G4632"/>
          <cell r="H4632"/>
        </row>
        <row r="4633">
          <cell r="A4633" t="str">
            <v>N09.0002005.00003</v>
          </cell>
          <cell r="B4633" t="str">
            <v>OPP TAPE PRINTED, SIZE:48 MM, LENGTH:80 M, MARKING:WITH LOGO</v>
          </cell>
          <cell r="C4633" t="str">
            <v>BĂNG KEO OPP TRONG IN LOGO, 48MM X 80M</v>
          </cell>
          <cell r="D4633" t="str">
            <v>OPP TAPE PRINTED,48 MM,80 M,WITH LOGO</v>
          </cell>
          <cell r="E4633">
            <v>0</v>
          </cell>
          <cell r="F4633" t="str">
            <v>Chọn</v>
          </cell>
          <cell r="G4633"/>
          <cell r="H4633"/>
        </row>
        <row r="4634">
          <cell r="A4634" t="str">
            <v>N09.0007005.01477</v>
          </cell>
          <cell r="B4634" t="str">
            <v>CARTON, PRODUCT BRAND:MEIZAN GOLD, PRODUCT PACKED:COOKING OIL,CONTENT:12 X 1L, SIZE:293 X 220 X 295 MM, COLOR:BROWN, SUBSTANCE:KT175/CA150/KT175, FLUTE:A, PACKING TYPE:BOTTLE, ADDITIONAL DETAILS:EXPORT</v>
          </cell>
          <cell r="C4634" t="str">
            <v>THÙNG 2 MÀU - MEIZAN GOLD 1LX12</v>
          </cell>
          <cell r="D4634" t="str">
            <v>CARTON,MEIZAN GOLD,12 X 1L,COOKING OIL,E</v>
          </cell>
          <cell r="E4634">
            <v>0</v>
          </cell>
          <cell r="F4634" t="str">
            <v>Chọn</v>
          </cell>
          <cell r="G4634"/>
          <cell r="H4634"/>
        </row>
        <row r="4635">
          <cell r="A4635" t="str">
            <v>V51.000.221</v>
          </cell>
          <cell r="B4635" t="str">
            <v>HAO HAO NOODLES WITH SPICY AND SOUR SHRIMP 30 HANOI BIRTHDAY 2024</v>
          </cell>
          <cell r="C4635" t="str">
            <v>MÌ HẢO HẢO TÔM CHUA CAY 30 HÀ NỘI SINH NHẬT 2024</v>
          </cell>
          <cell r="D4635" t="str">
            <v>HAO HAO NOODLES WITH SPICY AND SOUR SHRIMP 30 HANOI BIRTHDAY 2024</v>
          </cell>
          <cell r="E4635">
            <v>0</v>
          </cell>
          <cell r="F4635" t="str">
            <v>Chọn</v>
          </cell>
          <cell r="G4635"/>
          <cell r="H4635"/>
        </row>
        <row r="4636">
          <cell r="A4636" t="str">
            <v>V51.000.222</v>
          </cell>
          <cell r="B4636" t="str">
            <v>HAO HAO NOODLES KOREAN KIM CHI HOT POT 30 HANOI BIRTHDAY 2024</v>
          </cell>
          <cell r="C4636" t="str">
            <v>MÌ HẢO HẢO LẨU KIM CHI HÀN QUỐC 30 HÀ NỘI SINH NHẬT 2024</v>
          </cell>
          <cell r="D4636" t="str">
            <v>HAO HAO NOODLES KOREAN KIM CHI HOT POT 30 HANOI BIRTHDAY 2024</v>
          </cell>
          <cell r="E4636">
            <v>0</v>
          </cell>
          <cell r="F4636" t="str">
            <v>Chọn</v>
          </cell>
          <cell r="G4636"/>
          <cell r="H4636"/>
        </row>
        <row r="4637">
          <cell r="A4637" t="str">
            <v>V51.00A.079</v>
          </cell>
          <cell r="B4637" t="str">
            <v>POSTER FOR PREMIUM SOY SAUCE FOR OFFICIAL EXPORT</v>
          </cell>
          <cell r="C4637" t="str">
            <v>TẤM ÁP PHÍCH NƯỚC TƯƠNG THƯỢNG HẠNG XUẤT KHẨU CHÍNH NGẠCH</v>
          </cell>
          <cell r="D4637" t="str">
            <v xml:space="preserve">POSTER FOR PREMIUM SOY SAUCE FOR OFFICIAL EXPORT_x000D_
</v>
          </cell>
          <cell r="E4637">
            <v>2.1399999999999999E-2</v>
          </cell>
          <cell r="F4637" t="str">
            <v>Bỏ chọn</v>
          </cell>
          <cell r="G4637"/>
          <cell r="H4637"/>
        </row>
        <row r="4638">
          <cell r="A4638" t="str">
            <v>V51.00A.080</v>
          </cell>
          <cell r="B4638" t="str">
            <v>SHELFTALKER FOR PREMIUM SOY SAUCE FOR OFFICIAL EXPORT</v>
          </cell>
          <cell r="C4638" t="str">
            <v>THANH NGANG NƯỚC TƯƠNG THƯỢNG HẠNG XUẤT KHẨU CHÍNH NGẠCH</v>
          </cell>
          <cell r="D4638" t="str">
            <v>SHELFTALKER FOR PREMIUM SOY SAUCE FOR OFFICIAL EXPORT</v>
          </cell>
          <cell r="E4638">
            <v>2.5999999999999999E-3</v>
          </cell>
          <cell r="F4638" t="str">
            <v>Bỏ chọn</v>
          </cell>
          <cell r="G4638"/>
          <cell r="H4638"/>
        </row>
        <row r="4639">
          <cell r="A4639" t="str">
            <v>V51.00A.081</v>
          </cell>
          <cell r="B4639" t="str">
            <v>WOBBLER FOR PREMIUM SOY SAUCE FOR OFFICIAL EXPORT</v>
          </cell>
          <cell r="C4639" t="str">
            <v>MÔ HÌNH KẸP RŨ NƯỚC TƯƠNG THƯỢNG HẠNG XUẤT KHẨU CHÍNH NGẠCH</v>
          </cell>
          <cell r="D4639" t="str">
            <v>WOBBLER FOR PREMIUM SOY SAUCE FOR OFFICIAL EXPORT</v>
          </cell>
          <cell r="E4639">
            <v>1.66E-2</v>
          </cell>
          <cell r="F4639" t="str">
            <v>Bỏ chọn</v>
          </cell>
          <cell r="G4639"/>
          <cell r="H4639"/>
        </row>
        <row r="4640">
          <cell r="A4640" t="str">
            <v>N09.0001020.01594</v>
          </cell>
          <cell r="B4640" t="str">
            <v>WOVEN BAG, TYPE:TUBULAR, OUTER MATERIAL:POLYPROPYLENE, OUTER SIZE:51 X 76 CM, COLOR:BLUE, TOP TYPE:OPEN MOUTH, BOTTOM TYPE:SINGLE FOLDED, OUTER WEIGHT:67 G, WOVEN:11 X 12, CAPACITY:25 KG, MARKING:WHEAT FLOUR BLUE COMPASS-333, ADDITIONAL DETAILS:PROTE</v>
          </cell>
          <cell r="C4640" t="str">
            <v>BAO PP LA BÀN XANH 333 - 25</v>
          </cell>
          <cell r="D4640" t="str">
            <v>WOVEN BAG,TUBULAR,51 X 76 CM,WHEAT FLOUR</v>
          </cell>
          <cell r="E4640">
            <v>0</v>
          </cell>
          <cell r="F4640" t="str">
            <v>Chọn</v>
          </cell>
          <cell r="G4640"/>
          <cell r="H4640"/>
        </row>
        <row r="4641">
          <cell r="A4641" t="str">
            <v>N09.0001020.01595</v>
          </cell>
          <cell r="B4641" t="str">
            <v>WOVEN BAG, TYPE:TUBULAR, OUTER MATERIAL:POLYPROPYLENE, OUTER SIZE:51 X 76 CM, COLOR:WHITE, TOP TYPE:OPEN MOUTH, BOTTOM TYPE:SINGLE FOLDED, OUTER WEIGHT:67 G, WOVEN:11 X 12, CAPACITY:25 KG, MARKING:WHEAT FLOUR BLUE COMPASS-888, ADDITIONAL DETAILS:PROT</v>
          </cell>
          <cell r="C4641" t="str">
            <v>BAO PP LA BÀN XANH 333 - 25</v>
          </cell>
          <cell r="D4641" t="str">
            <v>WOVEN BAG,TUBULAR,51 X 76 CM,WHEAT FLOUR</v>
          </cell>
          <cell r="E4641">
            <v>0</v>
          </cell>
          <cell r="F4641" t="str">
            <v>Chọn</v>
          </cell>
          <cell r="G4641"/>
          <cell r="H4641"/>
        </row>
        <row r="4642">
          <cell r="A4642" t="str">
            <v>N09.0007005.01490</v>
          </cell>
          <cell r="B4642" t="str">
            <v>CARTON, PRODUCT BRAND:COMPASS, PRODUCT PACKED:ALL PURPOSE FLOUR, CONTENT:20 X 500 G, SIZE:370 X 275 X 190 MM, COLOR:BROWN, SUBSTANCE :CA125/CA125/CA125/CA125/CÁ125, FLUTE:BC, PACKING TYPE:PACK</v>
          </cell>
          <cell r="C4642" t="str">
            <v>THÙNG CARTON LA BÀN 0.5KG</v>
          </cell>
          <cell r="D4642" t="str">
            <v>CARTON,COMPASS,20 X 500 G,ALL PURPOSE FL</v>
          </cell>
          <cell r="E4642">
            <v>0</v>
          </cell>
          <cell r="F4642" t="str">
            <v>Chọn</v>
          </cell>
          <cell r="G4642"/>
          <cell r="H4642"/>
        </row>
        <row r="4643">
          <cell r="A4643" t="str">
            <v>N09.0007005.01491</v>
          </cell>
          <cell r="B4643" t="str">
            <v>CARTON, PRODUCT BRAND:MEIZAN, PRODUCT PACKED:FLOUR, CONTENT:20 X 500 G, SIZE:364 X 269 X 181 MM, COLOR:BROWN, SUBSTANCE:KT175/CA180/KT175, FLUTE:A, PACKING TYPE:PACK, ADDITIONAL DETAILS:COLOR: BLUE</v>
          </cell>
          <cell r="C4643" t="str">
            <v>THÙNG CARTON MEIZAN 0.5KG</v>
          </cell>
          <cell r="D4643" t="str">
            <v>CARTON,MEIZAN,20 X 500 G,FLOUR,COLOR: BL</v>
          </cell>
          <cell r="E4643">
            <v>0</v>
          </cell>
          <cell r="F4643" t="str">
            <v>Chọn</v>
          </cell>
          <cell r="G4643"/>
          <cell r="H4643"/>
        </row>
        <row r="4644">
          <cell r="A4644" t="str">
            <v>N09.0007005.01492</v>
          </cell>
          <cell r="B4644" t="str">
            <v>CARTON, PRODUCT BRAND:COMPASS, PRODUCT PACKED:ALL PURPOSE FLOUR, CONTENT:1 KG X 10 PACKS, SIZE:329 X 229 X 226 MM, COLOR:BROWN, SUBS TANCE:KT175/CA180/KT175, FLUTE:A, PACKING TYPE:PACK</v>
          </cell>
          <cell r="C4644" t="str">
            <v>THÙNG CARTON LA BÀN 1KG</v>
          </cell>
          <cell r="D4644" t="str">
            <v>CARTON,COMPASS,1 KG X 10 PACKS,ALL PURPO</v>
          </cell>
          <cell r="E4644">
            <v>0</v>
          </cell>
          <cell r="F4644" t="str">
            <v>Chọn</v>
          </cell>
          <cell r="G4644"/>
          <cell r="H4644"/>
        </row>
        <row r="4645">
          <cell r="A4645" t="str">
            <v>N09.0007005.01493</v>
          </cell>
          <cell r="B4645" t="str">
            <v>CARTON, PRODUCT BRAND:MEIZAN, PRODUCT PACKED:ALL PURPOSE FLOUR, CONTENT:1 KG X 10 PACKS, SIZE:329 X 229 X 226 MM, COLOR:BROWN, SUBST ANCE:KT175/CA180/KT175, FLUTE:A, PACKING TYPE:PACK, ADDITIONAL DETAILS:BLUE</v>
          </cell>
          <cell r="C4645" t="str">
            <v>THÙNG CARTON MEIZAN 1KG</v>
          </cell>
          <cell r="D4645" t="str">
            <v>CARTON,MEIZAN,1 KG X 10 PACKS,ALL PURPOS</v>
          </cell>
          <cell r="E4645">
            <v>0</v>
          </cell>
          <cell r="F4645" t="str">
            <v>Chọn</v>
          </cell>
          <cell r="G4645"/>
          <cell r="H4645"/>
        </row>
        <row r="4646">
          <cell r="A4646" t="str">
            <v>7.705K7</v>
          </cell>
          <cell r="B4646" t="str">
            <v>SOAP NOODLE 8020 IN BAG 0.2KG</v>
          </cell>
          <cell r="C4646" t="str">
            <v>SOAP NOODLE 8020 - PHÔI XÀ PHÒNG ĐÓNG TRONG TÚI 0.2KG</v>
          </cell>
          <cell r="D4646" t="str">
            <v>SOAP NOODLE 8020 IN BAG 0.2KG</v>
          </cell>
          <cell r="E4646">
            <v>1</v>
          </cell>
          <cell r="F4646" t="str">
            <v>Chọn</v>
          </cell>
          <cell r="G4646"/>
          <cell r="H4646"/>
        </row>
        <row r="4647">
          <cell r="A4647" t="str">
            <v>7.E38017899F00132</v>
          </cell>
          <cell r="B4647" t="str">
            <v>MEADOW FRESH UHT FULL CREAM MILK 200MLX24</v>
          </cell>
          <cell r="C4647" t="str">
            <v>SỮA TƯƠI TIỆT TRÙNG NGUYÊN KEM NHÃN HIỆU MEADOW FRESH 200mlx24, XUẤT XỨ NEW ZEALAND</v>
          </cell>
          <cell r="D4647" t="str">
            <v>MEADOW FRESH UHT FULL CREAM MILK 200MLX24</v>
          </cell>
          <cell r="E4647">
            <v>4.93</v>
          </cell>
          <cell r="F4647" t="str">
            <v>Chọn</v>
          </cell>
          <cell r="G4647"/>
          <cell r="H4647" t="str">
            <v>7.E38017899F0013201</v>
          </cell>
        </row>
        <row r="4648">
          <cell r="A4648" t="str">
            <v>7.E38017899F0013201</v>
          </cell>
          <cell r="B4648" t="str">
            <v>MEADOW FRESH UHT FULL CREAM MILK 200ML</v>
          </cell>
          <cell r="C4648" t="str">
            <v>SỮA TƯƠI TIỆT TRÙNG NGUYÊN KEM NHÃN HIỆU MEADOW FRESH 200ml, XUẤT XỨ NEW ZEALAND</v>
          </cell>
          <cell r="D4648" t="str">
            <v>MEADOW FRESH UHT FULL CREAM MILK 200ML</v>
          </cell>
          <cell r="E4648">
            <v>0.21</v>
          </cell>
          <cell r="F4648" t="str">
            <v>Chọn</v>
          </cell>
          <cell r="G4648"/>
          <cell r="H4648"/>
        </row>
        <row r="4649">
          <cell r="A4649" t="str">
            <v>7.E38017899F00138</v>
          </cell>
          <cell r="B4649" t="str">
            <v>MEADOW FRESH UHT LOW FAT CALCI MILK 200MLX24</v>
          </cell>
          <cell r="C4649" t="str">
            <v>SỮA TIỆT TRÙNG GIÀU CANXI ÍT BÉO NHÃN HIỆU MEADOW FRESH 200mlx24, XUẤT XỨ NEW ZEALAND</v>
          </cell>
          <cell r="D4649" t="str">
            <v>MEADOW FRESH UHT LOW FAT CALCI MILK 200MLX24</v>
          </cell>
          <cell r="E4649">
            <v>5.0199999999999996</v>
          </cell>
          <cell r="F4649" t="str">
            <v>Chọn</v>
          </cell>
          <cell r="G4649"/>
          <cell r="H4649" t="str">
            <v>7.E38017899F0013801</v>
          </cell>
        </row>
        <row r="4650">
          <cell r="A4650" t="str">
            <v>7.E38017899F0013801</v>
          </cell>
          <cell r="B4650" t="str">
            <v>MEADOW FRESH UHT LOW FAT CALCI MILK 200ML</v>
          </cell>
          <cell r="C4650" t="str">
            <v>SỮA TIỆT TRÙNG GIÀU CANXI ÍT BÉO NHÃN HIỆU MEADOW FRESH 200ml, XUẤT XỨ NEW ZEALAND</v>
          </cell>
          <cell r="D4650" t="str">
            <v>MEADOW FRESH UHT LOW FAT CALCI MILK 200ML</v>
          </cell>
          <cell r="E4650">
            <v>0.21</v>
          </cell>
          <cell r="F4650" t="str">
            <v>Chọn</v>
          </cell>
          <cell r="G4650"/>
          <cell r="H4650"/>
        </row>
        <row r="4651">
          <cell r="A4651" t="str">
            <v>7.E38017899F00135</v>
          </cell>
          <cell r="B4651" t="str">
            <v>MEADOW FRESH UHT LOW FAT MILK 200MLX24</v>
          </cell>
          <cell r="C4651" t="str">
            <v>SỮA TƯƠI TIỆT TRÙNG ÍT BÉO NHÃN HIỆU MEADOW FRESH 200mlx24, XUẤT XỨ NEW ZEALAND</v>
          </cell>
          <cell r="D4651" t="str">
            <v>MEADOW FRESH UHT LOW FAT MILK 200MLX24</v>
          </cell>
          <cell r="E4651">
            <v>4.95</v>
          </cell>
          <cell r="F4651" t="str">
            <v>Chọn</v>
          </cell>
          <cell r="G4651"/>
          <cell r="H4651" t="str">
            <v>7.E38017899F0013501</v>
          </cell>
        </row>
        <row r="4652">
          <cell r="A4652" t="str">
            <v>7.E38017899F0013501</v>
          </cell>
          <cell r="B4652" t="str">
            <v>MEADOW FRESH UHT LOW FAT MILK 200ML</v>
          </cell>
          <cell r="C4652" t="str">
            <v>SỮA TƯƠI TIỆT TRÙNG ÍT BÉO NHÃN HIỆU MEADOW FRESH 200ml, XUẤT XỨ NEW ZEALAND</v>
          </cell>
          <cell r="D4652" t="str">
            <v>MEADOW FRESH UHT LOW FAT MILK 200ML</v>
          </cell>
          <cell r="E4652">
            <v>0.21</v>
          </cell>
          <cell r="F4652" t="str">
            <v>Chọn</v>
          </cell>
          <cell r="G4652"/>
          <cell r="H4652"/>
        </row>
        <row r="4653">
          <cell r="A4653" t="str">
            <v>7.522001050941901</v>
          </cell>
          <cell r="B4653" t="str">
            <v>PLAIN FLOUR IN PP BAG @10KG</v>
          </cell>
          <cell r="C4653" t="str">
            <v>HÀNG MẪU 10KG</v>
          </cell>
          <cell r="D4653" t="str">
            <v>PLAIN FLOUR IN PP BAG @10KG</v>
          </cell>
          <cell r="E4653">
            <v>10</v>
          </cell>
          <cell r="F4653" t="str">
            <v>Chọn</v>
          </cell>
          <cell r="G4653"/>
          <cell r="H4653"/>
        </row>
        <row r="4654">
          <cell r="A4654" t="str">
            <v>N09.0007005.01471</v>
          </cell>
          <cell r="B4654" t="str">
            <v>CARTON, PRODUCT BRAND:ORCHID, PRODUCT PACKED:COOKING OIL, CONTENT:2 X 9KG, SIZE:420 X 210 X 404 MM, COLOR:BROWN, SUBSTANCE:KT175/CA150/KT175, FLUTE:A, PACKING TYPE:BOTTLE</v>
          </cell>
          <cell r="C4654" t="str">
            <v>THÙNG 2 MÀU - ORCHID 9KG X2</v>
          </cell>
          <cell r="D4654" t="str">
            <v>CARTON,ORCHID,2 X 9KG,COOKING OIL,BOTTLE</v>
          </cell>
          <cell r="E4654">
            <v>0</v>
          </cell>
          <cell r="F4654" t="str">
            <v>Chọn</v>
          </cell>
          <cell r="G4654"/>
          <cell r="H4654"/>
        </row>
        <row r="4655">
          <cell r="A4655" t="str">
            <v>N09.0007005.01455</v>
          </cell>
          <cell r="B4655" t="str">
            <v>CARTON, PRODUCT BRAND:MEIZAN, PRODUCT PACKED:COOKING OIL, CONTENT:2 X 9.8L, SIZE:420 X 210 X 404 MM, COLOR:BROWN, SUBSTANCE:KT175/CA150/KT175, FLUTE:A, PACKING TYPE:BOTTLE</v>
          </cell>
          <cell r="C4655" t="str">
            <v>THÙNG 2 MÀU-MEIZAN CKO 9KG X2</v>
          </cell>
          <cell r="D4655" t="str">
            <v>CARTON,MEIZAN,2 X 9.8L,COOKING OIL,BOTTL</v>
          </cell>
          <cell r="E4655">
            <v>0</v>
          </cell>
          <cell r="F4655" t="str">
            <v>Chọn</v>
          </cell>
          <cell r="G4655"/>
          <cell r="H4655"/>
        </row>
        <row r="4656">
          <cell r="A4656" t="str">
            <v>N09.0003003.00810</v>
          </cell>
          <cell r="B4656" t="str">
            <v>STICKER, MODEL:RECTANGLE, MARKING:ORCHID COOKING OIL 9KG, SIZE:190 X 130 MM, FINISHING:OPP COATED, MATERIAL:DECAL FASSON AW0416, ADDITIONAL DETAILS:LOCAL 2024</v>
          </cell>
          <cell r="C4656" t="str">
            <v>NHÃN STK ORCHID 9KG</v>
          </cell>
          <cell r="D4656" t="str">
            <v>STICKER,RECTANGLE,ORCHID COOKING OIL 9KG</v>
          </cell>
          <cell r="E4656">
            <v>0</v>
          </cell>
          <cell r="F4656" t="str">
            <v>Chọn</v>
          </cell>
          <cell r="G4656"/>
          <cell r="H4656"/>
        </row>
        <row r="4657">
          <cell r="A4657" t="str">
            <v>N09.0003003.00809</v>
          </cell>
          <cell r="B4657" t="str">
            <v>STICKER, MODEL:RECTANGLE, MARKING:MEIZAN PREMIUM VEGETABLE OIL, SIZE:190 X 130 MM, FINISHING:OPP COATED, MATERIAL:DECAL FASSON AW0416, ADDITIONAL DETAILS:2024 VERSION, 9.8L (9 KG)</v>
          </cell>
          <cell r="C4657" t="str">
            <v>NHÃN STK MEIZAN DẦU THỰC VẬT 9KG</v>
          </cell>
          <cell r="D4657" t="str">
            <v>STICKER,RECTANGLE,MEIZAN PREMIUM VEGETAB</v>
          </cell>
          <cell r="E4657">
            <v>0</v>
          </cell>
          <cell r="F4657" t="str">
            <v>Chọn</v>
          </cell>
          <cell r="G4657"/>
          <cell r="H4657"/>
        </row>
        <row r="4658">
          <cell r="A4658" t="str">
            <v>N09.0007005.01348</v>
          </cell>
          <cell r="B4658" t="str">
            <v xml:space="preserve">CARTON, PRODUCT BRAND:NEPTUNE, PRODUCT PACKED:COOKING OIL, CONTENT:0.4 X 24L, SIZE:330 X 220 X 240 MM, COLOR:BROWN, SUBSTANCE:KT175/CA150/KT175, FLUTE:A, PACKING TYPE:BOTTLE </v>
          </cell>
          <cell r="C4658" t="str">
            <v>THÙNG 2 MÀU - NEPTUNE LIGHT 400ML X 24</v>
          </cell>
          <cell r="D4658" t="str">
            <v>CARTON,NEPTUNE,0.4 X 24L,COOKING OIL,BOT</v>
          </cell>
          <cell r="E4658">
            <v>0</v>
          </cell>
          <cell r="F4658" t="str">
            <v>Chọn</v>
          </cell>
          <cell r="G4658"/>
          <cell r="H4658"/>
        </row>
        <row r="4659">
          <cell r="A4659" t="str">
            <v>N09.0007005.01674</v>
          </cell>
          <cell r="B4659" t="str">
            <v>CARTON, PRODUCT BRAND:NEPTUNE LIGHT, CONTENT:6 X 2L, SIZE:358 X 236 X 278 MM, COLOR:BROWN, SUBSTANCE:KT175XCA150XKT175, FLUTE:A, PACKING TYPE:BOTTLE</v>
          </cell>
          <cell r="C4659" t="str">
            <v>THÙNG 2 MÀU - NEPTUNE LIGHT 2L X 6</v>
          </cell>
          <cell r="D4659" t="str">
            <v>CARTON,NEPTUNE LIGHT,6 X 2L,BOTTLE,358 X</v>
          </cell>
          <cell r="E4659">
            <v>0</v>
          </cell>
          <cell r="F4659" t="str">
            <v>Chọn</v>
          </cell>
          <cell r="G4659"/>
          <cell r="H4659"/>
        </row>
        <row r="4660">
          <cell r="A4660" t="str">
            <v>N09.0007005.01482</v>
          </cell>
          <cell r="B4660" t="str">
            <v>CARTON, PRODUCT BRAND:MEIZAN GOLD, PRODUCT PACKED:COOKING OIL, CONTENT:24 X 400 ML, SIZE:329 X 220 X 225 MM, COLOR:BROWN, SUBSTANCE: KT175/CA150/KT175, FLUTE:A, PACKING TYPE:BOTTLE</v>
          </cell>
          <cell r="C4660" t="str">
            <v>THÙNG 2 MÀU - MEIZAN GOLD 400ML X 24</v>
          </cell>
          <cell r="D4660" t="str">
            <v>ARTON,MEIZAN GOLD,24 X 400 ML,COOKING O</v>
          </cell>
          <cell r="E4660">
            <v>0</v>
          </cell>
          <cell r="F4660" t="str">
            <v>Chọn</v>
          </cell>
          <cell r="G4660"/>
          <cell r="H4660"/>
        </row>
        <row r="4661">
          <cell r="A4661" t="str">
            <v>N09.0007005.01472</v>
          </cell>
          <cell r="B4661" t="str">
            <v xml:space="preserve">CARTON, PRODUCT BRAND:CAI LAN, PRODUCT PACKED:COOKING OIL, CONTENT:24 X .4L, SIZE:350 X 232 X 225 MM, COLOR:BROWN, SUBSTANCE:KT175/CA150/KT175, FLUTE:A, PACKING TYPE:BOTTLE </v>
          </cell>
          <cell r="C4661" t="str">
            <v>THÙNG 2 MÀU - CAI LAN 400ML X 24</v>
          </cell>
          <cell r="D4661" t="str">
            <v>CARTON,CAI LAN,24 X 0.4L,COOKING OIL,BOT</v>
          </cell>
          <cell r="E4661">
            <v>0</v>
          </cell>
          <cell r="F4661" t="str">
            <v>Chọn</v>
          </cell>
          <cell r="G4661"/>
          <cell r="H4661"/>
        </row>
        <row r="4662">
          <cell r="A4662" t="str">
            <v>N09.0007005.01453</v>
          </cell>
          <cell r="B4662" t="str">
            <v>CARTON, PRODUCT BRAND:MEIZAN, PRODUCT PACKED:SOYBEAN OIL, CONTENT:4 X 5L, SIZE:320 X 320 X 355 MM, COLOR:BROWN, SUBSTANCE:KT175/CA150/KT175, FLUTE:A, PACKING TYPE:BOTTLE</v>
          </cell>
          <cell r="C4662" t="str">
            <v>THÙNG 2 MÀU - MEIZAN SBO 5L X 4</v>
          </cell>
          <cell r="D4662" t="str">
            <v>CARTON,MEIZAN,4 X 5L,SOYBEAN OIL,BOTTLE</v>
          </cell>
          <cell r="E4662">
            <v>0</v>
          </cell>
          <cell r="F4662" t="str">
            <v>Chọn</v>
          </cell>
          <cell r="G4662"/>
          <cell r="H4662"/>
        </row>
        <row r="4663">
          <cell r="A4663" t="str">
            <v>N09.0007005.01354</v>
          </cell>
          <cell r="B4663" t="str">
            <v>CARTON, PRODUCT BRAND:ORCHID, PRODUCT PACKED:COOKING OIL, CONTENT:4 X 5L, SIZE:320 X 320 X 355 MM, COLOR:BROWN, SUBSTANCE:KT175/CA150/KT175, FLUTE:A, PACKING TYPE:BOTTLE</v>
          </cell>
          <cell r="C4663" t="str">
            <v>THÙNG 2 MÀU - ORCHID 5L X 4</v>
          </cell>
          <cell r="D4663" t="str">
            <v>CARTON,ORCHID,4 X 5L,COOKING OIL,BOTTLE</v>
          </cell>
          <cell r="E4663">
            <v>0</v>
          </cell>
          <cell r="F4663" t="str">
            <v>Chọn</v>
          </cell>
          <cell r="G4663"/>
          <cell r="H4663"/>
        </row>
        <row r="4664">
          <cell r="A4664" t="str">
            <v>N09.0007005.01333</v>
          </cell>
          <cell r="B4664" t="str">
            <v>CARTON, PRODUCT BRAND:SIMPLY, PRODUCT PACKED:CANOLA OIL, CONTENT:12 X 1L, SIZE:296 X 222 X 295 MM, COLOR:BROWN, SUBSTANCE:KT175/CA150/KT150, FLUTE:A, PACKING TYPE:BOTTLE</v>
          </cell>
          <cell r="C4664" t="str">
            <v>THÙNG 2 MÀU - SIMPLY HẠT CẢI (CNO) 1LX12</v>
          </cell>
          <cell r="D4664" t="str">
            <v>CARTON,SIMPLY,12 X 1L,CANOLA OIL,BOTTLE</v>
          </cell>
          <cell r="E4664">
            <v>0</v>
          </cell>
          <cell r="F4664" t="str">
            <v>Chọn</v>
          </cell>
          <cell r="G4664"/>
          <cell r="H4664"/>
        </row>
        <row r="4665">
          <cell r="A4665" t="str">
            <v>7.B24012399390113TD</v>
          </cell>
          <cell r="B4665" t="str">
            <v>NAM DUONG CONDENSED SOY SAUCE 280ML X 24 BOT/ CAR_x000D_
NAM DUONG CONDENSED SOY SAUCE 280ML X 24 BOT/ CAR</v>
          </cell>
          <cell r="C4665" t="str">
            <v>NƯỚC TƯƠNG NAM DƯƠNG ĐẬM ĐẶC 280ML X 24 CHAI/ THÙNG</v>
          </cell>
          <cell r="D4665" t="str">
            <v>NAM DUONG CONDENSED SOY SAUCE 280ML X 24 BOT/ CAR</v>
          </cell>
          <cell r="E4665">
            <v>7.54</v>
          </cell>
          <cell r="F4665" t="str">
            <v>Bỏ chọn</v>
          </cell>
          <cell r="G4665"/>
          <cell r="H4665"/>
        </row>
        <row r="4666">
          <cell r="A4666" t="str">
            <v>7.B24032399860199TD</v>
          </cell>
          <cell r="B4666" t="str">
            <v>OYSTER SAUCE 270G X 24 BOT/ CAR</v>
          </cell>
          <cell r="C4666" t="str">
            <v>DẦU HÀO 270G X 24 CHAI/ THÙNG</v>
          </cell>
          <cell r="D4666" t="str">
            <v>OYSTER SAUCE 270G X 24 BOT/ CAR</v>
          </cell>
          <cell r="E4666">
            <v>6.48</v>
          </cell>
          <cell r="F4666" t="str">
            <v>Bỏ chọn</v>
          </cell>
          <cell r="G4666"/>
          <cell r="H4666"/>
        </row>
        <row r="4667">
          <cell r="A4667" t="str">
            <v>7.522H850240101020TD</v>
          </cell>
          <cell r="B4667" t="str">
            <v>MEIZAN PREMIUM MACARONI – STELLINE 200G X 24 PACKS</v>
          </cell>
          <cell r="C4667" t="str">
            <v>NUI CAO CẤP MEIZAN - HÌNH SAO 200G X 24 GÓI</v>
          </cell>
          <cell r="D4667" t="str">
            <v>MEIZAN PREMIUM MACARONI – STELLINE 200G X 24 PACKS</v>
          </cell>
          <cell r="E4667">
            <v>4.8</v>
          </cell>
          <cell r="F4667" t="str">
            <v>Chọn</v>
          </cell>
          <cell r="G4667"/>
          <cell r="H4667"/>
        </row>
        <row r="4668">
          <cell r="A4668" t="str">
            <v>7.522H850280101020TD</v>
          </cell>
          <cell r="B4668" t="str">
            <v>MEIZAN PREMIUM VEGETABLE MACARONI - ELBOW 200G X 24 PACKS</v>
          </cell>
          <cell r="C4668" t="str">
            <v>NUI RAU CỦ CAO CẤP MEIZAN - CHỮ "C" 200G X 24 GÓI</v>
          </cell>
          <cell r="D4668" t="str">
            <v>MEIZAN PREMIUM VEGETABLE MACARONI - ELBOW 200G X 24 PACKS</v>
          </cell>
          <cell r="E4668">
            <v>4.8</v>
          </cell>
          <cell r="F4668" t="str">
            <v>Chọn</v>
          </cell>
          <cell r="G4668"/>
          <cell r="H4668"/>
        </row>
        <row r="4669">
          <cell r="A4669" t="str">
            <v>7.522B856170701140TD</v>
          </cell>
          <cell r="B4669" t="str">
            <v>MEIZAN EGGNOODLE FLATSTRING 500G*12BAG</v>
          </cell>
          <cell r="C4669" t="str">
            <v>MÌ TRỨNG CAO CẤP MEIZAN - SỢI DẸT 500G X 12 GÓI</v>
          </cell>
          <cell r="D4669" t="str">
            <v>MEIZAN EGGNOODLE FLATSTRING 500G*12BAG</v>
          </cell>
          <cell r="E4669">
            <v>6</v>
          </cell>
          <cell r="F4669" t="str">
            <v>Chọn</v>
          </cell>
          <cell r="G4669"/>
          <cell r="H4669"/>
        </row>
        <row r="4670">
          <cell r="A4670" t="str">
            <v>7.585D130830070110TD</v>
          </cell>
          <cell r="B4670" t="str">
            <v>MEIZAN RICE PAPER 120G X 40 PACKSMEIZAN RICE PAPER 120G X 40 PACKS_x000D_
MEIZAN RICE PAPER 120G X 40 PACKS</v>
          </cell>
          <cell r="C4670" t="str">
            <v>BÁNH TRÁNG MEIZAN 120G X 40 GÓI</v>
          </cell>
          <cell r="D4670" t="str">
            <v>MEIZAN RICE PAPER 120G X 40 PACKS</v>
          </cell>
          <cell r="E4670">
            <v>4.8</v>
          </cell>
          <cell r="F4670" t="str">
            <v>Bỏ chọn</v>
          </cell>
          <cell r="G4670"/>
          <cell r="H4670"/>
        </row>
        <row r="4671">
          <cell r="A4671" t="str">
            <v>7.522H850260101020TD</v>
          </cell>
          <cell r="B4671" t="str">
            <v>MEIZAN PREMIUM RICE MACARONI - ELBOW 200G X 24 PACKS</v>
          </cell>
          <cell r="C4671" t="str">
            <v>NUI GẠO CAO CẤP MEIZAN - CHỮ "C" 200G X 24 GÓI</v>
          </cell>
          <cell r="D4671" t="str">
            <v>MEIZAN PREMIUM RICE MACARONI - ELBOW 200G X 24 PACKS</v>
          </cell>
          <cell r="E4671">
            <v>4.8</v>
          </cell>
          <cell r="F4671" t="str">
            <v>Chọn</v>
          </cell>
          <cell r="G4671"/>
          <cell r="H4671"/>
        </row>
        <row r="4672">
          <cell r="A4672" t="str">
            <v>7.522B850648101020TD</v>
          </cell>
          <cell r="B4672" t="str">
            <v>MEIZAN PREMIUM EGG NOODLE 250G X 24 BAG</v>
          </cell>
          <cell r="C4672" t="str">
            <v>MÌ TRỨNG CAO CẤP MEIZAN 250G X 24 GÓI</v>
          </cell>
          <cell r="D4672" t="str">
            <v>MEIZAN PREMIUM EGG NOODLE 250G X 24 BAG</v>
          </cell>
          <cell r="E4672">
            <v>6</v>
          </cell>
          <cell r="F4672" t="str">
            <v>Chọn</v>
          </cell>
          <cell r="G4672"/>
          <cell r="H4672"/>
        </row>
        <row r="4673">
          <cell r="A4673" t="str">
            <v>7.522H850040101020TD</v>
          </cell>
          <cell r="B4673" t="str">
            <v>MEIZAN PREMIUM MACARONI - ELBOW 200G X 24 PACKS</v>
          </cell>
          <cell r="C4673" t="str">
            <v>NUI CAO CẤP MEIZAN - CHỮ "C" 200G X 24 GÓI</v>
          </cell>
          <cell r="D4673" t="str">
            <v>MEIZAN PREMIUM MACARONI - ELBOW 200G X 24 PACKS</v>
          </cell>
          <cell r="E4673">
            <v>4.8</v>
          </cell>
          <cell r="F4673" t="str">
            <v>Chọn</v>
          </cell>
          <cell r="G4673"/>
          <cell r="H4673"/>
        </row>
        <row r="4674">
          <cell r="A4674" t="str">
            <v>7.5221125707Z0206TD</v>
          </cell>
          <cell r="B4674" t="str">
            <v>MEIZAN SEASONED CRISPY FRYING MIX 150G X 24 PACKS</v>
          </cell>
          <cell r="C4674" t="str">
            <v>BỘT CHIÊN GIÒN MEIZAN ĐÃ NÊM SẴN GIA VỊ 150G X 24 GÓI</v>
          </cell>
          <cell r="D4674" t="str">
            <v>MEIZAN SEASONED CRISPY FRYING MIX 150G X 24 PACKS</v>
          </cell>
          <cell r="E4674">
            <v>3.96</v>
          </cell>
          <cell r="F4674" t="str">
            <v>Chọn</v>
          </cell>
          <cell r="G4674"/>
          <cell r="H4674"/>
        </row>
        <row r="4675">
          <cell r="A4675" t="str">
            <v>7.522B856158101140TD</v>
          </cell>
          <cell r="B4675" t="str">
            <v>MEIZAN PREMIUM VEGETARIAN NOODLE 250G X 12 PACKS</v>
          </cell>
          <cell r="C4675" t="str">
            <v>MÌ CHAY CAO CẤP MEIZAN 250G X 12 GÓI</v>
          </cell>
          <cell r="D4675" t="str">
            <v>MEIZAN PREMIUM VEGETARIAN NOODLE 250G X 12 PACKS</v>
          </cell>
          <cell r="E4675">
            <v>3</v>
          </cell>
          <cell r="F4675" t="str">
            <v>Chọn</v>
          </cell>
          <cell r="G4675"/>
          <cell r="H4675"/>
        </row>
        <row r="4676">
          <cell r="A4676" t="str">
            <v>7.5221125707Y0206TD</v>
          </cell>
          <cell r="B4676" t="str">
            <v>MEIZAN CRISPY FRYING MIX 150G X 24 PACKS</v>
          </cell>
          <cell r="C4676" t="str">
            <v>BỘT CHIÊN GIÒN MEIZAN 150G X 24 GÓI</v>
          </cell>
          <cell r="D4676" t="str">
            <v>MEIZAN CRISPY FRYING MIX 150G X 24 PACKS</v>
          </cell>
          <cell r="E4676">
            <v>3.6</v>
          </cell>
          <cell r="F4676" t="str">
            <v>Chọn</v>
          </cell>
          <cell r="G4676"/>
          <cell r="H4676"/>
        </row>
        <row r="4677">
          <cell r="A4677" t="str">
            <v>V51.000.223</v>
          </cell>
          <cell r="B4677" t="str">
            <v>KORENO JUMBO KIMCHI FLAVORED NOODLES</v>
          </cell>
          <cell r="C4677" t="str">
            <v>MÌ VỊ KIM CHI KORENO JUMBO</v>
          </cell>
          <cell r="D4677" t="str">
            <v>KORENO JUMBO KIMCHI FLAVORED NOODLES</v>
          </cell>
          <cell r="E4677">
            <v>0</v>
          </cell>
          <cell r="F4677" t="str">
            <v>Chọn</v>
          </cell>
          <cell r="G4677"/>
          <cell r="H4677"/>
        </row>
        <row r="4678">
          <cell r="A4678" t="str">
            <v>N09.0007005.01475</v>
          </cell>
          <cell r="B4678" t="str">
            <v>CARTON, PRODUCT BRAND:MEIZAN GOLD, PRODUCT PACKED:COOKING OIL, CONTENT:4 X 5L, SIZE:320 X 320 X 355 MM, COLOR:BROWN, SUBSTANCE:KT175/CA150/KT175, FLUTE:A, PACKING TYPE:BOTTLE</v>
          </cell>
          <cell r="C4678" t="str">
            <v>THÙNG 2 MÀU - MEIZAN GOLD 5L X 4</v>
          </cell>
          <cell r="D4678" t="str">
            <v>CARTON,MEIZAN GOLD,4 X 5L,COOKING OIL,BO</v>
          </cell>
          <cell r="E4678">
            <v>0</v>
          </cell>
          <cell r="F4678" t="str">
            <v>Chọn</v>
          </cell>
          <cell r="G4678"/>
          <cell r="H4678"/>
        </row>
        <row r="4679">
          <cell r="A4679" t="str">
            <v>N09.0007005.01423</v>
          </cell>
          <cell r="B4679" t="str">
            <v>CARTON, PRODUCT BRAND:ORCHID, PRODUCT PACKED:COOKING OIL, CONTENT:4 X 4.5L, SIZE:305 X 305 X 355 MM, COLOR:BROWN, SUBSTANCE:KT175/CA150/KT175, FLUTE:A, PACKING TYPE:BOTTLE</v>
          </cell>
          <cell r="C4679" t="str">
            <v>THÙNG 2 MÀU - ORCHID 4.5L X 4</v>
          </cell>
          <cell r="D4679" t="str">
            <v>CARTON,ORCHID,4 X 4.5L,COOKING OIL,BOTTL</v>
          </cell>
          <cell r="E4679">
            <v>0</v>
          </cell>
          <cell r="F4679" t="str">
            <v>Chọn</v>
          </cell>
          <cell r="G4679"/>
          <cell r="H4679"/>
        </row>
        <row r="4680">
          <cell r="A4680" t="str">
            <v>N09.0007005.01473</v>
          </cell>
          <cell r="B4680" t="str">
            <v>CARTON, PRODUCT BRAND:CAI LAN, PRODUCT PACKED:COOKING OIL, CONTENT:4 X 5L, SIZE:320 X 320 X 355 MM, COLOR:BROWN, SUBSTANCE:KT175/CA150/KT175, FLUTE:A, PACKING TYPE:BOTTLE</v>
          </cell>
          <cell r="C4680" t="str">
            <v>THÙNG 2 MÀU - CAI LAN 5L X 4</v>
          </cell>
          <cell r="D4680" t="str">
            <v>CARTON,CAI LAN,4 X 5L,COOKING OIL,BOTTLE</v>
          </cell>
          <cell r="E4680">
            <v>0</v>
          </cell>
          <cell r="F4680" t="str">
            <v>Chọn</v>
          </cell>
          <cell r="G4680"/>
          <cell r="H4680"/>
        </row>
        <row r="4681">
          <cell r="A4681" t="str">
            <v>N09.0003003.00451</v>
          </cell>
          <cell r="B4681" t="str">
            <v>STICKER, MODEL:RECTANGLE, MARKING:MEIZAN GOLD COOKING OIL 5 L, SIZE:165 X 121 MM, MATERIAL:PE/PP/FASCOAT</v>
          </cell>
          <cell r="C4681" t="str">
            <v>NHÃN STK MEIZAN GOLD 5L</v>
          </cell>
          <cell r="D4681" t="str">
            <v>STICKER,RECTANGLE,MEIZAN GOLD COOKING OI</v>
          </cell>
          <cell r="E4681">
            <v>0</v>
          </cell>
          <cell r="F4681" t="str">
            <v>Chọn</v>
          </cell>
          <cell r="G4681"/>
          <cell r="H4681"/>
        </row>
        <row r="4682">
          <cell r="A4682" t="str">
            <v>N09.0003003.00598</v>
          </cell>
          <cell r="B4682" t="str">
            <v>STICKER, MODEL:RECTANGLE, MARKING:MEIZAN SBO G2 5 L, SIZE:165 X 121 MM, MATERIAL:PE/PP/FASCOAT</v>
          </cell>
          <cell r="C4682" t="str">
            <v>NHÃN MEIZAN SBO 5L</v>
          </cell>
          <cell r="D4682" t="str">
            <v>STICKER,RECTANGLE,MEIZAN SBO G2 5 L,165</v>
          </cell>
          <cell r="E4682">
            <v>0</v>
          </cell>
          <cell r="F4682" t="str">
            <v>Chọn</v>
          </cell>
          <cell r="G4682"/>
          <cell r="H4682"/>
        </row>
        <row r="4683">
          <cell r="A4683" t="str">
            <v>N09.0003003.00593</v>
          </cell>
          <cell r="B4683" t="str">
            <v>STICKER, MODEL:RECTANGLE, MARKING:ORCHID COOKING OIL 4.5 L, SIZE:165 X 121 MM, MATERIAL:FASCOAT</v>
          </cell>
          <cell r="C4683" t="str">
            <v>NHÃN ORCHID 4.5L</v>
          </cell>
          <cell r="D4683" t="str">
            <v>STICKER,RECTANGLE,ORCHID COOKING OIL 4.5</v>
          </cell>
          <cell r="E4683">
            <v>0</v>
          </cell>
          <cell r="F4683" t="str">
            <v>Chọn</v>
          </cell>
          <cell r="G4683"/>
          <cell r="H4683"/>
        </row>
        <row r="4684">
          <cell r="A4684" t="str">
            <v>N09.0003003.00596</v>
          </cell>
          <cell r="B4684" t="str">
            <v>STICKER, MODEL:RECTANGLE, MARKING:ORCHID COOKING OIL 5 L, SIZE:165 X 121 MM, MATERIAL:DECAL</v>
          </cell>
          <cell r="C4684" t="str">
            <v>NHÃN ORCHID 5L</v>
          </cell>
          <cell r="D4684" t="str">
            <v>STICKER,RECTANGLE,ORCHID COOKING OIL 5 L</v>
          </cell>
          <cell r="E4684">
            <v>0</v>
          </cell>
          <cell r="F4684" t="str">
            <v>Chọn</v>
          </cell>
          <cell r="G4684"/>
          <cell r="H4684"/>
        </row>
        <row r="4685">
          <cell r="A4685" t="str">
            <v>N09.0003003.00591</v>
          </cell>
          <cell r="B4685" t="str">
            <v>STICKER, MODEL:RECTANGLE, MARKING:CAI LAN COOKING OIL 5 L, SIZE:165 X 121 MM, MATERIAL:DECAL</v>
          </cell>
          <cell r="C4685" t="str">
            <v>NHÃN DẦU THỰC VẬT CÁI LÂN 5L</v>
          </cell>
          <cell r="D4685" t="str">
            <v>STICKER,RECTANGLE,CAI LAN COOKING OIL 5</v>
          </cell>
          <cell r="E4685">
            <v>0</v>
          </cell>
          <cell r="F4685" t="str">
            <v>Chọn</v>
          </cell>
          <cell r="G4685"/>
          <cell r="H4685"/>
        </row>
        <row r="4686">
          <cell r="A4686" t="str">
            <v>7.131036I71701O30</v>
          </cell>
          <cell r="B4686" t="str">
            <v>ORCHID PREMIUM VEGETABLE OIL IN BOT@7.5L</v>
          </cell>
          <cell r="C4686" t="str">
            <v>DẦU THỰC VẬT HẢO HẠNG NHÃN HIỆU ORCHID 7.5L</v>
          </cell>
          <cell r="D4686" t="str">
            <v>ORCHID PREMIUM VEGETABLE OIL IN BOT@7.5L</v>
          </cell>
          <cell r="E4686">
            <v>6.8</v>
          </cell>
          <cell r="F4686" t="str">
            <v>Chọn</v>
          </cell>
          <cell r="G4686"/>
          <cell r="H4686"/>
        </row>
        <row r="4687">
          <cell r="A4687" t="str">
            <v>7.131036I71702O30</v>
          </cell>
          <cell r="B4687" t="str">
            <v>ORCHID PREMIUM VEGETABLE OIL 7.5L X 2BOT</v>
          </cell>
          <cell r="C4687" t="str">
            <v>DẦU THỰC VẬT HẢO HẠNG NHÃN HIỆU ORCHID 7.5L</v>
          </cell>
          <cell r="D4687" t="str">
            <v>ORCHID PREMIUM VEGETABLE OIL 7.5L X 2BOT</v>
          </cell>
          <cell r="E4687">
            <v>13.6</v>
          </cell>
          <cell r="F4687" t="str">
            <v>Chọn</v>
          </cell>
          <cell r="G4687"/>
          <cell r="H4687" t="str">
            <v>7.131036I71701O30</v>
          </cell>
        </row>
        <row r="4688">
          <cell r="A4688" t="str">
            <v>7.131036I80801O40</v>
          </cell>
          <cell r="B4688" t="str">
            <v>ORCHID PREMIUM VEGETABLE OIL PEBAG@12KG</v>
          </cell>
          <cell r="C4688" t="str">
            <v>DẦU THỰC VẬT HẢO HẠNG NHÃN HIỆU ORCHID (KÍCH CỠ ĐÓNG GÓI LỚN) 12KG</v>
          </cell>
          <cell r="D4688" t="str">
            <v>ORCHID PREMIUM VEGETABLE OIL PEBAG@12KG</v>
          </cell>
          <cell r="E4688">
            <v>12</v>
          </cell>
          <cell r="F4688" t="str">
            <v>Chọn</v>
          </cell>
          <cell r="G4688"/>
          <cell r="H4688"/>
        </row>
        <row r="4689">
          <cell r="A4689" t="str">
            <v>N04.0019026.00237</v>
          </cell>
          <cell r="B4689" t="str">
            <v>UNIFORM, TYPE:POLO SHIRT, MODEL:SHORT SLEEVE, COLOR:BLUE, MATERIAL:POLY CROCODILE, 100% PE, MARKING:SIMPLY-VIETNAM, ADDITIONAL DETAILS:WEIGHT: 260-270 GSM, COMPANY LOGO, ON FRONT AND BACK SIDE</v>
          </cell>
          <cell r="C4689" t="str">
            <v>ÁO THUN SIMPLY_VIỆT NAM</v>
          </cell>
          <cell r="D4689" t="str">
            <v>UNIFORM,POLO SHIRT,SHORT SLEEVE,SIMPLY-V</v>
          </cell>
          <cell r="E4689">
            <v>0</v>
          </cell>
          <cell r="F4689" t="str">
            <v>Chọn</v>
          </cell>
          <cell r="G4689"/>
          <cell r="H4689"/>
        </row>
        <row r="4690">
          <cell r="A4690" t="str">
            <v>V51.000.224</v>
          </cell>
          <cell r="B4690" t="str">
            <v>MEIZAN GOLD PREMIUM NANG THOM RICE 5KG</v>
          </cell>
          <cell r="C4690" t="str">
            <v>GẠO NGON HẢO HẠNG NÀNG THƠM MEIZAN GOLD 5KG</v>
          </cell>
          <cell r="D4690" t="str">
            <v>MEIZAN GOLD PREMIUM NANG THOM RICE 5KG</v>
          </cell>
          <cell r="E4690">
            <v>5</v>
          </cell>
          <cell r="F4690" t="str">
            <v>Chọn</v>
          </cell>
          <cell r="G4690"/>
          <cell r="H4690"/>
        </row>
        <row r="4691">
          <cell r="A4691" t="str">
            <v>V51.000.225</v>
          </cell>
          <cell r="B4691" t="str">
            <v>NEPTUNE GOLD LABEL PREMIUM RICE 5KG</v>
          </cell>
          <cell r="C4691" t="str">
            <v>NEPTUNE GẠO THƠM THƯỢNG HẠNG NHÃN VÀNG 5KG</v>
          </cell>
          <cell r="D4691" t="str">
            <v>NEPTUNE GOLD LABEL PREMIUM RICE 5KG</v>
          </cell>
          <cell r="E4691">
            <v>5</v>
          </cell>
          <cell r="F4691" t="str">
            <v>Chọn</v>
          </cell>
          <cell r="G4691"/>
          <cell r="H4691"/>
        </row>
        <row r="4692">
          <cell r="A4692" t="str">
            <v>V51.000.226</v>
          </cell>
          <cell r="B4692" t="str">
            <v>POWER100 DISHWASHING LIQUID LEMON ESSENTIAL OIL 1.4KG X 8</v>
          </cell>
          <cell r="C4692" t="str">
            <v>NƯỚC RỬA CHÉN POWER100 TINH DẦU CHANH 1,4KG X 8</v>
          </cell>
          <cell r="D4692" t="str">
            <v>POWER100 DISHWASHING LIQUID LEMON ESSENTIAL OIL 1.4KG X 8</v>
          </cell>
          <cell r="E4692">
            <v>11.2</v>
          </cell>
          <cell r="F4692" t="str">
            <v>Chọn</v>
          </cell>
          <cell r="G4692"/>
          <cell r="H4692"/>
        </row>
        <row r="4693">
          <cell r="A4693" t="str">
            <v>V51.000.227</v>
          </cell>
          <cell r="B4693" t="str">
            <v>MEIZAN PORK BOUILLON GRANULE 400G</v>
          </cell>
          <cell r="C4693" t="str">
            <v>HẠT NÊM MEIZAN THỊT, XƯƠNG ỐNG, TUỶ, CÀ RỐT - VỊ HEO 400G X24</v>
          </cell>
          <cell r="D4693" t="str">
            <v>MEIZAN PORK BOUILLON GRANULE 400G</v>
          </cell>
          <cell r="E4693">
            <v>9.6</v>
          </cell>
          <cell r="F4693" t="str">
            <v>Chọn</v>
          </cell>
          <cell r="G4693"/>
          <cell r="H4693"/>
        </row>
        <row r="4694">
          <cell r="A4694" t="str">
            <v>V39.000.085</v>
          </cell>
          <cell r="B4694" t="str">
            <v>HAND HOLDING FAN LOGO ROYAL</v>
          </cell>
          <cell r="C4694" t="str">
            <v>QUẠT CẦM TAY LOGO HOÀNG GIA</v>
          </cell>
          <cell r="D4694" t="str">
            <v>HAND HOLDING FAN LOGO ROYAL</v>
          </cell>
          <cell r="E4694">
            <v>0</v>
          </cell>
          <cell r="F4694" t="str">
            <v>Chọn</v>
          </cell>
          <cell r="G4694"/>
          <cell r="H4694"/>
        </row>
        <row r="4695">
          <cell r="A4695" t="str">
            <v>7.705K8</v>
          </cell>
          <cell r="B4695" t="str">
            <v>FATTY ALCOHOL 1214 PACK IN BOTTLE 3KG</v>
          </cell>
          <cell r="C4695" t="str">
            <v>FATTY ALCOHOL 1214 ĐÓNG TRONG CHAI 3KG</v>
          </cell>
          <cell r="D4695" t="str">
            <v>FATTY ALCOHOL 1214 PACK IN BOTTLE 3KG</v>
          </cell>
          <cell r="E4695">
            <v>1</v>
          </cell>
          <cell r="F4695" t="str">
            <v>Chọn</v>
          </cell>
          <cell r="G4695"/>
          <cell r="H4695"/>
        </row>
        <row r="4696">
          <cell r="A4696" t="str">
            <v>7.705K9</v>
          </cell>
          <cell r="B4696" t="str">
            <v>SODIUM LAURYL ETHER SULPHATE 1EO IN ISO TANK</v>
          </cell>
          <cell r="C4696" t="str">
            <v>CHẤT HOẠT ĐỘNG BỀ MẶT - SODIUM LAURYL ETHER SULPHATE 1EO ĐÓNG TRONG ISO TANK</v>
          </cell>
          <cell r="D4696" t="str">
            <v>SODIUM LAURYL ETHER SULPHATE 1EO IN ISO TANK</v>
          </cell>
          <cell r="E4696">
            <v>1</v>
          </cell>
          <cell r="F4696" t="str">
            <v>Chọn</v>
          </cell>
          <cell r="G4696"/>
          <cell r="H4696"/>
        </row>
        <row r="4697">
          <cell r="A4697" t="str">
            <v>N04.0018006.00308</v>
          </cell>
          <cell r="B4697" t="str">
            <v>PROMOTIONAL STUFF, TYPE:HANGING SAMPLING TRAY, MATERIAL:PVC, SIZE:W. 15 X D. 8 X H. 15 CM, MARKING:POWER100, ADDITIONAL DETAILS:LIQUID DETERGENT</v>
          </cell>
          <cell r="C4697" t="str">
            <v>KHAY ĐỰNG MẪU THỬ NƯỚC GIẶT XẢ POWER100</v>
          </cell>
          <cell r="D4697" t="str">
            <v>PROMOTIONAL STUFF,HANGING SAMPLING TRAY,</v>
          </cell>
          <cell r="E4697">
            <v>0</v>
          </cell>
          <cell r="F4697" t="str">
            <v>Chọn</v>
          </cell>
          <cell r="G4697"/>
          <cell r="H4697"/>
        </row>
        <row r="4698">
          <cell r="A4698" t="str">
            <v>N04.0018006.00302</v>
          </cell>
          <cell r="B4698" t="str">
            <v>PROMOTIONAL STUFF, TYPE:DISPLAY SAMPLING TRAY, MATERIAL:PVC, SIZE:W. 25 X D. 8 X H. 22 CM, MARKING:POWER100</v>
          </cell>
          <cell r="C4698" t="str">
            <v>KHAY ĐEO ĐỰNG MẪU THỬ NƯỚC GIẶT XẢ POWER100</v>
          </cell>
          <cell r="D4698" t="str">
            <v>PROMOTIONAL STUFF,DISPLAY SAMPLING TRAY,</v>
          </cell>
          <cell r="E4698">
            <v>0</v>
          </cell>
          <cell r="F4698" t="str">
            <v>Chọn</v>
          </cell>
          <cell r="G4698"/>
          <cell r="H4698"/>
        </row>
        <row r="4699">
          <cell r="A4699" t="str">
            <v>7.131087036062H10</v>
          </cell>
          <cell r="B4699" t="str">
            <v>NEPTUNE LIGHT TET GIFT 2BTL@1L X 6BOX</v>
          </cell>
          <cell r="C4699" t="str">
            <v>DẦU ĂN THƯỢNG HẠNG NHÃN HIỆU NEPTUNE LIGHT 1L X 2 CHAI X 6 HỘP</v>
          </cell>
          <cell r="D4699" t="str">
            <v>NEPTUNE LIGHT TET GIFT 2BTL@1L X 6BOX</v>
          </cell>
          <cell r="E4699">
            <v>10.92</v>
          </cell>
          <cell r="F4699" t="str">
            <v>Chọn</v>
          </cell>
          <cell r="G4699"/>
          <cell r="H4699" t="str">
            <v>7.131087286002H10</v>
          </cell>
        </row>
        <row r="4700">
          <cell r="A4700" t="str">
            <v>7.10601202425C1010</v>
          </cell>
          <cell r="B4700" t="str">
            <v>MEIZAN CHOCOFAT 400 MP 40-43 CARTON@20KG</v>
          </cell>
          <cell r="C4700" t="str">
            <v>CHẤT BÉO CHOCO 400 NHÃN HIỆU MEIZAN ĐÓNG TRONG THÙNG 20KG</v>
          </cell>
          <cell r="D4700" t="str">
            <v>MEIZAN CHOCOFAT 400 MP 40-43 CARTON@20KG</v>
          </cell>
          <cell r="E4700">
            <v>20</v>
          </cell>
          <cell r="F4700" t="str">
            <v>Chọn</v>
          </cell>
          <cell r="G4700"/>
          <cell r="H4700"/>
        </row>
        <row r="4701">
          <cell r="A4701" t="str">
            <v>7.1060120242308010</v>
          </cell>
          <cell r="B4701" t="str">
            <v>MEIZAN BAKINGFAT 33-39 PEBAG@20KG/RSPOMB</v>
          </cell>
          <cell r="C4701" t="str">
            <v>CHẤT BÉO BÁNH NƯỚNG NHÃN HIỆU MEIZAN (BAO BÌ MÀU XANH LÁ)TRONG THÙNG 20KG(RSPO/MB)</v>
          </cell>
          <cell r="D4701" t="str">
            <v>MEIZAN BAKINGFAT 33-39 PEBAG@20KG/RSPOMB</v>
          </cell>
          <cell r="E4701">
            <v>20</v>
          </cell>
          <cell r="F4701" t="str">
            <v>Chọn</v>
          </cell>
          <cell r="G4701"/>
          <cell r="H4701"/>
        </row>
        <row r="4702">
          <cell r="A4702" t="str">
            <v>7.92413B699600199</v>
          </cell>
          <cell r="B4702" t="str">
            <v>LIME GREEN CHILI SAUCE 100G X 48 PCS IN CARTON</v>
          </cell>
          <cell r="C4702" t="str">
            <v>MUỐI ỚT CHANH 100GR X 48 CHAI ĐÓNG TRONG THÙNG CARTON</v>
          </cell>
          <cell r="D4702" t="str">
            <v>LIME GREEN CHILI SAUCE 100G X 48 PCS IN CARTON</v>
          </cell>
          <cell r="E4702">
            <v>4.8</v>
          </cell>
          <cell r="F4702" t="str">
            <v>Chọn</v>
          </cell>
          <cell r="G4702"/>
          <cell r="H4702" t="str">
            <v>7.92413B69960019901</v>
          </cell>
        </row>
        <row r="4703">
          <cell r="A4703" t="str">
            <v>7.92413B69960019901</v>
          </cell>
          <cell r="B4703" t="str">
            <v>LIME GREEN CHILI SAUCE 100G</v>
          </cell>
          <cell r="C4703" t="str">
            <v>MUỐI ỚT CHANH 100GR</v>
          </cell>
          <cell r="D4703" t="str">
            <v>LIME GREEN CHILI SAUCE 100G</v>
          </cell>
          <cell r="E4703">
            <v>0.1</v>
          </cell>
          <cell r="F4703" t="str">
            <v>Chọn</v>
          </cell>
          <cell r="G4703"/>
          <cell r="H4703"/>
        </row>
        <row r="4704">
          <cell r="A4704" t="str">
            <v>N09.0007028.00017</v>
          </cell>
          <cell r="B4704" t="str">
            <v>TRAY, BASE MATERIAL:IVORY 700 GSM, DIMENSION:240 X 60 MM, SHAPE:RECTANGLE</v>
          </cell>
          <cell r="C4704" t="str">
            <v>MEIZAN SSO - KHAY TRƯNG BÀY</v>
          </cell>
          <cell r="D4704" t="str">
            <v>TRAY,IVORY 700 GSM,240 X 60 MM,RECTANGLE</v>
          </cell>
          <cell r="E4704">
            <v>0</v>
          </cell>
          <cell r="F4704" t="str">
            <v>Chọn</v>
          </cell>
          <cell r="G4704"/>
          <cell r="H4704"/>
        </row>
        <row r="4705">
          <cell r="A4705" t="str">
            <v>N09.0007028.00018</v>
          </cell>
          <cell r="B4705" t="str">
            <v>TRAY, BASE MATERIAL:IVORY 700 GSM, DIMENSION:170 X 60 MM, SHAPE:RECTANGLE</v>
          </cell>
          <cell r="C4705" t="str">
            <v>MEIZAN TM - KHAY TRƯNG BÀY</v>
          </cell>
          <cell r="D4705" t="str">
            <v>TRAY,IVORY 700 GSM,170 X 60 MM,RECTANGLE</v>
          </cell>
          <cell r="E4705">
            <v>0</v>
          </cell>
          <cell r="F4705" t="str">
            <v>Chọn</v>
          </cell>
          <cell r="G4705"/>
          <cell r="H4705"/>
        </row>
        <row r="4706">
          <cell r="A4706" t="str">
            <v>7.131009591201O50</v>
          </cell>
          <cell r="B4706" t="str">
            <v>CAILANPREMIUMVEG OIL(100%OLIV58)JRG@25KG</v>
          </cell>
          <cell r="C4706" t="str">
            <v>DẦU THỰC VẬT HẢO HẠNG NHÃN HIỆU CÁI LÂN (KÍCH CỠ ĐÓNG GÓI LỚN) ĐÓNG CAN 25KG</v>
          </cell>
          <cell r="D4706" t="str">
            <v>CAI LAN PREMIUM VEGETABLE OIL (BIG PACK) IN JERRYCAN @ 25KG</v>
          </cell>
          <cell r="E4706">
            <v>25</v>
          </cell>
          <cell r="F4706" t="str">
            <v>Chọn</v>
          </cell>
          <cell r="G4706"/>
          <cell r="H4706"/>
        </row>
        <row r="4707">
          <cell r="A4707" t="str">
            <v>7.131009570901O50</v>
          </cell>
          <cell r="B4707" t="str">
            <v>CAILANPREMIUMVEG OIL(100%OLIV58)BIB@18KG</v>
          </cell>
          <cell r="C4707" t="str">
            <v>DẦU THỰC VẬT HẢO HẠNG NHÃN HIỆU CÁI LÂN (KÍCH CỠ ĐÓNG GÓI LỚN) TRONG TÚI BÓNG 18KG</v>
          </cell>
          <cell r="D4707" t="str">
            <v>CAI LAN PREMIUM VEGETABLE OIL (BIG PACK) IN BIB @ 18KG</v>
          </cell>
          <cell r="E4707">
            <v>18</v>
          </cell>
          <cell r="F4707" t="str">
            <v>Chọn</v>
          </cell>
          <cell r="G4707"/>
          <cell r="H4707"/>
        </row>
        <row r="4708">
          <cell r="A4708" t="str">
            <v>7.111012A2126C1010</v>
          </cell>
          <cell r="B4708" t="str">
            <v>MEIZAN WILFIL 340 IN CARTON@11KG</v>
          </cell>
          <cell r="C4708" t="str">
            <v>CHẾ PHẨM CHẤT BÉO LÀM BÁNH KẸO WILFIL 340 HIỆU MEIZAN 11KG - MEIZAN BRAND WILFIL 340 @ 11 KG</v>
          </cell>
          <cell r="D4708" t="str">
            <v>MEIZAN WILFIL 340 IN CARTON@11KG</v>
          </cell>
          <cell r="E4708">
            <v>11</v>
          </cell>
          <cell r="F4708" t="str">
            <v>Chọn</v>
          </cell>
          <cell r="G4708"/>
          <cell r="H4708"/>
        </row>
        <row r="4709">
          <cell r="A4709" t="str">
            <v>7.112012A1007C1010</v>
          </cell>
          <cell r="B4709" t="str">
            <v>MEIZAN PRIMAX CHOCO IN CARTON@8KG</v>
          </cell>
          <cell r="C4709" t="str">
            <v>CHẾ PHẨM THAY THẾ BƠ CA CAO PRIMAX CHOCO HIỆU MEIZAN 8KG- MEIZAN BRAND PRIMAX CHOCO @ 8KG</v>
          </cell>
          <cell r="D4709" t="str">
            <v>MEIZAN PRIMAX CHOCO IN CARTON@8KG</v>
          </cell>
          <cell r="E4709">
            <v>8</v>
          </cell>
          <cell r="F4709" t="str">
            <v>Chọn</v>
          </cell>
          <cell r="G4709"/>
          <cell r="H4709"/>
        </row>
        <row r="4710">
          <cell r="A4710" t="str">
            <v>7.112012A1006C1010</v>
          </cell>
          <cell r="B4710" t="str">
            <v>MEIZAN ULTRA CHOCO IN CARTON@8KG</v>
          </cell>
          <cell r="C4710" t="str">
            <v>CHẾ PHẨM THAY THẾ BƠ CA CAO ULTRA CHOCO HIỆU MEIZAN 8KG - MEIZAN BRAND ULTRA CHOCO @ 8KG</v>
          </cell>
          <cell r="D4710" t="str">
            <v>MEIZAN ULTRA CHOCO IN CARTON@8KG</v>
          </cell>
          <cell r="E4710">
            <v>8</v>
          </cell>
          <cell r="F4710" t="str">
            <v>Chọn</v>
          </cell>
          <cell r="G4710"/>
          <cell r="H4710"/>
        </row>
        <row r="4711">
          <cell r="A4711" t="str">
            <v>7.090026642810900</v>
          </cell>
          <cell r="B4711" t="str">
            <v>MEIZAN VN PANCAKEMXLESSTURMERIC PBG@400G</v>
          </cell>
          <cell r="C4711" t="str">
            <v>BỘT BÁNH XÈO MEIZAN 400G</v>
          </cell>
          <cell r="D4711" t="str">
            <v>MEIZAN VN PANCAKEMXLESSTURMERIC PBG@400G</v>
          </cell>
          <cell r="E4711">
            <v>0.4</v>
          </cell>
          <cell r="F4711" t="str">
            <v>Chọn</v>
          </cell>
          <cell r="G4711" t="str">
            <v>2000000007</v>
          </cell>
          <cell r="H4711"/>
        </row>
        <row r="4712">
          <cell r="A4712" t="str">
            <v>7.090026642810913</v>
          </cell>
          <cell r="B4712" t="str">
            <v>MEIZAN VN PANCAKEMXLESSTURMERIC400G*12BG</v>
          </cell>
          <cell r="C4712" t="str">
            <v>BỘT BÁNH XÈO MEIZAN 400G X 12 GÓI</v>
          </cell>
          <cell r="D4712" t="str">
            <v>MEIZAN VN PANCAKEMXLESSTURMERIC400G*12BG</v>
          </cell>
          <cell r="E4712">
            <v>4.8</v>
          </cell>
          <cell r="F4712" t="str">
            <v>Chọn</v>
          </cell>
          <cell r="G4712" t="str">
            <v>2000000007</v>
          </cell>
          <cell r="H4712" t="str">
            <v>7.090026642810900</v>
          </cell>
        </row>
        <row r="4713">
          <cell r="A4713" t="str">
            <v>7.705L0</v>
          </cell>
          <cell r="B4713" t="str">
            <v>ISOPROPYL PALMITATE (IPP) PACKING IN DRUM 180KG</v>
          </cell>
          <cell r="C4713" t="str">
            <v>ISOPROPYL PALMITATE (IPP) ĐÓNG TRONG PHUY 180KG</v>
          </cell>
          <cell r="D4713" t="str">
            <v>ISOPROPYL PALMITATE (IPP) PACKING IN DRUM 180KG</v>
          </cell>
          <cell r="E4713">
            <v>1</v>
          </cell>
          <cell r="F4713" t="str">
            <v>Chọn</v>
          </cell>
          <cell r="G4713"/>
          <cell r="H4713"/>
        </row>
        <row r="4714">
          <cell r="A4714" t="str">
            <v>N04.0022039.00109</v>
          </cell>
          <cell r="B4714" t="str">
            <v>TEXT BOOK, SIZE:A4, TITLE:FLOUR &lt;(&gt;&amp;&lt;)&gt; YEAST 4 LANGUAGES, ADDITIONAL DETAILS:24 PAGES INCLUDE COVER, C300 COVER, C200 PAPER, 2 SIDED PRINTING, 4 COLORS, BINDING COVER 1 &amp; 4</v>
          </cell>
          <cell r="C4714" t="str">
            <v>CATALOGUE SẢN PHẨM (VIỆT ANH- CAM - LÀO)</v>
          </cell>
          <cell r="D4714" t="str">
            <v>TEXT BOOK,FLOUR &amp; YEAST 4 LANGUAGES</v>
          </cell>
          <cell r="E4714">
            <v>0</v>
          </cell>
          <cell r="F4714" t="str">
            <v>Chọn</v>
          </cell>
          <cell r="G4714"/>
          <cell r="H4714"/>
        </row>
        <row r="4715">
          <cell r="A4715" t="str">
            <v>N04.0017016.00063</v>
          </cell>
          <cell r="B4715" t="str">
            <v>KITCHEN UTENSILS, TYPE:BOWL SCRAPPER, SIZE:10.5 X 12 CM, MATERIAL:POLYPROPYLENE</v>
          </cell>
          <cell r="C4715" t="str">
            <v>DAO CHIA BỘT LOGO CHÌA KHÓA ĐỎ</v>
          </cell>
          <cell r="D4715" t="str">
            <v>KITCHEN UTENSILS,BOWL SCRAPPER</v>
          </cell>
          <cell r="E4715">
            <v>0</v>
          </cell>
          <cell r="F4715" t="str">
            <v>Chọn</v>
          </cell>
          <cell r="G4715"/>
          <cell r="H4715"/>
        </row>
        <row r="4716">
          <cell r="A4716" t="str">
            <v>7.7042329137170000</v>
          </cell>
          <cell r="B4716" t="str">
            <v>POWER100 PDPASSIONFRENCHPERFUME PCH@350G</v>
          </cell>
          <cell r="C4716" t="str">
            <v>BỘT GIẶT POWER100 HƯƠNG NƯỚC HOA PHÁP ĐAM MÊ 350G</v>
          </cell>
          <cell r="D4716" t="str">
            <v>POWER100 PDPASSIONFRENCHPERFUME PCH@350G</v>
          </cell>
          <cell r="E4716">
            <v>0.35</v>
          </cell>
          <cell r="F4716" t="str">
            <v>Chọn</v>
          </cell>
          <cell r="G4716"/>
          <cell r="H4716"/>
        </row>
        <row r="4717">
          <cell r="A4717" t="str">
            <v>7.7042329137170005</v>
          </cell>
          <cell r="B4717" t="str">
            <v>POWER100 PD PASSION FRENCH PF 350G*36PCH</v>
          </cell>
          <cell r="C4717" t="str">
            <v>BỘT GIẶT POWER100 HƯƠNG NƯỚC HOA PHÁP ĐAM MÊ 350G*36</v>
          </cell>
          <cell r="D4717" t="str">
            <v>POWER100 PD PASSION FRENCH PF 350G*36PCH</v>
          </cell>
          <cell r="E4717">
            <v>12.6</v>
          </cell>
          <cell r="F4717" t="str">
            <v>Chọn</v>
          </cell>
          <cell r="G4717"/>
          <cell r="H4717" t="str">
            <v>7.7042329137170000</v>
          </cell>
        </row>
        <row r="4718">
          <cell r="A4718" t="str">
            <v>7.704232D637170000</v>
          </cell>
          <cell r="B4718" t="str">
            <v>POWER100 PDPASSIONFRENCHPERFUME PCH@110G</v>
          </cell>
          <cell r="C4718" t="str">
            <v>BỘT GIẶT POWER100 HƯƠNG NƯỚC HOA PHÁP ĐAM MÊ 110G</v>
          </cell>
          <cell r="D4718" t="str">
            <v>POWER100 PDPASSIONFRENCHPERFUME PCH@110G</v>
          </cell>
          <cell r="E4718">
            <v>0.11</v>
          </cell>
          <cell r="F4718" t="str">
            <v>Chọn</v>
          </cell>
          <cell r="G4718"/>
          <cell r="H4718"/>
        </row>
        <row r="4719">
          <cell r="A4719" t="str">
            <v>7.704232D63717001C</v>
          </cell>
          <cell r="B4719" t="str">
            <v>POWER100 PD PASSION FRENCH PF 110G*80PCH</v>
          </cell>
          <cell r="C4719" t="str">
            <v>BỘT GIẶT POWER100 HƯƠNG NƯỚC HOA PHÁP ĐAM MÊ 110G*80</v>
          </cell>
          <cell r="D4719" t="str">
            <v>POWER100 PD PASSION FRENCH PF 110G*80PCH</v>
          </cell>
          <cell r="E4719">
            <v>8.8000000000000007</v>
          </cell>
          <cell r="F4719" t="str">
            <v>Chọn</v>
          </cell>
          <cell r="G4719"/>
          <cell r="H4719" t="str">
            <v>7.704232D637170000</v>
          </cell>
        </row>
        <row r="4720">
          <cell r="A4720" t="str">
            <v>7.704232Q737170000</v>
          </cell>
          <cell r="B4720" t="str">
            <v>POWER100 PD PASSION FRENCH PF PCH@3.7KG</v>
          </cell>
          <cell r="C4720" t="str">
            <v>BỘT GIẶT POWER100 HƯƠNG NƯỚC HOA PHÁP ĐAM MÊ 3.7KG</v>
          </cell>
          <cell r="D4720" t="str">
            <v>POWER100 PD PASSION FRENCH PF PCH@3.7KG</v>
          </cell>
          <cell r="E4720">
            <v>3.7</v>
          </cell>
          <cell r="F4720" t="str">
            <v>Chọn</v>
          </cell>
          <cell r="G4720"/>
          <cell r="H4720"/>
        </row>
        <row r="4721">
          <cell r="A4721" t="str">
            <v>7.704232Q73717000H</v>
          </cell>
          <cell r="B4721" t="str">
            <v>POWER100 PD PASSION FRENCH PF 3.7KG*4PCH</v>
          </cell>
          <cell r="C4721" t="str">
            <v>BỘT GIẶT POWER100 HƯƠNG NƯỚC HOA PHÁP ĐAM MÊ 3.7KG*4</v>
          </cell>
          <cell r="D4721" t="str">
            <v>POWER100 PD PASSION FRENCH PF 3.7KG*4PCH</v>
          </cell>
          <cell r="E4721">
            <v>14.8</v>
          </cell>
          <cell r="F4721" t="str">
            <v>Chọn</v>
          </cell>
          <cell r="G4721"/>
          <cell r="H4721" t="str">
            <v>7.704232Q737170000</v>
          </cell>
        </row>
        <row r="4722">
          <cell r="A4722" t="str">
            <v>7.7042335937170000</v>
          </cell>
          <cell r="B4722" t="str">
            <v>POWER100 PD CHARMING FRENCH PF PCH@700G</v>
          </cell>
          <cell r="C4722" t="str">
            <v>BỘT GIẶT POWER100 HƯƠNG NƯỚC HOA PHÁP QUYẾN RŨ 700G</v>
          </cell>
          <cell r="D4722" t="str">
            <v>POWER100 PD CHARMING FRENCH PF PCH@700G</v>
          </cell>
          <cell r="E4722">
            <v>0.7</v>
          </cell>
          <cell r="F4722" t="str">
            <v>Chọn</v>
          </cell>
          <cell r="G4722"/>
          <cell r="H4722"/>
        </row>
        <row r="4723">
          <cell r="A4723" t="str">
            <v>7.7042335937170003</v>
          </cell>
          <cell r="B4723" t="str">
            <v>POWER100 PD CHARMINGFRENCH PF 700G*20PCH</v>
          </cell>
          <cell r="C4723" t="str">
            <v>BỘT GIẶT POWER100 HƯƠNG NƯỚC HOA PHÁP QUYẾN RŨ 700G*20</v>
          </cell>
          <cell r="D4723" t="str">
            <v>POWER100 PD CHARMINGFRENCH PF 700G*20PCH</v>
          </cell>
          <cell r="E4723">
            <v>14</v>
          </cell>
          <cell r="F4723" t="str">
            <v>Chọn</v>
          </cell>
          <cell r="G4723"/>
          <cell r="H4723" t="str">
            <v>7.7042335937170000</v>
          </cell>
        </row>
        <row r="4724">
          <cell r="A4724" t="str">
            <v>7.704233Q137170000</v>
          </cell>
          <cell r="B4724" t="str">
            <v>POWER100 PD CHARMING FRENCH PF PCH@2.6KG</v>
          </cell>
          <cell r="C4724" t="str">
            <v>BỘT GIẶT POWER100 HƯƠNG NƯỚC HOA PHÁP QUYẾN RŨ 2.6KG</v>
          </cell>
          <cell r="D4724" t="str">
            <v>POWER100 PD CHARMING FRENCH PF PCH@2.6KG</v>
          </cell>
          <cell r="E4724">
            <v>2.6</v>
          </cell>
          <cell r="F4724" t="str">
            <v>Chọn</v>
          </cell>
          <cell r="G4724"/>
          <cell r="H4724"/>
        </row>
        <row r="4725">
          <cell r="A4725" t="str">
            <v>7.704233Q13717001H</v>
          </cell>
          <cell r="B4725" t="str">
            <v>POWER100 PD CHARMINGFRENCH PF 2.6KG*5PCH</v>
          </cell>
          <cell r="C4725" t="str">
            <v>BỘT GIẶT POWER100 HƯƠNG NƯỚC HOA PHÁP QUYẾN RŨ 2.6KG*5</v>
          </cell>
          <cell r="D4725" t="str">
            <v>POWER100 PD CHARMINGFRENCH PF 2.6KG*5PCH</v>
          </cell>
          <cell r="E4725">
            <v>13</v>
          </cell>
          <cell r="F4725" t="str">
            <v>Chọn</v>
          </cell>
          <cell r="G4725"/>
          <cell r="H4725" t="str">
            <v>7.704233Q137170000</v>
          </cell>
        </row>
        <row r="4726">
          <cell r="A4726" t="str">
            <v>7.704233Q837170000</v>
          </cell>
          <cell r="B4726" t="str">
            <v>POWER100 PD CHARMING FRENCH PF PCH@5.3KG</v>
          </cell>
          <cell r="C4726" t="str">
            <v>BỘT GIẶT POWER100 HƯƠNG NƯỚC HOA PHÁP QUYẾN RŨ 5.3KG</v>
          </cell>
          <cell r="D4726" t="str">
            <v>POWER100 PD CHARMING FRENCH PF PCH@5.3KG</v>
          </cell>
          <cell r="E4726">
            <v>5.3</v>
          </cell>
          <cell r="F4726" t="str">
            <v>Chọn</v>
          </cell>
          <cell r="G4726"/>
          <cell r="H4726"/>
        </row>
        <row r="4727">
          <cell r="A4727" t="str">
            <v>7.704233Q83717001I</v>
          </cell>
          <cell r="B4727" t="str">
            <v>POWER100 PD CHARMINGFRENCH PF 5.3KG*3PCH</v>
          </cell>
          <cell r="C4727" t="str">
            <v>BỘT GIẶT POWER100 HƯƠNG NƯỚC HOA PHÁP QUYẾN RŨ 5.3KG*3</v>
          </cell>
          <cell r="D4727" t="str">
            <v>POWER100 PD CHARMINGFRENCH PF 5.3KG*3PCH</v>
          </cell>
          <cell r="E4727">
            <v>15.9</v>
          </cell>
          <cell r="F4727" t="str">
            <v>Chọn</v>
          </cell>
          <cell r="G4727"/>
          <cell r="H4727" t="str">
            <v>7.704233Q837170000</v>
          </cell>
        </row>
        <row r="4728">
          <cell r="A4728" t="str">
            <v>N04.0018006.00319</v>
          </cell>
          <cell r="B4728" t="str">
            <v>PROMOTIONAL STUFF, TYPE:BLOCK CALENDAR, MATERIAL:COUCHE MATT PAPER, SIZE:25 X 36.5 X 3.5 CM, MARKING:NEPTUNE-VIETNAM</v>
          </cell>
          <cell r="C4728" t="str">
            <v>BỘ LỊCH NEPTUNE TẾT 2025</v>
          </cell>
          <cell r="D4728" t="str">
            <v>PROMOTIONAL STUFF,BLOCK CALENDAR,NEPTUNE</v>
          </cell>
          <cell r="E4728">
            <v>0</v>
          </cell>
          <cell r="F4728" t="str">
            <v>Chọn</v>
          </cell>
          <cell r="G4728"/>
          <cell r="H4728"/>
        </row>
        <row r="4729">
          <cell r="A4729" t="str">
            <v>N04.0019026.00271</v>
          </cell>
          <cell r="B4729" t="str">
            <v>UNIFORM, TYPE:POLO SHIRT, MODEL:SHORT SLEEVE, COLOR:WHITE, MATERIAL:100% POLY ELASTIC FABRIC, MARKING:POWER100, ADDITIONAL DETAILS:4-WAY CROCODILE</v>
          </cell>
          <cell r="C4729" t="str">
            <v>ÁO THUN POWER100 TRẮNG</v>
          </cell>
          <cell r="D4729" t="str">
            <v>UNIFORM,POLO SHIRT,SHORT SLEEVE,POWER100</v>
          </cell>
          <cell r="E4729">
            <v>0</v>
          </cell>
          <cell r="F4729" t="str">
            <v>Chọn</v>
          </cell>
          <cell r="G4729"/>
          <cell r="H4729"/>
        </row>
        <row r="4730">
          <cell r="A4730" t="str">
            <v>N04.0019026.00272</v>
          </cell>
          <cell r="B4730" t="str">
            <v>UNIFORM, TYPE:POLO SHIRT, MODEL:SHORT SLEEVE, COLOR:WHITE, MATERIAL:100%, POLY ELASTIC FABRIC, MARKING:POWER100-CAMBODIA, ADDITIONAL DETAILS:4-WAY, CROCODILE</v>
          </cell>
          <cell r="C4730" t="str">
            <v>ÁO THUN POWER100 TRẮNG (CAMPUCHIA)</v>
          </cell>
          <cell r="D4730" t="str">
            <v>UNIFORM,POLO SHIRT,SHORT SLEEVE,POWER100</v>
          </cell>
          <cell r="E4730">
            <v>0</v>
          </cell>
          <cell r="F4730" t="str">
            <v>Chọn</v>
          </cell>
          <cell r="G4730"/>
          <cell r="H4730"/>
        </row>
        <row r="4731">
          <cell r="A4731" t="str">
            <v>N04.0019026.00273</v>
          </cell>
          <cell r="B4731" t="str">
            <v>UNIFORM, TYPE:POLO SHIRT, MODEL:SHORT SLEEVE, COLOR:BLUE, MATERIAL:100%, POLY ELASTIC FABRIC, MARKING:POWER100-CAMBODIA, ADDITIONAL DETAILS:4-WAY, CROCODILE</v>
          </cell>
          <cell r="C4731" t="str">
            <v>ÁO THUN POWER100 XANH (CAMPUCHIA)</v>
          </cell>
          <cell r="D4731" t="str">
            <v>UNIFORM,POLO SHIRT,SHORT SLEEVE,POWER100</v>
          </cell>
          <cell r="E4731">
            <v>0</v>
          </cell>
          <cell r="F4731" t="str">
            <v>Chọn</v>
          </cell>
          <cell r="G4731"/>
          <cell r="H4731"/>
        </row>
        <row r="4732">
          <cell r="A4732" t="str">
            <v>7.131010031701O30</v>
          </cell>
          <cell r="B4732" t="str">
            <v>CAILAN S [70%OL IV58+30%NBDSBO] BTL@1L</v>
          </cell>
          <cell r="C4732" t="str">
            <v>DẦU THỰC VẬT HẢO HẠNG NHÃN HIỆU CÁI LÂN 1L</v>
          </cell>
          <cell r="D4732" t="str">
            <v>CAILAN S [70%OL IV58+30%NBDSBO] BTL@1L</v>
          </cell>
          <cell r="E4732">
            <v>0.91</v>
          </cell>
          <cell r="F4732" t="str">
            <v>Chọn</v>
          </cell>
          <cell r="G4732"/>
          <cell r="H4732"/>
        </row>
        <row r="4733">
          <cell r="A4733" t="str">
            <v>7.131010031705O30</v>
          </cell>
          <cell r="B4733" t="str">
            <v>CAILAN S [70%OL IV58+30%NBDSBO] 1L*12BTL</v>
          </cell>
          <cell r="C4733" t="str">
            <v>DẦU THỰC VẬT HẢO HẠNG NHÃN HIỆU CÁI LÂN 1L</v>
          </cell>
          <cell r="D4733" t="str">
            <v>CAILAN S [70%OL IV58+30%NBDSBO] 1L*12BTL</v>
          </cell>
          <cell r="E4733">
            <v>10.92</v>
          </cell>
          <cell r="F4733" t="str">
            <v>Chọn</v>
          </cell>
          <cell r="G4733"/>
          <cell r="H4733" t="str">
            <v>7.131010031701O30</v>
          </cell>
        </row>
        <row r="4734">
          <cell r="A4734" t="str">
            <v>7.131010041701O30</v>
          </cell>
          <cell r="B4734" t="str">
            <v>CAILAN S [70%OL IV58+30%NBDSBO] BTL@2L</v>
          </cell>
          <cell r="C4734" t="str">
            <v>DẦU THỰC VẬT HẢO HẠNG NHÃN HIỆU CÁI LÂN 2L</v>
          </cell>
          <cell r="D4734" t="str">
            <v>CAILAN S [70%OL IV58+30%NBDSBO] BTL@2L</v>
          </cell>
          <cell r="E4734">
            <v>1.82</v>
          </cell>
          <cell r="F4734" t="str">
            <v>Chọn</v>
          </cell>
          <cell r="G4734"/>
          <cell r="H4734"/>
        </row>
        <row r="4735">
          <cell r="A4735" t="str">
            <v>7.131010041704O30</v>
          </cell>
          <cell r="B4735" t="str">
            <v>CAILAN S [70%OL IV58+30%NBDSBO] 2L*6BTL</v>
          </cell>
          <cell r="C4735" t="str">
            <v>DẦU THỰC VẬT HẢO HẠNG NHÃN HIỆU CÁI LÂN 2L</v>
          </cell>
          <cell r="D4735" t="str">
            <v>CAILAN S [70%OL IV58+30%NBDSBO] 2L*6BTL</v>
          </cell>
          <cell r="E4735">
            <v>10.92</v>
          </cell>
          <cell r="F4735" t="str">
            <v>Chọn</v>
          </cell>
          <cell r="G4735"/>
          <cell r="H4735" t="str">
            <v>7.131010041701O30</v>
          </cell>
        </row>
        <row r="4736">
          <cell r="A4736" t="str">
            <v>7.131010061701O30</v>
          </cell>
          <cell r="B4736" t="str">
            <v>CAILAN S [70%OL IV58+30%NBDSBO] BTL@5L</v>
          </cell>
          <cell r="C4736" t="str">
            <v>DẦU THỰC VẬT HẢO HẠNG NHÃN HIỆU CÁI LÂN 5L</v>
          </cell>
          <cell r="D4736" t="str">
            <v>CAILAN S [70%OL IV58+30%NBDSBO] BTL@5L</v>
          </cell>
          <cell r="E4736">
            <v>4.55</v>
          </cell>
          <cell r="F4736" t="str">
            <v>Chọn</v>
          </cell>
          <cell r="G4736"/>
          <cell r="H4736"/>
        </row>
        <row r="4737">
          <cell r="A4737" t="str">
            <v>7.131010061703O30</v>
          </cell>
          <cell r="B4737" t="str">
            <v>CAILAN S [70%OL IV58+30%NBDSBO] 5L*4BTL</v>
          </cell>
          <cell r="C4737" t="str">
            <v>DẦU THỰC VẬT HẢO HẠNG NHÃN HIỆU CÁI LÂN 5L</v>
          </cell>
          <cell r="D4737" t="str">
            <v>CAILAN S [70%OL IV58+30%NBDSBO] 5L*4BTL</v>
          </cell>
          <cell r="E4737">
            <v>18.2</v>
          </cell>
          <cell r="F4737" t="str">
            <v>Chọn</v>
          </cell>
          <cell r="G4737"/>
          <cell r="H4737" t="str">
            <v>7.131010061701O30</v>
          </cell>
        </row>
        <row r="4738">
          <cell r="A4738" t="str">
            <v>7.131010121701O30</v>
          </cell>
          <cell r="B4738" t="str">
            <v>CAILAN S [70%OL IV58+30%NBDSBO]BTL@400ML</v>
          </cell>
          <cell r="C4738" t="str">
            <v>DẦU THỰC VẬT HẢO HẠNG NHÃN HIỆU CÁI LÂN 400ML</v>
          </cell>
          <cell r="D4738" t="str">
            <v>CAILAN S [70%OL IV58+30%NBDSBO]BTL@400ML</v>
          </cell>
          <cell r="E4738">
            <v>0.36399999999999999</v>
          </cell>
          <cell r="F4738" t="str">
            <v>Chọn</v>
          </cell>
          <cell r="G4738"/>
          <cell r="H4738"/>
        </row>
        <row r="4739">
          <cell r="A4739" t="str">
            <v>7.131010121706O30</v>
          </cell>
          <cell r="B4739" t="str">
            <v>CAILANS[70%OL IV58+30%NBDSBO]400ML*24BTL</v>
          </cell>
          <cell r="C4739" t="str">
            <v>DẦU THỰC VẬT HẢO HẠNG NHÃN HIỆU CÁI LÂN 400ML</v>
          </cell>
          <cell r="D4739" t="str">
            <v>CAILANS[70%OL IV58+30%NBDSBO]400ML*24BTL</v>
          </cell>
          <cell r="E4739">
            <v>8.7360000000000007</v>
          </cell>
          <cell r="F4739" t="str">
            <v>Chọn</v>
          </cell>
          <cell r="G4739"/>
          <cell r="H4739" t="str">
            <v>7.131010121701O30</v>
          </cell>
        </row>
        <row r="4740">
          <cell r="A4740" t="str">
            <v>7.131011031701O60</v>
          </cell>
          <cell r="B4740" t="str">
            <v>CAILAN A [65%OL IV60+35%NBDSBO]BTL@1L</v>
          </cell>
          <cell r="C4740" t="str">
            <v>DẦU THỰC VẬT HẢO HẠNG NHÃN HIỆU CÁI LÂN 1L</v>
          </cell>
          <cell r="D4740" t="str">
            <v>CAILAN A [65%OL IV60+35%NBDSBO]BTL@1L</v>
          </cell>
          <cell r="E4740">
            <v>0.91</v>
          </cell>
          <cell r="F4740" t="str">
            <v>Chọn</v>
          </cell>
          <cell r="G4740"/>
          <cell r="H4740"/>
        </row>
        <row r="4741">
          <cell r="A4741" t="str">
            <v>7.131011031705O60</v>
          </cell>
          <cell r="B4741" t="str">
            <v>CAILAN A [65%OL IV60+35%NBDSBO] 1L*12BTL</v>
          </cell>
          <cell r="C4741" t="str">
            <v>DẦU THỰC VẬT HẢO HẠNG NHÃN HIỆU CÁI LÂN 1L</v>
          </cell>
          <cell r="D4741" t="str">
            <v>CAILAN A [65%OL IV60+35%NBDSBO] 1L*12BTL</v>
          </cell>
          <cell r="E4741">
            <v>10.92</v>
          </cell>
          <cell r="F4741" t="str">
            <v>Chọn</v>
          </cell>
          <cell r="G4741"/>
          <cell r="H4741" t="str">
            <v>7.131011031701O60</v>
          </cell>
        </row>
        <row r="4742">
          <cell r="A4742" t="str">
            <v>7.131011041701O60</v>
          </cell>
          <cell r="B4742" t="str">
            <v>CAILAN A [65%OL IV60+35%NBDSBO]BTL@2L</v>
          </cell>
          <cell r="C4742" t="str">
            <v>DẦU THỰC VẬT HẢO HẠNG NHÃN HIỆU CÁI LÂN 2L</v>
          </cell>
          <cell r="D4742" t="str">
            <v>CAILAN A [65%OL IV60+35%NBDSBO]BTL@2L</v>
          </cell>
          <cell r="E4742">
            <v>1.82</v>
          </cell>
          <cell r="F4742" t="str">
            <v>Chọn</v>
          </cell>
          <cell r="G4742"/>
          <cell r="H4742"/>
        </row>
        <row r="4743">
          <cell r="A4743" t="str">
            <v>7.131011041704O60</v>
          </cell>
          <cell r="B4743" t="str">
            <v>CAILAN A [65%OL IV60+35%NBDSBO] 2L*6BTL</v>
          </cell>
          <cell r="C4743" t="str">
            <v>DẦU THỰC VẬT HẢO HẠNG NHÃN HIỆU CÁI LÂN 2L</v>
          </cell>
          <cell r="D4743" t="str">
            <v>CAILAN A [65%OL IV60+35%NBDSBO] 2L*6BTL</v>
          </cell>
          <cell r="E4743">
            <v>10.92</v>
          </cell>
          <cell r="F4743" t="str">
            <v>Chọn</v>
          </cell>
          <cell r="G4743"/>
          <cell r="H4743" t="str">
            <v>7.131011041701O60</v>
          </cell>
        </row>
        <row r="4744">
          <cell r="A4744" t="str">
            <v>7.131011061701O60</v>
          </cell>
          <cell r="B4744" t="str">
            <v>CAILAN A [65%OL IV60+35%NBDSBO]BTL@5L</v>
          </cell>
          <cell r="C4744" t="str">
            <v>DẦU THỰC VẬT HẢO HẠNG NHÃN HIỆU CÁI LÂN 5L</v>
          </cell>
          <cell r="D4744" t="str">
            <v>CAILAN A [65%OL IV60+35%NBDSBO]BTL@5L</v>
          </cell>
          <cell r="E4744">
            <v>4.55</v>
          </cell>
          <cell r="F4744" t="str">
            <v>Chọn</v>
          </cell>
          <cell r="G4744"/>
          <cell r="H4744"/>
        </row>
        <row r="4745">
          <cell r="A4745" t="str">
            <v>7.131011061703O60</v>
          </cell>
          <cell r="B4745" t="str">
            <v>CAILAN A [65%OL IV60+35%NBDSBO] 5L*4BTL</v>
          </cell>
          <cell r="C4745" t="str">
            <v>DẦU THỰC VẬT HẢO HẠNG NHÃN HIỆU CÁI LÂN 5L</v>
          </cell>
          <cell r="D4745" t="str">
            <v>CAILAN A [65%OL IV60+35%NBDSBO] 5L*4BTL</v>
          </cell>
          <cell r="E4745">
            <v>18.2</v>
          </cell>
          <cell r="F4745" t="str">
            <v>Chọn</v>
          </cell>
          <cell r="G4745"/>
          <cell r="H4745" t="str">
            <v>7.131011061701O60</v>
          </cell>
        </row>
        <row r="4746">
          <cell r="A4746" t="str">
            <v>7.131011121701O60</v>
          </cell>
          <cell r="B4746" t="str">
            <v>CAILAN A [65%OL IV60+35%NBDSBO]BTL@400ML</v>
          </cell>
          <cell r="C4746" t="str">
            <v>DẦU THỰC VẬT HẢO HẠNG NHÃN HIỆU CÁI LÂN 400ML</v>
          </cell>
          <cell r="D4746" t="str">
            <v>CAILAN A [65%OL IV60+35%NBDSBO]BTL@400ML</v>
          </cell>
          <cell r="E4746">
            <v>0.36399999999999999</v>
          </cell>
          <cell r="F4746" t="str">
            <v>Chọn</v>
          </cell>
          <cell r="G4746"/>
          <cell r="H4746"/>
        </row>
        <row r="4747">
          <cell r="A4747" t="str">
            <v>7.131011121706O60</v>
          </cell>
          <cell r="B4747" t="str">
            <v>CAILANA[65%OL IV60+35%NBDSBO]400ML*24BTL</v>
          </cell>
          <cell r="C4747" t="str">
            <v>DẦU THỰC VẬT HẢO HẠNG NHÃN HIỆU CÁI LÂN 400ML</v>
          </cell>
          <cell r="D4747" t="str">
            <v>CAILANA[65%OL IV60+35%NBDSBO]400ML*24BTL</v>
          </cell>
          <cell r="E4747">
            <v>8.7360000000000007</v>
          </cell>
          <cell r="F4747" t="str">
            <v>Chọn</v>
          </cell>
          <cell r="G4747"/>
          <cell r="H4747" t="str">
            <v>7.131011121701O60</v>
          </cell>
        </row>
        <row r="4748">
          <cell r="A4748" t="str">
            <v>7.F3902B399050156</v>
          </cell>
          <cell r="B4748" t="str">
            <v>RED STANDARD GRADE MURIATE OF POTASH (MOP)/ KALI (KCL)/WMCLV MURIATE OF POTASH 61, KALI POWDER; IN 25KG PP/PE BAG ROYAL BRAND; CANADA ORIGIN</v>
          </cell>
          <cell r="C4748" t="str">
            <v>WMCLV MURIATE OF POTASH 61 (PHÂN BÓN KALI CLORUA) DẠNG BỘT, ĐÓNG TRONG BAO PP/PE 25KG NHÃN HIỆU HOÀNG GIA; XUẤT XỨ CANADA</v>
          </cell>
          <cell r="D4748" t="str">
            <v>RED STANDARD GRADE MURIATE OF POTASH (MOP)/ KALI (KCL)/WMCLV MURIATE OF POTASH 61, KALI POWDER; IN 25KG PP/PE BAG ROYAL BRAND; CANADA ORIGIN</v>
          </cell>
          <cell r="E4748">
            <v>1</v>
          </cell>
          <cell r="F4748" t="str">
            <v>Chọn</v>
          </cell>
          <cell r="G4748"/>
          <cell r="H4748"/>
        </row>
        <row r="4749">
          <cell r="A4749" t="str">
            <v>V51.000.228</v>
          </cell>
          <cell r="B4749" t="str">
            <v>WHITE EMPTY PP BAG OF KALI POWDER ROYAL BRAND SIZE 25 KG</v>
          </cell>
          <cell r="C4749" t="str">
            <v>VỎ BAO PP TRẮNG PHÂN BÓN KALI BỘT HIỆU HOÀNG GIA LOẠI 25KG</v>
          </cell>
          <cell r="D4749" t="str">
            <v>WHITE EMPTY PP BAG OF KALI POWDER ROYAL BRAND SIZE 25 KG</v>
          </cell>
          <cell r="E4749">
            <v>0.12</v>
          </cell>
          <cell r="F4749" t="str">
            <v>Chọn</v>
          </cell>
          <cell r="G4749"/>
          <cell r="H4749"/>
        </row>
        <row r="4750">
          <cell r="A4750" t="str">
            <v>N04.0018006.00339</v>
          </cell>
          <cell r="B4750" t="str">
            <v>PROMOTIONAL STUFF, TYPE:GIFT BOX, MATERIAL:DUPLEX PAPER, SIZE:L. 290 X W. 145 X H. 295 MM, MARKING:WILMAR</v>
          </cell>
          <cell r="C4750" t="str">
            <v>HỘP QUÀ LOẠI LỚN</v>
          </cell>
          <cell r="D4750" t="str">
            <v>PROMOTIONAL STUFF,GIFT BOX,WILMAR</v>
          </cell>
          <cell r="E4750">
            <v>0</v>
          </cell>
          <cell r="F4750" t="str">
            <v>Chọn</v>
          </cell>
          <cell r="G4750"/>
          <cell r="H4750"/>
        </row>
        <row r="4751">
          <cell r="A4751" t="str">
            <v>N04.0018006.00340</v>
          </cell>
          <cell r="B4751" t="str">
            <v>PROMOTIONAL STUFF, TYPE:GIFT BOX, MATERIAL:DUPLEX PAPER, SIZE:L. 290 X W. 100 X H. 295 MM, MARKING:WILMAR</v>
          </cell>
          <cell r="C4751" t="str">
            <v>HỘP QUÀ LOẠI NHỎ</v>
          </cell>
          <cell r="D4751" t="str">
            <v>PROMOTIONAL STUFF,GIFT BOX,WILMAR</v>
          </cell>
          <cell r="E4751">
            <v>0</v>
          </cell>
          <cell r="F4751" t="str">
            <v>Chọn</v>
          </cell>
          <cell r="G4751"/>
          <cell r="H4751"/>
        </row>
        <row r="4752">
          <cell r="A4752" t="str">
            <v>7.131009031701O90</v>
          </cell>
          <cell r="B4752" t="str">
            <v>CAILAN PR VEGOIL(99.5OL+0.5SBO) BTL@1L</v>
          </cell>
          <cell r="C4752" t="str">
            <v>DẦU THỰC VẬT HẢO HẠNG NHÃN HIỆU CÁI LÂN 1L</v>
          </cell>
          <cell r="D4752" t="str">
            <v>CAILAN PR VEGOIL(99.5OL+0.5SBO) BTL@1L</v>
          </cell>
          <cell r="E4752">
            <v>0.91</v>
          </cell>
          <cell r="F4752" t="str">
            <v>Chọn</v>
          </cell>
          <cell r="G4752"/>
          <cell r="H4752"/>
        </row>
        <row r="4753">
          <cell r="A4753" t="str">
            <v>7.131009031705O90</v>
          </cell>
          <cell r="B4753" t="str">
            <v>CAILAN PR VEGOIL(99.5OL+0.5SBO) 1LX12BTL</v>
          </cell>
          <cell r="C4753" t="str">
            <v>DẦU THỰC VẬT HẢO HẠNG NHÃN HIỆU CÁI LÂN 1L</v>
          </cell>
          <cell r="D4753" t="str">
            <v>CAILAN PR VEGOIL(99.5OL+0.5SBO) 1LX12BTL</v>
          </cell>
          <cell r="E4753">
            <v>10.92</v>
          </cell>
          <cell r="F4753" t="str">
            <v>Chọn</v>
          </cell>
          <cell r="G4753"/>
          <cell r="H4753" t="str">
            <v>7.131009031701O90</v>
          </cell>
        </row>
        <row r="4754">
          <cell r="A4754" t="str">
            <v>7.131009041701O90</v>
          </cell>
          <cell r="B4754" t="str">
            <v>CAILAN PR VEGOIL(99.5OL+0.5SBO) BTL@2L</v>
          </cell>
          <cell r="C4754" t="str">
            <v>DẦU THỰC VẬT HẢO HẠNG NHÃN HIỆU CÁI LÂN 2L</v>
          </cell>
          <cell r="D4754" t="str">
            <v>CAILAN PR VEGOIL(99.5OL+0.5SBO) BTL@2L</v>
          </cell>
          <cell r="E4754">
            <v>1.82</v>
          </cell>
          <cell r="F4754" t="str">
            <v>Chọn</v>
          </cell>
          <cell r="G4754"/>
          <cell r="H4754"/>
        </row>
        <row r="4755">
          <cell r="A4755" t="str">
            <v>7.131009041704O90</v>
          </cell>
          <cell r="B4755" t="str">
            <v>CAILAN PR VEGOIL(99.5OL+0.5SBO) 2LX6BTL</v>
          </cell>
          <cell r="C4755" t="str">
            <v>DẦU THỰC VẬT HẢO HẠNG NHÃN HIỆU CÁI LÂN 2L</v>
          </cell>
          <cell r="D4755" t="str">
            <v>CAILAN PR VEGOIL(99.5OL+0.5SBO) 2LX6BTL</v>
          </cell>
          <cell r="E4755">
            <v>10.92</v>
          </cell>
          <cell r="F4755" t="str">
            <v>Chọn</v>
          </cell>
          <cell r="G4755"/>
          <cell r="H4755" t="str">
            <v>7.131009041701O90</v>
          </cell>
        </row>
        <row r="4756">
          <cell r="A4756" t="str">
            <v>7.131009061703O90</v>
          </cell>
          <cell r="B4756" t="str">
            <v>CAILAN PR VEGOIL(99.5OL+0.5SBO) 5LX4BTL</v>
          </cell>
          <cell r="C4756" t="str">
            <v>DẦU THỰC VẬT HẢO HẠNG NHÃN HIỆU CÁI LÂN 5L</v>
          </cell>
          <cell r="D4756" t="str">
            <v>CAILAN PR VEGOIL(99.5OL+0.5SBO) 5LX4BTL</v>
          </cell>
          <cell r="E4756">
            <v>18.2</v>
          </cell>
          <cell r="F4756" t="str">
            <v>Chọn</v>
          </cell>
          <cell r="G4756"/>
          <cell r="H4756" t="str">
            <v>7.131009061701O90</v>
          </cell>
        </row>
        <row r="4757">
          <cell r="A4757" t="str">
            <v>7.131009121701O90</v>
          </cell>
          <cell r="B4757" t="str">
            <v>CAILAN PR VEGOIL(99.5OL+0.5SBO)BTL@400ML</v>
          </cell>
          <cell r="C4757" t="str">
            <v>DẦU THỰC VẬT HẢO HẠNG NHÃN HIỆU CÁI LÂN 400ML</v>
          </cell>
          <cell r="D4757" t="str">
            <v>CAILAN PR VEGOIL(99.5OL+0.5SBO)BTL@400ML</v>
          </cell>
          <cell r="E4757">
            <v>0.36399999999999999</v>
          </cell>
          <cell r="F4757" t="str">
            <v>Chọn</v>
          </cell>
          <cell r="G4757"/>
          <cell r="H4757"/>
        </row>
        <row r="4758">
          <cell r="A4758" t="str">
            <v>7.131009121706O90</v>
          </cell>
          <cell r="B4758" t="str">
            <v>CAILANPRVEGOIL(99.5OL+0.5SBO)400MLX24BTL</v>
          </cell>
          <cell r="C4758" t="str">
            <v>DẦU THỰC VẬT HẢO HẠNG NHÃN HIỆU CÁI LÂN 400ML</v>
          </cell>
          <cell r="D4758" t="str">
            <v>CAILANPRVEGOIL(99.5OL+0.5SBO)400MLX24BTL</v>
          </cell>
          <cell r="E4758">
            <v>8.7360000000000007</v>
          </cell>
          <cell r="F4758" t="str">
            <v>Chọn</v>
          </cell>
          <cell r="G4758"/>
          <cell r="H4758" t="str">
            <v>7.131009121701O90</v>
          </cell>
        </row>
        <row r="4759">
          <cell r="A4759" t="str">
            <v>7.131009061701O90</v>
          </cell>
          <cell r="B4759" t="str">
            <v>CAILAN PR VEGOIL(99.5OL+0.5SBO) BTL@5L</v>
          </cell>
          <cell r="C4759" t="str">
            <v>DẦU THỰC VẬT HẢO HẠNG NHÃN HIỆU CÁI LÂN 5L</v>
          </cell>
          <cell r="D4759" t="str">
            <v>CAILAN PR VEGOIL(99.5OL+0.5SBO) BTL@5L</v>
          </cell>
          <cell r="E4759">
            <v>4.55</v>
          </cell>
          <cell r="F4759" t="str">
            <v>Chọn</v>
          </cell>
          <cell r="G4759"/>
          <cell r="H4759"/>
        </row>
        <row r="4760">
          <cell r="A4760" t="str">
            <v>V51.00A.082</v>
          </cell>
          <cell r="B4760" t="str">
            <v>BIG C 2025 TET GIFT BOX - SMALL GIFT BOX</v>
          </cell>
          <cell r="C4760" t="str">
            <v>VỎ HỘP QUÀ TẾT BIG C 2025 - HỘP QUÀ NHỎ</v>
          </cell>
          <cell r="D4760" t="str">
            <v>BIG C 2025 TET GIFT BOX - SMALL GIFT BOX</v>
          </cell>
          <cell r="E4760">
            <v>0.2</v>
          </cell>
          <cell r="F4760" t="str">
            <v>Bỏ chọn</v>
          </cell>
          <cell r="G4760"/>
          <cell r="H4760"/>
        </row>
        <row r="4761">
          <cell r="A4761" t="str">
            <v>V51.00A.083</v>
          </cell>
          <cell r="B4761" t="str">
            <v>BIG C 2025 TET GIFT BOX - LARGE GIFT BOX</v>
          </cell>
          <cell r="C4761" t="str">
            <v>VỎ HỘP QUÀ TẾT BIG C 2025 - HỘP QUÀ LỚN</v>
          </cell>
          <cell r="D4761" t="str">
            <v>BIG C 2025 TET GIFT BOX - LARGE GIFT BOX</v>
          </cell>
          <cell r="E4761">
            <v>0.35</v>
          </cell>
          <cell r="F4761" t="str">
            <v>Bỏ chọn</v>
          </cell>
          <cell r="G4761"/>
          <cell r="H4761"/>
        </row>
        <row r="4762">
          <cell r="A4762" t="str">
            <v>7.131010570901O40</v>
          </cell>
          <cell r="B4762" t="str">
            <v>CAILAN S PREMVEGOIL(100%OLIV56) BIB@18KG</v>
          </cell>
          <cell r="C4762" t="str">
            <v>DẦU THỰC VẬT HẢO HẠNG NHÃN HIỆU CÁI LÂN (KÍCH CỠ ĐÓNG GÓI LỚN) TRONG TÚI BÓNG 18KG</v>
          </cell>
          <cell r="D4762" t="str">
            <v>CAILAN S PREMVEGOIL(100%OLIV56) BIB@18KG</v>
          </cell>
          <cell r="E4762">
            <v>18</v>
          </cell>
          <cell r="F4762" t="str">
            <v>Chọn</v>
          </cell>
          <cell r="G4762"/>
          <cell r="H4762"/>
        </row>
        <row r="4763">
          <cell r="A4763" t="str">
            <v>7.131010591201O40</v>
          </cell>
          <cell r="B4763" t="str">
            <v>CAILAN S PREMVEGOIL(100%OLIV56) JRG@25KG</v>
          </cell>
          <cell r="C4763" t="str">
            <v>DẦU THỰC VẬT HẢO HẠNG NHÃN HIỆU CÁI LÂN (KÍCH CỠ ĐÓNG GÓI LỚN) ĐÓNG CAN 25KG</v>
          </cell>
          <cell r="D4763" t="str">
            <v>CAILAN S PREMVEGOIL(100%OLIV56) JRG@25KG</v>
          </cell>
          <cell r="E4763">
            <v>25</v>
          </cell>
          <cell r="F4763" t="str">
            <v>Chọn</v>
          </cell>
          <cell r="G4763"/>
          <cell r="H4763"/>
        </row>
        <row r="4764">
          <cell r="A4764" t="str">
            <v>N04.0025015.00001</v>
          </cell>
          <cell r="B4764" t="str">
            <v>TELCO REFILL VOUCHER,10.000 VND,VIETTEL</v>
          </cell>
          <cell r="C4764" t="str">
            <v>THẺ CÀO VIETTEL MỆNH GIÁ 10.000 ĐỒNG</v>
          </cell>
          <cell r="D4764" t="str">
            <v>TELCO REFILL VOUCHER,10.000 VND,VIETTEL</v>
          </cell>
          <cell r="E4764">
            <v>0</v>
          </cell>
          <cell r="F4764" t="str">
            <v>Chọn</v>
          </cell>
          <cell r="G4764"/>
          <cell r="H4764"/>
        </row>
        <row r="4765">
          <cell r="A4765" t="str">
            <v>7.5221125707Z0223</v>
          </cell>
          <cell r="B4765" t="str">
            <v>MEIZAN SEASONED CRISPYFRYMIX 150G*60BAG</v>
          </cell>
          <cell r="C4765" t="str">
            <v>BỘT CHIÊN GIÒN MEIZAN ĐÃ NÊM SẴN GIA VỊ 150G X 60 GÓI</v>
          </cell>
          <cell r="D4765" t="str">
            <v>MEIZAN SEASONED CRISPYFRYMIX 150G*60BAG</v>
          </cell>
          <cell r="E4765">
            <v>9</v>
          </cell>
          <cell r="F4765" t="str">
            <v>Chọn</v>
          </cell>
          <cell r="G4765" t="str">
            <v>2000000007</v>
          </cell>
          <cell r="H4765" t="str">
            <v>7.5221125707Z0201</v>
          </cell>
        </row>
        <row r="4766">
          <cell r="A4766" t="str">
            <v>N04.0017002.00043</v>
          </cell>
          <cell r="B4766" t="str">
            <v>FOOD BOX, SIZE:BOX 1: 178 X 124 X 80 MM, ADDITIONAL DETAILS:BOX 2: 203 X 142 X 92 MM, BOX 3: 227 X 158 X 104 MM, MATERIAL: PLASTIC</v>
          </cell>
          <cell r="C4766" t="str">
            <v>BỘ HỘP L508 MÀU LÁ IN LOGO MEIZAN</v>
          </cell>
          <cell r="D4766" t="str">
            <v>FOOD BOX</v>
          </cell>
          <cell r="E4766">
            <v>0</v>
          </cell>
          <cell r="F4766" t="str">
            <v>Chọn</v>
          </cell>
          <cell r="G4766"/>
          <cell r="H4766"/>
        </row>
        <row r="4767">
          <cell r="A4767" t="str">
            <v>7.B25080899F10199</v>
          </cell>
          <cell r="B4767" t="str">
            <v>MONOSODIUM GLUTAMATE MEIZAN 400G X 6 BAG/ CAR (5 PCH/ BAG)</v>
          </cell>
          <cell r="C4767" t="str">
            <v>BỘT NGỌT MEIZAN 400G X 6 BAO/ THÙNG (5 TÚI/ BAO)</v>
          </cell>
          <cell r="D4767" t="str">
            <v>MONOSODIUM GLUTAMATE MEIZAN 400G X 6 BAG/ CAR (5 PCH/ BAG)</v>
          </cell>
          <cell r="E4767">
            <v>12</v>
          </cell>
          <cell r="F4767" t="str">
            <v>Bỏ chọn</v>
          </cell>
          <cell r="G4767"/>
          <cell r="H4767"/>
        </row>
        <row r="4768">
          <cell r="A4768" t="str">
            <v>7.455051R11701010</v>
          </cell>
          <cell r="B4768" t="str">
            <v>MEIZAN SESAME OIL IN BOTTLE @0.1L</v>
          </cell>
          <cell r="C4768" t="str">
            <v>DẦU MÈ THƠM NHÃN HIỆU MEIZAN 100 ML</v>
          </cell>
          <cell r="D4768" t="str">
            <v>MEIZAN SESAME OIL IN BOTTLE @0.1L</v>
          </cell>
          <cell r="E4768">
            <v>9.0999999999999998E-2</v>
          </cell>
          <cell r="F4768" t="str">
            <v>Chọn</v>
          </cell>
          <cell r="G4768"/>
          <cell r="H4768"/>
        </row>
        <row r="4769">
          <cell r="A4769" t="str">
            <v>7.455051R11706010</v>
          </cell>
          <cell r="B4769" t="str">
            <v>MEIZAN SESAME OIL 0.1L X 24 BOTTLE</v>
          </cell>
          <cell r="C4769" t="str">
            <v>DẦU MÈ THƠM NHÃN HIỆU MEIZAN 100ML</v>
          </cell>
          <cell r="D4769" t="str">
            <v>MEIZAN SESAME OIL 0.1L X 24 BOTTLE</v>
          </cell>
          <cell r="E4769">
            <v>2.1840000000000002</v>
          </cell>
          <cell r="F4769" t="str">
            <v>Chọn</v>
          </cell>
          <cell r="G4769"/>
          <cell r="H4769" t="str">
            <v>7.455051R11701010</v>
          </cell>
        </row>
        <row r="4770">
          <cell r="A4770" t="str">
            <v>7.705L1</v>
          </cell>
          <cell r="B4770" t="str">
            <v>SLES (SODIUM LAURYL ETHER SULFATE) IN BOTTLE 5KG</v>
          </cell>
          <cell r="C4770" t="str">
            <v>SLES (SODIUM LAURYL ETHER SULFATE)-CHẤT HỮU CƠ HOẠT ĐỘNG BỀ MẶT DẠNG ANION ĐÓNG TRONG CHAI 5KG</v>
          </cell>
          <cell r="D4770" t="str">
            <v>SLES (SODIUM LAURYL ETHER SULFATE) IN BOTTLE 5KG</v>
          </cell>
          <cell r="E4770">
            <v>1</v>
          </cell>
          <cell r="F4770" t="str">
            <v>Chọn</v>
          </cell>
          <cell r="G4770"/>
          <cell r="H4770"/>
        </row>
        <row r="4771">
          <cell r="A4771" t="str">
            <v>7.1120120200608010</v>
          </cell>
          <cell r="B4771" t="str">
            <v>MEIZAN TRHPKS CBS UCMP33.5-35.5 PBG@20KG</v>
          </cell>
          <cell r="C4771" t="str">
            <v>CHẾ PHẨM THAY THẾ BƠ CACAO ULTRA CHOCO HIỆU MEIZAN 20KG</v>
          </cell>
          <cell r="D4771" t="str">
            <v>MEIZAN TRHPKS CBS UCMP33.5-35.5 PBG@20KG</v>
          </cell>
          <cell r="E4771">
            <v>20</v>
          </cell>
          <cell r="F4771" t="str">
            <v>Chọn</v>
          </cell>
          <cell r="G4771"/>
          <cell r="H4771"/>
        </row>
        <row r="4772">
          <cell r="A4772" t="str">
            <v>7.1100120200108010</v>
          </cell>
          <cell r="B4772" t="str">
            <v xml:space="preserve">MEIZAN TRHPKO WILKOTE 379 IN PEBAG@20KG </v>
          </cell>
          <cell r="C4772" t="str">
            <v>CHẾ PHẨM THAY THẾ BƠ CACAO WILKOTE HIỆU MEIZAN 20KG</v>
          </cell>
          <cell r="D4772" t="str">
            <v xml:space="preserve">MEIZAN TRHPKO WILKOTE 379 IN PEBAG@20KG </v>
          </cell>
          <cell r="E4772">
            <v>20</v>
          </cell>
          <cell r="F4772" t="str">
            <v>Chọn</v>
          </cell>
          <cell r="G4772"/>
          <cell r="H4772"/>
        </row>
        <row r="4773">
          <cell r="A4773" t="str">
            <v>7.707583F62817400G</v>
          </cell>
          <cell r="B4773" t="str">
            <v>POWER100 SAVING DWL LEMON 400G*28BOTTLE</v>
          </cell>
          <cell r="C4773" t="str">
            <v>NƯỚC RỬA CHÉN POWER100 TIẾT KIỆM HƯƠNG CHANH 400G*28</v>
          </cell>
          <cell r="D4773" t="str">
            <v>POWER100 SAVING DWL LEMON 400G*28BOTTLE</v>
          </cell>
          <cell r="E4773">
            <v>11.2</v>
          </cell>
          <cell r="F4773" t="str">
            <v>Chọn</v>
          </cell>
          <cell r="G4773"/>
          <cell r="H4773"/>
        </row>
        <row r="4774">
          <cell r="A4774" t="str">
            <v>7.7077076528170000</v>
          </cell>
          <cell r="B4774" t="str">
            <v>POWER100 DWL SVG GREENTEA ALOE BTL@3.5KG</v>
          </cell>
          <cell r="C4774" t="str">
            <v>NƯỚC RỬA CHÉN POWER100 TIẾT KIỆM HƯƠNG TRÀ XANH LÔ HỘI 3.5KG</v>
          </cell>
          <cell r="D4774" t="str">
            <v>POWER100 DWL SVG GREENTEA ALOE BTL@3.5KG</v>
          </cell>
          <cell r="E4774">
            <v>3.5</v>
          </cell>
          <cell r="F4774" t="str">
            <v>Chọn</v>
          </cell>
          <cell r="G4774"/>
          <cell r="H4774"/>
        </row>
        <row r="4775">
          <cell r="A4775" t="str">
            <v>7.707707652817000H</v>
          </cell>
          <cell r="B4775" t="str">
            <v>POWER100 DWLSVG GREENTEA ALOE 3.5KG*4BTL</v>
          </cell>
          <cell r="C4775" t="str">
            <v>NƯỚC RỬA CHÉN POWER100 TIẾT KIỆM HƯƠNG TRÀ XANH LÔ HỘI 3.5KG*4</v>
          </cell>
          <cell r="D4775" t="str">
            <v>POWER100 DWLSVG GREENTEA ALOE 3.5KG*4BTL</v>
          </cell>
          <cell r="E4775">
            <v>14</v>
          </cell>
          <cell r="F4775" t="str">
            <v>Chọn</v>
          </cell>
          <cell r="G4775"/>
          <cell r="H4775" t="str">
            <v>7.7077076528170000</v>
          </cell>
        </row>
        <row r="4776">
          <cell r="A4776" t="str">
            <v>7.707706E928170000</v>
          </cell>
          <cell r="B4776" t="str">
            <v>POWER100DWLCINNAMONESSENTIALOILBTL@750G</v>
          </cell>
          <cell r="C4776" t="str">
            <v>NƯỚC RỬA CHÉN POWER100 TINH DẦU QUẾ 750G</v>
          </cell>
          <cell r="D4776" t="str">
            <v>POWER100DWLCINNAMONESSENTIALOILBTL@750G</v>
          </cell>
          <cell r="E4776">
            <v>0.75</v>
          </cell>
          <cell r="F4776" t="str">
            <v>Chọn</v>
          </cell>
          <cell r="G4776"/>
          <cell r="H4776"/>
        </row>
        <row r="4777">
          <cell r="A4777" t="str">
            <v>7.707706E92817000N</v>
          </cell>
          <cell r="B4777" t="str">
            <v>POWER100DWLCINAMONESSENTIALOIL750G*16BTL</v>
          </cell>
          <cell r="C4777" t="str">
            <v>NƯỚC RỬA CHÉN POWER100 TINH DẦU QUẾ 750G*16</v>
          </cell>
          <cell r="D4777" t="str">
            <v>POWER100DWLCINAMONESSENTIALOIL750G*16BTL</v>
          </cell>
          <cell r="E4777">
            <v>12</v>
          </cell>
          <cell r="F4777" t="str">
            <v>Chọn</v>
          </cell>
          <cell r="G4777"/>
          <cell r="H4777" t="str">
            <v>7.707706E928170000</v>
          </cell>
        </row>
        <row r="4778">
          <cell r="A4778" t="str">
            <v>7.7075836528193000</v>
          </cell>
          <cell r="B4778" t="str">
            <v>POWER100 CLEAN&amp;CLEAN DWL LEMON BTL@3.5KG</v>
          </cell>
          <cell r="C4778" t="str">
            <v>NƯỚC RỬA CHÉN POWER100 CLEAN &amp; CLEAN HƯƠNG CHANH 3.5KG</v>
          </cell>
          <cell r="D4778" t="str">
            <v>POWER100 CLEAN&amp;CLEAN DWL LEMON BTL@3.5KG</v>
          </cell>
          <cell r="E4778">
            <v>3.5</v>
          </cell>
          <cell r="F4778" t="str">
            <v>Chọn</v>
          </cell>
          <cell r="G4778"/>
          <cell r="H4778"/>
        </row>
        <row r="4779">
          <cell r="A4779" t="str">
            <v>7.707583652819300H</v>
          </cell>
          <cell r="B4779" t="str">
            <v>POWER100CLEAN&amp;CLEAN DWL LEMON 3.5KG*4BTL</v>
          </cell>
          <cell r="C4779" t="str">
            <v>NƯỚC RỬA CHÉN POWER100 CLEAN &amp; CLEAN HƯƠNG CHANH 3.5KG*4</v>
          </cell>
          <cell r="D4779" t="str">
            <v>POWER100CLEAN&amp;CLEAN DWL LEMON 3.5KG*4BTL</v>
          </cell>
          <cell r="E4779">
            <v>14</v>
          </cell>
          <cell r="F4779" t="str">
            <v>Chọn</v>
          </cell>
          <cell r="G4779"/>
          <cell r="H4779"/>
        </row>
        <row r="4780">
          <cell r="A4780" t="str">
            <v>7.7076626528193000</v>
          </cell>
          <cell r="B4780" t="str">
            <v>POWER100CLEAN&amp;CLEAN DWLLEMONEO BTL@3.5KG</v>
          </cell>
          <cell r="C4780" t="str">
            <v>NƯỚC RỬA CHÉN POWER100 CLEAN &amp; CLEAN TINH DẦU CHANH 3.5KG</v>
          </cell>
          <cell r="D4780" t="str">
            <v>POWER100CLEAN&amp;CLEAN DWLLEMONEO BTL@3.5KG</v>
          </cell>
          <cell r="E4780">
            <v>3.5</v>
          </cell>
          <cell r="F4780" t="str">
            <v>Chọn</v>
          </cell>
          <cell r="G4780"/>
          <cell r="H4780"/>
        </row>
        <row r="4781">
          <cell r="A4781" t="str">
            <v>7.707662652819300H</v>
          </cell>
          <cell r="B4781" t="str">
            <v>POWER100CLEAN&amp;CLEAN DWLLEMONEO3.5KG*4BTL</v>
          </cell>
          <cell r="C4781" t="str">
            <v>NƯỚC RỬA CHÉN POWER100 CLEAN &amp; CLEAN TINH DẦU CHANH 3.5KG*4</v>
          </cell>
          <cell r="D4781" t="str">
            <v>POWER100CLEAN&amp;CLEAN DWLLEMONEO3.5KG*4BTL</v>
          </cell>
          <cell r="E4781">
            <v>14</v>
          </cell>
          <cell r="F4781" t="str">
            <v>Chọn</v>
          </cell>
          <cell r="G4781"/>
          <cell r="H4781"/>
        </row>
        <row r="4782">
          <cell r="A4782" t="str">
            <v>7.131036570901O50</v>
          </cell>
          <cell r="B4782" t="str">
            <v>ORCHID PREMIUMVEGOIL(100%OLIV58)BIB@18KG</v>
          </cell>
          <cell r="C4782" t="str">
            <v>DẦU THỰC VẬT HẢO HẠNG NHÃN HIỆU ORCHID (KÍCH CỠ ĐÓNG GÓI LỚN) 18KG</v>
          </cell>
          <cell r="D4782" t="str">
            <v>ORCHID PREMIUMVEGOIL(100%OLIV58)BIB@18KG</v>
          </cell>
          <cell r="E4782">
            <v>18</v>
          </cell>
          <cell r="F4782" t="str">
            <v>Chọn</v>
          </cell>
          <cell r="G4782"/>
          <cell r="H4782"/>
        </row>
        <row r="4783">
          <cell r="A4783" t="str">
            <v>V51.000.231</v>
          </cell>
          <cell r="B4783" t="str">
            <v>SAKE CT25 PURE</v>
          </cell>
          <cell r="C4783" t="str">
            <v>RƯỢU SAKE CT25 PURE</v>
          </cell>
          <cell r="D4783" t="str">
            <v>SAKE CT25 PURE</v>
          </cell>
          <cell r="E4783">
            <v>0.72</v>
          </cell>
          <cell r="F4783" t="str">
            <v>Chọn</v>
          </cell>
          <cell r="G4783"/>
          <cell r="H4783"/>
        </row>
        <row r="4784">
          <cell r="A4784" t="str">
            <v>7.705L2</v>
          </cell>
          <cell r="B4784" t="str">
            <v>WILSOL SPF BOOSTER PACKING IN BAG 150GR</v>
          </cell>
          <cell r="C4784" t="str">
            <v>WILSOL SPF BOOSTER ĐÓNG TRONG TÚI 150GR</v>
          </cell>
          <cell r="D4784" t="str">
            <v>WILSOL SPF BOOSTER PACKING IN BAG 150GR</v>
          </cell>
          <cell r="E4784">
            <v>1</v>
          </cell>
          <cell r="F4784" t="str">
            <v>Chọn</v>
          </cell>
          <cell r="G4784"/>
          <cell r="H4784"/>
        </row>
        <row r="4785">
          <cell r="A4785" t="str">
            <v>7.705L3</v>
          </cell>
          <cell r="B4785" t="str">
            <v>EMERSENSE AS 946N PACKING IN BAG 1KG</v>
          </cell>
          <cell r="C4785" t="str">
            <v>CHẤT HỮU CƠ HOẠT ĐỘNG BỀ MẶT DẠNG ANION EMERSENSE AS 946N ĐÓNG TRONG TÚI 1KG</v>
          </cell>
          <cell r="D4785" t="str">
            <v>EMERSENSE AS 946N PACKING IN BAG 1KG</v>
          </cell>
          <cell r="E4785">
            <v>1</v>
          </cell>
          <cell r="F4785" t="str">
            <v>Chọn</v>
          </cell>
          <cell r="G4785"/>
          <cell r="H4785"/>
        </row>
        <row r="4786">
          <cell r="A4786" t="str">
            <v>7.5221140208I1901</v>
          </cell>
          <cell r="B4786" t="str">
            <v>BLUE KEY PAU FLOUR 9-12% PPBAG@25KG</v>
          </cell>
          <cell r="C4786" t="str">
            <v>BỘT MÌ HIỆU CHÌA KHÓA XANH BÁNH BAO (TIẾNG LÀO) 25KG</v>
          </cell>
          <cell r="D4786" t="str">
            <v>BLUE KEY PAU FLOUR 9-12% PPBAG@25KG</v>
          </cell>
          <cell r="E4786">
            <v>25</v>
          </cell>
          <cell r="F4786" t="str">
            <v>Chọn</v>
          </cell>
          <cell r="G4786"/>
          <cell r="H4786"/>
        </row>
        <row r="4787">
          <cell r="A4787" t="str">
            <v>7.5221230207Q1901</v>
          </cell>
          <cell r="B4787" t="str">
            <v>GREENKEY CAKEFLOUR111 7.5-11% PPBAG@25KG</v>
          </cell>
          <cell r="C4787" t="str">
            <v>BỘT MÌ HIỆU CHÌA KHÓA XANH LÁ - 111 (TIẾNG LÀO) 25KG</v>
          </cell>
          <cell r="D4787" t="str">
            <v>GREENKEY CAKEFLOUR111 7.5-11% PPBAG@25KG</v>
          </cell>
          <cell r="E4787">
            <v>25</v>
          </cell>
          <cell r="F4787" t="str">
            <v>Chọn</v>
          </cell>
          <cell r="G4787"/>
          <cell r="H4787"/>
        </row>
        <row r="4788">
          <cell r="A4788" t="str">
            <v>7.I42021099050199</v>
          </cell>
          <cell r="B4788" t="str">
            <v>HULLED SESAME SEED 99.97 PACKING IN 25KG PP BAG</v>
          </cell>
          <cell r="C4788" t="str">
            <v>HẠT MÈ (VỪNG) TÁCH VỎ 99.97 ĐÓNG TRONG BAO 25KG</v>
          </cell>
          <cell r="D4788" t="str">
            <v>HULLED SESAME SEED 99.97 PACKING IN 25KG PP BAG</v>
          </cell>
          <cell r="E4788">
            <v>25</v>
          </cell>
          <cell r="F4788" t="str">
            <v>Chọn</v>
          </cell>
          <cell r="G4788"/>
          <cell r="H4788"/>
        </row>
        <row r="4789">
          <cell r="A4789" t="str">
            <v>7.7040800101012000</v>
          </cell>
          <cell r="B4789" t="str">
            <v>WILFARIN SN8020 IN PAPERBAG@25KG</v>
          </cell>
          <cell r="C4789" t="str">
            <v>PHÔI XÀ PHÒNG - WILFARIN SN8020; BAO GIẤY 25KG</v>
          </cell>
          <cell r="D4789" t="str">
            <v>WILFARIN SN8020 IN PAPERBAG@25KG</v>
          </cell>
          <cell r="E4789">
            <v>25</v>
          </cell>
          <cell r="F4789" t="str">
            <v>Chọn</v>
          </cell>
          <cell r="G4789"/>
          <cell r="H4789"/>
        </row>
        <row r="4790">
          <cell r="A4790" t="str">
            <v>7.7040800103012</v>
          </cell>
          <cell r="B4790" t="str">
            <v>SOAP NOODLES WILFARIN 8020 @ 25 WOVEN</v>
          </cell>
          <cell r="C4790" t="str">
            <v>PHÔI XÀ PHÒNG - WILFARIN SN8020; BAO NHỰA 25KG</v>
          </cell>
          <cell r="D4790" t="str">
            <v>SOAP NOODLES WILFARIN 8020 @ 25 WOVEN</v>
          </cell>
          <cell r="E4790">
            <v>25</v>
          </cell>
          <cell r="F4790" t="str">
            <v>Chọn</v>
          </cell>
          <cell r="G4790"/>
          <cell r="H4790"/>
        </row>
        <row r="4791">
          <cell r="A4791" t="str">
            <v>7.703004010500500</v>
          </cell>
          <cell r="B4791" t="str">
            <v>WILFARIN SA1804 IN WOVENBAG@25KG</v>
          </cell>
          <cell r="C4791" t="str">
            <v>AXIT STEARIC - WILFARIN SA1804; BAO NHỰA 25KG</v>
          </cell>
          <cell r="D4791" t="str">
            <v>WILFARIN SA1804 IN WOVENBAG@25KG</v>
          </cell>
          <cell r="E4791">
            <v>25</v>
          </cell>
          <cell r="F4791" t="str">
            <v>Chọn</v>
          </cell>
          <cell r="G4791"/>
          <cell r="H4791"/>
        </row>
        <row r="4792">
          <cell r="A4792" t="str">
            <v>7.703301010500500</v>
          </cell>
          <cell r="B4792" t="str">
            <v>WILFARIN SA1838 IN WOVENBAG@25KG</v>
          </cell>
          <cell r="C4792" t="str">
            <v>AXIT STEARIC 38% - WILFARIN SA1838; BAO NHỰA 25KG</v>
          </cell>
          <cell r="D4792" t="str">
            <v>WILFARIN SA1838 IN WOVENBAG@25KG</v>
          </cell>
          <cell r="E4792">
            <v>25</v>
          </cell>
          <cell r="F4792" t="str">
            <v>Chọn</v>
          </cell>
          <cell r="G4792"/>
          <cell r="H4792"/>
        </row>
        <row r="4793">
          <cell r="A4793" t="str">
            <v>7.723025010100000</v>
          </cell>
          <cell r="B4793" t="str">
            <v>MES MIZULAN FL-80 IN PAPER BAG @25KG</v>
          </cell>
          <cell r="C4793" t="str">
            <v>CHẤT HOẠT ĐỘNG BỀ MẶT MES (METHYL ESTER SULFONATE) DẠNG VẢY NHÃN HIỆU MIZULAN FL-80; BAO 25KG</v>
          </cell>
          <cell r="D4793" t="str">
            <v>MES MIZULAN FL-80 IN PAPER BAG @25KG</v>
          </cell>
          <cell r="E4793">
            <v>25</v>
          </cell>
          <cell r="F4793" t="str">
            <v>Chọn</v>
          </cell>
          <cell r="G4793"/>
          <cell r="H4793"/>
        </row>
        <row r="4794">
          <cell r="A4794" t="str">
            <v>7.74100814070000</v>
          </cell>
          <cell r="B4794" t="str">
            <v>SLS POWDER IN PAPER BAG @25KG</v>
          </cell>
          <cell r="C4794" t="str">
            <v>CHẤT HOẠT ĐỘNG BỀ MẶT - SODIUM LAURYL SULPHATE ĐÓNG TRONG BAO 25KG</v>
          </cell>
          <cell r="D4794" t="str">
            <v>SLS POWDER IN PAPER BAG @25KG</v>
          </cell>
          <cell r="E4794">
            <v>25</v>
          </cell>
          <cell r="F4794" t="str">
            <v>Chọn</v>
          </cell>
          <cell r="G4794"/>
          <cell r="H4794"/>
        </row>
        <row r="4795">
          <cell r="A4795" t="str">
            <v>7.703362010500000</v>
          </cell>
          <cell r="B4795" t="str">
            <v>SA1860 BEADS IN WOVEN BAG @25KG</v>
          </cell>
          <cell r="C4795" t="str">
            <v>AXIT STEARIC (WILFARIN SA1860); BAO NHỰA 25KG</v>
          </cell>
          <cell r="D4795" t="str">
            <v>SA1860 BEADS IN WOVEN BAG @25KG</v>
          </cell>
          <cell r="E4795">
            <v>25</v>
          </cell>
          <cell r="F4795" t="str">
            <v>Chọn</v>
          </cell>
          <cell r="G4795"/>
          <cell r="H4795"/>
        </row>
        <row r="4796">
          <cell r="A4796" t="str">
            <v>7.74100709030000</v>
          </cell>
          <cell r="B4796" t="str">
            <v>SLES IN HDPE DRUM @165KG</v>
          </cell>
          <cell r="C4796" t="str">
            <v>CHẤT HOẠT ĐỘNG BỀ MẶT - SODIUM LAURYL ETHER SULFATE ĐÓNG TRONG PHUY HDPE 165KG</v>
          </cell>
          <cell r="D4796" t="str">
            <v>SLES IN HDPE DRUM @165KG</v>
          </cell>
          <cell r="E4796">
            <v>165</v>
          </cell>
          <cell r="F4796" t="str">
            <v>Chọn</v>
          </cell>
          <cell r="G4796"/>
          <cell r="H4796"/>
        </row>
        <row r="4797">
          <cell r="A4797" t="str">
            <v>7.8104909119100700</v>
          </cell>
          <cell r="B4797" t="str">
            <v>GENAGEN CAB-H IN HDPE DRUM@200KG</v>
          </cell>
          <cell r="C4797" t="str">
            <v>CHẤT HOẠT ĐỘNG BỀ MẶT GENAGEN CAB-H 0200; PHUY 200KG</v>
          </cell>
          <cell r="D4797" t="str">
            <v>GENAGEN CAB-H IN HDPE DRUM@200KG</v>
          </cell>
          <cell r="E4797">
            <v>200</v>
          </cell>
          <cell r="F4797" t="str">
            <v>Chọn</v>
          </cell>
          <cell r="G4797"/>
          <cell r="H4797"/>
        </row>
        <row r="4798">
          <cell r="A4798" t="str">
            <v>7.8104909119100600</v>
          </cell>
          <cell r="B4798" t="str">
            <v>GENAGEN CAB UQS-H IN HDPE DRUM@200KG</v>
          </cell>
          <cell r="C4798" t="str">
            <v>CHẤT HOẠT ĐỘNG BỀ MẶT GENAGEN CAB UQS - H 0200; PHUY 200KG</v>
          </cell>
          <cell r="D4798" t="str">
            <v>GENAGEN CAB UQS-H IN HDPE DRUM@200KG</v>
          </cell>
          <cell r="E4798">
            <v>200</v>
          </cell>
          <cell r="F4798" t="str">
            <v>Chọn</v>
          </cell>
          <cell r="G4798"/>
          <cell r="H4798"/>
        </row>
        <row r="4799">
          <cell r="A4799" t="str">
            <v>7.74104006050000</v>
          </cell>
          <cell r="B4799" t="str">
            <v>SLES 1-MOL IN ISOTANK @20MT</v>
          </cell>
          <cell r="C4799" t="str">
            <v>SODIUM LAURYL ETHER SULPHATE 1EO ĐÓNG TRONG ISOTANK</v>
          </cell>
          <cell r="D4799" t="str">
            <v>SLES 1-MOL IN ISOTANK @20MT</v>
          </cell>
          <cell r="E4799">
            <v>1</v>
          </cell>
          <cell r="F4799" t="str">
            <v>Chọn</v>
          </cell>
          <cell r="G4799"/>
          <cell r="H4799"/>
        </row>
        <row r="4800">
          <cell r="A4800" t="str">
            <v>7.131104D11701P10</v>
          </cell>
          <cell r="B4800" t="str">
            <v>ORCHID S PR 75%ROL+25%SBO IN BTL@0.88L</v>
          </cell>
          <cell r="C4800" t="str">
            <v>DẦU THỰC VẬT HẢO HẠNG NHÃN HIỆU ORCHID 880ML</v>
          </cell>
          <cell r="D4800" t="str">
            <v>ORCHID S PR 75%ROL+25%SBO IN BTL@0.88L</v>
          </cell>
          <cell r="E4800">
            <v>0.80100000000000005</v>
          </cell>
          <cell r="F4800" t="str">
            <v>Chọn</v>
          </cell>
          <cell r="G4800"/>
          <cell r="H4800"/>
        </row>
        <row r="4801">
          <cell r="A4801" t="str">
            <v>7.131104D11705P10</v>
          </cell>
          <cell r="B4801" t="str">
            <v>ORCHID S PR 75%ROL+25%SBO 0.88L*12BTL</v>
          </cell>
          <cell r="C4801" t="str">
            <v>DẦU THỰC VẬT HẢO HẠNG NHÃN HIỆU ORCHID 880ML</v>
          </cell>
          <cell r="D4801" t="str">
            <v>ORCHID S PR 75%ROL+25%SBO 0.88L*12BTL</v>
          </cell>
          <cell r="E4801">
            <v>9.61</v>
          </cell>
          <cell r="F4801" t="str">
            <v>Chọn</v>
          </cell>
          <cell r="G4801"/>
          <cell r="H4801" t="str">
            <v>7.131104D11701P10</v>
          </cell>
        </row>
        <row r="4802">
          <cell r="A4802" t="str">
            <v>7.131103D11701P20</v>
          </cell>
          <cell r="B4802" t="str">
            <v>ORCHID PR 99.5%ROL+0.5%SBO IN BTL@0.88L</v>
          </cell>
          <cell r="C4802" t="str">
            <v>DẦU THỰC VẬT HẢO HẠNG NHÃN HIỆU ORCHID 880ML</v>
          </cell>
          <cell r="D4802" t="str">
            <v>ORCHID PR 99.5%ROL+0.5%SBO IN BTL@0.88L</v>
          </cell>
          <cell r="E4802">
            <v>0.80100000000000005</v>
          </cell>
          <cell r="F4802" t="str">
            <v>Chọn</v>
          </cell>
          <cell r="G4802"/>
          <cell r="H4802"/>
        </row>
        <row r="4803">
          <cell r="A4803" t="str">
            <v>7.131103D11705P20</v>
          </cell>
          <cell r="B4803" t="str">
            <v>ORCHID PR 99.5%ROL+0.5%SBO 0.88L*12BTL</v>
          </cell>
          <cell r="C4803" t="str">
            <v>DẦU THỰC VẬT HẢO HẠNG NHÃN HIỆU ORCHID 880ML</v>
          </cell>
          <cell r="D4803" t="str">
            <v>ORCHID PR 99.5%ROL+0.5%SBO 0.88L*12BTL</v>
          </cell>
          <cell r="E4803">
            <v>9.61</v>
          </cell>
          <cell r="F4803" t="str">
            <v>Chọn</v>
          </cell>
          <cell r="G4803"/>
          <cell r="H4803" t="str">
            <v>7.131103D11701P20</v>
          </cell>
        </row>
        <row r="4804">
          <cell r="A4804" t="str">
            <v>7.131104281701P10</v>
          </cell>
          <cell r="B4804" t="str">
            <v>ORCHID S PR 75%ROL+25%SBO IN BTL@1L</v>
          </cell>
          <cell r="C4804" t="str">
            <v>DẦU THỰC VẬT HẢO HẠNG NHÃN HIỆU ORCHID 1L</v>
          </cell>
          <cell r="D4804" t="str">
            <v>ORCHID S PR 75%ROL+25%SBO IN BTL@1L</v>
          </cell>
          <cell r="E4804">
            <v>0.91</v>
          </cell>
          <cell r="F4804" t="str">
            <v>Chọn</v>
          </cell>
          <cell r="G4804"/>
          <cell r="H4804"/>
        </row>
        <row r="4805">
          <cell r="A4805" t="str">
            <v>7.131104281705P10</v>
          </cell>
          <cell r="B4805" t="str">
            <v>ORCHID S PR 75%ROL+25%SBO 1L*12BTL</v>
          </cell>
          <cell r="C4805" t="str">
            <v>DẦU THỰC VẬT HẢO HẠNG NHÃN HIỆU ORCHID 1L</v>
          </cell>
          <cell r="D4805" t="str">
            <v>ORCHID S PR 75%ROL+25%SBO 1L*12BTL</v>
          </cell>
          <cell r="E4805">
            <v>10.92</v>
          </cell>
          <cell r="F4805" t="str">
            <v>Chọn</v>
          </cell>
          <cell r="G4805"/>
          <cell r="H4805" t="str">
            <v>7.131104281701P10</v>
          </cell>
        </row>
        <row r="4806">
          <cell r="A4806" t="str">
            <v>7.131103281701P20</v>
          </cell>
          <cell r="B4806" t="str">
            <v>ORCHID PR 99.5%ROLIV56+0.5%SBO BTL@1L</v>
          </cell>
          <cell r="C4806" t="str">
            <v>DẦU THỰC VẬT HẢO HẠNG NHÃN HIỆU ORCHID 1L</v>
          </cell>
          <cell r="D4806" t="str">
            <v>ORCHID PR 99.5%ROLIV56+0.5%SBO BTL@1L</v>
          </cell>
          <cell r="E4806">
            <v>0.91</v>
          </cell>
          <cell r="F4806" t="str">
            <v>Chọn</v>
          </cell>
          <cell r="G4806"/>
          <cell r="H4806"/>
        </row>
        <row r="4807">
          <cell r="A4807" t="str">
            <v>7.131103281705P20</v>
          </cell>
          <cell r="B4807" t="str">
            <v>ORCHID PR 99.5%ROLIV56+0.5%SBO 1L*12BTL</v>
          </cell>
          <cell r="C4807" t="str">
            <v>DẦU THỰC VẬT HẢO HẠNG NHÃN HIỆU ORCHID 1L</v>
          </cell>
          <cell r="D4807" t="str">
            <v>ORCHID PR 99.5%ROLIV56+0.5%SBO 1L*12BTL</v>
          </cell>
          <cell r="E4807">
            <v>10.92</v>
          </cell>
          <cell r="F4807" t="str">
            <v>Chọn</v>
          </cell>
          <cell r="G4807"/>
          <cell r="H4807" t="str">
            <v>7.131103281701P20</v>
          </cell>
        </row>
        <row r="4808">
          <cell r="A4808" t="str">
            <v>7.131104B11701P10</v>
          </cell>
          <cell r="B4808" t="str">
            <v>ORCHID S PR 75%ROL+25%SBO IN BTL@2L</v>
          </cell>
          <cell r="C4808" t="str">
            <v>DẦU THỰC VẬT HẢO HẠNG NHÃN HIỆU ORCHID 2L</v>
          </cell>
          <cell r="D4808" t="str">
            <v>ORCHID S PR 75%ROL+25%SBO IN BTL@2L</v>
          </cell>
          <cell r="E4808">
            <v>1.82</v>
          </cell>
          <cell r="F4808" t="str">
            <v>Chọn</v>
          </cell>
          <cell r="G4808"/>
          <cell r="H4808"/>
        </row>
        <row r="4809">
          <cell r="A4809" t="str">
            <v>7.131104B11704P10</v>
          </cell>
          <cell r="B4809" t="str">
            <v>ORCHID S PR 75%ROL+25%SBO 2L*6BTL</v>
          </cell>
          <cell r="C4809" t="str">
            <v>DẦU THỰC VẬT HẢO HẠNG NHÃN HIỆU ORCHID 2L</v>
          </cell>
          <cell r="D4809" t="str">
            <v>ORCHID S PR 75%ROL+25%SBO 2L*6BTL</v>
          </cell>
          <cell r="E4809">
            <v>10.92</v>
          </cell>
          <cell r="F4809" t="str">
            <v>Chọn</v>
          </cell>
          <cell r="G4809"/>
          <cell r="H4809" t="str">
            <v>7.131104B11701P10</v>
          </cell>
        </row>
        <row r="4810">
          <cell r="A4810" t="str">
            <v>7.131103B11701P20</v>
          </cell>
          <cell r="B4810" t="str">
            <v>ORCHID PR 99.5%ROLIV56+0.5%SBO BTL@2L</v>
          </cell>
          <cell r="C4810" t="str">
            <v>DẦU THỰC VẬT HẢO HẠNG NHÃN HIỆU ORCHID 2L</v>
          </cell>
          <cell r="D4810" t="str">
            <v>ORCHID PR 99.5%ROLIV56+0.5%SBO BTL@2L</v>
          </cell>
          <cell r="E4810">
            <v>1.82</v>
          </cell>
          <cell r="F4810" t="str">
            <v>Chọn</v>
          </cell>
          <cell r="G4810"/>
          <cell r="H4810"/>
        </row>
        <row r="4811">
          <cell r="A4811" t="str">
            <v>7.131103B11704P20</v>
          </cell>
          <cell r="B4811" t="str">
            <v>ORCHID PR 99.5%ROLIV56+0.5%SBO 2L*6BTL</v>
          </cell>
          <cell r="C4811" t="str">
            <v>DẦU THỰC VẬT HẢO HẠNG NHÃN HIỆU ORCHID 2L</v>
          </cell>
          <cell r="D4811" t="str">
            <v>ORCHID PR 99.5%ROLIV56+0.5%SBO 2L*6BTL</v>
          </cell>
          <cell r="E4811">
            <v>10.92</v>
          </cell>
          <cell r="F4811" t="str">
            <v>Chọn</v>
          </cell>
          <cell r="G4811"/>
          <cell r="H4811" t="str">
            <v>7.131103B11701P20</v>
          </cell>
        </row>
        <row r="4812">
          <cell r="A4812" t="str">
            <v>7.131104A41701P10</v>
          </cell>
          <cell r="B4812" t="str">
            <v>ORCHID S PR 75%ROL+25%SBO IN BTL@5L</v>
          </cell>
          <cell r="C4812" t="str">
            <v>DẦU THỰC VẬT HẢO HẠNG NHÃN HIỆU ORCHID 5L</v>
          </cell>
          <cell r="D4812" t="str">
            <v>ORCHID S PR 75%ROL+25%SBO IN BTL@5L</v>
          </cell>
          <cell r="E4812">
            <v>4.55</v>
          </cell>
          <cell r="F4812" t="str">
            <v>Chọn</v>
          </cell>
          <cell r="G4812"/>
          <cell r="H4812"/>
        </row>
        <row r="4813">
          <cell r="A4813" t="str">
            <v>7.131104A41703P10</v>
          </cell>
          <cell r="B4813" t="str">
            <v>ORCHID S PR 75%ROL+25%SBO 5L*4BTL</v>
          </cell>
          <cell r="C4813" t="str">
            <v>DẦU THỰC VẬT HẢO HẠNG NHÃN HIỆU ORCHID 5L</v>
          </cell>
          <cell r="D4813" t="str">
            <v>ORCHID S PR 75%ROL+25%SBO 5L*4BTL</v>
          </cell>
          <cell r="E4813">
            <v>18.2</v>
          </cell>
          <cell r="F4813" t="str">
            <v>Chọn</v>
          </cell>
          <cell r="G4813"/>
          <cell r="H4813" t="str">
            <v>7.131104A41701P10</v>
          </cell>
        </row>
        <row r="4814">
          <cell r="A4814" t="str">
            <v>7.131103A41701P20</v>
          </cell>
          <cell r="B4814" t="str">
            <v>ORCHID PR 99.5%ROLIV56+0.5%SBO BTL@5L</v>
          </cell>
          <cell r="C4814" t="str">
            <v>DẦU THỰC VẬT HẢO HẠNG NHÃN HIỆU ORCHID 5L</v>
          </cell>
          <cell r="D4814" t="str">
            <v>ORCHID PR 99.5%ROLIV56+0.5%SBO BTL@5L</v>
          </cell>
          <cell r="E4814">
            <v>4.55</v>
          </cell>
          <cell r="F4814" t="str">
            <v>Chọn</v>
          </cell>
          <cell r="G4814"/>
          <cell r="H4814"/>
        </row>
        <row r="4815">
          <cell r="A4815" t="str">
            <v>7.131103A41703P20</v>
          </cell>
          <cell r="B4815" t="str">
            <v>ORCHID PR 99.5%ROLIV56+0.5%SBO 5L*4BTL</v>
          </cell>
          <cell r="C4815" t="str">
            <v>DẦU THỰC VẬT HẢO HẠNG NHÃN HIỆU ORCHID 5L</v>
          </cell>
          <cell r="D4815" t="str">
            <v>ORCHID PR 99.5%ROLIV56+0.5%SBO 5L*4BTL</v>
          </cell>
          <cell r="E4815">
            <v>18.2</v>
          </cell>
          <cell r="F4815" t="str">
            <v>Chọn</v>
          </cell>
          <cell r="G4815"/>
          <cell r="H4815" t="str">
            <v>7.131103A41701P20</v>
          </cell>
        </row>
        <row r="4816">
          <cell r="A4816" t="str">
            <v>7.131104F01701P10</v>
          </cell>
          <cell r="B4816" t="str">
            <v>ORCHID S PR 75%ROLIV58+25%SBO BTL@4.5L</v>
          </cell>
          <cell r="C4816" t="str">
            <v>DẦU THỰC VẬT HẢO HẠNG NHÃN HIỆU ORCHID 4.5L</v>
          </cell>
          <cell r="D4816" t="str">
            <v>ORCHID S PR 75%ROLIV58+25%SBO BTL@4.5L</v>
          </cell>
          <cell r="E4816">
            <v>4.0949999999999998</v>
          </cell>
          <cell r="F4816" t="str">
            <v>Chọn</v>
          </cell>
          <cell r="G4816"/>
          <cell r="H4816"/>
        </row>
        <row r="4817">
          <cell r="A4817" t="str">
            <v>7.131104F01703P10</v>
          </cell>
          <cell r="B4817" t="str">
            <v>ORCHID S PR 75%ROLIV58+25%SBO 4.5L*4BTL</v>
          </cell>
          <cell r="C4817" t="str">
            <v>DẦU THỰC VẬT HẢO HẠNG NHÃN HIỆU ORCHID 4.5L</v>
          </cell>
          <cell r="D4817" t="str">
            <v>ORCHID S PR 75%ROLIV58+25%SBO 4.5L*4BTL</v>
          </cell>
          <cell r="E4817">
            <v>16.38</v>
          </cell>
          <cell r="F4817" t="str">
            <v>Chọn</v>
          </cell>
          <cell r="G4817"/>
          <cell r="H4817" t="str">
            <v>7.131104F01701P10</v>
          </cell>
        </row>
        <row r="4818">
          <cell r="A4818" t="str">
            <v>7.131103F01701P20</v>
          </cell>
          <cell r="B4818" t="str">
            <v>ORCHID PR 99.5%ROL+0.5%SBO IN BTL@4.5L</v>
          </cell>
          <cell r="C4818" t="str">
            <v>DẦU THỰC VẬT HẢO HẠNG NHÃN HIỆU ORCHID 4.5L</v>
          </cell>
          <cell r="D4818" t="str">
            <v>ORCHID PR 99.5%ROL+0.5%SBO IN BTL@4.5L</v>
          </cell>
          <cell r="E4818">
            <v>4.0949999999999998</v>
          </cell>
          <cell r="F4818" t="str">
            <v>Chọn</v>
          </cell>
          <cell r="G4818"/>
          <cell r="H4818"/>
        </row>
        <row r="4819">
          <cell r="A4819" t="str">
            <v>7.131103F01703P20</v>
          </cell>
          <cell r="B4819" t="str">
            <v>ORCHID PR 99.5%ROLIV56+0.5%SBO 4.5L*4BTL</v>
          </cell>
          <cell r="C4819" t="str">
            <v>DẦU THỰC VẬT HẢO HẠNG NHÃN HIỆU ORCHID 4.5L</v>
          </cell>
          <cell r="D4819" t="str">
            <v>ORCHID PR 99.5%ROLIV56+0.5%SBO 4.5L*4BTL</v>
          </cell>
          <cell r="E4819">
            <v>16.38</v>
          </cell>
          <cell r="F4819" t="str">
            <v>Chọn</v>
          </cell>
          <cell r="G4819"/>
          <cell r="H4819" t="str">
            <v>7.131103F01701P20</v>
          </cell>
        </row>
        <row r="4820">
          <cell r="A4820" t="str">
            <v>7.131103E41701P20</v>
          </cell>
          <cell r="B4820" t="str">
            <v>ORCHID PR 99.5%ROLIV56+0.5%SBO BTL@9KG</v>
          </cell>
          <cell r="C4820" t="str">
            <v>DẦU THỰC VẬT HẢO HẠNG NHÃN HIỆU ORCHID 9KG</v>
          </cell>
          <cell r="D4820" t="str">
            <v>ORCHID PR 99.5%ROLIV56+0.5%SBO BTL@9KG</v>
          </cell>
          <cell r="E4820">
            <v>9</v>
          </cell>
          <cell r="F4820" t="str">
            <v>Chọn</v>
          </cell>
          <cell r="G4820"/>
          <cell r="H4820"/>
        </row>
        <row r="4821">
          <cell r="A4821" t="str">
            <v>7.131103E41702P20</v>
          </cell>
          <cell r="B4821" t="str">
            <v>ORCHID PR 99.5%ROLIV56+0.5%SBO 9KG*2BTL</v>
          </cell>
          <cell r="C4821" t="str">
            <v>DẦU THỰC VẬT HẢO HẠNG NHÃN HIỆU ORCHID 9KG</v>
          </cell>
          <cell r="D4821" t="str">
            <v>ORCHID PR 99.5%ROLIV56+0.5%SBO 9KG*2BTL</v>
          </cell>
          <cell r="E4821">
            <v>18</v>
          </cell>
          <cell r="F4821" t="str">
            <v>Chọn</v>
          </cell>
          <cell r="G4821"/>
          <cell r="H4821" t="str">
            <v>7.131103E41701P20</v>
          </cell>
        </row>
        <row r="4822">
          <cell r="A4822" t="str">
            <v>7.101306591201A60</v>
          </cell>
          <cell r="B4822" t="str">
            <v>ORCHID PR ROL IV 56 IN JERRYCAN@25KG</v>
          </cell>
          <cell r="C4822" t="str">
            <v>DẦU THỰC VẬT HẢO HẠNG NHÃN HIỆU ORCHID (KÍCH CỠ ĐÓNG GÓI LỚN) ÐÓNG CAN 25KG</v>
          </cell>
          <cell r="D4822" t="str">
            <v>ORCHID PR ROL IV 56 IN JERRYCAN@25KG</v>
          </cell>
          <cell r="E4822">
            <v>25</v>
          </cell>
          <cell r="F4822" t="str">
            <v>Chọn</v>
          </cell>
          <cell r="G4822"/>
          <cell r="H4822"/>
        </row>
        <row r="4823">
          <cell r="A4823" t="str">
            <v>7.101307591201C20</v>
          </cell>
          <cell r="B4823" t="str">
            <v>ORCHID S PR ROL IV58 IN JERRYCAN@25KG</v>
          </cell>
          <cell r="C4823" t="str">
            <v>DẦU THỰC VẬT HẢO HẠNG NHÃN HIỆU ORCHID (KÍCH CỠ ĐÓNG GÓI LỚN) ÐÓNG CAN 25KG</v>
          </cell>
          <cell r="D4823" t="str">
            <v>ORCHID S PR ROL IV58 IN JERRYCAN@25KG</v>
          </cell>
          <cell r="E4823">
            <v>25</v>
          </cell>
          <cell r="F4823" t="str">
            <v>Chọn</v>
          </cell>
          <cell r="G4823"/>
          <cell r="H4823"/>
        </row>
        <row r="4824">
          <cell r="A4824" t="str">
            <v>N09.0007012.00081</v>
          </cell>
          <cell r="B4824" t="str">
            <v>MINI BOX, PRODUCT BRAND:NEPTUNE, SIZE:8 X 8 X 30.5 CM, MATERIAL:PAPER (DUPLEX BOARD), PRODUCT PACKED:RICE WINE 720 ML</v>
          </cell>
          <cell r="C4824" t="str">
            <v>HỘP ĐỰNG CHAI RƯỢU SAKE CT25 PURE</v>
          </cell>
          <cell r="D4824" t="str">
            <v>MINI BOX,NEPTUNE,8 X 8 X 30.5 CM,PAPER (</v>
          </cell>
          <cell r="E4824">
            <v>0</v>
          </cell>
          <cell r="F4824" t="str">
            <v>Chọn</v>
          </cell>
          <cell r="G4824"/>
          <cell r="H4824"/>
        </row>
        <row r="4825">
          <cell r="A4825" t="str">
            <v>N13.0001004.00022</v>
          </cell>
          <cell r="B4825" t="str">
            <v>READY DRINK BEVERAGE, TYPE:RICE WINE, VARIANT:SAKE, PACK SIZE:720 ML, ADDITIONAL DETAILS:15 VOL</v>
          </cell>
          <cell r="C4825" t="str">
            <v>RƯỢU SAKE CT25 PURE</v>
          </cell>
          <cell r="D4825" t="str">
            <v>READY DRINK BEVERAGE,RICE WINE</v>
          </cell>
          <cell r="E4825">
            <v>0</v>
          </cell>
          <cell r="F4825" t="str">
            <v>Chọn</v>
          </cell>
          <cell r="G4825"/>
          <cell r="H4825"/>
        </row>
        <row r="4826">
          <cell r="A4826" t="str">
            <v>7.705L4</v>
          </cell>
          <cell r="B4826" t="str">
            <v>SODIUM LAUROYL SARCOSINATE IN BOTTLE 5KG</v>
          </cell>
          <cell r="C4826" t="str">
            <v>SODIUM LAUROYL SARCOSINATE-CHẤT HỮU CƠ HOẠT ĐỘNG BỀ MẶT DẠNG ANION ĐÓNG TRONG CHAI 5KG</v>
          </cell>
          <cell r="D4826" t="str">
            <v>SODIUM LAUROYL SARCOSINATE IN BOTTLE 5KG</v>
          </cell>
          <cell r="E4826">
            <v>1</v>
          </cell>
          <cell r="F4826" t="str">
            <v>Chọn</v>
          </cell>
          <cell r="G4826"/>
          <cell r="H4826"/>
        </row>
        <row r="4827">
          <cell r="A4827" t="str">
            <v>7.B24022399730166TD</v>
          </cell>
          <cell r="B4827" t="str">
            <v>NAM DUONG MEDIUM SPICY CHILI SAUCE 255G X 24 BOTTLES/CARTON</v>
          </cell>
          <cell r="C4827" t="str">
            <v>TƯƠNG ỚT NAM DƯƠNG CAY VỪA 255G X 24 CHAI/THÙNG</v>
          </cell>
          <cell r="D4827" t="str">
            <v xml:space="preserve">NAM DUONG MEDIUM SPICY CHILI SAUCE 255G X 24 BOTTLES/CARTON_x000D_
</v>
          </cell>
          <cell r="E4827">
            <v>6.12</v>
          </cell>
          <cell r="F4827" t="str">
            <v>Bỏ chọn</v>
          </cell>
          <cell r="G4827"/>
          <cell r="H4827"/>
        </row>
        <row r="4828">
          <cell r="A4828" t="str">
            <v>7.131087036062H10TD</v>
          </cell>
          <cell r="B4828" t="str">
            <v>NEPTUNE LIGHT PREMIUM COOKING OIL 1L X 2 BOTTLES X 6 BOXES</v>
          </cell>
          <cell r="C4828" t="str">
            <v>DẦU ĂN THƯỢNG HẠNG NHÃN HIỆU NEPTUNE LIGHT 1L X 2 CHAI X 6 HỘP</v>
          </cell>
          <cell r="D4828" t="str">
            <v>NEPTUNE LIGHT PREMIUM COOKING OIL 1L X 2 BOTTLES X 6 BOXES</v>
          </cell>
          <cell r="E4828">
            <v>10.92</v>
          </cell>
          <cell r="F4828" t="str">
            <v>Chọn</v>
          </cell>
          <cell r="G4828"/>
          <cell r="H4828"/>
        </row>
        <row r="4829">
          <cell r="A4829" t="str">
            <v>7.131010121706O30TD</v>
          </cell>
          <cell r="B4829" t="str">
            <v>CAILANS[70%OL IV58+30%NBDSBO]400ML*24BTL</v>
          </cell>
          <cell r="C4829" t="str">
            <v>DẦU THỰC VẬT HẢO HẠNG NHÃN HIỆU CÁI LÂN 400ML X 24 CHAI/THÙNG</v>
          </cell>
          <cell r="D4829" t="str">
            <v xml:space="preserve">CAILANS[70%OL IV58+30%NBDSBO]400ML*24BTL_x000D_
</v>
          </cell>
          <cell r="E4829">
            <v>7.1310000000000002</v>
          </cell>
          <cell r="F4829" t="str">
            <v>Chọn</v>
          </cell>
          <cell r="G4829"/>
          <cell r="H4829"/>
        </row>
        <row r="4830">
          <cell r="A4830" t="str">
            <v>7.B25085499940105TD</v>
          </cell>
          <cell r="B4830" t="str">
            <v>PORK BOUILLON GRANULE 380G X 20 PAC/CAR</v>
          </cell>
          <cell r="C4830" t="str">
            <v>HẠT NÊM 4 TRONG 1 VỊ HEO 380G X 20 GÓI/THÙNG</v>
          </cell>
          <cell r="D4830" t="str">
            <v xml:space="preserve">PORK BOUILLON GRANULE 380G X 20 PAC/CAR_x000D_
</v>
          </cell>
          <cell r="E4830">
            <v>7.6</v>
          </cell>
          <cell r="F4830" t="str">
            <v>Bỏ chọn</v>
          </cell>
          <cell r="G4830"/>
          <cell r="H4830"/>
        </row>
        <row r="4831">
          <cell r="A4831" t="str">
            <v>7.131010120106H80TD</v>
          </cell>
          <cell r="B4831" t="str">
            <v>CAI LAN S 0.4L X 24BTL</v>
          </cell>
          <cell r="C4831" t="str">
            <v>DẦU THỰC VẬT TINH LUYỆN NHÃN HIỆU CÁI LÂN 400ML X 24 CHAI/THÙNG</v>
          </cell>
          <cell r="D4831" t="str">
            <v>CAI LAN S 0.4L X 24BTL</v>
          </cell>
          <cell r="E4831">
            <v>8.7360000000000007</v>
          </cell>
          <cell r="F4831" t="str">
            <v>Chọn</v>
          </cell>
          <cell r="G4831"/>
          <cell r="H4831"/>
        </row>
        <row r="4832">
          <cell r="A4832" t="str">
            <v>V51.000.232</v>
          </cell>
          <cell r="B4832" t="str">
            <v>EMART GIFTCARD VND100.000</v>
          </cell>
          <cell r="C4832" t="str">
            <v>THẺ MUA HÀNG TẠI EMART TRỊ GIÁ 100.000 VNĐ</v>
          </cell>
          <cell r="D4832" t="str">
            <v>EMART GIFTCARD VND100.000</v>
          </cell>
          <cell r="E4832">
            <v>0</v>
          </cell>
          <cell r="F4832" t="str">
            <v>Chọn</v>
          </cell>
          <cell r="G4832"/>
          <cell r="H4832"/>
        </row>
        <row r="4833">
          <cell r="A4833" t="str">
            <v>7.707662N328170000TD</v>
          </cell>
          <cell r="B4833" t="str">
            <v>POWER100 DWLLEMON ESSENTIALOIL BTL@1.4KG</v>
          </cell>
          <cell r="C4833" t="str">
            <v>NƯỚC RỬA CHÉN POWER100 TINH DẦU CHANH 1.4KG</v>
          </cell>
          <cell r="D4833" t="str">
            <v>POWER100 DWLLEMON ESSENTIALOIL BTL@1.4KG</v>
          </cell>
          <cell r="E4833">
            <v>1.4</v>
          </cell>
          <cell r="F4833" t="str">
            <v>Chọn</v>
          </cell>
          <cell r="G4833"/>
          <cell r="H4833"/>
        </row>
        <row r="4834">
          <cell r="A4834" t="str">
            <v>7.704228P537170000TD</v>
          </cell>
          <cell r="B4834" t="str">
            <v>POWER100 LD CHARMINGFRENCH PERFUME@3.2KG</v>
          </cell>
          <cell r="C4834" t="str">
            <v>NƯỚC GIẶT XẢ POWER100 HƯƠNG NƯỚC HOA PHÁP QUYẾN RŨ 3.2KG</v>
          </cell>
          <cell r="D4834" t="str">
            <v>POWER100 LD CHARMINGFRENCH PERFUME@3.2KG</v>
          </cell>
          <cell r="E4834">
            <v>3.2</v>
          </cell>
          <cell r="F4834" t="str">
            <v>Chọn</v>
          </cell>
          <cell r="G4834"/>
          <cell r="H4834"/>
        </row>
        <row r="4835">
          <cell r="A4835" t="str">
            <v>7.701102021500000</v>
          </cell>
          <cell r="B4835" t="str">
            <v>OLEIC ACID OA-7075 IN STEEL DRUM @180KG</v>
          </cell>
          <cell r="C4835" t="str">
            <v>AXIT OLEIC 7075; PHUY SẮT 180KG</v>
          </cell>
          <cell r="D4835" t="str">
            <v>OLEIC ACID OA-7075 IN STEEL DRUM @180KG</v>
          </cell>
          <cell r="E4835">
            <v>180</v>
          </cell>
          <cell r="F4835" t="str">
            <v>Chọn</v>
          </cell>
          <cell r="G4835"/>
          <cell r="H4835"/>
        </row>
        <row r="4836">
          <cell r="A4836" t="str">
            <v>7.701930021400000</v>
          </cell>
          <cell r="B4836" t="str">
            <v>MIXED CHAIN FATTY ACIN IN PEDRUM@180KG</v>
          </cell>
          <cell r="C4836" t="str">
            <v>MEDIUM CHAIN FATTY ACID (MCFA); PHUY 180KG</v>
          </cell>
          <cell r="D4836" t="str">
            <v>MIXED CHAIN FATTY ACIN IN PEDRUM@180KG</v>
          </cell>
          <cell r="E4836">
            <v>180</v>
          </cell>
          <cell r="F4836" t="str">
            <v>Chọn</v>
          </cell>
          <cell r="G4836"/>
          <cell r="H4836"/>
        </row>
        <row r="4837">
          <cell r="A4837" t="str">
            <v>7.706008010100000</v>
          </cell>
          <cell r="B4837" t="str">
            <v>GMS-60 IN PAPERBAG@25KG</v>
          </cell>
          <cell r="C4837" t="str">
            <v>CHẤT NHŨ HÓA GLYCEROL MONOSTEARATE (GMS 60%) ĐÓNG TRONG BAO 25KG</v>
          </cell>
          <cell r="D4837" t="str">
            <v>GMS-60 IN PAPERBAG@25KG</v>
          </cell>
          <cell r="E4837">
            <v>25</v>
          </cell>
          <cell r="F4837" t="str">
            <v>Chọn</v>
          </cell>
          <cell r="G4837"/>
          <cell r="H4837"/>
        </row>
        <row r="4838">
          <cell r="A4838" t="str">
            <v>7.722301021500000</v>
          </cell>
          <cell r="B4838" t="str">
            <v>IPM98 IN STEELDRUM@180KG</v>
          </cell>
          <cell r="C4838" t="str">
            <v>ISOPROPYL MYRISTATE (IPM); PHUY 180KG</v>
          </cell>
          <cell r="D4838" t="str">
            <v>IPM98 IN STEELDRUM@180KG</v>
          </cell>
          <cell r="E4838">
            <v>180</v>
          </cell>
          <cell r="F4838" t="str">
            <v>Chọn</v>
          </cell>
          <cell r="G4838"/>
          <cell r="H4838"/>
        </row>
        <row r="4839">
          <cell r="A4839" t="str">
            <v>7.722601021500000</v>
          </cell>
          <cell r="B4839" t="str">
            <v>IPP 95 IN STEELDRUM@180KG</v>
          </cell>
          <cell r="C4839" t="str">
            <v>ISOPROPYL PALMITATE (IPP) ĐÓNG TRONG PHUY 180KG</v>
          </cell>
          <cell r="D4839" t="str">
            <v>IPP 95 IN STEELDRUM@180KG</v>
          </cell>
          <cell r="E4839">
            <v>180</v>
          </cell>
          <cell r="F4839" t="str">
            <v>Chọn</v>
          </cell>
          <cell r="G4839"/>
          <cell r="H4839"/>
        </row>
        <row r="4840">
          <cell r="A4840" t="str">
            <v>7.723004010104800</v>
          </cell>
          <cell r="B4840" t="str">
            <v>WILFAMES C16 FR IN PAPER BAG@25KG</v>
          </cell>
          <cell r="C4840" t="str">
            <v>CHẤT HOẠT ĐỘNG BỀ MẶT METHYL ESTER SULPHONATE DẠNG VẢY (WILFAMES C16 ; FR); BAO 25KG</v>
          </cell>
          <cell r="D4840" t="str">
            <v>WILFAMES C16 FR IN PAPER BAG@25KG</v>
          </cell>
          <cell r="E4840">
            <v>25</v>
          </cell>
          <cell r="F4840" t="str">
            <v>Chọn</v>
          </cell>
          <cell r="G4840"/>
          <cell r="H4840"/>
        </row>
        <row r="4841">
          <cell r="A4841" t="str">
            <v>7.74132917030000</v>
          </cell>
          <cell r="B4841" t="str">
            <v>FAL1214 ETHOXYLATED 9-MOL HDPEDRUM@200KG</v>
          </cell>
          <cell r="C4841" t="str">
            <v>CHẤT HOẠT ĐỘNG BỀ MẶT AEO-9 MOL ĐÓNG TRONG PHUY 200KG</v>
          </cell>
          <cell r="D4841" t="str">
            <v>FAL1214 ETHOXYLATED 9-MOL HDPEDRUM@200KG</v>
          </cell>
          <cell r="E4841">
            <v>200</v>
          </cell>
          <cell r="F4841" t="str">
            <v>Chọn</v>
          </cell>
          <cell r="G4841"/>
          <cell r="H4841"/>
        </row>
        <row r="4842">
          <cell r="A4842" t="str">
            <v>7.8100001491003403</v>
          </cell>
          <cell r="B4842" t="str">
            <v>DIS GLYCERIN MONO DMGCF01 CHN PPRBG@25KG</v>
          </cell>
          <cell r="C4842" t="str">
            <v>PHỤ GIA THỰC PHẨM : MONOGLYCERID CHƯNG CẤT (DMG-CF01); BAO 25KG</v>
          </cell>
          <cell r="D4842" t="str">
            <v>DIS GLYCERIN MONO DMGCF01 CHN PPRBG@25KG</v>
          </cell>
          <cell r="E4842">
            <v>25</v>
          </cell>
          <cell r="F4842" t="str">
            <v>Chọn</v>
          </cell>
          <cell r="G4842"/>
          <cell r="H4842"/>
        </row>
        <row r="4843">
          <cell r="A4843" t="str">
            <v>7.8100020950500101</v>
          </cell>
          <cell r="B4843" t="str">
            <v>BIODA-80 IN STEEL DRUM @190KG</v>
          </cell>
          <cell r="C4843" t="str">
            <v>AXIT DIMER BIODA-80 ĐÓNG TRONG PHUY 190KG</v>
          </cell>
          <cell r="D4843" t="str">
            <v>BIODA-80 IN STEEL DRUM @190KG</v>
          </cell>
          <cell r="E4843">
            <v>190</v>
          </cell>
          <cell r="F4843" t="str">
            <v>Chọn</v>
          </cell>
          <cell r="G4843"/>
          <cell r="H4843"/>
        </row>
        <row r="4844">
          <cell r="A4844" t="str">
            <v>7.522112052031901</v>
          </cell>
          <cell r="B4844" t="str">
            <v>MEIZAN MULTIPURPOSEFL W/FE&amp;ZN PPBAG@10KG</v>
          </cell>
          <cell r="C4844" t="str">
            <v>BỘT MÌ ĐA DỤNG CAO CẤP HIỆU MEIZAN 10KG</v>
          </cell>
          <cell r="D4844" t="str">
            <v>MEIZAN MULTIPURPOSEFL W/FE&amp;ZN PPBAG@10KG</v>
          </cell>
          <cell r="E4844">
            <v>10</v>
          </cell>
          <cell r="F4844" t="str">
            <v>Chọn</v>
          </cell>
          <cell r="G4844"/>
          <cell r="H4844"/>
        </row>
        <row r="4845">
          <cell r="A4845" t="str">
            <v>N04.0019026.00274</v>
          </cell>
          <cell r="B4845" t="str">
            <v>UNIFORM, TYPE:POLO SHIRT, MODEL:SHORT SLEEVE, COLOR:WHITE, MATERIAL:100% POLY ELASTIC FABRIC, MARKING:POWER100-LAOS, ADDITIONAL DETAILS:4-WAY CROCODILE</v>
          </cell>
          <cell r="C4845" t="str">
            <v>ÁO THUN POWER100 TRẮNG (LÀO)</v>
          </cell>
          <cell r="D4845" t="str">
            <v>UNIFORM,POLO SHIRT,SHORT SLEEVE,POWER100</v>
          </cell>
          <cell r="E4845">
            <v>0</v>
          </cell>
          <cell r="F4845" t="str">
            <v>Chọn</v>
          </cell>
          <cell r="G4845"/>
          <cell r="H4845"/>
        </row>
        <row r="4846">
          <cell r="A4846" t="str">
            <v>N04.0019026.00275</v>
          </cell>
          <cell r="B4846" t="str">
            <v>UNIFORM, TYPE:POLO SHIRT, MODEL:SHORT SLEEVE, COLOR:BLUE, MATERIAL:100% POLY ELASTIC FABRIC, MARKING:POWER100-LAOS, ADDITIONAL DETAILS:4-WAY CROCODILE</v>
          </cell>
          <cell r="C4846" t="str">
            <v>ÁO THUN POWER100 XANH (LÀO)</v>
          </cell>
          <cell r="D4846" t="str">
            <v>UNIFORM,POLO SHIRT,SHORT SLEEVE,POWER100</v>
          </cell>
          <cell r="E4846">
            <v>0</v>
          </cell>
          <cell r="F4846" t="str">
            <v>Chọn</v>
          </cell>
          <cell r="G4846"/>
          <cell r="H4846"/>
        </row>
        <row r="4847">
          <cell r="A4847" t="str">
            <v>7.706042021500000</v>
          </cell>
          <cell r="B4847" t="str">
            <v>GMO-40 IN STEEL DRUM@180KG</v>
          </cell>
          <cell r="C4847" t="str">
            <v>GLYCEROL MONOOLEATE (GMO) ĐÓNG TRONG PHUY 180KG</v>
          </cell>
          <cell r="D4847" t="str">
            <v>GMO-40 IN STEEL DRUM@180KG</v>
          </cell>
          <cell r="E4847">
            <v>180</v>
          </cell>
          <cell r="F4847" t="str">
            <v>Chọn</v>
          </cell>
          <cell r="G4847"/>
          <cell r="H4847"/>
        </row>
        <row r="4848">
          <cell r="A4848" t="str">
            <v>V83.000.001</v>
          </cell>
          <cell r="B4848" t="str">
            <v>PURE SAKE BOX</v>
          </cell>
          <cell r="C4848" t="str">
            <v>HỘP ĐỰNG RƯỢU SAKE PURE</v>
          </cell>
          <cell r="D4848" t="str">
            <v>PURE SAKE BOX</v>
          </cell>
          <cell r="E4848">
            <v>0</v>
          </cell>
          <cell r="F4848" t="str">
            <v>Chọn</v>
          </cell>
          <cell r="G4848"/>
          <cell r="H4848"/>
        </row>
        <row r="4849">
          <cell r="A4849" t="str">
            <v>7.585D130830080100</v>
          </cell>
          <cell r="B4849" t="str">
            <v>MEIZAN RICE PAPER ROLL PLASTICBAG@120G</v>
          </cell>
          <cell r="C4849" t="str">
            <v>BÁNH TRÁNG MEIZAN 120G</v>
          </cell>
          <cell r="D4849" t="str">
            <v>MEIZAN RICE PAPER ROLL PLASTICBAG@120G</v>
          </cell>
          <cell r="E4849">
            <v>0.12</v>
          </cell>
          <cell r="F4849" t="str">
            <v>Chọn</v>
          </cell>
          <cell r="G4849" t="str">
            <v>2000000007</v>
          </cell>
          <cell r="H4849"/>
        </row>
        <row r="4850">
          <cell r="A4850" t="str">
            <v>7.585D130830080110</v>
          </cell>
          <cell r="B4850" t="str">
            <v>MEIZAN RICE PAPER ROLL 120G X 40BAG</v>
          </cell>
          <cell r="C4850" t="str">
            <v>BÁNH TRÁNG MEIZAN 120G</v>
          </cell>
          <cell r="D4850" t="str">
            <v>MEIZAN RICE PAPER ROLL 120G X 40BAG</v>
          </cell>
          <cell r="E4850">
            <v>4.8</v>
          </cell>
          <cell r="F4850" t="str">
            <v>Chọn</v>
          </cell>
          <cell r="G4850" t="str">
            <v>2000000007</v>
          </cell>
          <cell r="H4850" t="str">
            <v>7.585D130830080100</v>
          </cell>
        </row>
        <row r="4851">
          <cell r="A4851" t="str">
            <v>7.111012A301208010</v>
          </cell>
          <cell r="B4851" t="str">
            <v>MEIZAN TRHPKL WILFIL 340 IN PEBAG@21KG</v>
          </cell>
          <cell r="C4851" t="str">
            <v>CHẾ PHẨM CHẤT BÉO LÀM BÁNH KẸO WILFIL 340 HIỆU MEIZAN 21KG</v>
          </cell>
          <cell r="D4851" t="str">
            <v>MEIZAN TRHPKL WILFIL 340 IN PEBAG@21KG</v>
          </cell>
          <cell r="E4851">
            <v>21</v>
          </cell>
          <cell r="F4851" t="str">
            <v>Chọn</v>
          </cell>
          <cell r="G4851"/>
          <cell r="H4851"/>
        </row>
        <row r="4852">
          <cell r="A4852" t="str">
            <v>7.706102031501200</v>
          </cell>
          <cell r="B4852" t="str">
            <v>WILFARIN REFGLYCERINE99.7 STEELDRM@250KG</v>
          </cell>
          <cell r="C4852" t="str">
            <v>PHỤ GIA THỰC PHẨM GLYXERIN TINH KHIẾT 99,7% - WILFARIN, ĐÓNG TRONG PHUY SẮT 250KG</v>
          </cell>
          <cell r="D4852" t="str">
            <v>WILFARIN REFGLYCERINE99.7 STEELDRM@250KG</v>
          </cell>
          <cell r="E4852">
            <v>250</v>
          </cell>
          <cell r="F4852" t="str">
            <v>Chọn</v>
          </cell>
          <cell r="G4852"/>
          <cell r="H4852"/>
        </row>
        <row r="4853">
          <cell r="A4853" t="str">
            <v>7.1120000200608010</v>
          </cell>
          <cell r="B4853" t="str">
            <v>TRHPKS CBS ULTRACHOCO 33.5-35.5 PBG@20KG</v>
          </cell>
          <cell r="C4853" t="str">
            <v>DẦU STEARIN NHÂN CỌ HYDRO HÓA, TINH LUYỆN - ULTRA CHOCO 20KG</v>
          </cell>
          <cell r="D4853" t="str">
            <v>TRHPKS CBS ULTRACHOCO 33.5-35.5 PBG@20KG</v>
          </cell>
          <cell r="E4853">
            <v>20</v>
          </cell>
          <cell r="F4853" t="str">
            <v>Chọn</v>
          </cell>
          <cell r="G4853"/>
          <cell r="H4853"/>
        </row>
        <row r="4854">
          <cell r="A4854" t="str">
            <v>7.705L5</v>
          </cell>
          <cell r="B4854" t="str">
            <v>REFINED HYDROGENATED SHEA OLEIN (WILMAX 5110) PACK IN BAG 9KG</v>
          </cell>
          <cell r="C4854" t="str">
            <v>DẦU OLEIN HẠT MỠ ĐÃ HYRDO HÓA WILMAX 5110 ĐÓNG TRONG TÚI 9KG</v>
          </cell>
          <cell r="D4854" t="str">
            <v>REFINED HYDROGENATED SHEA OLEIN (WILMAX 5110) PACK IN BAG 9KG</v>
          </cell>
          <cell r="E4854">
            <v>1</v>
          </cell>
          <cell r="F4854" t="str">
            <v>Chọn</v>
          </cell>
          <cell r="G4854"/>
          <cell r="H4854"/>
        </row>
        <row r="4855">
          <cell r="A4855" t="str">
            <v>7.705L6</v>
          </cell>
          <cell r="B4855" t="str">
            <v>SHORTENING (SHORTENING JSS51-01JK) PACK IN BAG 9KG</v>
          </cell>
          <cell r="C4855" t="str">
            <v>SHORTENING (SHORTENING JSS51-01JK) ĐÓNG TRONG TÚI 9KG</v>
          </cell>
          <cell r="D4855" t="str">
            <v>SHORTENING (SHORTENING JSS51-01JK) PACK IN BAG 9KG</v>
          </cell>
          <cell r="E4855">
            <v>1</v>
          </cell>
          <cell r="F4855" t="str">
            <v>Chọn</v>
          </cell>
          <cell r="G4855"/>
          <cell r="H4855"/>
        </row>
        <row r="4856">
          <cell r="A4856" t="str">
            <v>7.707662652817000HTD</v>
          </cell>
          <cell r="B4856" t="str">
            <v>POWER100 DWLLEMON ESSENTIALOIL3.5KG*4BTL</v>
          </cell>
          <cell r="C4856" t="str">
            <v>NƯỚC RỬA CHÉN POWER100 TINH DẦU CHANH 3.5KG*4</v>
          </cell>
          <cell r="D4856" t="str">
            <v>POWER100 DWLLEMON ESSENTIALOIL3.5KG*4BTL</v>
          </cell>
          <cell r="E4856">
            <v>14</v>
          </cell>
          <cell r="F4856" t="str">
            <v>Chọn</v>
          </cell>
          <cell r="G4856"/>
          <cell r="H4856"/>
        </row>
        <row r="4857">
          <cell r="A4857" t="str">
            <v>7.522112292032712TD</v>
          </cell>
          <cell r="B4857" t="str">
            <v>MEIZAN MULTIFL 9.5-12%W/FE&amp;ZN 500G*20BAG</v>
          </cell>
          <cell r="C4857" t="str">
            <v>BỘT MÌ ĐA DỤNG CAO CẤP HIỆU MEIZAN (0.5KG*20 GÓI/THÙNG)</v>
          </cell>
          <cell r="D4857" t="str">
            <v>MEIZAN MULTIFL 9.5-12%W/FE&amp;ZN 500G*20BAG</v>
          </cell>
          <cell r="E4857">
            <v>10</v>
          </cell>
          <cell r="F4857" t="str">
            <v>Chọn</v>
          </cell>
          <cell r="G4857"/>
          <cell r="H4857"/>
        </row>
        <row r="4858">
          <cell r="A4858" t="str">
            <v>7.B24022399B87203</v>
          </cell>
          <cell r="B4858" t="str">
            <v>HOT CHILI SAUCE 255G X 24 BOTS/CARTON (LNS)</v>
          </cell>
          <cell r="C4858" t="str">
            <v>TƯƠNG ỚT ĐẶC BIỆT CAY 255G X 24 CHAI/THÙNG</v>
          </cell>
          <cell r="D4858" t="str">
            <v>HOT CHILI SAUCE 255G X 24 BOTS/CARTON (LNS)</v>
          </cell>
          <cell r="E4858">
            <v>6.12</v>
          </cell>
          <cell r="F4858" t="str">
            <v>Bỏ chọn</v>
          </cell>
          <cell r="G4858"/>
          <cell r="H4858"/>
        </row>
        <row r="4859">
          <cell r="A4859" t="str">
            <v>7.705L7</v>
          </cell>
          <cell r="B4859" t="str">
            <v>WILSILK ULTRA PACK IN BOTTLE 0.09KG</v>
          </cell>
          <cell r="C4859" t="str">
            <v>WILSILK ULTRA ĐÓNG TRONG CHAI 0.09KG</v>
          </cell>
          <cell r="D4859" t="str">
            <v>WILSILK ULTRA PACK IN BOTTLE 0.09KG</v>
          </cell>
          <cell r="E4859">
            <v>1</v>
          </cell>
          <cell r="F4859" t="str">
            <v>Chọn</v>
          </cell>
          <cell r="G4859"/>
          <cell r="H4859"/>
        </row>
        <row r="4860">
          <cell r="A4860" t="str">
            <v>7.705L8</v>
          </cell>
          <cell r="B4860" t="str">
            <v>WILSILK SMOOTH PACK IN BOTTLE 0.09KG</v>
          </cell>
          <cell r="C4860" t="str">
            <v>WILSILK SMOOTH ĐÓNG TRONG CHAI 0.09KG</v>
          </cell>
          <cell r="D4860" t="str">
            <v>WILSILK SMOOTH PACK IN BOTTLE 0.09KG</v>
          </cell>
          <cell r="E4860">
            <v>1</v>
          </cell>
          <cell r="F4860" t="str">
            <v>Chọn</v>
          </cell>
          <cell r="G4860"/>
          <cell r="H4860"/>
        </row>
        <row r="4861">
          <cell r="A4861" t="str">
            <v>7.7042070713000000</v>
          </cell>
          <cell r="B4861" t="str">
            <v>MIXED SOAP POWDER JUMBO BAG@750KG</v>
          </cell>
          <cell r="C4861" t="str">
            <v>PHÔI XÀ PHÒNG DẠNG BỘT; BAO 750KG</v>
          </cell>
          <cell r="D4861" t="str">
            <v>MIXED SOAP POWDER JUMBO BAG@750KG</v>
          </cell>
          <cell r="E4861">
            <v>750</v>
          </cell>
          <cell r="F4861" t="str">
            <v>Chọn</v>
          </cell>
          <cell r="G4861"/>
          <cell r="H4861"/>
        </row>
        <row r="4862">
          <cell r="A4862" t="str">
            <v>7.I4202109905019901</v>
          </cell>
          <cell r="B4862" t="str">
            <v>HULLED SESAME SEED 99.97 PACKING IN 1KG PP BAG</v>
          </cell>
          <cell r="C4862" t="str">
            <v>HẠT MÈ (VỪNG) TÁCH VỎ 99.97 ĐÓNG TRONG GÓI 1KG</v>
          </cell>
          <cell r="D4862" t="str">
            <v>HULLED SESAME SEED 99.97 PACKING IN 1KG PP BAG</v>
          </cell>
          <cell r="E4862">
            <v>1</v>
          </cell>
          <cell r="F4862" t="str">
            <v>Bỏ chọn</v>
          </cell>
          <cell r="G4862"/>
          <cell r="H4862"/>
        </row>
        <row r="4863">
          <cell r="A4863" t="str">
            <v>7.703301010100500</v>
          </cell>
          <cell r="B4863" t="str">
            <v>WILFARIN SA1838 IN PAPERBAG@25KG</v>
          </cell>
          <cell r="C4863" t="str">
            <v>AXIT STEARIC 38% - WILFARIN SA1838; BAO GIẤY 25KG</v>
          </cell>
          <cell r="D4863" t="str">
            <v>WILFARIN SA1838 IN PAPERBAG@25KG</v>
          </cell>
          <cell r="E4863">
            <v>25</v>
          </cell>
          <cell r="F4863" t="str">
            <v>Chọn</v>
          </cell>
          <cell r="G4863"/>
          <cell r="H4863"/>
        </row>
        <row r="4864">
          <cell r="A4864" t="str">
            <v>V83.000.002</v>
          </cell>
          <cell r="B4864" t="str">
            <v>PACKING CARTON FOR MF UHT LOW FAT CALCI MILK 200MLX24</v>
          </cell>
          <cell r="C4864" t="str">
            <v>VỎ THÙNG CARTON SỮA TIỆT TRÙNG GIÀU CANXI ÍT BÉO LOẠI 200MLX24</v>
          </cell>
          <cell r="D4864" t="str">
            <v>PACKING CARTON FOR MF UHT LOW FAT CALCI MILK 200MLX24</v>
          </cell>
          <cell r="E4864">
            <v>0.06</v>
          </cell>
          <cell r="F4864" t="str">
            <v>Chọn</v>
          </cell>
          <cell r="G4864"/>
          <cell r="H4864"/>
        </row>
        <row r="4865">
          <cell r="A4865" t="str">
            <v>V83.000.003</v>
          </cell>
          <cell r="B4865" t="str">
            <v>PACKING CARTON FOR MF UHT FULL CREAM MILK 200MLX24</v>
          </cell>
          <cell r="C4865" t="str">
            <v>VỎ THÙNG CARTON SỮA TƯƠI TIỆT TRÙNG NGUYÊN KEM LOẠI 200MLX24</v>
          </cell>
          <cell r="D4865" t="str">
            <v>PACKING CARTON FOR MF UHT FULL CREAM MILK 200MLX24</v>
          </cell>
          <cell r="E4865">
            <v>0.06</v>
          </cell>
          <cell r="F4865" t="str">
            <v>Chọn</v>
          </cell>
          <cell r="G4865"/>
          <cell r="H4865"/>
        </row>
        <row r="4866">
          <cell r="A4866" t="str">
            <v>V83.000.004</v>
          </cell>
          <cell r="B4866" t="str">
            <v>PACKING CARTON FOR MF UHT LOW FAT MILK 200MLX24</v>
          </cell>
          <cell r="C4866" t="str">
            <v>VỎ THÙNG CARTON SỮA TƯƠI TIỆT TRÙNG ÍT BÉO LOẠI 200MLX24</v>
          </cell>
          <cell r="D4866" t="str">
            <v>PACKING CARTON FOR MF UHT LOW FAT MILK 200MLX24</v>
          </cell>
          <cell r="E4866">
            <v>0.06</v>
          </cell>
          <cell r="F4866" t="str">
            <v>Chọn</v>
          </cell>
          <cell r="G4866"/>
          <cell r="H4866"/>
        </row>
        <row r="4867">
          <cell r="A4867" t="str">
            <v>7.1110120201208010</v>
          </cell>
          <cell r="B4867" t="str">
            <v>MEIZAN TRHPKL WILFIL 340 IN PEBAG@20KG</v>
          </cell>
          <cell r="C4867" t="str">
            <v>DẦU OLEIN NHÂN CỌ HYDRO HÓA, TINH LUYỆN WILFIL 340 NHÃN HIỆU MEIZAN ĐÓNG TRONG THÙNG 20KG</v>
          </cell>
          <cell r="D4867" t="str">
            <v>MEIZAN TRHPKL WILFIL 340 IN PEBAG@20KG</v>
          </cell>
          <cell r="E4867">
            <v>20</v>
          </cell>
          <cell r="F4867" t="str">
            <v>Chọn</v>
          </cell>
          <cell r="G4867"/>
          <cell r="H4867"/>
        </row>
        <row r="4868">
          <cell r="A4868" t="str">
            <v>7.7042120713000000</v>
          </cell>
          <cell r="B4868" t="str">
            <v>PURE POWDER SOAP JUMBO BAG @750KG</v>
          </cell>
          <cell r="C4868" t="str">
            <v>PHÔI XÀ PHÒNG NGUYÊN CHẤT DẠNG BỘT; BAO 750KG</v>
          </cell>
          <cell r="D4868" t="str">
            <v>PURE POWDER SOAP JUMBO BAG @750KG</v>
          </cell>
          <cell r="E4868">
            <v>750</v>
          </cell>
          <cell r="F4868" t="str">
            <v>Chọn</v>
          </cell>
          <cell r="G4868"/>
          <cell r="H4868"/>
        </row>
        <row r="4869">
          <cell r="A4869" t="str">
            <v>7.52221502A691901</v>
          </cell>
          <cell r="B4869" t="str">
            <v>RED KEY SM BREAD FL 11-13% PPBAG@25KG</v>
          </cell>
          <cell r="C4869" t="str">
            <v>BỘT MÌ HIỆU CHÌA KHÓA ĐỎ SM 25KG</v>
          </cell>
          <cell r="D4869" t="str">
            <v>RED KEY SM BREAD FL 11-13% PPBAG@25KG</v>
          </cell>
          <cell r="E4869">
            <v>25</v>
          </cell>
          <cell r="F4869" t="str">
            <v>Chọn</v>
          </cell>
          <cell r="G4869"/>
          <cell r="H4869"/>
        </row>
        <row r="4870">
          <cell r="A4870" t="str">
            <v>V51.000.233</v>
          </cell>
          <cell r="B4870" t="str">
            <v xml:space="preserve">WILMAR GOLD 99.99% LOGO (5+/-0.1) ONE TENTH OF A TAEL OF GOLD/ PC
</v>
          </cell>
          <cell r="C4870" t="str">
            <v>LOGO WILMAR VÀNG 99,99% (5+/-0,1) CHỈ/ CÁI</v>
          </cell>
          <cell r="D4870" t="str">
            <v xml:space="preserve">WILMAR GOLD 99.99% LOGO (5+/-0.1) ONE TENTH OF A TAEL OF GOLD/ PC
</v>
          </cell>
          <cell r="E4870">
            <v>0</v>
          </cell>
          <cell r="F4870" t="str">
            <v>Chọn</v>
          </cell>
          <cell r="G4870"/>
          <cell r="H4870"/>
        </row>
        <row r="4871">
          <cell r="A4871" t="str">
            <v>V51.000.234</v>
          </cell>
          <cell r="B4871" t="str">
            <v>CARTON TO STORE DOCUMENT 245*320*350MM</v>
          </cell>
          <cell r="C4871" t="str">
            <v>THÙNG CARTON CHỨA HỒ SƠ, CÓ NẮP RỜI 350*320*245MM</v>
          </cell>
          <cell r="D4871" t="str">
            <v>CARTON TO STORE DOCUMENT 245*320*350MM</v>
          </cell>
          <cell r="E4871">
            <v>0</v>
          </cell>
          <cell r="F4871" t="str">
            <v>Chọn</v>
          </cell>
          <cell r="G4871"/>
          <cell r="H4871"/>
        </row>
        <row r="4872">
          <cell r="A4872" t="str">
            <v>6.1213560</v>
          </cell>
          <cell r="B4872" t="str">
            <v>REFINED PALM STEARIN LOW GE / RSPO MB</v>
          </cell>
          <cell r="C4872" t="str">
            <v>DẦU STEARIN CỌ TINH LUYỆN (LOW GE)(RSPO/MB) (TRONG XE BỒN)</v>
          </cell>
          <cell r="D4872" t="str">
            <v>REFINED PALM STEARIN LOW GE / RSPO MB</v>
          </cell>
          <cell r="E4872">
            <v>1</v>
          </cell>
          <cell r="F4872" t="str">
            <v>Chọn</v>
          </cell>
          <cell r="G4872"/>
          <cell r="H4872"/>
        </row>
        <row r="4873">
          <cell r="A4873" t="str">
            <v>6.1212C47</v>
          </cell>
          <cell r="B4873" t="str">
            <v>DOUBLE REFINED PALM OLEIN LC2.0R/RSPO MB</v>
          </cell>
          <cell r="C4873" t="str">
            <v>DẦU OLEIN CỌ TINH LUYỆN (LC)(RSPO/MB) (TRONG XE BỒN)</v>
          </cell>
          <cell r="D4873" t="str">
            <v>DOUBLE REFINED PALM OLEIN LC2.0R/RSPO MB</v>
          </cell>
          <cell r="E4873">
            <v>1</v>
          </cell>
          <cell r="F4873" t="str">
            <v>Chọn</v>
          </cell>
          <cell r="G4873"/>
          <cell r="H4873"/>
        </row>
        <row r="4874">
          <cell r="A4874" t="str">
            <v>7.705L9</v>
          </cell>
          <cell r="B4874" t="str">
            <v>ERCAWAX EGDS V PACK IN BAG 1KG</v>
          </cell>
          <cell r="C4874" t="str">
            <v>ERCAWAX EGDS V ĐÓNG TRONG TÚI 1KG</v>
          </cell>
          <cell r="D4874" t="str">
            <v>ERCAWAX EGDS V PACK IN BAG 1KG</v>
          </cell>
          <cell r="E4874">
            <v>1</v>
          </cell>
          <cell r="F4874" t="str">
            <v>Chọn</v>
          </cell>
          <cell r="G4874"/>
          <cell r="H4874"/>
        </row>
        <row r="4875">
          <cell r="A4875" t="str">
            <v>N16.0388003.00136</v>
          </cell>
          <cell r="B4875" t="str">
            <v>HANGER,HANGER, TYPE:HANGER ROPE, SIZE:L. 550 X W. 22 MM, MATERIAL:HDPE</v>
          </cell>
          <cell r="C4875" t="str">
            <v>DÂY NHỰA TREO</v>
          </cell>
          <cell r="D4875" t="str">
            <v>HANGER,HANGER</v>
          </cell>
          <cell r="E4875">
            <v>0</v>
          </cell>
          <cell r="F4875" t="str">
            <v>Chọn</v>
          </cell>
          <cell r="G4875"/>
          <cell r="H4875"/>
        </row>
        <row r="4876">
          <cell r="A4876" t="str">
            <v>V51.000.235</v>
          </cell>
          <cell r="B4876" t="str">
            <v>ROBOT VACUUM CLEANER (ROBOT VACUUM) DREAME</v>
          </cell>
          <cell r="C4876" t="str">
            <v>ROBOT HÚT BỤI LAU NHÀ (ROBOT VACUUM) DREAME L10 PRIME, MODEL: RLL11GC, HIỆU: DREAME</v>
          </cell>
          <cell r="D4876" t="str">
            <v>ROBOT VACUUM CLEANER (ROBOT VACUUM) DREAME</v>
          </cell>
          <cell r="E4876">
            <v>0</v>
          </cell>
          <cell r="F4876" t="str">
            <v>Chọn</v>
          </cell>
          <cell r="G4876"/>
          <cell r="H4876"/>
        </row>
        <row r="4877">
          <cell r="A4877" t="str">
            <v>V51.000.236</v>
          </cell>
          <cell r="B4877" t="str">
            <v>SAMSUNG BLUETOOTH WATCH SM-L300 (GALAXY WATCH 7 40MM)</v>
          </cell>
          <cell r="C4877" t="str">
            <v>ĐỒNG HỒ BLUETOOTH SAMSUNG SM -L300 (GALAXY WATCH 7 40MM)</v>
          </cell>
          <cell r="D4877" t="str">
            <v>SAMSUNG BLUETOOTH WATCH SM-L300 (GALAXY WATCH 7 40MM)</v>
          </cell>
          <cell r="E4877">
            <v>0</v>
          </cell>
          <cell r="F4877" t="str">
            <v>Chọn</v>
          </cell>
          <cell r="G4877"/>
          <cell r="H4877"/>
        </row>
        <row r="4878">
          <cell r="A4878" t="str">
            <v>V51.000.237</v>
          </cell>
          <cell r="B4878" t="str">
            <v>SAMSUNG SMX110 TABLET, 64GB, SILVER</v>
          </cell>
          <cell r="C4878" t="str">
            <v>MÁY TÍNH BẢNG SAMSUNG SMX110,64GB, BẠC</v>
          </cell>
          <cell r="D4878" t="str">
            <v>SAMSUNG SMX110 TABLET, 64GB, SILVER</v>
          </cell>
          <cell r="E4878">
            <v>0</v>
          </cell>
          <cell r="F4878" t="str">
            <v>Chọn</v>
          </cell>
          <cell r="G4878"/>
          <cell r="H4878"/>
        </row>
        <row r="4879">
          <cell r="A4879" t="str">
            <v>V51.000.238</v>
          </cell>
          <cell r="B4879" t="str">
            <v>APPLE WATCH SE 2024 GPS 40MM ALUMINUM CASE WITH MIDNIGHT SPORT BAND - GENUINE S/M BOX</v>
          </cell>
          <cell r="C4879" t="str">
            <v>APPLE WATCH SE 2024 GPS 40MM ALUMINIUM CASE WITH MIDNIGHT SPORT BAND - S/M BOX CHÍNH HÃNG</v>
          </cell>
          <cell r="D4879" t="str">
            <v>APPLE WATCH SE 2024 GPS 40MM ALUMINUM CASE WITH MIDNIGHT SPORT BAND - GENUINE S/M BOX</v>
          </cell>
          <cell r="E4879">
            <v>0</v>
          </cell>
          <cell r="F4879" t="str">
            <v>Chọn</v>
          </cell>
          <cell r="G4879"/>
          <cell r="H4879"/>
        </row>
        <row r="4880">
          <cell r="A4880" t="str">
            <v>V51.000.239</v>
          </cell>
          <cell r="B4880" t="str">
            <v>TOSHIBA RC-18IX1PV RICE COOKER</v>
          </cell>
          <cell r="C4880" t="str">
            <v>NỒI CƠM ĐIỆN TOSHIBA RC-18IX1PV</v>
          </cell>
          <cell r="D4880" t="str">
            <v>TOSHIBA RC-18IX1PV RICE COOKER</v>
          </cell>
          <cell r="E4880">
            <v>0</v>
          </cell>
          <cell r="F4880" t="str">
            <v>Chọn</v>
          </cell>
          <cell r="G4880"/>
          <cell r="H4880"/>
        </row>
        <row r="4881">
          <cell r="A4881" t="str">
            <v>7.B251108992501C0</v>
          </cell>
          <cell r="B4881" t="str">
            <v>MONOSODIUM GLUTAMATE MEIZAN (M) 2KG X 6 PCH/ CAR</v>
          </cell>
          <cell r="C4881" t="str">
            <v>BỘT NGỌT MEIZAN (CÁNH VỪA) 2KG X 6 TÚI/ THÙNG</v>
          </cell>
          <cell r="D4881" t="str">
            <v>MONOSODIUM GLUTAMATE MEIZAN (M) 2KG X 6 PCH/ CAR</v>
          </cell>
          <cell r="E4881">
            <v>12</v>
          </cell>
          <cell r="F4881" t="str">
            <v>Bỏ chọn</v>
          </cell>
          <cell r="G4881" t="str">
            <v>2000000008</v>
          </cell>
          <cell r="H4881" t="str">
            <v>7.B251108992501C001</v>
          </cell>
        </row>
        <row r="4882">
          <cell r="A4882" t="str">
            <v>7.B251108992501C001</v>
          </cell>
          <cell r="B4882" t="str">
            <v>MONOSODIUM GLUTAMATE MEIZAN (M) 2KG</v>
          </cell>
          <cell r="C4882" t="str">
            <v>BỘT NGỌT MEIZAN (CÁNH VỪA) 2KG</v>
          </cell>
          <cell r="D4882" t="str">
            <v>MONOSODIUM GLUTAMATE MEIZAN (M) 2KG</v>
          </cell>
          <cell r="E4882">
            <v>2</v>
          </cell>
          <cell r="F4882" t="str">
            <v>Bỏ chọn</v>
          </cell>
          <cell r="G4882" t="str">
            <v>2000000008</v>
          </cell>
          <cell r="H4882"/>
        </row>
        <row r="4883">
          <cell r="A4883" t="str">
            <v>7.B251108990301C0</v>
          </cell>
          <cell r="B4883" t="str">
            <v>MONOSODIUM GLUTAMATE MEIZAN (M) 5KG X 3 PCH/ CAR</v>
          </cell>
          <cell r="C4883" t="str">
            <v>BỘT NGỌT MEIZAN (CÁNH VỪA) 5KG X 3 TÚI/ THÙNG</v>
          </cell>
          <cell r="D4883" t="str">
            <v>MONOSODIUM GLUTAMATE MEIZAN (M) 5KG X 3 PCH/ CAR</v>
          </cell>
          <cell r="E4883">
            <v>15</v>
          </cell>
          <cell r="F4883" t="str">
            <v>Bỏ chọn</v>
          </cell>
          <cell r="G4883" t="str">
            <v>2000000008</v>
          </cell>
          <cell r="H4883" t="str">
            <v>7.B251108990301C001</v>
          </cell>
        </row>
        <row r="4884">
          <cell r="A4884" t="str">
            <v>7.B251108990301C001</v>
          </cell>
          <cell r="B4884" t="str">
            <v>MONOSODIUM GLUTAMATE MEIZAN (M) 5KG</v>
          </cell>
          <cell r="C4884" t="str">
            <v>BỘT NGỌT MEIZAN (CÁNH VỪA) 5KG</v>
          </cell>
          <cell r="D4884" t="str">
            <v>MONOSODIUM GLUTAMATE MEIZAN (M) 5KG</v>
          </cell>
          <cell r="E4884">
            <v>5</v>
          </cell>
          <cell r="F4884" t="str">
            <v>Bỏ chọn</v>
          </cell>
          <cell r="G4884" t="str">
            <v>2000000008</v>
          </cell>
          <cell r="H4884"/>
        </row>
        <row r="4885">
          <cell r="A4885" t="str">
            <v>N16.0388003.00141</v>
          </cell>
          <cell r="B4885" t="str">
            <v>HANGER,HANGER, MATERIAL:GALVANIZED STEEL, ADDITIONAL DETAILS:FOR PASTA FLOUR PRODUCT, CIRCLE DIAMETER 12 MM, HOOK LENGTH 140 MM, WIRE DIAMETER 2.7 MM</v>
          </cell>
          <cell r="C4885" t="str">
            <v>MÓC TREO CÁC SẢN PHẨM NUI - BỘT (MEIZAN)</v>
          </cell>
          <cell r="D4885" t="str">
            <v>HANGER,HANGER</v>
          </cell>
          <cell r="E4885">
            <v>0</v>
          </cell>
          <cell r="F4885" t="str">
            <v>Chọn</v>
          </cell>
          <cell r="G4885"/>
          <cell r="H4885"/>
        </row>
        <row r="4886">
          <cell r="A4886" t="str">
            <v>V39.000.086</v>
          </cell>
          <cell r="B4886" t="str">
            <v>YELLOW SHORT-SLEEVED T-SHIRT, BLUE COLLAR, BLUE EDGE</v>
          </cell>
          <cell r="C4886" t="str">
            <v>ÁO THUN NGẮN TAY MÀU VÀNG, CỔ XANH, VIỀN XANH</v>
          </cell>
          <cell r="D4886" t="str">
            <v>YELLOW SHORT-SLEEVED T-SHIRT, BLUE COLLAR, BLUE EDGE</v>
          </cell>
          <cell r="E4886">
            <v>0</v>
          </cell>
          <cell r="F4886" t="str">
            <v>Chọn</v>
          </cell>
          <cell r="G4886"/>
          <cell r="H4886"/>
        </row>
        <row r="4887">
          <cell r="A4887" t="str">
            <v>V39.000.087</v>
          </cell>
          <cell r="B4887" t="str">
            <v>YELLOW SHORT-SLEEVED T-SHIRT, RED COLLAR, RED EDGE</v>
          </cell>
          <cell r="C4887" t="str">
            <v>ÁO THUN NGẮN TAY MÀU VÀNG, CỔ ĐỎ, VIỀN ĐỎ</v>
          </cell>
          <cell r="D4887" t="str">
            <v>YELLOW SHORT-SLEEVED T-SHIRT, RED COLLAR, RED EDGE</v>
          </cell>
          <cell r="E4887">
            <v>0</v>
          </cell>
          <cell r="F4887" t="str">
            <v>Chọn</v>
          </cell>
          <cell r="G4887"/>
          <cell r="H4887"/>
        </row>
        <row r="4888">
          <cell r="A4888" t="str">
            <v>N04.0018006.00364</v>
          </cell>
          <cell r="B4888" t="str">
            <v>PROMOTIONAL STUFF, TYPE:BIG THREE-SIDE SEAL POUCH, MATERIAL:OPP20/CPP25, SIZE:W. 290 X L. 290 MM, ADDITIONAL DETAILS:WITH ON-PACK LID, PRINT COLOR: WHITE / NAVY BLUE, POWER100</v>
          </cell>
          <cell r="C4888" t="str">
            <v>TÚI BA BIÊN LỚN CÓ NẮP ONPACK POWER100</v>
          </cell>
          <cell r="D4888" t="str">
            <v>PROMOTIONAL STUFF, TYPE:BIG THREE-SIDE SEAL POUCH, MATERIAL:OPP20/CPP25, SIZE:W. 290 X L. 290 MM, ADDITIONAL DETAILS:WITH ON-PACK LID, PRINT COLOR: WHITE / NAVY BLUE, POWER100</v>
          </cell>
          <cell r="E4888">
            <v>0</v>
          </cell>
          <cell r="F4888" t="str">
            <v>Chọn</v>
          </cell>
          <cell r="G4888"/>
          <cell r="H4888"/>
        </row>
        <row r="4889">
          <cell r="A4889" t="str">
            <v>7.705M0</v>
          </cell>
          <cell r="B4889" t="str">
            <v>MURIATE OF POTASH / WMCLV MURIATE OF POTASH 61 - SAMPLE BAG 2KG</v>
          </cell>
          <cell r="C4889" t="str">
            <v>PHÂN BÓN KALI CLORUA / WMCLV MURIATE OF POTASH 61 - ĐÓNG TRONG TÚI 2KG</v>
          </cell>
          <cell r="D4889" t="str">
            <v>MURIATE OF POTASH / WMCLV MURIATE OF POTASH 61 - SAMPLE BAG 2KG</v>
          </cell>
          <cell r="E4889">
            <v>1</v>
          </cell>
          <cell r="F4889" t="str">
            <v>Chọn</v>
          </cell>
          <cell r="G4889"/>
          <cell r="H4889"/>
        </row>
        <row r="4890">
          <cell r="A4890" t="str">
            <v>7.522001021491901</v>
          </cell>
          <cell r="B4890" t="str">
            <v>WHEAT GERM IN PP BAG @25KG</v>
          </cell>
          <cell r="C4890" t="str">
            <v>MẦM LÚA MÌ 25KG</v>
          </cell>
          <cell r="D4890" t="str">
            <v>WHEAT GERM IN PP BAG @25KG</v>
          </cell>
          <cell r="E4890">
            <v>25</v>
          </cell>
          <cell r="F4890" t="str">
            <v>Chọn</v>
          </cell>
          <cell r="G4890"/>
          <cell r="H4890"/>
        </row>
        <row r="4891">
          <cell r="A4891" t="str">
            <v>7.B250808990201C0</v>
          </cell>
          <cell r="B4891" t="str">
            <v>MONOSODIUM GLUTAMATE MEIZAN (M) 1KG X 12 PCH/ CAR</v>
          </cell>
          <cell r="C4891" t="str">
            <v>BỘT NGỌT MEIZAN (CÁNH VỪA) 1KG X 12 TÚI/ THÙNG</v>
          </cell>
          <cell r="D4891" t="str">
            <v>MONOSODIUM GLUTAMATE MEIZAN (M) 1KG X 12 PCH/ CAR</v>
          </cell>
          <cell r="E4891">
            <v>12</v>
          </cell>
          <cell r="F4891" t="str">
            <v>Bỏ chọn</v>
          </cell>
          <cell r="G4891" t="str">
            <v>2000000008</v>
          </cell>
          <cell r="H4891" t="str">
            <v>7.B250808990201C001</v>
          </cell>
        </row>
        <row r="4892">
          <cell r="A4892" t="str">
            <v>7.B250808990201C001</v>
          </cell>
          <cell r="B4892" t="str">
            <v>MONOSODIUM GLUTAMATE MEIZAN (M) 1KG</v>
          </cell>
          <cell r="C4892" t="str">
            <v>BỘT NGỌT MEIZAN (CÁNH VỪA) 1KG</v>
          </cell>
          <cell r="D4892" t="str">
            <v>MONOSODIUM GLUTAMATE MEIZAN (M) 1KG</v>
          </cell>
          <cell r="E4892">
            <v>1</v>
          </cell>
          <cell r="F4892" t="str">
            <v>Bỏ chọn</v>
          </cell>
          <cell r="G4892" t="str">
            <v>2000000008</v>
          </cell>
          <cell r="H4892"/>
        </row>
        <row r="4893">
          <cell r="A4893" t="str">
            <v>7.B250808993301C0</v>
          </cell>
          <cell r="B4893" t="str">
            <v>MONOSODIUM GLUTAMATE MEIZAN (M) 400G X 30 PCH/ CAR</v>
          </cell>
          <cell r="C4893" t="str">
            <v>BỘT NGỌT MEIZAN (CÁNH VỪA) 400G X 30 TÚI/ THÙNG</v>
          </cell>
          <cell r="D4893" t="str">
            <v>MONOSODIUM GLUTAMATE MEIZAN (M) 400G X 30 PCH/ CAR</v>
          </cell>
          <cell r="E4893">
            <v>12</v>
          </cell>
          <cell r="F4893" t="str">
            <v>Bỏ chọn</v>
          </cell>
          <cell r="G4893" t="str">
            <v>2000000008</v>
          </cell>
          <cell r="H4893" t="str">
            <v>7.B250808993301C001</v>
          </cell>
        </row>
        <row r="4894">
          <cell r="A4894" t="str">
            <v>7.B250808993301C001</v>
          </cell>
          <cell r="B4894" t="str">
            <v>MONOSODIUM GLUTAMATE MEIZAN (M) 400G</v>
          </cell>
          <cell r="C4894" t="str">
            <v>BỘT NGỌT MEIZAN (CÁNH VỪA) 400G</v>
          </cell>
          <cell r="D4894" t="str">
            <v>MONOSODIUM GLUTAMATE MEIZAN (M) 400G</v>
          </cell>
          <cell r="E4894">
            <v>0.4</v>
          </cell>
          <cell r="F4894" t="str">
            <v>Bỏ chọn</v>
          </cell>
          <cell r="G4894" t="str">
            <v>2000000008</v>
          </cell>
          <cell r="H4894"/>
        </row>
        <row r="4895">
          <cell r="A4895" t="str">
            <v>7.103041I22201220</v>
          </cell>
          <cell r="B4895" t="str">
            <v>DOUBLE RCNO IV 6-11 IN FLEXIBAG@18MT</v>
          </cell>
          <cell r="C4895" t="str">
            <v>DẦU DỪA TINH LUYỆN ĐÓNG TRONG TÚI FLEXIBAG</v>
          </cell>
          <cell r="D4895" t="str">
            <v>DOUBLE RCNO IV 6-11 IN FLEXIBAG@18MT</v>
          </cell>
          <cell r="E4895">
            <v>18</v>
          </cell>
          <cell r="F4895" t="str">
            <v>Chọn</v>
          </cell>
          <cell r="G4895"/>
          <cell r="H4895"/>
        </row>
        <row r="4896">
          <cell r="A4896" t="str">
            <v>7.522H860110780020</v>
          </cell>
          <cell r="B4896" t="str">
            <v>OLIVOILA SPAGHETTI N.5 500G X 24 ZIPPBAG</v>
          </cell>
          <cell r="C4896" t="str">
            <v>MÌ SPAGHETTI OLIVOILÀ N.5 500G X 24 GÓI</v>
          </cell>
          <cell r="D4896" t="str">
            <v>OLIVOILA SPAGHETTI N.5 500G X 24 ZIPPBAG</v>
          </cell>
          <cell r="E4896">
            <v>12</v>
          </cell>
          <cell r="F4896" t="str">
            <v>Chọn</v>
          </cell>
          <cell r="G4896" t="str">
            <v>2000000007</v>
          </cell>
          <cell r="H4896" t="str">
            <v>7.522H860110780000</v>
          </cell>
        </row>
        <row r="4897">
          <cell r="A4897" t="str">
            <v>7.522H860110780000</v>
          </cell>
          <cell r="B4897" t="str">
            <v>OLIVOILA SPAGHETTI N.5 IN ZIPPERBAG@500G</v>
          </cell>
          <cell r="C4897" t="str">
            <v>MÌ SPAGHETTI OLIVOILÀ N.5 500G</v>
          </cell>
          <cell r="D4897" t="str">
            <v>OLIVOILA SPAGHETTI N.5 IN ZIPPERBAG@500G</v>
          </cell>
          <cell r="E4897">
            <v>0.5</v>
          </cell>
          <cell r="F4897" t="str">
            <v>Chọn</v>
          </cell>
          <cell r="G4897" t="str">
            <v>2000000007</v>
          </cell>
          <cell r="H4897"/>
        </row>
        <row r="4898">
          <cell r="A4898" t="str">
            <v>7.E38027899850199</v>
          </cell>
          <cell r="B4898" t="str">
            <v>MEADOW FRESH WHIPPING CREAM UHT 1LX12</v>
          </cell>
          <cell r="C4898" t="str">
            <v>KEM SỮA TIỆT TRÙNG NHÃN HIỆU MEADOW FRESH 1LX12</v>
          </cell>
          <cell r="D4898" t="str">
            <v>MEADOW FRESH WHIPPING CREAM UHT 1LX12</v>
          </cell>
          <cell r="E4898">
            <v>1</v>
          </cell>
          <cell r="F4898" t="str">
            <v>Bỏ chọn</v>
          </cell>
          <cell r="G4898"/>
          <cell r="H4898"/>
        </row>
        <row r="4899">
          <cell r="A4899" t="str">
            <v>7.D3701109902L125</v>
          </cell>
          <cell r="B4899" t="str">
            <v>CHAMBERY DARK CHOCOLATE COMPOUND BLOCK CDD-16CPEX (1KG X 10PCS), 10KG</v>
          </cell>
          <cell r="C4899" t="str">
            <v>NGUYÊN LIỆU THỰC PHẨM SÔ-CÔ-LA ĐEN CHAMBERY DẠNG KHỐI CDD-16CPEX, BLOCK 1KG, ĐÓNG TRONG THÙNG CARTON 10KG</v>
          </cell>
          <cell r="D4899" t="str">
            <v>CHAMBERY DARK CHOCOLATE COMPOUND BLOCK CDD-16CPEX (1KG X 10PCS), 10KG</v>
          </cell>
          <cell r="E4899">
            <v>10</v>
          </cell>
          <cell r="F4899" t="str">
            <v>Chọn</v>
          </cell>
          <cell r="G4899"/>
          <cell r="H4899" t="str">
            <v>7.D3701109902L12501</v>
          </cell>
        </row>
        <row r="4900">
          <cell r="A4900" t="str">
            <v>7.D37011099020146</v>
          </cell>
          <cell r="B4900" t="str">
            <v>WHITE CHOCOLATE COMPOUND PRODUCT AZD-03CPPE (1KG X 20PCS), 20KG</v>
          </cell>
          <cell r="C4900" t="str">
            <v>NGUYÊN LIỆU THỰC PHẨM SÔ-CÔ-LA SỮA AZD-03CPPE, BLOCK 1KG, ĐÓNG TRONG THÙNG CARTON 20KG</v>
          </cell>
          <cell r="D4900" t="str">
            <v>WHITE CHOCOLATE COMPOUND PRODUCT AZD-03CPPE (1KG X 20PCS), 20KG</v>
          </cell>
          <cell r="E4900">
            <v>20</v>
          </cell>
          <cell r="F4900" t="str">
            <v>Chọn</v>
          </cell>
          <cell r="G4900"/>
          <cell r="H4900"/>
        </row>
        <row r="4901">
          <cell r="A4901" t="str">
            <v>7.D3701109902L1C1</v>
          </cell>
          <cell r="B4901" t="str">
            <v>CHAMBERY DARK CHOCOLATE COMPOUND CHIPS CZD-02CDEX (1KG X 10PCS), 10KG</v>
          </cell>
          <cell r="C4901" t="str">
            <v>NGUYÊN LIỆU THỰC PHẨM SÔ-CÔ-LA ĐEN CHAMBERY DẠNG VIÊN CZD-02CDEX, TÚI 1KG, ĐÓNG TRONG THÙNG CARTON 10KG</v>
          </cell>
          <cell r="D4901" t="str">
            <v>CHAMBERY DARK CHOCOLATE COMPOUND CHIPS CZD-02CDEX (1KG X 10PCS), 10KG</v>
          </cell>
          <cell r="E4901">
            <v>10</v>
          </cell>
          <cell r="F4901" t="str">
            <v>Chọn</v>
          </cell>
          <cell r="G4901"/>
          <cell r="H4901" t="str">
            <v>7.D3701109902L1C101</v>
          </cell>
        </row>
        <row r="4902">
          <cell r="A4902" t="str">
            <v>7.451178031701000TD</v>
          </cell>
          <cell r="B4902" t="str">
            <v>KOBE BUSSAN RBD SBO IN BOTTLE 1L</v>
          </cell>
          <cell r="C4902" t="str">
            <v>DẦU ĐẬU NÀNH ĐÓNG TRONG CHAI 1L</v>
          </cell>
          <cell r="D4902" t="str">
            <v>KOBE BUSSAN RBD SBO IN BOTTLE 1L</v>
          </cell>
          <cell r="E4902">
            <v>0.91</v>
          </cell>
          <cell r="F4902" t="str">
            <v>Chọn</v>
          </cell>
          <cell r="G4902"/>
          <cell r="H4902"/>
        </row>
        <row r="4903">
          <cell r="A4903" t="str">
            <v>7.7042071613000000</v>
          </cell>
          <cell r="B4903" t="str">
            <v>MIXED SOAP POWDER @900KG JUMBO BAG</v>
          </cell>
          <cell r="C4903" t="str">
            <v>PHÔI XÀ PHÒNG - DẠNG BỘT; BAO 900KG</v>
          </cell>
          <cell r="D4903" t="str">
            <v>MIXED SOAP POWDER @900KG JUMBO BAG</v>
          </cell>
          <cell r="E4903">
            <v>900</v>
          </cell>
          <cell r="F4903" t="str">
            <v>Chọn</v>
          </cell>
          <cell r="G4903"/>
          <cell r="H4903"/>
        </row>
        <row r="4904">
          <cell r="A4904" t="str">
            <v>7.73030801010101</v>
          </cell>
          <cell r="B4904" t="str">
            <v>FAL1618 BEADS IN PAPERBAG@25KG</v>
          </cell>
          <cell r="C4904" t="str">
            <v>RƯỢU BÉO 1618 ; BAO 25KG</v>
          </cell>
          <cell r="D4904" t="str">
            <v>FAL1618 BEADS IN PAPERBAG@25KG</v>
          </cell>
          <cell r="E4904">
            <v>25</v>
          </cell>
          <cell r="F4904" t="str">
            <v>Chọn</v>
          </cell>
          <cell r="G4904"/>
          <cell r="H4904"/>
        </row>
        <row r="4905">
          <cell r="A4905" t="str">
            <v>V51.00A.084</v>
          </cell>
          <cell r="B4905" t="str">
            <v>HANGER ROPE FOR SALAD DRESSING</v>
          </cell>
          <cell r="C4905" t="str">
            <v>DÂY TREO CHAI DẦU DẤM</v>
          </cell>
          <cell r="D4905" t="str">
            <v>HANGER ROPE FOR SALAD DRESSING</v>
          </cell>
          <cell r="E4905">
            <v>3.5000000000000003E-2</v>
          </cell>
          <cell r="F4905" t="str">
            <v>Bỏ chọn</v>
          </cell>
          <cell r="G4905"/>
          <cell r="H4905"/>
        </row>
        <row r="4906">
          <cell r="A4906" t="str">
            <v>7.92522B699D70199</v>
          </cell>
          <cell r="B4906" t="str">
            <v>SEA SALT WITH CHILI 65GR X 48 PCS IN CARTON</v>
          </cell>
          <cell r="C4906" t="str">
            <v>MUỐI ỚT HỘT 65GR X 48 CHAI ĐÓNG TRONG THÙNG CARTON</v>
          </cell>
          <cell r="D4906" t="str">
            <v>SEA SALT WITH CHILI 65GR X 48 PCS IN CARTON</v>
          </cell>
          <cell r="E4906">
            <v>3.12</v>
          </cell>
          <cell r="F4906" t="str">
            <v>Chọn</v>
          </cell>
          <cell r="G4906"/>
          <cell r="H4906" t="str">
            <v>7.92522B699D7019901</v>
          </cell>
        </row>
        <row r="4907">
          <cell r="A4907" t="str">
            <v>7.92522B699D7019901</v>
          </cell>
          <cell r="B4907" t="str">
            <v>SEA SALT WITH CHILI 65GR</v>
          </cell>
          <cell r="C4907" t="str">
            <v>MUỐI ỚT HỘT 65GR</v>
          </cell>
          <cell r="D4907" t="str">
            <v>SEA SALT WITH CHILI 65GR</v>
          </cell>
          <cell r="E4907">
            <v>6.5000000000000002E-2</v>
          </cell>
          <cell r="F4907" t="str">
            <v>Chọn</v>
          </cell>
          <cell r="G4907"/>
          <cell r="H4907"/>
        </row>
        <row r="4908">
          <cell r="A4908" t="str">
            <v>7.92421B699320108</v>
          </cell>
          <cell r="B4908" t="str">
            <v>SWEET &amp; SOUR TAMARIND SAUCE 200GR X 24 PCS IN CARTON</v>
          </cell>
          <cell r="C4908" t="str">
            <v>SỐT ME CHUA NGỌT 200GR X 24 CHAI ĐÓNG TRONG THÙNG CARTON</v>
          </cell>
          <cell r="D4908" t="str">
            <v>SWEET &amp; SOUR TAMARIND SAUCE 200GR X 24 PCS IN CARTON</v>
          </cell>
          <cell r="E4908">
            <v>4.8</v>
          </cell>
          <cell r="F4908" t="str">
            <v>Chọn</v>
          </cell>
          <cell r="G4908"/>
          <cell r="H4908" t="str">
            <v>7.92421B69932010801</v>
          </cell>
        </row>
        <row r="4909">
          <cell r="A4909" t="str">
            <v>7.92421B69932010801</v>
          </cell>
          <cell r="B4909" t="str">
            <v>SWEET &amp; SOUR TAMARIND SAUCE 200GR</v>
          </cell>
          <cell r="C4909" t="str">
            <v>SỐT ME CHUA NGỌT 200GR</v>
          </cell>
          <cell r="D4909" t="str">
            <v>SWEET &amp; SOUR TAMARIND SAUCE 200GR</v>
          </cell>
          <cell r="E4909">
            <v>0.2</v>
          </cell>
          <cell r="F4909" t="str">
            <v>Chọn</v>
          </cell>
          <cell r="G4909"/>
          <cell r="H4909"/>
        </row>
        <row r="4910">
          <cell r="A4910" t="str">
            <v>7.707705P42817000HTD</v>
          </cell>
          <cell r="B4910" t="str">
            <v>POWER100 LDCHARMINGFRNCPERFUME3.4KG*4BTL</v>
          </cell>
          <cell r="C4910" t="str">
            <v>NƯỚC GIẶT XẢ POWER100 HƯƠNG NƯỚC HOA PHÁP QUYẾN RŨ 3.4KG*4</v>
          </cell>
          <cell r="D4910" t="str">
            <v>POWER100 LDCHARMINGFRNCPERFUME3.4KG*4BTL</v>
          </cell>
          <cell r="E4910">
            <v>13.6</v>
          </cell>
          <cell r="F4910" t="str">
            <v>Chọn</v>
          </cell>
          <cell r="G4910"/>
          <cell r="H4910"/>
        </row>
        <row r="4911">
          <cell r="A4911" t="str">
            <v>7.B25080899330199TD</v>
          </cell>
          <cell r="B4911" t="str">
            <v>MONOSODIUM GLUTAMATE MEIZAN 400G X 30 PCH/ CAR</v>
          </cell>
          <cell r="C4911" t="str">
            <v>BỘT NGỌT MEIZAN 400G X 30 TÚI/ THÙNG</v>
          </cell>
          <cell r="D4911" t="str">
            <v>MONOSODIUM GLUTAMATE MEIZAN 400G X 30 PCH/ CAR</v>
          </cell>
          <cell r="E4911">
            <v>12</v>
          </cell>
          <cell r="F4911" t="str">
            <v>Bỏ chọn</v>
          </cell>
          <cell r="G4911"/>
          <cell r="H4911"/>
        </row>
        <row r="4912">
          <cell r="A4912" t="str">
            <v>N04.0016037.00125</v>
          </cell>
          <cell r="B4912" t="str">
            <v>SMART PHONE, MODEL:IPHONE 16 PRO MAX TITAN, ROM:256 GB, SCREEN RESOLUTION:2886 X 1320 PIXEL, SCREEN SIZE:6.9", REAR CAMERA:TRIPLE REAR CAMERA, FRONT CAMERA:SINGLE SELFIE CAMERA, BRAND:APPLE</v>
          </cell>
          <cell r="C4912" t="str">
            <v>ĐIỆN THOẠI IPHONE 16 PRO MAX 256GB TITAN SA MẠC MYWX3VN/A</v>
          </cell>
          <cell r="D4912" t="str">
            <v>ĐIỆN THOẠI IPHONE 16 PRO MAX 256GB TITAN</v>
          </cell>
          <cell r="E4912">
            <v>0</v>
          </cell>
          <cell r="F4912" t="str">
            <v>Chọn</v>
          </cell>
          <cell r="G4912"/>
          <cell r="H4912"/>
        </row>
        <row r="4913">
          <cell r="A4913" t="str">
            <v>7.089062121281203</v>
          </cell>
          <cell r="B4913" t="str">
            <v>MEIZAN DRYYEASTLOWSUGAR500GX20BAG BLUELB</v>
          </cell>
          <cell r="C4913" t="str">
            <v>MEN KHÔ DÙNG LIỀN HIỆU MEIZAN –NHÃN XANH DƯƠNG (500G*20 GÓI/THÙNG)</v>
          </cell>
          <cell r="D4913" t="str">
            <v>MEIZAN DRYYEASTLOWSUGAR500GX20BAG BLUELB</v>
          </cell>
          <cell r="E4913">
            <v>10</v>
          </cell>
          <cell r="F4913" t="str">
            <v>Chọn</v>
          </cell>
          <cell r="G4913"/>
          <cell r="H4913"/>
        </row>
        <row r="4914">
          <cell r="A4914" t="str">
            <v>7.089062121281201</v>
          </cell>
          <cell r="B4914" t="str">
            <v>MEIZAN DRYYEASTLOWSUGAR BLUELB PBAG@500G</v>
          </cell>
          <cell r="C4914" t="str">
            <v>MEN KHÔ DÙNG LIỀN HIỆU MEIZAN –NHÃN XANH DƯƠNG 500G</v>
          </cell>
          <cell r="D4914" t="str">
            <v>MEIZAN DRYYEASTLOWSUGAR BLUELB PBAG@500G</v>
          </cell>
          <cell r="E4914">
            <v>0.5</v>
          </cell>
          <cell r="F4914" t="str">
            <v>Chọn</v>
          </cell>
          <cell r="G4914"/>
          <cell r="H4914"/>
        </row>
        <row r="4915">
          <cell r="A4915" t="str">
            <v>V39.00A.014</v>
          </cell>
          <cell r="B4915" t="str">
            <v>MEIZAN PLASTIC ICE BUCKET</v>
          </cell>
          <cell r="C4915" t="str">
            <v>XÔ NHỰA ĐỰNG ĐÁ MEIZAN</v>
          </cell>
          <cell r="D4915" t="str">
            <v>MEIZAN PLASTIC ICE BUCKET</v>
          </cell>
          <cell r="E4915">
            <v>0.27</v>
          </cell>
          <cell r="F4915" t="str">
            <v>Bỏ chọn</v>
          </cell>
          <cell r="G4915"/>
          <cell r="H4915"/>
        </row>
        <row r="4916">
          <cell r="A4916" t="str">
            <v>V51.000.240</v>
          </cell>
          <cell r="B4916" t="str">
            <v>CERTIFICATE OF APPRECIATION</v>
          </cell>
          <cell r="C4916" t="str">
            <v>BẢNG VINH DANH</v>
          </cell>
          <cell r="D4916" t="str">
            <v>CERTIFICATE OF APPRECIATION</v>
          </cell>
          <cell r="E4916">
            <v>0</v>
          </cell>
          <cell r="F4916" t="str">
            <v>Chọn</v>
          </cell>
          <cell r="G4916"/>
          <cell r="H4916"/>
        </row>
        <row r="4917">
          <cell r="A4917" t="str">
            <v>7.703005140500500</v>
          </cell>
          <cell r="B4917" t="str">
            <v>WILFARIN SA1810 IN WOVENBAG@500KG</v>
          </cell>
          <cell r="C4917" t="str">
            <v>AXIT STEARIC SA1810; BAO NHỰA 500KG</v>
          </cell>
          <cell r="D4917" t="str">
            <v>WILFARIN SA1810 IN WOVENBAG@500KG</v>
          </cell>
          <cell r="E4917">
            <v>500</v>
          </cell>
          <cell r="F4917" t="str">
            <v>Chọn</v>
          </cell>
          <cell r="G4917"/>
          <cell r="H4917"/>
        </row>
        <row r="4918">
          <cell r="A4918" t="str">
            <v>7.7042349637196000</v>
          </cell>
          <cell r="B4918" t="str">
            <v>CLEANWISE LIQUIDDETERGENT FLORAL PCH@3KG</v>
          </cell>
          <cell r="C4918" t="str">
            <v>NƯỚC GIẶT CLEANWISE HƯƠNG HOA 3.0KG</v>
          </cell>
          <cell r="D4918" t="str">
            <v>CLEANWISE LIQUIDDETERGENT FLORAL PCH@3KG</v>
          </cell>
          <cell r="E4918">
            <v>3</v>
          </cell>
          <cell r="F4918" t="str">
            <v>Chọn</v>
          </cell>
          <cell r="G4918"/>
          <cell r="H4918"/>
        </row>
        <row r="4919">
          <cell r="A4919" t="str">
            <v>7.704234963719600C</v>
          </cell>
          <cell r="B4919" t="str">
            <v>CLEANWISE LIQD DETERGENT FLORAL 3KG*6PCH</v>
          </cell>
          <cell r="C4919" t="str">
            <v>NƯỚC GIẶT CLEANWISE HƯƠNG HOA 3.0KG*6</v>
          </cell>
          <cell r="D4919" t="str">
            <v>CLEANWISE LIQD DETERGENT FLORAL 3KG*6PCH</v>
          </cell>
          <cell r="E4919">
            <v>18</v>
          </cell>
          <cell r="F4919" t="str">
            <v>Chọn</v>
          </cell>
          <cell r="G4919"/>
          <cell r="H4919"/>
        </row>
        <row r="4920">
          <cell r="A4920" t="str">
            <v>N04.0018001.00085</v>
          </cell>
          <cell r="B4920" t="str">
            <v>BAG, TYPE:TOTE/GOODIE, MATERIAL:BLENDED JUTE FABRIC, SIZE:W. 30 X D. 9.2 X H. 36 CM, ADDITIONAL DETAILS:ROUND ROPE HANDLE, OLIVOILÀ</v>
          </cell>
          <cell r="C4920" t="str">
            <v>TÚI VẢI ĐAY OLIVOILÀ</v>
          </cell>
          <cell r="D4920" t="str">
            <v>BAG,W. 30 X D. 9.2 X H. 36 CM,TOTE/GOODI</v>
          </cell>
          <cell r="E4920">
            <v>0</v>
          </cell>
          <cell r="F4920" t="str">
            <v>Chọn</v>
          </cell>
          <cell r="G4920"/>
          <cell r="H4920"/>
        </row>
        <row r="4921">
          <cell r="A4921" t="str">
            <v>7.522208092631901</v>
          </cell>
          <cell r="B4921" t="str">
            <v>ACE-111 WOOD GLUE FLOUR PRO9% PPBAG@40KG</v>
          </cell>
          <cell r="C4921" t="str">
            <v>BỘT MÌ CÔNG NGHIỆP ACE - 111 40KG</v>
          </cell>
          <cell r="D4921" t="str">
            <v>ACE-111 WOOD GLUE FLOUR PRO9% PPBAG@40KG</v>
          </cell>
          <cell r="E4921">
            <v>40</v>
          </cell>
          <cell r="F4921" t="str">
            <v>Chọn</v>
          </cell>
          <cell r="G4921"/>
          <cell r="H4921"/>
        </row>
        <row r="4922">
          <cell r="A4922" t="str">
            <v>7.I420210990501C2</v>
          </cell>
          <cell r="B4922" t="str">
            <v>HULLED SESAME SEED 99.95 PACKING IN 25KG PP BAG</v>
          </cell>
          <cell r="C4922" t="str">
            <v>HẠT MÈ (VỪNG) TÁCH VỎ 99.95 ĐÓNG TRONG BAO 25KG</v>
          </cell>
          <cell r="D4922" t="str">
            <v>HULLED SESAME SEED 99.95 PACKING IN 25KG PP BAG</v>
          </cell>
          <cell r="E4922">
            <v>25</v>
          </cell>
          <cell r="F4922" t="str">
            <v>Chọn</v>
          </cell>
          <cell r="G4922"/>
          <cell r="H4922"/>
        </row>
        <row r="4923">
          <cell r="A4923" t="str">
            <v>7.I420210990501C201</v>
          </cell>
          <cell r="B4923" t="str">
            <v>HULLED SESAME SEED 99.95 PACKING IN 1KG PP BAG</v>
          </cell>
          <cell r="C4923" t="str">
            <v>HẠT MÈ (VỪNG) TÁCH VỎ 99.95 ĐÓNG TRONG GÓI 1KG</v>
          </cell>
          <cell r="D4923" t="str">
            <v>HULLED SESAME SEED 99.95 PACKING IN 1KG PP BAG</v>
          </cell>
          <cell r="E4923">
            <v>1</v>
          </cell>
          <cell r="F4923" t="str">
            <v>Bỏ chọn</v>
          </cell>
          <cell r="G4923"/>
          <cell r="H4923"/>
        </row>
        <row r="4924">
          <cell r="A4924" t="str">
            <v>V78.000.045</v>
          </cell>
          <cell r="B4924" t="str">
            <v>ROYAL LOGO SHORT-SLEEVED T-SHIRT - IN RED</v>
          </cell>
          <cell r="C4924" t="str">
            <v>ÁO THUN CÓ CỔ NGẮN TAY LOGO HOÀNG GIA - MÀU ĐỎ</v>
          </cell>
          <cell r="D4924" t="str">
            <v>ROYAL LOGO SHORT-SLEEVED T-SHIRT - IN RED</v>
          </cell>
          <cell r="E4924">
            <v>0</v>
          </cell>
          <cell r="F4924" t="str">
            <v>Chọn</v>
          </cell>
          <cell r="G4924"/>
          <cell r="H4924"/>
        </row>
        <row r="4925">
          <cell r="A4925" t="str">
            <v>V78.000.046</v>
          </cell>
          <cell r="B4925" t="str">
            <v>ROYAL LOGO LONG-SLEEVED T-SHIRT - IN BLUE</v>
          </cell>
          <cell r="C4925" t="str">
            <v>ÁO THUN CÓ CỔ DÀI TAY LOGO HOÀNG GIA - MÀU XANH</v>
          </cell>
          <cell r="D4925" t="str">
            <v>ROYAL LOGO LONG-SLEEVED T-SHIRT - IN BLUE</v>
          </cell>
          <cell r="E4925">
            <v>0</v>
          </cell>
          <cell r="F4925" t="str">
            <v>Chọn</v>
          </cell>
          <cell r="G4925"/>
          <cell r="H4925"/>
        </row>
        <row r="4926">
          <cell r="A4926" t="str">
            <v>7.522H850041201140TD</v>
          </cell>
          <cell r="B4926" t="str">
            <v>MEIZAN MACARONI ELBOW 400G X 12BAG</v>
          </cell>
          <cell r="C4926" t="str">
            <v>NUI CAO CẤP MEIZAN - CHỮ "C" 400G X 12 GÓI</v>
          </cell>
          <cell r="D4926" t="str">
            <v>MEIZAN MACARONI ELBOW 400G X 12BAG</v>
          </cell>
          <cell r="E4926">
            <v>4.8</v>
          </cell>
          <cell r="F4926" t="str">
            <v>Chọn</v>
          </cell>
          <cell r="G4926"/>
          <cell r="H4926"/>
        </row>
        <row r="4927">
          <cell r="A4927" t="str">
            <v>7.522H850041201000TD</v>
          </cell>
          <cell r="B4927" t="str">
            <v>MEIZAN MACARONI ELBOW IN PLASTICBAG@400G</v>
          </cell>
          <cell r="C4927" t="str">
            <v>NUI CAO CẤP MEIZAN - CHỮ "C" 400G</v>
          </cell>
          <cell r="D4927" t="str">
            <v>MEIZAN MACARONI ELBOW IN PLASTICBAG@400G</v>
          </cell>
          <cell r="E4927">
            <v>0.4</v>
          </cell>
          <cell r="F4927" t="str">
            <v>Chọn</v>
          </cell>
          <cell r="G4927"/>
          <cell r="H4927"/>
        </row>
        <row r="4928">
          <cell r="A4928" t="str">
            <v>7.5222160208O1901</v>
          </cell>
          <cell r="B4928" t="str">
            <v>ORANGE KEY 888 WHEAT FL 11-14%PPBAG@25KG</v>
          </cell>
          <cell r="C4928" t="str">
            <v>BỘT MÌ HIỆU CHÌA KHÓA CAM - 888 25KG</v>
          </cell>
          <cell r="D4928" t="str">
            <v>ORANGE KEY 888 WHEAT FL 11-14%PPBAG@25KG</v>
          </cell>
          <cell r="E4928">
            <v>25</v>
          </cell>
          <cell r="F4928" t="str">
            <v>Chọn</v>
          </cell>
          <cell r="G4928"/>
          <cell r="H4928"/>
        </row>
        <row r="4929">
          <cell r="A4929" t="str">
            <v>7.5222170208O1901</v>
          </cell>
          <cell r="B4929" t="str">
            <v>ORANGE KEY 999 WHEAT FL 11-14%PPBAG@25KG</v>
          </cell>
          <cell r="C4929" t="str">
            <v>BỘT MÌ HIỆU CHÌA KHÓA CAM - 999 25KG</v>
          </cell>
          <cell r="D4929" t="str">
            <v>ORANGE KEY 999 WHEAT FL 11-14%PPBAG@25KG</v>
          </cell>
          <cell r="E4929">
            <v>25</v>
          </cell>
          <cell r="F4929" t="str">
            <v>Chọn</v>
          </cell>
          <cell r="G4929"/>
          <cell r="H4929"/>
        </row>
        <row r="4930">
          <cell r="A4930" t="str">
            <v>7.52219802C271901</v>
          </cell>
          <cell r="B4930" t="str">
            <v>ORANGEPEN SWEETBREADFL PR10-13PPBAG@25KG</v>
          </cell>
          <cell r="C4930" t="str">
            <v>BỘT MÌ HIỆU CÂY VIẾT CAM 25KG</v>
          </cell>
          <cell r="D4930" t="str">
            <v>ORANGEPEN SWEETBREADFL PR10-13PPBAG@25KG</v>
          </cell>
          <cell r="E4930">
            <v>25</v>
          </cell>
          <cell r="F4930" t="str">
            <v>Chọn</v>
          </cell>
          <cell r="G4930"/>
          <cell r="H4930"/>
        </row>
        <row r="4931">
          <cell r="A4931" t="str">
            <v>N04.0013011.00104</v>
          </cell>
          <cell r="B4931" t="str">
            <v>HOME STORAGE CONTAINER BOX, MATERIAL:POLYPROPYLENE, CAPACITY:30 L, SIZE:L. 527 X W. 270 X H. 372 MM, ADDITIONAL DETAILS:WITH BLUE HANDLES AND, WHITE LID</v>
          </cell>
          <cell r="C4931" t="str">
            <v>THÙNG NHỰA ĐA NĂNG POWER100</v>
          </cell>
          <cell r="D4931" t="str">
            <v>HOME STORAGE CONTAINER BOX,POLYPROPYLENE</v>
          </cell>
          <cell r="E4931">
            <v>0</v>
          </cell>
          <cell r="F4931" t="str">
            <v>Chọn</v>
          </cell>
          <cell r="G4931"/>
          <cell r="H4931"/>
        </row>
        <row r="4932">
          <cell r="A4932" t="str">
            <v>N13.0011006.00015</v>
          </cell>
          <cell r="B4932" t="str">
            <v>NOODLE,PREMIUM MACARONI</v>
          </cell>
          <cell r="C4932" t="str">
            <v>NUI CAO CẤP MEIZAN 200G</v>
          </cell>
          <cell r="D4932" t="str">
            <v>NOODLE, TYPE:PREMIUM MACARONI, PACK SIZE:200 G, BRAND:MEIZAN</v>
          </cell>
          <cell r="E4932">
            <v>0</v>
          </cell>
          <cell r="F4932" t="str">
            <v>Chọn</v>
          </cell>
          <cell r="G4932"/>
          <cell r="H4932"/>
        </row>
        <row r="4933">
          <cell r="A4933" t="str">
            <v>7.704229P537170000TD</v>
          </cell>
          <cell r="B4933" t="str">
            <v>POWER100 LD PASSION FRENCH POUCH@3.2KG</v>
          </cell>
          <cell r="C4933" t="str">
            <v>NƯỚC GIẶT XẢ POWER100 HƯƠNG NƯỚC HOA PHÁP ĐAM MÊ 3.2KG</v>
          </cell>
          <cell r="D4933" t="str">
            <v>POWER100 LD PASSION FRENCH POUCH@3.2KG</v>
          </cell>
          <cell r="E4933">
            <v>3.2</v>
          </cell>
          <cell r="F4933" t="str">
            <v>Chọn</v>
          </cell>
          <cell r="G4933"/>
          <cell r="H4933"/>
        </row>
        <row r="4934">
          <cell r="A4934" t="str">
            <v>7.52219909C491901</v>
          </cell>
          <cell r="B4934" t="str">
            <v>ORANGECOMPASS BREAD FL 9-12% PPBAG@40KG</v>
          </cell>
          <cell r="C4934" t="str">
            <v>BỘT MÌ HIỆU LA BÀN CAM 40KG</v>
          </cell>
          <cell r="D4934" t="str">
            <v>ORANGECOMPASS BREAD FL 9-12% PPBAG@40KG</v>
          </cell>
          <cell r="E4934">
            <v>40</v>
          </cell>
          <cell r="F4934" t="str">
            <v>Chọn</v>
          </cell>
          <cell r="G4934"/>
          <cell r="H4934"/>
        </row>
        <row r="4935">
          <cell r="A4935" t="str">
            <v>7.G4001B599D601C3</v>
          </cell>
          <cell r="B4935" t="str">
            <v>VINATEA PANDAN FLAVORED TEA 70G X 72 BAGS IN CARTON</v>
          </cell>
          <cell r="C4935" t="str">
            <v>TRÀ VINATEA HƯƠNG SÂM DỨA, LOẠI 70G X 72 TÚI ĐÓNG TRONG THÙNG CARTON</v>
          </cell>
          <cell r="D4935" t="str">
            <v>VINATEA PANDAN FLAVORED TEA 70G X 72 BAGS IN CARTON</v>
          </cell>
          <cell r="E4935">
            <v>5.04</v>
          </cell>
          <cell r="F4935" t="str">
            <v>Chọn</v>
          </cell>
          <cell r="G4935"/>
          <cell r="H4935" t="str">
            <v>7.G4001B599D601C301</v>
          </cell>
        </row>
        <row r="4936">
          <cell r="A4936" t="str">
            <v>7.G4001B599D601C301</v>
          </cell>
          <cell r="B4936" t="str">
            <v>VINATEA PANDAN FLAVORED TEA 70G</v>
          </cell>
          <cell r="C4936" t="str">
            <v>TRÀ VINATEA HƯƠNG SÂM DỨA, LOẠI 70G</v>
          </cell>
          <cell r="D4936" t="str">
            <v>VINATEA PANDAN FLAVORED TEA 70G</v>
          </cell>
          <cell r="E4936">
            <v>7.0000000000000007E-2</v>
          </cell>
          <cell r="F4936" t="str">
            <v>Chọn</v>
          </cell>
          <cell r="G4936"/>
          <cell r="H4936"/>
        </row>
        <row r="4937">
          <cell r="A4937" t="str">
            <v>7.G4001B599F20186</v>
          </cell>
          <cell r="B4937" t="str">
            <v>VINATEA JASMINE FLAVORED TEA 70G X 72 BAGS IN CARTON</v>
          </cell>
          <cell r="C4937" t="str">
            <v>TRÀ VINATEA HƯƠNG NHÀI, LOẠI 70G X 72 TÚI ĐÓNG TRONG THÙNG CARTON</v>
          </cell>
          <cell r="D4937" t="str">
            <v>VINATEA JASMINE FLAVORED TEA 70G X 72 BAGS IN CARTON</v>
          </cell>
          <cell r="E4937">
            <v>5.04</v>
          </cell>
          <cell r="F4937" t="str">
            <v>Chọn</v>
          </cell>
          <cell r="G4937"/>
          <cell r="H4937" t="str">
            <v>7.G4001B599D6018601</v>
          </cell>
        </row>
        <row r="4938">
          <cell r="A4938" t="str">
            <v>7.G4001B595F3019901</v>
          </cell>
          <cell r="B4938" t="str">
            <v>VINATEA THAI NGUYEN LOOSE LEAF TEA BAG 100G</v>
          </cell>
          <cell r="C4938" t="str">
            <v>TRÀ VINATEA THÁI NGUYÊN SỢI RỜI TÚI XANH, LOẠI 100G</v>
          </cell>
          <cell r="D4938" t="str">
            <v>VINATEA THAI NGUYEN LOOSE LEAF TEA BAG 100G</v>
          </cell>
          <cell r="E4938">
            <v>0.1</v>
          </cell>
          <cell r="F4938" t="str">
            <v>Chọn</v>
          </cell>
          <cell r="G4938"/>
          <cell r="H4938"/>
        </row>
        <row r="4939">
          <cell r="A4939" t="str">
            <v>7.G4001B595F30199</v>
          </cell>
          <cell r="B4939" t="str">
            <v>VINATEA THAI NGUYEN LOOSE LEAF TEA BAG 100G X 48 BAGS IN CARTON</v>
          </cell>
          <cell r="C4939" t="str">
            <v>TRÀ VINATEA THÁI NGUYÊN SỢI RỜI TÚI XANH, LOẠI 100G X 48 GÓI ĐÓNG TRONG THÙNG CARTON</v>
          </cell>
          <cell r="D4939" t="str">
            <v>VINATEA THAI NGUYEN LOOSE LEAF TEA BAG 100G X 48 BAGS IN CARTON</v>
          </cell>
          <cell r="E4939">
            <v>4.8</v>
          </cell>
          <cell r="F4939" t="str">
            <v>Chọn</v>
          </cell>
          <cell r="G4939"/>
          <cell r="H4939" t="str">
            <v>7.G4001B595F3019901</v>
          </cell>
        </row>
        <row r="4940">
          <cell r="A4940" t="str">
            <v>7.707707P537170000</v>
          </cell>
          <cell r="B4940" t="str">
            <v>POWER100 DWL SVG GREENTEA ALOE PCH@3.2KG</v>
          </cell>
          <cell r="C4940" t="str">
            <v>NƯỚC RỬA CHÉN POWER100 TIẾT KIỆM HƯƠNG TRÀ XANH LÔ HỘI 3.2KG TÚI</v>
          </cell>
          <cell r="D4940" t="str">
            <v>POWER100 DWL SVG GREENTEA ALOE PCH@3.2KG</v>
          </cell>
          <cell r="E4940">
            <v>3.2</v>
          </cell>
          <cell r="F4940" t="str">
            <v>Chọn</v>
          </cell>
          <cell r="G4940"/>
          <cell r="H4940"/>
        </row>
        <row r="4941">
          <cell r="A4941" t="str">
            <v>7.707707P53717000H</v>
          </cell>
          <cell r="B4941" t="str">
            <v>POWER100 DWL SVG GREENTEAALOE 3.2KG*4PCH</v>
          </cell>
          <cell r="C4941" t="str">
            <v>NƯỚC RỬA CHÉN POWER100 TIẾT KIỆM HƯƠNG TRÀ XANH LÔ HỘI 3.2KG*4 TÚI</v>
          </cell>
          <cell r="D4941" t="str">
            <v>POWER100 DWL SVG GREENTEAALOE 3.2KG*4PCH</v>
          </cell>
          <cell r="E4941">
            <v>12.8</v>
          </cell>
          <cell r="F4941" t="str">
            <v>Chọn</v>
          </cell>
          <cell r="G4941"/>
          <cell r="H4941" t="str">
            <v>7.707707P537170000</v>
          </cell>
        </row>
        <row r="4942">
          <cell r="A4942" t="str">
            <v>7.7077109537170000</v>
          </cell>
          <cell r="B4942" t="str">
            <v>POWER100 NATURAL DWL ALOEVERA EO PCH@2KG</v>
          </cell>
          <cell r="C4942" t="str">
            <v>NƯỚC RỬA CHÉN POWER100 NATURAL TINH CHẤT LÔ HỘI 2.0KG TÚI</v>
          </cell>
          <cell r="D4942" t="str">
            <v>POWER100 NATURAL DWL ALOEVERA EO PCH@2KG</v>
          </cell>
          <cell r="E4942">
            <v>2</v>
          </cell>
          <cell r="F4942" t="str">
            <v>Chọn</v>
          </cell>
          <cell r="G4942"/>
          <cell r="H4942"/>
        </row>
        <row r="4943">
          <cell r="A4943" t="str">
            <v>7.707710953717000C</v>
          </cell>
          <cell r="B4943" t="str">
            <v>POWER100 NTRL DWL ALOEVERA EO 2KG*6BTL</v>
          </cell>
          <cell r="C4943" t="str">
            <v>NƯỚC RỬA CHÉN POWER100 NATURAL TINH CHẤT LÔ HỘI 2.0KG*6 TÚI</v>
          </cell>
          <cell r="D4943" t="str">
            <v>POWER100 NTRL DWL ALOEVERA EO 2KG*6BTL</v>
          </cell>
          <cell r="E4943">
            <v>12</v>
          </cell>
          <cell r="F4943" t="str">
            <v>Chọn</v>
          </cell>
          <cell r="G4943"/>
          <cell r="H4943" t="str">
            <v>7.7077109537170000</v>
          </cell>
        </row>
        <row r="4944">
          <cell r="A4944" t="str">
            <v>7.7077109628170000</v>
          </cell>
          <cell r="B4944" t="str">
            <v>POWER100 NATURAL DWL ALOEVERA EO BTL@3KG</v>
          </cell>
          <cell r="C4944" t="str">
            <v>NƯỚC RỬA CHÉN POWER100 NATURAL TINH CHẤT LÔ HỘI 3.0KG</v>
          </cell>
          <cell r="D4944" t="str">
            <v>POWER100 NATURAL DWL ALOEVERA EO BTL@3KG</v>
          </cell>
          <cell r="E4944">
            <v>3</v>
          </cell>
          <cell r="F4944" t="str">
            <v>Chọn</v>
          </cell>
          <cell r="G4944"/>
          <cell r="H4944"/>
        </row>
        <row r="4945">
          <cell r="A4945" t="str">
            <v>7.707710962817000H</v>
          </cell>
          <cell r="B4945" t="str">
            <v>POWER100 NTRL DWL ALOEVERA EO 3KG*4BTL</v>
          </cell>
          <cell r="C4945" t="str">
            <v>NƯỚC RỬA CHÉN POWER100 NATURAL TINH CHẤT LÔ HỘI 3.0KG*4</v>
          </cell>
          <cell r="D4945" t="str">
            <v>POWER100 NTRL DWL ALOEVERA EO 3KG*4BTL</v>
          </cell>
          <cell r="E4945">
            <v>12</v>
          </cell>
          <cell r="F4945" t="str">
            <v>Chọn</v>
          </cell>
          <cell r="G4945"/>
          <cell r="H4945" t="str">
            <v>7.7077109628170000</v>
          </cell>
        </row>
        <row r="4946">
          <cell r="A4946" t="str">
            <v>7.707710E928170000</v>
          </cell>
          <cell r="B4946" t="str">
            <v>POWER100 NATURALDWL ALOEVERA EO BTL@750G</v>
          </cell>
          <cell r="C4946" t="str">
            <v>NƯỚC RỬA CHÉN POWER100 NATURAL TINH CHẤT LÔ HỘI 750G</v>
          </cell>
          <cell r="D4946" t="str">
            <v>POWER100 NATURALDWL ALOEVERA EO BTL@750G</v>
          </cell>
          <cell r="E4946">
            <v>0.75</v>
          </cell>
          <cell r="F4946" t="str">
            <v>Chọn</v>
          </cell>
          <cell r="G4946"/>
          <cell r="H4946"/>
        </row>
        <row r="4947">
          <cell r="A4947" t="str">
            <v>7.707710E92817000N</v>
          </cell>
          <cell r="B4947" t="str">
            <v>POWER100 NTRL DWL ALOEVERA EO 750G*16BTL</v>
          </cell>
          <cell r="C4947" t="str">
            <v>NƯỚC RỬA CHÉN POWER100 NATURAL TINH CHẤT LÔ HỘI 750G*16</v>
          </cell>
          <cell r="D4947" t="str">
            <v>POWER100 NTRL DWL ALOEVERA EO 750G*16BTL</v>
          </cell>
          <cell r="E4947">
            <v>12</v>
          </cell>
          <cell r="F4947" t="str">
            <v>Chọn</v>
          </cell>
          <cell r="G4947"/>
          <cell r="H4947" t="str">
            <v>7.707710E928170000</v>
          </cell>
        </row>
        <row r="4948">
          <cell r="A4948" t="str">
            <v>7.707710F628170000</v>
          </cell>
          <cell r="B4948" t="str">
            <v>POWER100 NATURALDWL ALOEVERA EO BTL@400G</v>
          </cell>
          <cell r="C4948" t="str">
            <v>NƯỚC RỬA CHÉN POWER100 NATURAL TINH CHẤT LÔ HỘI 400G</v>
          </cell>
          <cell r="D4948" t="str">
            <v>POWER100 NATURALDWL ALOEVERA EO BTL@400G</v>
          </cell>
          <cell r="E4948">
            <v>0.4</v>
          </cell>
          <cell r="F4948" t="str">
            <v>Chọn</v>
          </cell>
          <cell r="G4948"/>
          <cell r="H4948"/>
        </row>
        <row r="4949">
          <cell r="A4949" t="str">
            <v>7.707710F62817000A</v>
          </cell>
          <cell r="B4949" t="str">
            <v>POWER100 NTRL DWL ALOEVERA EO 400G*24BTL</v>
          </cell>
          <cell r="C4949" t="str">
            <v>NƯỚC RỬA CHÉN POWER100 NATURAL TINH CHẤT LÔ HỘI 400G*24</v>
          </cell>
          <cell r="D4949" t="str">
            <v>POWER100 NTRL DWL ALOEVERA EO 400G*24BTL</v>
          </cell>
          <cell r="E4949">
            <v>9.6</v>
          </cell>
          <cell r="F4949" t="str">
            <v>Chọn</v>
          </cell>
          <cell r="G4949"/>
          <cell r="H4949" t="str">
            <v>7.707710F628170000</v>
          </cell>
        </row>
        <row r="4950">
          <cell r="A4950" t="str">
            <v>7.707710N328170000</v>
          </cell>
          <cell r="B4950" t="str">
            <v>POWER100 NTRL DWL ALOEVERA EO BTL@1.4KG</v>
          </cell>
          <cell r="C4950" t="str">
            <v>NƯỚC RỬA CHÉN POWER100 NATURAL TINH CHẤT LÔ HỘI 1.4KG</v>
          </cell>
          <cell r="D4950" t="str">
            <v>POWER100 NTRL DWL ALOEVERA EO BTL@1.4KG</v>
          </cell>
          <cell r="E4950">
            <v>1.4</v>
          </cell>
          <cell r="F4950" t="str">
            <v>Chọn</v>
          </cell>
          <cell r="G4950"/>
          <cell r="H4950"/>
        </row>
        <row r="4951">
          <cell r="A4951" t="str">
            <v>7.707710N32817000K</v>
          </cell>
          <cell r="B4951" t="str">
            <v>POWER100 NTRL DWL ALOEVERA EO 1.4KG*8BTL</v>
          </cell>
          <cell r="C4951" t="str">
            <v>NƯỚC RỬA CHÉN POWER100 NATURAL TINH CHẤT LÔ HỘI 1.4KG*8</v>
          </cell>
          <cell r="D4951" t="str">
            <v>POWER100 NTRL DWL ALOEVERA EO 1.4KG*8BTL</v>
          </cell>
          <cell r="E4951">
            <v>11.2</v>
          </cell>
          <cell r="F4951" t="str">
            <v>Chọn</v>
          </cell>
          <cell r="G4951"/>
          <cell r="H4951" t="str">
            <v>7.707710N328170000</v>
          </cell>
        </row>
        <row r="4952">
          <cell r="A4952" t="str">
            <v>7.7077119537170000</v>
          </cell>
          <cell r="B4952" t="str">
            <v>POWER100 NTRL DWL GRAPEFRUIT EO PCH@2KG</v>
          </cell>
          <cell r="C4952" t="str">
            <v>NƯỚC RỬA CHÉN POWER100 NATURAL TINH DẦU BƯỞI TÂY 2.0KG TÚI</v>
          </cell>
          <cell r="D4952" t="str">
            <v>POWER100 NTRL DWL GRAPEFRUIT EO PCH@2KG</v>
          </cell>
          <cell r="E4952">
            <v>2</v>
          </cell>
          <cell r="F4952" t="str">
            <v>Chọn</v>
          </cell>
          <cell r="G4952"/>
          <cell r="H4952"/>
        </row>
        <row r="4953">
          <cell r="A4953" t="str">
            <v>7.707711953717000C</v>
          </cell>
          <cell r="B4953" t="str">
            <v>POWER100 NTRL DWL GRAPEFRUIT EO 2KG*6PCH</v>
          </cell>
          <cell r="C4953" t="str">
            <v>NƯỚC RỬA CHÉN POWER100 NATURAL TINH DẦU BƯỞI TÂY 2.0KG*6 TÚI</v>
          </cell>
          <cell r="D4953" t="str">
            <v>POWER100 NTRL DWL GRAPEFRUIT EO 2KG*6PCH</v>
          </cell>
          <cell r="E4953">
            <v>12</v>
          </cell>
          <cell r="F4953" t="str">
            <v>Chọn</v>
          </cell>
          <cell r="G4953"/>
          <cell r="H4953" t="str">
            <v>7.7077119537170000</v>
          </cell>
        </row>
        <row r="4954">
          <cell r="A4954" t="str">
            <v>7.7077119628170000</v>
          </cell>
          <cell r="B4954" t="str">
            <v>POWER100 NTRL DWL GRAPEFRUIT EO BTL@3KG</v>
          </cell>
          <cell r="C4954" t="str">
            <v>NƯỚC RỬA CHÉN POWER100 NATURAL TINH DẦU BƯỞI TÂY 3.0KG</v>
          </cell>
          <cell r="D4954" t="str">
            <v>POWER100 NTRL DWL GRAPEFRUIT EO BTL@3KG</v>
          </cell>
          <cell r="E4954">
            <v>3</v>
          </cell>
          <cell r="F4954" t="str">
            <v>Chọn</v>
          </cell>
          <cell r="G4954"/>
          <cell r="H4954"/>
        </row>
        <row r="4955">
          <cell r="A4955" t="str">
            <v>7.707711962817000H</v>
          </cell>
          <cell r="B4955" t="str">
            <v>POWER100 NTRL DWL GRAPEFRUIT EO 3KG*4BTL</v>
          </cell>
          <cell r="C4955" t="str">
            <v>NƯỚC RỬA CHÉN POWER100 NATURAL TINH DẦU BƯỞI TÂY 3.0KG*4</v>
          </cell>
          <cell r="D4955" t="str">
            <v>POWER100 NTRL DWL GRAPEFRUIT EO 3KG*4BTL</v>
          </cell>
          <cell r="E4955">
            <v>12</v>
          </cell>
          <cell r="F4955" t="str">
            <v>Chọn</v>
          </cell>
          <cell r="G4955"/>
          <cell r="H4955" t="str">
            <v>7.7077119628170000</v>
          </cell>
        </row>
        <row r="4956">
          <cell r="A4956" t="str">
            <v>7.707711E928170000</v>
          </cell>
          <cell r="B4956" t="str">
            <v>POWER100 NTRL DWL GRAPEFRUIT EO BTL@750G</v>
          </cell>
          <cell r="C4956" t="str">
            <v>NƯỚC RỬA CHÉN POWER100 NATURAL TINH DẦU BƯỞI TÂY 750G</v>
          </cell>
          <cell r="D4956" t="str">
            <v>POWER100 NTRL DWL GRAPEFRUIT EO BTL@750G</v>
          </cell>
          <cell r="E4956">
            <v>0.75</v>
          </cell>
          <cell r="F4956" t="str">
            <v>Chọn</v>
          </cell>
          <cell r="G4956"/>
          <cell r="H4956"/>
        </row>
        <row r="4957">
          <cell r="A4957" t="str">
            <v>7.707711E92817000N</v>
          </cell>
          <cell r="B4957" t="str">
            <v>POWER100 NTRLDWLGRAPEFRUIT EO 750G*16BTL</v>
          </cell>
          <cell r="C4957" t="str">
            <v>NƯỚC RỬA CHÉN POWER100 NATURAL TINH DẦU BƯỞI TÂY 750G*16</v>
          </cell>
          <cell r="D4957" t="str">
            <v>POWER100 NTRLDWLGRAPEFRUIT EO 750G*16BTL</v>
          </cell>
          <cell r="E4957">
            <v>12</v>
          </cell>
          <cell r="F4957" t="str">
            <v>Chọn</v>
          </cell>
          <cell r="G4957"/>
          <cell r="H4957" t="str">
            <v>7.707711E928170000</v>
          </cell>
        </row>
        <row r="4958">
          <cell r="A4958" t="str">
            <v>7.707711F628170000</v>
          </cell>
          <cell r="B4958" t="str">
            <v>POWER100 NTRL DWL GRAPEFRUIT EO BTL@400G</v>
          </cell>
          <cell r="C4958" t="str">
            <v>NƯỚC RỬA CHÉN POWER100 NATURAL TINH DẦU BƯỞI TÂY 400G</v>
          </cell>
          <cell r="D4958" t="str">
            <v>POWER100 NTRL DWL GRAPEFRUIT EO BTL@400G</v>
          </cell>
          <cell r="E4958">
            <v>0.4</v>
          </cell>
          <cell r="F4958" t="str">
            <v>Chọn</v>
          </cell>
          <cell r="G4958"/>
          <cell r="H4958"/>
        </row>
        <row r="4959">
          <cell r="A4959" t="str">
            <v>7.707711F62817000A</v>
          </cell>
          <cell r="B4959" t="str">
            <v>POWER100 NTRLDWLGRAPEFRUIT EO 400G*24BTL</v>
          </cell>
          <cell r="C4959" t="str">
            <v>NƯỚC RỬA CHÉN POWER100 NATURAL TINH DẦU BƯỞI TÂY 400G*24</v>
          </cell>
          <cell r="D4959" t="str">
            <v>POWER100 NTRLDWLGRAPEFRUIT EO 400G*24BTL</v>
          </cell>
          <cell r="E4959">
            <v>9.6</v>
          </cell>
          <cell r="F4959" t="str">
            <v>Chọn</v>
          </cell>
          <cell r="G4959"/>
          <cell r="H4959" t="str">
            <v>7.707711F628170000</v>
          </cell>
        </row>
        <row r="4960">
          <cell r="A4960" t="str">
            <v>7.707711N328170000</v>
          </cell>
          <cell r="B4960" t="str">
            <v>POWER100 NTRLDWL GRAPEFRUIT EO BTL@1.4KG</v>
          </cell>
          <cell r="C4960" t="str">
            <v>NƯỚC RỬA CHÉN POWER100 NATURAL TINH DẦU BƯỞI TÂY 1.4KG</v>
          </cell>
          <cell r="D4960" t="str">
            <v>POWER100 NTRLDWL GRAPEFRUIT EO BTL@1.4KG</v>
          </cell>
          <cell r="E4960">
            <v>1.4</v>
          </cell>
          <cell r="F4960" t="str">
            <v>Chọn</v>
          </cell>
          <cell r="G4960"/>
          <cell r="H4960"/>
        </row>
        <row r="4961">
          <cell r="A4961" t="str">
            <v>7.707711N32817000K</v>
          </cell>
          <cell r="B4961" t="str">
            <v>POWER100 NTRLDWLGRAPEFRUIT EO 1.4KG*8BTL</v>
          </cell>
          <cell r="C4961" t="str">
            <v>NƯỚC RỬA CHÉN POWER100 NATURAL TINH DẦU BƯỞI TÂY 1.4KG*8</v>
          </cell>
          <cell r="D4961" t="str">
            <v>POWER100 NTRLDWLGRAPEFRUIT EO 1.4KG*8BTL</v>
          </cell>
          <cell r="E4961">
            <v>11.2</v>
          </cell>
          <cell r="F4961" t="str">
            <v>Chọn</v>
          </cell>
          <cell r="G4961"/>
          <cell r="H4961" t="str">
            <v>7.707711N328170000</v>
          </cell>
        </row>
        <row r="4962">
          <cell r="A4962" t="str">
            <v>7.7042359137170000</v>
          </cell>
          <cell r="B4962" t="str">
            <v>POWER100 SAVING PD 3IN1 IN POUCH@350G</v>
          </cell>
          <cell r="C4962" t="str">
            <v>BỘT GIẶT POWER100 SAVING 3 TRONG 1 350G</v>
          </cell>
          <cell r="D4962" t="str">
            <v>POWER100 SAVING PD 3IN1 IN POUCH@350G</v>
          </cell>
          <cell r="E4962">
            <v>0.35</v>
          </cell>
          <cell r="F4962" t="str">
            <v>Chọn</v>
          </cell>
          <cell r="G4962"/>
          <cell r="H4962"/>
        </row>
        <row r="4963">
          <cell r="A4963" t="str">
            <v>7.7042359137170005</v>
          </cell>
          <cell r="B4963" t="str">
            <v>POWER100 SAVING PD 3IN1 350G X 36PCH</v>
          </cell>
          <cell r="C4963" t="str">
            <v>BỘT GIẶT POWER100 SAVING 3 TRONG 1 350G*36</v>
          </cell>
          <cell r="D4963" t="str">
            <v>POWER100 SAVING PD 3IN1 350G X 36PCH</v>
          </cell>
          <cell r="E4963">
            <v>12.6</v>
          </cell>
          <cell r="F4963" t="str">
            <v>Bỏ chọn</v>
          </cell>
          <cell r="G4963"/>
          <cell r="H4963" t="str">
            <v>7.7042359137170000</v>
          </cell>
        </row>
        <row r="4964">
          <cell r="A4964" t="str">
            <v>7.704235R737170000</v>
          </cell>
          <cell r="B4964" t="str">
            <v>POWER100 SAVING PD 3IN1 IN POUCH@5.1KG</v>
          </cell>
          <cell r="C4964" t="str">
            <v>BỘT GIẶT POWER100 SAVING 3 TRONG 1 5.1KG</v>
          </cell>
          <cell r="D4964" t="str">
            <v>POWER100 SAVING PD 3IN1 IN POUCH@5.1KG</v>
          </cell>
          <cell r="E4964">
            <v>5.0999999999999996</v>
          </cell>
          <cell r="F4964" t="str">
            <v>Chọn</v>
          </cell>
          <cell r="G4964"/>
          <cell r="H4964"/>
        </row>
        <row r="4965">
          <cell r="A4965" t="str">
            <v>7.704235R73717001I</v>
          </cell>
          <cell r="B4965" t="str">
            <v>POWER100 SAVING PD 3IN1 5.1KG X 3PCH</v>
          </cell>
          <cell r="C4965" t="str">
            <v>BỘT GIẶT POWER100 SAVING 3 TRONG 1 5.1KG*3</v>
          </cell>
          <cell r="D4965" t="str">
            <v>POWER100 SAVING PD 3IN1 5.1KG X 3PCH</v>
          </cell>
          <cell r="E4965">
            <v>15.3</v>
          </cell>
          <cell r="F4965" t="str">
            <v>Bỏ chọn</v>
          </cell>
          <cell r="G4965"/>
          <cell r="H4965" t="str">
            <v>7.704235R737170000</v>
          </cell>
        </row>
        <row r="4966">
          <cell r="A4966" t="str">
            <v>V83.000.005</v>
          </cell>
          <cell r="B4966" t="str">
            <v>PACKING CARTON FOR MF UHT LOW FAT CALCI MILK 1LX12</v>
          </cell>
          <cell r="C4966" t="str">
            <v>VỎ THÙNG CARTON SỮA TIỆT TRÙNG GIÀU CANXI ÍT BÉO LOẠI 1LX12</v>
          </cell>
          <cell r="D4966" t="str">
            <v>PACKING CARTON FOR MF UHT LOW FAT CALCI MILK 1LX12</v>
          </cell>
          <cell r="E4966">
            <v>0.17</v>
          </cell>
          <cell r="F4966" t="str">
            <v>Chọn</v>
          </cell>
          <cell r="G4966"/>
          <cell r="H4966"/>
        </row>
        <row r="4967">
          <cell r="A4967" t="str">
            <v>7.522218020140601</v>
          </cell>
          <cell r="B4967" t="str">
            <v>ORANGE SATELLITE BREAD FLOUR 12-14%@25KG</v>
          </cell>
          <cell r="C4967" t="str">
            <v>BỘT MÌ HIỆU VỆ TINH CAM 25KG</v>
          </cell>
          <cell r="D4967" t="str">
            <v>ORANGE SATELLITE BREAD FLOUR 12-14%@25KG</v>
          </cell>
          <cell r="E4967">
            <v>25</v>
          </cell>
          <cell r="F4967" t="str">
            <v>Chọn</v>
          </cell>
          <cell r="G4967"/>
          <cell r="H4967"/>
        </row>
        <row r="4968">
          <cell r="A4968" t="str">
            <v>7.723027010100000</v>
          </cell>
          <cell r="B4968" t="str">
            <v>MES MIZULAN P-81F IN PAPER BAG @25KG</v>
          </cell>
          <cell r="C4968" t="str">
            <v>CHẤT HOẠT ĐỘNG BỀ MẶT MES (METHYL ESTER SULFONATE) NHÃN HIỆU MIZULAN P-81F ; BAO 25KG</v>
          </cell>
          <cell r="D4968" t="str">
            <v>MES MIZULAN P-81F IN PAPER BAG @25KG</v>
          </cell>
          <cell r="E4968">
            <v>25</v>
          </cell>
          <cell r="F4968" t="str">
            <v>Chọn</v>
          </cell>
          <cell r="G4968"/>
          <cell r="H4968"/>
        </row>
        <row r="4969">
          <cell r="A4969" t="str">
            <v>7.101089570901N10</v>
          </cell>
          <cell r="B4969" t="str">
            <v>SATELLITE RBD OLEIN-D IN BIB@18KG/RSPOMB</v>
          </cell>
          <cell r="C4969" t="str">
            <v>DẦU OLEIN CỌ TINH LUYỆN - D NHÃN HIỆU SATELLITE RSPO/MB TRONG THÙNG BIB 18 KG</v>
          </cell>
          <cell r="D4969" t="str">
            <v>SATELLITE RBD OLEIN-D IN BIB@18KG/RSPOMB</v>
          </cell>
          <cell r="E4969">
            <v>18</v>
          </cell>
          <cell r="F4969" t="str">
            <v>Chọn</v>
          </cell>
          <cell r="G4969"/>
          <cell r="H4969"/>
        </row>
        <row r="4970">
          <cell r="A4970" t="str">
            <v>7.101089570901N40</v>
          </cell>
          <cell r="B4970" t="str">
            <v>SATELLITE RBDPO IV50-55LOWGE BIB@18KG/MB</v>
          </cell>
          <cell r="C4970" t="str">
            <v>DẦU CỌ TINH LUYỆN HIỆU SATELLITE RSPO/MB TRONG TÚI BÓNG 18KG</v>
          </cell>
          <cell r="D4970" t="str">
            <v>SATELLITE RBDPO IV50-55LOWGE BIB@18KG/MB</v>
          </cell>
          <cell r="E4970">
            <v>18</v>
          </cell>
          <cell r="F4970" t="str">
            <v>Chọn</v>
          </cell>
          <cell r="G4970"/>
          <cell r="H4970"/>
        </row>
        <row r="4971">
          <cell r="A4971" t="str">
            <v>7.101089570901A80</v>
          </cell>
          <cell r="B4971" t="str">
            <v>SATELLITE RBDOL1008 IN BIB@18KG/RSPO MB</v>
          </cell>
          <cell r="C4971" t="str">
            <v>DẦU OLEIN TINH LUYỆN HIỆU SATELLITE RSPO/MB TRONG TÚI BÓNG 18KG</v>
          </cell>
          <cell r="D4971" t="str">
            <v>SATELLITE RBDOL1008 IN BIB@18KG/RSPO MB</v>
          </cell>
          <cell r="E4971">
            <v>18</v>
          </cell>
          <cell r="F4971" t="str">
            <v>Chọn</v>
          </cell>
          <cell r="G4971"/>
          <cell r="H4971"/>
        </row>
        <row r="4972">
          <cell r="A4972" t="str">
            <v>6.F390210990001C4</v>
          </cell>
          <cell r="B4972" t="str">
            <v>WHITE FINE STANDARD GRADE MURIATE OF POTASH (MOP)/ KALI (KCL)/ WMCLV MURIATE OF POTASH 62; IN BULK; CANADA ORIGIN</v>
          </cell>
          <cell r="C4972" t="str">
            <v>WMCLV MURIATE OF POTASH 62 (PHÂN BÓN KALI CLORUA) DẠNG BỘT MÀU TRẮNG, HÀNG XÁ; XUẤT XỨ CANADA</v>
          </cell>
          <cell r="D4972" t="str">
            <v>WHITE FINE STANDARD GRADE MURIATE OF POTASH (MOP)/ KALI (KCL)/ WMCLV MURIATE OF POTASH 62; IN BULK; CANADA ORIGIN</v>
          </cell>
          <cell r="E4972">
            <v>1</v>
          </cell>
          <cell r="F4972" t="str">
            <v>Chọn</v>
          </cell>
          <cell r="G4972"/>
          <cell r="H4972"/>
        </row>
        <row r="4973">
          <cell r="A4973" t="str">
            <v>7.F3902B3990701C4</v>
          </cell>
          <cell r="B4973" t="str">
            <v>WHITE FINE STANDARD GRADE MURIATE OF POTASH (MOP)/ KALI (KCL)/WMCLV MURIATE OF POTASH 62, KALI POWDER; IN 50KG PP/PE BAG ROYAL BRAND; CANADA ORIGIN</v>
          </cell>
          <cell r="C4973" t="str">
            <v>WMCLV MURIATE OF POTASH 62 (PHÂN BÓN KALI CLORUA) DẠNG BỘT MÀU TRẮNG, ĐÓNG TRONG BAO PP/PE 50KG NHÃN HIỆU HOÀNG GIA; XUẤT XỨ CANADA</v>
          </cell>
          <cell r="D4973" t="str">
            <v>WHITE FINE STANDARD GRADE MURIATE OF POTASH (MOP)/ KALI (KCL)/WMCLV MURIATE OF POTASH 62, KALI POWDER; IN 50KG PP/PE BAG ROYAL BRAND; CANADA ORIGIN</v>
          </cell>
          <cell r="E4973">
            <v>1</v>
          </cell>
          <cell r="F4973" t="str">
            <v>Chọn</v>
          </cell>
          <cell r="G4973"/>
          <cell r="H4973"/>
        </row>
        <row r="4974">
          <cell r="A4974" t="str">
            <v>7.F39021099F401C4</v>
          </cell>
          <cell r="B4974" t="str">
            <v>WHITE FINE STANDARD GRADE MURIATE OF POTASH (MOP)/ KALI (KCL)/WMCLV MURIATE OF POTASH 62, KALI POWDER; IN 1000KG JUMBO; CANADA ORIGIN</v>
          </cell>
          <cell r="C4974" t="str">
            <v>WMCLV MURIATE OF POTASH 62 (PHÂN BÓN KALI CLORUA) DẠNG BỘT MÀU TRẮNG, ĐÓNG TRONG BAO JUMBO 1000KG; XUẤT XỨ CANADA</v>
          </cell>
          <cell r="D4974" t="str">
            <v>WHITE FINE STANDARD GRADE MURIATE OF POTASH (MOP)/ KALI (KCL)/WMCLV MURIATE OF POTASH 62, KALI POWDER; IN 1000KG JUMBO; CANADA ORIGIN</v>
          </cell>
          <cell r="E4974">
            <v>1</v>
          </cell>
          <cell r="F4974" t="str">
            <v>Chọn</v>
          </cell>
          <cell r="G4974"/>
          <cell r="H4974"/>
        </row>
        <row r="4975">
          <cell r="A4975" t="str">
            <v>7.I4203109902A099</v>
          </cell>
          <cell r="B4975" t="str">
            <v>PEANUT KERNEL PACKING IN 1KG PP BAG</v>
          </cell>
          <cell r="C4975" t="str">
            <v>LẠC NHÂN SẤY KHÔ ĐÓNG TRONG TÚI 1KG</v>
          </cell>
          <cell r="D4975" t="str">
            <v>PEANUT KERNEL PACKING IN 1KG PP BAG</v>
          </cell>
          <cell r="E4975">
            <v>1</v>
          </cell>
          <cell r="F4975" t="str">
            <v>Chọn</v>
          </cell>
          <cell r="G4975"/>
          <cell r="H4975"/>
        </row>
        <row r="4976">
          <cell r="A4976" t="str">
            <v>7.701022010100000</v>
          </cell>
          <cell r="B4976" t="str">
            <v>LA1299 BEADS IN PAPER BAG@25KG</v>
          </cell>
          <cell r="C4976" t="str">
            <v>AXIT LAURIC 99% DẠNG HẠT (WILFARIN LA-1299); BAO 25KG</v>
          </cell>
          <cell r="D4976" t="str">
            <v>LA1299 BEADS IN PAPER BAG@25KG</v>
          </cell>
          <cell r="E4976">
            <v>25</v>
          </cell>
          <cell r="F4976" t="str">
            <v>Chọn</v>
          </cell>
          <cell r="G4976"/>
          <cell r="H4976"/>
        </row>
        <row r="4977">
          <cell r="A4977" t="str">
            <v>N04.0022056.00001</v>
          </cell>
          <cell r="B4977" t="str">
            <v>PRINTED BOARD, MATERIAL:FORMEX, SIZE:160 CM X 5.5 CM, PRINTING:OFFSET</v>
          </cell>
          <cell r="C4977" t="str">
            <v>THANH TRƯNG BÀY NEPTUNE 1.6M</v>
          </cell>
          <cell r="D4977" t="str">
            <v>PRINTED BOARD,FORMEX,160 CM X 5.5 CM,OFF</v>
          </cell>
          <cell r="E4977">
            <v>0</v>
          </cell>
          <cell r="F4977" t="str">
            <v>Chọn</v>
          </cell>
          <cell r="G4977"/>
          <cell r="H4977"/>
        </row>
        <row r="4978">
          <cell r="A4978" t="str">
            <v>N04.0022056.00002</v>
          </cell>
          <cell r="B4978" t="str">
            <v>PRINTED BOARD, MATERIAL:FORMEX, SIZE:160 CM X 7 CM, PRINTING:OFFSET</v>
          </cell>
          <cell r="C4978" t="str">
            <v>THANH TRƯNG BÀY 1.6M NEPTUNE &amp; KHẨU HIỆU</v>
          </cell>
          <cell r="D4978" t="str">
            <v>PRINTED BOARD,FORMEX,160 CM X 7 CM,OFFSE</v>
          </cell>
          <cell r="E4978">
            <v>0</v>
          </cell>
          <cell r="F4978" t="str">
            <v>Chọn</v>
          </cell>
          <cell r="G4978"/>
          <cell r="H4978"/>
        </row>
        <row r="4979">
          <cell r="A4979" t="str">
            <v>N04.0022056.00003</v>
          </cell>
          <cell r="B4979" t="str">
            <v>PRINTED BOARD, MATERIAL:FORMEX, SIZE:120 CM X 5.5 CM, PRINTING:OFFSET</v>
          </cell>
          <cell r="C4979" t="str">
            <v>THANH TRƯNG BÀY NEPTUNE 1.2M</v>
          </cell>
          <cell r="D4979" t="str">
            <v>PRINTED BOARD,FORMEX,120 CM X 5.5 CM,OFF</v>
          </cell>
          <cell r="E4979">
            <v>0</v>
          </cell>
          <cell r="F4979" t="str">
            <v>Chọn</v>
          </cell>
          <cell r="G4979"/>
          <cell r="H4979"/>
        </row>
        <row r="4980">
          <cell r="A4980" t="str">
            <v>N04.0022056.00005</v>
          </cell>
          <cell r="B4980" t="str">
            <v>PRINTED BOARD, MATERIAL:FORMEX, SIZE:80 CM X 5.5 CM, PRINTING:OFFSET</v>
          </cell>
          <cell r="C4980" t="str">
            <v>THANH TRƯNG BÀY NEPTUNE 0.8M</v>
          </cell>
          <cell r="D4980" t="str">
            <v>PRINTED BOARD,FORMEX,80 CM X 5.5 CM,OFFS</v>
          </cell>
          <cell r="E4980">
            <v>0</v>
          </cell>
          <cell r="F4980" t="str">
            <v>Chọn</v>
          </cell>
          <cell r="G4980"/>
          <cell r="H4980"/>
        </row>
        <row r="4981">
          <cell r="A4981" t="str">
            <v>N04.0022056.00006</v>
          </cell>
          <cell r="B4981" t="str">
            <v>PRINTED BOARD, MATERIAL:FORMEX, SIZE:80 CM X 7 CM, PRINTING:OFFSET</v>
          </cell>
          <cell r="C4981" t="str">
            <v>THANH TRƯNG BÀY 0.8M NEPTUNE &amp; KHẨU HIỆU</v>
          </cell>
          <cell r="D4981" t="str">
            <v>PRINTED BOARD,FORMEX,80 CM X 7 CM,OFFSET</v>
          </cell>
          <cell r="E4981">
            <v>0</v>
          </cell>
          <cell r="F4981" t="str">
            <v>Chọn</v>
          </cell>
          <cell r="G4981"/>
          <cell r="H4981"/>
        </row>
        <row r="4982">
          <cell r="A4982" t="str">
            <v>N04.0022056.00007</v>
          </cell>
          <cell r="B4982" t="str">
            <v>PRINTED BOARD, MATERIAL:FORMEX, SIZE:26 CM X 36 CM, PRINTING:OFFSET</v>
          </cell>
          <cell r="C4982" t="str">
            <v>MÔ HÌNH CHAI DẦU NEPTUNE</v>
          </cell>
          <cell r="D4982" t="str">
            <v>PRINTED BOARD,FORMEX,26 CM X 36 CM,OFFSE</v>
          </cell>
          <cell r="E4982">
            <v>0</v>
          </cell>
          <cell r="F4982" t="str">
            <v>Chọn</v>
          </cell>
          <cell r="G4982"/>
          <cell r="H4982"/>
        </row>
        <row r="4983">
          <cell r="A4983" t="str">
            <v>N04.0022056.00008</v>
          </cell>
          <cell r="B4983" t="str">
            <v>PRINTED BOARD, MATERIAL:FORMEX, SIZE:45 CM X 11.5 CM, PRINTING:OFFSET</v>
          </cell>
          <cell r="C4983" t="str">
            <v>MÔ HÌNH CHỮ NEPTUNE</v>
          </cell>
          <cell r="D4983" t="str">
            <v>PRINTED BOARD,FORMEX,45 CM X 11.5 CM,OFF</v>
          </cell>
          <cell r="E4983">
            <v>0</v>
          </cell>
          <cell r="F4983" t="str">
            <v>Chọn</v>
          </cell>
          <cell r="G4983"/>
          <cell r="H4983"/>
        </row>
        <row r="4984">
          <cell r="A4984" t="str">
            <v>N04.0022056.00009</v>
          </cell>
          <cell r="B4984" t="str">
            <v>PRINTED BOARD, MATERIAL:FORMEX, SIZE:14 CM X 15 CM, PRINTING:OFFSET</v>
          </cell>
          <cell r="C4984" t="str">
            <v>MÔ HÌNH ÔNG VUA NEPTUNE</v>
          </cell>
          <cell r="D4984" t="str">
            <v>PRINTED BOARD,FORMEX,14 CM X 15 CM,OFFSE</v>
          </cell>
          <cell r="E4984">
            <v>0</v>
          </cell>
          <cell r="F4984" t="str">
            <v>Chọn</v>
          </cell>
          <cell r="G4984"/>
          <cell r="H4984"/>
        </row>
        <row r="4985">
          <cell r="A4985" t="str">
            <v>N16.0758010.00110</v>
          </cell>
          <cell r="B4985" t="str">
            <v>SCREW,SELF DRILLING, DIAMETER:M5, LENGTH:20 MM, MATERIAL:GALVANIZED STEEL</v>
          </cell>
          <cell r="C4985" t="str">
            <v>VÍT</v>
          </cell>
          <cell r="D4985" t="str">
            <v>SCREW,SELF DRILLING,M5,20 MM,GALVANIZED</v>
          </cell>
          <cell r="E4985">
            <v>0</v>
          </cell>
          <cell r="F4985" t="str">
            <v>Chọn</v>
          </cell>
          <cell r="G4985"/>
          <cell r="H4985"/>
        </row>
        <row r="4986">
          <cell r="A4986" t="str">
            <v>N16.0948001.00191</v>
          </cell>
          <cell r="B4986" t="str">
            <v>TIE,CABLE, TYPE:CABLE TIE, WIDTH:5 MM, LENGTH:400 MM, MATERIAL:NYLON</v>
          </cell>
          <cell r="C4986" t="str">
            <v>DÂY RÚT NHỰA 400MM</v>
          </cell>
          <cell r="D4986" t="str">
            <v>TIE,CABLE,5 MM,400 MM,NYLON</v>
          </cell>
          <cell r="E4986">
            <v>0</v>
          </cell>
          <cell r="F4986" t="str">
            <v>Chọn</v>
          </cell>
          <cell r="G4986"/>
          <cell r="H4986"/>
        </row>
        <row r="4987">
          <cell r="A4987" t="str">
            <v>N09.0002004.00147</v>
          </cell>
          <cell r="B4987" t="str">
            <v>OPP TAPE, WIDTH:25 MM, THICKNESS:2 MM, LENGTH:600 M, COLOR:BLACK</v>
          </cell>
          <cell r="C4987" t="str">
            <v>BĂNG KEO 2 MẶT</v>
          </cell>
          <cell r="D4987" t="str">
            <v>OPP TAPE,25 MM,2 MM,600 M,BLACK</v>
          </cell>
          <cell r="E4987">
            <v>0</v>
          </cell>
          <cell r="F4987" t="str">
            <v>Chọn</v>
          </cell>
          <cell r="G4987"/>
          <cell r="H4987"/>
        </row>
        <row r="4988">
          <cell r="A4988" t="str">
            <v>7.101089571201N10</v>
          </cell>
          <cell r="B4988" t="str">
            <v>SATELLITE RBD OLEIN-D IN JRG@25KG/RSPOMB</v>
          </cell>
          <cell r="C4988" t="str">
            <v>DẦU OLEIN CỌ TINH LUYỆN - D NHÃN HIỆU SATELLITE RSPO/MB TRONG CAN 25KG</v>
          </cell>
          <cell r="D4988" t="str">
            <v>SATELLITE RBD OLEIN-D IN JRG@25KG/RSPOMB</v>
          </cell>
          <cell r="E4988">
            <v>25</v>
          </cell>
          <cell r="F4988" t="str">
            <v>Chọn</v>
          </cell>
          <cell r="G4988"/>
          <cell r="H4988"/>
        </row>
        <row r="4989">
          <cell r="A4989" t="str">
            <v>V51.00A.085</v>
          </cell>
          <cell r="B4989" t="str">
            <v>WHITE VERTICAL STRIP WITH RED BORDER</v>
          </cell>
          <cell r="C4989" t="str">
            <v>THANH DỌC TRẮNG VIỀN ĐỎ</v>
          </cell>
          <cell r="D4989" t="str">
            <v>WHITE VERTICAL STRIP WITH RED BORDER</v>
          </cell>
          <cell r="E4989">
            <v>6.5000000000000002E-2</v>
          </cell>
          <cell r="F4989" t="str">
            <v>Bỏ chọn</v>
          </cell>
          <cell r="G4989"/>
          <cell r="H4989"/>
        </row>
        <row r="4990">
          <cell r="A4990" t="str">
            <v>V51.00A.086</v>
          </cell>
          <cell r="B4990" t="str">
            <v>WHITE VERTICAL STRIP WITH BLUE BORDER</v>
          </cell>
          <cell r="C4990" t="str">
            <v>THANH DỌC TRẮNG VIỀN XANH</v>
          </cell>
          <cell r="D4990" t="str">
            <v>WHITE VERTICAL STRIP WITH BLUE BORDER</v>
          </cell>
          <cell r="E4990">
            <v>6.5000000000000002E-2</v>
          </cell>
          <cell r="F4990" t="str">
            <v>Bỏ chọn</v>
          </cell>
          <cell r="G4990"/>
          <cell r="H4990"/>
        </row>
        <row r="4991">
          <cell r="A4991" t="str">
            <v>V51.00A.087</v>
          </cell>
          <cell r="B4991" t="str">
            <v>STRIP "NAM DUONG – ORIGINAL DELICIOUS FLAVOR"</v>
          </cell>
          <cell r="C4991" t="str">
            <v>THANH "NAM DƯƠNG – VỊ NGON NGUYÊN BẢN"</v>
          </cell>
          <cell r="D4991" t="str">
            <v>STRIP "NAM DUONG – ORIGINAL DELICIOUS FLAVOR"</v>
          </cell>
          <cell r="E4991">
            <v>9.6000000000000002E-2</v>
          </cell>
          <cell r="F4991" t="str">
            <v>Bỏ chọn</v>
          </cell>
          <cell r="G4991"/>
          <cell r="H4991"/>
        </row>
        <row r="4992">
          <cell r="A4992" t="str">
            <v>V51.00A.088</v>
          </cell>
          <cell r="B4992" t="str">
            <v>STRIP "MEIZAN SEASONING GRANULES"</v>
          </cell>
          <cell r="C4992" t="str">
            <v>THANH "HẠT NÊM MEIZAN"</v>
          </cell>
          <cell r="D4992" t="str">
            <v>STRIP "MEIZAN SEASONING GRANULES"</v>
          </cell>
          <cell r="E4992">
            <v>9.7000000000000003E-2</v>
          </cell>
          <cell r="F4992" t="str">
            <v>Bỏ chọn</v>
          </cell>
          <cell r="G4992"/>
          <cell r="H4992"/>
        </row>
        <row r="4993">
          <cell r="A4993" t="str">
            <v>V51.00A.089</v>
          </cell>
          <cell r="B4993" t="str">
            <v>STRIP "MEAT – BONE MARROW – CARTILAGE – CARROT" AND SLOGAN</v>
          </cell>
          <cell r="C4993" t="str">
            <v>THANH "THỊT – XƯƠNG ỐNG – TỦY – CÀ RỐT" &amp; KHẨU HIỆU</v>
          </cell>
          <cell r="D4993" t="str">
            <v>STRIP "MEAT – BONE MARROW – CARTILAGE – CARROT" AND SLOGAN</v>
          </cell>
          <cell r="E4993">
            <v>0.10299999999999999</v>
          </cell>
          <cell r="F4993" t="str">
            <v>Bỏ chọn</v>
          </cell>
          <cell r="G4993"/>
          <cell r="H4993"/>
        </row>
        <row r="4994">
          <cell r="A4994" t="str">
            <v>V51.00A.090</v>
          </cell>
          <cell r="B4994" t="str">
            <v>PREMIUM SOY SAUCE MODEL</v>
          </cell>
          <cell r="C4994" t="str">
            <v>MÔ HÌNH NƯỚC TƯƠNG THƯỢNG HẠNG</v>
          </cell>
          <cell r="D4994" t="str">
            <v>PREMIUM SOY SAUCE MODEL</v>
          </cell>
          <cell r="E4994">
            <v>2.1000000000000001E-2</v>
          </cell>
          <cell r="F4994" t="str">
            <v>Bỏ chọn</v>
          </cell>
          <cell r="G4994"/>
          <cell r="H4994"/>
        </row>
        <row r="4995">
          <cell r="A4995" t="str">
            <v>V51.00A.091</v>
          </cell>
          <cell r="B4995" t="str">
            <v>FERMENTED SOY SAUCE MODEL</v>
          </cell>
          <cell r="C4995" t="str">
            <v>MÔ HÌNH NƯỚC TƯƠNG LÊN MEN</v>
          </cell>
          <cell r="D4995" t="str">
            <v>FERMENTED SOY SAUCE MODEL</v>
          </cell>
          <cell r="E4995">
            <v>2.1999999999999999E-2</v>
          </cell>
          <cell r="F4995" t="str">
            <v>Bỏ chọn</v>
          </cell>
          <cell r="G4995"/>
          <cell r="H4995"/>
        </row>
        <row r="4996">
          <cell r="A4996" t="str">
            <v>V51.00A.092</v>
          </cell>
          <cell r="B4996" t="str">
            <v>MEIZAN SEASONING GRANULES MODEL</v>
          </cell>
          <cell r="C4996" t="str">
            <v>MÔ HÌNH HẠT NÊM MEIZAN</v>
          </cell>
          <cell r="D4996" t="str">
            <v>MEIZAN SEASONING GRANULES MODEL</v>
          </cell>
          <cell r="E4996">
            <v>4.5999999999999999E-2</v>
          </cell>
          <cell r="F4996" t="str">
            <v>Bỏ chọn</v>
          </cell>
          <cell r="G4996"/>
          <cell r="H4996"/>
        </row>
        <row r="4997">
          <cell r="A4997" t="str">
            <v>V51.00A.093</v>
          </cell>
          <cell r="B4997" t="str">
            <v>MEIZAN LOGO MODEL</v>
          </cell>
          <cell r="C4997" t="str">
            <v>MÔ HÌNH LOGO MEIZAN</v>
          </cell>
          <cell r="D4997" t="str">
            <v>MEIZAN LOGO MODEL</v>
          </cell>
          <cell r="E4997">
            <v>0.02</v>
          </cell>
          <cell r="F4997" t="str">
            <v>Bỏ chọn</v>
          </cell>
          <cell r="G4997"/>
          <cell r="H4997"/>
        </row>
        <row r="4998">
          <cell r="A4998" t="str">
            <v>V51.00A.094</v>
          </cell>
          <cell r="B4998" t="str">
            <v>SCREW</v>
          </cell>
          <cell r="C4998" t="str">
            <v>VÍT</v>
          </cell>
          <cell r="D4998" t="str">
            <v>SCREW</v>
          </cell>
          <cell r="E4998">
            <v>0.02</v>
          </cell>
          <cell r="F4998" t="str">
            <v>Bỏ chọn</v>
          </cell>
          <cell r="G4998"/>
          <cell r="H4998"/>
        </row>
        <row r="4999">
          <cell r="A4999" t="str">
            <v>V51.00A.095</v>
          </cell>
          <cell r="B4999" t="str">
            <v>400MM PLASTIC CABLE TIES</v>
          </cell>
          <cell r="C4999" t="str">
            <v>DÂY RÚT NHỰA 400MM</v>
          </cell>
          <cell r="D4999" t="str">
            <v>400MM PLASTIC CABLE TIES</v>
          </cell>
          <cell r="E4999">
            <v>2.3E-3</v>
          </cell>
          <cell r="F4999" t="str">
            <v>Bỏ chọn</v>
          </cell>
          <cell r="G4999"/>
          <cell r="H4999"/>
        </row>
        <row r="5000">
          <cell r="A5000" t="str">
            <v>V51.00A.096</v>
          </cell>
          <cell r="B5000" t="str">
            <v>DOUBLE-SIDED TAPE</v>
          </cell>
          <cell r="C5000" t="str">
            <v>BĂNG KEO 2 MẶT</v>
          </cell>
          <cell r="D5000" t="str">
            <v>DOUBLE-SIDED TAPE</v>
          </cell>
          <cell r="E5000">
            <v>4.2000000000000003E-2</v>
          </cell>
          <cell r="F5000" t="str">
            <v>Bỏ chọn</v>
          </cell>
          <cell r="G5000"/>
          <cell r="H5000"/>
        </row>
        <row r="5001">
          <cell r="A5001" t="str">
            <v>N04.0022056.00004</v>
          </cell>
          <cell r="B5001" t="str">
            <v>PRINTED BOARD, MATERIAL:FORMEX, SIZE:120 CM X 7 CM, PRINTING:OFFSET</v>
          </cell>
          <cell r="C5001" t="str">
            <v>THANH TRƯNG BÀY 1.2M NEPTUNE &amp; KHẨU HIỆU</v>
          </cell>
          <cell r="D5001" t="str">
            <v>PRINTED BOARD,FORMEX,120 CM X 7 CM,OFFSE</v>
          </cell>
          <cell r="E5001">
            <v>0</v>
          </cell>
          <cell r="F5001" t="str">
            <v>Chọn</v>
          </cell>
          <cell r="G5001"/>
          <cell r="H5001"/>
        </row>
        <row r="5002">
          <cell r="A5002" t="str">
            <v>N04.0022056.00010</v>
          </cell>
          <cell r="B5002" t="str">
            <v>PRINTED BOARD, MATERIAL:MICA, SIZE:80 CM X 5.5 CM, PRINTING:OFFSET</v>
          </cell>
          <cell r="C5002" t="str">
            <v>THANH MICA TRƯNG BÀY 0.8M CÓ KHẨU HIỆU</v>
          </cell>
          <cell r="D5002" t="str">
            <v>PRINTED BOARD,MICA,80 CM X 5.5 CM,OFFSET</v>
          </cell>
          <cell r="E5002">
            <v>0</v>
          </cell>
          <cell r="F5002" t="str">
            <v>Chọn</v>
          </cell>
          <cell r="G5002"/>
          <cell r="H5002"/>
        </row>
        <row r="5003">
          <cell r="A5003" t="str">
            <v>V51.000.241</v>
          </cell>
          <cell r="B5003" t="str">
            <v>PAPER TRAY</v>
          </cell>
          <cell r="C5003" t="str">
            <v>KHAY GIẤY</v>
          </cell>
          <cell r="D5003" t="str">
            <v>PAPER TRAY</v>
          </cell>
          <cell r="E5003">
            <v>0</v>
          </cell>
          <cell r="F5003" t="str">
            <v>Chọn</v>
          </cell>
          <cell r="G5003"/>
          <cell r="H5003"/>
        </row>
        <row r="5004">
          <cell r="A5004" t="str">
            <v>V51.000.242</v>
          </cell>
          <cell r="B5004" t="str">
            <v>PANDAN FLAVORED TEA HANGER</v>
          </cell>
          <cell r="C5004" t="str">
            <v>VỈ TREO QUẢNG CÁO (HANGER TREO TRÀ SÂM DỨA)</v>
          </cell>
          <cell r="D5004" t="str">
            <v>PANDAN FLAVORED TEA HANGER</v>
          </cell>
          <cell r="E5004">
            <v>0</v>
          </cell>
          <cell r="F5004" t="str">
            <v>Chọn</v>
          </cell>
          <cell r="G5004"/>
          <cell r="H5004"/>
        </row>
        <row r="5005">
          <cell r="A5005" t="str">
            <v>V51.000.243</v>
          </cell>
          <cell r="B5005" t="str">
            <v>THAI NGUYEN LOOSE LEAF TEA HANGER</v>
          </cell>
          <cell r="C5005" t="str">
            <v>VỈ TREO QUẢNG CÁO (HANGER TREO TRÀ THÁI NGUYÊN)</v>
          </cell>
          <cell r="D5005" t="str">
            <v>THAI NGUYEN LOOSE LEAF TEA HANGER</v>
          </cell>
          <cell r="E5005">
            <v>0</v>
          </cell>
          <cell r="F5005" t="str">
            <v>Chọn</v>
          </cell>
          <cell r="G5005"/>
          <cell r="H5005"/>
        </row>
        <row r="5006">
          <cell r="A5006" t="str">
            <v>V51.000.244</v>
          </cell>
          <cell r="B5006" t="str">
            <v>BLACK TEA HANGER</v>
          </cell>
          <cell r="C5006" t="str">
            <v>VỈ TREO QUẢNG CÁO (HANGER TREO TRÀ ĐEN)</v>
          </cell>
          <cell r="D5006" t="str">
            <v>BLACK TEA HANGER</v>
          </cell>
          <cell r="E5006">
            <v>0</v>
          </cell>
          <cell r="F5006" t="str">
            <v>Chọn</v>
          </cell>
          <cell r="G5006"/>
          <cell r="H5006"/>
        </row>
        <row r="5007">
          <cell r="A5007" t="str">
            <v>V51.000.245</v>
          </cell>
          <cell r="B5007" t="str">
            <v>PP BAG PRINTED WHITE KALI POWDER ROYAL BRAND SIZE 50 KG</v>
          </cell>
          <cell r="C5007" t="str">
            <v>BAO PP IN KALI BỘT TRẮNG NHÃN HIỆU HOÀNG GIA LOẠI ĐỰNG 50 KG</v>
          </cell>
          <cell r="D5007" t="str">
            <v>PP BAG PRINTED WHITE KALI POWDER ROYAL BRAND SIZE 50 KG</v>
          </cell>
          <cell r="E5007">
            <v>0</v>
          </cell>
          <cell r="F5007" t="str">
            <v>Chọn</v>
          </cell>
          <cell r="G5007"/>
          <cell r="H5007"/>
        </row>
        <row r="5008">
          <cell r="A5008" t="str">
            <v>N04.0018006.00377</v>
          </cell>
          <cell r="B5008" t="str">
            <v>PROMOTIONAL STUFF, TYPE:HAWKER UMBRELLA, MATERIAL:HIFLEX, SIZE:D 2.4 M, MARKING:MEIZAN, ADDITIONAL DETAILS:YELLOW &amp; GREEN</v>
          </cell>
          <cell r="C5008" t="str">
            <v>DÙ MEIZAN XANH LÁ</v>
          </cell>
          <cell r="D5008" t="str">
            <v>PROMOTIONAL STUFF,HAWKER UMBRELLA,HIFLEX</v>
          </cell>
          <cell r="E5008">
            <v>0</v>
          </cell>
          <cell r="F5008" t="str">
            <v>Chọn</v>
          </cell>
          <cell r="G5008"/>
          <cell r="H5008"/>
        </row>
        <row r="5009">
          <cell r="A5009" t="str">
            <v>V51.000.246</v>
          </cell>
          <cell r="B5009" t="str">
            <v>CARGO BOX 500X500X480</v>
          </cell>
          <cell r="C5009" t="str">
            <v>THÙNG CHỞ HÀNG 500 X 500 X 480</v>
          </cell>
          <cell r="D5009" t="str">
            <v>CARGO BOX 500X500X480</v>
          </cell>
          <cell r="E5009">
            <v>0</v>
          </cell>
          <cell r="F5009" t="str">
            <v>Chọn</v>
          </cell>
          <cell r="G5009"/>
          <cell r="H5009"/>
        </row>
        <row r="5010">
          <cell r="A5010" t="str">
            <v>V51.000.247</v>
          </cell>
          <cell r="B5010" t="str">
            <v>CARGO RACK</v>
          </cell>
          <cell r="C5010" t="str">
            <v>BA GA CHỞ HÀNG</v>
          </cell>
          <cell r="D5010" t="str">
            <v>CARGO RACK</v>
          </cell>
          <cell r="E5010">
            <v>0</v>
          </cell>
          <cell r="F5010" t="str">
            <v>Chọn</v>
          </cell>
          <cell r="G5010"/>
          <cell r="H5010"/>
        </row>
        <row r="5011">
          <cell r="A5011" t="str">
            <v>N04.0019026.00355</v>
          </cell>
          <cell r="B5011" t="str">
            <v>UNIFORM, TYPE:T-SHIRT, MODEL:SHORT SLEEVE, APPLICATION:WCLV'S STAFF, COLOR:WHITE, GREEN, MATERIAL:100% POLY 4-WAY CROCODILE, MARKING:POWER100, ADDITIONAL DETAILS:ELASTIC FABRIC</v>
          </cell>
          <cell r="C5011" t="str">
            <v>ÁO THUN POWER100 NATURAL</v>
          </cell>
          <cell r="D5011" t="str">
            <v>UNIFORM,T-SHIRT,SHORT SLEEVE,POWER100</v>
          </cell>
          <cell r="E5011">
            <v>0</v>
          </cell>
          <cell r="F5011" t="str">
            <v>Chọn</v>
          </cell>
          <cell r="G5011"/>
          <cell r="H5011"/>
        </row>
        <row r="5012">
          <cell r="A5012" t="str">
            <v>7.131078011707E10</v>
          </cell>
          <cell r="B5012" t="str">
            <v>MEIZAN GOLD 0.25L X 48BTL</v>
          </cell>
          <cell r="C5012" t="str">
            <v>DẦU ĂN CAO CẤP NHÃN HIỆU MEIZAN GOLD 0,25L</v>
          </cell>
          <cell r="D5012" t="str">
            <v>MEIZAN GOLD 0.25L X 48BTL</v>
          </cell>
          <cell r="E5012">
            <v>10.92</v>
          </cell>
          <cell r="F5012" t="str">
            <v>Chọn</v>
          </cell>
          <cell r="G5012"/>
          <cell r="H5012" t="str">
            <v>7.131078011700E10</v>
          </cell>
        </row>
        <row r="5013">
          <cell r="A5013" t="str">
            <v>7.704235913717001L</v>
          </cell>
          <cell r="B5013" t="str">
            <v>POWER100 SAVING PD 3IN1 350G X 36PCH</v>
          </cell>
          <cell r="C5013" t="str">
            <v>BỘT GIẶT POWER100 SAVING 3 TRONG 1 350G*36</v>
          </cell>
          <cell r="D5013" t="str">
            <v>POWER100 SAVING PD 3IN1 350G X 36PCH</v>
          </cell>
          <cell r="E5013">
            <v>12.6</v>
          </cell>
          <cell r="F5013" t="str">
            <v>Chọn</v>
          </cell>
          <cell r="G5013"/>
          <cell r="H5013" t="str">
            <v>7.7042359137170000</v>
          </cell>
        </row>
        <row r="5014">
          <cell r="A5014" t="str">
            <v>7.704235R73717001M</v>
          </cell>
          <cell r="B5014" t="str">
            <v>POWER100 SAVING PD 3IN1 5.1KG X 3PCH</v>
          </cell>
          <cell r="C5014" t="str">
            <v>BỘT GIẶT POWER100 SAVING 3 TRONG 1 5.1KG*3</v>
          </cell>
          <cell r="D5014" t="str">
            <v>POWER100 SAVING PD 3IN1 5.1KG X 3PCH</v>
          </cell>
          <cell r="E5014">
            <v>15.3</v>
          </cell>
          <cell r="F5014" t="str">
            <v>Chọn</v>
          </cell>
          <cell r="G5014"/>
          <cell r="H5014" t="str">
            <v>7.704235R737170000</v>
          </cell>
        </row>
        <row r="5015">
          <cell r="A5015" t="str">
            <v>6.1212C46</v>
          </cell>
          <cell r="B5015" t="str">
            <v>REFINED OL1008 LOW GE / RSPO MB</v>
          </cell>
          <cell r="C5015" t="str">
            <v>DẦU OLEIN CỌ TINH LUYỆN (LOW GE) RSPO/MB TRONG XE BỒN</v>
          </cell>
          <cell r="D5015" t="str">
            <v>REFINED OL1008 LOW GE / RSPO MB</v>
          </cell>
          <cell r="E5015">
            <v>1</v>
          </cell>
          <cell r="F5015" t="str">
            <v>Chọn</v>
          </cell>
          <cell r="G5015"/>
          <cell r="H5015"/>
        </row>
        <row r="5016">
          <cell r="A5016" t="str">
            <v>N04.0013002.00036</v>
          </cell>
          <cell r="B5016" t="str">
            <v>BASKET, SIZE:46.5 X 31 X 10.5 CM, MATERIAL:PLASTIC, ADDITIONAL DETAILS:COLOR : YELLOW</v>
          </cell>
          <cell r="C5016" t="str">
            <v>SÓNG LƯỚI NHỎ MÀU VÀNG</v>
          </cell>
          <cell r="D5016" t="str">
            <v>BASKET,PLASTIC</v>
          </cell>
          <cell r="E5016">
            <v>0</v>
          </cell>
          <cell r="F5016" t="str">
            <v>Chọn</v>
          </cell>
          <cell r="G5016"/>
          <cell r="H5016"/>
        </row>
        <row r="5017">
          <cell r="A5017" t="str">
            <v>7.522223292842701</v>
          </cell>
          <cell r="B5017" t="str">
            <v>MEIZAN GOLD MULTI FLOUR NO.11 PEBAG@500G</v>
          </cell>
          <cell r="C5017" t="str">
            <v>BỘT MÌ ĐA DỤNG SỐ 11 MEIZAN GOLD 0.5KG (GÓI)</v>
          </cell>
          <cell r="D5017" t="str">
            <v>MEIZAN GOLD MULTI FLOUR NO.11 PEBAG@500G</v>
          </cell>
          <cell r="E5017">
            <v>0.5</v>
          </cell>
          <cell r="F5017" t="str">
            <v>Chọn</v>
          </cell>
          <cell r="G5017"/>
          <cell r="H5017"/>
        </row>
        <row r="5018">
          <cell r="A5018" t="str">
            <v>7.522223292842712</v>
          </cell>
          <cell r="B5018" t="str">
            <v>MEIZAN GOLD MULTI FLOUR NO.11 500G*20BAG</v>
          </cell>
          <cell r="C5018" t="str">
            <v>BỘT MÌ ĐA DỤNG SỐ 11 MEIZAN GOLD (0.5KG*20 GÓI/THÙNG)</v>
          </cell>
          <cell r="D5018" t="str">
            <v>MEIZAN GOLD MULTI FLOUR NO.11 500G*20BAG</v>
          </cell>
          <cell r="E5018">
            <v>10</v>
          </cell>
          <cell r="F5018" t="str">
            <v>Chọn</v>
          </cell>
          <cell r="G5018"/>
          <cell r="H5018" t="str">
            <v>7.522223292842701</v>
          </cell>
        </row>
        <row r="5019">
          <cell r="A5019" t="str">
            <v>7.551460E6S2001280</v>
          </cell>
          <cell r="B5019" t="str">
            <v>NAMDUONG MUSHROOM SOY SAUCE 500ML*20BTL</v>
          </cell>
          <cell r="C5019" t="str">
            <v>NƯỚC CHẤM HƯƠNG NẤM 500ML</v>
          </cell>
          <cell r="D5019" t="str">
            <v>NAMDUONG MUSHROOM SOY SAUCE 500ML*20BTL</v>
          </cell>
          <cell r="E5019">
            <v>11.148</v>
          </cell>
          <cell r="F5019" t="str">
            <v>Chọn</v>
          </cell>
          <cell r="G5019" t="str">
            <v>2000000008</v>
          </cell>
          <cell r="H5019" t="str">
            <v>7.551460E6S2000180</v>
          </cell>
        </row>
        <row r="5020">
          <cell r="A5020" t="str">
            <v>7.515006413217060</v>
          </cell>
          <cell r="B5020" t="str">
            <v>NAMDUONG SPECIAL HOT CHILI SC 400G*24BTL</v>
          </cell>
          <cell r="C5020" t="str">
            <v>TƯƠNG ỚT ĐẶC BIỆT CAY 400G</v>
          </cell>
          <cell r="D5020" t="str">
            <v>NAMDUONG SPECIAL HOT CHILI SC 400G*24BTL</v>
          </cell>
          <cell r="E5020">
            <v>9.6</v>
          </cell>
          <cell r="F5020" t="str">
            <v>Chọn</v>
          </cell>
          <cell r="G5020" t="str">
            <v>2000000008</v>
          </cell>
          <cell r="H5020" t="str">
            <v>7.515006413217010</v>
          </cell>
        </row>
        <row r="5021">
          <cell r="A5021" t="str">
            <v>7.5180061402308120</v>
          </cell>
          <cell r="B5021" t="str">
            <v>NEPTUNE MUSHROOM BOUILLON 380G*20PEBAG</v>
          </cell>
          <cell r="C5021" t="str">
            <v>HẠT NÊM TAM BẢO VỊ NẤM 380G</v>
          </cell>
          <cell r="D5021" t="str">
            <v>NEPTUNE MUSHROOM BOUILLON 380G*20PEBAG</v>
          </cell>
          <cell r="E5021">
            <v>7.6</v>
          </cell>
          <cell r="F5021" t="str">
            <v>Chọn</v>
          </cell>
          <cell r="G5021" t="str">
            <v>2000000008</v>
          </cell>
          <cell r="H5021" t="str">
            <v>7.5180061402308010</v>
          </cell>
        </row>
        <row r="5022">
          <cell r="A5022" t="str">
            <v>7.58810402204R1318</v>
          </cell>
          <cell r="B5022" t="str">
            <v>NAM DUONG SALAD DRESSING 250G X 24BTL</v>
          </cell>
          <cell r="C5022" t="str">
            <v>SỐT DẦU DẤM TRỘN SALAD 250G</v>
          </cell>
          <cell r="D5022" t="str">
            <v>NAM DUONG SALAD DRESSING 250G X 24BTL</v>
          </cell>
          <cell r="E5022">
            <v>6</v>
          </cell>
          <cell r="F5022" t="str">
            <v>Chọn</v>
          </cell>
          <cell r="G5022" t="str">
            <v>2000000008</v>
          </cell>
          <cell r="H5022" t="str">
            <v>7.58810402204R1300</v>
          </cell>
        </row>
        <row r="5023">
          <cell r="A5023" t="str">
            <v>7.551460E6S2000180</v>
          </cell>
          <cell r="B5023" t="str">
            <v>NAMDUONG MUSHROOM SOY SAUCE BOTTLE@500ML</v>
          </cell>
          <cell r="C5023" t="str">
            <v>NƯỚC CHẤM HƯƠNG NẤM 500ML</v>
          </cell>
          <cell r="D5023" t="str">
            <v>NAMDUONG MUSHROOM SOY SAUCE BOTTLE@500ML</v>
          </cell>
          <cell r="E5023">
            <v>0.55740000000000001</v>
          </cell>
          <cell r="F5023" t="str">
            <v>Chọn</v>
          </cell>
          <cell r="G5023" t="str">
            <v>2000000008</v>
          </cell>
          <cell r="H5023"/>
        </row>
        <row r="5024">
          <cell r="A5024" t="str">
            <v>7.551460E4Y8000180</v>
          </cell>
          <cell r="B5024" t="str">
            <v>NAMDUONG PREMIUM SOY SAUCE BOTTLE@210ML</v>
          </cell>
          <cell r="C5024" t="str">
            <v>NƯỚC TƯƠNG THƯỢNG HẠNG 210ML</v>
          </cell>
          <cell r="D5024" t="str">
            <v>NAMDUONG PREMIUM SOY SAUCE BOTTLE@210ML</v>
          </cell>
          <cell r="E5024">
            <v>0.23430000000000001</v>
          </cell>
          <cell r="F5024" t="str">
            <v>Chọn</v>
          </cell>
          <cell r="G5024" t="str">
            <v>2000000008</v>
          </cell>
          <cell r="H5024"/>
        </row>
        <row r="5025">
          <cell r="A5025" t="str">
            <v>7.515006413217010</v>
          </cell>
          <cell r="B5025" t="str">
            <v>NAMDUONG SPECIAL HOT CHILISAUCE BTL@400G</v>
          </cell>
          <cell r="C5025" t="str">
            <v>TƯƠNG ỚT ĐẶC BIỆT CAY 400G</v>
          </cell>
          <cell r="D5025" t="str">
            <v>NAMDUONG SPECIAL HOT CHILISAUCE BTL@400G</v>
          </cell>
          <cell r="E5025">
            <v>0.4</v>
          </cell>
          <cell r="F5025" t="str">
            <v>Chọn</v>
          </cell>
          <cell r="G5025" t="str">
            <v>2000000008</v>
          </cell>
          <cell r="H5025"/>
        </row>
        <row r="5026">
          <cell r="A5026" t="str">
            <v>7.5180061402308010</v>
          </cell>
          <cell r="B5026" t="str">
            <v>NEPTUNE MUSHROOM BOUILLON IN PEBAG@380G</v>
          </cell>
          <cell r="C5026" t="str">
            <v>HẠT NÊM TAM BẢO VỊ NẤM 380G</v>
          </cell>
          <cell r="D5026" t="str">
            <v>NEPTUNE MUSHROOM BOUILLON IN PEBAG@380G</v>
          </cell>
          <cell r="E5026">
            <v>0.38</v>
          </cell>
          <cell r="F5026" t="str">
            <v>Chọn</v>
          </cell>
          <cell r="G5026" t="str">
            <v>2000000008</v>
          </cell>
          <cell r="H5026"/>
        </row>
        <row r="5027">
          <cell r="A5027" t="str">
            <v>7.58810402204R1300</v>
          </cell>
          <cell r="B5027" t="str">
            <v>NAM DUONG SALAD DRESSING IN BOTTLE@250G</v>
          </cell>
          <cell r="C5027" t="str">
            <v>SỐT DẦU DẤM TRỘN SALAD 250G</v>
          </cell>
          <cell r="D5027" t="str">
            <v>NAM DUONG SALAD DRESSING IN BOTTLE@250G</v>
          </cell>
          <cell r="E5027">
            <v>0.25</v>
          </cell>
          <cell r="F5027" t="str">
            <v>Chọn</v>
          </cell>
          <cell r="G5027" t="str">
            <v>2000000008</v>
          </cell>
          <cell r="H5027"/>
        </row>
        <row r="5028">
          <cell r="A5028" t="str">
            <v>7.5180062202408040</v>
          </cell>
          <cell r="B5028" t="str">
            <v>NEPTUNE PORK BOUILLON GRANULE 2KG*6PEBAG</v>
          </cell>
          <cell r="C5028" t="str">
            <v>HẠT NÊM 4 TRONG 1 - VỊ HEO 2KG X 6 GÓI</v>
          </cell>
          <cell r="D5028" t="str">
            <v>NEPTUNE PORK BOUILLON GRANULE 2KG*6PEBAG</v>
          </cell>
          <cell r="E5028">
            <v>12</v>
          </cell>
          <cell r="F5028" t="str">
            <v>Chọn</v>
          </cell>
          <cell r="G5028" t="str">
            <v>2000000008</v>
          </cell>
          <cell r="H5028" t="str">
            <v>7.5180062202408010</v>
          </cell>
        </row>
        <row r="5029">
          <cell r="A5029" t="str">
            <v>7.5180062202408010</v>
          </cell>
          <cell r="B5029" t="str">
            <v>NEPTUNE PORK BOUILLON GRANULE PEBAG@2KG</v>
          </cell>
          <cell r="C5029" t="str">
            <v>HẠT NÊM 4 TRONG 1 - VỊ HEO 2KG</v>
          </cell>
          <cell r="D5029" t="str">
            <v>NEPTUNE PORK BOUILLON GRANULE PEBAG@2KG</v>
          </cell>
          <cell r="E5029">
            <v>2</v>
          </cell>
          <cell r="F5029" t="str">
            <v>Chọn</v>
          </cell>
          <cell r="G5029" t="str">
            <v>2000000008</v>
          </cell>
          <cell r="H5029"/>
        </row>
        <row r="5030">
          <cell r="A5030" t="str">
            <v>7.551460F17C3M0480</v>
          </cell>
          <cell r="B5030" t="str">
            <v>NAMDUONG NORTHERN VN SAUCE 1.96L X 6BTL</v>
          </cell>
          <cell r="C5030" t="str">
            <v>NƯỚC TƯƠNG VỊ BẮC 1.96L X 6 CHAI/THÙNG</v>
          </cell>
          <cell r="D5030" t="str">
            <v>NAMDUONG NORTHERN VN SAUCE 1.96L X 6BTL</v>
          </cell>
          <cell r="E5030">
            <v>12.8607</v>
          </cell>
          <cell r="F5030" t="str">
            <v>Chọn</v>
          </cell>
          <cell r="G5030" t="str">
            <v>2000000008</v>
          </cell>
          <cell r="H5030" t="str">
            <v>7.551460F17C3M0180</v>
          </cell>
        </row>
        <row r="5031">
          <cell r="A5031" t="str">
            <v>7.551460F17C3M0180</v>
          </cell>
          <cell r="B5031" t="str">
            <v>NAMDUONG NORTHERN VN SAUCE BOTTLE@1.96L</v>
          </cell>
          <cell r="C5031" t="str">
            <v>NƯỚC TƯƠNG VỊ BẮC 1.96L</v>
          </cell>
          <cell r="D5031" t="str">
            <v>NAMDUONG NORTHERN VN SAUCE BOTTLE@1.96L</v>
          </cell>
          <cell r="E5031">
            <v>2.1435</v>
          </cell>
          <cell r="F5031" t="str">
            <v>Chọn</v>
          </cell>
          <cell r="G5031" t="str">
            <v>2000000008</v>
          </cell>
          <cell r="H5031"/>
        </row>
        <row r="5032">
          <cell r="A5032" t="str">
            <v>7.515006130617050</v>
          </cell>
          <cell r="B5032" t="str">
            <v>NAM DUONG CHILI SAUCE 470G X 12BTL</v>
          </cell>
          <cell r="C5032" t="str">
            <v>TƯƠNG ỚT 470G X 12 CHAI/THÙNG</v>
          </cell>
          <cell r="D5032" t="str">
            <v>NAM DUONG CHILI SAUCE 470G X 12BTL</v>
          </cell>
          <cell r="E5032">
            <v>5.64</v>
          </cell>
          <cell r="F5032" t="str">
            <v>Chọn</v>
          </cell>
          <cell r="G5032" t="str">
            <v>2000000008</v>
          </cell>
          <cell r="H5032" t="str">
            <v>7.515006130617010</v>
          </cell>
        </row>
        <row r="5033">
          <cell r="A5033" t="str">
            <v>7.515006130617010</v>
          </cell>
          <cell r="B5033" t="str">
            <v>NAM DUONG CHILI SAUCE IN BOTTLE@470G</v>
          </cell>
          <cell r="C5033" t="str">
            <v>TƯƠNG ỚT 470G</v>
          </cell>
          <cell r="D5033" t="str">
            <v>NAM DUONG CHILI SAUCE IN BOTTLE@470G</v>
          </cell>
          <cell r="E5033">
            <v>0.47</v>
          </cell>
          <cell r="F5033" t="str">
            <v>Chọn</v>
          </cell>
          <cell r="G5033" t="str">
            <v>2000000008</v>
          </cell>
          <cell r="H5033"/>
        </row>
        <row r="5034">
          <cell r="A5034" t="str">
            <v>7.58810414704Q1304</v>
          </cell>
          <cell r="B5034" t="str">
            <v>NAM DUONG OYSTER SAUCE 615G X 20BTL</v>
          </cell>
          <cell r="C5034" t="str">
            <v>DẦU HÀO 615G X 20 CHAI/THÙNG</v>
          </cell>
          <cell r="D5034" t="str">
            <v>NAM DUONG OYSTER SAUCE 615G X 20BTL</v>
          </cell>
          <cell r="E5034">
            <v>12.3</v>
          </cell>
          <cell r="F5034" t="str">
            <v>Chọn</v>
          </cell>
          <cell r="G5034" t="str">
            <v>2000000008</v>
          </cell>
          <cell r="H5034" t="str">
            <v>7.58810414704Q1300</v>
          </cell>
        </row>
        <row r="5035">
          <cell r="A5035" t="str">
            <v>7.58810414704Q1300</v>
          </cell>
          <cell r="B5035" t="str">
            <v>NAM DUONG OYSTER SAUCE IN BOTTLE@615G</v>
          </cell>
          <cell r="C5035" t="str">
            <v>DẦU HÀO 615G</v>
          </cell>
          <cell r="D5035" t="str">
            <v>NAM DUONG OYSTER SAUCE IN BOTTLE@615G</v>
          </cell>
          <cell r="E5035">
            <v>0.61499999999999999</v>
          </cell>
          <cell r="F5035" t="str">
            <v>Chọn</v>
          </cell>
          <cell r="G5035" t="str">
            <v>2000000008</v>
          </cell>
          <cell r="H5035"/>
        </row>
        <row r="5036">
          <cell r="A5036" t="str">
            <v>7.58810402204Q1318</v>
          </cell>
          <cell r="B5036" t="str">
            <v>NAM DUONG OYSTER SAUCE 270G X 24BTL</v>
          </cell>
          <cell r="C5036" t="str">
            <v>DẦU HÀO 270G X 24 CHAI</v>
          </cell>
          <cell r="D5036" t="str">
            <v>NAM DUONG OYSTER SAUCE 270G X 24BTL</v>
          </cell>
          <cell r="E5036">
            <v>6.48</v>
          </cell>
          <cell r="F5036" t="str">
            <v>Chọn</v>
          </cell>
          <cell r="G5036" t="str">
            <v>2000000008</v>
          </cell>
          <cell r="H5036" t="str">
            <v>7.58810402204Q1300</v>
          </cell>
        </row>
        <row r="5037">
          <cell r="A5037" t="str">
            <v>7.58810402204Q1300</v>
          </cell>
          <cell r="B5037" t="str">
            <v>NAM DUONG OYSTER SAUCE IN BOTTLE@270G</v>
          </cell>
          <cell r="C5037" t="str">
            <v>DẦU HÀO 270G</v>
          </cell>
          <cell r="D5037" t="str">
            <v>NAM DUONG OYSTER SAUCE IN BOTTLE@270G</v>
          </cell>
          <cell r="E5037">
            <v>0.27</v>
          </cell>
          <cell r="F5037" t="str">
            <v>Chọn</v>
          </cell>
          <cell r="G5037" t="str">
            <v>2000000008</v>
          </cell>
          <cell r="H5037"/>
        </row>
        <row r="5038">
          <cell r="A5038" t="str">
            <v>7.551460F9S52N0680</v>
          </cell>
          <cell r="B5038" t="str">
            <v>NAMDUONG GARLIC CHILISOYSAUCE 310G*24BTL</v>
          </cell>
          <cell r="C5038" t="str">
            <v>NƯỚC TƯƠNG TỎI ỚT TƯƠI 310G X 24CHAI/THÙNG</v>
          </cell>
          <cell r="D5038" t="str">
            <v>NAMDUONG GARLIC CHILISOYSAUCE 310G*24BTL</v>
          </cell>
          <cell r="E5038">
            <v>7.44</v>
          </cell>
          <cell r="F5038" t="str">
            <v>Chọn</v>
          </cell>
          <cell r="G5038" t="str">
            <v>2000000008</v>
          </cell>
          <cell r="H5038" t="str">
            <v>7.551460F9S52N0180</v>
          </cell>
        </row>
        <row r="5039">
          <cell r="A5039" t="str">
            <v>7.551460F9S52N0180</v>
          </cell>
          <cell r="B5039" t="str">
            <v>NAMDUONG GARLIC CHILISOYSAUCE BTL@310G</v>
          </cell>
          <cell r="C5039" t="str">
            <v>NƯỚC TƯƠNG TỎI ỚT TƯƠI 310G</v>
          </cell>
          <cell r="D5039" t="str">
            <v>NAMDUONG GARLIC CHILISOYSAUCE BTL@310G</v>
          </cell>
          <cell r="E5039">
            <v>0.31</v>
          </cell>
          <cell r="F5039" t="str">
            <v>Chọn</v>
          </cell>
          <cell r="G5039" t="str">
            <v>2000000008</v>
          </cell>
          <cell r="H5039"/>
        </row>
        <row r="5040">
          <cell r="A5040" t="str">
            <v>7.5630080350030601</v>
          </cell>
          <cell r="B5040" t="str">
            <v>NAM DUONG TOMATO SAUCE 500G X 12BTL</v>
          </cell>
          <cell r="C5040" t="str">
            <v>TƯƠNG CÀ 500G X 12 CHAI/THÙNG</v>
          </cell>
          <cell r="D5040" t="str">
            <v>NAM DUONG TOMATO SAUCE 500G X 12BTL</v>
          </cell>
          <cell r="E5040">
            <v>6</v>
          </cell>
          <cell r="F5040" t="str">
            <v>Chọn</v>
          </cell>
          <cell r="G5040" t="str">
            <v>2000000008</v>
          </cell>
          <cell r="H5040" t="str">
            <v>7.5630080350030600</v>
          </cell>
        </row>
        <row r="5041">
          <cell r="A5041" t="str">
            <v>7.5630080350030600</v>
          </cell>
          <cell r="B5041" t="str">
            <v>NAM DUONG TOMATO SAUCE IN BOTTLE@500G</v>
          </cell>
          <cell r="C5041" t="str">
            <v>TƯƠNG CÀ 500G</v>
          </cell>
          <cell r="D5041" t="str">
            <v>NAM DUONG TOMATO SAUCE IN BOTTLE@500G</v>
          </cell>
          <cell r="E5041">
            <v>0.5</v>
          </cell>
          <cell r="F5041" t="str">
            <v>Chọn</v>
          </cell>
          <cell r="G5041" t="str">
            <v>2000000008</v>
          </cell>
          <cell r="H5041"/>
        </row>
        <row r="5042">
          <cell r="A5042" t="str">
            <v>7.551460E56C000680</v>
          </cell>
          <cell r="B5042" t="str">
            <v>NAMDUONG FERMENTED SOY SAUCE 280ML*24BTL</v>
          </cell>
          <cell r="C5042" t="str">
            <v>NƯỚC TƯƠNG NAM DƯƠNG ĐẬU NÀNH LÊN MEN TỰ NHIÊN 280ML X 24 CHAI</v>
          </cell>
          <cell r="D5042" t="str">
            <v>NAMDUONG FERMENTED SOY SAUCE 280ML*24BTL</v>
          </cell>
          <cell r="E5042">
            <v>7.7131999999999996</v>
          </cell>
          <cell r="F5042" t="str">
            <v>Chọn</v>
          </cell>
          <cell r="G5042" t="str">
            <v>2000000008</v>
          </cell>
          <cell r="H5042" t="str">
            <v>7.551460E56C000180</v>
          </cell>
        </row>
        <row r="5043">
          <cell r="A5043" t="str">
            <v>7.551460E56C000180</v>
          </cell>
          <cell r="B5043" t="str">
            <v>NAMDUONG FERMENTED SOYSAUCE BOTTLE@280ML</v>
          </cell>
          <cell r="C5043" t="str">
            <v>NƯỚC TƯƠNG NAM DƯƠNG ĐẬU NÀNH LÊN MEN TỰ NHIÊN 280ML</v>
          </cell>
          <cell r="D5043" t="str">
            <v>NAMDUONG FERMENTED SOYSAUCE BOTTLE@280ML</v>
          </cell>
          <cell r="E5043">
            <v>0.32140000000000002</v>
          </cell>
          <cell r="F5043" t="str">
            <v>Chọn</v>
          </cell>
          <cell r="G5043" t="str">
            <v>2000000008</v>
          </cell>
          <cell r="H5043"/>
        </row>
        <row r="5044">
          <cell r="A5044" t="str">
            <v>7.551460E66C000680</v>
          </cell>
          <cell r="B5044" t="str">
            <v>NAMDUONG FERMENTED SOY SAUCE 500ML*24BTL</v>
          </cell>
          <cell r="C5044" t="str">
            <v>NƯỚC TƯƠNG NAM DƯƠNG ĐẬU NÀNH LÊN MEN TỰ NHIÊN 500ML X 24 CHAI</v>
          </cell>
          <cell r="D5044" t="str">
            <v>NAMDUONG FERMENTED SOY SAUCE 500ML*24BTL</v>
          </cell>
          <cell r="E5044">
            <v>13.7736</v>
          </cell>
          <cell r="F5044" t="str">
            <v>Chọn</v>
          </cell>
          <cell r="G5044" t="str">
            <v>2000000008</v>
          </cell>
          <cell r="H5044" t="str">
            <v>7.551460E66C000180</v>
          </cell>
        </row>
        <row r="5045">
          <cell r="A5045" t="str">
            <v>7.551460E66C000180</v>
          </cell>
          <cell r="B5045" t="str">
            <v>NAMDUONG FERMENTED SOYSAUCE BOTTLE@500ML</v>
          </cell>
          <cell r="C5045" t="str">
            <v>NƯỚC TƯƠNG NAM DƯƠNG ĐẬU NÀNH LÊN MEN TỰ NHIÊN 500ML</v>
          </cell>
          <cell r="D5045" t="str">
            <v>NAMDUONG FERMENTED SOYSAUCE BOTTLE@500ML</v>
          </cell>
          <cell r="E5045">
            <v>0.57389999999999997</v>
          </cell>
          <cell r="F5045" t="str">
            <v>Chọn</v>
          </cell>
          <cell r="G5045" t="str">
            <v>2000000008</v>
          </cell>
          <cell r="H5045"/>
        </row>
        <row r="5046">
          <cell r="A5046" t="str">
            <v>7.551460176C7M0180</v>
          </cell>
          <cell r="B5046" t="str">
            <v>NAM DUONG HOISIN SOYSAUCE IN BOTTLE@500G</v>
          </cell>
          <cell r="C5046" t="str">
            <v>TƯƠNG ĐEN 500G</v>
          </cell>
          <cell r="D5046" t="str">
            <v>NAM DUONG HOISIN SOYSAUCE IN BOTTLE@500G</v>
          </cell>
          <cell r="E5046">
            <v>0.5</v>
          </cell>
          <cell r="F5046" t="str">
            <v>Chọn</v>
          </cell>
          <cell r="G5046" t="str">
            <v>2000000008</v>
          </cell>
          <cell r="H5046"/>
        </row>
        <row r="5047">
          <cell r="A5047" t="str">
            <v>7.551460176C7M0580</v>
          </cell>
          <cell r="B5047" t="str">
            <v>NAM DUONG HOISIN SOY SAUCE 500G X 12BTL</v>
          </cell>
          <cell r="C5047" t="str">
            <v>TƯƠNG ĐEN 500G X 12 CHAI</v>
          </cell>
          <cell r="D5047" t="str">
            <v>NAM DUONG HOISIN SOY SAUCE 500G X 12BTL</v>
          </cell>
          <cell r="E5047">
            <v>6</v>
          </cell>
          <cell r="F5047" t="str">
            <v>Chọn</v>
          </cell>
          <cell r="G5047" t="str">
            <v>2000000008</v>
          </cell>
          <cell r="H5047" t="str">
            <v>7.551460176C7M0180</v>
          </cell>
        </row>
        <row r="5048">
          <cell r="A5048" t="str">
            <v>7.551460E67C4M0680</v>
          </cell>
          <cell r="B5048" t="str">
            <v>NAMDUONG HANG VIET SOY SAUCE 500ML*24BTL</v>
          </cell>
          <cell r="C5048" t="str">
            <v>NƯỚC CHẤM ĐẬU NÀNH HÀNG VIỆT 500ML X 24 CHAI/THÙNG</v>
          </cell>
          <cell r="D5048" t="str">
            <v>NAMDUONG HANG VIET SOY SAUCE 500ML*24BTL</v>
          </cell>
          <cell r="E5048">
            <v>13.095599999999999</v>
          </cell>
          <cell r="F5048" t="str">
            <v>Chọn</v>
          </cell>
          <cell r="G5048" t="str">
            <v>2000000008</v>
          </cell>
          <cell r="H5048" t="str">
            <v>7.551460E67C4M0180</v>
          </cell>
        </row>
        <row r="5049">
          <cell r="A5049" t="str">
            <v>7.551460E67C4M0180</v>
          </cell>
          <cell r="B5049" t="str">
            <v>NAMDUONG HANGVIET SOY SAUCE BOTTLE@500ML</v>
          </cell>
          <cell r="C5049" t="str">
            <v>NƯỚC CHẤM ĐẬU NÀNH HÀNG VIỆT 500ML</v>
          </cell>
          <cell r="D5049" t="str">
            <v>NAMDUONG HANGVIET SOY SAUCE BOTTLE@500ML</v>
          </cell>
          <cell r="E5049">
            <v>0.54569999999999996</v>
          </cell>
          <cell r="F5049" t="str">
            <v>Chọn</v>
          </cell>
          <cell r="G5049" t="str">
            <v>2000000008</v>
          </cell>
          <cell r="H5049"/>
        </row>
        <row r="5050">
          <cell r="A5050" t="str">
            <v>7.5180031502408100</v>
          </cell>
          <cell r="B5050" t="str">
            <v>MEIZAN PORK BOUILLON GRANULE 1KG*10PEBAG</v>
          </cell>
          <cell r="C5050" t="str">
            <v>HẠT NÊM MEIZAN THỊT, XƯƠNG ỐNG, TỦY, CÀ RỐT – VỊ HEO 1KG X 10 GÓI/THÙNG</v>
          </cell>
          <cell r="D5050" t="str">
            <v>MEIZAN PORK BOUILLON GRANULE 1KG*10PEBAG</v>
          </cell>
          <cell r="E5050">
            <v>10</v>
          </cell>
          <cell r="F5050" t="str">
            <v>Chọn</v>
          </cell>
          <cell r="G5050" t="str">
            <v>2000000008</v>
          </cell>
          <cell r="H5050" t="str">
            <v>7.5180031502408010</v>
          </cell>
        </row>
        <row r="5051">
          <cell r="A5051" t="str">
            <v>7.5180031502408010</v>
          </cell>
          <cell r="B5051" t="str">
            <v>MEIZAN PORK BOUILLON GRANULE PEBAG@1KG</v>
          </cell>
          <cell r="C5051" t="str">
            <v>HẠT NÊM MEIZAN THỊT, XƯƠNG ỐNG, TỦY, CÀ RỐT – VỊ HEO 1KG</v>
          </cell>
          <cell r="D5051" t="str">
            <v>MEIZAN PORK BOUILLON GRANULE PEBAG@1KG</v>
          </cell>
          <cell r="E5051">
            <v>1</v>
          </cell>
          <cell r="F5051" t="str">
            <v>Chọn</v>
          </cell>
          <cell r="G5051" t="str">
            <v>2000000008</v>
          </cell>
          <cell r="H5051"/>
        </row>
        <row r="5052">
          <cell r="A5052" t="str">
            <v>7.5180061402408120</v>
          </cell>
          <cell r="B5052" t="str">
            <v>NEPTUNE PORK BOUILLON GRANULE 380G*20BAG</v>
          </cell>
          <cell r="C5052" t="str">
            <v>HẠT NÊM 4 TRONG 1 VỊ HEO 380G X 20 GÓI/THÙNG</v>
          </cell>
          <cell r="D5052" t="str">
            <v>NEPTUNE PORK BOUILLON GRANULE 380G*20BAG</v>
          </cell>
          <cell r="E5052">
            <v>7.6</v>
          </cell>
          <cell r="F5052" t="str">
            <v>Chọn</v>
          </cell>
          <cell r="G5052" t="str">
            <v>2000000008</v>
          </cell>
          <cell r="H5052" t="str">
            <v>7.5180061402408010</v>
          </cell>
        </row>
        <row r="5053">
          <cell r="A5053" t="str">
            <v>7.5180061602408100</v>
          </cell>
          <cell r="B5053" t="str">
            <v>NEPTUNE PORK BOUILLON 850G X 10PEBAG</v>
          </cell>
          <cell r="C5053" t="str">
            <v>HẠT NÊM 4 TRONG 1 VỊ HEO 850G X 10 GÓI/ THÙNG</v>
          </cell>
          <cell r="D5053" t="str">
            <v>NEPTUNE PORK BOUILLON 850G X 10PEBAG</v>
          </cell>
          <cell r="E5053">
            <v>8.5</v>
          </cell>
          <cell r="F5053" t="str">
            <v>Chọn</v>
          </cell>
          <cell r="G5053" t="str">
            <v>2000000008</v>
          </cell>
          <cell r="H5053" t="str">
            <v>7.5180061602408010</v>
          </cell>
        </row>
        <row r="5054">
          <cell r="A5054" t="str">
            <v>7.5180061402408010</v>
          </cell>
          <cell r="B5054" t="str">
            <v>NEPTUNE PORK BOUILLON GRANULE PEBAG@380G</v>
          </cell>
          <cell r="C5054" t="str">
            <v>HẠT NÊM 4 TRONG 1 VỊ HEO 380G</v>
          </cell>
          <cell r="D5054" t="str">
            <v>NEPTUNE PORK BOUILLON GRANULE PEBAG@380G</v>
          </cell>
          <cell r="E5054">
            <v>0.38</v>
          </cell>
          <cell r="F5054" t="str">
            <v>Chọn</v>
          </cell>
          <cell r="G5054" t="str">
            <v>2000000008</v>
          </cell>
          <cell r="H5054"/>
        </row>
        <row r="5055">
          <cell r="A5055" t="str">
            <v>7.5180061602408010</v>
          </cell>
          <cell r="B5055" t="str">
            <v>NEPTUNE PORK BOUILLON IN PEBAG@850G</v>
          </cell>
          <cell r="C5055" t="str">
            <v>HẠT NÊM 4 TRONG 1 VỊ HEO 850G</v>
          </cell>
          <cell r="D5055" t="str">
            <v>NEPTUNE PORK BOUILLON IN PEBAG@850G</v>
          </cell>
          <cell r="E5055">
            <v>0.85</v>
          </cell>
          <cell r="F5055" t="str">
            <v>Chọn</v>
          </cell>
          <cell r="G5055" t="str">
            <v>2000000008</v>
          </cell>
          <cell r="H5055"/>
        </row>
        <row r="5056">
          <cell r="A5056" t="str">
            <v>7.5180062502408320</v>
          </cell>
          <cell r="B5056" t="str">
            <v>NEPTUNE PORK BOUILLON GRANULE 50G*120BAG</v>
          </cell>
          <cell r="C5056" t="str">
            <v>HẠT NÊM 4 TRONG 1 - VỊ HEO 50G X 120 GÓI/THÙNG</v>
          </cell>
          <cell r="D5056" t="str">
            <v>NEPTUNE PORK BOUILLON GRANULE 50G*120BAG</v>
          </cell>
          <cell r="E5056">
            <v>6</v>
          </cell>
          <cell r="F5056" t="str">
            <v>Chọn</v>
          </cell>
          <cell r="G5056" t="str">
            <v>2000000008</v>
          </cell>
          <cell r="H5056" t="str">
            <v>7.5180062502408010</v>
          </cell>
        </row>
        <row r="5057">
          <cell r="A5057" t="str">
            <v>7.5180062502408010</v>
          </cell>
          <cell r="B5057" t="str">
            <v>NEPTUNE PORK BOUILLON GRANULE PEBAG@50G</v>
          </cell>
          <cell r="C5057" t="str">
            <v>HẠT NÊM 4 TRONG 1 - VỊ HEO 50G</v>
          </cell>
          <cell r="D5057" t="str">
            <v>NEPTUNE PORK BOUILLON GRANULE PEBAG@50G</v>
          </cell>
          <cell r="E5057">
            <v>0.05</v>
          </cell>
          <cell r="F5057" t="str">
            <v>Chọn</v>
          </cell>
          <cell r="G5057" t="str">
            <v>2000000008</v>
          </cell>
          <cell r="H5057"/>
        </row>
        <row r="5058">
          <cell r="A5058" t="str">
            <v>7.118110B419217060</v>
          </cell>
          <cell r="B5058" t="str">
            <v>SIMPLY MAYO RICE ROASTED FLVR 230G*24BTL</v>
          </cell>
          <cell r="C5058" t="str">
            <v>MAYONNAISE HƯƠNG GẠO RANG 230G X 24 CHAI/ THÙNG</v>
          </cell>
          <cell r="D5058" t="str">
            <v>SIMPLY MAYO RICE ROASTED FLVR 230G*24BTL</v>
          </cell>
          <cell r="E5058">
            <v>5.52</v>
          </cell>
          <cell r="F5058" t="str">
            <v>Chọn</v>
          </cell>
          <cell r="G5058" t="str">
            <v>2000000008</v>
          </cell>
          <cell r="H5058" t="str">
            <v>7.118110B419217010</v>
          </cell>
        </row>
        <row r="5059">
          <cell r="A5059" t="str">
            <v>7.118110B419217010</v>
          </cell>
          <cell r="B5059" t="str">
            <v>SIMPLY MAYO RICE ROASTED FLVR BTL@230G</v>
          </cell>
          <cell r="C5059" t="str">
            <v>MAYONNAISE HƯƠNG GẠO RANG 230G</v>
          </cell>
          <cell r="D5059" t="str">
            <v>SIMPLY MAYO RICE ROASTED FLVR BTL@230G</v>
          </cell>
          <cell r="E5059">
            <v>0.23</v>
          </cell>
          <cell r="F5059" t="str">
            <v>Chọn</v>
          </cell>
          <cell r="G5059" t="str">
            <v>2000000008</v>
          </cell>
          <cell r="H5059"/>
        </row>
        <row r="5060">
          <cell r="A5060" t="str">
            <v>7.118110B418217060</v>
          </cell>
          <cell r="B5060" t="str">
            <v>SIMPLY MULTIPURPOSE MAYO 230G X 24BTL</v>
          </cell>
          <cell r="C5060" t="str">
            <v>MAYONNAISE (CHẤM VÀ TRỘN ĐỀU NGON) 230G X 24 CHAI/ THÙNG</v>
          </cell>
          <cell r="D5060" t="str">
            <v>SIMPLY MULTIPURPOSE MAYO 230G X 24BTL</v>
          </cell>
          <cell r="E5060">
            <v>5.52</v>
          </cell>
          <cell r="F5060" t="str">
            <v>Chọn</v>
          </cell>
          <cell r="G5060" t="str">
            <v>2000000008</v>
          </cell>
          <cell r="H5060" t="str">
            <v>7.118110B418217010</v>
          </cell>
        </row>
        <row r="5061">
          <cell r="A5061" t="str">
            <v>7.118110B418217010</v>
          </cell>
          <cell r="B5061" t="str">
            <v>SIMPLY MULTIPURPOSE MAYONNAISE BTL@230G</v>
          </cell>
          <cell r="C5061" t="str">
            <v>MAYONNAISE (CHẤM VÀ TRỘN ĐỀU NGON) 230G</v>
          </cell>
          <cell r="D5061" t="str">
            <v>SIMPLY MULTIPURPOSE MAYONNAISE BTL@230G</v>
          </cell>
          <cell r="E5061">
            <v>0.23</v>
          </cell>
          <cell r="F5061" t="str">
            <v>Chọn</v>
          </cell>
          <cell r="G5061" t="str">
            <v>2000000008</v>
          </cell>
          <cell r="H5061"/>
        </row>
        <row r="5062">
          <cell r="A5062" t="str">
            <v>7.5180061802408060</v>
          </cell>
          <cell r="B5062" t="str">
            <v>NEPTUNE PORK BOUILLON GRANULE 500G*24BAG</v>
          </cell>
          <cell r="C5062" t="str">
            <v>HẠT NÊM 4 TRONG 1 - VỊ HEO 500G X 24 GÓI/THÙNG</v>
          </cell>
          <cell r="D5062" t="str">
            <v>NEPTUNE PORK BOUILLON GRANULE 500G*24BAG</v>
          </cell>
          <cell r="E5062">
            <v>12</v>
          </cell>
          <cell r="F5062" t="str">
            <v>Chọn</v>
          </cell>
          <cell r="G5062" t="str">
            <v>2000000008</v>
          </cell>
          <cell r="H5062" t="str">
            <v>7.5180061802408010</v>
          </cell>
        </row>
        <row r="5063">
          <cell r="A5063" t="str">
            <v>7.5180061802408010</v>
          </cell>
          <cell r="B5063" t="str">
            <v>NEPTUNE PORK BOUILLON GRANULE PEBAG@500G</v>
          </cell>
          <cell r="C5063" t="str">
            <v>HẠT NÊM 4 TRONG 1 - VỊ HEO 500G</v>
          </cell>
          <cell r="D5063" t="str">
            <v>NEPTUNE PORK BOUILLON GRANULE PEBAG@500G</v>
          </cell>
          <cell r="E5063">
            <v>0.5</v>
          </cell>
          <cell r="F5063" t="str">
            <v>Chọn</v>
          </cell>
          <cell r="G5063" t="str">
            <v>2000000008</v>
          </cell>
          <cell r="H5063"/>
        </row>
        <row r="5064">
          <cell r="A5064" t="str">
            <v>7.551460F26C000580</v>
          </cell>
          <cell r="B5064" t="str">
            <v>NAMDUONG FERMENTED SOY SAUCE 710ML*12BTL</v>
          </cell>
          <cell r="C5064" t="str">
            <v>NƯỚC TƯƠNG NAM DƯƠNG ĐẬU NÀNH LÊN MEN TỰ NHIÊN 710ML X 12 CHAI/THÙNG</v>
          </cell>
          <cell r="D5064" t="str">
            <v>NAMDUONG FERMENTED SOY SAUCE 710ML*12BTL</v>
          </cell>
          <cell r="E5064">
            <v>9.7792999999999992</v>
          </cell>
          <cell r="F5064" t="str">
            <v>Chọn</v>
          </cell>
          <cell r="G5064" t="str">
            <v>2000000008</v>
          </cell>
          <cell r="H5064" t="str">
            <v>7.551460F26C000180</v>
          </cell>
        </row>
        <row r="5065">
          <cell r="A5065" t="str">
            <v>7.551460F26C000180</v>
          </cell>
          <cell r="B5065" t="str">
            <v>NAMDUONG FERMENTED SOYSAUCE BOTTLE@710ML</v>
          </cell>
          <cell r="C5065" t="str">
            <v>NƯỚC TƯƠNG NAM DƯƠNG ĐẬU NÀNH LÊN MEN TỰ NHIÊN 710ML</v>
          </cell>
          <cell r="D5065" t="str">
            <v>NAMDUONG FERMENTED SOYSAUCE BOTTLE@710ML</v>
          </cell>
          <cell r="E5065">
            <v>0.81489999999999996</v>
          </cell>
          <cell r="F5065" t="str">
            <v>Chọn</v>
          </cell>
          <cell r="G5065" t="str">
            <v>2000000008</v>
          </cell>
          <cell r="H5065"/>
        </row>
        <row r="5066">
          <cell r="A5066" t="str">
            <v>7.1181100903976050</v>
          </cell>
          <cell r="B5066" t="str">
            <v>SIMPLY MAYONNAISE 1KG X 12BOX</v>
          </cell>
          <cell r="C5066" t="str">
            <v>MAYONNAISE 1KG X 12 HỘP/THÙNG</v>
          </cell>
          <cell r="D5066" t="str">
            <v>SIMPLY MAYONNAISE 1KG X 12BOX</v>
          </cell>
          <cell r="E5066">
            <v>12</v>
          </cell>
          <cell r="F5066" t="str">
            <v>Chọn</v>
          </cell>
          <cell r="G5066" t="str">
            <v>2000000008</v>
          </cell>
          <cell r="H5066" t="str">
            <v>7.1181100903976010</v>
          </cell>
        </row>
        <row r="5067">
          <cell r="A5067" t="str">
            <v>7.1181100903976010</v>
          </cell>
          <cell r="B5067" t="str">
            <v>SIMPLY MAYONNAISE IN BOX@1KG</v>
          </cell>
          <cell r="C5067" t="str">
            <v>MAYONNAISE 1KG</v>
          </cell>
          <cell r="D5067" t="str">
            <v>SIMPLY MAYONNAISE IN BOX@1KG</v>
          </cell>
          <cell r="E5067">
            <v>1</v>
          </cell>
          <cell r="F5067" t="str">
            <v>Chọn</v>
          </cell>
          <cell r="G5067" t="str">
            <v>2000000008</v>
          </cell>
          <cell r="H5067"/>
        </row>
        <row r="5068">
          <cell r="A5068" t="str">
            <v>7.5630130280221000</v>
          </cell>
          <cell r="B5068" t="str">
            <v>THEPIZZACOMPANY TOMATOKETCHUP SACHET@10G</v>
          </cell>
          <cell r="C5068" t="str">
            <v>TƯƠNG CÀ THE PIZZA COMPANY 10G</v>
          </cell>
          <cell r="D5068" t="str">
            <v>THEPIZZACOMPANY TOMATOKETCHUP SACHET@10G</v>
          </cell>
          <cell r="E5068">
            <v>0.01</v>
          </cell>
          <cell r="F5068" t="str">
            <v>Chọn</v>
          </cell>
          <cell r="G5068" t="str">
            <v>2000000008</v>
          </cell>
          <cell r="H5068"/>
        </row>
        <row r="5069">
          <cell r="A5069" t="str">
            <v>7.5630130280221008</v>
          </cell>
          <cell r="B5069" t="str">
            <v>THEPIZZACOMPANY TOMATOKETCHUP10G*1200SCH</v>
          </cell>
          <cell r="C5069" t="str">
            <v>TƯƠNG CÀ THE PIZZA COMPANY 10G X 1.200 GÓI / THÙNG</v>
          </cell>
          <cell r="D5069" t="str">
            <v>THEPIZZACOMPANY TOMATOKETCHUP10G*1200SCH</v>
          </cell>
          <cell r="E5069">
            <v>12</v>
          </cell>
          <cell r="F5069" t="str">
            <v>Chọn</v>
          </cell>
          <cell r="G5069" t="str">
            <v>2000000008</v>
          </cell>
          <cell r="H5069" t="str">
            <v>7.5630130280221000</v>
          </cell>
        </row>
        <row r="5070">
          <cell r="A5070" t="str">
            <v>7.59800526531116</v>
          </cell>
          <cell r="B5070" t="str">
            <v>NEPTUNE(PORKBOUILN@380G+FERMSS@280ML)*20</v>
          </cell>
          <cell r="C5070" t="str">
            <v>HẠT NÊM 4 TRONG 1 - VỊ HEO 380G X 20 GÓI ĐÓNG KÈM  20 CHAI NƯỚC TƯƠNG NAM DƯƠNG ĐẬU NÀNH LÊN MEN TỰ NHIÊN 280ML / THÙNG</v>
          </cell>
          <cell r="D5070" t="str">
            <v>NEPTUNE(PORKBOUILN@380G+FERMSS@280ML)*20</v>
          </cell>
          <cell r="E5070">
            <v>7.6</v>
          </cell>
          <cell r="F5070" t="str">
            <v>Chọn</v>
          </cell>
          <cell r="G5070" t="str">
            <v>2000000008</v>
          </cell>
          <cell r="H5070" t="str">
            <v>7.59800826531016</v>
          </cell>
        </row>
        <row r="5071">
          <cell r="A5071" t="str">
            <v>7.59800826531016</v>
          </cell>
          <cell r="B5071" t="str">
            <v>NEPTUNE PORKBG@380G+NAMDUONG FSS@280ML</v>
          </cell>
          <cell r="C5071" t="str">
            <v>HẠT NÊM 4 TRONG 1 - VỊ HEO 380G ĐÓNG KÈM  01 CHAI NƯỚC TƯƠNG NAM DƯƠNG ĐẬU NÀNH LÊN MEN TỰ NHIÊN 280ML</v>
          </cell>
          <cell r="D5071" t="str">
            <v>NEPTUNE PORKBG@380G+NAMDUONG FSS@280ML</v>
          </cell>
          <cell r="E5071">
            <v>0.38</v>
          </cell>
          <cell r="F5071" t="str">
            <v>Chọn</v>
          </cell>
          <cell r="G5071" t="str">
            <v>2000000008</v>
          </cell>
          <cell r="H5071"/>
        </row>
        <row r="5072">
          <cell r="A5072" t="str">
            <v>7.59800526521116</v>
          </cell>
          <cell r="B5072" t="str">
            <v>NEPTUNE(MUSHRMBLN380+FERMENTSOYSC280)*20</v>
          </cell>
          <cell r="C5072" t="str">
            <v>HẠT NÊM TAM BẢO VỊ NẤM 380G X 20 GÓI ĐÓNG KÈM 20 CHAI NƯỚC TƯƠNG NAM DƯƠNG ĐẬU NÀNH LÊN MEN TỰ NHIÊN 280ML / THÙNG</v>
          </cell>
          <cell r="D5072" t="str">
            <v>NEPTUNE(MUSHRMBLN380+FERMENTSOYSC280)*20</v>
          </cell>
          <cell r="E5072">
            <v>7.6</v>
          </cell>
          <cell r="F5072" t="str">
            <v>Chọn</v>
          </cell>
          <cell r="G5072" t="str">
            <v>2000000008</v>
          </cell>
          <cell r="H5072" t="str">
            <v>7.59800826521016</v>
          </cell>
        </row>
        <row r="5073">
          <cell r="A5073" t="str">
            <v>7.59800826521016</v>
          </cell>
          <cell r="B5073" t="str">
            <v>NEPTUNE MBG@380G+NAMDUONG FERM SS@280ML</v>
          </cell>
          <cell r="C5073" t="str">
            <v>HẠT NÊM TAM BẢO VỊ NẤM 380G ĐÓNG KÈM 01 CHAI NƯỚC TƯƠNG NAM DƯƠNG ĐẬU NÀNH LÊN MEN TỰ NHIÊN 280ML</v>
          </cell>
          <cell r="D5073" t="str">
            <v>NEPTUNE MBG@380G+NAMDUONG FERM SS@280ML</v>
          </cell>
          <cell r="E5073">
            <v>0.38</v>
          </cell>
          <cell r="F5073" t="str">
            <v>Chọn</v>
          </cell>
          <cell r="G5073" t="str">
            <v>2000000008</v>
          </cell>
          <cell r="H5073"/>
        </row>
        <row r="5074">
          <cell r="A5074" t="str">
            <v>7.5180030702408060</v>
          </cell>
          <cell r="B5074" t="str">
            <v>MEIZAN PORKBOUILLON GRANULE 400G*24PEBAG</v>
          </cell>
          <cell r="C5074" t="str">
            <v>HẠT NÊM MEIZAN THỊT, XƯƠNG ỐNG, TUỶ, CÀ RỐT- VỊ HEO 400G X 24 GÓI/THÙNG</v>
          </cell>
          <cell r="D5074" t="str">
            <v>MEIZAN PORKBOUILLON GRANULE 400G*24PEBAG</v>
          </cell>
          <cell r="E5074">
            <v>9.6</v>
          </cell>
          <cell r="F5074" t="str">
            <v>Chọn</v>
          </cell>
          <cell r="G5074" t="str">
            <v>2000000008</v>
          </cell>
          <cell r="H5074" t="str">
            <v>7.5180030702408010</v>
          </cell>
        </row>
        <row r="5075">
          <cell r="A5075" t="str">
            <v>7.5180030702408010</v>
          </cell>
          <cell r="B5075" t="str">
            <v>MEIZAN PORK BOUILLON GRANULE PEBAG@400G</v>
          </cell>
          <cell r="C5075" t="str">
            <v>HẠT NÊM MEIZAN THỊT, XƯƠNG ỐNG, TUỶ, CÀ RỐT- VỊ HEO 400 G</v>
          </cell>
          <cell r="D5075" t="str">
            <v>MEIZAN PORK BOUILLON GRANULE PEBAG@400G</v>
          </cell>
          <cell r="E5075">
            <v>0.4</v>
          </cell>
          <cell r="F5075" t="str">
            <v>Chọn</v>
          </cell>
          <cell r="G5075" t="str">
            <v>2000000008</v>
          </cell>
          <cell r="H5075"/>
        </row>
        <row r="5076">
          <cell r="A5076" t="str">
            <v>7.551460E67C5M0680</v>
          </cell>
          <cell r="B5076" t="str">
            <v>NAMDUONG HANGVIETTHANHVI SOY 500ML*24BTL</v>
          </cell>
          <cell r="C5076" t="str">
            <v>NƯỚC CHẤM ĐẬU NÀNH HÀNG VIỆT THANH VỊ 500 ML X 24 CHAI/THÙNG</v>
          </cell>
          <cell r="D5076" t="str">
            <v>NAMDUONG HANGVIETTHANHVI SOY 500ML*24BTL</v>
          </cell>
          <cell r="E5076">
            <v>13.096</v>
          </cell>
          <cell r="F5076" t="str">
            <v>Chọn</v>
          </cell>
          <cell r="G5076" t="str">
            <v>2000000008</v>
          </cell>
          <cell r="H5076" t="str">
            <v>7.551460E67C5M0180</v>
          </cell>
        </row>
        <row r="5077">
          <cell r="A5077" t="str">
            <v>7.551460E67C5M0180</v>
          </cell>
          <cell r="B5077" t="str">
            <v>NAMDUONG HANGVIETTHANHVI SOY BTL@500ML</v>
          </cell>
          <cell r="C5077" t="str">
            <v>NƯỚC CHẤM ĐẬU NÀNH HÀNG VIỆT THANH VỊ 500 ML</v>
          </cell>
          <cell r="D5077" t="str">
            <v>NAMDUONG HANGVIETTHANHVI SOY BTL@500ML</v>
          </cell>
          <cell r="E5077">
            <v>0.54600000000000004</v>
          </cell>
          <cell r="F5077" t="str">
            <v>Chọn</v>
          </cell>
          <cell r="G5077" t="str">
            <v>2000000008</v>
          </cell>
          <cell r="H5077"/>
        </row>
        <row r="5078">
          <cell r="A5078" t="str">
            <v>7.515006141417010</v>
          </cell>
          <cell r="B5078" t="str">
            <v>NAMDUONG MED SPICY CHILI SAUCE BTL@255G</v>
          </cell>
          <cell r="C5078" t="str">
            <v>TƯƠNG ỚT NAM DƯƠNG CAY VỪA 255G</v>
          </cell>
          <cell r="D5078" t="str">
            <v>NAMDUONG MED SPICY CHILI SAUCE BTL@255G</v>
          </cell>
          <cell r="E5078">
            <v>0.255</v>
          </cell>
          <cell r="F5078" t="str">
            <v>Chọn</v>
          </cell>
          <cell r="G5078" t="str">
            <v>2000000008</v>
          </cell>
          <cell r="H5078"/>
        </row>
        <row r="5079">
          <cell r="A5079" t="str">
            <v>7.515006141417060</v>
          </cell>
          <cell r="B5079" t="str">
            <v>NAMDUONG MED SPICY CHILISAUCE 255G*24BTL</v>
          </cell>
          <cell r="C5079" t="str">
            <v>TƯƠNG ỚT NAM DƯƠNG CAY VỪA 255G X 24 CHAI/THÙNG</v>
          </cell>
          <cell r="D5079" t="str">
            <v>NAMDUONG MED SPICY CHILISAUCE 255G*24BTL</v>
          </cell>
          <cell r="E5079">
            <v>6.12</v>
          </cell>
          <cell r="F5079" t="str">
            <v>Chọn</v>
          </cell>
          <cell r="G5079" t="str">
            <v>2000000008</v>
          </cell>
          <cell r="H5079" t="str">
            <v>7.515006141417010</v>
          </cell>
        </row>
        <row r="5080">
          <cell r="A5080" t="str">
            <v>7.515006341420A80</v>
          </cell>
          <cell r="B5080" t="str">
            <v>NAMDUONG MED SPICY CHILISAUCE 10G*800SCH</v>
          </cell>
          <cell r="C5080" t="str">
            <v>TƯƠNG ỚT NAM DƯƠNG CAY VỪA 10G X 800 GÓI/THÙNG</v>
          </cell>
          <cell r="D5080" t="str">
            <v>NAMDUONG MED SPICY CHILISAUCE 10G*800SCH</v>
          </cell>
          <cell r="E5080">
            <v>8</v>
          </cell>
          <cell r="F5080" t="str">
            <v>Chọn</v>
          </cell>
          <cell r="G5080" t="str">
            <v>2000000008</v>
          </cell>
          <cell r="H5080" t="str">
            <v>7.515006341420010</v>
          </cell>
        </row>
        <row r="5081">
          <cell r="A5081" t="str">
            <v>7.515006341420010</v>
          </cell>
          <cell r="B5081" t="str">
            <v>NAMDUONG MED SPICY CHILISAUCE SACHET@10G</v>
          </cell>
          <cell r="C5081" t="str">
            <v>TƯƠNG ỚT NAM DƯƠNG CAY VỪA 10G</v>
          </cell>
          <cell r="D5081" t="str">
            <v>NAMDUONG MED SPICY CHILISAUCE SACHET@10G</v>
          </cell>
          <cell r="E5081">
            <v>0.01</v>
          </cell>
          <cell r="F5081" t="str">
            <v>Chọn</v>
          </cell>
          <cell r="G5081" t="str">
            <v>2000000008</v>
          </cell>
          <cell r="H5081"/>
        </row>
        <row r="5082">
          <cell r="A5082" t="str">
            <v>7.5180032102408040</v>
          </cell>
          <cell r="B5082" t="str">
            <v>MEIZAN PORK BOUILLON GRANULE 1.8KG*6BAG</v>
          </cell>
          <cell r="C5082" t="str">
            <v>HẠT NÊM MEIZAN THỊT, XƯƠNG ỐNG, TỦY, CÀ RỐT – VỊ HEO 1,8 KG X 6 GÓI/THÙNG</v>
          </cell>
          <cell r="D5082" t="str">
            <v>MEIZAN PORK BOUILLON GRANULE 1.8KG*6BAG</v>
          </cell>
          <cell r="E5082">
            <v>10.8</v>
          </cell>
          <cell r="F5082" t="str">
            <v>Chọn</v>
          </cell>
          <cell r="G5082" t="str">
            <v>2000000008</v>
          </cell>
          <cell r="H5082" t="str">
            <v>7.5180032102408010</v>
          </cell>
        </row>
        <row r="5083">
          <cell r="A5083" t="str">
            <v>7.5180032102408010</v>
          </cell>
          <cell r="B5083" t="str">
            <v>MEIZAN PORK BOUILLON GRANULE PEBAG@1.8KG</v>
          </cell>
          <cell r="C5083" t="str">
            <v>HẠT NÊM MEIZAN THỊT, XƯƠNG ỐNG, TỦY, CÀ RỐT – VỊ HEO 1,8 KG</v>
          </cell>
          <cell r="D5083" t="str">
            <v>MEIZAN PORK BOUILLON GRANULE PEBAG@1.8KG</v>
          </cell>
          <cell r="E5083">
            <v>1.8</v>
          </cell>
          <cell r="F5083" t="str">
            <v>Chọn</v>
          </cell>
          <cell r="G5083" t="str">
            <v>2000000008</v>
          </cell>
          <cell r="H5083"/>
        </row>
        <row r="5084">
          <cell r="A5084" t="str">
            <v>7.515006312917040</v>
          </cell>
          <cell r="B5084" t="str">
            <v>NAMDUONG HORECA HV CHILISAUCE 2.1KG*6BTL</v>
          </cell>
          <cell r="C5084" t="str">
            <v>TƯƠNG ỚT HÀNG VIỆT HORECA 2,1KG X 6 CHAI/THÙNG</v>
          </cell>
          <cell r="D5084" t="str">
            <v>NAMDUONG HORECA HV CHILISAUCE 2.1KG*6BTL</v>
          </cell>
          <cell r="E5084">
            <v>12.6</v>
          </cell>
          <cell r="F5084" t="str">
            <v>Chọn</v>
          </cell>
          <cell r="G5084" t="str">
            <v>2000000008</v>
          </cell>
          <cell r="H5084" t="str">
            <v>7.515006312917010</v>
          </cell>
        </row>
        <row r="5085">
          <cell r="A5085" t="str">
            <v>7.515006302917030</v>
          </cell>
          <cell r="B5085" t="str">
            <v>NAMDUONG HORECA HV CHILISAUCE 4.2KG*4BTL</v>
          </cell>
          <cell r="C5085" t="str">
            <v>TƯƠNG ỚT HÀNG VIỆT HORECA 4,2KG X 4 CHAI/THÙNG</v>
          </cell>
          <cell r="D5085" t="str">
            <v>NAMDUONG HORECA HV CHILISAUCE 4.2KG*4BTL</v>
          </cell>
          <cell r="E5085">
            <v>16.8</v>
          </cell>
          <cell r="F5085" t="str">
            <v>Chọn</v>
          </cell>
          <cell r="G5085" t="str">
            <v>2000000008</v>
          </cell>
          <cell r="H5085" t="str">
            <v>7.515006302917010</v>
          </cell>
        </row>
        <row r="5086">
          <cell r="A5086" t="str">
            <v>7.515006312917010</v>
          </cell>
          <cell r="B5086" t="str">
            <v>NAMDUONG HORECA HV CHILISAUCE BTL@2.1KG</v>
          </cell>
          <cell r="C5086" t="str">
            <v>TƯƠNG ỚT HÀNG VIỆT HORECA 2,1KG</v>
          </cell>
          <cell r="D5086" t="str">
            <v>NAMDUONG HORECA HV CHILISAUCE BTL@2.1KG</v>
          </cell>
          <cell r="E5086">
            <v>2.1</v>
          </cell>
          <cell r="F5086" t="str">
            <v>Chọn</v>
          </cell>
          <cell r="G5086" t="str">
            <v>2000000008</v>
          </cell>
          <cell r="H5086"/>
        </row>
        <row r="5087">
          <cell r="A5087" t="str">
            <v>7.515006302917010</v>
          </cell>
          <cell r="B5087" t="str">
            <v>NAMDUONG HORECA HV CHILISAUCE BTL@4.2KG</v>
          </cell>
          <cell r="C5087" t="str">
            <v>TƯƠNG ỚT HÀNG VIỆT HORECA 4,2KG</v>
          </cell>
          <cell r="D5087" t="str">
            <v>NAMDUONG HORECA HV CHILISAUCE BTL@4.2KG</v>
          </cell>
          <cell r="E5087">
            <v>4.2</v>
          </cell>
          <cell r="F5087" t="str">
            <v>Chọn</v>
          </cell>
          <cell r="G5087" t="str">
            <v>2000000008</v>
          </cell>
          <cell r="H5087"/>
        </row>
        <row r="5088">
          <cell r="A5088" t="str">
            <v>7.515006311417040</v>
          </cell>
          <cell r="B5088" t="str">
            <v>NAMDUONG MED SPICY CHILISAUCE 2.1KG*6BTL</v>
          </cell>
          <cell r="C5088" t="str">
            <v>TƯƠNG ỚT NAM DƯƠNG CAY VỪA 2.1KG X 6 CHAI/ THÙNG</v>
          </cell>
          <cell r="D5088" t="str">
            <v>NAMDUONG MED SPICY CHILISAUCE 2.1KG*6BTL</v>
          </cell>
          <cell r="E5088">
            <v>12.6</v>
          </cell>
          <cell r="F5088" t="str">
            <v>Chọn</v>
          </cell>
          <cell r="G5088" t="str">
            <v>2000000008</v>
          </cell>
          <cell r="H5088" t="str">
            <v>7.515006311417010</v>
          </cell>
        </row>
        <row r="5089">
          <cell r="A5089" t="str">
            <v>7.515006311417010</v>
          </cell>
          <cell r="B5089" t="str">
            <v>NAMDUONG MED SPICY CHILI SAUCE BTL@2.1KG</v>
          </cell>
          <cell r="C5089" t="str">
            <v>TƯƠNG ỚT NAM DƯƠNG CAY VỪA 2.1KG</v>
          </cell>
          <cell r="D5089" t="str">
            <v>NAMDUONG MED SPICY CHILI SAUCE BTL@2.1KG</v>
          </cell>
          <cell r="E5089">
            <v>2.1</v>
          </cell>
          <cell r="F5089" t="str">
            <v>Chọn</v>
          </cell>
          <cell r="G5089" t="str">
            <v>2000000008</v>
          </cell>
          <cell r="H5089"/>
        </row>
        <row r="5090">
          <cell r="A5090" t="str">
            <v>7.5630080190030600</v>
          </cell>
          <cell r="B5090" t="str">
            <v>NAM DUONG TOMATO SAUCE IN BOTTLE@255G</v>
          </cell>
          <cell r="C5090" t="str">
            <v>TƯƠNG CÀ NAM DƯƠNG 255G</v>
          </cell>
          <cell r="D5090" t="str">
            <v>NAM DUONG TOMATO SAUCE IN BOTTLE@255G</v>
          </cell>
          <cell r="E5090">
            <v>0.255</v>
          </cell>
          <cell r="F5090" t="str">
            <v>Chọn</v>
          </cell>
          <cell r="G5090" t="str">
            <v>2000000008</v>
          </cell>
          <cell r="H5090"/>
        </row>
        <row r="5091">
          <cell r="A5091" t="str">
            <v>7.5630080190030604</v>
          </cell>
          <cell r="B5091" t="str">
            <v>NAM DUONG TOMATO SAUCE 255G X 24BTL</v>
          </cell>
          <cell r="C5091" t="str">
            <v>TƯƠNG CÀ NAM DƯƠNG 255G X 24 CHAI/ THÙNG</v>
          </cell>
          <cell r="D5091" t="str">
            <v>NAM DUONG TOMATO SAUCE 255G X 24BTL</v>
          </cell>
          <cell r="E5091">
            <v>6.12</v>
          </cell>
          <cell r="F5091" t="str">
            <v>Chọn</v>
          </cell>
          <cell r="G5091" t="str">
            <v>2000000008</v>
          </cell>
          <cell r="H5091" t="str">
            <v>7.5630080190030600</v>
          </cell>
        </row>
        <row r="5092">
          <cell r="A5092" t="str">
            <v>7.5630080260030602</v>
          </cell>
          <cell r="B5092" t="str">
            <v>NAM DUONG TOMATO SAUCE 2.2KG X 6BTL</v>
          </cell>
          <cell r="C5092" t="str">
            <v>TƯƠNG CÀ NAM DƯƠNG 2.2KG X 6 CHAI/ THÙNG</v>
          </cell>
          <cell r="D5092" t="str">
            <v>NAM DUONG TOMATO SAUCE 2.2KG X 6BTL</v>
          </cell>
          <cell r="E5092">
            <v>13.2</v>
          </cell>
          <cell r="F5092" t="str">
            <v>Chọn</v>
          </cell>
          <cell r="G5092" t="str">
            <v>2000000008</v>
          </cell>
          <cell r="H5092" t="str">
            <v>7.5630080260030600</v>
          </cell>
        </row>
        <row r="5093">
          <cell r="A5093" t="str">
            <v>7.5630080260030600</v>
          </cell>
          <cell r="B5093" t="str">
            <v>NAM DUONG TOMATO SAUCE IN BOTTLE@2.2KG</v>
          </cell>
          <cell r="C5093" t="str">
            <v>TƯƠNG CÀ NAM DƯƠNG 2.2KG</v>
          </cell>
          <cell r="D5093" t="str">
            <v>NAM DUONG TOMATO SAUCE IN BOTTLE@2.2KG</v>
          </cell>
          <cell r="E5093">
            <v>2.2000000000000002</v>
          </cell>
          <cell r="F5093" t="str">
            <v>Chọn</v>
          </cell>
          <cell r="G5093" t="str">
            <v>2000000008</v>
          </cell>
          <cell r="H5093"/>
        </row>
        <row r="5094">
          <cell r="A5094" t="str">
            <v>7.551460E6Y8000680</v>
          </cell>
          <cell r="B5094" t="str">
            <v>NAMDUONG PREMIUM SOY SAUCE 500ML X 24BTL</v>
          </cell>
          <cell r="C5094" t="str">
            <v>NƯỚC TƯƠNG THƯỢNG HẠNG 500ML X 24 CHAI/THÙNG</v>
          </cell>
          <cell r="D5094" t="str">
            <v>NAMDUONG PREMIUM SOY SAUCE 500ML X 24BTL</v>
          </cell>
          <cell r="E5094">
            <v>13.385999999999999</v>
          </cell>
          <cell r="F5094" t="str">
            <v>Chọn</v>
          </cell>
          <cell r="G5094" t="str">
            <v>2000000008</v>
          </cell>
          <cell r="H5094" t="str">
            <v>7.551460E6Y8000180</v>
          </cell>
        </row>
        <row r="5095">
          <cell r="A5095" t="str">
            <v>7.551460E6Y8000180</v>
          </cell>
          <cell r="B5095" t="str">
            <v>NAMDUONG PREMIUM SOY SAUCE BOTTLE@500ML</v>
          </cell>
          <cell r="C5095" t="str">
            <v>NƯỚC TƯƠNG THƯỢNG HẠNG 500ML</v>
          </cell>
          <cell r="D5095" t="str">
            <v>NAMDUONG PREMIUM SOY SAUCE BOTTLE@500ML</v>
          </cell>
          <cell r="E5095">
            <v>0.55800000000000005</v>
          </cell>
          <cell r="F5095" t="str">
            <v>Chọn</v>
          </cell>
          <cell r="G5095" t="str">
            <v>2000000008</v>
          </cell>
          <cell r="H5095"/>
        </row>
        <row r="5096">
          <cell r="A5096" t="str">
            <v>7.551460F56C7M0680</v>
          </cell>
          <cell r="B5096" t="str">
            <v>NAM DUONG HOISIN SOY SAUCE 255G X 24BTL</v>
          </cell>
          <cell r="C5096" t="str">
            <v>TƯƠNG ĐEN 255G X 24 CHAI/THÙNG</v>
          </cell>
          <cell r="D5096" t="str">
            <v>NAM DUONG HOISIN SOY SAUCE 255G X 24BTL</v>
          </cell>
          <cell r="E5096">
            <v>6.12</v>
          </cell>
          <cell r="F5096" t="str">
            <v>Chọn</v>
          </cell>
          <cell r="G5096" t="str">
            <v>2000000008</v>
          </cell>
          <cell r="H5096" t="str">
            <v>7.551460F56C7M0180</v>
          </cell>
        </row>
        <row r="5097">
          <cell r="A5097" t="str">
            <v>7.551460F56C7M0180</v>
          </cell>
          <cell r="B5097" t="str">
            <v>NAMDUONG HOISIN SOY SAUCE IN BOTTLE@255G</v>
          </cell>
          <cell r="C5097" t="str">
            <v>TƯƠNG ĐEN 255G</v>
          </cell>
          <cell r="D5097" t="str">
            <v>NAMDUONG HOISIN SOY SAUCE IN BOTTLE@255G</v>
          </cell>
          <cell r="E5097">
            <v>0.255</v>
          </cell>
          <cell r="F5097" t="str">
            <v>Chọn</v>
          </cell>
          <cell r="G5097" t="str">
            <v>2000000008</v>
          </cell>
          <cell r="H5097"/>
        </row>
        <row r="5098">
          <cell r="A5098" t="str">
            <v>7.515006143217060</v>
          </cell>
          <cell r="B5098" t="str">
            <v>NAMDUONG SPECIAL HOT CHILI SC 255G*24BTL</v>
          </cell>
          <cell r="C5098" t="str">
            <v>TƯƠNG ỚT ĐẶC BIỆT CAY 255G X 24 CHAI/THÙNG</v>
          </cell>
          <cell r="D5098" t="str">
            <v>NAMDUONG SPECIAL HOT CHILI SC 255G*24BTL</v>
          </cell>
          <cell r="E5098">
            <v>6.12</v>
          </cell>
          <cell r="F5098" t="str">
            <v>Chọn</v>
          </cell>
          <cell r="G5098" t="str">
            <v>2000000008</v>
          </cell>
          <cell r="H5098" t="str">
            <v>7.515006143217010</v>
          </cell>
        </row>
        <row r="5099">
          <cell r="A5099" t="str">
            <v>7.515006143217010</v>
          </cell>
          <cell r="B5099" t="str">
            <v>NAMDUONG SPECIAL HOT CHILISAUCE BTL@255G</v>
          </cell>
          <cell r="C5099" t="str">
            <v>TƯƠNG ỚT ĐẶC BIỆT CAY 255G</v>
          </cell>
          <cell r="D5099" t="str">
            <v>NAMDUONG SPECIAL HOT CHILISAUCE BTL@255G</v>
          </cell>
          <cell r="E5099">
            <v>0.255</v>
          </cell>
          <cell r="F5099" t="str">
            <v>Chọn</v>
          </cell>
          <cell r="G5099" t="str">
            <v>2000000008</v>
          </cell>
          <cell r="H5099"/>
        </row>
        <row r="5100">
          <cell r="A5100" t="str">
            <v>7.551460F37C6M0380</v>
          </cell>
          <cell r="B5100" t="str">
            <v>NAMDUONG HANGVIETHORECA SOYSAUCE 4L*4BTL</v>
          </cell>
          <cell r="C5100" t="str">
            <v>NƯỚC CHẤM ĐẬU NÀNH HÀNG VIỆT HORECA 4 LÍT X 4 CHAI/THÙNG</v>
          </cell>
          <cell r="D5100" t="str">
            <v>NAMDUONG HANGVIETHORECA SOYSAUCE 4L*4BTL</v>
          </cell>
          <cell r="E5100">
            <v>17.088000000000001</v>
          </cell>
          <cell r="F5100" t="str">
            <v>Chọn</v>
          </cell>
          <cell r="G5100" t="str">
            <v>2000000008</v>
          </cell>
          <cell r="H5100" t="str">
            <v>7.551460F37C6M0180</v>
          </cell>
        </row>
        <row r="5101">
          <cell r="A5101" t="str">
            <v>7.551460F37C6M0180</v>
          </cell>
          <cell r="B5101" t="str">
            <v>NAMDUONG HANGVIETHORECA SOYSAUCE BTL@4L</v>
          </cell>
          <cell r="C5101" t="str">
            <v>NƯỚC CHẤM ĐẬU NÀNH HÀNG VIỆT HORECA 4 LÍT</v>
          </cell>
          <cell r="D5101" t="str">
            <v>NAMDUONG HANGVIETHORECA SOYSAUCE BTL@4L</v>
          </cell>
          <cell r="E5101">
            <v>4.2720000000000002</v>
          </cell>
          <cell r="F5101" t="str">
            <v>Chọn</v>
          </cell>
          <cell r="G5101" t="str">
            <v>2000000008</v>
          </cell>
          <cell r="H5101"/>
        </row>
        <row r="5102">
          <cell r="A5102" t="str">
            <v>7.59800318490617</v>
          </cell>
          <cell r="B5102" t="str">
            <v>MEIZAN PORK+MUSHROOMBOUILLN(1KG+380G)*10</v>
          </cell>
          <cell r="C5102" t="str">
            <v xml:space="preserve">HẠT NÊM MEIZAN THỊT, XƯƠNG ỐNG, TỦY, CÀ RỐT – VỊ HEO 1KG X 10 GÓI ĐÓNG KÈM 10 GÓI HẠT NÊM TAM BẢO VỊ NẤM 380G / THÙNG </v>
          </cell>
          <cell r="D5102" t="str">
            <v>MEIZAN PORK+MUSHROOMBOUILLN(1KG+380G)*10</v>
          </cell>
          <cell r="E5102">
            <v>10</v>
          </cell>
          <cell r="F5102" t="str">
            <v>Chọn</v>
          </cell>
          <cell r="G5102" t="str">
            <v>2000000008</v>
          </cell>
          <cell r="H5102" t="str">
            <v>7.59800918491017</v>
          </cell>
        </row>
        <row r="5103">
          <cell r="A5103" t="str">
            <v>7.59800918491017</v>
          </cell>
          <cell r="B5103" t="str">
            <v>MEIZAN PORK BG@1KG+NEPTUNE MUSHRMBG@380G</v>
          </cell>
          <cell r="C5103" t="str">
            <v>HẠT NÊM MEIZAN THỊT, XƯƠNG ỐNG, TỦY, CÀ RỐT – VỊ HEO 1KG ĐÓNG KÈM 01 GÓI HẠT NÊM TAM BẢO VỊ NẤM 380G</v>
          </cell>
          <cell r="D5103" t="str">
            <v>MEIZAN PORK BG@1KG+NEPTUNE MUSHRMBG@380G</v>
          </cell>
          <cell r="E5103">
            <v>1</v>
          </cell>
          <cell r="F5103" t="str">
            <v>Chọn</v>
          </cell>
          <cell r="G5103" t="str">
            <v>2000000008</v>
          </cell>
          <cell r="H5103"/>
        </row>
        <row r="5104">
          <cell r="A5104" t="str">
            <v>7.59800319500617</v>
          </cell>
          <cell r="B5104" t="str">
            <v>MEIZAN PORK BOUILLON (1KG+400G)*10PACK</v>
          </cell>
          <cell r="C5104" t="str">
            <v xml:space="preserve">HẠT NÊM MEIZAN THỊT, XƯƠNG ỐNG, TỦY, CÀ RỐT – VỊ HEO 1KG X 10 GÓI ĐÓNG KÈM 10 GÓI HẠT NÊM MEIZAN THỊT, XƯƠNG ỐNG, TUỶ, CÀ RỐT - VỊ HEO 400G / THÙNG </v>
          </cell>
          <cell r="D5104" t="str">
            <v>MEIZAN PORK BOUILLON (1KG+400G)*10PACK</v>
          </cell>
          <cell r="E5104">
            <v>10</v>
          </cell>
          <cell r="F5104" t="str">
            <v>Chọn</v>
          </cell>
          <cell r="G5104" t="str">
            <v>2000000008</v>
          </cell>
          <cell r="H5104" t="str">
            <v>7.59800319501017</v>
          </cell>
        </row>
        <row r="5105">
          <cell r="A5105" t="str">
            <v>7.59800319501017</v>
          </cell>
          <cell r="B5105" t="str">
            <v>MEIZAN PORK BOUILLON PEBAG(1KG+400G)</v>
          </cell>
          <cell r="C5105" t="str">
            <v>HẠT NÊM MEIZAN THỊT, XƯƠNG ỐNG, TỦY, CÀ RỐT – VỊ HEO 1KG ĐÓNG KÈM 01 GÓI HẠT NÊM MEIZAN THỊT, XƯƠNG ỐNG, TUỶ, CÀ RỐT - VỊ HEO 400G</v>
          </cell>
          <cell r="D5105" t="str">
            <v>MEIZAN PORK BOUILLON PEBAG(1KG+400G)</v>
          </cell>
          <cell r="E5105">
            <v>1</v>
          </cell>
          <cell r="F5105" t="str">
            <v>Chọn</v>
          </cell>
          <cell r="G5105" t="str">
            <v>2000000008</v>
          </cell>
          <cell r="H5105"/>
        </row>
        <row r="5106">
          <cell r="A5106" t="str">
            <v>7.59800524490617</v>
          </cell>
          <cell r="B5106" t="str">
            <v>NEPTUNE(MUSHRMBLN@850G+PORKBLN@380G)*10</v>
          </cell>
          <cell r="C5106" t="str">
            <v>HẠT NÊM 4 TRONG 1 VỊ HEO 850G X 10 GÓI ĐÓNG KÈM 10 GÓI HẠT NÊM TAM BẢO VỊ NẤM 380G / THÙNG</v>
          </cell>
          <cell r="D5106" t="str">
            <v>NEPTUNE(MUSHRMBLN@850G+PORKBLN@380G)*10</v>
          </cell>
          <cell r="E5106">
            <v>8.5</v>
          </cell>
          <cell r="F5106" t="str">
            <v>Chọn</v>
          </cell>
          <cell r="G5106" t="str">
            <v>2000000008</v>
          </cell>
          <cell r="H5106" t="str">
            <v>7.59800524491017</v>
          </cell>
        </row>
        <row r="5107">
          <cell r="A5107" t="str">
            <v>7.59800524491017</v>
          </cell>
          <cell r="B5107" t="str">
            <v>NEPTUNE PORKBOUILN850G+MUSHRMBOUILN380G</v>
          </cell>
          <cell r="C5107" t="str">
            <v>HẠT NÊM 4 TRONG 1 VỊ HEO 850G ĐÓNG KÈM 01 GÓI HẠT NÊM TAM BẢO VỊ NẤM 380G</v>
          </cell>
          <cell r="D5107" t="str">
            <v>NEPTUNE PORKBOUILN850G+MUSHRMBOUILN380G</v>
          </cell>
          <cell r="E5107">
            <v>0.85</v>
          </cell>
          <cell r="F5107" t="str">
            <v>Chọn</v>
          </cell>
          <cell r="G5107" t="str">
            <v>2000000008</v>
          </cell>
          <cell r="H5107"/>
        </row>
        <row r="5108">
          <cell r="A5108" t="str">
            <v>7.59800523500617</v>
          </cell>
          <cell r="B5108" t="str">
            <v>NEPTUNE PORKBOUILLON BAG(850G+500G)*10</v>
          </cell>
          <cell r="C5108" t="str">
            <v>HẠT NÊM 4 TRONG 1 VỊ HEO 850G X 10 GÓI ĐÓNG KÈM 10 GÓI HẠT NÊM 4 TRONG 1 - VỊ HEO 500G / THÙNG</v>
          </cell>
          <cell r="D5108" t="str">
            <v>NEPTUNE PORKBOUILLON BAG(850G+500G)*10</v>
          </cell>
          <cell r="E5108">
            <v>8.5</v>
          </cell>
          <cell r="F5108" t="str">
            <v>Chọn</v>
          </cell>
          <cell r="G5108" t="str">
            <v>2000000008</v>
          </cell>
          <cell r="H5108" t="str">
            <v>7.59800523501017</v>
          </cell>
        </row>
        <row r="5109">
          <cell r="A5109" t="str">
            <v>7.59800523501017</v>
          </cell>
          <cell r="B5109" t="str">
            <v>NEPTUNE PORK BOUILLON PEBAG 850G+500G</v>
          </cell>
          <cell r="C5109" t="str">
            <v>HẠT NÊM 4 TRONG 1 VỊ HEO 850G ĐÓNG KÈM 01 GÓI HẠT NÊM 4 TRONG 1 - VỊ HEO 500G</v>
          </cell>
          <cell r="D5109" t="str">
            <v>NEPTUNE PORK BOUILLON PEBAG 850G+500G</v>
          </cell>
          <cell r="E5109">
            <v>0.85</v>
          </cell>
          <cell r="F5109" t="str">
            <v>Chọn</v>
          </cell>
          <cell r="G5109" t="str">
            <v>2000000008</v>
          </cell>
          <cell r="H5109"/>
        </row>
        <row r="5110">
          <cell r="A5110" t="str">
            <v>7.551460G5Y8000680</v>
          </cell>
          <cell r="B5110" t="str">
            <v>NAMDUONG PREM SOYSAUCE BTL(500+210ML)*24</v>
          </cell>
          <cell r="C5110" t="str">
            <v>NƯỚC TƯƠNG THƯỢNG HẠNG 500ML X 24 CHAI ĐÓNG KÈM 24 CHAI NƯỚC TƯƠNG THƯỢNG HẠNG 210ML / THÙNG</v>
          </cell>
          <cell r="D5110" t="str">
            <v>NAMDUONG PREM SOYSAUCE BTL(500+210ML)*24</v>
          </cell>
          <cell r="E5110">
            <v>13.385999999999999</v>
          </cell>
          <cell r="F5110" t="str">
            <v>Chọn</v>
          </cell>
          <cell r="G5110" t="str">
            <v>2000000008</v>
          </cell>
          <cell r="H5110" t="str">
            <v>7.551460G5Y8000280</v>
          </cell>
        </row>
        <row r="5111">
          <cell r="A5111" t="str">
            <v>7.551460G5Y8000280</v>
          </cell>
          <cell r="B5111" t="str">
            <v>NAMDUONG PREMIUMSOYSAUCE BTL 500ML+210ML</v>
          </cell>
          <cell r="C5111" t="str">
            <v>NƯỚC TƯƠNG THƯỢNG HẠNG 500ML ĐÓNG KÈM 01 CHAI NƯỚC TƯƠNG THƯỢNG HẠNG 210ML</v>
          </cell>
          <cell r="D5111" t="str">
            <v>NAMDUONG PREMIUMSOYSAUCE BTL 500ML+210ML</v>
          </cell>
          <cell r="E5111">
            <v>0.55800000000000005</v>
          </cell>
          <cell r="F5111" t="str">
            <v>Chọn</v>
          </cell>
          <cell r="G5111" t="str">
            <v>2000000008</v>
          </cell>
          <cell r="H5111"/>
        </row>
        <row r="5112">
          <cell r="A5112" t="str">
            <v>7.551460E4Y8000680</v>
          </cell>
          <cell r="B5112" t="str">
            <v>NAMDUONG PREMIUM SOY SAUCE 210ML X 24BTL</v>
          </cell>
          <cell r="C5112" t="str">
            <v>NƯỚC TƯƠNG THƯỢNG HẠNG 210ML X 24 CHAI / THÙNG</v>
          </cell>
          <cell r="D5112" t="str">
            <v>NAMDUONG PREMIUM SOY SAUCE 210ML X 24BTL</v>
          </cell>
          <cell r="E5112">
            <v>5.6219999999999999</v>
          </cell>
          <cell r="F5112" t="str">
            <v>Chọn</v>
          </cell>
          <cell r="G5112" t="str">
            <v>2000000008</v>
          </cell>
          <cell r="H5112" t="str">
            <v>7.551460E4Y8000180</v>
          </cell>
        </row>
        <row r="5113">
          <cell r="A5113" t="str">
            <v>7.515006333017050</v>
          </cell>
          <cell r="B5113" t="str">
            <v>NAMDUONG HANGVIET CHILISAUCE 800G*12BTL</v>
          </cell>
          <cell r="C5113" t="str">
            <v>TƯƠNG ỚT HÀNG VIỆT 800G X 12 CHAI/ THÙNG</v>
          </cell>
          <cell r="D5113" t="str">
            <v>NAMDUONG HANGVIET CHILISAUCE 800G*12BTL</v>
          </cell>
          <cell r="E5113">
            <v>9.6</v>
          </cell>
          <cell r="F5113" t="str">
            <v>Chọn</v>
          </cell>
          <cell r="G5113" t="str">
            <v>2000000008</v>
          </cell>
          <cell r="H5113" t="str">
            <v>7.515006333017010</v>
          </cell>
        </row>
        <row r="5114">
          <cell r="A5114" t="str">
            <v>7.515006333017010</v>
          </cell>
          <cell r="B5114" t="str">
            <v>NAMDUONG HANGVIET CHILISAUCE BOTTLE@800G</v>
          </cell>
          <cell r="C5114" t="str">
            <v>TƯƠNG ỚT HÀNG VIỆT 800G</v>
          </cell>
          <cell r="D5114" t="str">
            <v>NAMDUONG HANGVIET CHILISAUCE BOTTLE@800G</v>
          </cell>
          <cell r="E5114">
            <v>0.8</v>
          </cell>
          <cell r="F5114" t="str">
            <v>Chọn</v>
          </cell>
          <cell r="G5114" t="str">
            <v>2000000008</v>
          </cell>
          <cell r="H5114"/>
        </row>
        <row r="5115">
          <cell r="A5115" t="str">
            <v>7.1181109103976030</v>
          </cell>
          <cell r="B5115" t="str">
            <v>SIMPLY MAYONNAISE 3KG X 4BOX</v>
          </cell>
          <cell r="C5115" t="str">
            <v>MAYONNAISE SIMPLY 3KG X 4 HỘP/ THÙNG</v>
          </cell>
          <cell r="D5115" t="str">
            <v>SIMPLY MAYONNAISE 3KG X 4BOX</v>
          </cell>
          <cell r="E5115">
            <v>12</v>
          </cell>
          <cell r="F5115" t="str">
            <v>Chọn</v>
          </cell>
          <cell r="G5115" t="str">
            <v>2000000008</v>
          </cell>
          <cell r="H5115" t="str">
            <v>7.1181109103976010</v>
          </cell>
        </row>
        <row r="5116">
          <cell r="A5116" t="str">
            <v>7.1181109103976010</v>
          </cell>
          <cell r="B5116" t="str">
            <v>SIMPLY MAYONNAISE IN BOX@3KG</v>
          </cell>
          <cell r="C5116" t="str">
            <v>MAYONNAISE SIMPLY 3KG</v>
          </cell>
          <cell r="D5116" t="str">
            <v>SIMPLY MAYONNAISE IN BOX@3KG</v>
          </cell>
          <cell r="E5116">
            <v>3</v>
          </cell>
          <cell r="F5116" t="str">
            <v>Chọn</v>
          </cell>
          <cell r="G5116" t="str">
            <v>2000000008</v>
          </cell>
          <cell r="H5116"/>
        </row>
        <row r="5117">
          <cell r="A5117" t="str">
            <v>7.1180129103976030</v>
          </cell>
          <cell r="B5117" t="str">
            <v>MEIZAN MAYONNAISE 3KG X 4BOX</v>
          </cell>
          <cell r="C5117" t="str">
            <v>MAYONNAISE MEIZAN 3KG X 4 HỘP/ THÙNG</v>
          </cell>
          <cell r="D5117" t="str">
            <v>MEIZAN MAYONNAISE 3KG X 4BOX</v>
          </cell>
          <cell r="E5117">
            <v>12</v>
          </cell>
          <cell r="F5117" t="str">
            <v>Chọn</v>
          </cell>
          <cell r="G5117" t="str">
            <v>2000000008</v>
          </cell>
          <cell r="H5117" t="str">
            <v>7.1180129103976010</v>
          </cell>
        </row>
        <row r="5118">
          <cell r="A5118" t="str">
            <v>7.1180129103976010</v>
          </cell>
          <cell r="B5118" t="str">
            <v>MEIZAN MAYONNAISE IN BOX @3KG</v>
          </cell>
          <cell r="C5118" t="str">
            <v>MAYONNAISE MEIZAN 3KG</v>
          </cell>
          <cell r="D5118" t="str">
            <v>MEIZAN MAYONNAISE IN BOX @3KG</v>
          </cell>
          <cell r="E5118">
            <v>3</v>
          </cell>
          <cell r="F5118" t="str">
            <v>Chọn</v>
          </cell>
          <cell r="G5118" t="str">
            <v>2000000008</v>
          </cell>
          <cell r="H5118"/>
        </row>
        <row r="5119">
          <cell r="A5119" t="str">
            <v>7.58810402204R1335</v>
          </cell>
          <cell r="B5119" t="str">
            <v>NAMDUONG SALAD DRESSING @250G 6BTL*4PACK</v>
          </cell>
          <cell r="C5119" t="str">
            <v>SỐT DẦU DẤM TRỘN SALAD 250G X 4 LỐC/ THÙNG</v>
          </cell>
          <cell r="D5119" t="str">
            <v>NAMDUONG SALAD DRESSING @250G 6BTL*4PACK</v>
          </cell>
          <cell r="E5119">
            <v>6</v>
          </cell>
          <cell r="F5119" t="str">
            <v>Chọn</v>
          </cell>
          <cell r="G5119" t="str">
            <v>2000000008</v>
          </cell>
          <cell r="H5119"/>
        </row>
        <row r="5120">
          <cell r="A5120" t="str">
            <v>7.515006141317B20</v>
          </cell>
          <cell r="B5120" t="str">
            <v>NAMDUONG HOT CHILI SAUCE@255G 6BTL*4PACK</v>
          </cell>
          <cell r="C5120" t="str">
            <v>TƯƠNG ỚT NAM DƯƠNG CAY VỪA 255G X 4 LỐC/ THÙNG</v>
          </cell>
          <cell r="D5120" t="str">
            <v>NAMDUONG HOT CHILI SAUCE@255G 6BTL*4PACK</v>
          </cell>
          <cell r="E5120">
            <v>6.12</v>
          </cell>
          <cell r="F5120" t="str">
            <v>Chọn</v>
          </cell>
          <cell r="G5120" t="str">
            <v>2000000008</v>
          </cell>
          <cell r="H5120"/>
        </row>
        <row r="5121">
          <cell r="A5121" t="str">
            <v>7.5180031502508050</v>
          </cell>
          <cell r="B5121" t="str">
            <v>MEIZAN MONOSODIUM GLUTAMAT 1KG*12PEBAG</v>
          </cell>
          <cell r="C5121" t="str">
            <v>BỘT NGỌT MEIZAN 1KG x 12 TÚI/ THÙNG</v>
          </cell>
          <cell r="D5121" t="str">
            <v>MEIZAN MONOSODIUM GLUTAMAT 1KG*12PEBAG</v>
          </cell>
          <cell r="E5121">
            <v>12</v>
          </cell>
          <cell r="F5121" t="str">
            <v>Chọn</v>
          </cell>
          <cell r="G5121" t="str">
            <v>2000000008</v>
          </cell>
          <cell r="H5121" t="str">
            <v>7.5180031502508010</v>
          </cell>
        </row>
        <row r="5122">
          <cell r="A5122" t="str">
            <v>7.5180031502508010</v>
          </cell>
          <cell r="B5122" t="str">
            <v>MEIZAN MONOSODIUM GLUTAMAT IN PEBAG@1KG</v>
          </cell>
          <cell r="C5122" t="str">
            <v>BỘT NGỌT MEIZAN 1KG</v>
          </cell>
          <cell r="D5122" t="str">
            <v>MEIZAN MONOSODIUM GLUTAMAT IN PEBAG@1KG</v>
          </cell>
          <cell r="E5122">
            <v>1</v>
          </cell>
          <cell r="F5122" t="str">
            <v>Chọn</v>
          </cell>
          <cell r="G5122" t="str">
            <v>2000000008</v>
          </cell>
          <cell r="H5122"/>
        </row>
        <row r="5123">
          <cell r="A5123" t="str">
            <v>7.551460E5Y9000680</v>
          </cell>
          <cell r="B5123" t="str">
            <v>NAMDUONG CONDENSED SOY SAUCE 280ML*24BTL</v>
          </cell>
          <cell r="C5123" t="str">
            <v>NƯỚC TƯƠNG NAM DƯƠNG ĐẬM ĐẶC 280ML X 24 CHAI/ THÙNG</v>
          </cell>
          <cell r="D5123" t="str">
            <v>NAMDUONG CONDENSED SOY SAUCE 280ML*24BTL</v>
          </cell>
          <cell r="E5123">
            <v>7.5359999999999996</v>
          </cell>
          <cell r="F5123" t="str">
            <v>Chọn</v>
          </cell>
          <cell r="G5123" t="str">
            <v>2000000008</v>
          </cell>
          <cell r="H5123" t="str">
            <v>7.551460E5Y9000180</v>
          </cell>
        </row>
        <row r="5124">
          <cell r="A5124" t="str">
            <v>7.551460E5Y9000180</v>
          </cell>
          <cell r="B5124" t="str">
            <v>NAMDUONG CONDENSED SOYSAUCE BOTTLE@280ML</v>
          </cell>
          <cell r="C5124" t="str">
            <v>NƯỚC TƯƠNG NAM DƯƠNG ĐẬM ĐẶC 280ML</v>
          </cell>
          <cell r="D5124" t="str">
            <v>NAMDUONG CONDENSED SOYSAUCE BOTTLE@280ML</v>
          </cell>
          <cell r="E5124">
            <v>0.314</v>
          </cell>
          <cell r="F5124" t="str">
            <v>Chọn</v>
          </cell>
          <cell r="G5124" t="str">
            <v>2000000008</v>
          </cell>
          <cell r="H5124"/>
        </row>
        <row r="5125">
          <cell r="A5125" t="str">
            <v>7.551460E6Y9000680</v>
          </cell>
          <cell r="B5125" t="str">
            <v>NAMDUONG CONDENSED SOY SAUCE 500ML*24BTL</v>
          </cell>
          <cell r="C5125" t="str">
            <v>NƯỚC TƯƠNG NAM DƯƠNG ĐẬM ĐẶC 500ML X 24 CHAI/ THÙNG</v>
          </cell>
          <cell r="D5125" t="str">
            <v>NAMDUONG CONDENSED SOY SAUCE 500ML*24BTL</v>
          </cell>
          <cell r="E5125">
            <v>13.458</v>
          </cell>
          <cell r="F5125" t="str">
            <v>Chọn</v>
          </cell>
          <cell r="G5125" t="str">
            <v>2000000008</v>
          </cell>
          <cell r="H5125" t="str">
            <v>7.551460E6Y9000180</v>
          </cell>
        </row>
        <row r="5126">
          <cell r="A5126" t="str">
            <v>7.551460E6Y9000180</v>
          </cell>
          <cell r="B5126" t="str">
            <v>NAMDUONG CONDENSED SOYSAUCE BOTTLE@500ML</v>
          </cell>
          <cell r="C5126" t="str">
            <v>NƯỚC TƯƠNG NAM DƯƠNG ĐẬM ĐẶC 500ML</v>
          </cell>
          <cell r="D5126" t="str">
            <v>NAMDUONG CONDENSED SOYSAUCE BOTTLE@500ML</v>
          </cell>
          <cell r="E5126">
            <v>0.56100000000000005</v>
          </cell>
          <cell r="F5126" t="str">
            <v>Chọn</v>
          </cell>
          <cell r="G5126" t="str">
            <v>2000000008</v>
          </cell>
          <cell r="H5126"/>
        </row>
        <row r="5127">
          <cell r="A5127" t="str">
            <v>7.5180030702518200</v>
          </cell>
          <cell r="B5127" t="str">
            <v>MEIZAN MONOSODIUM GLUTAMAT 400G*30PCH</v>
          </cell>
          <cell r="C5127" t="str">
            <v>BỘT NGỌT MEIZAN 400G x 30 TÚI/ THÙNG</v>
          </cell>
          <cell r="D5127" t="str">
            <v>MEIZAN MONOSODIUM GLUTAMAT 400G*30PCH</v>
          </cell>
          <cell r="E5127">
            <v>12</v>
          </cell>
          <cell r="F5127" t="str">
            <v>Chọn</v>
          </cell>
          <cell r="G5127" t="str">
            <v>2000000008</v>
          </cell>
          <cell r="H5127" t="str">
            <v>7.5180030702518010</v>
          </cell>
        </row>
        <row r="5128">
          <cell r="A5128" t="str">
            <v>7.5180030702518010</v>
          </cell>
          <cell r="B5128" t="str">
            <v>MEIZAN MONOSODIUM GLUTAMAT POUCH@400G</v>
          </cell>
          <cell r="C5128" t="str">
            <v>BỘT NGỌT MEIZAN 400G</v>
          </cell>
          <cell r="D5128" t="str">
            <v>MEIZAN MONOSODIUM GLUTAMAT POUCH@400G</v>
          </cell>
          <cell r="E5128">
            <v>0.4</v>
          </cell>
          <cell r="F5128" t="str">
            <v>Chọn</v>
          </cell>
          <cell r="G5128" t="str">
            <v>2000000008</v>
          </cell>
          <cell r="H5128"/>
        </row>
        <row r="5129">
          <cell r="A5129" t="str">
            <v>7.5180030702518A70</v>
          </cell>
          <cell r="B5129" t="str">
            <v>MEIZAN MSG 6BAG X 5PCH@400G</v>
          </cell>
          <cell r="C5129" t="str">
            <v>BỘT NGỌT MEIZAN 400G X 6 BAO/ THÙNG (5 TÚI/ BAO)</v>
          </cell>
          <cell r="D5129" t="str">
            <v>MEIZAN MSG 6BAG X 5PCH@400G</v>
          </cell>
          <cell r="E5129">
            <v>12</v>
          </cell>
          <cell r="F5129" t="str">
            <v>Chọn</v>
          </cell>
          <cell r="G5129" t="str">
            <v>2000000008</v>
          </cell>
          <cell r="H5129"/>
        </row>
        <row r="5130">
          <cell r="A5130" t="str">
            <v>7.5180032202518040</v>
          </cell>
          <cell r="B5130" t="str">
            <v>MEIZAN MONOSODIUM GLUTAMATE 2KG*6PCH</v>
          </cell>
          <cell r="C5130" t="str">
            <v>BỘT NGỌT MEIZAN (CÁNH VỪA) 2KG X 6 TÚI/ THÙNG</v>
          </cell>
          <cell r="D5130" t="str">
            <v>MEIZAN MONOSODIUM GLUTAMATE 2KG*6PCH</v>
          </cell>
          <cell r="E5130">
            <v>12</v>
          </cell>
          <cell r="F5130" t="str">
            <v>Chọn</v>
          </cell>
          <cell r="G5130" t="str">
            <v>2000000008</v>
          </cell>
          <cell r="H5130" t="str">
            <v>7.5180032202518010</v>
          </cell>
        </row>
        <row r="5131">
          <cell r="A5131" t="str">
            <v>7.5180032202518010</v>
          </cell>
          <cell r="B5131" t="str">
            <v>MEIZAN MONOSODIUM GLUTAMATE POUCH@2KG</v>
          </cell>
          <cell r="C5131" t="str">
            <v>BỘT NGỌT MEIZAN (CÁNH VỪA) 2KG</v>
          </cell>
          <cell r="D5131" t="str">
            <v>MEIZAN MONOSODIUM GLUTAMATE POUCH@2KG</v>
          </cell>
          <cell r="E5131">
            <v>2</v>
          </cell>
          <cell r="F5131" t="str">
            <v>Chọn</v>
          </cell>
          <cell r="G5131" t="str">
            <v>2000000008</v>
          </cell>
          <cell r="H5131"/>
        </row>
        <row r="5132">
          <cell r="A5132" t="str">
            <v>7.5180031702518080</v>
          </cell>
          <cell r="B5132" t="str">
            <v>MEIZAN MONOSODIUM GLUTAMATE 5KG*3PCH</v>
          </cell>
          <cell r="C5132" t="str">
            <v>BỘT NGỌT MEIZAN (CÁNH VỪA) 5KG X 3 TÚI/ THÙNG</v>
          </cell>
          <cell r="D5132" t="str">
            <v>MEIZAN MONOSODIUM GLUTAMATE 5KG*3PCH</v>
          </cell>
          <cell r="E5132">
            <v>15</v>
          </cell>
          <cell r="F5132" t="str">
            <v>Chọn</v>
          </cell>
          <cell r="G5132" t="str">
            <v>2000000008</v>
          </cell>
          <cell r="H5132" t="str">
            <v>7.5180031702518010</v>
          </cell>
        </row>
        <row r="5133">
          <cell r="A5133" t="str">
            <v>7.5180031702518010</v>
          </cell>
          <cell r="B5133" t="str">
            <v>MEIZAN MONOSODIUM GLUTAMATE POUCH@5KG</v>
          </cell>
          <cell r="C5133" t="str">
            <v>BỘT NGỌT MEIZAN (CÁNH VỪA) 5KG</v>
          </cell>
          <cell r="D5133" t="str">
            <v>MEIZAN MONOSODIUM GLUTAMATE POUCH@5KG</v>
          </cell>
          <cell r="E5133">
            <v>5</v>
          </cell>
          <cell r="F5133" t="str">
            <v>Chọn</v>
          </cell>
          <cell r="G5133" t="str">
            <v>2000000008</v>
          </cell>
          <cell r="H5133"/>
        </row>
        <row r="5134">
          <cell r="A5134" t="str">
            <v>7.5180031502518050</v>
          </cell>
          <cell r="B5134" t="str">
            <v>MEIZAN MONOSODIUM GLUTAMATE 1KG X 12PCH</v>
          </cell>
          <cell r="C5134" t="str">
            <v>BỘT NGỌT MEIZAN (CÁNH VỪA) 1KG X 12 TÚI/ THÙNG</v>
          </cell>
          <cell r="D5134" t="str">
            <v>MEIZAN MONOSODIUM GLUTAMATE 1KG X 12PCH</v>
          </cell>
          <cell r="E5134">
            <v>12</v>
          </cell>
          <cell r="F5134" t="str">
            <v>Chọn</v>
          </cell>
          <cell r="G5134" t="str">
            <v>2000000008</v>
          </cell>
          <cell r="H5134" t="str">
            <v>7.5180031502518010</v>
          </cell>
        </row>
        <row r="5135">
          <cell r="A5135" t="str">
            <v>7.5180031502518010</v>
          </cell>
          <cell r="B5135" t="str">
            <v>MEIZAN MONOSODIUM GLUTAMATE POUCH@1KG</v>
          </cell>
          <cell r="C5135" t="str">
            <v>BỘT NGỌT MEIZAN (CÁNH VỪA) 1KG</v>
          </cell>
          <cell r="D5135" t="str">
            <v>MEIZAN MONOSODIUM GLUTAMATE POUCH@1KG</v>
          </cell>
          <cell r="E5135">
            <v>1</v>
          </cell>
          <cell r="F5135" t="str">
            <v>Chọn</v>
          </cell>
          <cell r="G5135" t="str">
            <v>2000000008</v>
          </cell>
          <cell r="H5135"/>
        </row>
        <row r="5136">
          <cell r="A5136" t="str">
            <v>7.5180030703418200</v>
          </cell>
          <cell r="B5136" t="str">
            <v>MEIZAN MSG 60-MESH 400G*30PCH</v>
          </cell>
          <cell r="C5136" t="str">
            <v>BỘT NGỌT MEIZAN (CÁNH VỪA) 400G X 30 TÚI/ THÙNG</v>
          </cell>
          <cell r="D5136" t="str">
            <v>MEIZAN MSG 60-MESH 400G*30PCH</v>
          </cell>
          <cell r="E5136">
            <v>12</v>
          </cell>
          <cell r="F5136" t="str">
            <v>Chọn</v>
          </cell>
          <cell r="G5136" t="str">
            <v>2000000008</v>
          </cell>
          <cell r="H5136" t="str">
            <v>7.5180030703418010</v>
          </cell>
        </row>
        <row r="5137">
          <cell r="A5137" t="str">
            <v>7.5180030703418010</v>
          </cell>
          <cell r="B5137" t="str">
            <v>MEIZAN MSG 60-MESH IN POUCH@400G</v>
          </cell>
          <cell r="C5137" t="str">
            <v>BỘT NGỌT MEIZAN (CÁNH VỪA) 400G</v>
          </cell>
          <cell r="D5137" t="str">
            <v>MEIZAN MSG 60-MESH IN POUCH@400G</v>
          </cell>
          <cell r="E5137">
            <v>0.4</v>
          </cell>
          <cell r="F5137" t="str">
            <v>Chọn</v>
          </cell>
          <cell r="G5137" t="str">
            <v>2000000008</v>
          </cell>
          <cell r="H5137"/>
        </row>
        <row r="5138">
          <cell r="A5138" t="str">
            <v>7.522223072842701</v>
          </cell>
          <cell r="B5138" t="str">
            <v>MEIZAN GOLD MULTI FLOUR NO.11 PEBAG@1KG</v>
          </cell>
          <cell r="C5138" t="str">
            <v>BỘT MÌ ĐA DỤNG SỐ 11 MEIZAN GOLD 1KG (GÓI)</v>
          </cell>
          <cell r="D5138" t="str">
            <v>MEIZAN GOLD MULTI FLOUR NO.11 PEBAG@1KG</v>
          </cell>
          <cell r="E5138">
            <v>1</v>
          </cell>
          <cell r="F5138" t="str">
            <v>Chọn</v>
          </cell>
          <cell r="G5138"/>
          <cell r="H5138"/>
        </row>
        <row r="5139">
          <cell r="A5139" t="str">
            <v>7.522223072842710</v>
          </cell>
          <cell r="B5139" t="str">
            <v>MEIZAN GOLD MULTI FLOUR NO.11 1KG*10BAG</v>
          </cell>
          <cell r="C5139" t="str">
            <v>BỘT MÌ ĐA DỤNG SỐ 11 MEIZAN GOLD (1KG*10 GÓI/THÙNG)</v>
          </cell>
          <cell r="D5139" t="str">
            <v>MEIZAN GOLD MULTI FLOUR NO.11 1KG*10BAG</v>
          </cell>
          <cell r="E5139">
            <v>10</v>
          </cell>
          <cell r="F5139" t="str">
            <v>Chọn</v>
          </cell>
          <cell r="G5139"/>
          <cell r="H5139" t="str">
            <v>7.522223072842701</v>
          </cell>
        </row>
        <row r="5140">
          <cell r="A5140" t="str">
            <v>N04.0013025.00032</v>
          </cell>
          <cell r="B5140" t="str">
            <v>TOWEL, SIZE:510 X 320 MM, ADDITIONAL DETAILS:FOR KITCHEN</v>
          </cell>
          <cell r="C5140" t="str">
            <v>KHĂN BẾP NDFC</v>
          </cell>
          <cell r="D5140" t="str">
            <v>TOWEL</v>
          </cell>
          <cell r="E5140">
            <v>0</v>
          </cell>
          <cell r="F5140" t="str">
            <v>Chọn</v>
          </cell>
          <cell r="G5140"/>
          <cell r="H5140"/>
        </row>
        <row r="5141">
          <cell r="A5141" t="str">
            <v>N04.0023003.00007</v>
          </cell>
          <cell r="B5141" t="str">
            <v>DISPLAY BOARD, MATERIAL:FOAM, SIZE:112 X 40 CM</v>
          </cell>
          <cell r="C5141" t="str">
            <v>KHUNG TRƯNG BÀY SẢN PHẨM - CƠ CẤU 3 VÀ 4</v>
          </cell>
          <cell r="D5141" t="str">
            <v>DISPLAY BOARD</v>
          </cell>
          <cell r="E5141">
            <v>0</v>
          </cell>
          <cell r="F5141" t="str">
            <v>Chọn</v>
          </cell>
          <cell r="G5141"/>
          <cell r="H5141"/>
        </row>
        <row r="5142">
          <cell r="A5142" t="str">
            <v>N04.0013026.00086</v>
          </cell>
          <cell r="B5142" t="str">
            <v>TRAY, MATERIAL:RUBBER WOOD, SIZE:L. 170 X W. 140 X H. 170 MM</v>
          </cell>
          <cell r="C5142" t="str">
            <v>KHAY GỖ ĐỰNG GIA VỊ 170X140X170MM</v>
          </cell>
          <cell r="D5142" t="str">
            <v>TRAY,RUBBER WOOD</v>
          </cell>
          <cell r="E5142">
            <v>0</v>
          </cell>
          <cell r="F5142" t="str">
            <v>Chọn</v>
          </cell>
          <cell r="G5142"/>
          <cell r="H5142"/>
        </row>
        <row r="5143">
          <cell r="A5143" t="str">
            <v>N04.0018006.00383</v>
          </cell>
          <cell r="B5143" t="str">
            <v>PROMOTIONAL STUFF, TYPE:PLACARD, MATERIAL:PAPER DECAL, SIZE:29.7 X 42 CM</v>
          </cell>
          <cell r="C5143" t="str">
            <v>ÁP PHÍCH HẠT NÊM MEIZAN</v>
          </cell>
          <cell r="D5143" t="str">
            <v>PROMOTIONAL STUFF,PLACARD,PAPER DECAL,29</v>
          </cell>
          <cell r="E5143">
            <v>0</v>
          </cell>
          <cell r="F5143" t="str">
            <v>Chọn</v>
          </cell>
          <cell r="G5143"/>
          <cell r="H5143"/>
        </row>
        <row r="5144">
          <cell r="A5144" t="str">
            <v>N04.0018006.00382</v>
          </cell>
          <cell r="B5144" t="str">
            <v>PROMOTIONAL STUFF, TYPE:PLACARD, MATERIAL:ACRYLIC BOARD, SIZE:26 X 15 CM</v>
          </cell>
          <cell r="C5144" t="str">
            <v>BẢNG THÔNG BÁO MICA ĐỂ BÀN</v>
          </cell>
          <cell r="D5144" t="str">
            <v>PROMOTIONAL STUFF,PLACARD,ACRYLIC BOARD</v>
          </cell>
          <cell r="E5144">
            <v>0</v>
          </cell>
          <cell r="F5144" t="str">
            <v>Chọn</v>
          </cell>
          <cell r="G5144"/>
          <cell r="H5144"/>
        </row>
        <row r="5145">
          <cell r="A5145" t="str">
            <v>N04.0017001.00036</v>
          </cell>
          <cell r="B5145" t="str">
            <v>APRON, MATERIAL:KAKI 65/35</v>
          </cell>
          <cell r="C5145" t="str">
            <v>TẠP DỀ MEIZAN - NỘI ĐỊA KHÔNG LỚP LÓT</v>
          </cell>
          <cell r="D5145" t="str">
            <v>APRON,KAKI 65/35</v>
          </cell>
          <cell r="E5145">
            <v>0</v>
          </cell>
          <cell r="F5145" t="str">
            <v>Bỏ chọn</v>
          </cell>
          <cell r="G5145"/>
          <cell r="H5145"/>
        </row>
        <row r="5146">
          <cell r="A5146" t="str">
            <v>N09.0001021.00081</v>
          </cell>
          <cell r="B5146" t="str">
            <v>ZIPPER BAG, WIDTH (MM):330 MM, HEIGHT (MM):320 MM</v>
          </cell>
          <cell r="C5146" t="str">
            <v>TÚI ONPACK MEIZAN</v>
          </cell>
          <cell r="D5146" t="str">
            <v>ZIPPER BAG,330 MM,320 MM</v>
          </cell>
          <cell r="E5146">
            <v>1.0200000000000001E-2</v>
          </cell>
          <cell r="F5146" t="str">
            <v>Chọn</v>
          </cell>
          <cell r="G5146"/>
          <cell r="H5146"/>
        </row>
        <row r="5147">
          <cell r="A5147" t="str">
            <v>N04.0013026.00085</v>
          </cell>
          <cell r="B5147" t="str">
            <v>TRAY, MATERIAL:RUBBER WOOD, TYPE:SPICE</v>
          </cell>
          <cell r="C5147" t="str">
            <v>KHAY GỖ ĐỰNG GIA VỊ NAM DƯƠNG</v>
          </cell>
          <cell r="D5147" t="str">
            <v>TRAY,RUBBER WOOD</v>
          </cell>
          <cell r="E5147">
            <v>0.35</v>
          </cell>
          <cell r="F5147" t="str">
            <v>Chọn</v>
          </cell>
          <cell r="G5147"/>
          <cell r="H5147"/>
        </row>
        <row r="5148">
          <cell r="A5148" t="str">
            <v>N04.0022056.00016</v>
          </cell>
          <cell r="B5148" t="str">
            <v>PRINTED BOARD, MATERIAL:FORMEX, SIZE:5.5CM X 80CM, PRINTING:OFFSET, MARKING:MEIZAN</v>
          </cell>
          <cell r="C5148" t="str">
            <v>THANH DỌC TRẮNG VIỀN ĐỎ</v>
          </cell>
          <cell r="D5148" t="str">
            <v>PRINTED BOARD,FORMEX,5.5CM X 80CM,OFFSET</v>
          </cell>
          <cell r="E5148">
            <v>6.5000000000000002E-2</v>
          </cell>
          <cell r="F5148" t="str">
            <v>Chọn</v>
          </cell>
          <cell r="G5148"/>
          <cell r="H5148"/>
        </row>
        <row r="5149">
          <cell r="A5149" t="str">
            <v>N04.0022056.00019</v>
          </cell>
          <cell r="B5149" t="str">
            <v>PRINTED BOARD, MATERIAL:FORMEX, SIZE:5.5 CM X 80 CM, PRINTING:OFFSET</v>
          </cell>
          <cell r="C5149" t="str">
            <v>THANH DỌC TRẮNG VIỀN XANH</v>
          </cell>
          <cell r="D5149" t="str">
            <v>PRINTED BOARD,FORMEX,5.5 CM X 80 CM,OFFS</v>
          </cell>
          <cell r="E5149">
            <v>6.5000000000000002E-2</v>
          </cell>
          <cell r="F5149" t="str">
            <v>Chọn</v>
          </cell>
          <cell r="G5149"/>
          <cell r="H5149"/>
        </row>
        <row r="5150">
          <cell r="A5150" t="str">
            <v>N04.0022056.00018</v>
          </cell>
          <cell r="B5150" t="str">
            <v>PRINTED BOARD, MATERIAL:FORMEX, SIZE:120CM X 5.5CM, PRINTING:OFFSET, MARKING:NAMDUONG</v>
          </cell>
          <cell r="C5150" t="str">
            <v>THANH NAM DƯƠNG – VỊ NGON NGUYÊN BẢN</v>
          </cell>
          <cell r="D5150" t="str">
            <v>PRINTED BOARD,FORMEX,120CM X 5.5CM,OFFSE</v>
          </cell>
          <cell r="E5150">
            <v>9.6000000000000002E-2</v>
          </cell>
          <cell r="F5150" t="str">
            <v>Chọn</v>
          </cell>
          <cell r="G5150"/>
          <cell r="H5150"/>
        </row>
        <row r="5151">
          <cell r="A5151" t="str">
            <v>N04.0022056.00017</v>
          </cell>
          <cell r="B5151" t="str">
            <v>PRINTED BOARD, MATERIAL:FORMEX, SIZE:120CM X 5.5CM, PRINTING:OFFSET, MARKING:MEIZAN</v>
          </cell>
          <cell r="C5151" t="str">
            <v>THANH HẠT NÊM MEIZAN</v>
          </cell>
          <cell r="D5151" t="str">
            <v>PRINTED BOARD,FORMEX,120CM X 5.5CM,OFFSE</v>
          </cell>
          <cell r="E5151">
            <v>9.7000000000000003E-2</v>
          </cell>
          <cell r="F5151" t="str">
            <v>Chọn</v>
          </cell>
          <cell r="G5151"/>
          <cell r="H5151"/>
        </row>
        <row r="5152">
          <cell r="A5152" t="str">
            <v>N04.0022056.00015</v>
          </cell>
          <cell r="B5152" t="str">
            <v>PRINTED BOARD, MATERIAL:FORMEX, SIZE:7 X 120 CM, PRINTING:OFFSET, MARKING:MEIZAN</v>
          </cell>
          <cell r="C5152" t="str">
            <v>THANH THỊT – XƯƠNG ỐNG – TỦY – CÀ RỐT &amp; KHẨU HIỆU</v>
          </cell>
          <cell r="D5152" t="str">
            <v>PRINTED BOARD,FORMEX,7 X 120 CM,OFFSET</v>
          </cell>
          <cell r="E5152">
            <v>0.10299999999999999</v>
          </cell>
          <cell r="F5152" t="str">
            <v>Chọn</v>
          </cell>
          <cell r="G5152"/>
          <cell r="H5152"/>
        </row>
        <row r="5153">
          <cell r="A5153" t="str">
            <v>N04.0022056.00011</v>
          </cell>
          <cell r="B5153" t="str">
            <v>PRINTED BOARD, MATERIAL:FORMEX, SIZE:24.6 CM X 8.6 CM, PRINTING:OFFSET, MARKING:PREMIUM</v>
          </cell>
          <cell r="C5153" t="str">
            <v>MÔ HÌNH NƯỚC TƯƠNG THƯỢNG HẠNG</v>
          </cell>
          <cell r="D5153" t="str">
            <v>PRINTED BOARD,FORMEX,24.6 CM X 8.6 CM,OF</v>
          </cell>
          <cell r="E5153">
            <v>2.1000000000000001E-2</v>
          </cell>
          <cell r="F5153" t="str">
            <v>Chọn</v>
          </cell>
          <cell r="G5153"/>
          <cell r="H5153"/>
        </row>
        <row r="5154">
          <cell r="A5154" t="str">
            <v>N04.0022056.00012</v>
          </cell>
          <cell r="B5154" t="str">
            <v>PRINTED BOARD, MATERIAL:FORMEX, SIZE:24.6 CM X 8.6 CM, PRINTING:OFFSET, MARKING:DAU NANH LEN MEN</v>
          </cell>
          <cell r="C5154" t="str">
            <v>MÔ HÌNH NƯỚC TƯƠNG LÊN MEN</v>
          </cell>
          <cell r="D5154" t="str">
            <v>PRINTED BOARD,FORMEX,24.6 CM X 8.6 CM,OF</v>
          </cell>
          <cell r="E5154">
            <v>2.1999999999999999E-2</v>
          </cell>
          <cell r="F5154" t="str">
            <v>Chọn</v>
          </cell>
          <cell r="G5154"/>
          <cell r="H5154"/>
        </row>
        <row r="5155">
          <cell r="A5155" t="str">
            <v>N04.0022056.00013</v>
          </cell>
          <cell r="B5155" t="str">
            <v>PRINTED BOARD, MATERIAL:FORMEX, SIZE:21.6 CM X 15.6 CM, PRINTING:OFFSET, MARKING:MEIZAN</v>
          </cell>
          <cell r="C5155" t="str">
            <v>MÔ HÌNH HẠT NÊM MEIZAN</v>
          </cell>
          <cell r="D5155" t="str">
            <v>PRINTED BOARD,FORMEX,21.6 CM X 15.6 CM,O</v>
          </cell>
          <cell r="E5155">
            <v>4.5999999999999999E-2</v>
          </cell>
          <cell r="F5155" t="str">
            <v>Chọn</v>
          </cell>
          <cell r="G5155"/>
          <cell r="H5155"/>
        </row>
        <row r="5156">
          <cell r="A5156" t="str">
            <v>N04.0022056.00014</v>
          </cell>
          <cell r="B5156" t="str">
            <v>PRINTED BOARD, MATERIAL:FORMEX, SIZE:19.2 CM X 12.6 CM, PRINTING:OFFSET, MARKING:MEIZAN</v>
          </cell>
          <cell r="C5156" t="str">
            <v>MÔ HÌNH LOGO MEIZAN</v>
          </cell>
          <cell r="D5156" t="str">
            <v>PRINTED BOARD,FORMEX,19.2 CM X 12.6 CM,O</v>
          </cell>
          <cell r="E5156">
            <v>0.02</v>
          </cell>
          <cell r="F5156" t="str">
            <v>Chọn</v>
          </cell>
          <cell r="G5156"/>
          <cell r="H5156"/>
        </row>
        <row r="5157">
          <cell r="A5157" t="str">
            <v>N13.0004006.00002</v>
          </cell>
          <cell r="B5157" t="str">
            <v>SOYBEAN OIL, TYPE:COOKING OIL, ADDITIONAL DETAILS:PACK SIZE: 1L, BRAND:SIMPLY</v>
          </cell>
          <cell r="C5157" t="str">
            <v>DẦU ĐẬU NÀNH NHÃN HIỆU SIMPLY 1L</v>
          </cell>
          <cell r="D5157" t="str">
            <v>SOYBEAN OIL,COOKING OIL</v>
          </cell>
          <cell r="E5157">
            <v>0</v>
          </cell>
          <cell r="F5157" t="str">
            <v>Chọn</v>
          </cell>
          <cell r="G5157"/>
          <cell r="H5157"/>
        </row>
        <row r="5158">
          <cell r="A5158" t="str">
            <v>N13.0004006.00005</v>
          </cell>
          <cell r="B5158" t="str">
            <v>SOYBEAN OIL, TYPE:COOKING OIL, ADDITIONAL DETAILS:1 L / BOT, 12 BOTTLES / CARTON, BRAND:SIMPLY</v>
          </cell>
          <cell r="C5158" t="str">
            <v>DẦU ĐẬU NÀNH NHÃN HIỆU SIMPLY 1L</v>
          </cell>
          <cell r="D5158" t="str">
            <v>SOYBEAN OIL,COOKING OIL</v>
          </cell>
          <cell r="E5158">
            <v>0</v>
          </cell>
          <cell r="F5158" t="str">
            <v>Chọn</v>
          </cell>
          <cell r="G5158"/>
          <cell r="H5158"/>
        </row>
        <row r="5159">
          <cell r="A5159" t="str">
            <v>7.5180061002408220</v>
          </cell>
          <cell r="B5159" t="str">
            <v>NEPTUNE PORK BOUILLON GRANULE 200G*40BAG</v>
          </cell>
          <cell r="C5159" t="str">
            <v>HẠT NÊM 4 TRONG 1 VỊ HEO 200G X 40 GÓI/ THÙNG</v>
          </cell>
          <cell r="D5159" t="str">
            <v>NEPTUNE PORK BOUILLON GRANULE 200G*40BAG</v>
          </cell>
          <cell r="E5159">
            <v>8</v>
          </cell>
          <cell r="F5159" t="str">
            <v>Chọn</v>
          </cell>
          <cell r="G5159" t="str">
            <v>2000000008</v>
          </cell>
          <cell r="H5159" t="str">
            <v>7.5180061002408010</v>
          </cell>
        </row>
        <row r="5160">
          <cell r="A5160" t="str">
            <v>7.5180061002408010</v>
          </cell>
          <cell r="B5160" t="str">
            <v>NEPTUNE PORK BOUILLON GRANULE PEBAG@200G</v>
          </cell>
          <cell r="C5160" t="str">
            <v>HẠT NÊM 4 TRONG 1 - VỊ HEO 200G</v>
          </cell>
          <cell r="D5160" t="str">
            <v>NEPTUNE PORK BOUILLON GRANULE PEBAG@200G</v>
          </cell>
          <cell r="E5160">
            <v>0.2</v>
          </cell>
          <cell r="F5160" t="str">
            <v>Chọn</v>
          </cell>
          <cell r="G5160" t="str">
            <v>2000000008</v>
          </cell>
          <cell r="H5160"/>
        </row>
        <row r="5161">
          <cell r="A5161" t="str">
            <v>7.59800628550918</v>
          </cell>
          <cell r="B5161" t="str">
            <v>NAMDUONG(FERMSS@710ML+CONDENSS@280ML)*12</v>
          </cell>
          <cell r="C5161" t="str">
            <v>NƯỚC TƯƠNG NAM DƯƠNG ĐẬU NÀNH LÊN MEN TỰ NHIÊN 710ML X 12 CHAI ĐÓNG KÈM 12 CHAI THỰC PHẨM BỔ SUNG NƯỚC TƯƠNG NAM DƯƠNG ĐẬM ĐẶC 280ML / THÙNG</v>
          </cell>
          <cell r="D5161" t="str">
            <v>NAMDUONG(FERMSS@710ML+CONDENSS@280ML)*12</v>
          </cell>
          <cell r="E5161">
            <v>9.7569999999999997</v>
          </cell>
          <cell r="F5161" t="str">
            <v>Chọn</v>
          </cell>
          <cell r="G5161" t="str">
            <v>2000000008</v>
          </cell>
          <cell r="H5161"/>
        </row>
        <row r="5162">
          <cell r="A5162" t="str">
            <v>7.551460F6Y8002380</v>
          </cell>
          <cell r="B5162" t="str">
            <v>NAMDUONG PREMIUM SOY SAUCE 95ML X 60BTL</v>
          </cell>
          <cell r="C5162" t="str">
            <v>NƯỚC TƯƠNG THƯỢNG HẠNG 95ML X 60 CHAI/THÙNG</v>
          </cell>
          <cell r="D5162" t="str">
            <v>NAMDUONG PREMIUM SOY SAUCE 95ML X 60BTL</v>
          </cell>
          <cell r="E5162">
            <v>6.3583999999999996</v>
          </cell>
          <cell r="F5162" t="str">
            <v>Chọn</v>
          </cell>
          <cell r="G5162" t="str">
            <v>2000000008</v>
          </cell>
          <cell r="H5162" t="str">
            <v>7.551460F6Y8000180</v>
          </cell>
        </row>
        <row r="5163">
          <cell r="A5163" t="str">
            <v>7.551460F6Y8000180</v>
          </cell>
          <cell r="B5163" t="str">
            <v>NAMDUONG PREMIUM SOYSAUCE IN BOTTLE@95ML</v>
          </cell>
          <cell r="C5163" t="str">
            <v>NƯỚC TƯƠNG THƯỢNG HẠNG 95ML</v>
          </cell>
          <cell r="D5163" t="str">
            <v>NAMDUONG PREMIUM SOYSAUCE IN BOTTLE@95ML</v>
          </cell>
          <cell r="E5163">
            <v>0.12509999999999999</v>
          </cell>
          <cell r="F5163" t="str">
            <v>Chọn</v>
          </cell>
          <cell r="G5163" t="str">
            <v>2000000008</v>
          </cell>
          <cell r="H5163"/>
        </row>
        <row r="5164">
          <cell r="A5164" t="str">
            <v>7.551468F3S5000380</v>
          </cell>
          <cell r="B5164" t="str">
            <v>UP SOY SAUCE 4L X 4BTL</v>
          </cell>
          <cell r="C5164" t="str">
            <v>NƯỚC TƯƠNG UP 4 LÍT X 4 CHAI/ THÙNG</v>
          </cell>
          <cell r="D5164" t="str">
            <v>UP SOY SAUCE 4L X 4BTL</v>
          </cell>
          <cell r="E5164">
            <v>17.773</v>
          </cell>
          <cell r="F5164" t="str">
            <v>Chọn</v>
          </cell>
          <cell r="G5164" t="str">
            <v>2000000008</v>
          </cell>
          <cell r="H5164"/>
        </row>
        <row r="5165">
          <cell r="A5165" t="str">
            <v>7.551468F3S5000180</v>
          </cell>
          <cell r="B5165" t="str">
            <v>UP SOY SAUCE IN BOTTLE@4L</v>
          </cell>
          <cell r="C5165" t="str">
            <v>NƯỚC TƯƠNG UP 4 LÍT</v>
          </cell>
          <cell r="D5165" t="str">
            <v>UP SOY SAUCE IN BOTTLE@4L</v>
          </cell>
          <cell r="E5165">
            <v>4.4432</v>
          </cell>
          <cell r="F5165" t="str">
            <v>Chọn</v>
          </cell>
          <cell r="G5165" t="str">
            <v>2000000008</v>
          </cell>
          <cell r="H5165"/>
        </row>
        <row r="5166">
          <cell r="A5166" t="str">
            <v>7.551467F443540175</v>
          </cell>
          <cell r="B5166" t="str">
            <v>ORCHID HVP-2.4N IN JERRYCAN@29L</v>
          </cell>
          <cell r="C5166" t="str">
            <v>NGUYÊN LIỆU THỰC PHẨM: CỐT NƯỚC TƯƠNG (HVP-2.4N) X 29 LÍT / CAN</v>
          </cell>
          <cell r="D5166" t="str">
            <v>ORCHID HVP-2.4N IN JERRYCAN@29L</v>
          </cell>
          <cell r="E5166">
            <v>34.6</v>
          </cell>
          <cell r="F5166" t="str">
            <v>Chọn</v>
          </cell>
          <cell r="G5166" t="str">
            <v>2000000008</v>
          </cell>
          <cell r="H5166"/>
        </row>
        <row r="5167">
          <cell r="A5167" t="str">
            <v>7.515006090608100</v>
          </cell>
          <cell r="B5167" t="str">
            <v>NAM DUONG CHILI SAUCE 1KG X 10BAG</v>
          </cell>
          <cell r="C5167" t="str">
            <v>TƯƠNG ỚT TÚI 1KG</v>
          </cell>
          <cell r="D5167" t="str">
            <v>NAM DUONG CHILI SAUCE 1KG X 10BAG</v>
          </cell>
          <cell r="E5167">
            <v>10</v>
          </cell>
          <cell r="F5167" t="str">
            <v>Chọn</v>
          </cell>
          <cell r="G5167" t="str">
            <v>2000000008</v>
          </cell>
          <cell r="H5167"/>
        </row>
        <row r="5168">
          <cell r="A5168" t="str">
            <v>7.515016340620B00</v>
          </cell>
          <cell r="B5168" t="str">
            <v>THEPIZZACOMPANY CHILI SAUCE 10G*1200SCH</v>
          </cell>
          <cell r="C5168" t="str">
            <v>TƯƠNG ỚT THE PIZZA COMPANY 10G X 1.200 GÓI / THÙNG</v>
          </cell>
          <cell r="D5168" t="str">
            <v>THEPIZZACOMPANY CHILI SAUCE 10G*1200SCH</v>
          </cell>
          <cell r="E5168">
            <v>12</v>
          </cell>
          <cell r="F5168" t="str">
            <v>Chọn</v>
          </cell>
          <cell r="G5168" t="str">
            <v>2000000008</v>
          </cell>
          <cell r="H5168" t="str">
            <v>7.515016340620010</v>
          </cell>
        </row>
        <row r="5169">
          <cell r="A5169" t="str">
            <v>7.515016340620010</v>
          </cell>
          <cell r="B5169" t="str">
            <v>THEPIZZACOMPANY CHILI SAUCE SACHET@10G</v>
          </cell>
          <cell r="C5169" t="str">
            <v>TƯƠNG ỚT THE PIZZA COMPANY 10G</v>
          </cell>
          <cell r="D5169" t="str">
            <v>THEPIZZACOMPANY CHILI SAUCE SACHET@10G</v>
          </cell>
          <cell r="E5169">
            <v>0.01</v>
          </cell>
          <cell r="F5169" t="str">
            <v>Chọn</v>
          </cell>
          <cell r="G5169" t="str">
            <v>2000000008</v>
          </cell>
          <cell r="H5169"/>
        </row>
        <row r="5170">
          <cell r="A5170" t="str">
            <v>7.515016140617060</v>
          </cell>
          <cell r="B5170" t="str">
            <v>THEPIZZACOMPANY CHILI SAUCE 255G*24BTL</v>
          </cell>
          <cell r="C5170" t="str">
            <v>TƯƠNG ỚT THE PIZZA COMPANY 255G X 24 CHAI / THÙNG</v>
          </cell>
          <cell r="D5170" t="str">
            <v>THEPIZZACOMPANY CHILI SAUCE 255G*24BTL</v>
          </cell>
          <cell r="E5170">
            <v>6.12</v>
          </cell>
          <cell r="F5170" t="str">
            <v>Chọn</v>
          </cell>
          <cell r="G5170" t="str">
            <v>2000000008</v>
          </cell>
          <cell r="H5170" t="str">
            <v>7.515016140617010</v>
          </cell>
        </row>
        <row r="5171">
          <cell r="A5171" t="str">
            <v>7.515016140617010</v>
          </cell>
          <cell r="B5171" t="str">
            <v>THEPIZZACOMPANY CHILI SAUCE BTL@255G</v>
          </cell>
          <cell r="C5171" t="str">
            <v>TƯƠNG ỚT THE PIZZA COMPANY 255G</v>
          </cell>
          <cell r="D5171" t="str">
            <v>THEPIZZACOMPANY CHILI SAUCE BTL@255G</v>
          </cell>
          <cell r="E5171">
            <v>0.255</v>
          </cell>
          <cell r="F5171" t="str">
            <v>Chọn</v>
          </cell>
          <cell r="G5171" t="str">
            <v>2000000008</v>
          </cell>
          <cell r="H5171"/>
        </row>
        <row r="5172">
          <cell r="A5172" t="str">
            <v>7.5630080360031103</v>
          </cell>
          <cell r="B5172" t="str">
            <v>NAM DUONG TOMATO SAUCE 1KG X 10PEBAG</v>
          </cell>
          <cell r="C5172" t="str">
            <v>TƯƠNG CÀ 1KG  X 10 GÓI / THÙNG</v>
          </cell>
          <cell r="D5172" t="str">
            <v>NAM DUONG TOMATO SAUCE 1KG X 10PEBAG</v>
          </cell>
          <cell r="E5172">
            <v>10</v>
          </cell>
          <cell r="F5172" t="str">
            <v>Chọn</v>
          </cell>
          <cell r="G5172" t="str">
            <v>2000000008</v>
          </cell>
          <cell r="H5172" t="str">
            <v>7.5630080360031100</v>
          </cell>
        </row>
        <row r="5173">
          <cell r="A5173" t="str">
            <v>7.5630080360031100</v>
          </cell>
          <cell r="B5173" t="str">
            <v>NAM DUONG TOMATO SAUCE IN PEBAG@1KG</v>
          </cell>
          <cell r="C5173" t="str">
            <v>TƯƠNG CÀ 1KG</v>
          </cell>
          <cell r="D5173" t="str">
            <v>NAM DUONG TOMATO SAUCE IN PEBAG@1KG</v>
          </cell>
          <cell r="E5173">
            <v>1</v>
          </cell>
          <cell r="F5173" t="str">
            <v>Chọn</v>
          </cell>
          <cell r="G5173" t="str">
            <v>2000000008</v>
          </cell>
          <cell r="H5173"/>
        </row>
        <row r="5174">
          <cell r="A5174" t="str">
            <v>7.5630080280031006</v>
          </cell>
          <cell r="B5174" t="str">
            <v>NAM DUONG TOMATO SAUCE 10G X 800SACHET</v>
          </cell>
          <cell r="C5174" t="str">
            <v>TƯƠNG CÀ 10G X 800 GÓI/THÙNG</v>
          </cell>
          <cell r="D5174" t="str">
            <v>NAM DUONG TOMATO SAUCE 10G X 800SACHET</v>
          </cell>
          <cell r="E5174">
            <v>8</v>
          </cell>
          <cell r="F5174" t="str">
            <v>Chọn</v>
          </cell>
          <cell r="G5174" t="str">
            <v>2000000008</v>
          </cell>
          <cell r="H5174" t="str">
            <v>7.5630080280031000</v>
          </cell>
        </row>
        <row r="5175">
          <cell r="A5175" t="str">
            <v>7.5630080280031000</v>
          </cell>
          <cell r="B5175" t="str">
            <v>NAM DUONG TOMATO SAUCE IN SACHET@10G</v>
          </cell>
          <cell r="C5175" t="str">
            <v>TƯƠNG CÀ 10G</v>
          </cell>
          <cell r="D5175" t="str">
            <v>NAM DUONG TOMATO SAUCE IN SACHET@10G</v>
          </cell>
          <cell r="E5175">
            <v>0.01</v>
          </cell>
          <cell r="F5175" t="str">
            <v>Chọn</v>
          </cell>
          <cell r="G5175" t="str">
            <v>2000000008</v>
          </cell>
          <cell r="H5175"/>
        </row>
        <row r="5176">
          <cell r="A5176" t="str">
            <v>7.5630130190030604</v>
          </cell>
          <cell r="B5176" t="str">
            <v>THEPIZZACOMPANY TOMATO SAUCE 255G*24BTL</v>
          </cell>
          <cell r="C5176" t="str">
            <v>TƯƠNG CÀ THE PIZZA COMPANY 255G X 24 CHAI / THÙNG</v>
          </cell>
          <cell r="D5176" t="str">
            <v>THEPIZZACOMPANY TOMATO SAUCE 255G*24BTL</v>
          </cell>
          <cell r="E5176">
            <v>6.12</v>
          </cell>
          <cell r="F5176" t="str">
            <v>Chọn</v>
          </cell>
          <cell r="G5176" t="str">
            <v>2000000008</v>
          </cell>
          <cell r="H5176" t="str">
            <v>7.5630130190030600</v>
          </cell>
        </row>
        <row r="5177">
          <cell r="A5177" t="str">
            <v>7.5630130190030600</v>
          </cell>
          <cell r="B5177" t="str">
            <v>THEPIZZACOMPANY TOMATO SAUCE BOTTLE@255G</v>
          </cell>
          <cell r="C5177" t="str">
            <v>TƯƠNG CÀ THE PIZZA COMPANY 255G</v>
          </cell>
          <cell r="D5177" t="str">
            <v>THEPIZZACOMPANY TOMATO SAUCE BOTTLE@255G</v>
          </cell>
          <cell r="E5177">
            <v>0.255</v>
          </cell>
          <cell r="F5177" t="str">
            <v>Chọn</v>
          </cell>
          <cell r="G5177" t="str">
            <v>2000000008</v>
          </cell>
          <cell r="H5177"/>
        </row>
        <row r="5178">
          <cell r="A5178" t="str">
            <v>7.5180032302408A50</v>
          </cell>
          <cell r="B5178" t="str">
            <v>MEIZAN PORK BOUILLON GRANULE 10KG*2PEBAG</v>
          </cell>
          <cell r="C5178" t="str">
            <v>HẠT NÊM MEIZAN THỊT, XƯƠNG ỐNG, TỦY, CÀ RỐT – VỊ HEO 10KG X 2 TÚI/BAO</v>
          </cell>
          <cell r="D5178" t="str">
            <v>MEIZAN PORK BOUILLON GRANULE 10KG*2PEBAG</v>
          </cell>
          <cell r="E5178">
            <v>20</v>
          </cell>
          <cell r="F5178" t="str">
            <v>Chọn</v>
          </cell>
          <cell r="G5178" t="str">
            <v>2000000008</v>
          </cell>
          <cell r="H5178" t="str">
            <v>7.5180032302408010</v>
          </cell>
        </row>
        <row r="5179">
          <cell r="A5179" t="str">
            <v>7.5180032302408010</v>
          </cell>
          <cell r="B5179" t="str">
            <v>MEIZAN PORK BOUILLON GRANULE PEBAG@10KG</v>
          </cell>
          <cell r="C5179" t="str">
            <v>HẠT NÊM MEIZAN THỊT, XƯƠNG ỐNG, TỦY, CÀ RỐT – VỊ HEO 10KG</v>
          </cell>
          <cell r="D5179" t="str">
            <v>MEIZAN PORK BOUILLON GRANULE PEBAG@10KG</v>
          </cell>
          <cell r="E5179">
            <v>10</v>
          </cell>
          <cell r="F5179" t="str">
            <v>Chọn</v>
          </cell>
          <cell r="G5179" t="str">
            <v>2000000008</v>
          </cell>
          <cell r="H5179"/>
        </row>
        <row r="5180">
          <cell r="A5180" t="str">
            <v>7.5180061702408080</v>
          </cell>
          <cell r="B5180" t="str">
            <v>NEPTUNE PORK BOUILLON 5KG X 3PEBAG</v>
          </cell>
          <cell r="C5180" t="str">
            <v>HẠT NÊM 4 TRONG 1 VỊ HEO 5KG X 3 TÚI/THÙNG</v>
          </cell>
          <cell r="D5180" t="str">
            <v>NEPTUNE PORK BOUILLON 5KG X 3PEBAG</v>
          </cell>
          <cell r="E5180">
            <v>15</v>
          </cell>
          <cell r="F5180" t="str">
            <v>Chọn</v>
          </cell>
          <cell r="G5180" t="str">
            <v>2000000008</v>
          </cell>
          <cell r="H5180" t="str">
            <v>7.5180061702408010</v>
          </cell>
        </row>
        <row r="5181">
          <cell r="A5181" t="str">
            <v>7.5180061702408010</v>
          </cell>
          <cell r="B5181" t="str">
            <v>NEPTUNE PORK BOUILLON IN PEBAG@5KG</v>
          </cell>
          <cell r="C5181" t="str">
            <v>HẠT NÊM 4 TRONG 1 VỊ HEO 5KG</v>
          </cell>
          <cell r="D5181" t="str">
            <v>NEPTUNE PORK BOUILLON IN PEBAG@5KG</v>
          </cell>
          <cell r="E5181">
            <v>5.0659999999999998</v>
          </cell>
          <cell r="F5181" t="str">
            <v>Chọn</v>
          </cell>
          <cell r="G5181" t="str">
            <v>2000000008</v>
          </cell>
          <cell r="H5181"/>
        </row>
        <row r="5182">
          <cell r="A5182" t="str">
            <v>7.59800527540816</v>
          </cell>
          <cell r="B5182" t="str">
            <v>NEPTUNE(PBG@850G+PSS@500ML+SHCS@255G)*10</v>
          </cell>
          <cell r="C5182" t="str">
            <v>COMBO 01 GÓI HẠT NÊM 4 TRONG 1 VỊ HEO 850G VÀ 01 CHAI NƯỚC TƯƠNG THƯỢNG HẠNG 500ML VÀ 01 CHAI TƯƠNG ỚT ĐẶC BIỆT CAY 255G x 10 TÚI/THÙNG</v>
          </cell>
          <cell r="D5182" t="str">
            <v>NEPTUNE(PBG@850G+PSS@500ML+SHCS@255G)*10</v>
          </cell>
          <cell r="E5182">
            <v>16.63</v>
          </cell>
          <cell r="F5182" t="str">
            <v>Chọn</v>
          </cell>
          <cell r="G5182" t="str">
            <v>2000000008</v>
          </cell>
          <cell r="H5182" t="str">
            <v>7.59800827541216</v>
          </cell>
        </row>
        <row r="5183">
          <cell r="A5183" t="str">
            <v>7.59800827541216</v>
          </cell>
          <cell r="B5183" t="str">
            <v>NEPTUNE PBG850G+NAMDUONG PSS0.5L+SHCS255</v>
          </cell>
          <cell r="C5183" t="str">
            <v>COMBO 01 GÓI HẠT NÊM 4 TRONG 1 VỊ HEO 850G VÀ 01 CHAI NƯỚC TƯƠNG THƯỢNG HẠNG 500ML VÀ 01 CHAI TƯƠNG ỚT ĐẶC BIỆT CAY 255G</v>
          </cell>
          <cell r="D5183" t="str">
            <v>NEPTUNE PBG850G+NAMDUONG PSS0.5L+SHCS255</v>
          </cell>
          <cell r="E5183">
            <v>1.663</v>
          </cell>
          <cell r="F5183" t="str">
            <v>Chọn</v>
          </cell>
          <cell r="G5183" t="str">
            <v>2000000008</v>
          </cell>
          <cell r="H5183"/>
        </row>
        <row r="5184">
          <cell r="A5184" t="str">
            <v>7.59800530530616</v>
          </cell>
          <cell r="B5184" t="str">
            <v>NEPTUNE(PORK BG@850G+FERM SS@280ML)*10</v>
          </cell>
          <cell r="C5184" t="str">
            <v>HẠT NÊM 4 TRONG 1 - VỊ HEO 850G X 10 GÓI ĐÓNG KÈM 10 CHAI NƯỚC TƯƠNG NAM DƯƠNG ĐẬU NÀNH LÊN MEN TỰ NHIÊN 280ML / THÙNG</v>
          </cell>
          <cell r="D5184" t="str">
            <v>NEPTUNE(PORK BG@850G+FERM SS@280ML)*10</v>
          </cell>
          <cell r="E5184">
            <v>8.5</v>
          </cell>
          <cell r="F5184" t="str">
            <v>Chọn</v>
          </cell>
          <cell r="G5184" t="str">
            <v>2000000008</v>
          </cell>
          <cell r="H5184" t="str">
            <v>7.59800530531016</v>
          </cell>
        </row>
        <row r="5185">
          <cell r="A5185" t="str">
            <v>7.59800530531016</v>
          </cell>
          <cell r="B5185" t="str">
            <v>NEPTUNE PORK BG@850G+FERM SOYSAUCE@280ML</v>
          </cell>
          <cell r="C5185" t="str">
            <v>HẠT NÊM 4 TRONG 1 - VỊ HEO 850G ĐÓNG KÈM 01 CHAI NƯỚC TƯƠNG NAM DƯƠNG ĐẬU NÀNH LÊN MEN TỰ NHIÊN 280ML</v>
          </cell>
          <cell r="D5185" t="str">
            <v>NEPTUNE PORK BG@850G+FERM SOYSAUCE@280ML</v>
          </cell>
          <cell r="E5185">
            <v>0.85</v>
          </cell>
          <cell r="F5185" t="str">
            <v>Chọn</v>
          </cell>
          <cell r="G5185" t="str">
            <v>2000000008</v>
          </cell>
          <cell r="H5185"/>
        </row>
        <row r="5186">
          <cell r="A5186" t="str">
            <v>7.59800825531016</v>
          </cell>
          <cell r="B5186" t="str">
            <v>NEPTUNE PORK BG@850G+NAMDUONG FSS@500ML</v>
          </cell>
          <cell r="C5186" t="str">
            <v>HẠT NÊM 4 TRONG 1 VỊ HEO 850G ĐÓNG KÈM 01 CHAI NƯỚC TƯƠNG NAM DƯƠNG ĐẬU NÀNH LÊN MEN TỰ NHIÊN 500ML</v>
          </cell>
          <cell r="D5186" t="str">
            <v>NEPTUNE PORK BG@850G+NAMDUONG FSS@500ML</v>
          </cell>
          <cell r="E5186">
            <v>0.85</v>
          </cell>
          <cell r="F5186" t="str">
            <v>Chọn</v>
          </cell>
          <cell r="G5186" t="str">
            <v>2000000008</v>
          </cell>
          <cell r="H5186"/>
        </row>
        <row r="5187">
          <cell r="A5187" t="str">
            <v>7.5180071702408080</v>
          </cell>
          <cell r="B5187" t="str">
            <v>ORCHID PORK BOUILLON GRANULE 5KG*3PEBAG</v>
          </cell>
          <cell r="C5187" t="str">
            <v>HẠT NÊM ORCHID THỊT, XƯƠNG ỐNG VÀ TỦY 5KG X 3 TÚI/THÙNG</v>
          </cell>
          <cell r="D5187" t="str">
            <v>ORCHID PORK BOUILLON GRANULE 5KG*3PEBAG</v>
          </cell>
          <cell r="E5187">
            <v>15</v>
          </cell>
          <cell r="F5187" t="str">
            <v>Chọn</v>
          </cell>
          <cell r="G5187" t="str">
            <v>2000000008</v>
          </cell>
          <cell r="H5187" t="str">
            <v>7.5180071702408010</v>
          </cell>
        </row>
        <row r="5188">
          <cell r="A5188" t="str">
            <v>7.5180071702408010</v>
          </cell>
          <cell r="B5188" t="str">
            <v>ORCHID PORK BOUILLON GRANULE PEBAG@5KG</v>
          </cell>
          <cell r="C5188" t="str">
            <v>HẠT NÊM ORCHID THỊT, XƯƠNG ỐNG VÀ TỦY 5KG</v>
          </cell>
          <cell r="D5188" t="str">
            <v>ORCHID PORK BOUILLON GRANULE PEBAG@5KG</v>
          </cell>
          <cell r="E5188">
            <v>5</v>
          </cell>
          <cell r="F5188" t="str">
            <v>Chọn</v>
          </cell>
          <cell r="G5188" t="str">
            <v>2000000008</v>
          </cell>
          <cell r="H5188"/>
        </row>
        <row r="5189">
          <cell r="A5189" t="str">
            <v>7.5180072302408A50</v>
          </cell>
          <cell r="B5189" t="str">
            <v>ORCHID PORK BOUILLON GRANULE 10KG*2BAG</v>
          </cell>
          <cell r="C5189" t="str">
            <v>HẠT NÊM ORCHID THỊT, XƯƠNG ỐNG VÀ TỦY 10KG X 2 TÚI/BAO</v>
          </cell>
          <cell r="D5189" t="str">
            <v>ORCHID PORK BOUILLON GRANULE 10KG*2BAG</v>
          </cell>
          <cell r="E5189">
            <v>20</v>
          </cell>
          <cell r="F5189" t="str">
            <v>Chọn</v>
          </cell>
          <cell r="G5189" t="str">
            <v>2000000008</v>
          </cell>
          <cell r="H5189" t="str">
            <v>7.5180072302418010</v>
          </cell>
        </row>
        <row r="5190">
          <cell r="A5190" t="str">
            <v>7.5180072302408010</v>
          </cell>
          <cell r="B5190" t="str">
            <v>ORCHID PORK BOUILLON GRANULE PEBAG@10KG</v>
          </cell>
          <cell r="C5190" t="str">
            <v>HẠT NÊM ORCHID THỊT, XƯƠNG ỐNG VÀ TỦY 10KG</v>
          </cell>
          <cell r="D5190" t="str">
            <v>ORCHID PORK BOUILLON GRANULE PEBAG@10KG</v>
          </cell>
          <cell r="E5190">
            <v>10</v>
          </cell>
          <cell r="F5190" t="str">
            <v>Bỏ chọn</v>
          </cell>
          <cell r="G5190" t="str">
            <v>2000000008</v>
          </cell>
          <cell r="H5190"/>
        </row>
        <row r="5191">
          <cell r="A5191" t="str">
            <v>7.51800009025B2010</v>
          </cell>
          <cell r="B5191" t="str">
            <v>MONOSODIUM GLUTAMATE PLASTICBAG@25KG</v>
          </cell>
          <cell r="C5191" t="str">
            <v>BỘT NGỌT 25KG (S)</v>
          </cell>
          <cell r="D5191" t="str">
            <v>MONOSODIUM GLUTAMATE PLASTICBAG@25KG</v>
          </cell>
          <cell r="E5191">
            <v>25</v>
          </cell>
          <cell r="F5191" t="str">
            <v>Chọn</v>
          </cell>
          <cell r="G5191" t="str">
            <v>2000000008</v>
          </cell>
          <cell r="H5191"/>
        </row>
        <row r="5192">
          <cell r="A5192" t="str">
            <v>7.59800525530616</v>
          </cell>
          <cell r="B5192" t="str">
            <v>NEPTUNE(PORKBLN@850G+FERMSOYSC@500ML)*10</v>
          </cell>
          <cell r="C5192" t="str">
            <v>HẠT NÊM 4 TRONG 1 VỊ HEO 850G X 10 GÓI ĐÓNG KÈM 10 CHAI NƯỚC TƯƠNG NAM DƯƠNG ĐẬU NÀNH LÊN MEN TỰ NHIÊN 500ML / THÙNG</v>
          </cell>
          <cell r="D5192" t="str">
            <v>NEPTUNE(PORKBLN@850G+FERMSOYSC@500ML)*10</v>
          </cell>
          <cell r="E5192">
            <v>8.5</v>
          </cell>
          <cell r="F5192" t="str">
            <v>Chọn</v>
          </cell>
          <cell r="G5192" t="str">
            <v>2000000008</v>
          </cell>
          <cell r="H5192" t="str">
            <v>7.59800825531016</v>
          </cell>
        </row>
        <row r="5193">
          <cell r="A5193" t="str">
            <v>6.1213559</v>
          </cell>
          <cell r="B5193" t="str">
            <v>DRY FRACT PALM STEARIN LOW GE / RSPO MB</v>
          </cell>
          <cell r="C5193" t="str">
            <v>DẦU STEARIN CỌ TINH LUYỆN (LOW GE)(RSPO/MB) (TRONG XE BỒN)</v>
          </cell>
          <cell r="D5193" t="str">
            <v>DRY FRACT PALM STEARIN LOW GE / RSPO MB</v>
          </cell>
          <cell r="E5193">
            <v>1</v>
          </cell>
          <cell r="F5193" t="str">
            <v>Chọn</v>
          </cell>
          <cell r="G5193"/>
          <cell r="H5193"/>
        </row>
        <row r="5194">
          <cell r="A5194" t="str">
            <v>7.705M1</v>
          </cell>
          <cell r="B5194" t="str">
            <v>MEIZAN SHORTENING (WILMAX KT250304) IN BAG 1KG</v>
          </cell>
          <cell r="C5194" t="str">
            <v>SHORTENING (WILMAX KT250304) NHÃN HIỆU MEIZAN ĐÓNG TRONG BAO 1KG</v>
          </cell>
          <cell r="D5194" t="str">
            <v>MEIZAN SHORTENING (WILMAX KT250304) IN BAG 1KG</v>
          </cell>
          <cell r="E5194">
            <v>1</v>
          </cell>
          <cell r="F5194" t="str">
            <v>Chọn</v>
          </cell>
          <cell r="G5194"/>
          <cell r="H5194"/>
        </row>
        <row r="5195">
          <cell r="A5195" t="str">
            <v>7.1060120244508010</v>
          </cell>
          <cell r="B5195" t="str">
            <v>MEIZAN SHT 42 GREEN PEBAG@20KG/RSPO MB</v>
          </cell>
          <cell r="C5195" t="str">
            <v>SHORTENING 42 NHÃN HIỆU MEIZAN (NHÃN MÀU XANH) RSPO/MB TRONG THÙNG 20KG</v>
          </cell>
          <cell r="D5195" t="str">
            <v>MEIZAN SHT 42 GREEN PEBAG@20KG/RSPO MB</v>
          </cell>
          <cell r="E5195">
            <v>20</v>
          </cell>
          <cell r="F5195" t="str">
            <v>Chọn</v>
          </cell>
          <cell r="G5195"/>
          <cell r="H5195"/>
        </row>
        <row r="5196">
          <cell r="A5196" t="str">
            <v>7.1060120244608010</v>
          </cell>
          <cell r="B5196" t="str">
            <v>MEIZAN SHT42 RED LABEL PEBAG@20KG/RSPOMB</v>
          </cell>
          <cell r="C5196" t="str">
            <v>SHORTENING 42 NHÃN HIỆU MEIZAN (NHÃN MÀU ĐỎ) RSPO/MB TRONG THÙNG 20KG</v>
          </cell>
          <cell r="D5196" t="str">
            <v>MEIZAN SHT42 RED LABEL PEBAG@20KG/RSPOMB</v>
          </cell>
          <cell r="E5196">
            <v>20</v>
          </cell>
          <cell r="F5196" t="str">
            <v>Chọn</v>
          </cell>
          <cell r="G5196"/>
          <cell r="H5196"/>
        </row>
        <row r="5197">
          <cell r="A5197" t="str">
            <v>7.1070120297508010</v>
          </cell>
          <cell r="B5197" t="str">
            <v>MEIZAN SUPERIORBOSIV55 PEBAG@20KG/RSPOMB</v>
          </cell>
          <cell r="C5197" t="str">
            <v>DẦU BƠ THAY THẾ CAO CẤP NHÃN HIỆU MEIZAN RSPOMB TRONG THÙNG 20 KG</v>
          </cell>
          <cell r="D5197" t="str">
            <v>MEIZAN SUPERIORBOSIV55 PEBAG@20KG/RSPOMB</v>
          </cell>
          <cell r="E5197">
            <v>20</v>
          </cell>
          <cell r="F5197" t="str">
            <v>Chọn</v>
          </cell>
          <cell r="G5197"/>
          <cell r="H5197"/>
        </row>
        <row r="5198">
          <cell r="A5198" t="str">
            <v>V39.000.088</v>
          </cell>
          <cell r="B5198" t="str">
            <v>VINATEA GLASS UG310</v>
          </cell>
          <cell r="C5198" t="str">
            <v>LY THỦY TINH UG310 IN VINATEA</v>
          </cell>
          <cell r="D5198" t="str">
            <v>VINATEA GLASS UG310</v>
          </cell>
          <cell r="E5198">
            <v>0</v>
          </cell>
          <cell r="F5198" t="str">
            <v>Chọn</v>
          </cell>
          <cell r="G5198"/>
          <cell r="H5198"/>
        </row>
        <row r="5199">
          <cell r="A5199" t="str">
            <v>7.522224026021901</v>
          </cell>
          <cell r="B5199" t="str">
            <v>AP-2 INDUSTRIAL FLOUR PRO 8% PPBAG@25KG</v>
          </cell>
          <cell r="C5199" t="str">
            <v>BỘT MÌ CÔNG NGHIỆP AP-2 (NGUYÊN LIỆU SẢN XUẤT HỒ DÁN, KEO DÁN GỖ) 25KG</v>
          </cell>
          <cell r="D5199" t="str">
            <v>AP-2 INDUSTRIAL FLOUR PRO 8% PPBAG@25KG</v>
          </cell>
          <cell r="E5199">
            <v>25</v>
          </cell>
          <cell r="F5199" t="str">
            <v>Chọn</v>
          </cell>
          <cell r="G5199"/>
          <cell r="H5199"/>
        </row>
        <row r="5200">
          <cell r="A5200" t="str">
            <v>7.101089580801N20</v>
          </cell>
          <cell r="B5200" t="str">
            <v>SATELLITE TEXTURIZED RBDPO @20KG/RSPO MB</v>
          </cell>
          <cell r="C5200" t="str">
            <v>DẦU CỌ CHUYÊN DỤNG NHÃN HIỆU SATELLITE RSPO/MB TRONG THÙNG 20KG</v>
          </cell>
          <cell r="D5200" t="str">
            <v>SATELLITE TEXTURIZED RBDPO @20KG/RSPO MB</v>
          </cell>
          <cell r="E5200">
            <v>20</v>
          </cell>
          <cell r="F5200" t="str">
            <v>Chọn</v>
          </cell>
          <cell r="G5200"/>
          <cell r="H5200"/>
        </row>
        <row r="5201">
          <cell r="A5201" t="str">
            <v>7.59701568D32202</v>
          </cell>
          <cell r="B5201" t="str">
            <v>MEIZAN PRAWN CRACKER 100G X 50BAG</v>
          </cell>
          <cell r="C5201" t="str">
            <v>BÁNH PHỒNG TÔM MEIZAN 100G X 50 GÓI</v>
          </cell>
          <cell r="D5201" t="str">
            <v>MEIZAN PRAWN CRACKER 100G X 50BAG</v>
          </cell>
          <cell r="E5201">
            <v>5</v>
          </cell>
          <cell r="F5201" t="str">
            <v>Chọn</v>
          </cell>
          <cell r="G5201" t="str">
            <v>2000000007</v>
          </cell>
          <cell r="H5201" t="str">
            <v>7.59701368D30002</v>
          </cell>
        </row>
        <row r="5202">
          <cell r="A5202" t="str">
            <v>7.585D130180080101</v>
          </cell>
          <cell r="B5202" t="str">
            <v>MEIZAN RICE PAPER ROLL 450G X 20BAG</v>
          </cell>
          <cell r="C5202" t="str">
            <v>BÁNH TRÁNG MEIZAN 450G X 20 GÓI</v>
          </cell>
          <cell r="D5202" t="str">
            <v>MEIZAN RICE PAPER ROLL 450G X 20BAG</v>
          </cell>
          <cell r="E5202">
            <v>9</v>
          </cell>
          <cell r="F5202" t="str">
            <v>Chọn</v>
          </cell>
          <cell r="G5202" t="str">
            <v>2000000007</v>
          </cell>
          <cell r="H5202" t="str">
            <v>7.585D130180080100</v>
          </cell>
        </row>
        <row r="5203">
          <cell r="A5203" t="str">
            <v>7.522H871130803000</v>
          </cell>
          <cell r="B5203" t="str">
            <v>REDCOMPASS RICEMACARONILONGTUBE WOV@10KG</v>
          </cell>
          <cell r="C5203" t="str">
            <v>NUI GẠO LA BÀN ĐỎ - ỐNG DÀI 10KG</v>
          </cell>
          <cell r="D5203" t="str">
            <v>REDCOMPASS RICEMACARONILONGTUBE WOV@10KG</v>
          </cell>
          <cell r="E5203">
            <v>10</v>
          </cell>
          <cell r="F5203" t="str">
            <v>Bỏ chọn</v>
          </cell>
          <cell r="G5203" t="str">
            <v>2000000007</v>
          </cell>
          <cell r="H5203"/>
        </row>
        <row r="5204">
          <cell r="A5204" t="str">
            <v>7.D3701C0990599C1</v>
          </cell>
          <cell r="B5204" t="str">
            <v>SANIA DARK COMPOUND CHOCOLATE CHIPS ADD-11BD IN BAG 25KG</v>
          </cell>
          <cell r="C5204" t="str">
            <v>NGUYÊN LIỆU THỰC PHẨM SÔ-CÔ-LA ĐEN DẠNG HẠT NHÃN HIỆU SANIA ADD-11BD, BAG 25KG, ĐÓNG TRONG BAO 25KG</v>
          </cell>
          <cell r="D5204" t="str">
            <v>SANIA DARK COMPOUND CHOCOLATE CHIPS ADD-11BD (25KG X 1 BAG), 25KG</v>
          </cell>
          <cell r="E5204">
            <v>25</v>
          </cell>
          <cell r="F5204" t="str">
            <v>Chọn</v>
          </cell>
          <cell r="G5204"/>
          <cell r="H5204"/>
        </row>
        <row r="5205">
          <cell r="A5205" t="str">
            <v>7.D370110990399C5</v>
          </cell>
          <cell r="B5205" t="str">
            <v>CHAMBERY DARK COMPOUND CHOCOLATE LIQUID MZD-15DL (5KG X 2), 10KG</v>
          </cell>
          <cell r="C5205" t="str">
            <v>NGUYÊN LIỆU THỰC PHẨM SÔ-CÔ-LA ĐEN CHAMBERY DẠNG LỎNG MZD-15DL, BUCKET 5KG, ĐÓNG TRONG THÙNG CARTON 10KG</v>
          </cell>
          <cell r="D5205" t="str">
            <v>CHAMBERY DARK COMPOUND CHOCOLATE LIQUID MZD-15DL (5KG X 2PCS), 10KG</v>
          </cell>
          <cell r="E5205">
            <v>10</v>
          </cell>
          <cell r="F5205" t="str">
            <v>Chọn</v>
          </cell>
          <cell r="G5205"/>
          <cell r="H5205" t="str">
            <v>7.D370110990399C501</v>
          </cell>
        </row>
        <row r="5206">
          <cell r="A5206" t="str">
            <v>7.D370110990399C501</v>
          </cell>
          <cell r="B5206" t="str">
            <v>CHAMBERY DARK COMPOUND CHOCOLATE LIQUID MZD-15DL IN BUCKET 5KG</v>
          </cell>
          <cell r="C5206" t="str">
            <v>NGUYÊN LIỆU THỰC PHẨM SÔ-CÔ-LA ĐEN CHAMBERY DẠNG LỎNG MZD-15DL, XÔ 5KG</v>
          </cell>
          <cell r="D5206" t="str">
            <v>CHAMBERY DARK COMPOUND CHOCOLATE LIQUID MZD-15DL IN BUCKET 5KG</v>
          </cell>
          <cell r="E5206">
            <v>5</v>
          </cell>
          <cell r="F5206" t="str">
            <v>Chọn</v>
          </cell>
          <cell r="G5206"/>
          <cell r="H5206"/>
        </row>
        <row r="5207">
          <cell r="A5207" t="str">
            <v>7.58810409105B2700</v>
          </cell>
          <cell r="B5207" t="str">
            <v>NAMDUONG OYSTER SAUCE HORECA BTL@2.3KG</v>
          </cell>
          <cell r="C5207" t="str">
            <v>DẦU HÀO HORECA 2.3 KG</v>
          </cell>
          <cell r="D5207" t="str">
            <v>NAMDUONG OYSTER SAUCE HORECA BTL@2.3KG</v>
          </cell>
          <cell r="E5207">
            <v>2.2999999999999998</v>
          </cell>
          <cell r="F5207" t="str">
            <v>Chọn</v>
          </cell>
          <cell r="G5207" t="str">
            <v>2000000008</v>
          </cell>
          <cell r="H5207"/>
        </row>
        <row r="5208">
          <cell r="A5208" t="str">
            <v>7.58810409105B2708</v>
          </cell>
          <cell r="B5208" t="str">
            <v>NAMDUONG OYSTER SAUCE HORECA 2.3KG*6BTL</v>
          </cell>
          <cell r="C5208" t="str">
            <v>DẦU HÀO HORECA 2.3 KG X 6 CHAI/THÙNG</v>
          </cell>
          <cell r="D5208" t="str">
            <v>NAMDUONG OYSTER SAUCE HORECA 2.3KG*6BTL</v>
          </cell>
          <cell r="E5208">
            <v>13.8</v>
          </cell>
          <cell r="F5208" t="str">
            <v>Chọn</v>
          </cell>
          <cell r="G5208" t="str">
            <v>2000000008</v>
          </cell>
          <cell r="H5208" t="str">
            <v>7.58810409105B2700</v>
          </cell>
        </row>
        <row r="5209">
          <cell r="A5209" t="str">
            <v>N04.0019026.00314</v>
          </cell>
          <cell r="B5209" t="str">
            <v>UNIFORM, TYPE:POLO SHIRT, MODEL:SHORT SLEEVE, MARKING:ORANGE KEY, ADDITIONAL DETAILS:EMBROIDERED COMPANY LOGO</v>
          </cell>
          <cell r="C5209" t="str">
            <v>ÁO THUN CHÌA KHÓA CAM</v>
          </cell>
          <cell r="D5209" t="str">
            <v>UNIFORM,POLO SHIRT,SHORT SLEEVE,ORANGE K</v>
          </cell>
          <cell r="E5209">
            <v>0</v>
          </cell>
          <cell r="F5209" t="str">
            <v>Chọn</v>
          </cell>
          <cell r="G5209"/>
          <cell r="H5209"/>
        </row>
        <row r="5210">
          <cell r="A5210" t="str">
            <v>N04.0018001.00090</v>
          </cell>
          <cell r="B5210" t="str">
            <v>BAG,28 X 35 X 10 CM,TOTE/GOODIE,NON WOWE</v>
          </cell>
          <cell r="C5210" t="str">
            <v>TÚI VẢI NDFC (TRẮNG)</v>
          </cell>
          <cell r="D5210" t="str">
            <v>BAG, TYPE:TOTE/GOODIE, MATERIAL:NON WOWEN FABRIC 100GSM, SIZE:28 X 35 X 10 CM</v>
          </cell>
          <cell r="E5210">
            <v>0</v>
          </cell>
          <cell r="F5210" t="str">
            <v>Chọn</v>
          </cell>
          <cell r="G5210"/>
          <cell r="H5210"/>
        </row>
        <row r="5211">
          <cell r="A5211" t="str">
            <v>N09.0007005.02203</v>
          </cell>
          <cell r="B5211" t="str">
            <v>CARTON, PRODUCT BRAND:SIMPLY, PACKING TYPE:BOTTLE, CONTENT:12 X 1L, SIZE:296 X 222 X 295MM, COLOR:BROWN, SUBSTANCE:KT175/CA150/KT125, FLUTE:A, PRODUCT PACKED:SOYBEAN OIL (SBO), ADDITIONAL DETAILS:LOCAL - VIETNAM</v>
          </cell>
          <cell r="C5211" t="str">
            <v>THÙNG 2 MÀU - SIMPLY SBO 1L X 12</v>
          </cell>
          <cell r="D5211" t="str">
            <v>CARTON,SIMPLY,12 X 1L,SOYBEAN OIL (SBO),</v>
          </cell>
          <cell r="E5211">
            <v>0</v>
          </cell>
          <cell r="F5211" t="str">
            <v>Chọn</v>
          </cell>
          <cell r="G5211"/>
          <cell r="H5211"/>
        </row>
        <row r="5212">
          <cell r="A5212" t="str">
            <v>N09.0007005.01671</v>
          </cell>
          <cell r="B5212" t="str">
            <v>CARTON, PRODUCT BRAND:SIMPLY, PRODUCT PACKED:SOYBEAN OIL, CONTENT:6 X 2L, SIZE:358 X 236 X 278 MM, COLOR:BROWN, SUBSTANCE:KT175/CA150/KT175, FLUTE:A, PACKING TYPE:BOTTLE</v>
          </cell>
          <cell r="C5212" t="str">
            <v>THÙNG 2 MÀU - SIMPLY SBO 2L X 6</v>
          </cell>
          <cell r="D5212" t="str">
            <v>CARTON,SIMPLY,6 X 2L,SOYBEAN OIL,BOTTLE</v>
          </cell>
          <cell r="E5212">
            <v>0</v>
          </cell>
          <cell r="F5212" t="str">
            <v>Chọn</v>
          </cell>
          <cell r="G5212"/>
          <cell r="H5212"/>
        </row>
        <row r="5213">
          <cell r="A5213" t="str">
            <v>N09.0007005.01438</v>
          </cell>
          <cell r="B5213" t="str">
            <v>CARTON, PRODUCT BRAND:SIMPLY, PACKING TYPE:BOTTLE, CONTENT:4 X 5L, SIZE:320 X 320 X 355 MM, COLOR:BROWN, SUBSTANCE:KT175/CA150/KT175, FLUTE:A, PRODUCT PACKED:SOYABEAN OIL</v>
          </cell>
          <cell r="C5213" t="str">
            <v>THÙNG 2 MÀU - SIMPLY SBO 5L X 4</v>
          </cell>
          <cell r="D5213" t="str">
            <v>CARTON,SIMPLY,4 X 5L,SOYABEAN OIL,BOTTLE</v>
          </cell>
          <cell r="E5213">
            <v>0</v>
          </cell>
          <cell r="F5213" t="str">
            <v>Chọn</v>
          </cell>
          <cell r="G5213"/>
          <cell r="H5213"/>
        </row>
        <row r="5214">
          <cell r="A5214" t="str">
            <v>N09.0007005.02173</v>
          </cell>
          <cell r="B5214" t="str">
            <v>CARTON, PRODUCT BRAND:NEPTUNE LIGHT, PACKING TYPE:BOTTLE, CONTENT:12 X 1 L, SIZE:296 X 222 X 295 MM, COLOR:BROWN, SUBSTANCE:KT175 X CA150 X KT125, FLUTE:A, PRODUCT PACKED:PREMIUM COOKING OIL</v>
          </cell>
          <cell r="C5214" t="str">
            <v>THÙNG 2 MÀU - NEPTUNE LIGHT 1L X 12</v>
          </cell>
          <cell r="D5214" t="str">
            <v>CARTON,NEPTUNE LIGHT,12 X 1 L,PREMIUM CO</v>
          </cell>
          <cell r="E5214">
            <v>0</v>
          </cell>
          <cell r="F5214" t="str">
            <v>Chọn</v>
          </cell>
          <cell r="G5214"/>
          <cell r="H5214"/>
        </row>
        <row r="5215">
          <cell r="A5215" t="str">
            <v>N09.0007005.01342</v>
          </cell>
          <cell r="B5215" t="str">
            <v>CARTON, PRODUCT BRAND:NEPTUNE LIGHT, PRODUCT PACKED:COOKING OIL, CONTENT:4 X 5L, SIZE:320 X 320 X 355 MM, COLOR:BROWN, SUBSTANCE:KT175/CA150/KT175, FLUTE:A, PACKING TYPE:BOTTLE, ADDITIONAL DETAILS:2 COLORS</v>
          </cell>
          <cell r="C5215" t="str">
            <v>THÙNG 2 MÀU- NEPTUNE LIGHT 5L X 4</v>
          </cell>
          <cell r="D5215" t="str">
            <v>CARTON,NEPTUNE LIGHT,4 X 5L,COOKING OIL</v>
          </cell>
          <cell r="E5215">
            <v>0</v>
          </cell>
          <cell r="F5215" t="str">
            <v>Chọn</v>
          </cell>
          <cell r="G5215"/>
          <cell r="H5215"/>
        </row>
        <row r="5216">
          <cell r="A5216" t="str">
            <v>N09.0007005.01668</v>
          </cell>
          <cell r="B5216" t="str">
            <v>CARTON, PRODUCT BRAND:SIMPLY, PRODUCT PACKED:RICE BRAN OIL, CONTENT:6 X 2L, SIZE:358 X 236 X 278 MM, COLOR:BROWN, SUBSTANCE:KT175/CA150/KT175, FLUTE:A, PACKING TYPE:BOTTLE</v>
          </cell>
          <cell r="C5216" t="str">
            <v>THÙNG 2 MÀU - SIMPLY DẦU GẠO LỨT 2L X 6 NỘI ĐỊA</v>
          </cell>
          <cell r="D5216" t="str">
            <v>CARTON,SIMPLY,6 X 2L,RICE BRAN OIL,BOTTL</v>
          </cell>
          <cell r="E5216">
            <v>0</v>
          </cell>
          <cell r="F5216" t="str">
            <v>Chọn</v>
          </cell>
          <cell r="G5216"/>
          <cell r="H5216"/>
        </row>
        <row r="5217">
          <cell r="A5217" t="str">
            <v>7.7042296228170000</v>
          </cell>
          <cell r="B5217" t="str">
            <v>POWER100 LD PASSION FRENCH PF BOTLE@150G</v>
          </cell>
          <cell r="C5217" t="str">
            <v>NƯỚC GIẶT XẢ POWER100 HƯƠNG NƯỚC HOA PHÁP ĐAM MÊ 150G</v>
          </cell>
          <cell r="D5217" t="str">
            <v>POWER100 LD PASSION FRENCH PF BOTLE@150G</v>
          </cell>
          <cell r="E5217">
            <v>0.15</v>
          </cell>
          <cell r="F5217" t="str">
            <v>Chọn</v>
          </cell>
          <cell r="G5217"/>
          <cell r="H5217"/>
        </row>
        <row r="5218">
          <cell r="A5218" t="str">
            <v>7.704229622817000O</v>
          </cell>
          <cell r="B5218" t="str">
            <v>POWER100 LD PASSION FRENCH PF 150GX50BTL</v>
          </cell>
          <cell r="C5218" t="str">
            <v>NƯỚC GIẶT XẢ POWER100 HƯƠNG NƯỚC HOA PHÁP ĐAM MÊ 150G*50</v>
          </cell>
          <cell r="D5218" t="str">
            <v>POWER100 LD PASSION FRENCH PF 150GX50BTL</v>
          </cell>
          <cell r="E5218">
            <v>7.5</v>
          </cell>
          <cell r="F5218" t="str">
            <v>Chọn</v>
          </cell>
          <cell r="G5218"/>
          <cell r="H5218" t="str">
            <v>7.7042296228170000</v>
          </cell>
        </row>
        <row r="5219">
          <cell r="A5219" t="str">
            <v>N13.0001008.00018</v>
          </cell>
          <cell r="B5219" t="str">
            <v>TEA, TYPE:BAG, VARIANT:BLACK TEA, PACK SIZE:1.8 G X 20 BAG, ADDITIONAL DETAILS:ENGLISH BREAKFAST, BRAND:TWINKLE</v>
          </cell>
          <cell r="C5219" t="str">
            <v>TRÀ TWINKLE ENGLISH BREAKFAST 1,8Gx20</v>
          </cell>
          <cell r="D5219" t="str">
            <v>TEA,1.8 G X 20 BAG,BAG</v>
          </cell>
          <cell r="E5219">
            <v>0</v>
          </cell>
          <cell r="F5219" t="str">
            <v>Chọn</v>
          </cell>
          <cell r="G5219"/>
          <cell r="H5219"/>
        </row>
        <row r="5220">
          <cell r="A5220" t="str">
            <v>7.704236E037170000</v>
          </cell>
          <cell r="B5220" t="str">
            <v>POWER100 LD PLATONIC 8IN1 IN POUCH@2.5KG</v>
          </cell>
          <cell r="C5220" t="str">
            <v>NƯỚC GIẶT POWER100 8 TRONG 1 HƯƠNG THUẦN KHIẾT 2.5KG TÚI</v>
          </cell>
          <cell r="D5220" t="str">
            <v>POWER100 LD PLATONIC 8IN1 IN POUCH@2.5KG</v>
          </cell>
          <cell r="E5220">
            <v>2.5</v>
          </cell>
          <cell r="F5220" t="str">
            <v>Chọn</v>
          </cell>
          <cell r="G5220"/>
          <cell r="H5220"/>
        </row>
        <row r="5221">
          <cell r="A5221" t="str">
            <v>7.704236E03717000H</v>
          </cell>
          <cell r="B5221" t="str">
            <v>POWER100 LD PLATONIC 8IN1 2.5KG X 4PCH</v>
          </cell>
          <cell r="C5221" t="str">
            <v>NƯỚC GIẶT POWER100 8 TRONG 1 HƯƠNG THUẦN KHIẾT 2.5KG*4 TÚI</v>
          </cell>
          <cell r="D5221" t="str">
            <v>POWER100 LD PLATONIC 8IN1 2.5KG X 4PCH</v>
          </cell>
          <cell r="E5221">
            <v>10</v>
          </cell>
          <cell r="F5221" t="str">
            <v>Chọn</v>
          </cell>
          <cell r="G5221"/>
          <cell r="H5221" t="str">
            <v>7.704236E037170000</v>
          </cell>
        </row>
        <row r="5222">
          <cell r="A5222" t="str">
            <v>7.704237E037170000</v>
          </cell>
          <cell r="B5222" t="str">
            <v>POWER100 LD ELEGANT 8IN1 IN POUCH@2.5KG</v>
          </cell>
          <cell r="C5222" t="str">
            <v>NƯỚC GIẶT POWER100 8 TRONG 1 HƯƠNG THANH LỊCH 2.5KG TÚI</v>
          </cell>
          <cell r="D5222" t="str">
            <v>POWER100 LD ELEGANT 8IN1 IN POUCH@2.5KG</v>
          </cell>
          <cell r="E5222">
            <v>2.5</v>
          </cell>
          <cell r="F5222" t="str">
            <v>Chọn</v>
          </cell>
          <cell r="G5222"/>
          <cell r="H5222"/>
        </row>
        <row r="5223">
          <cell r="A5223" t="str">
            <v>7.704237E03717000H</v>
          </cell>
          <cell r="B5223" t="str">
            <v>POWER100 LD ELEGANT 8IN1 2.5KG X 4PCH</v>
          </cell>
          <cell r="C5223" t="str">
            <v>NƯỚC GIẶT POWER100 8 TRONG 1 HƯƠNG THANH LỊCH 2.5KG*4 TÚI</v>
          </cell>
          <cell r="D5223" t="str">
            <v>POWER100 LD ELEGANT 8IN1 2.5KG X 4PCH</v>
          </cell>
          <cell r="E5223">
            <v>10</v>
          </cell>
          <cell r="F5223" t="str">
            <v>Chọn</v>
          </cell>
          <cell r="G5223"/>
          <cell r="H5223" t="str">
            <v>7.704237E037170000</v>
          </cell>
        </row>
        <row r="5224">
          <cell r="A5224" t="str">
            <v>7.704D62R537170000</v>
          </cell>
          <cell r="B5224" t="str">
            <v>POWER100 LP 3IN1 FRESH IN PCH 15G*34PODS</v>
          </cell>
          <cell r="C5224" t="str">
            <v>VIÊN GIẶT TIỆN LỢI POWER100 3 TRONG 1 HƯƠNG TƯƠI MÁT 15G*34</v>
          </cell>
          <cell r="D5224" t="str">
            <v>POWER100 LP 3IN1 FRESH IN PCH 15G*34PODS</v>
          </cell>
          <cell r="E5224">
            <v>0.51</v>
          </cell>
          <cell r="F5224" t="str">
            <v>Chọn</v>
          </cell>
          <cell r="G5224"/>
          <cell r="H5224"/>
        </row>
        <row r="5225">
          <cell r="A5225" t="str">
            <v>7.704D62R537170001</v>
          </cell>
          <cell r="B5225" t="str">
            <v>POWER100 LP 3IN1 FRESH 34PODS@15G*10PCH</v>
          </cell>
          <cell r="C5225" t="str">
            <v>VIÊN GIẶT TIỆN LỢI POWER100 3 TRONG 1 HƯƠNG TƯƠI MÁT 15G*34*10 TÚI</v>
          </cell>
          <cell r="D5225" t="str">
            <v>POWER100 LP 3IN1 FRESH 34PODS@15G*10PCH</v>
          </cell>
          <cell r="E5225">
            <v>5.0999999999999996</v>
          </cell>
          <cell r="F5225" t="str">
            <v>Chọn</v>
          </cell>
          <cell r="G5225"/>
          <cell r="H5225" t="str">
            <v>7.704D62R537170000</v>
          </cell>
        </row>
        <row r="5226">
          <cell r="A5226" t="str">
            <v>7.704D62R637170000</v>
          </cell>
          <cell r="B5226" t="str">
            <v>POWER100 LP 3IN1 FRESH IN POUCH 15G*4POD</v>
          </cell>
          <cell r="C5226" t="str">
            <v>VIÊN GIẶT TIỆN LỢI POWER100 3 TRONG 1 HƯƠNG TƯƠI MÁT 15G*4</v>
          </cell>
          <cell r="D5226" t="str">
            <v>POWER100 LP 3IN1 FRESH IN POUCH 15G*4POD</v>
          </cell>
          <cell r="E5226">
            <v>0.06</v>
          </cell>
          <cell r="F5226" t="str">
            <v>Chọn</v>
          </cell>
          <cell r="G5226"/>
          <cell r="H5226"/>
        </row>
        <row r="5227">
          <cell r="A5227" t="str">
            <v>7.704D62R63717001J</v>
          </cell>
          <cell r="B5227" t="str">
            <v>POWER100 LP 3IN1 FRESH 4PODS@15G*170PCH</v>
          </cell>
          <cell r="C5227" t="str">
            <v>VIÊN GIẶT TIỆN LỢI POWER100 3 TRONG 1 HƯƠNG TƯƠI MÁT 15G*4*170 TÚI</v>
          </cell>
          <cell r="D5227" t="str">
            <v>POWER100 LP 3IN1 FRESH 4PODS@15G*170PCH</v>
          </cell>
          <cell r="E5227">
            <v>10.199999999999999</v>
          </cell>
          <cell r="F5227" t="str">
            <v>Chọn</v>
          </cell>
          <cell r="G5227"/>
          <cell r="H5227" t="str">
            <v>7.704D62R637170000</v>
          </cell>
        </row>
        <row r="5228">
          <cell r="A5228" t="str">
            <v>7.704D63R537170000</v>
          </cell>
          <cell r="B5228" t="str">
            <v>POWER100 LP 3IN1 DELICATE PCH 15G*34PODS</v>
          </cell>
          <cell r="C5228" t="str">
            <v>VIÊN GIẶT TIỆN LỢI POWER100 3 TRONG 1 HƯƠNG TINH TẾ 15G*34</v>
          </cell>
          <cell r="D5228" t="str">
            <v>POWER100 LP 3IN1 DELICATE PCH 15G*34PODS</v>
          </cell>
          <cell r="E5228">
            <v>0.51</v>
          </cell>
          <cell r="F5228" t="str">
            <v>Chọn</v>
          </cell>
          <cell r="G5228"/>
          <cell r="H5228"/>
        </row>
        <row r="5229">
          <cell r="A5229" t="str">
            <v>7.704D63R537170001</v>
          </cell>
          <cell r="B5229" t="str">
            <v>POWER100 LP 3IN1DELICATE 34POD@15G*10PCH</v>
          </cell>
          <cell r="C5229" t="str">
            <v>VIÊN GIẶT TIỆN LỢI POWER100 3 TRONG 1 HƯƠNG TINH TẾ 15G*34*10 TÚI</v>
          </cell>
          <cell r="D5229" t="str">
            <v>POWER100 LP 3IN1DELICATE 34POD@15G*10PCH</v>
          </cell>
          <cell r="E5229">
            <v>5.0999999999999996</v>
          </cell>
          <cell r="F5229" t="str">
            <v>Chọn</v>
          </cell>
          <cell r="G5229"/>
          <cell r="H5229" t="str">
            <v>7.704D63R537170000</v>
          </cell>
        </row>
        <row r="5230">
          <cell r="A5230" t="str">
            <v>7.704D63R637170000</v>
          </cell>
          <cell r="B5230" t="str">
            <v>POWER100 LP 3IN1 DELICATE PCH 15G*4PODS</v>
          </cell>
          <cell r="C5230" t="str">
            <v>VIÊN GIẶT TIỆN LỢI POWER100 3 TRONG 1 HƯƠNG TINH TẾ 15G*4</v>
          </cell>
          <cell r="D5230" t="str">
            <v>POWER100 LP 3IN1 DELICATE PCH 15G*4PODS</v>
          </cell>
          <cell r="E5230">
            <v>0.06</v>
          </cell>
          <cell r="F5230" t="str">
            <v>Chọn</v>
          </cell>
          <cell r="G5230"/>
          <cell r="H5230"/>
        </row>
        <row r="5231">
          <cell r="A5231" t="str">
            <v>7.704D63R63717001J</v>
          </cell>
          <cell r="B5231" t="str">
            <v>POWER100 LP 3IN1DELICATE 4POD@15G*170PCH</v>
          </cell>
          <cell r="C5231" t="str">
            <v>VIÊN GIẶT TIỆN LỢI POWER100 3 TRONG 1 HƯƠNG TINH TẾ 15G*4*170 TÚI</v>
          </cell>
          <cell r="D5231" t="str">
            <v>POWER100 LP 3IN1DELICATE 4POD@15G*170PCH</v>
          </cell>
          <cell r="E5231">
            <v>10.199999999999999</v>
          </cell>
          <cell r="F5231" t="str">
            <v>Chọn</v>
          </cell>
          <cell r="G5231"/>
          <cell r="H5231" t="str">
            <v>7.704D63R637170000</v>
          </cell>
        </row>
        <row r="5232">
          <cell r="A5232" t="str">
            <v>7.515006141417010TD</v>
          </cell>
          <cell r="B5232" t="str">
            <v>NAMDUONG MED SPICY CHILI SAUCE BTL@255G</v>
          </cell>
          <cell r="C5232" t="str">
            <v>TƯƠNG ỚT NAM DƯƠNG CAY VỪA 255G</v>
          </cell>
          <cell r="D5232" t="str">
            <v>NAMDUONG MED SPICY CHILI SAUCE BTL@255G</v>
          </cell>
          <cell r="E5232">
            <v>0.255</v>
          </cell>
          <cell r="F5232" t="str">
            <v>Chọn</v>
          </cell>
          <cell r="G5232"/>
          <cell r="H5232"/>
        </row>
        <row r="5233">
          <cell r="A5233" t="str">
            <v>7.58810402204Q1300TD</v>
          </cell>
          <cell r="B5233" t="str">
            <v>NAM DUONG OYSTER SAUCE IN BOTTLE@270G</v>
          </cell>
          <cell r="C5233" t="str">
            <v>DẦU HÀO 270G</v>
          </cell>
          <cell r="D5233" t="str">
            <v>NAM DUONG OYSTER SAUCE IN BOTTLE@270G</v>
          </cell>
          <cell r="E5233">
            <v>0.27</v>
          </cell>
          <cell r="F5233" t="str">
            <v>Chọn</v>
          </cell>
          <cell r="G5233"/>
          <cell r="H5233"/>
        </row>
        <row r="5234">
          <cell r="A5234" t="str">
            <v>N11.0003012.00063</v>
          </cell>
          <cell r="B5234" t="str">
            <v>RAIN COAT, MATERIAL:PVC, COLOR:YELLOW AND GREEN, SIZE:130 X 100 CM, ORIGIN:VIETNAM, ADDITIONAL DETAILS:MARKING: MEIZAN, JUST TOP WITH HOOD, C/W LOGO</v>
          </cell>
          <cell r="C5234" t="str">
            <v>ÁO MƯA MEIZAN XANH LÁ</v>
          </cell>
          <cell r="D5234" t="str">
            <v>RAIN COAT,PVC,YELLOW AND GREEN,130 X 100</v>
          </cell>
          <cell r="E5234">
            <v>0</v>
          </cell>
          <cell r="F5234" t="str">
            <v>Chọn</v>
          </cell>
          <cell r="G5234"/>
          <cell r="H5234"/>
        </row>
        <row r="5235">
          <cell r="A5235" t="str">
            <v>7.D3701109902L12501</v>
          </cell>
          <cell r="B5235" t="str">
            <v>CHAMBERY DARK CHOCOLATE COMPOUND BLOCK CDD-16CPEX IN BLOCK 1KG</v>
          </cell>
          <cell r="C5235" t="str">
            <v>NGUYÊN LIỆU THỰC PHẨM SÔ-CÔ-LA ĐEN CHAMBERY DẠNG KHỐI CDD-16CPEX, ĐÓNG TRONG GÓI 1KG</v>
          </cell>
          <cell r="D5235" t="str">
            <v>CHAMBERY DARK CHOCOLATE COMPOUND BLOCK CDD-16CPEX IN BLOCK 1KG</v>
          </cell>
          <cell r="E5235">
            <v>1</v>
          </cell>
          <cell r="F5235" t="str">
            <v>Chọn</v>
          </cell>
          <cell r="G5235"/>
          <cell r="H5235"/>
        </row>
        <row r="5236">
          <cell r="A5236" t="str">
            <v>7.D3701109902L1C101</v>
          </cell>
          <cell r="B5236" t="str">
            <v>CHAMBERY DARK CHOCOLATE COMPOUND CHIPS CZD-02CDEX IN PACK 1KG</v>
          </cell>
          <cell r="C5236" t="str">
            <v>NGUYÊN LIỆU THỰC PHẨM SÔ-CÔ-LA ĐEN CHAMBERY DẠNG VIÊN CZD-02CDEX, ĐÓNG TRONG TÚI 1KG</v>
          </cell>
          <cell r="D5236" t="str">
            <v>CHAMBERY DARK CHOCOLATE COMPOUND CHIPS CZD-02CDEX IN PACK 1KG</v>
          </cell>
          <cell r="E5236">
            <v>1</v>
          </cell>
          <cell r="F5236" t="str">
            <v>Chọn</v>
          </cell>
          <cell r="G5236"/>
          <cell r="H5236"/>
        </row>
        <row r="5237">
          <cell r="A5237" t="str">
            <v>N16.0388003.00151</v>
          </cell>
          <cell r="B5237" t="str">
            <v>HANGER,HANGER, SIZE:28.8 X 45 MM, MATERIAL:PLASTIC</v>
          </cell>
          <cell r="C5237" t="str">
            <v>VỈ DÂY TREO MEIZAN</v>
          </cell>
          <cell r="D5237" t="str">
            <v>HANGER,HANGER</v>
          </cell>
          <cell r="E5237">
            <v>0</v>
          </cell>
          <cell r="F5237" t="str">
            <v>Chọn</v>
          </cell>
          <cell r="G5237"/>
          <cell r="H5237"/>
        </row>
        <row r="5238">
          <cell r="A5238" t="str">
            <v>N04.0018006.00417</v>
          </cell>
          <cell r="B5238" t="str">
            <v>PROMOTIONAL STUFF, TYPE:2-TIER IRON SHELF, MATERIAL:POLYPROPYLENE, SIZE:W43.5 X H15 CM; W43.5 X H6 CM, MARKING:POWER100</v>
          </cell>
          <cell r="C5238" t="str">
            <v>HÌNH ẢNH KỆ SẮT 2 TẦNG POWER100</v>
          </cell>
          <cell r="D5238" t="str">
            <v>PROMOTIONAL STUFF,2-TIER IRON SHELF,POLY</v>
          </cell>
          <cell r="E5238">
            <v>0</v>
          </cell>
          <cell r="F5238" t="str">
            <v>Chọn</v>
          </cell>
          <cell r="G5238"/>
          <cell r="H5238"/>
        </row>
        <row r="5239">
          <cell r="A5239" t="str">
            <v>7.101041H1B501290</v>
          </cell>
          <cell r="B5239" t="str">
            <v>ROL IV 56 DOUBLE REFINED IN IBC@920KG</v>
          </cell>
          <cell r="C5239" t="str">
            <v>DẦU OLEIN CỌ TINH LUYỆN (LC) TRONG IBC TANK GIẤY</v>
          </cell>
          <cell r="D5239" t="str">
            <v>ROL IV 56 DOUBLE REFINED IN IBC@920KG</v>
          </cell>
          <cell r="E5239">
            <v>920</v>
          </cell>
          <cell r="F5239" t="str">
            <v>Chọn</v>
          </cell>
          <cell r="G5239"/>
          <cell r="H5239"/>
        </row>
        <row r="5240">
          <cell r="A5240" t="str">
            <v>7.5180072302418010</v>
          </cell>
          <cell r="B5240" t="str">
            <v>ORCHID PORK BOUILLON GRANULE POUCH@10KG</v>
          </cell>
          <cell r="C5240" t="str">
            <v>HẠT NÊM ORCHID THỊT, XƯƠNG ỐNG VÀ TỦY 10KG</v>
          </cell>
          <cell r="D5240" t="str">
            <v>ORCHID PORK BOUILLON GRANULE POUCH@10KG</v>
          </cell>
          <cell r="E5240">
            <v>10</v>
          </cell>
          <cell r="F5240" t="str">
            <v>Chọn</v>
          </cell>
          <cell r="G5240" t="str">
            <v>2000000008</v>
          </cell>
          <cell r="H5240"/>
        </row>
        <row r="5241">
          <cell r="A5241" t="str">
            <v>6.F390210990001C6</v>
          </cell>
          <cell r="B5241" t="str">
            <v>RED STANDARD GRADE MURIATE OF POTASH (MOP)/ KALI (KCL)/ WMCLV MURIATE OF POTASH 60; IN BULK; CANADA ORIGIN</v>
          </cell>
          <cell r="C5241" t="str">
            <v>WMCLV MURIATE OF POTASH 60 (PHÂN BÓN KALI CLORUA) DẠNG BỘT ĐỎ TIÊU CHUẨN, HÀNG XÁ; XUẤT XỨ: CANADA</v>
          </cell>
          <cell r="D5241" t="str">
            <v>RED STANDARD GRADE MURIATE OF POTASH (MOP)/ KALI (KCL)/ WMCLV MURIATE OF POTASH 60; IN BULK; CANADA ORIGIN</v>
          </cell>
          <cell r="E5241">
            <v>1</v>
          </cell>
          <cell r="F5241" t="str">
            <v>Chọn</v>
          </cell>
          <cell r="G5241"/>
          <cell r="H5241"/>
        </row>
        <row r="5242">
          <cell r="A5242" t="str">
            <v>6.F390210990001C7</v>
          </cell>
          <cell r="B5242" t="str">
            <v>RED GRANULAR GRADE MURIATE OF POTASH (MOP)/ KALI (KCL)/ WMCLV MURIATE OF POTASH 60; IN BULK; CANADA ORIGIN</v>
          </cell>
          <cell r="C5242" t="str">
            <v>WMCLV MURIATE OF POTASH 60 (PHÂN BÓN KALI CLORUA) DẠNG HẠT ĐỎ, HÀNG XÁ; XUẤT XỨ: CANADA</v>
          </cell>
          <cell r="D5242" t="str">
            <v>RED GRANULAR GRADE MURIATE OF POTASH (MOP)/ KALI (KCL)/ WMCLV MURIATE OF POTASH 60; IN BULK; CANADA ORIGIN</v>
          </cell>
          <cell r="E5242">
            <v>1</v>
          </cell>
          <cell r="F5242" t="str">
            <v>Chọn</v>
          </cell>
          <cell r="G5242"/>
          <cell r="H5242"/>
        </row>
        <row r="5243">
          <cell r="A5243" t="str">
            <v>6.F390210990001C8</v>
          </cell>
          <cell r="B5243" t="str">
            <v>PINK GRANULAR GRADE MURIATE OF POTASH (MOP)/ KALI (KCL)/ WMCLV MURIATE OF POTASH 60; IN BULK; CANADA ORIGIN</v>
          </cell>
          <cell r="C5243" t="str">
            <v>WMCLV MURIATE OF POTASH 60 (PHÂN BÓN KALI CLORUA) DẠNG HẠT HỒNG, HÀNG XÁ; XUẤT XỨ: CANADA</v>
          </cell>
          <cell r="D5243" t="str">
            <v>PINK GRANULAR GRADE MURIATE OF POTASH (MOP)/ KALI (KCL)/ WMCLV MURIATE OF POTASH 60; IN BULK; CANADA ORIGIN</v>
          </cell>
          <cell r="E5243">
            <v>1</v>
          </cell>
          <cell r="F5243" t="str">
            <v>Chọn</v>
          </cell>
          <cell r="G5243"/>
          <cell r="H5243"/>
        </row>
        <row r="5244">
          <cell r="A5244" t="str">
            <v>7.F3902B3990701C6</v>
          </cell>
          <cell r="B5244" t="str">
            <v>RED STANDARD GRADE MURIATE OF POTASH (MOP)/ KALI (KCL)/WMCLV MURIATE OF POTASH 60 PACKED IN 50KG PP/PE BAG ROYAL BRAND; CANADA ORIGIN</v>
          </cell>
          <cell r="C5244" t="str">
            <v>WMCLV MURIATE OF POTASH 60 (PHÂN BÓN KALI CLORUA) DẠNG BỘT ĐỎ TIÊU CHUẨN, ĐÓNG TRONG BAO PP/PE 50KG NHÃN HIỆU HOÀNG GIA; XUẤT XỨ CANADA</v>
          </cell>
          <cell r="D5244" t="str">
            <v>RED STANDARD GRADE MURIATE OF POTASH (MOP)/ KALI (KCL)/WMCLV MURIATE OF POTASH 60 PACKED IN 50KG PP/PE BAG ROYAL BRAND; CANADA ORIGIN</v>
          </cell>
          <cell r="E5244">
            <v>1</v>
          </cell>
          <cell r="F5244" t="str">
            <v>Chọn</v>
          </cell>
          <cell r="G5244"/>
          <cell r="H5244"/>
        </row>
        <row r="5245">
          <cell r="A5245" t="str">
            <v>7.F3902B3990701C7</v>
          </cell>
          <cell r="B5245" t="str">
            <v>RED GRANULAR GRADE MURIATE OF POTASH (MOP)/ KALI (KCL)/ WMCLV MURIATE OF POTASH 60 PACKED IN 50KG PP/PE BAG ROYAL BRAND; CANADA ORIGIN</v>
          </cell>
          <cell r="C5245" t="str">
            <v>WMCLV MURIATE OF POTASH 60 (PHÂN BÓN KALI CLORUA) DẠNG HẠT ĐỎ, ĐÓNG TRONG BAO PP/PE 50KG NHÃN HIỆU HOÀNG GIA; XUẤT XỨ CANADA</v>
          </cell>
          <cell r="D5245" t="str">
            <v>RED GRANULAR GRADE MURIATE OF POTASH (MOP)/ KALI (KCL)/ WMCLV MURIATE OF POTASH 60 PACKED IN 50KG PP/PE BAG ROYAL BRAND; CANADA ORIGIN</v>
          </cell>
          <cell r="E5245">
            <v>1</v>
          </cell>
          <cell r="F5245" t="str">
            <v>Chọn</v>
          </cell>
          <cell r="G5245"/>
          <cell r="H5245"/>
        </row>
        <row r="5246">
          <cell r="A5246" t="str">
            <v>7.F3902B3070701C8</v>
          </cell>
          <cell r="B5246" t="str">
            <v>PINK GRANULAR GRADE MURIATE OF POTASH (MOP)/ KALI (KCL)/ WMCLV MURIATE OF POTASH 60 PACKED IN 50KG PP/PE BAG ROYAL BRAND; CANADA ORIGIN</v>
          </cell>
          <cell r="C5246" t="str">
            <v>WMCLV MURIATE OF POTASH 60 (PHÂN BÓN KALI CLORUA) DẠNG HẠT HỒNG, ĐÓNG TRONG BAO PP/PE 50KG NHÃN HIỆU HOÀNG GIA; XUẤT XỨ CANADA</v>
          </cell>
          <cell r="D5246" t="str">
            <v>PINK GRANULAR GRADE MURIATE OF POTASH (MOP)/ KALI (KCL)/ WMCLV MURIATE OF POTASH 60 PACKED IN 50KG PP/PE BAG ROYAL BRAND; CANADA ORIGIN</v>
          </cell>
          <cell r="E5246">
            <v>1</v>
          </cell>
          <cell r="F5246" t="str">
            <v>Chọn</v>
          </cell>
          <cell r="G5246"/>
          <cell r="H5246"/>
        </row>
        <row r="5247">
          <cell r="A5247" t="str">
            <v>7.F390210990701C6</v>
          </cell>
          <cell r="B5247" t="str">
            <v>RED STANDARD GRADE MURIATE OF POTASH (MOP)/ KALI (KCL)/WMCLV MURIATE OF POTASH 60 PACKED IN 50KG PP/PE BAG, USED FOR PRODUCTION MATERIAL; CANADA ORIGIN</v>
          </cell>
          <cell r="C5247" t="str">
            <v>WMCLV MURIATE OF POTASH 60 (PHÂN BÓN KALI CLORUA) DẠNG BỘT ĐỎ TIÊU CHUẨN, ĐÓNG TRONG BAO PP/PE 50KG DÙNG LÀM NGUYÊN LIỆU SẢN XUẤT; XUẤT XỨ CANADA</v>
          </cell>
          <cell r="D5247" t="str">
            <v>RED STANDARD GRADE MURIATE OF POTASH (MOP)/ KALI (KCL)/WMCLV MURIATE OF POTASH 60 PACKED IN 50KG PP/PE BAG, USED FOR PRODUCTION MATERIAL; CANADA ORIGIN</v>
          </cell>
          <cell r="E5247">
            <v>1</v>
          </cell>
          <cell r="F5247" t="str">
            <v>Chọn</v>
          </cell>
          <cell r="G5247"/>
          <cell r="H5247"/>
        </row>
        <row r="5248">
          <cell r="A5248" t="str">
            <v>7.F390210990701C7</v>
          </cell>
          <cell r="B5248" t="str">
            <v>RED GRANULAR GRADE MURIATE OF POTASH (MOP)/ KALI (KCL)/WMCLV MURIATE OF POTASH 60 PACKED IN 50KG PP/PE BAG, USED FOR PRODUCTION MATERIAL; CANADA ORIGIN</v>
          </cell>
          <cell r="C5248" t="str">
            <v>WMCLV MURIATE OF POTASH 60 (PHÂN BÓN KALI CLORUA) DẠNG HẠT ĐỎ, ĐÓNG TRONG BAO PP/PE 50KG DÙNG LÀM NGUYÊN LIỆU SẢN XUẤT; XUẤT XỨ CANADA</v>
          </cell>
          <cell r="D5248" t="str">
            <v>RED GRANULAR GRADE MURIATE OF POTASH (MOP)/ KALI (KCL)/WMCLV MURIATE OF POTASH 60 PACKED IN 50KG PP/PE BAG, USED FOR PRODUCTION MATERIAL; CANADA ORIGIN</v>
          </cell>
          <cell r="E5248">
            <v>1</v>
          </cell>
          <cell r="F5248" t="str">
            <v>Chọn</v>
          </cell>
          <cell r="G5248"/>
          <cell r="H5248"/>
        </row>
        <row r="5249">
          <cell r="A5249" t="str">
            <v>7.F39021099250156</v>
          </cell>
          <cell r="B5249" t="str">
            <v>WHITE STANDARD MURIATE OF POTASH / WMCLV MURIATE OF POTASH 62 - SAMPLE BAG 2KG</v>
          </cell>
          <cell r="C5249" t="str">
            <v>PHÂN BÓN KALI CLORUA DẠNG BỘT TRẮNG TIÊU CHUẨN/ WMCLV MURIATE OF POTASH 62 - ĐÓNG TRONG TÚI 2KG</v>
          </cell>
          <cell r="D5249" t="str">
            <v>WHITE STANDARD MURIATE OF POTASH / WMCLV MURIATE OF POTASH 62 - SAMPLE BAG 2KG</v>
          </cell>
          <cell r="E5249">
            <v>1</v>
          </cell>
          <cell r="F5249" t="str">
            <v>Chọn</v>
          </cell>
          <cell r="G5249"/>
          <cell r="H5249"/>
        </row>
        <row r="5250">
          <cell r="A5250" t="str">
            <v>N16.0786001.00025</v>
          </cell>
          <cell r="B5250" t="str">
            <v>SHELF,SHELF, SIZE:H.24 X W.25 CM, MATERIAL:STEEL</v>
          </cell>
          <cell r="C5250" t="str">
            <v>KỆ DẦU DẤM VÀ DẦU HÀU NAM DƯƠNG TRƯNG BÀY TẠI CÁC HỆ THỐNG MINI MART</v>
          </cell>
          <cell r="D5250" t="str">
            <v>SHELF,SHELF</v>
          </cell>
          <cell r="E5250">
            <v>0</v>
          </cell>
          <cell r="F5250" t="str">
            <v>Chọn</v>
          </cell>
          <cell r="G5250"/>
          <cell r="H5250"/>
        </row>
        <row r="5251">
          <cell r="A5251" t="str">
            <v>7.92514B6994701B701</v>
          </cell>
          <cell r="B5251" t="str">
            <v>DHFOODS BBQ SAUCE FOR FIVE SPICE GRILLED MEAT 80GR</v>
          </cell>
          <cell r="C5251" t="str">
            <v>XỐT GIA VỊ HOÀN CHỈNH NƯỚNG NGŨ VỊ NHÃN HIỆU DHFOODS 80GR</v>
          </cell>
          <cell r="D5251" t="str">
            <v>DHFOODS BBQ SAUCE FOR FIVE SPICE GRILLED MEAT 80GR</v>
          </cell>
          <cell r="E5251">
            <v>0.08</v>
          </cell>
          <cell r="F5251" t="str">
            <v>Chọn</v>
          </cell>
          <cell r="G5251"/>
          <cell r="H5251"/>
        </row>
        <row r="5252">
          <cell r="A5252" t="str">
            <v>7.92514B6994701B7</v>
          </cell>
          <cell r="B5252" t="str">
            <v>DHFOODS BBQ SAUCE FOR FIVE SPICE GRILLED MEAT 80GR X 20 x 6 BOXES IN CARTON</v>
          </cell>
          <cell r="C5252" t="str">
            <v>XỐT GIA VỊ HOÀN CHỈNH NƯỚNG NGŨ VỊ NHÃN HIỆU DHFOODS 80GR X 20 X 6 HỘP ĐÓNG TRONG THÙNG CARTON</v>
          </cell>
          <cell r="D5252" t="str">
            <v>DHFOODS BBQ SAUCE FOR FIVE SPICE GRILLED MEAT 80GR X 20 x 6 BOXES IN CARTON</v>
          </cell>
          <cell r="E5252">
            <v>9.6</v>
          </cell>
          <cell r="F5252" t="str">
            <v>Chọn</v>
          </cell>
          <cell r="G5252"/>
          <cell r="H5252" t="str">
            <v>7.92514B6994701B701</v>
          </cell>
        </row>
        <row r="5253">
          <cell r="A5253" t="str">
            <v>7.92514B6994701C901</v>
          </cell>
          <cell r="B5253" t="str">
            <v>DHFOODS BBQ SAUCE FOR GRILLED MEAT 80GR</v>
          </cell>
          <cell r="C5253" t="str">
            <v>XỐT GIA VỊ HOÀN CHỈNH NƯỚNG THỊT GÓI NHÃN HIỆU DHFOODS 80GR</v>
          </cell>
          <cell r="D5253" t="str">
            <v>DHFOODS BBQ SAUCE FOR GRILLED MEAT 80GR</v>
          </cell>
          <cell r="E5253">
            <v>0.08</v>
          </cell>
          <cell r="F5253" t="str">
            <v>Chọn</v>
          </cell>
          <cell r="G5253"/>
          <cell r="H5253"/>
        </row>
        <row r="5254">
          <cell r="A5254" t="str">
            <v>7.92514B6994701C9</v>
          </cell>
          <cell r="B5254" t="str">
            <v>DHFOODS BBQ SAUCE FOR GRILLED MEAT 80GR X 20 x 6 BOXES IN CARTON</v>
          </cell>
          <cell r="C5254" t="str">
            <v>XỐT GIA VỊ HOÀN CHỈNH NƯỚNG THỊT GÓI NHÃN HIỆU DHFOODS 80GR X 20 X 6 HỘP ĐÓNG TRONG THÙNG CARTON</v>
          </cell>
          <cell r="D5254" t="str">
            <v>DHFOODS BBQ SAUCE FOR GRILLED MEAT 80GR X 20 x 6 BOXES IN CARTON</v>
          </cell>
          <cell r="E5254">
            <v>9.6</v>
          </cell>
          <cell r="F5254" t="str">
            <v>Chọn</v>
          </cell>
          <cell r="G5254"/>
          <cell r="H5254" t="str">
            <v>7.92514B6994701C901</v>
          </cell>
        </row>
        <row r="5255">
          <cell r="A5255" t="str">
            <v>7.703362010500500</v>
          </cell>
          <cell r="B5255" t="str">
            <v>WILFARIN SA1860 BEADS IN WOVENBAG@25KG</v>
          </cell>
          <cell r="C5255" t="str">
            <v>AXIT STEARIC (WILFARIN SA1860); BAO NHỰA 25KG</v>
          </cell>
          <cell r="D5255" t="str">
            <v>WILFARIN SA1860 BEADS IN WOVENBAG@25KG</v>
          </cell>
          <cell r="E5255">
            <v>25</v>
          </cell>
          <cell r="F5255" t="str">
            <v>Chọn</v>
          </cell>
          <cell r="G5255"/>
          <cell r="H5255"/>
        </row>
        <row r="5256">
          <cell r="A5256" t="str">
            <v>7.703005140400000</v>
          </cell>
          <cell r="B5256" t="str">
            <v>SA1810 IN JUMBOBAG@500KG</v>
          </cell>
          <cell r="C5256" t="str">
            <v>AXIT STEARIC SA1810; BAO NHỰA 500KG</v>
          </cell>
          <cell r="D5256" t="str">
            <v>SA1810 IN JUMBOBAG@500KG</v>
          </cell>
          <cell r="E5256">
            <v>500</v>
          </cell>
          <cell r="F5256" t="str">
            <v>Chọn</v>
          </cell>
          <cell r="G5256"/>
          <cell r="H5256"/>
        </row>
        <row r="5257">
          <cell r="A5257" t="str">
            <v>N04.0017001.00037</v>
          </cell>
          <cell r="B5257" t="str">
            <v>APRON, MATERIAL:POLYESTER, SIZE:58.5 X 74.5CM, BRAND:MEIZAN</v>
          </cell>
          <cell r="C5257" t="str">
            <v>TẠP DỀ MEIZAN XANH LÁ</v>
          </cell>
          <cell r="D5257" t="str">
            <v>APRON,MEIZAN,POLYESTER</v>
          </cell>
          <cell r="E5257">
            <v>0</v>
          </cell>
          <cell r="F5257" t="str">
            <v>Chọn</v>
          </cell>
          <cell r="G5257"/>
          <cell r="H5257"/>
        </row>
        <row r="5258">
          <cell r="A5258" t="str">
            <v>7.704712R820170000</v>
          </cell>
          <cell r="B5258" t="str">
            <v>POWER100 FS PF PEONYBLOSSSOM SACHET@20ML</v>
          </cell>
          <cell r="C5258" t="str">
            <v>NƯỚC XẢ VẢI POWER100 PERFUMERY PEONY BLOSSOM 20ML</v>
          </cell>
          <cell r="D5258" t="str">
            <v>POWER100 FS PF PEONYBLOSSSOM SACHET@20ML</v>
          </cell>
          <cell r="E5258">
            <v>0.02</v>
          </cell>
          <cell r="F5258" t="str">
            <v>Chọn</v>
          </cell>
          <cell r="G5258"/>
          <cell r="H5258"/>
        </row>
        <row r="5259">
          <cell r="A5259" t="str">
            <v>7.704712R82017001K</v>
          </cell>
          <cell r="B5259" t="str">
            <v>POWER100 FS PF PEONYBLOSSSOM 20ML*360SCH</v>
          </cell>
          <cell r="C5259" t="str">
            <v>NƯỚC XẢ VẢI POWER100 PERFUMERY PEONY BLOSSOM 20ML*360</v>
          </cell>
          <cell r="D5259" t="str">
            <v>POWER100 FS PF PEONYBLOSSSOM 20ML*360SCH</v>
          </cell>
          <cell r="E5259">
            <v>7.3440000000000003</v>
          </cell>
          <cell r="F5259" t="str">
            <v>Chọn</v>
          </cell>
          <cell r="G5259"/>
          <cell r="H5259" t="str">
            <v>7.704712R820170000</v>
          </cell>
        </row>
        <row r="5260">
          <cell r="A5260" t="str">
            <v>7.707712O637170000</v>
          </cell>
          <cell r="B5260" t="str">
            <v>POWER100 FS PF PEONYBLOSSSOM POUCH@2L</v>
          </cell>
          <cell r="C5260" t="str">
            <v>NƯỚC XẢ VẢI POWER100 PERFUMERY PEONY BLOSSOM 2L</v>
          </cell>
          <cell r="D5260" t="str">
            <v>POWER100 FS PF PEONYBLOSSSOM POUCH@2L</v>
          </cell>
          <cell r="E5260">
            <v>2.04</v>
          </cell>
          <cell r="F5260" t="str">
            <v>Chọn</v>
          </cell>
          <cell r="G5260"/>
          <cell r="H5260"/>
        </row>
        <row r="5261">
          <cell r="A5261" t="str">
            <v>7.707712O63717000C</v>
          </cell>
          <cell r="B5261" t="str">
            <v>POWER100 FS PF PEONYBLOSSSOM 2L*6PCH</v>
          </cell>
          <cell r="C5261" t="str">
            <v>NƯỚC XẢ VẢI POWER100 PERFUMERY PEONY BLOSSOM 2L*6</v>
          </cell>
          <cell r="D5261" t="str">
            <v>POWER100 FS PF PEONYBLOSSSOM 2L*6PCH</v>
          </cell>
          <cell r="E5261">
            <v>12.24</v>
          </cell>
          <cell r="F5261" t="str">
            <v>Chọn</v>
          </cell>
          <cell r="G5261"/>
          <cell r="H5261" t="str">
            <v>7.707712O637170000</v>
          </cell>
        </row>
        <row r="5262">
          <cell r="A5262" t="str">
            <v>7.707713O637170000</v>
          </cell>
          <cell r="B5262" t="str">
            <v>POWER100 FS EXTRA MILKY POUCH@2L</v>
          </cell>
          <cell r="C5262" t="str">
            <v>NƯỚC XẢ VẢI POWER100 EXTRA MILKY 2L</v>
          </cell>
          <cell r="D5262" t="str">
            <v>POWER100 FS EXTRA MILKY POUCH@2L</v>
          </cell>
          <cell r="E5262">
            <v>2.04</v>
          </cell>
          <cell r="F5262" t="str">
            <v>Chọn</v>
          </cell>
          <cell r="G5262"/>
          <cell r="H5262"/>
        </row>
        <row r="5263">
          <cell r="A5263" t="str">
            <v>7.707713O63717000C</v>
          </cell>
          <cell r="B5263" t="str">
            <v>POWER100 FS EXTRA MILKY 2L X 6PCH</v>
          </cell>
          <cell r="C5263" t="str">
            <v>NƯỚC XẢ VẢI POWER100 EXTRA MILKY 2L*6</v>
          </cell>
          <cell r="D5263" t="str">
            <v>POWER100 FS EXTRA MILKY 2L X 6PCH</v>
          </cell>
          <cell r="E5263">
            <v>12.24</v>
          </cell>
          <cell r="F5263" t="str">
            <v>Chọn</v>
          </cell>
          <cell r="G5263"/>
          <cell r="H5263" t="str">
            <v>7.707713O637170000</v>
          </cell>
        </row>
        <row r="5264">
          <cell r="A5264" t="str">
            <v>7.707713R820170000</v>
          </cell>
          <cell r="B5264" t="str">
            <v>POWER100 FS EXTRA MILKY SACHET@20ML</v>
          </cell>
          <cell r="C5264" t="str">
            <v>NƯỚC XẢ VẢI POWER100 EXTRA MILKY 20ML</v>
          </cell>
          <cell r="D5264" t="str">
            <v>POWER100 FS EXTRA MILKY SACHET@20ML</v>
          </cell>
          <cell r="E5264">
            <v>0.02</v>
          </cell>
          <cell r="F5264" t="str">
            <v>Chọn</v>
          </cell>
          <cell r="G5264"/>
          <cell r="H5264"/>
        </row>
        <row r="5265">
          <cell r="A5265" t="str">
            <v>7.707713R82017001K</v>
          </cell>
          <cell r="B5265" t="str">
            <v>POWER100 FS EXTRA MILKY 20ML*360SCH</v>
          </cell>
          <cell r="C5265" t="str">
            <v>NƯỚC XẢ VẢI POWER100 EXTRA MILKY 20ML*360</v>
          </cell>
          <cell r="D5265" t="str">
            <v>POWER100 FS EXTRA MILKY 20ML*360SCH</v>
          </cell>
          <cell r="E5265">
            <v>7.3440000000000003</v>
          </cell>
          <cell r="F5265" t="str">
            <v>Chọn</v>
          </cell>
          <cell r="G5265"/>
          <cell r="H5265" t="str">
            <v>7.707713R820170000</v>
          </cell>
        </row>
        <row r="5266">
          <cell r="A5266" t="str">
            <v>N04.0018006.00441</v>
          </cell>
          <cell r="B5266" t="str">
            <v>PROMOTIONAL STUFF, TYPE:GIFT BOX, MATERIAL:DUPLEX, SIZE:L310 X W135 X H293MM</v>
          </cell>
          <cell r="C5266" t="str">
            <v>VỎ HỘP QUÀ MEIZAN TẾT 2026</v>
          </cell>
          <cell r="D5266" t="str">
            <v>PROMOTIONAL STUFF,GIFT BOX,DUPLEX,L310 X</v>
          </cell>
          <cell r="E5266">
            <v>0</v>
          </cell>
          <cell r="F5266" t="str">
            <v>Chọn</v>
          </cell>
          <cell r="G5266"/>
          <cell r="H5266"/>
        </row>
        <row r="5267">
          <cell r="A5267" t="str">
            <v>7.131105031701P50</v>
          </cell>
          <cell r="B5267" t="str">
            <v>NEPTUNE OLIVE LIGHT(RBO+EVOOCOI+) BTL@1L</v>
          </cell>
          <cell r="C5267" t="str">
            <v>DẦU ĂN THƯỢNG HẠNG NHÃN HIỆU NEPTUNE OLIVE LIGHT 1L</v>
          </cell>
          <cell r="D5267" t="str">
            <v>NEPTUNE OLIVE LIGHT(RBO+EVOOCOI+) BTL@1L</v>
          </cell>
          <cell r="E5267">
            <v>0.91</v>
          </cell>
          <cell r="F5267" t="str">
            <v>Chọn</v>
          </cell>
          <cell r="G5267"/>
          <cell r="H5267"/>
        </row>
        <row r="5268">
          <cell r="A5268" t="str">
            <v>7.131105031705P50</v>
          </cell>
          <cell r="B5268" t="str">
            <v>NEPTUNE OLIVELIGHT(RBO+EVOOCOI+)1LX12BTL</v>
          </cell>
          <cell r="C5268" t="str">
            <v>DẦU ĂN THƯỢNG HẠNG NHÃN HIỆU NEPTUNE OLIVE LIGHT 1L</v>
          </cell>
          <cell r="D5268" t="str">
            <v>NEPTUNE OLIVELIGHT(RBO+EVOOCOI+)1LX12BTL</v>
          </cell>
          <cell r="E5268">
            <v>10.92</v>
          </cell>
          <cell r="F5268" t="str">
            <v>Chọn</v>
          </cell>
          <cell r="G5268"/>
          <cell r="H5268" t="str">
            <v>7.131105031701P50</v>
          </cell>
        </row>
        <row r="5269">
          <cell r="A5269" t="str">
            <v>7.131105041701P50</v>
          </cell>
          <cell r="B5269" t="str">
            <v>NEPTUNE OLIVE LIGHT(RBO+EVOOCOI+) BTL@2L</v>
          </cell>
          <cell r="C5269" t="str">
            <v>DẦU ĂN THƯỢNG HẠNG NHÃN HIỆU NEPTUNE OLIVE LIGHT 2L</v>
          </cell>
          <cell r="D5269" t="str">
            <v>NEPTUNE OLIVE LIGHT(RBO+EVOOCOI+) BTL@2L</v>
          </cell>
          <cell r="E5269">
            <v>1.82</v>
          </cell>
          <cell r="F5269" t="str">
            <v>Chọn</v>
          </cell>
          <cell r="G5269"/>
          <cell r="H5269"/>
        </row>
        <row r="5270">
          <cell r="A5270" t="str">
            <v>7.131105041704P50</v>
          </cell>
          <cell r="B5270" t="str">
            <v>NEPTUNE OLIVE LIGHT(RBO+EVOOCOI+)2LX6BTL</v>
          </cell>
          <cell r="C5270" t="str">
            <v>DẦU ĂN THƯỢNG HẠNG NHÃN HIỆU NEPTUNE OLIVE LIGHT 2L</v>
          </cell>
          <cell r="D5270" t="str">
            <v>NEPTUNE OLIVE LIGHT(RBO+EVOOCOI+)2LX6BTL</v>
          </cell>
          <cell r="E5270">
            <v>10.92</v>
          </cell>
          <cell r="F5270" t="str">
            <v>Chọn</v>
          </cell>
          <cell r="G5270"/>
          <cell r="H5270" t="str">
            <v>7.131105041701P50</v>
          </cell>
        </row>
        <row r="5271">
          <cell r="A5271" t="str">
            <v>V51.000.248</v>
          </cell>
          <cell r="B5271" t="str">
            <v>EMPTY PP BAG PRINTED KALI RED STANDAR 60 ROYAL BRAND, SIZE 50 KG</v>
          </cell>
          <cell r="C5271" t="str">
            <v>BAO PP IN PHÂN BÓN KALI BỘT ĐỎ TIÊU CHUẨN 60 HIỆU HOÀNG GIA, LOẠI 50 KG</v>
          </cell>
          <cell r="D5271" t="str">
            <v>EMPTY PP BAG PRINTED KALI RED STANDAR 60 ROYAL BRAND, SIZE 50 KG</v>
          </cell>
          <cell r="E5271">
            <v>0</v>
          </cell>
          <cell r="F5271" t="str">
            <v>Chọn</v>
          </cell>
          <cell r="G5271"/>
          <cell r="H5271"/>
        </row>
        <row r="5272">
          <cell r="A5272" t="str">
            <v>V51.000.249</v>
          </cell>
          <cell r="B5272" t="str">
            <v>EMPTY PP BAG PRINTED KALI RED GRANULAR 60 ROYAL BRAND, SIZE 50 KG</v>
          </cell>
          <cell r="C5272" t="str">
            <v>BAO PP IN PHÂN BÓN KALI HẠT ĐỎ 60 HIỆU HOÀNG GIA, LOẠI 50 KG</v>
          </cell>
          <cell r="D5272" t="str">
            <v>EMPTY PP BAG PRINTED KALI RED GRANULAR 60 ROYAL BRAND, SIZE 50 KG</v>
          </cell>
          <cell r="E5272">
            <v>0</v>
          </cell>
          <cell r="F5272" t="str">
            <v>Chọn</v>
          </cell>
          <cell r="G5272"/>
          <cell r="H5272"/>
        </row>
        <row r="5273">
          <cell r="A5273" t="str">
            <v>V51.000.250</v>
          </cell>
          <cell r="B5273" t="str">
            <v>WHITE EMPTY PP BAG PRINTED KALI STANDAR  MATERIAL FOR PRODUCTION, SIZE 50 KG</v>
          </cell>
          <cell r="C5273" t="str">
            <v>BAO PP TRẮNG IN PHÂN BÓN KALI BỘT ĐỎ TIÊU CHUẨN 60 NGUYÊN LIỆU CHO SẢN XUẤT, LOẠI 50 KG</v>
          </cell>
          <cell r="D5273" t="str">
            <v>WHITE EMPTY PP BAG PRINTED KALI STANDAR  MATERIAL FOR PRODUCTION, SIZE 50 KG</v>
          </cell>
          <cell r="E5273">
            <v>0</v>
          </cell>
          <cell r="F5273" t="str">
            <v>Chọn</v>
          </cell>
          <cell r="G5273"/>
          <cell r="H5273"/>
        </row>
        <row r="5274">
          <cell r="A5274" t="str">
            <v>V51.000.251</v>
          </cell>
          <cell r="B5274" t="str">
            <v>WHITE EMPTY PP BAG PRINTED KALI GRANULAR MATERIAL FOR PRODUCTION, SIZE 50 KG</v>
          </cell>
          <cell r="C5274" t="str">
            <v>BAO PP TRẮNG IN PHÂN BÓN KALI HẠT ĐỎ 60 NGUYÊN LIỆU CHO SẢN XUẤT, LOẠI 50 KG</v>
          </cell>
          <cell r="D5274" t="str">
            <v>WHITE EMPTY PP BAG PRINTED KALI GRANULAR MATERIAL FOR PRODUCTION, SIZE 50 KG</v>
          </cell>
          <cell r="E5274">
            <v>0</v>
          </cell>
          <cell r="F5274" t="str">
            <v>Chọn</v>
          </cell>
          <cell r="G5274"/>
          <cell r="H5274"/>
        </row>
        <row r="5275">
          <cell r="A5275" t="str">
            <v>V51.000.252</v>
          </cell>
          <cell r="B5275" t="str">
            <v>EMPTY BOPP BAG PRINTED KALI PINK GRANULAR 60 ROYAL BRAND, SIZE 50 KG</v>
          </cell>
          <cell r="C5275" t="str">
            <v>BAO BOPP IN PHÂN BÓN KALI HẠT HỒNG 60 HIỆU HOÀNG GIA, LOẠI 50 KG</v>
          </cell>
          <cell r="D5275" t="str">
            <v>EMPTY BOPP BAG PRINTED KALI PINK GRANULAR 60 ROYAL BRAND, SIZE 50 KG</v>
          </cell>
          <cell r="E5275">
            <v>0</v>
          </cell>
          <cell r="F5275" t="str">
            <v>Chọn</v>
          </cell>
          <cell r="G5275"/>
          <cell r="H5275"/>
        </row>
        <row r="5276">
          <cell r="A5276" t="str">
            <v>7.F390210992501C6</v>
          </cell>
          <cell r="B5276" t="str">
            <v>RED FINE STANDARD MURIATE OF POTASH / WMCLV MURIATE OF POTASH 60</v>
          </cell>
          <cell r="C5276" t="str">
            <v>PHÂN BÓN KALI CLORUA DẠNG BỘT ĐỎ/ WMCLV MURIATE OF POTASH 60 - ĐÓNG TRONG TÚI 2KG</v>
          </cell>
          <cell r="D5276" t="str">
            <v>RFSS POTASH SAMPLE</v>
          </cell>
          <cell r="E5276">
            <v>1</v>
          </cell>
          <cell r="F5276" t="str">
            <v>Chọn</v>
          </cell>
          <cell r="G5276"/>
          <cell r="H5276"/>
        </row>
        <row r="5277">
          <cell r="A5277" t="str">
            <v>7.089062121281203TD</v>
          </cell>
          <cell r="B5277" t="str">
            <v>MEIZAN INSTANT DRY YEAST - BLUE LABEL 500GR X 20 BAG IN CARTON</v>
          </cell>
          <cell r="C5277" t="str">
            <v>MEN KHÔ DÙNG LIỀN HIỆU MEIZAN – NHÃN XANH DƯƠNG (500G*20 GÓI/THÙNG)</v>
          </cell>
          <cell r="D5277" t="str">
            <v>MEIZAN INSTANT DRY YEAST - BLUE LABEL 500GR X 20 BAG IN CARTON</v>
          </cell>
          <cell r="E5277">
            <v>10</v>
          </cell>
          <cell r="F5277" t="str">
            <v>Chọn</v>
          </cell>
          <cell r="G5277"/>
          <cell r="H5277"/>
        </row>
        <row r="5278">
          <cell r="A5278" t="str">
            <v>7.707710E928170000TD</v>
          </cell>
          <cell r="B5278" t="str">
            <v>POWER100 NATURALDWL ALOEVERA EO BTL@750G</v>
          </cell>
          <cell r="C5278" t="str">
            <v>NƯỚC RỬA CHÉN POWER100 NATURAL TINH CHẤT LÔ HỘI 750G</v>
          </cell>
          <cell r="D5278" t="str">
            <v>POWER100 NATURALDWL ALOEVERA EO BTL@750G</v>
          </cell>
          <cell r="E5278">
            <v>0.75</v>
          </cell>
          <cell r="F5278" t="str">
            <v>Chọn</v>
          </cell>
          <cell r="G5278"/>
          <cell r="H5278"/>
        </row>
        <row r="5279">
          <cell r="A5279" t="str">
            <v>7.551477E4Y8000180</v>
          </cell>
          <cell r="B5279" t="str">
            <v>MEGA PREMIUM SOY SAUCE IN BOTTLE@210ML</v>
          </cell>
          <cell r="C5279" t="str">
            <v>NƯỚC TƯƠNG THƯỢNG HẠNG 210ML</v>
          </cell>
          <cell r="D5279" t="str">
            <v>MEGA PREMIUM SOY SAUCE IN BOTTLE@210ML</v>
          </cell>
          <cell r="E5279">
            <v>0.23400000000000001</v>
          </cell>
          <cell r="F5279" t="str">
            <v>Chọn</v>
          </cell>
          <cell r="G5279" t="str">
            <v>2000000008</v>
          </cell>
          <cell r="H5279"/>
        </row>
        <row r="5280">
          <cell r="A5280" t="str">
            <v>7.551477E4Y8000680</v>
          </cell>
          <cell r="B5280" t="str">
            <v>MEGA PREMIUM SOY SAUCE 210ML X 24BTL</v>
          </cell>
          <cell r="C5280" t="str">
            <v>NƯỚC TƯƠNG THƯỢNG HẠNG 210ML X 24 CHAI / THÙNG</v>
          </cell>
          <cell r="D5280" t="str">
            <v>MEGA PREMIUM SOY SAUCE 210ML X 24BTL</v>
          </cell>
          <cell r="E5280">
            <v>5.6219999999999999</v>
          </cell>
          <cell r="F5280" t="str">
            <v>Chọn</v>
          </cell>
          <cell r="G5280" t="str">
            <v>2000000008</v>
          </cell>
          <cell r="H5280"/>
        </row>
        <row r="5281">
          <cell r="A5281" t="str">
            <v>V51.000.253</v>
          </cell>
          <cell r="B5281" t="str">
            <v>CENTENNIAL AGED WHITE TEA IN BOX 80G</v>
          </cell>
          <cell r="C5281" t="str">
            <v>BẠCH TRÀ TRĂM NĂM HỘP 80G</v>
          </cell>
          <cell r="D5281" t="str">
            <v>CENTENNIAL AGED WHITE TEA IN BOX 80G</v>
          </cell>
          <cell r="E5281">
            <v>0</v>
          </cell>
          <cell r="F5281" t="str">
            <v>Chọn</v>
          </cell>
          <cell r="G5281"/>
          <cell r="H5281"/>
        </row>
        <row r="5282">
          <cell r="A5282" t="str">
            <v>N04.0018006.00415</v>
          </cell>
          <cell r="B5282" t="str">
            <v>PROMOTIONAL STUFF, TYPE:HELMET, MATERIAL:VIRGIN ABS PLASTIC, SIZE:HEAD SIZE: 56-59CM, BRAND:POWER100</v>
          </cell>
          <cell r="C5282" t="str">
            <v>NÓN BẢO HIỂM POWER100 NATURAL</v>
          </cell>
          <cell r="D5282" t="str">
            <v>PROMOTIONAL STUFF,HELMET,VIRGIN ABS PLAS</v>
          </cell>
          <cell r="E5282">
            <v>0</v>
          </cell>
          <cell r="F5282" t="str">
            <v>Chọn</v>
          </cell>
          <cell r="G5282"/>
          <cell r="H5282"/>
        </row>
        <row r="5283">
          <cell r="A5283" t="str">
            <v>N04.0013025.00033</v>
          </cell>
          <cell r="B5283" t="str">
            <v>TOWEL, TYPE:HAND, COLOR:BLUE, SIZE:30 X 50 CM, MATERIAL:MICROFIBER FABRIC, BRAND:POWER100</v>
          </cell>
          <cell r="C5283" t="str">
            <v>KHĂN LAU BẾP POWER100</v>
          </cell>
          <cell r="D5283" t="str">
            <v>TOWEL,HAND,BLUE,MICROFIBER FABRIC,POWER1</v>
          </cell>
          <cell r="E5283">
            <v>0</v>
          </cell>
          <cell r="F5283" t="str">
            <v>Chọn</v>
          </cell>
          <cell r="G5283"/>
          <cell r="H5283"/>
        </row>
        <row r="5284">
          <cell r="A5284" t="str">
            <v>7.52211402C501901</v>
          </cell>
          <cell r="B5284" t="str">
            <v>BLUE KEY PAU FLOUR PRO 10-12% PPBAG@25KG</v>
          </cell>
          <cell r="C5284" t="str">
            <v>BỘT MÌ CKX BÁNH BAO THỌ PHÁT 25KG</v>
          </cell>
          <cell r="D5284" t="str">
            <v>BLUE KEY PAU FLOUR PRO 10-12% PPBAG@25KG</v>
          </cell>
          <cell r="E5284">
            <v>25</v>
          </cell>
          <cell r="F5284" t="str">
            <v>Chọn</v>
          </cell>
          <cell r="G5284"/>
          <cell r="H5284"/>
        </row>
        <row r="5285">
          <cell r="A5285" t="str">
            <v>7.58810404104Q1300</v>
          </cell>
          <cell r="B5285" t="str">
            <v>NAM DUONG OYSTER SAUCE IN BOTTLE@2.25KG</v>
          </cell>
          <cell r="C5285" t="str">
            <v>DẦU HÀO NAM DƯƠNG 2,25KG</v>
          </cell>
          <cell r="D5285" t="str">
            <v>NAM DUONG OYSTER SAUCE IN BOTTLE@2.25KG</v>
          </cell>
          <cell r="E5285">
            <v>2.25</v>
          </cell>
          <cell r="F5285" t="str">
            <v>Chọn</v>
          </cell>
          <cell r="G5285" t="str">
            <v>2000000008</v>
          </cell>
          <cell r="H5285"/>
        </row>
        <row r="5286">
          <cell r="A5286" t="str">
            <v>7.58810404104Q1308</v>
          </cell>
          <cell r="B5286" t="str">
            <v>NAM DUONG OYSTER SAUCE 2.25KG X 6BTL</v>
          </cell>
          <cell r="C5286" t="str">
            <v>DẦU HÀO NAM DƯƠNG 2,25KG X 6 CHAI/ THÙNG</v>
          </cell>
          <cell r="D5286" t="str">
            <v>NAM DUONG OYSTER SAUCE 2.25KG X 6BTL</v>
          </cell>
          <cell r="E5286">
            <v>13.5</v>
          </cell>
          <cell r="F5286" t="str">
            <v>Chọn</v>
          </cell>
          <cell r="G5286" t="str">
            <v>2000000008</v>
          </cell>
          <cell r="H5286" t="str">
            <v>7.58810404104Q1300</v>
          </cell>
        </row>
        <row r="5287">
          <cell r="A5287" t="str">
            <v>7.58810415704Q1300</v>
          </cell>
          <cell r="B5287" t="str">
            <v>NAM DUONG OYSTER SAUCE IN BOTTLE@320G</v>
          </cell>
          <cell r="C5287" t="str">
            <v>DẦU HÀO NAM DƯƠNG 320G</v>
          </cell>
          <cell r="D5287" t="str">
            <v>NAM DUONG OYSTER SAUCE IN BOTTLE@320G</v>
          </cell>
          <cell r="E5287">
            <v>0.32</v>
          </cell>
          <cell r="F5287" t="str">
            <v>Chọn</v>
          </cell>
          <cell r="G5287" t="str">
            <v>2000000008</v>
          </cell>
          <cell r="H5287"/>
        </row>
        <row r="5288">
          <cell r="A5288" t="str">
            <v>7.58810415704Q1318</v>
          </cell>
          <cell r="B5288" t="str">
            <v>NAM DUONG OYSTER SAUCE 320G X 24BTL</v>
          </cell>
          <cell r="C5288" t="str">
            <v>DẦU HÀO NAM DƯƠNG 320G X 24 CHAI/ THÙNG</v>
          </cell>
          <cell r="D5288" t="str">
            <v>NAM DUONG OYSTER SAUCE 320G X 24BTL</v>
          </cell>
          <cell r="E5288">
            <v>7.68</v>
          </cell>
          <cell r="F5288" t="str">
            <v>Chọn</v>
          </cell>
          <cell r="G5288" t="str">
            <v>2000000008</v>
          </cell>
          <cell r="H5288" t="str">
            <v>7.58810415704Q1300</v>
          </cell>
        </row>
        <row r="5289">
          <cell r="A5289" t="str">
            <v>7.58810415804Q1300</v>
          </cell>
          <cell r="B5289" t="str">
            <v>NAM DUONG OYSTER SAUCE IN BOTTLE@810G</v>
          </cell>
          <cell r="C5289" t="str">
            <v>DẦU HÀO NAM DƯƠNG 810G</v>
          </cell>
          <cell r="D5289" t="str">
            <v>NAM DUONG OYSTER SAUCE IN BOTTLE@810G</v>
          </cell>
          <cell r="E5289">
            <v>0.81</v>
          </cell>
          <cell r="F5289" t="str">
            <v>Chọn</v>
          </cell>
          <cell r="G5289" t="str">
            <v>2000000008</v>
          </cell>
          <cell r="H5289"/>
        </row>
        <row r="5290">
          <cell r="A5290" t="str">
            <v>7.58810415804Q1302</v>
          </cell>
          <cell r="B5290" t="str">
            <v>NAM DUONG OYSTER SAUCE 810G X 12BTL</v>
          </cell>
          <cell r="C5290" t="str">
            <v>DẦU HÀO NAM DƯƠNG 810G X 12 CHAI/ THÙNG</v>
          </cell>
          <cell r="D5290" t="str">
            <v>NAM DUONG OYSTER SAUCE 810G X 12BTL</v>
          </cell>
          <cell r="E5290">
            <v>9.7200000000000006</v>
          </cell>
          <cell r="F5290" t="str">
            <v>Chọn</v>
          </cell>
          <cell r="G5290" t="str">
            <v>2000000008</v>
          </cell>
          <cell r="H5290" t="str">
            <v>7.58810415804Q1300</v>
          </cell>
        </row>
        <row r="5291">
          <cell r="A5291" t="str">
            <v>N04.0018006.00436</v>
          </cell>
          <cell r="B5291" t="str">
            <v>PROMOTIONAL STUFF, TYPE:GIFT BOX, MATERIAL:C150 PAPER, SIZE:L. 29 X W.22.4 X D. 9 CM, MARKING:POWER100, ADDITIONAL DETAILS:INCLUDE 4 GIFTS, NOTEBOOK, CARD, THERMAL CUP, PEN</v>
          </cell>
          <cell r="C5291" t="str">
            <v>HỘP QUÀ TẶNG POWER100 NĂM 2025</v>
          </cell>
          <cell r="D5291" t="str">
            <v>PROMOTIONAL STUFF,GIFT BOX,C150 PAPER,L.</v>
          </cell>
          <cell r="E5291">
            <v>0</v>
          </cell>
          <cell r="F5291" t="str">
            <v>Chọn</v>
          </cell>
          <cell r="G5291"/>
          <cell r="H5291"/>
        </row>
        <row r="5292">
          <cell r="A5292" t="str">
            <v>7.722036361503600</v>
          </cell>
          <cell r="B5292" t="str">
            <v>WILFARESTER MCT 6040 IN DRUM@190KG</v>
          </cell>
          <cell r="C5292" t="str">
            <v>MEDIUM CHAIN TRIGLYCERIDES (WILFARESTER MCT 6040) - Hỗn hợp este của glycerol với axit caprylic và capric</v>
          </cell>
          <cell r="D5292" t="str">
            <v>WILFARESTER MCT 6040 IN DRUM@190KG</v>
          </cell>
          <cell r="E5292">
            <v>190</v>
          </cell>
          <cell r="F5292" t="str">
            <v>Chọn</v>
          </cell>
          <cell r="G5292"/>
          <cell r="H5292"/>
        </row>
        <row r="5293">
          <cell r="A5293" t="str">
            <v>7.92514B69932019901</v>
          </cell>
          <cell r="B5293" t="str">
            <v>DHFOODS BBQ SAUCE 200G</v>
          </cell>
          <cell r="C5293" t="str">
            <v>XỐT BBQ NHÃN HIỆU DHFOODS 200G</v>
          </cell>
          <cell r="D5293" t="str">
            <v>DHFOODS BBQ SAUCE 200G</v>
          </cell>
          <cell r="E5293">
            <v>0.2</v>
          </cell>
          <cell r="F5293" t="str">
            <v>Chọn</v>
          </cell>
          <cell r="G5293"/>
          <cell r="H5293"/>
        </row>
        <row r="5294">
          <cell r="A5294" t="str">
            <v>7.92514B699320199</v>
          </cell>
          <cell r="B5294" t="str">
            <v>DHFOODS BBQ SAUCE 200G x 24 PCS IN CARTON</v>
          </cell>
          <cell r="C5294" t="str">
            <v>XỐT BBQ NHÃN HIỆU DHFOODS 200G X 24 CHAI ĐÓNG TRONG THÙNG CARTON</v>
          </cell>
          <cell r="D5294" t="str">
            <v>DHFOODS BBQ SAUCE 200G x 24 PCS IN CARTON</v>
          </cell>
          <cell r="E5294">
            <v>4.8</v>
          </cell>
          <cell r="F5294" t="str">
            <v>Chọn</v>
          </cell>
          <cell r="G5294"/>
          <cell r="H5294" t="str">
            <v>7.92514B69932019901</v>
          </cell>
        </row>
        <row r="5295">
          <cell r="A5295" t="str">
            <v>7.92521B69932010801</v>
          </cell>
          <cell r="B5295" t="str">
            <v>DHFOODS SWEET &amp; SOUR TAMARIND SAUCE 200G</v>
          </cell>
          <cell r="C5295" t="str">
            <v>XỐT ME CHUA NGỌT NHÃN HIỆU DHFOODS 200G</v>
          </cell>
          <cell r="D5295" t="str">
            <v>DHFOODS SWEET &amp; SOUR TAMARIND SAUCE 200G</v>
          </cell>
          <cell r="E5295">
            <v>0.2</v>
          </cell>
          <cell r="F5295" t="str">
            <v>Chọn</v>
          </cell>
          <cell r="G5295"/>
          <cell r="H5295"/>
        </row>
        <row r="5296">
          <cell r="A5296" t="str">
            <v>7.92521B699320108</v>
          </cell>
          <cell r="B5296" t="str">
            <v>DHFOODS SWEET &amp; SOUR TAMARIND SAUCE 200G X 24 PCS IN CARTON</v>
          </cell>
          <cell r="C5296" t="str">
            <v>XỐT ME CHUA NGỌT NHÃN HIỆU DHFOODS 200G X 24 CHAI ĐÓNG TRONG THÙNG CARTON</v>
          </cell>
          <cell r="D5296" t="str">
            <v>DHFOODS SWEET &amp; SOUR TAMARIND SAUCE 200G X 24 PCS IN CARTON</v>
          </cell>
          <cell r="E5296">
            <v>4.8</v>
          </cell>
          <cell r="F5296" t="str">
            <v>Chọn</v>
          </cell>
          <cell r="G5296"/>
          <cell r="H5296" t="str">
            <v>7.92521B69932010801</v>
          </cell>
        </row>
        <row r="5297">
          <cell r="A5297" t="str">
            <v>N04.0018001.00101</v>
          </cell>
          <cell r="B5297" t="str">
            <v>BAG, TYPE:TOTE/GOODIE, MATERIAL:CANVAS, SIZE:40 X 30 X 10 CM</v>
          </cell>
          <cell r="C5297" t="str">
            <v>TÚI CANVAS HÀNH TRÌNH VĂN HÓA</v>
          </cell>
          <cell r="D5297" t="str">
            <v>BAG,40 X 30 X 10 CM,TOTE/GOODIE,CANVAS</v>
          </cell>
          <cell r="E5297">
            <v>0</v>
          </cell>
          <cell r="F5297" t="str">
            <v>Bỏ chọn</v>
          </cell>
          <cell r="G5297"/>
          <cell r="H5297"/>
        </row>
        <row r="5298">
          <cell r="A5298" t="str">
            <v>V51.000.254</v>
          </cell>
          <cell r="B5298" t="str">
            <v>PRODUCT KEYCHAIN</v>
          </cell>
          <cell r="C5298" t="str">
            <v>MÓC KHÓA SẢN PHẨM</v>
          </cell>
          <cell r="D5298" t="str">
            <v>PRODUCT KEYCHAIN</v>
          </cell>
          <cell r="E5298">
            <v>0</v>
          </cell>
          <cell r="F5298" t="str">
            <v>Chọn</v>
          </cell>
          <cell r="G5298"/>
          <cell r="H5298"/>
        </row>
        <row r="5299">
          <cell r="A5299" t="str">
            <v>V51.000.255</v>
          </cell>
          <cell r="B5299" t="str">
            <v>WILMAR CLV KEYCHAIN</v>
          </cell>
          <cell r="C5299" t="str">
            <v>MÓC KHÓA WILMAR CLV</v>
          </cell>
          <cell r="D5299" t="str">
            <v>WILMAR CLV KEYCHAIN</v>
          </cell>
          <cell r="E5299">
            <v>0</v>
          </cell>
          <cell r="F5299" t="str">
            <v>Chọn</v>
          </cell>
          <cell r="G5299"/>
          <cell r="H5299"/>
        </row>
        <row r="5300">
          <cell r="A5300" t="str">
            <v>V51.000.256</v>
          </cell>
          <cell r="B5300" t="str">
            <v>CULTURE ROADSHOW CANVAS BAG</v>
          </cell>
          <cell r="C5300" t="str">
            <v>TÚI VẢI HÀNH TRÌNH VĂN HÓA</v>
          </cell>
          <cell r="D5300" t="str">
            <v>CULTURE ROADSHOW CANVAS BAG</v>
          </cell>
          <cell r="E5300">
            <v>0</v>
          </cell>
          <cell r="F5300" t="str">
            <v>Chọn</v>
          </cell>
          <cell r="G5300"/>
          <cell r="H5300"/>
        </row>
        <row r="5301">
          <cell r="A5301" t="str">
            <v>N09.0007005.01485</v>
          </cell>
          <cell r="B5301" t="str">
            <v>CARTON, PRODUCT BRAND:SATELLITE, PRODUCT PACKED:CKO, CONTENT:1 X 18KG, SIZE:405 X 320 X 160 MM, COLOR:BROWN, SUBSTANCE:KT175/CA150/KT125/CA150/KT175, FLUTE:BC, PACKING TYPE:BIB, ADDITIONAL DETAILS:PRO.CHEF</v>
          </cell>
          <cell r="C5301" t="str">
            <v>THÙNG 2 MÀU - SATELLITE CKO 18KG - ĐẦU BẾP CHUYÊN NGHIỆP</v>
          </cell>
          <cell r="D5301" t="str">
            <v>CARTON,SATELLITE,1 X 18KG,CKO,PRO.CHEF,B</v>
          </cell>
          <cell r="E5301">
            <v>0</v>
          </cell>
          <cell r="F5301" t="str">
            <v>Chọn</v>
          </cell>
          <cell r="G5301"/>
          <cell r="H5301"/>
        </row>
        <row r="5302">
          <cell r="A5302" t="str">
            <v>N04.0018006.00450</v>
          </cell>
          <cell r="B5302" t="str">
            <v>PROMOTIONAL STUFF, TYPE:GIFT PACK, MATERIAL:DUPLEX, SIZE:L. 310 X W. 135 X H. 293 MM, ADDITIONAL DETAILS:COLOR: RED</v>
          </cell>
          <cell r="C5302" t="str">
            <v>VỎ HỘP QUÀ MEIZAN TẾT 2026 CRV</v>
          </cell>
          <cell r="D5302" t="str">
            <v>PROMOTIONAL STUFF,GIFT PACK,DUPLEX,L. 31</v>
          </cell>
          <cell r="E5302">
            <v>0</v>
          </cell>
          <cell r="F5302" t="str">
            <v>Chọn</v>
          </cell>
          <cell r="G5302"/>
          <cell r="H5302"/>
        </row>
        <row r="5303">
          <cell r="A5303" t="str">
            <v>N04.0022039.00123</v>
          </cell>
          <cell r="B5303" t="str">
            <v>TEXT BOOK, SIZE:A4 (21 X 29.7 CM), TITLE:CAKE RECIPE NOTEBOOK, FORMAT:36 PAGES INCLUDING COVER., ADDITIONAL DETAILS:COVER: 2 PAGES, C300G PAPER, PRINTED 2 SIDES, LAMINATED 2 S, INSIDE: 32 PAGES, C120 PAPER, PRINTED 2 SIDES, NOT LAMINATED, SPIRAL BIND</v>
          </cell>
          <cell r="C5303" t="str">
            <v>IN SỔ TAY CÔNG THỨC BÁNH</v>
          </cell>
          <cell r="D5303" t="str">
            <v>TEXT BOOK,CAKE RECIPE NOTEBOOK,36 PAGES</v>
          </cell>
          <cell r="E5303">
            <v>0</v>
          </cell>
          <cell r="F5303" t="str">
            <v>Chọn</v>
          </cell>
          <cell r="G5303"/>
          <cell r="H5303"/>
        </row>
        <row r="5304">
          <cell r="A5304" t="str">
            <v>7.13401C19981A099</v>
          </cell>
          <cell r="B5304" t="str">
            <v>MOTHERSCHOICE MARGSPREAD MARGARINE IN PACK 2.5KG</v>
          </cell>
          <cell r="C5304" t="str">
            <v>BƠ THỰC VẬT MOTHERS CHOICE MARGSPREAD ĐÓNG TRONG TÚI 2.5KG</v>
          </cell>
          <cell r="D5304" t="str">
            <v>MOTHERSCHOICE MARGSPREAD MARGARINE IN PACK 2.5KG</v>
          </cell>
          <cell r="E5304">
            <v>2.5</v>
          </cell>
          <cell r="F5304" t="str">
            <v>Chọn</v>
          </cell>
          <cell r="G5304"/>
          <cell r="H5304"/>
        </row>
        <row r="5305">
          <cell r="A5305" t="str">
            <v>7.13401C199F5A099</v>
          </cell>
          <cell r="B5305" t="str">
            <v>MOTHERSCHOICE MARGSPREAD MARGARINE IN PACK 480G</v>
          </cell>
          <cell r="C5305" t="str">
            <v>BƠ THỰC VẬT MOTHERS CHOICE MARGSPREAD ĐÓNG TRONG TÚI 480G</v>
          </cell>
          <cell r="D5305" t="str">
            <v>MOTHERSCHOICE MARGSPREAD MARGARINE IN PACK 480G</v>
          </cell>
          <cell r="E5305">
            <v>0.48</v>
          </cell>
          <cell r="F5305" t="str">
            <v>Chọn</v>
          </cell>
          <cell r="G5305"/>
          <cell r="H5305"/>
        </row>
        <row r="5306">
          <cell r="A5306" t="str">
            <v>7.73030701010301</v>
          </cell>
          <cell r="B5306" t="str">
            <v>FAL1698 BEADS IN PAPERBAG@25KG</v>
          </cell>
          <cell r="C5306" t="str">
            <v>RƯỢU BÉO 1698 ; BAO 25KG</v>
          </cell>
          <cell r="D5306" t="str">
            <v>FAL1698 BEADS IN PAPERBAG@25KG</v>
          </cell>
          <cell r="E5306">
            <v>25</v>
          </cell>
          <cell r="F5306" t="str">
            <v>Chọn</v>
          </cell>
          <cell r="G5306"/>
          <cell r="H5306"/>
        </row>
        <row r="5307">
          <cell r="A5307" t="str">
            <v>7.7076646528170000TD</v>
          </cell>
          <cell r="B5307" t="str">
            <v>POWER100 FC LG ESSENTIALOIL BTL@3.5KG</v>
          </cell>
          <cell r="C5307" t="str">
            <v>NƯỚC LAU SÀN POWER100 TINH DẦU CHANH SẢ 3.5KG</v>
          </cell>
          <cell r="D5307" t="str">
            <v>POWER100 FC LG ESSENTIALOIL BTL@3.5KG</v>
          </cell>
          <cell r="E5307">
            <v>3.5</v>
          </cell>
          <cell r="F5307" t="str">
            <v>Chọn</v>
          </cell>
          <cell r="G5307"/>
          <cell r="H5307"/>
        </row>
        <row r="5308">
          <cell r="A5308" t="str">
            <v>7.704233Q137170000TD</v>
          </cell>
          <cell r="B5308" t="str">
            <v>POWER100 PD CHARMING FRENCH PF PCH@2.6KG</v>
          </cell>
          <cell r="C5308" t="str">
            <v>BỘT GIẶT POWER100 HƯƠNG NƯỚC HOA PHÁP QUYẾN RŨ 2.6KG</v>
          </cell>
          <cell r="D5308" t="str">
            <v>POWER100 PD CHARMING FRENCH PF PCH@2.6KG</v>
          </cell>
          <cell r="E5308">
            <v>2.6</v>
          </cell>
          <cell r="F5308" t="str">
            <v>Chọn</v>
          </cell>
          <cell r="G5308"/>
          <cell r="H5308"/>
        </row>
        <row r="5309">
          <cell r="A5309" t="str">
            <v>7.707662E928170000TD</v>
          </cell>
          <cell r="B5309" t="str">
            <v>POWER100 DWL LEMON ESSENTIAL OIL BTL750G</v>
          </cell>
          <cell r="C5309" t="str">
            <v>NƯỚC RỬA CHÉN POWER100 TINH DẦU CHANH 750G</v>
          </cell>
          <cell r="D5309" t="str">
            <v>POWER100 DWL LEMON ESSENTIAL OIL BTL750G</v>
          </cell>
          <cell r="E5309">
            <v>0.75</v>
          </cell>
          <cell r="F5309" t="str">
            <v>Chọn</v>
          </cell>
          <cell r="G5309"/>
          <cell r="H5309"/>
        </row>
        <row r="5310">
          <cell r="A5310" t="str">
            <v>7.704229P428170000TD</v>
          </cell>
          <cell r="B5310" t="str">
            <v>POWER100 LD PASSION FRENCH BOTLE@3.4KG</v>
          </cell>
          <cell r="C5310" t="str">
            <v>NƯỚC GIẶT XẢ POWER100 HƯƠNG NƯỚC HOA PHÁP ĐAM MÊ 3.4KG</v>
          </cell>
          <cell r="D5310" t="str">
            <v>POWER100 LD PASSION FRENCH BOTLE@3.4KG</v>
          </cell>
          <cell r="E5310">
            <v>3.4</v>
          </cell>
          <cell r="F5310" t="str">
            <v>Chọn</v>
          </cell>
          <cell r="G5310"/>
          <cell r="H5310"/>
        </row>
        <row r="5311">
          <cell r="A5311" t="str">
            <v>N13.0001008.00001</v>
          </cell>
          <cell r="B5311" t="str">
            <v>TEA, TYPE:BAG, VARIANT:JASMINE, PACK SIZE:1.5 G X 20, BRAND:TWINKLE</v>
          </cell>
          <cell r="C5311" t="str">
            <v>TRÀ XANH TWINKLE HOA NHÀI 1,5GX20</v>
          </cell>
          <cell r="D5311" t="str">
            <v>TEA,1.5 G X 20,BAG</v>
          </cell>
          <cell r="E5311">
            <v>0</v>
          </cell>
          <cell r="F5311" t="str">
            <v>Chọn</v>
          </cell>
          <cell r="G5311"/>
          <cell r="H5311"/>
        </row>
        <row r="5312">
          <cell r="A5312" t="str">
            <v>7.551460E66C000180TD</v>
          </cell>
          <cell r="B5312" t="str">
            <v>NAMDUONG FERMENTED SOYSAUCE BOTTLE@500ML</v>
          </cell>
          <cell r="C5312" t="str">
            <v>NƯỚC TƯƠNG NAM DƯƠNG ĐẬU NÀNH LÊN MEN TỰ NHIÊN 500ML</v>
          </cell>
          <cell r="D5312" t="str">
            <v>NAMDUONG FERMENTED SOYSAUCE BOTTLE@500ML</v>
          </cell>
          <cell r="E5312">
            <v>0.57389999999999997</v>
          </cell>
          <cell r="F5312" t="str">
            <v>Chọn</v>
          </cell>
          <cell r="G5312"/>
          <cell r="H5312"/>
        </row>
        <row r="5313">
          <cell r="A5313" t="str">
            <v>7.5180031502408010TD</v>
          </cell>
          <cell r="B5313" t="str">
            <v>MEIZAN PORK BOUILLON GRANULE PEBAG@1KG</v>
          </cell>
          <cell r="C5313" t="str">
            <v>HẠT NÊM MEIZAN THỊT, XƯƠNG ỐNG, TỦY, CÀ RỐT – VỊ HEO 1KG</v>
          </cell>
          <cell r="D5313" t="str">
            <v>MEIZAN PORK BOUILLON GRANULE PEBAG@1KG</v>
          </cell>
          <cell r="E5313">
            <v>1</v>
          </cell>
          <cell r="F5313" t="str">
            <v>Chọn</v>
          </cell>
          <cell r="G5313"/>
          <cell r="H5313"/>
        </row>
        <row r="5314">
          <cell r="A5314" t="str">
            <v>7.522B850640701000TD</v>
          </cell>
          <cell r="B5314" t="str">
            <v>MEIZAN PREMIUM EGG NOODLE PLASTICBG@500G</v>
          </cell>
          <cell r="C5314" t="str">
            <v>MÌ TRỨNG CAO CẤP MEIZAN 500G</v>
          </cell>
          <cell r="D5314" t="str">
            <v>MEIZAN PREMIUM EGG NOODLE PLASTICBG@500G</v>
          </cell>
          <cell r="E5314">
            <v>0.5</v>
          </cell>
          <cell r="F5314" t="str">
            <v>Chọn</v>
          </cell>
          <cell r="G5314"/>
          <cell r="H5314"/>
        </row>
        <row r="5315">
          <cell r="A5315" t="str">
            <v>7.59701368D30002</v>
          </cell>
          <cell r="B5315" t="str">
            <v>MEIZAN PRAWN CRACKER IN PLASTICBAG@100G</v>
          </cell>
          <cell r="C5315" t="str">
            <v>BÁNH PHỒNG TÔM MEIZAN 100G</v>
          </cell>
          <cell r="D5315" t="str">
            <v>MEIZAN PRAWN CRACKER IN PLASTICBAG@100G</v>
          </cell>
          <cell r="E5315">
            <v>0.1</v>
          </cell>
          <cell r="F5315" t="str">
            <v>Chọn</v>
          </cell>
          <cell r="G5315" t="str">
            <v>2000000007</v>
          </cell>
          <cell r="H5315"/>
        </row>
        <row r="5316">
          <cell r="A5316" t="str">
            <v>7.585D130180080100</v>
          </cell>
          <cell r="B5316" t="str">
            <v>MEIZAN RICE PAPER ROLL PLASTICBAG@450G</v>
          </cell>
          <cell r="C5316" t="str">
            <v>BÁNH TRÁNG MEIZAN 450G</v>
          </cell>
          <cell r="D5316" t="str">
            <v>MEIZAN RICE PAPER ROLL PLASTICBAG@450G</v>
          </cell>
          <cell r="E5316">
            <v>0.45</v>
          </cell>
          <cell r="F5316" t="str">
            <v>Chọn</v>
          </cell>
          <cell r="G5316" t="str">
            <v>2000000007</v>
          </cell>
          <cell r="H5316"/>
        </row>
        <row r="5317">
          <cell r="A5317" t="str">
            <v>6.7031000</v>
          </cell>
          <cell r="B5317" t="str">
            <v>STEARIC ACIDS</v>
          </cell>
          <cell r="C5317" t="str">
            <v>AXIT STEARIC; BAO 1KG</v>
          </cell>
          <cell r="D5317" t="str">
            <v>STEARIC ACIDS</v>
          </cell>
          <cell r="E5317">
            <v>0</v>
          </cell>
          <cell r="F5317" t="str">
            <v>Chọn</v>
          </cell>
          <cell r="G5317"/>
          <cell r="H5317"/>
        </row>
        <row r="5318">
          <cell r="A5318" t="str">
            <v>7.701022619200500</v>
          </cell>
          <cell r="B5318" t="str">
            <v>WILFARIN LA1299 BEADS IN PLASTIC BAG@1KG</v>
          </cell>
          <cell r="C5318" t="str">
            <v>LAURIC ACID 99% LA1299 (WILFARIN LA-1299); BAO 1KG</v>
          </cell>
          <cell r="D5318" t="str">
            <v>WILFARIN LA1299 BEADS IN PLASTIC BAG@1KG</v>
          </cell>
          <cell r="E5318">
            <v>1</v>
          </cell>
          <cell r="F5318" t="str">
            <v>Chọn</v>
          </cell>
          <cell r="G5318"/>
          <cell r="H5318"/>
        </row>
        <row r="5319">
          <cell r="A5319" t="str">
            <v>7.701036619200500</v>
          </cell>
          <cell r="B5319" t="str">
            <v>WILFARIN MA1499 IN PLASTIC BAG@1KG</v>
          </cell>
          <cell r="C5319" t="str">
            <v>MYRISTIC ACID 99% MA 1499 (WILFARIN MA-1499); BAO 1KG</v>
          </cell>
          <cell r="D5319" t="str">
            <v>WILFARIN MA1499 IN PLASTIC BAG@1KG</v>
          </cell>
          <cell r="E5319">
            <v>1</v>
          </cell>
          <cell r="F5319" t="str">
            <v>Chọn</v>
          </cell>
          <cell r="G5319"/>
          <cell r="H5319"/>
        </row>
        <row r="5320">
          <cell r="A5320" t="str">
            <v>7.70104B619200000</v>
          </cell>
          <cell r="B5320" t="str">
            <v>PALMITIC ACID PA1698 IN PLASTICBAG@1KG</v>
          </cell>
          <cell r="C5320" t="str">
            <v>PALMITIC ACID PA 1698 (AXIT PALMITIC); BAO 1KG</v>
          </cell>
          <cell r="D5320" t="str">
            <v>PALMITIC ACID PA1698 IN PLASTICBAG@1KG</v>
          </cell>
          <cell r="E5320">
            <v>1</v>
          </cell>
          <cell r="F5320" t="str">
            <v>Chọn</v>
          </cell>
          <cell r="G5320"/>
          <cell r="H5320"/>
        </row>
        <row r="5321">
          <cell r="A5321" t="str">
            <v>7.704D666192000000</v>
          </cell>
          <cell r="B5321" t="str">
            <v>TRANSPARENT SOAP FLAKES PLASTICBAG@1KG</v>
          </cell>
          <cell r="C5321" t="str">
            <v>TRANSPARENT SOAP FLAKES (MÃ SẢN PHẨM: ADWIL SN TB 40); BAO 1KG</v>
          </cell>
          <cell r="D5321" t="str">
            <v>TRANSPARENT SOAP FLAKES PLASTICBAG@1KG</v>
          </cell>
          <cell r="E5321">
            <v>1</v>
          </cell>
          <cell r="F5321" t="str">
            <v>Chọn</v>
          </cell>
          <cell r="G5321"/>
          <cell r="H5321"/>
        </row>
        <row r="5322">
          <cell r="A5322" t="str">
            <v>7.720001896800000</v>
          </cell>
          <cell r="B5322" t="str">
            <v>METHYL ESTER C1214ME PLASTICBAG@1KG</v>
          </cell>
          <cell r="C5322" t="str">
            <v>METHYL ESTER 1214 (METHYL ESTER C12-C14); BAO 1KG</v>
          </cell>
          <cell r="D5322" t="str">
            <v>METHYL ESTER C1214ME PLASTICBAG@1KG</v>
          </cell>
          <cell r="E5322">
            <v>1</v>
          </cell>
          <cell r="F5322" t="str">
            <v>Chọn</v>
          </cell>
          <cell r="G5322"/>
          <cell r="H5322"/>
        </row>
        <row r="5323">
          <cell r="A5323" t="str">
            <v>7.721020896800000</v>
          </cell>
          <cell r="B5323" t="str">
            <v>METHYL ESTER 1898ME PLASTICBAG@1KG</v>
          </cell>
          <cell r="C5323" t="str">
            <v>METHYL ESTER 1898 (METHYL ESTER OLEATE); BAO 1KG</v>
          </cell>
          <cell r="D5323" t="str">
            <v>METHYL ESTER 1898ME PLASTICBAG@1KG</v>
          </cell>
          <cell r="E5323">
            <v>1</v>
          </cell>
          <cell r="F5323" t="str">
            <v>Chọn</v>
          </cell>
          <cell r="G5323"/>
          <cell r="H5323"/>
        </row>
        <row r="5324">
          <cell r="A5324" t="str">
            <v>7.723023896800000</v>
          </cell>
          <cell r="B5324" t="str">
            <v>MES FLAKE IN PLASTIC BAG@1KG</v>
          </cell>
          <cell r="C5324" t="str">
            <v>CHẤT HOẠT ĐỘNG BỀ MẶT METHYL ESTER SULFONATE; BAO 1KG</v>
          </cell>
          <cell r="D5324" t="str">
            <v>MES FLAKE IN PLASTIC BAG@1KG</v>
          </cell>
          <cell r="E5324">
            <v>1</v>
          </cell>
          <cell r="F5324" t="str">
            <v>Chọn</v>
          </cell>
          <cell r="G5324"/>
          <cell r="H5324"/>
        </row>
        <row r="5325">
          <cell r="A5325" t="str">
            <v>7.73021989640101</v>
          </cell>
          <cell r="B5325" t="str">
            <v>FAL1618_3070 BEADS IN PLASTIC BAG@1KG</v>
          </cell>
          <cell r="C5325" t="str">
            <v>CỒN BÉO CETYL ALCOHOL 1618 (30:70); BAO 1KG</v>
          </cell>
          <cell r="D5325" t="str">
            <v>FAL1618_3070 BEADS IN PLASTIC BAG@1KG</v>
          </cell>
          <cell r="E5325">
            <v>1</v>
          </cell>
          <cell r="F5325" t="str">
            <v>Chọn</v>
          </cell>
          <cell r="G5325"/>
          <cell r="H5325"/>
        </row>
        <row r="5326">
          <cell r="A5326" t="str">
            <v>7.73030189640301</v>
          </cell>
          <cell r="B5326" t="str">
            <v>FAL1698 IN PLASTIC BAG@1KG</v>
          </cell>
          <cell r="C5326" t="str">
            <v>CỒN BÉO CETYL ALCOHOL 1698; BAO 1KG</v>
          </cell>
          <cell r="D5326" t="str">
            <v>FAL1698 IN PLASTIC BAG@1KG</v>
          </cell>
          <cell r="E5326">
            <v>1</v>
          </cell>
          <cell r="F5326" t="str">
            <v>Chọn</v>
          </cell>
          <cell r="G5326"/>
          <cell r="H5326"/>
        </row>
        <row r="5327">
          <cell r="A5327" t="str">
            <v>7.74101237110000</v>
          </cell>
          <cell r="B5327" t="str">
            <v>SODIUM LAUROYL SARCOSINATE BOTTLE@1KG</v>
          </cell>
          <cell r="C5327" t="str">
            <v>SODIUM LAUROYL SARCOSINATE (LS-30PE); CHAI 1KG</v>
          </cell>
          <cell r="D5327" t="str">
            <v>SODIUM LAUROYL SARCOSINATE BOTTLE@1KG</v>
          </cell>
          <cell r="E5327">
            <v>1</v>
          </cell>
          <cell r="F5327" t="str">
            <v>Chọn</v>
          </cell>
          <cell r="G5327"/>
          <cell r="H5327"/>
        </row>
        <row r="5328">
          <cell r="A5328" t="str">
            <v>7.74104237110000</v>
          </cell>
          <cell r="B5328" t="str">
            <v>SLS LIQUID IN BOTTLE@1KG</v>
          </cell>
          <cell r="C5328" t="str">
            <v>CHẤT HOẠT ĐỘNG BỀ MẶT SODIUM LAURYL SULPHATE; CHAI 1KG</v>
          </cell>
          <cell r="D5328" t="str">
            <v>SLS LIQUID IN BOTTLE@1KG</v>
          </cell>
          <cell r="E5328">
            <v>1</v>
          </cell>
          <cell r="F5328" t="str">
            <v>Chọn</v>
          </cell>
          <cell r="G5328"/>
          <cell r="H5328"/>
        </row>
        <row r="5329">
          <cell r="A5329" t="str">
            <v>7.74104537110000</v>
          </cell>
          <cell r="B5329" t="str">
            <v>POTASSIUM COCOYL GLYCINE IN BOTTLE@1KG</v>
          </cell>
          <cell r="C5329" t="str">
            <v>POTASSIUM COCOYLGLYCINE (CG-30KS); CHAI 1KG</v>
          </cell>
          <cell r="D5329" t="str">
            <v>POTASSIUM COCOYL GLYCINE IN BOTTLE@1KG</v>
          </cell>
          <cell r="E5329">
            <v>1</v>
          </cell>
          <cell r="F5329" t="str">
            <v>Chọn</v>
          </cell>
          <cell r="G5329"/>
          <cell r="H5329"/>
        </row>
        <row r="5330">
          <cell r="A5330" t="str">
            <v>7.G4001B599F601D001</v>
          </cell>
          <cell r="B5330" t="str">
            <v>VINATEA SPRING BUDS TEA 68G</v>
          </cell>
          <cell r="C5330" t="str">
            <v>TRÀ VINATEA LỘC XUÂN 68G</v>
          </cell>
          <cell r="D5330" t="str">
            <v>VINATEA SPRING BUDS TEA 68G</v>
          </cell>
          <cell r="E5330">
            <v>7.0000000000000007E-2</v>
          </cell>
          <cell r="F5330" t="str">
            <v>Chọn</v>
          </cell>
          <cell r="G5330"/>
          <cell r="H5330"/>
        </row>
        <row r="5331">
          <cell r="A5331" t="str">
            <v>7.G4001B599F601D0</v>
          </cell>
          <cell r="B5331" t="str">
            <v>VINATEA SPRING BUDS TEA 68G X 24 PAPER TUBE BOXES IN CARTON</v>
          </cell>
          <cell r="C5331" t="str">
            <v>TRÀ VINATEA LỘC XUÂN 68G X 24 LON GIẤY ĐÓNG TRONG THÙNG CARTON</v>
          </cell>
          <cell r="D5331" t="str">
            <v>VINATEA SPRING BUDS TEA 68G X 24 PAPER TUBE BOXES IN CARTON</v>
          </cell>
          <cell r="E5331">
            <v>1.63</v>
          </cell>
          <cell r="F5331" t="str">
            <v>Chọn</v>
          </cell>
          <cell r="G5331"/>
          <cell r="H5331" t="str">
            <v>7.G4001B599F601D001</v>
          </cell>
        </row>
        <row r="5332">
          <cell r="A5332" t="str">
            <v>7.451051011725000</v>
          </cell>
          <cell r="B5332" t="str">
            <v>MEIZAN RBDSBO 250ML X 36BTL</v>
          </cell>
          <cell r="C5332" t="str">
            <v>DẦU ĐẬU NÀNH NHÃN HIỆU MEIZAN 250ML</v>
          </cell>
          <cell r="D5332" t="str">
            <v>MEIZAN RBDSBO 250ML X 36BTL</v>
          </cell>
          <cell r="E5332">
            <v>8.19</v>
          </cell>
          <cell r="F5332" t="str">
            <v>Chọn</v>
          </cell>
          <cell r="G5332"/>
          <cell r="H5332"/>
        </row>
        <row r="5333">
          <cell r="A5333" t="str">
            <v>7.7042070101000000</v>
          </cell>
          <cell r="B5333" t="str">
            <v>MIXED SOAP POWDER PAPER BAG@25KG</v>
          </cell>
          <cell r="C5333" t="str">
            <v>PHÔI XÀ PHÒNG - DẠNG BỘT; BAO 25KG</v>
          </cell>
          <cell r="D5333" t="str">
            <v>MIXED SOAP POWDER PAPER BAG@25KG</v>
          </cell>
          <cell r="E5333">
            <v>25</v>
          </cell>
          <cell r="F5333" t="str">
            <v>Chọn</v>
          </cell>
          <cell r="G5333"/>
          <cell r="H5333"/>
        </row>
        <row r="5334">
          <cell r="A5334" t="str">
            <v>7.101332761301N90TD</v>
          </cell>
          <cell r="B5334" t="str">
            <v>NEPTUNEPREMIUM ROL+ANTIOXIDANT TIN@17KG</v>
          </cell>
          <cell r="C5334" t="str">
            <v>DẦU ĂN THỰC VẬT CAO CẤP NEPTUNE ĐÓNG TRONG THÙNG SẮT TRÁNG THIẾC 17KG</v>
          </cell>
          <cell r="D5334" t="str">
            <v>NEPTUNEPREMIUM ROL+ANTIOXIDANT TIN@17KG</v>
          </cell>
          <cell r="E5334">
            <v>17</v>
          </cell>
          <cell r="F5334" t="str">
            <v>Chọn</v>
          </cell>
          <cell r="G5334"/>
          <cell r="H5334"/>
        </row>
        <row r="5335">
          <cell r="A5335" t="str">
            <v>N09.0007005.02174</v>
          </cell>
          <cell r="B5335" t="str">
            <v>CARTON,CAI LAN,12 X 1 L,PREMIUM VEGETABL</v>
          </cell>
          <cell r="C5335" t="str">
            <v>THÙNG 2 MÀU CÁI LÂN 1LX12</v>
          </cell>
          <cell r="D5335" t="str">
            <v>CARTON,CAI LAN,12 X 1 L,PREMIUM VEGETABL</v>
          </cell>
          <cell r="E5335">
            <v>0</v>
          </cell>
          <cell r="F5335" t="str">
            <v>Chọn</v>
          </cell>
          <cell r="G5335"/>
          <cell r="H5335"/>
        </row>
        <row r="5336">
          <cell r="A5336" t="str">
            <v>N09.0007005.02190</v>
          </cell>
          <cell r="B5336" t="str">
            <v>CARTON,MEIZAN GOLD,12 X 1 L,PREMIUM COOK</v>
          </cell>
          <cell r="C5336" t="str">
            <v>THÙNG 2 MÀU - MEIZAN GOLD 1Lx12</v>
          </cell>
          <cell r="D5336" t="str">
            <v>CARTON,MEIZAN GOLD,12 X 1 L,PREMIUM COOK</v>
          </cell>
          <cell r="E5336">
            <v>0</v>
          </cell>
          <cell r="F5336" t="str">
            <v>Chọn</v>
          </cell>
          <cell r="G5336"/>
          <cell r="H5336"/>
        </row>
        <row r="5337">
          <cell r="A5337" t="str">
            <v>N09.0007005.02277</v>
          </cell>
          <cell r="B5337" t="str">
            <v>CARTON,MEIZAN,2 L X 6,COOKING OIL,BOTTLE</v>
          </cell>
          <cell r="C5337" t="str">
            <v>THÙNG 2 MÀU - MEIZAN GOLD 2LX6</v>
          </cell>
          <cell r="D5337" t="str">
            <v>CARTON,MEIZAN,2 L X 6,COOKING OIL,BOTTLE</v>
          </cell>
          <cell r="E5337">
            <v>0</v>
          </cell>
          <cell r="F5337" t="str">
            <v>Chọn</v>
          </cell>
          <cell r="G5337"/>
          <cell r="H5337"/>
        </row>
        <row r="5338">
          <cell r="A5338" t="str">
            <v>N09.0007005.02188</v>
          </cell>
          <cell r="B5338" t="str">
            <v>CARTON,MEIZAN,12 X 1 L,SOYBEAN OIL,BOTTL</v>
          </cell>
          <cell r="C5338" t="str">
            <v>THÙNG 2 MÀU - MEIZAN SBO 1Lx12</v>
          </cell>
          <cell r="D5338" t="str">
            <v>CARTON,MEIZAN,12 X 1 L,SOYBEAN OIL,BOTTL</v>
          </cell>
          <cell r="E5338">
            <v>0</v>
          </cell>
          <cell r="F5338" t="str">
            <v>Chọn</v>
          </cell>
          <cell r="G5338"/>
          <cell r="H5338"/>
        </row>
        <row r="5339">
          <cell r="A5339" t="str">
            <v>N09.0007005.01667</v>
          </cell>
          <cell r="B5339" t="str">
            <v>CARTON,MEIZAN,6 X 2L,SOYBEAN OIL,BOTTLE</v>
          </cell>
          <cell r="C5339" t="str">
            <v>THÙNG 2 MÀU - MEIZAN SBO 2Lx6</v>
          </cell>
          <cell r="D5339" t="str">
            <v>CARTON,MEIZAN,6 X 2L,SOYBEAN OIL,BOTTLE</v>
          </cell>
          <cell r="E5339">
            <v>0</v>
          </cell>
          <cell r="F5339" t="str">
            <v>Chọn</v>
          </cell>
          <cell r="G5339"/>
          <cell r="H5339"/>
        </row>
        <row r="5340">
          <cell r="A5340" t="str">
            <v>N09.0007005.02167</v>
          </cell>
          <cell r="B5340" t="str">
            <v>CARTON,ORCHID,12 X 1 L,PREMIUM VEGETABLE</v>
          </cell>
          <cell r="C5340" t="str">
            <v>THÙNG 2 MÀU - ORCHID 1L X 12</v>
          </cell>
          <cell r="D5340" t="str">
            <v>CARTON,ORCHID,12 X 1 L,PREMIUM VEGETABLE</v>
          </cell>
          <cell r="E5340">
            <v>0</v>
          </cell>
          <cell r="F5340" t="str">
            <v>Chọn</v>
          </cell>
          <cell r="G5340"/>
          <cell r="H5340"/>
        </row>
        <row r="5341">
          <cell r="A5341" t="str">
            <v>N09.0007005.02863</v>
          </cell>
          <cell r="B5341" t="str">
            <v>CARTON,ORCHID,2 L X 6,PREMIUM VEGETABLE</v>
          </cell>
          <cell r="C5341" t="str">
            <v>THÙNG 2 MÀU - ORCHID 2L x 6</v>
          </cell>
          <cell r="D5341" t="str">
            <v>CARTON,ORCHID,2 L X 6,PREMIUM VEGETABLE</v>
          </cell>
          <cell r="E5341">
            <v>0</v>
          </cell>
          <cell r="F5341" t="str">
            <v>Chọn</v>
          </cell>
          <cell r="G5341"/>
          <cell r="H5341"/>
        </row>
        <row r="5342">
          <cell r="A5342" t="str">
            <v>N09.0007005.01433</v>
          </cell>
          <cell r="B5342" t="str">
            <v>CARTON,SATELLITE,1 X 25KG,SHORTENING,RED</v>
          </cell>
          <cell r="C5342" t="str">
            <v>THÙNG 2 MÀU - SATELLITE 25KG SHORTENING - RED</v>
          </cell>
          <cell r="D5342" t="str">
            <v>CARTON,SATELLITE,1 X 25KG,SHORTENING,RED</v>
          </cell>
          <cell r="E5342">
            <v>0</v>
          </cell>
          <cell r="F5342" t="str">
            <v>Chọn</v>
          </cell>
          <cell r="G5342"/>
          <cell r="H5342"/>
        </row>
        <row r="5343">
          <cell r="A5343" t="str">
            <v>7.707584P537170000</v>
          </cell>
          <cell r="B5343" t="str">
            <v>POWER100 DWL SAVING LEMON POUCH@3.2KG</v>
          </cell>
          <cell r="C5343" t="str">
            <v>NƯỚC RỬA CHÉN POWER100 TIẾT KIỆM HƯƠNG CHANH 3.2KG TÚI</v>
          </cell>
          <cell r="D5343" t="str">
            <v>POWER100 DWL SAVING LEMON POUCH@3.2KG</v>
          </cell>
          <cell r="E5343">
            <v>3.2</v>
          </cell>
          <cell r="F5343" t="str">
            <v>Chọn</v>
          </cell>
          <cell r="G5343"/>
          <cell r="H5343"/>
        </row>
        <row r="5344">
          <cell r="A5344" t="str">
            <v>7.707584P53717000H</v>
          </cell>
          <cell r="B5344" t="str">
            <v>POWER100 DWL SAVING LEMON 3.2KG X 4PCH</v>
          </cell>
          <cell r="C5344" t="str">
            <v>NƯỚC RỬA CHÉN POWER100 TIẾT KIỆM HƯƠNG CHANH 3.2KG*4 TÚI</v>
          </cell>
          <cell r="D5344" t="str">
            <v>POWER100 DWL SAVING LEMON 3.2KG X 4PCH</v>
          </cell>
          <cell r="E5344">
            <v>12.8</v>
          </cell>
          <cell r="F5344" t="str">
            <v>Chọn</v>
          </cell>
          <cell r="G5344"/>
          <cell r="H5344" t="str">
            <v>7.707584P537170000</v>
          </cell>
        </row>
        <row r="5345">
          <cell r="A5345" t="str">
            <v>7.707662N328170001</v>
          </cell>
          <cell r="B5345" t="str">
            <v>POWER100 DWLLEMONESSENTIALOIL1.4KG*10BTL</v>
          </cell>
          <cell r="C5345" t="str">
            <v>NƯỚC RỬA CHÉN POWER100 TINH DẦU CHANH 1.4KG*10</v>
          </cell>
          <cell r="D5345" t="str">
            <v>POWER100 DWLLEMONESSENTIALOIL1.4KG*10BTL</v>
          </cell>
          <cell r="E5345">
            <v>14</v>
          </cell>
          <cell r="F5345" t="str">
            <v>Chọn</v>
          </cell>
          <cell r="G5345"/>
          <cell r="H5345" t="str">
            <v>7.707662N328170000</v>
          </cell>
        </row>
        <row r="5346">
          <cell r="A5346" t="str">
            <v>7.707662P537170000</v>
          </cell>
          <cell r="B5346" t="str">
            <v>POWER100 DWLLEMON ESSENTIALOIL PCH@3.2KG</v>
          </cell>
          <cell r="C5346" t="str">
            <v>NƯỚC RỬA CHÉN POWER100 TINH DẦU CHANH 3.2KG TÚI</v>
          </cell>
          <cell r="D5346" t="str">
            <v>POWER100 DWLLEMON ESSENTIALOIL PCH@3.2KG</v>
          </cell>
          <cell r="E5346">
            <v>3.2</v>
          </cell>
          <cell r="F5346" t="str">
            <v>Chọn</v>
          </cell>
          <cell r="G5346"/>
          <cell r="H5346"/>
        </row>
        <row r="5347">
          <cell r="A5347" t="str">
            <v>7.707662P53717000H</v>
          </cell>
          <cell r="B5347" t="str">
            <v>POWER100 DWLLEMON ESSENTIALOIL3.2KG*4PCH</v>
          </cell>
          <cell r="C5347" t="str">
            <v>NƯỚC RỬA CHÉN POWER100 TINH DẦU CHANH 3.2KG*4 TÚI</v>
          </cell>
          <cell r="D5347" t="str">
            <v>POWER100 DWLLEMON ESSENTIALOIL3.2KG*4PCH</v>
          </cell>
          <cell r="E5347">
            <v>12.8</v>
          </cell>
          <cell r="F5347" t="str">
            <v>Chọn</v>
          </cell>
          <cell r="G5347"/>
          <cell r="H5347" t="str">
            <v>7.707662P537170000</v>
          </cell>
        </row>
        <row r="5348">
          <cell r="A5348" t="str">
            <v>7.551460E6Y9000680TD</v>
          </cell>
          <cell r="B5348" t="str">
            <v>NAMDUONG CONDENSED SOY SAUCE 500ML*24BTL</v>
          </cell>
          <cell r="C5348" t="str">
            <v>NƯỚC TƯƠNG NAM DƯƠNG ĐẬM ĐẶC 500ML X 24 CHAI/ THÙNG</v>
          </cell>
          <cell r="D5348" t="str">
            <v>NAMDUONG CONDENSED SOY SAUCE 500ML*24BTL</v>
          </cell>
          <cell r="E5348">
            <v>13.458</v>
          </cell>
          <cell r="F5348" t="str">
            <v>Chọn</v>
          </cell>
          <cell r="G5348"/>
          <cell r="H5348"/>
        </row>
        <row r="5349">
          <cell r="A5349" t="str">
            <v>7.551460E6Y9000180TD</v>
          </cell>
          <cell r="B5349" t="str">
            <v>NAMDUONG CONDENSED SOYSAUCE BOTTLE@500ML</v>
          </cell>
          <cell r="C5349" t="str">
            <v>NƯỚC TƯƠNG NAM DƯƠNG ĐẬM ĐẶC 500ML</v>
          </cell>
          <cell r="D5349" t="str">
            <v>NAMDUONG CONDENSED SOYSAUCE BOTTLE@500ML</v>
          </cell>
          <cell r="E5349">
            <v>0.56100000000000005</v>
          </cell>
          <cell r="F5349" t="str">
            <v>Chọn</v>
          </cell>
          <cell r="G5349"/>
          <cell r="H5349"/>
        </row>
        <row r="5350">
          <cell r="A5350" t="str">
            <v>7.5180030702518200TD</v>
          </cell>
          <cell r="B5350" t="str">
            <v>MEIZAN MONOSODIUM GLUTAMAT 400G*30PCH</v>
          </cell>
          <cell r="C5350" t="str">
            <v>BỘT NGỌT MEIZAN 400G x 30 TÚI/ THÙNG</v>
          </cell>
          <cell r="D5350" t="str">
            <v>MEIZAN MONOSODIUM GLUTAMAT 400G*30PCH</v>
          </cell>
          <cell r="E5350">
            <v>12</v>
          </cell>
          <cell r="F5350" t="str">
            <v>Chọn</v>
          </cell>
          <cell r="G5350"/>
          <cell r="H5350"/>
        </row>
        <row r="5351">
          <cell r="A5351" t="str">
            <v>7.5180030702518010TD</v>
          </cell>
          <cell r="B5351" t="str">
            <v>MEIZAN MONOSODIUM GLUTAMAT POUCH@400G</v>
          </cell>
          <cell r="C5351" t="str">
            <v>BỘT NGỌT MEIZAN 400G</v>
          </cell>
          <cell r="D5351" t="str">
            <v>MEIZAN MONOSODIUM GLUTAMAT POUCH@400G</v>
          </cell>
          <cell r="E5351">
            <v>0.4</v>
          </cell>
          <cell r="F5351" t="str">
            <v>Chọn</v>
          </cell>
          <cell r="G5351"/>
          <cell r="H5351"/>
        </row>
        <row r="5352">
          <cell r="A5352" t="str">
            <v>7.522B856160701000TD</v>
          </cell>
          <cell r="B5352" t="str">
            <v>MEIZAN THIN ROUND STRING NOODLE BAG@500G</v>
          </cell>
          <cell r="C5352" t="str">
            <v>MÌ TRỨNG CAO CẤP MEIZAN SỢI NHỎ 500G</v>
          </cell>
          <cell r="D5352" t="str">
            <v>MEIZAN THIN ROUND STRING NOODLE BAG@500G</v>
          </cell>
          <cell r="E5352">
            <v>0.5</v>
          </cell>
          <cell r="F5352" t="str">
            <v>Chọn</v>
          </cell>
          <cell r="G5352"/>
          <cell r="H5352"/>
        </row>
        <row r="5353">
          <cell r="A5353" t="str">
            <v>7.522H850300101020TD</v>
          </cell>
          <cell r="B5353" t="str">
            <v>MEIZAN MACARONI LONG TUBE 200G*24BAG</v>
          </cell>
          <cell r="C5353" t="str">
            <v>NUI CAO CẤP MEIZAN 200G X 24 GÓI</v>
          </cell>
          <cell r="D5353" t="str">
            <v>MEIZAN MACARONI LONG TUBE 200G*24BAG</v>
          </cell>
          <cell r="E5353">
            <v>4.8</v>
          </cell>
          <cell r="F5353" t="str">
            <v>Chọn</v>
          </cell>
          <cell r="G5353"/>
          <cell r="H5353"/>
        </row>
        <row r="5354">
          <cell r="A5354" t="str">
            <v>7.522H850300101000TD</v>
          </cell>
          <cell r="B5354" t="str">
            <v>MEIZAN MACARONI LONG TUBE PLASTICBG@200G</v>
          </cell>
          <cell r="C5354" t="str">
            <v>NUI CAO CẤP MEIZAN 200G</v>
          </cell>
          <cell r="D5354" t="str">
            <v>MEIZAN MACARONI LONG TUBE PLASTICBG@200G</v>
          </cell>
          <cell r="E5354">
            <v>0.2</v>
          </cell>
          <cell r="F5354" t="str">
            <v>Chọn</v>
          </cell>
          <cell r="G5354"/>
          <cell r="H5354"/>
        </row>
        <row r="5355">
          <cell r="A5355" t="str">
            <v>7.707583E92817400NTD</v>
          </cell>
          <cell r="B5355" t="str">
            <v>POWER100 SAVING DWL LEMON 750G*16BTL</v>
          </cell>
          <cell r="C5355" t="str">
            <v>NƯỚC RỬA CHÉN POWER100 TIẾT KIỆM HƯƠNG CHANH 750G*16</v>
          </cell>
          <cell r="D5355" t="str">
            <v>POWER100 SAVING DWL LEMON 750G*16BTL</v>
          </cell>
          <cell r="E5355">
            <v>12</v>
          </cell>
          <cell r="F5355" t="str">
            <v>Chọn</v>
          </cell>
          <cell r="G5355"/>
          <cell r="H5355"/>
        </row>
        <row r="5356">
          <cell r="A5356" t="str">
            <v>7.707583E928174000TD</v>
          </cell>
          <cell r="B5356" t="str">
            <v>POWER100 SAVING DWL LEMON BTL @750G</v>
          </cell>
          <cell r="C5356" t="str">
            <v>NƯỚC RỬA CHÉN POWER100 TIẾT KIỆM HƯƠNG CHANH 750G</v>
          </cell>
          <cell r="D5356" t="str">
            <v>POWER100 SAVING DWL LEMON BTL @750G</v>
          </cell>
          <cell r="E5356">
            <v>0.75</v>
          </cell>
          <cell r="F5356" t="str">
            <v>Chọn</v>
          </cell>
          <cell r="G5356"/>
          <cell r="H5356"/>
        </row>
        <row r="5357">
          <cell r="A5357" t="str">
            <v>7.707662N32817000KTD</v>
          </cell>
          <cell r="B5357" t="str">
            <v>POWER100 DWLLEMON ESSENTIALOIL1.4KG*8BTL</v>
          </cell>
          <cell r="C5357" t="str">
            <v>NƯỚC RỬA CHÉN POWER100 TINH DẦU CHANH 1.4KG*8</v>
          </cell>
          <cell r="D5357" t="str">
            <v>POWER100 DWLLEMON ESSENTIALOIL1.4KG*8BTL</v>
          </cell>
          <cell r="E5357">
            <v>11.2</v>
          </cell>
          <cell r="F5357" t="str">
            <v>Chọn</v>
          </cell>
          <cell r="G5357"/>
          <cell r="H5357"/>
        </row>
        <row r="5358">
          <cell r="A5358" t="str">
            <v>7.522112012072501</v>
          </cell>
          <cell r="B5358" t="str">
            <v>MEIZAN MULTI FL PRO9.5-12% IN POUCH@5KG</v>
          </cell>
          <cell r="C5358" t="str">
            <v>BỘT MÌ ĐA DỤNG CAO CẤP HIỆU MEIZAN 5KG (GÓI)</v>
          </cell>
          <cell r="D5358" t="str">
            <v>MEIZAN MULTI FL PRO9.5-12% IN POUCH@5KG</v>
          </cell>
          <cell r="E5358">
            <v>5</v>
          </cell>
          <cell r="F5358" t="str">
            <v>Chọn</v>
          </cell>
          <cell r="G5358"/>
          <cell r="H5358"/>
        </row>
        <row r="5359">
          <cell r="A5359" t="str">
            <v>7.74132917020000</v>
          </cell>
          <cell r="B5359" t="str">
            <v>FAL1214 ETHOXYLATED 9MOL STEELDRM@200KG</v>
          </cell>
          <cell r="C5359" t="str">
            <v>CHẤT HOẠT ĐỘNG BỀ MẶT AEO-9 MOL; PHUY SẮT 200KG</v>
          </cell>
          <cell r="D5359" t="str">
            <v>FAL1214 ETHOXYLATED 9MOL STEELDRM@200KG</v>
          </cell>
          <cell r="E5359">
            <v>200</v>
          </cell>
          <cell r="F5359" t="str">
            <v>Chọn</v>
          </cell>
          <cell r="G5359"/>
          <cell r="H5359"/>
        </row>
        <row r="5360">
          <cell r="A5360" t="str">
            <v>7.522BA86131901000</v>
          </cell>
          <cell r="B5360" t="str">
            <v>CAI LAIN INSTANT NOODLES PLASTICBAG@1KG</v>
          </cell>
          <cell r="C5360" t="str">
            <v>MÌ ĂN LIỀN CÁI LÂN 1KG</v>
          </cell>
          <cell r="D5360" t="str">
            <v>CAI LAIN INSTANT NOODLES PLASTICBAG@1KG</v>
          </cell>
          <cell r="E5360">
            <v>1</v>
          </cell>
          <cell r="F5360" t="str">
            <v>Chọn</v>
          </cell>
          <cell r="G5360" t="str">
            <v>2000000007</v>
          </cell>
          <cell r="H5360"/>
        </row>
        <row r="5361">
          <cell r="A5361" t="str">
            <v>7.522BA86131901070</v>
          </cell>
          <cell r="B5361" t="str">
            <v>CAI LAIN INSTANT NOODLES 1KG X 10BAG</v>
          </cell>
          <cell r="C5361" t="str">
            <v>MÌ ĂN LIỀN CÁI LÂN 1KG X 10 GÓI</v>
          </cell>
          <cell r="D5361" t="str">
            <v>CAI LAIN INSTANT NOODLES 1KG X 10BAG</v>
          </cell>
          <cell r="E5361">
            <v>10</v>
          </cell>
          <cell r="F5361" t="str">
            <v>Chọn</v>
          </cell>
          <cell r="G5361" t="str">
            <v>2000000007</v>
          </cell>
          <cell r="H5361" t="str">
            <v>7.522BA86131901000</v>
          </cell>
        </row>
        <row r="5362">
          <cell r="A5362" t="str">
            <v>7.522BA86133D01000</v>
          </cell>
          <cell r="B5362" t="str">
            <v>CAI LAIN INSTANT NOODLES PLASTICBAG@65G</v>
          </cell>
          <cell r="C5362" t="str">
            <v>MÌ ĂN LIỀN CÁI LÂN 65G</v>
          </cell>
          <cell r="D5362" t="str">
            <v>CAI LAIN INSTANT NOODLES PLASTICBAG@65G</v>
          </cell>
          <cell r="E5362">
            <v>6.5000000000000002E-2</v>
          </cell>
          <cell r="F5362" t="str">
            <v>Chọn</v>
          </cell>
          <cell r="G5362" t="str">
            <v>2000000007</v>
          </cell>
          <cell r="H5362"/>
        </row>
        <row r="5363">
          <cell r="A5363" t="str">
            <v>7.522BA86133D01030</v>
          </cell>
          <cell r="B5363" t="str">
            <v>CAI LAIN INSTANT NOODLES 65G X 30BAG</v>
          </cell>
          <cell r="C5363" t="str">
            <v>MÌ ĂN LIỀN CÁI LÂN 65G X 30 GÓI</v>
          </cell>
          <cell r="D5363" t="str">
            <v>CAI LAIN INSTANT NOODLES 65G X 30BAG</v>
          </cell>
          <cell r="E5363">
            <v>1.95</v>
          </cell>
          <cell r="F5363" t="str">
            <v>Chọn</v>
          </cell>
          <cell r="G5363" t="str">
            <v>2000000007</v>
          </cell>
          <cell r="H5363" t="str">
            <v>7.522BA86133D01000</v>
          </cell>
        </row>
        <row r="5364">
          <cell r="A5364" t="str">
            <v>V51.000.257</v>
          </cell>
          <cell r="B5364" t="str">
            <v>MEIZAN TET GIFBOX 2026</v>
          </cell>
          <cell r="C5364" t="str">
            <v>VỎ HỘP QUÀ MEIZAN TẾT 2026</v>
          </cell>
          <cell r="D5364" t="str">
            <v>MEIZAN TET GIFBOX 2026</v>
          </cell>
          <cell r="E5364">
            <v>0</v>
          </cell>
          <cell r="F5364" t="str">
            <v>Chọn</v>
          </cell>
          <cell r="G5364"/>
          <cell r="H5364"/>
        </row>
        <row r="5365">
          <cell r="A5365" t="str">
            <v>V51.000.258</v>
          </cell>
          <cell r="B5365" t="str">
            <v>CRV MEIZAN TET GIFBOX 2026</v>
          </cell>
          <cell r="C5365" t="str">
            <v>VỎ HỘP QUÀ MEIZAN TẾT 2026 CRV</v>
          </cell>
          <cell r="D5365" t="str">
            <v>CRV MEIZAN TET GIFBOX 2026</v>
          </cell>
          <cell r="E5365">
            <v>0</v>
          </cell>
          <cell r="F5365" t="str">
            <v>Chọn</v>
          </cell>
          <cell r="G5365"/>
          <cell r="H5365"/>
        </row>
        <row r="5366">
          <cell r="A5366" t="str">
            <v>7.1070123022552010</v>
          </cell>
          <cell r="B5366" t="str">
            <v>MEIZAN MARGARINE MP 39-42 OVALTUB@80G</v>
          </cell>
          <cell r="C5366" t="str">
            <v>BƠ THỰC VẬT NHÃN HIỆU MEIZAN 80G</v>
          </cell>
          <cell r="D5366" t="str">
            <v>MEIZAN MARGARINE MP 39-42 OVALTUB@80G</v>
          </cell>
          <cell r="E5366">
            <v>0.08</v>
          </cell>
          <cell r="F5366" t="str">
            <v>Chọn</v>
          </cell>
          <cell r="G5366"/>
          <cell r="H5366"/>
        </row>
        <row r="5367">
          <cell r="A5367" t="str">
            <v>7.1070123022552230</v>
          </cell>
          <cell r="B5367" t="str">
            <v>MEIZAN MARGARINE MP 39-42 80G X 60TUB</v>
          </cell>
          <cell r="C5367" t="str">
            <v>BƠ THỰC VẬT NHÃN HIỆU MEIZAN 80G</v>
          </cell>
          <cell r="D5367" t="str">
            <v>MEIZAN MARGARINE MP 39-42 80G X 60TUB</v>
          </cell>
          <cell r="E5367">
            <v>4.8</v>
          </cell>
          <cell r="F5367" t="str">
            <v>Chọn</v>
          </cell>
          <cell r="G5367"/>
          <cell r="H5367" t="str">
            <v>7.1070123022552010</v>
          </cell>
        </row>
        <row r="5368">
          <cell r="A5368" t="str">
            <v>7.1070123122552010</v>
          </cell>
          <cell r="B5368" t="str">
            <v>MEIZAN MARGARINE MP 39-42 OVALTUB@200G</v>
          </cell>
          <cell r="C5368" t="str">
            <v>BƠ THỰC VẬT NHÃN HIỆU MEIZAN 200G</v>
          </cell>
          <cell r="D5368" t="str">
            <v>MEIZAN MARGARINE MP 39-42 OVALTUB@200G</v>
          </cell>
          <cell r="E5368">
            <v>0.2</v>
          </cell>
          <cell r="F5368" t="str">
            <v>Chọn</v>
          </cell>
          <cell r="G5368"/>
          <cell r="H5368"/>
        </row>
        <row r="5369">
          <cell r="A5369" t="str">
            <v>7.1070123122552250</v>
          </cell>
          <cell r="B5369" t="str">
            <v>MEIZAN MARGARINE MP 39-42 200G X 36TUB</v>
          </cell>
          <cell r="C5369" t="str">
            <v>BƠ THỰC VẬT NHÃN HIỆU MEIZAN 200G</v>
          </cell>
          <cell r="D5369" t="str">
            <v>MEIZAN MARGARINE MP 39-42 200G X 36TUB</v>
          </cell>
          <cell r="E5369">
            <v>7.2</v>
          </cell>
          <cell r="F5369" t="str">
            <v>Chọn</v>
          </cell>
          <cell r="G5369"/>
          <cell r="H5369" t="str">
            <v>7.1070123122552010</v>
          </cell>
        </row>
        <row r="5370">
          <cell r="A5370" t="str">
            <v>7.1070123222553010</v>
          </cell>
          <cell r="B5370" t="str">
            <v>MEIZAN MARGARINE MP 39-42 RECT TUB@800G</v>
          </cell>
          <cell r="C5370" t="str">
            <v>BƠ THỰC VẬT NHÃN HIỆU MEIZAN 800G</v>
          </cell>
          <cell r="D5370" t="str">
            <v>MEIZAN MARGARINE MP 39-42 RECT TUB@800G</v>
          </cell>
          <cell r="E5370">
            <v>0.8</v>
          </cell>
          <cell r="F5370" t="str">
            <v>Chọn</v>
          </cell>
          <cell r="G5370"/>
          <cell r="H5370"/>
        </row>
        <row r="5371">
          <cell r="A5371" t="str">
            <v>7.1070123222553050</v>
          </cell>
          <cell r="B5371" t="str">
            <v>MEIZAN MARGARINE MP 39-42 800G X 12TUB</v>
          </cell>
          <cell r="C5371" t="str">
            <v>BƠ THỰC VẬT NHÃN HIỆU MEIZAN 800G</v>
          </cell>
          <cell r="D5371" t="str">
            <v>MEIZAN MARGARINE MP 39-42 800G X 12TUB</v>
          </cell>
          <cell r="E5371">
            <v>9.6</v>
          </cell>
          <cell r="F5371" t="str">
            <v>Chọn</v>
          </cell>
          <cell r="G5371"/>
          <cell r="H5371" t="str">
            <v>7.1070123222553010</v>
          </cell>
        </row>
        <row r="5372">
          <cell r="A5372" t="str">
            <v>N09.0007005.02233</v>
          </cell>
          <cell r="B5372" t="str">
            <v>CARTON, PRODUCT BRAND:POWER100, PACKING TYPE:JERRYCAN, CONTENT:4 X 3.5 KG, SIZE:430 X 200 X 330 MM, COLOR:BROWN, SUBSTANCE:KT175/CA1 50/KT150/CA150/KT175, FLUTE:AB, PRODUCT PACKED:DISHWASHING LIQUID, ADDITIONAL DETAILS:GREEN TEA</v>
          </cell>
          <cell r="C5372" t="str">
            <v>THÙNG 2 MÀU - NƯỚC RỬA CHÉN POWER100 HƯƠNG TRÀ XANH – 3.5KG</v>
          </cell>
          <cell r="D5372" t="str">
            <v>CARTON,POWER100,4 X 3.5 KG,DISHWASHING L</v>
          </cell>
          <cell r="E5372">
            <v>0</v>
          </cell>
          <cell r="F5372" t="str">
            <v>Chọn</v>
          </cell>
          <cell r="G5372"/>
          <cell r="H5372"/>
        </row>
        <row r="5373">
          <cell r="A5373" t="str">
            <v>N09.0007005.02231</v>
          </cell>
          <cell r="B5373" t="str">
            <v>CARTON, PRODUCT BRAND:POWER100, PACKING TYPE:JERRYCAN, CONTENT:8 X 1.4 KG, SIZE:335 X 310 X 285 MM, COLOR:BROWN, SUBSTANCE:KT175/CA1 50/KT150/CA150/KT175, FLUTE:AB, PRODUCT PACKED:DISHWASHING LIQUID, ADDITIONAL DETAILS:GREEN TEA</v>
          </cell>
          <cell r="C5373" t="str">
            <v>THÙNG 2 MÀU - NƯỚC RỬA CHÉN POWER100 HƯƠNG TRÀ XANH – 1.4KG</v>
          </cell>
          <cell r="D5373" t="str">
            <v>CARTON,POWER100,8 X 1.4 KG,DISHWASHING L</v>
          </cell>
          <cell r="E5373">
            <v>0</v>
          </cell>
          <cell r="F5373" t="str">
            <v>Chọn</v>
          </cell>
          <cell r="G5373"/>
          <cell r="H5373"/>
        </row>
        <row r="5374">
          <cell r="A5374" t="str">
            <v>N09.0007005.02229</v>
          </cell>
          <cell r="B5374" t="str">
            <v>CARTON, PRODUCT BRAND:POWER100, PACKING TYPE:JERRYCAN, CONTENT:8 X 1.4 KG, SIZE:335 X 310 X 285 MM, COLOR:BROWN, SUBSTANCE:KT175/CA1 50/KT150/CA150/KT175, FLUTE:AB, PRODUCT PACKED:DISHWASHING LIQUID, ADDITIONAL DETAILS:LEMON</v>
          </cell>
          <cell r="C5374" t="str">
            <v>THÙNG 2 MÀU - NƯỚC RỬA CHÉN POWER100 TINH DẦU CHANH – 1.4 KG</v>
          </cell>
          <cell r="D5374" t="str">
            <v>CARTON,POWER100,8 X 1.4 KG,DISHWASHING L</v>
          </cell>
          <cell r="E5374">
            <v>0</v>
          </cell>
          <cell r="F5374" t="str">
            <v>Chọn</v>
          </cell>
          <cell r="G5374"/>
          <cell r="H5374"/>
        </row>
        <row r="5375">
          <cell r="A5375" t="str">
            <v>N09.0007005.02232</v>
          </cell>
          <cell r="B5375" t="str">
            <v>CARTON, PRODUCT BRAND:POWER100, PACKING TYPE:JERRYCAN, CONTENT:4 X 3.5 KG, SIZE:430 X 200 X 330 MM, COLOR:BROWN, SUBSTANCE:KT175/CA1 50/KT150/CA150/KT175, FLUTE:AB, PRODUCT PACKED:DISHWASHING LIQUID LEMON</v>
          </cell>
          <cell r="C5375" t="str">
            <v>THÙNG 2 MÀU - NƯỚC RỬA CHÉN POWER100 TINH DẦU CHANH 5 LỚP – 3.5 KG</v>
          </cell>
          <cell r="D5375" t="str">
            <v>CARTON,POWER100,4 X 3.5 KG,DISHWASHING L</v>
          </cell>
          <cell r="E5375">
            <v>0</v>
          </cell>
          <cell r="F5375" t="str">
            <v>Chọn</v>
          </cell>
          <cell r="G5375"/>
          <cell r="H5375"/>
        </row>
        <row r="5376">
          <cell r="A5376" t="str">
            <v>N09.0007005.02357</v>
          </cell>
          <cell r="B5376" t="str">
            <v>CARTON, PRODUCT BRAND:POWER100, PACKING TYPE:BOTTLE, CONTENT:24 X 400 G, SIZE:391 X 225 X 238 MM, COLOR:BROWN, SUBSTANCE:KT175/CA150/KT125, FLUTE:A, PRODUCT PACKED:DISHWASHING LIQUID, ADDITIONAL DETAILS:LEMON ESSENTIAL OIL</v>
          </cell>
          <cell r="C5376" t="str">
            <v>THÙNG 2 MÀU - NƯỚC RỬA CHÉN POWER100 TINH DẦU CHANH – 400G</v>
          </cell>
          <cell r="D5376" t="str">
            <v>CARTON,POWER100,24 X 400 G,DISHWASHING L</v>
          </cell>
          <cell r="E5376">
            <v>0</v>
          </cell>
          <cell r="F5376" t="str">
            <v>Chọn</v>
          </cell>
          <cell r="G5376"/>
          <cell r="H5376"/>
        </row>
        <row r="5377">
          <cell r="A5377" t="str">
            <v>N09.0007005.02358</v>
          </cell>
          <cell r="B5377" t="str">
            <v>CARTON, PRODUCT BRAND:POWER100, PACKING TYPE:BOTTLE, CONTENT:16 X 750 G, SIZE:381 X 235 X 278 MM, COLOR:BROWN, SUBSTANCE:KT175/CA150/KT125, FLUTE:A, PRODUCT PACKED:DISHWASHING LIQUID, ADDITIONAL DETAILS:LEMON ESSENTIAL OIL</v>
          </cell>
          <cell r="C5377" t="str">
            <v>THÙNG 2 MÀU - NƯỚC RỬA CHÉN POWER100 TINH DẦU CHANH - 750G</v>
          </cell>
          <cell r="D5377" t="str">
            <v>CARTON,POWER100,16 X 750 G,DISHWASHING L</v>
          </cell>
          <cell r="E5377">
            <v>0</v>
          </cell>
          <cell r="F5377" t="str">
            <v>Chọn</v>
          </cell>
          <cell r="G5377"/>
          <cell r="H5377"/>
        </row>
        <row r="5378">
          <cell r="A5378" t="str">
            <v>7.D3701C2990201D101</v>
          </cell>
          <cell r="B5378" t="str">
            <v>CHAMBERY DARK CHOCOLATE COMPOUND BLOCK IN BLOCK 1KG</v>
          </cell>
          <cell r="C5378" t="str">
            <v>NGUYÊN LIỆU THỰC PHẨM SÔ-CÔ-LA ĐEN DẠNG KHỐI NHÃN HIỆU CHAMBERY, ĐÓNG TRONG GÓI 1KG</v>
          </cell>
          <cell r="D5378" t="str">
            <v>CHAMBERY DARK CHOCOLATE COMPOUND BLOCK IN BLOCK 1KG</v>
          </cell>
          <cell r="E5378">
            <v>1</v>
          </cell>
          <cell r="F5378" t="str">
            <v>Chọn</v>
          </cell>
          <cell r="G5378"/>
          <cell r="H5378"/>
        </row>
        <row r="5379">
          <cell r="A5379" t="str">
            <v>7.D3701C2990201D1</v>
          </cell>
          <cell r="B5379" t="str">
            <v>CHAMBERY DARK CHOCOLATE COMPOUND BLOCK (1KG X 10PCS), 10KG</v>
          </cell>
          <cell r="C5379" t="str">
            <v>NGUYÊN LIỆU THỰC PHẨM SÔ-CÔ-LA ĐEN DẠNG KHỐI NHÃN HIỆU CHAMBERY, KHỐI 1KG, ĐÓNG TRONG THÙNG CARTON 10KG</v>
          </cell>
          <cell r="D5379" t="str">
            <v>CHAMBERY DARK CHOCOLATE COMPOUND BLOCK (1KG X 10PCS), 10KG</v>
          </cell>
          <cell r="E5379">
            <v>10</v>
          </cell>
          <cell r="F5379" t="str">
            <v>Chọn</v>
          </cell>
          <cell r="G5379"/>
          <cell r="H5379" t="str">
            <v>7.D3701C2990201D101</v>
          </cell>
        </row>
        <row r="5380">
          <cell r="A5380" t="str">
            <v>7.D3701C2990201C101</v>
          </cell>
          <cell r="B5380" t="str">
            <v>CHAMBERY DARK CHOCOLATE COMPOUND CHIPS IN BAG 1KG</v>
          </cell>
          <cell r="C5380" t="str">
            <v>NGUYÊN LIỆU THỰC PHẨM SÔ-CÔ-LA ĐEN DẠNG VIÊN NHÃN HIỆU CHAMBERY, ĐÓNG TRONG TÚI 1KG</v>
          </cell>
          <cell r="D5380" t="str">
            <v>CHAMBERY DARK CHOCOLATE COMPOUND CHIPS IN BAG 1KG</v>
          </cell>
          <cell r="E5380">
            <v>1</v>
          </cell>
          <cell r="F5380" t="str">
            <v>Chọn</v>
          </cell>
          <cell r="G5380"/>
          <cell r="H5380"/>
        </row>
        <row r="5381">
          <cell r="A5381" t="str">
            <v>7.D3701C2990201C1</v>
          </cell>
          <cell r="B5381" t="str">
            <v>CHAMBERY DARK CHOCOLATE COMPOUND CHIPS (1KG X 10PCS), 10KG</v>
          </cell>
          <cell r="C5381" t="str">
            <v>NGUYÊN LIỆU THỰC PHẨM SÔ-CÔ-LA ĐEN DẠNG VIÊN NHÃN HIỆU CHAMBERY, TÚI 1KG, ĐÓNG TRONG THÙNG CARTON 10KG</v>
          </cell>
          <cell r="D5381" t="str">
            <v>CHAMBERY DARK CHOCOLATE COMPOUND CHIPS (1KG X 10PCS), 10KG</v>
          </cell>
          <cell r="E5381">
            <v>10</v>
          </cell>
          <cell r="F5381" t="str">
            <v>Chọn</v>
          </cell>
          <cell r="G5381"/>
          <cell r="H5381" t="str">
            <v>7.D3701C2990201C101</v>
          </cell>
        </row>
        <row r="5382">
          <cell r="A5382" t="str">
            <v>7.D3701C29902012401</v>
          </cell>
          <cell r="B5382" t="str">
            <v>CHAMBERY WHITE COMPOUND BLOCK IN BLOCK 1KG</v>
          </cell>
          <cell r="C5382" t="str">
            <v>NGUYÊN LIỆU THỰC PHẨM SÔ-CÔ-LA TRẮNG DẠNG KHỐI NHÃN HIỆU CHAMBERY, ĐÓNG TRONG GÓI 1KG</v>
          </cell>
          <cell r="D5382" t="str">
            <v>CHAMBERY WHITE COMPOUND BLOCK IN BLOCK 1KG</v>
          </cell>
          <cell r="E5382">
            <v>1</v>
          </cell>
          <cell r="F5382" t="str">
            <v>Chọn</v>
          </cell>
          <cell r="G5382"/>
          <cell r="H5382"/>
        </row>
        <row r="5383">
          <cell r="A5383" t="str">
            <v>7.D3701C299020124</v>
          </cell>
          <cell r="B5383" t="str">
            <v>CHAMBERY WHITE COMPOUND BLOCK (1KG X 10PCS), 10KG</v>
          </cell>
          <cell r="C5383" t="str">
            <v>NGUYÊN LIỆU THỰC PHẨM SÔ-CÔ-LA TRẮNG DẠNG KHỐI NHÃN HIỆU CHAMBERY, KHỐI 1KG, ĐÓNG TRONG THÙNG CARTON 10KG</v>
          </cell>
          <cell r="D5383" t="str">
            <v>CHAMBERY WHITE COMPOUND BLOCK (1KG X 10PCS), 10KG</v>
          </cell>
          <cell r="E5383">
            <v>10</v>
          </cell>
          <cell r="F5383" t="str">
            <v>Chọn</v>
          </cell>
          <cell r="G5383"/>
          <cell r="H5383" t="str">
            <v>7.D3701C29902012401</v>
          </cell>
        </row>
        <row r="5384">
          <cell r="A5384" t="str">
            <v>V51.000.259</v>
          </cell>
          <cell r="B5384" t="str">
            <v>THERMOS FLASK</v>
          </cell>
          <cell r="C5384" t="str">
            <v>BÌNH GIỮ NHIỆT</v>
          </cell>
          <cell r="D5384" t="str">
            <v>THERMOS FLASK</v>
          </cell>
          <cell r="E5384">
            <v>0</v>
          </cell>
          <cell r="F5384" t="str">
            <v>Chọn</v>
          </cell>
          <cell r="G5384"/>
          <cell r="H5384"/>
        </row>
        <row r="5385">
          <cell r="A5385" t="str">
            <v>6.451208L</v>
          </cell>
          <cell r="B5385" t="str">
            <v>RBD SOYBEAN OIL (IFG)</v>
          </cell>
          <cell r="C5385" t="str">
            <v>DẦU ĐẬU NÀNH TINH LUYỆN (IFG) TRONG XE BỒN</v>
          </cell>
          <cell r="D5385" t="str">
            <v>RBD SOYBEAN OIL (IFG)</v>
          </cell>
          <cell r="E5385">
            <v>1</v>
          </cell>
          <cell r="F5385" t="str">
            <v>Chọn</v>
          </cell>
          <cell r="G5385"/>
          <cell r="H5385"/>
        </row>
        <row r="5386">
          <cell r="A5386" t="str">
            <v>7.522223072882701</v>
          </cell>
          <cell r="B5386" t="str">
            <v>MEIZAN GOLD WHEAT FLOUR NO.8 PEBAG@1KG</v>
          </cell>
          <cell r="C5386" t="str">
            <v>BỘT MÌ SỐ 8 MEIZAN GOLD 1KG (GÓI)</v>
          </cell>
          <cell r="D5386" t="str">
            <v>MEIZAN GOLD WHEAT FLOUR NO.8 PEBAG@1KG</v>
          </cell>
          <cell r="E5386">
            <v>1</v>
          </cell>
          <cell r="F5386" t="str">
            <v>Chọn</v>
          </cell>
          <cell r="G5386" t="str">
            <v>2100000002</v>
          </cell>
          <cell r="H5386"/>
        </row>
        <row r="5387">
          <cell r="A5387" t="str">
            <v>7.522223072882710</v>
          </cell>
          <cell r="B5387" t="str">
            <v>MEIZAN GOLD WHEAT FLOUR NO.8 1KG*10BAG</v>
          </cell>
          <cell r="C5387" t="str">
            <v>BỘT MÌ SỐ 8 MEIZAN GOLD (1KG * 10GÓI/THÙNG)</v>
          </cell>
          <cell r="D5387" t="str">
            <v>MEIZAN GOLD WHEAT FLOUR NO.8 1KG*10BAG</v>
          </cell>
          <cell r="E5387">
            <v>10</v>
          </cell>
          <cell r="F5387" t="str">
            <v>Chọn</v>
          </cell>
          <cell r="G5387" t="str">
            <v>2100000002</v>
          </cell>
          <cell r="H5387" t="str">
            <v>7.522223072882701</v>
          </cell>
        </row>
        <row r="5388">
          <cell r="A5388" t="str">
            <v>7.522223292882701</v>
          </cell>
          <cell r="B5388" t="str">
            <v>MEIZAN GOLD WHEAT FLOUR NO.8 PEBAG@500G</v>
          </cell>
          <cell r="C5388" t="str">
            <v>BỘT MÌ SỐ 8 MEIZAN GOLD 500G (GÓI)</v>
          </cell>
          <cell r="D5388" t="str">
            <v>MEIZAN GOLD WHEAT FLOUR NO.8 PEBAG@500G</v>
          </cell>
          <cell r="E5388">
            <v>0.5</v>
          </cell>
          <cell r="F5388" t="str">
            <v>Chọn</v>
          </cell>
          <cell r="G5388" t="str">
            <v>2100000002</v>
          </cell>
          <cell r="H5388"/>
        </row>
        <row r="5389">
          <cell r="A5389" t="str">
            <v>7.522223292882712</v>
          </cell>
          <cell r="B5389" t="str">
            <v>MEIZAN GOLD WHEAT FLOUR NO.8 500G*20BAG</v>
          </cell>
          <cell r="C5389" t="str">
            <v>BỘT MÌ SỐ 8 MEIZAN GOLD (500G * 20 GÓI/THÙNG)</v>
          </cell>
          <cell r="D5389" t="str">
            <v>MEIZAN GOLD WHEAT FLOUR NO.8 500G*20BAG</v>
          </cell>
          <cell r="E5389">
            <v>10</v>
          </cell>
          <cell r="F5389" t="str">
            <v>Chọn</v>
          </cell>
          <cell r="G5389" t="str">
            <v>2100000002</v>
          </cell>
          <cell r="H5389" t="str">
            <v>7.522223292882701</v>
          </cell>
        </row>
        <row r="5390">
          <cell r="A5390" t="str">
            <v>N09.0007005.02175</v>
          </cell>
          <cell r="B5390" t="str">
            <v>CARTON, PRODUCT BRAND:CAI LAN, PACKING TYPE:BOTTLE, CONTENT:24 X 400 ML, SIZE:350 X 232 X 225 MM, COLOR:BROWN, SUBSTANCE:KT175 X CA150 X KT125, FLUTE:A, PRODUCT PACKED:PREMIUM VEGETABLE OIL</v>
          </cell>
          <cell r="C5390" t="str">
            <v>THÙNG CAI LAN 400ML X 24</v>
          </cell>
          <cell r="D5390" t="str">
            <v>CARTON,CAI LAN,24 X 400 ML,PREMIUM VEGET</v>
          </cell>
          <cell r="E5390">
            <v>0</v>
          </cell>
          <cell r="F5390" t="str">
            <v>Chọn</v>
          </cell>
          <cell r="G5390"/>
          <cell r="H5390"/>
        </row>
        <row r="5391">
          <cell r="A5391" t="str">
            <v>N09.0007005.02864</v>
          </cell>
          <cell r="B5391" t="str">
            <v>CARTON, PRODUCT BRAND:CAI LAN, PACKING TYPE:BOTTLE, CONTENT:2 L X 6, SIZE:338 X 224 X 300 MM, COLOR:BROWN, SUBSTANCE:KT175/CA150/KT150, FLUTE:A, PRODUCT PACKED:COOKING OIL</v>
          </cell>
          <cell r="C5391" t="str">
            <v>THÙNG 2 MÀU - CÁI LÂN 2L X 6</v>
          </cell>
          <cell r="D5391" t="str">
            <v>CARTON,CAI LAN,2 L X 6,COOKING OIL,BOTTL</v>
          </cell>
          <cell r="E5391">
            <v>0</v>
          </cell>
          <cell r="F5391" t="str">
            <v>Chọn</v>
          </cell>
          <cell r="G5391"/>
          <cell r="H5391"/>
        </row>
        <row r="5392">
          <cell r="A5392" t="str">
            <v>7.522H850271201000TD</v>
          </cell>
          <cell r="B5392" t="str">
            <v>MEIZAN RICEMACARONI LONGTUBE BAG@400G</v>
          </cell>
          <cell r="C5392" t="str">
            <v>NUI GẠO CAO CẤP MEIZAN - ỐNG DÀI 400G</v>
          </cell>
          <cell r="D5392" t="str">
            <v>MEIZAN RICEMACARONI LONGTUBE BAG@400G</v>
          </cell>
          <cell r="E5392">
            <v>0.4</v>
          </cell>
          <cell r="F5392" t="str">
            <v>Chọn</v>
          </cell>
          <cell r="G5392"/>
          <cell r="H5392"/>
        </row>
        <row r="5393">
          <cell r="A5393" t="str">
            <v>7.707591M328170000TD</v>
          </cell>
          <cell r="B5393" t="str">
            <v>POWER100 TOILET CLEANER MINT BTL@900ML</v>
          </cell>
          <cell r="C5393" t="str">
            <v>NƯỚC TẨY BỒN CẦU VÀ NHÀ TẮM POWER100 HƯƠNG BẠC HÀ 900ML</v>
          </cell>
          <cell r="D5393" t="str">
            <v>POWER100 TOILET CLEANER MINT BTL@900ML</v>
          </cell>
          <cell r="E5393">
            <v>0.96299999999999997</v>
          </cell>
          <cell r="F5393" t="str">
            <v>Chọn</v>
          </cell>
          <cell r="G5393"/>
          <cell r="H5393"/>
        </row>
        <row r="5394">
          <cell r="A5394" t="str">
            <v>7.7075836537174000TD</v>
          </cell>
          <cell r="B5394" t="str">
            <v>POWER100 SAVING DWL LEMON POUCH @3.5KG</v>
          </cell>
          <cell r="C5394" t="str">
            <v>NƯỚC RỬA CHÉN POWER100 TIẾT KIỆM HƯƠNG CHANH 3.5KG TÚI</v>
          </cell>
          <cell r="D5394" t="str">
            <v>POWER100 SAVING DWL LEMON POUCH @3.5KG</v>
          </cell>
          <cell r="E5394">
            <v>3.5</v>
          </cell>
          <cell r="F5394" t="str">
            <v>Chọn</v>
          </cell>
          <cell r="G5394"/>
          <cell r="H5394"/>
        </row>
        <row r="5395">
          <cell r="A5395" t="str">
            <v>N04.0018006.00440</v>
          </cell>
          <cell r="B5395" t="str">
            <v>PROMOTIONAL STUFF, TYPE:SACHET HANGER, MATERIAL:DUPLEX 300 GSM PAPER, SIZE:L. 260 X W. 155 MM, MARKING:POWER100</v>
          </cell>
          <cell r="C5395" t="str">
            <v>DÂY TREO NƯỚC XẢ VẢI POWER100</v>
          </cell>
          <cell r="D5395" t="str">
            <v>PROMOTIONAL STUFF,SACHET HANGER,DUPLEX 3</v>
          </cell>
          <cell r="E5395">
            <v>0</v>
          </cell>
          <cell r="F5395" t="str">
            <v>Chọn</v>
          </cell>
          <cell r="G5395"/>
          <cell r="H5395"/>
        </row>
        <row r="5396">
          <cell r="A5396" t="str">
            <v>7.52219801C272701</v>
          </cell>
          <cell r="B5396" t="str">
            <v>ORANGEPEN SWEETBREADFL 10-13%PEBAG@5KG</v>
          </cell>
          <cell r="C5396" t="str">
            <v>BỘT MÌ HIỆU CÂY VIẾT CAM 5KG</v>
          </cell>
          <cell r="D5396" t="str">
            <v>ORANGEPEN SWEETBREADFL 10-13%PEBAG@5KG</v>
          </cell>
          <cell r="E5396">
            <v>5</v>
          </cell>
          <cell r="F5396" t="str">
            <v>Chọn</v>
          </cell>
          <cell r="G5396"/>
          <cell r="H5396"/>
        </row>
        <row r="5397">
          <cell r="A5397" t="str">
            <v>N04.0009011.00036</v>
          </cell>
          <cell r="B5397" t="str">
            <v>BOTTLE, MATERIAL:PE, CAPACITY:1.5 L, SIZE:137 X 138 X 248, ADDITIONAL DETAILS:LOGO: MEIZAN</v>
          </cell>
          <cell r="C5397" t="str">
            <v>BÌNH MAXCOOL 1.5L - IN LOGO MEIZAN</v>
          </cell>
          <cell r="D5397" t="str">
            <v>BOTTLE,PE,1.5 L</v>
          </cell>
          <cell r="E5397">
            <v>0</v>
          </cell>
          <cell r="F5397" t="str">
            <v>Chọn</v>
          </cell>
          <cell r="G5397"/>
          <cell r="H5397"/>
        </row>
        <row r="5398">
          <cell r="A5398" t="str">
            <v>7.5221610205G0601</v>
          </cell>
          <cell r="B5398" t="str">
            <v>PINKKEY PIA FL 10.5%W/FE&amp;ZN PAPERBG@25KG</v>
          </cell>
          <cell r="C5398" t="str">
            <v>BỘT MÌ CHÌA KHÓA HỒNG BÁNH PÍA 25KG</v>
          </cell>
          <cell r="D5398" t="str">
            <v>PINKKEY PIA FL 10.5%W/FE&amp;ZN PAPERBG@25KG</v>
          </cell>
          <cell r="E5398">
            <v>25</v>
          </cell>
          <cell r="F5398" t="str">
            <v>Chọn</v>
          </cell>
          <cell r="G5398"/>
          <cell r="H5398"/>
        </row>
        <row r="5399">
          <cell r="A5399" t="str">
            <v>7.5221610207I1901</v>
          </cell>
          <cell r="B5399" t="str">
            <v>PINKKEY PAU FL9.5%W/FE,ZN,BNZ PPBAG@25KG</v>
          </cell>
          <cell r="C5399" t="str">
            <v>BỘT MÌ CHÌA KHÓA HỒNG BÁNH BAO 25KG</v>
          </cell>
          <cell r="D5399" t="str">
            <v>PINKKEY PAU FL9.5%W/FE,ZN,BNZ PPBAG@25KG</v>
          </cell>
          <cell r="E5399">
            <v>25</v>
          </cell>
          <cell r="F5399" t="str">
            <v>Chọn</v>
          </cell>
          <cell r="G5399"/>
          <cell r="H5399"/>
        </row>
        <row r="5400">
          <cell r="A5400" t="str">
            <v>7.52217809A571901</v>
          </cell>
          <cell r="B5400" t="str">
            <v>PINKCOMPASS BREADFL10.1%FE&amp;ZN PPBAG@40KG</v>
          </cell>
          <cell r="C5400" t="str">
            <v>BỘT MÌ LA BÀN HỒNG 40KG</v>
          </cell>
          <cell r="D5400" t="str">
            <v>PINKCOMPASS BREADFL10.1%FE&amp;ZN PPBAG@40KG</v>
          </cell>
          <cell r="E5400">
            <v>40</v>
          </cell>
          <cell r="F5400" t="str">
            <v>Chọn</v>
          </cell>
          <cell r="G5400"/>
          <cell r="H5400"/>
        </row>
        <row r="5401">
          <cell r="A5401" t="str">
            <v>V51.000.260</v>
          </cell>
          <cell r="B5401" t="str">
            <v>DESK CALENDAR</v>
          </cell>
          <cell r="C5401" t="str">
            <v>LỊCH ĐỂ BÀN</v>
          </cell>
          <cell r="D5401" t="str">
            <v>DESK CALENDAR</v>
          </cell>
          <cell r="E5401">
            <v>0</v>
          </cell>
          <cell r="F5401" t="str">
            <v>Chọn</v>
          </cell>
          <cell r="G5401"/>
          <cell r="H5401"/>
        </row>
        <row r="5402">
          <cell r="A5402" t="str">
            <v>7.58810415704Q1300TD</v>
          </cell>
          <cell r="B5402" t="str">
            <v>NAM DUONG OYSTER SAUCE IN BOTTLE@320G</v>
          </cell>
          <cell r="C5402" t="str">
            <v>DẦU HÀO NAM DƯƠNG 320G</v>
          </cell>
          <cell r="D5402" t="str">
            <v>NAM DUONG OYSTER SAUCE IN BOTTLE@320G</v>
          </cell>
          <cell r="E5402">
            <v>0.32</v>
          </cell>
          <cell r="F5402" t="str">
            <v>Chọn</v>
          </cell>
          <cell r="G5402"/>
          <cell r="H5402"/>
        </row>
        <row r="5403">
          <cell r="A5403" t="str">
            <v>7.C35065599F701D201</v>
          </cell>
          <cell r="B5403" t="str">
            <v>POWER100 LD CHARMINGFRENCH PERFUME@3.2KG</v>
          </cell>
          <cell r="C5403" t="str">
            <v>NƯỚC GIẶT XẢ POWER100 HƯƠNG NƯỚC HOA PHÁP QUYẾN RŨ 3.2KG</v>
          </cell>
          <cell r="D5403" t="str">
            <v>POWER100 LD CHARMINGFRENCH PERFUME@3.2KG</v>
          </cell>
          <cell r="E5403">
            <v>3.2</v>
          </cell>
          <cell r="F5403" t="str">
            <v>Chọn</v>
          </cell>
          <cell r="G5403"/>
          <cell r="H5403"/>
        </row>
        <row r="5404">
          <cell r="A5404" t="str">
            <v>V39.000.089</v>
          </cell>
          <cell r="B5404" t="str">
            <v>CAR AIR PURIFIER</v>
          </cell>
          <cell r="C5404" t="str">
            <v>MÁY LỌC KHÔNG KHÍ PANASONIC F-GPT01A</v>
          </cell>
          <cell r="D5404" t="str">
            <v>CAR AIR PURIFIER</v>
          </cell>
          <cell r="E5404">
            <v>0</v>
          </cell>
          <cell r="F5404" t="str">
            <v>Chọn</v>
          </cell>
          <cell r="G5404"/>
          <cell r="H5404"/>
        </row>
        <row r="5405">
          <cell r="A5405" t="str">
            <v>N09.0007005.01388</v>
          </cell>
          <cell r="B5405" t="str">
            <v>CARTON, PRODUCT BRAND:MEIZAN CAKE, PRODUCT PACKED:FLOUR, CONTENT:10 X 1KG, SIZE:345 X 240 X 255 MM, COLOR:BROWN, SUBSTANCE:KT175/M180/KT175, FLUTE:A, PACKING TYPE:PACK</v>
          </cell>
          <cell r="C5405" t="str">
            <v>THÙNG BỘT MÌ MEIZAN CAKE FLOUR 1KG</v>
          </cell>
          <cell r="D5405" t="str">
            <v>CARTON,MEIZAN CAKE,10 X 1KG,FLOUR,PACK,3</v>
          </cell>
          <cell r="E5405">
            <v>0</v>
          </cell>
          <cell r="F5405" t="str">
            <v>Chọn</v>
          </cell>
          <cell r="G5405"/>
          <cell r="H5405"/>
        </row>
        <row r="5406">
          <cell r="A5406" t="str">
            <v>N09.0007005.01392</v>
          </cell>
          <cell r="B5406" t="str">
            <v>CARTON, PRODUCT BRAND:COMPASS, PRODUCT PACKED:ALL PURPOSE FLOUR, CONTENT:20 X 500G, SIZE:370 X 275 X 190 MM, COLOR:BROWN, SUBSTANCE: KT175/M180/KT175, FLUTE:A, PACKING TYPE:PACK</v>
          </cell>
          <cell r="C5406" t="str">
            <v>THÙNG BỘT MÌ ĐA DỤNG CAO CẤP LA BÀN 500G</v>
          </cell>
          <cell r="D5406" t="str">
            <v>CARTON,COMPASS,20 X 500G,ALL PURPOSE FLO</v>
          </cell>
          <cell r="E5406">
            <v>0</v>
          </cell>
          <cell r="F5406" t="str">
            <v>Chọn</v>
          </cell>
          <cell r="G5406"/>
          <cell r="H5406"/>
        </row>
        <row r="5407">
          <cell r="A5407" t="str">
            <v>N09.0007005.01393</v>
          </cell>
          <cell r="B5407" t="str">
            <v>CARTON, PRODUCT BRAND:MEIZAN, PRODUCT PACKED:PREMIUM ALL PURPOSE FLOUR, CONTENT:20 X 500G, SIZE:370 X 275 X 190 MM, COLOR:BROWN, SUB STANCE:KT175/M180/KT175, FLUTE:A, PACKING TYPE:PACK</v>
          </cell>
          <cell r="C5407" t="str">
            <v>THÙNG BỘT MÌ ĐA DỤNG CAO CẤP MEIZAN 500G</v>
          </cell>
          <cell r="D5407" t="str">
            <v>CARTON,MEIZAN,20 X 500G,PREMIUM ALL PURP</v>
          </cell>
          <cell r="E5407">
            <v>0</v>
          </cell>
          <cell r="F5407" t="str">
            <v>Chọn</v>
          </cell>
          <cell r="G5407"/>
          <cell r="H5407"/>
        </row>
        <row r="5408">
          <cell r="A5408" t="str">
            <v>N09.0007005.01394</v>
          </cell>
          <cell r="B5408" t="str">
            <v>CARTON, PRODUCT BRAND:COMPASS, PRODUCT PACKED:ALL PURPOSE FLOUR, CONTENT:10 X 1KG, SIZE:335 X 235 X 235 MM, COLOR:BROWN, SUBSTANCE:K T175/M180/KT175, FLUTE:A, PACKING TYPE:PACK</v>
          </cell>
          <cell r="C5408" t="str">
            <v>THÙNG BỘT MÌ ĐA DỤNG CAO CẤP LA BÀN 1KG</v>
          </cell>
          <cell r="D5408" t="str">
            <v>CARTON,COMPASS,10 X 1KG,ALL PURPOSE FLOU</v>
          </cell>
          <cell r="E5408">
            <v>0</v>
          </cell>
          <cell r="F5408" t="str">
            <v>Chọn</v>
          </cell>
          <cell r="G5408"/>
          <cell r="H5408"/>
        </row>
        <row r="5409">
          <cell r="A5409" t="str">
            <v>N09.0007005.01400</v>
          </cell>
          <cell r="B5409" t="str">
            <v>CARTON, PRODUCT BRAND:MEIZAN, PRODUCT PACKED:UNBLEACHED BREAD FLOUR, CONTENT:10 X 1KG, SIZE:335 X 240 X 240 MM, COLOR:BROWN, SUBSTAN CE:KT175/M180/KT175, FLUTE:A, PACKING TYPE:PACK</v>
          </cell>
          <cell r="C5409" t="str">
            <v>THÙNG BỘT MÌ MEIZAN BREAD FLOUR 1KG</v>
          </cell>
          <cell r="D5409" t="str">
            <v>CARTON,MEIZAN,10 X 1KG,UNBLEACHED BREAD</v>
          </cell>
          <cell r="E5409">
            <v>0</v>
          </cell>
          <cell r="F5409" t="str">
            <v>Chọn</v>
          </cell>
          <cell r="G5409"/>
          <cell r="H5409"/>
        </row>
        <row r="5410">
          <cell r="A5410" t="str">
            <v>N09.0007005.01401</v>
          </cell>
          <cell r="B5410" t="str">
            <v>CARTON, PRODUCT BRAND:MEIZAN, PRODUCT PACKED:PREMIUM ALL PURPOSE FLOUR, CONTENT:10 X 1KG, SIZE:335 X 235 X 245 MM, COLOR:BROWN, SUBS TANCE:KT175/M180/KT175, FLUTE:A, PACKING TYPE:PACK</v>
          </cell>
          <cell r="C5410" t="str">
            <v>THÙNG BỘT MÌ ĐA DỤNG CAO CẤP MEIZAN 1KG</v>
          </cell>
          <cell r="D5410" t="str">
            <v>CARTON,MEIZAN,10 X 1KG,PREMIUM ALL PURPO</v>
          </cell>
          <cell r="E5410">
            <v>0</v>
          </cell>
          <cell r="F5410" t="str">
            <v>Chọn</v>
          </cell>
          <cell r="G5410"/>
          <cell r="H5410"/>
        </row>
        <row r="5411">
          <cell r="A5411" t="str">
            <v>N09.0007005.02890</v>
          </cell>
          <cell r="B5411" t="str">
            <v>CARTON, PRODUCT BRAND:MEIZAN GOLD, PACKING TYPE:BAG, CONTENT:500 G X 20 BAG, SIZE:370 X 275 X 210 MM, COLOR:BROWN, SUBSTANCE:KT175/M180/KT175, FLUTE:A, PRODUCT PACKED:FLOUR NO. 8</v>
          </cell>
          <cell r="C5411" t="str">
            <v>THÙNG BỘT MÌ SỐ 8 MEIZAN GOLD 500G</v>
          </cell>
          <cell r="D5411" t="str">
            <v>CARTON,MEIZAN GOLD,500 G X 20 BAG,FLOUR</v>
          </cell>
          <cell r="E5411">
            <v>0</v>
          </cell>
          <cell r="F5411" t="str">
            <v>Chọn</v>
          </cell>
          <cell r="G5411"/>
          <cell r="H5411"/>
        </row>
        <row r="5412">
          <cell r="A5412" t="str">
            <v>7.515006143217060TD</v>
          </cell>
          <cell r="B5412" t="str">
            <v>NAMDUONG SPECIAL HOT CHILI SC 255G*24BTL</v>
          </cell>
          <cell r="C5412" t="str">
            <v>TƯƠNG ỚT ĐẶC BIỆT CAY 255G X 24 CHAI/THÙNG</v>
          </cell>
          <cell r="D5412" t="str">
            <v>NAMDUONG SPECIAL HOT CHILI SC 255G*24BTL</v>
          </cell>
          <cell r="E5412">
            <v>6.12</v>
          </cell>
          <cell r="F5412" t="str">
            <v>Chọn</v>
          </cell>
          <cell r="G5412"/>
          <cell r="H5412"/>
        </row>
        <row r="5413">
          <cell r="A5413" t="str">
            <v>7.5180031502408100TD</v>
          </cell>
          <cell r="B5413" t="str">
            <v>MEIZAN PORK BOUILLON GRANULE 1KG*10PEBAG</v>
          </cell>
          <cell r="C5413" t="str">
            <v>HẠT NÊM MEIZAN THỊT, XƯƠNG ỐNG, TỦY, CÀ RỐT – VỊ HEO 1KG X 10 GÓI/THÙNG</v>
          </cell>
          <cell r="D5413" t="str">
            <v>MEIZAN PORK BOUILLON GRANULE 1KG*10PEBAG</v>
          </cell>
          <cell r="E5413">
            <v>10</v>
          </cell>
          <cell r="F5413" t="str">
            <v>Chọn</v>
          </cell>
          <cell r="G5413"/>
          <cell r="H5413"/>
        </row>
        <row r="5414">
          <cell r="A5414" t="str">
            <v>N04.0018006.00445</v>
          </cell>
          <cell r="B5414" t="str">
            <v>PROMOTIONAL STUFF, TYPE:GLASS CONTAINER, MATERIAL:GLASS, PP PLASTIC, SILICONE, SIZE:138 X 138 X 67 MM, MARKING:NEPTUNE, ADDITIONAL DETAILS:VIETNAM MARKET</v>
          </cell>
          <cell r="C5414" t="str">
            <v>HỘP THỦY TINH VUÔNG NIKKO 520ML</v>
          </cell>
          <cell r="D5414" t="str">
            <v>PROMOTIONAL STUFF,GLASS CONTAINER,GLASS,</v>
          </cell>
          <cell r="E5414">
            <v>0</v>
          </cell>
          <cell r="F5414" t="str">
            <v>Chọn</v>
          </cell>
          <cell r="G5414"/>
          <cell r="H5414"/>
        </row>
        <row r="5415">
          <cell r="A5415" t="str">
            <v>7.704712R82017001KTD</v>
          </cell>
          <cell r="B5415" t="str">
            <v>POWER100 FS PF PEONYBLOSSSOM 20ML*360SCH</v>
          </cell>
          <cell r="C5415" t="str">
            <v>NƯỚC XẢ VẢI POWER100 PERFUMERY PEONY BLOSSOM 20ML*360</v>
          </cell>
          <cell r="D5415" t="str">
            <v>POWER100 FS PF PEONYBLOSSSOM 20ML*360SCH</v>
          </cell>
          <cell r="E5415">
            <v>7.3440000000000003</v>
          </cell>
          <cell r="F5415" t="str">
            <v>Chọn</v>
          </cell>
          <cell r="G5415"/>
          <cell r="H5415"/>
        </row>
        <row r="5416">
          <cell r="A5416" t="str">
            <v>7.707713R82017001KTD</v>
          </cell>
          <cell r="B5416" t="str">
            <v>POWER100 FS EXTRA MILKY 20ML*360SCH</v>
          </cell>
          <cell r="C5416" t="str">
            <v>NƯỚC XẢ VẢI POWER100 EXTRA MILKY 20ML*360</v>
          </cell>
          <cell r="D5416" t="str">
            <v>POWER100 FS EXTRA MILKY 20ML*360SCH</v>
          </cell>
          <cell r="E5416">
            <v>7.3440000000000003</v>
          </cell>
          <cell r="F5416" t="str">
            <v>Chọn</v>
          </cell>
          <cell r="G5416"/>
          <cell r="H5416"/>
        </row>
        <row r="5417">
          <cell r="A5417" t="str">
            <v>6.F390210990001D3</v>
          </cell>
          <cell r="B5417" t="str">
            <v>RED FINE STANDARD GRADE MURIATE OF POTASH (MOP)/ KALI (KCL)/ WMCLV MURIATE OF POTASH 60; IN BULK; CANADA ORIGIN</v>
          </cell>
          <cell r="C5417" t="str">
            <v>WMCLV MURIATE OF POTASH 60 (PHÂN BÓN KALI CLORUA) DẠNG BỘT ĐỎ MỊN, HÀNG XÁ; XUẤT XỨ: CANADA</v>
          </cell>
          <cell r="D5417" t="str">
            <v>RED FINE STANDARD GRADE MURIATE OF POTASH (MOP)/ KALI (KCL)/ WMCLV MURIATE OF POTASH 60; IN BULK; CANADA ORIGIN</v>
          </cell>
          <cell r="E5417">
            <v>1</v>
          </cell>
          <cell r="F5417" t="str">
            <v>Chọn</v>
          </cell>
          <cell r="G5417"/>
          <cell r="H5417"/>
        </row>
        <row r="5418">
          <cell r="A5418" t="str">
            <v>7.F390210990701D3</v>
          </cell>
          <cell r="B5418" t="str">
            <v>RED FINE STANDARD GRADE MURIATE OF POTASH (MOP)/ KALI (KCL)/WMCLV MURIATE OF POTASH 60 PACKED IN 50KG PP/PE BAG, USED FOR PRODUCTION MATERIAL; CANADA ORIGIN</v>
          </cell>
          <cell r="C5418" t="str">
            <v>WMCLV MURIATE OF POTASH 60 (PHÂN BÓN KALI CLORUA) DẠNG BỘT ĐỎ MỊN, ĐÓNG TRONG BAO PP/PE 50KG DÙNG LÀM NGUYÊN LIỆU SẢN XUẤT; XUẤT XỨ CANADA</v>
          </cell>
          <cell r="D5418" t="str">
            <v>RED FINE STANDARD GRADE MURIATE OF POTASH (MOP)/ KALI (KCL)/WMCLV MURIATE OF POTASH 60 PACKED IN 50KG PP/PE BAG, USED FOR PRODUCTION MATERIAL; CANADA ORIGIN</v>
          </cell>
          <cell r="E5418">
            <v>1</v>
          </cell>
          <cell r="F5418" t="str">
            <v>Chọn</v>
          </cell>
          <cell r="G5418"/>
          <cell r="H5418"/>
        </row>
        <row r="5419">
          <cell r="A5419" t="str">
            <v>N04.0018001.00110</v>
          </cell>
          <cell r="B5419" t="str">
            <v>BAG, TYPE:TOTE/GOODIE, MATERIAL:POLYESTER, PARACHUTE FABRIC, SIZE:L. 30 X H. 35 X D. 10 CM, ADDITIONAL DETAILS:ORANGE, MARKING: POWER100</v>
          </cell>
          <cell r="C5419" t="str">
            <v>TÚI XÁCH POWER100 MÀU CAM</v>
          </cell>
          <cell r="D5419" t="str">
            <v>BAG,L. 30 X H. 35 X D. 10 CM,TOTE/GOODIE</v>
          </cell>
          <cell r="E5419">
            <v>0</v>
          </cell>
          <cell r="F5419" t="str">
            <v>Chọn</v>
          </cell>
          <cell r="G5419"/>
          <cell r="H5419"/>
        </row>
        <row r="5420">
          <cell r="A5420" t="str">
            <v>N04.0018001.00111</v>
          </cell>
          <cell r="B5420" t="str">
            <v>BAG, TYPE:TOTE/GOODIE, MATERIAL:POLYESTER, PARACHUTE FABRIC, SIZE:L. 30 X H. 35 X D. 10 CM, ADDITIONAL DETAILS:BLUE, MARKING: POWER100</v>
          </cell>
          <cell r="C5420" t="str">
            <v>TÚI XÁCH POWER100 MÀU XANH</v>
          </cell>
          <cell r="D5420" t="str">
            <v>BAG,L. 30 X H. 35 X D. 10 CM,TOTE/GOODIE</v>
          </cell>
          <cell r="E5420">
            <v>0</v>
          </cell>
          <cell r="F5420" t="str">
            <v>Chọn</v>
          </cell>
          <cell r="G5420"/>
          <cell r="H5420"/>
        </row>
        <row r="5421">
          <cell r="A5421" t="str">
            <v>7.E3803789985I93201</v>
          </cell>
          <cell r="B5421" t="str">
            <v>MEADOW FRESH UHT FULL CREAM MILK 1L, NEW ZEALAND ORIGIN</v>
          </cell>
          <cell r="C5421" t="str">
            <v>SỮA TIỆT TRÙNG NGUYÊN KEM NHÃN HIỆU MEADOW FRESH 1L, XUẤT XỨ NEW ZEALAND</v>
          </cell>
          <cell r="D5421" t="str">
            <v>MEADOW FRESH UHT FULL CREAM MILK 1L, NEW ZEALAND ORIGIN</v>
          </cell>
          <cell r="E5421">
            <v>1.03</v>
          </cell>
          <cell r="F5421" t="str">
            <v>Chọn</v>
          </cell>
          <cell r="G5421"/>
          <cell r="H5421"/>
        </row>
        <row r="5422">
          <cell r="A5422" t="str">
            <v>7.E3803789985I932</v>
          </cell>
          <cell r="B5422" t="str">
            <v>MEADOW FRESH UHT FULL CREAM MILK 1LX12, NEW ZEALAND ORIGIN</v>
          </cell>
          <cell r="C5422" t="str">
            <v>SỮA TIỆT TRÙNG NGUYÊN KEM NHÃN HIỆU MEADOW FRESH 1Lx12, XUẤT XỨ NEW ZEALAND</v>
          </cell>
          <cell r="D5422" t="str">
            <v>MEADOW FRESH UHT FULL CREAM MILK 1LX12, NEW ZEALAND ORIGIN</v>
          </cell>
          <cell r="E5422">
            <v>12.34</v>
          </cell>
          <cell r="F5422" t="str">
            <v>Chọn</v>
          </cell>
          <cell r="G5422"/>
          <cell r="H5422" t="str">
            <v>7.E3803789985I93201</v>
          </cell>
        </row>
        <row r="5423">
          <cell r="A5423" t="str">
            <v>7.E3803789913I93201</v>
          </cell>
          <cell r="B5423" t="str">
            <v>MEADOW FRESH UHT FULL CREAM MILK 200ML, NEW ZEALAND ORIGIN</v>
          </cell>
          <cell r="C5423" t="str">
            <v xml:space="preserve">SỮA TIỆT TRÙNG NGUYÊN KEM NHÃN HIỆU MEADOW FRESH 200ML, XUẤT XỨ NEW ZEALAND </v>
          </cell>
          <cell r="D5423" t="str">
            <v>MEADOW FRESH UHT FULL CREAM MILK 200ML, NEW ZEALAND ORIGIN</v>
          </cell>
          <cell r="E5423">
            <v>0.21</v>
          </cell>
          <cell r="F5423" t="str">
            <v>Chọn</v>
          </cell>
          <cell r="G5423"/>
          <cell r="H5423"/>
        </row>
        <row r="5424">
          <cell r="A5424" t="str">
            <v>7.E3803789913I932</v>
          </cell>
          <cell r="B5424" t="str">
            <v>MEADOW FRESH UHT FULL CREAM MILK 200MLX24, NEW ZEALAND ORIGIN</v>
          </cell>
          <cell r="C5424" t="str">
            <v xml:space="preserve">SỮA TIỆT TRÙNG NGUYÊN KEM NHÃN HIỆU MEADOW FRESH 200MLX24, XUẤT XỨ NEW ZEALAND </v>
          </cell>
          <cell r="D5424" t="str">
            <v>MEADOW FRESH UHT FULL CREAM MILK 200MLX24, NEW ZEALAND ORIGIN</v>
          </cell>
          <cell r="E5424">
            <v>4.93</v>
          </cell>
          <cell r="F5424" t="str">
            <v>Chọn</v>
          </cell>
          <cell r="G5424"/>
          <cell r="H5424" t="str">
            <v>7.E3803789913I93201</v>
          </cell>
        </row>
        <row r="5425">
          <cell r="A5425" t="str">
            <v>7.E3803789985K23201</v>
          </cell>
          <cell r="B5425" t="str">
            <v>MEADOW FRESH UHT FULL CREAM MILK NO CAP 1L, NEW ZEALAND ORIGIN</v>
          </cell>
          <cell r="C5425" t="str">
            <v xml:space="preserve">SỮA TIỆT TRÙNG NGUYÊN KEM KHÔNG NẮP NHÃN HIỆU MEADOW FRESH 1L, XUẤT XỨ NEW ZEALAND </v>
          </cell>
          <cell r="D5425" t="str">
            <v>MEADOW FRESH UHT FULL CREAM MILK NO CAP 1L, NEW ZEALAND ORIGIN</v>
          </cell>
          <cell r="E5425">
            <v>1.03</v>
          </cell>
          <cell r="F5425" t="str">
            <v>Chọn</v>
          </cell>
          <cell r="G5425"/>
          <cell r="H5425"/>
        </row>
        <row r="5426">
          <cell r="A5426" t="str">
            <v>7.E3803789985K232</v>
          </cell>
          <cell r="B5426" t="str">
            <v>MEADOW FRESH UHT FULL CREAM MILK NO CAP 1LX12, NEW ZEALAND ORIGIN</v>
          </cell>
          <cell r="C5426" t="str">
            <v xml:space="preserve">SỮA TIỆT TRÙNG NGUYÊN KEM KHÔNG NẮP NHÃN HIỆU MEADOW FRESH 1Lx12, XUẤT XỨ NEW ZEALAND </v>
          </cell>
          <cell r="D5426" t="str">
            <v>MEADOW FRESH UHT FULL CREAM MILK NO CAP 1LX12, NEW ZEALAND ORIGIN</v>
          </cell>
          <cell r="E5426">
            <v>12.34</v>
          </cell>
          <cell r="F5426" t="str">
            <v>Chọn</v>
          </cell>
          <cell r="G5426"/>
          <cell r="H5426" t="str">
            <v>7.E3803789985K23201</v>
          </cell>
        </row>
        <row r="5427">
          <cell r="A5427" t="str">
            <v>7.E3803789985I93301</v>
          </cell>
          <cell r="B5427" t="str">
            <v>MEADOW FRESH UHT SKIMMED MILK 1L, NEW ZEALAND ORIGIN</v>
          </cell>
          <cell r="C5427" t="str">
            <v>SỮA TIỆT TRÙNG TÁCH BÉO NHÃN HIỆU MEADOW FRESH 1L, XUẤT XỨ NEW ZEALAND</v>
          </cell>
          <cell r="D5427" t="str">
            <v>MEADOW FRESH UHT SKIMMED MILK 1L, NEW ZEALAND ORIGIN</v>
          </cell>
          <cell r="E5427">
            <v>1.03</v>
          </cell>
          <cell r="F5427" t="str">
            <v>Chọn</v>
          </cell>
          <cell r="G5427"/>
          <cell r="H5427"/>
        </row>
        <row r="5428">
          <cell r="A5428" t="str">
            <v>7.E3803789985I933</v>
          </cell>
          <cell r="B5428" t="str">
            <v>MEADOW FRESH UHT SKIMMED MILK 1LX12, NEW ZEALAND ORIGIN</v>
          </cell>
          <cell r="C5428" t="str">
            <v>SỮA TIỆT TRÙNG TÁCH BÉO NHÃN HIỆU MEADOW FRESH 1Lx12, XUẤT XỨ NEW ZEALAND</v>
          </cell>
          <cell r="D5428" t="str">
            <v>MEADOW FRESH UHT SKIMMED MILK 1LX12, NEW ZEALAND ORIGIN</v>
          </cell>
          <cell r="E5428">
            <v>12.41</v>
          </cell>
          <cell r="F5428" t="str">
            <v>Chọn</v>
          </cell>
          <cell r="G5428"/>
          <cell r="H5428" t="str">
            <v>7.E3803789985I93301</v>
          </cell>
        </row>
        <row r="5429">
          <cell r="A5429" t="str">
            <v>7.E3803789985I93501</v>
          </cell>
          <cell r="B5429" t="str">
            <v>MEADOW FRESH UHT LOW FAT MILK 1L, NEW ZEALAND ORIGIN</v>
          </cell>
          <cell r="C5429" t="str">
            <v>SỮA TIỆT TRÙNG ÍT BÉO NHÃN HIỆU MEADOW FRESH 1L, XUẤT XỨ NEW ZEALAND</v>
          </cell>
          <cell r="D5429" t="str">
            <v>MEADOW FRESH UHT LOW FAT MILK 1L, NEW ZEALAND ORIGIN</v>
          </cell>
          <cell r="E5429">
            <v>1.03</v>
          </cell>
          <cell r="F5429" t="str">
            <v>Chọn</v>
          </cell>
          <cell r="G5429"/>
          <cell r="H5429"/>
        </row>
        <row r="5430">
          <cell r="A5430" t="str">
            <v>7.E3803789985I935</v>
          </cell>
          <cell r="B5430" t="str">
            <v>MEADOW FRESH UHT LOW FAT MILK 1LX12, NEW ZEALAND ORIGIN</v>
          </cell>
          <cell r="C5430" t="str">
            <v>SỮA TIỆT TRÙNG ÍT BÉO NHÃN HIỆU MEADOW FRESH 1Lx12, XUẤT XỨ NEW ZEALAND</v>
          </cell>
          <cell r="D5430" t="str">
            <v>MEADOW FRESH UHT LOW FAT MILK 1LX12, NEW ZEALAND ORIGIN</v>
          </cell>
          <cell r="E5430">
            <v>12.37</v>
          </cell>
          <cell r="F5430" t="str">
            <v>Chọn</v>
          </cell>
          <cell r="G5430"/>
          <cell r="H5430" t="str">
            <v>7.E3803789985I93501</v>
          </cell>
        </row>
        <row r="5431">
          <cell r="A5431" t="str">
            <v>7.E3803789913I93501</v>
          </cell>
          <cell r="B5431" t="str">
            <v>MEADOW FRESH LOW FAT UHT MILK 200ML, NEW ZEALAND ORIGIN</v>
          </cell>
          <cell r="C5431" t="str">
            <v>SỮA TIỆT TRÙNG ÍT BÉO NHÃN HIỆU MEADOW FRESH 200ML, XUẤT XỨ NEW ZEALAND</v>
          </cell>
          <cell r="D5431" t="str">
            <v>MEADOW FRESH LOW FAT UHT MILK 200ML, NEW ZEALAND ORIGIN</v>
          </cell>
          <cell r="E5431">
            <v>0.21</v>
          </cell>
          <cell r="F5431" t="str">
            <v>Chọn</v>
          </cell>
          <cell r="G5431"/>
          <cell r="H5431"/>
        </row>
        <row r="5432">
          <cell r="A5432" t="str">
            <v>7.E3803789913I935</v>
          </cell>
          <cell r="B5432" t="str">
            <v>MEADOW FRESH LOW FAT UHT MILK 200MLX24, NEW ZEALAND ORIGIN</v>
          </cell>
          <cell r="C5432" t="str">
            <v>SỮA TIỆT TRÙNG ÍT BÉO NHÃN HIỆU MEADOW FRESH 200MLX24, XUẤT XỨ NEW ZEALAND</v>
          </cell>
          <cell r="D5432" t="str">
            <v>MEADOW FRESH LOW FAT UHT MILK 200MLX24, NEW ZEALAND ORIGIN</v>
          </cell>
          <cell r="E5432">
            <v>4.95</v>
          </cell>
          <cell r="F5432" t="str">
            <v>Chọn</v>
          </cell>
          <cell r="G5432"/>
          <cell r="H5432" t="str">
            <v>7.E3803789913I93501</v>
          </cell>
        </row>
        <row r="5433">
          <cell r="A5433" t="str">
            <v>7.522HA80260803320</v>
          </cell>
          <cell r="B5433" t="str">
            <v>CAILAN RICE MACARONI ELBOW WOVENBAG@10KG</v>
          </cell>
          <cell r="C5433" t="str">
            <v>NUI GẠO CÁI LÂN - CHỮ "C" 10KG</v>
          </cell>
          <cell r="D5433" t="str">
            <v>CAILAN RICE MACARONI ELBOW WOVENBAG@10KG</v>
          </cell>
          <cell r="E5433">
            <v>10</v>
          </cell>
          <cell r="F5433" t="str">
            <v>Chọn</v>
          </cell>
          <cell r="G5433" t="str">
            <v>2000000007</v>
          </cell>
          <cell r="H5433"/>
        </row>
        <row r="5434">
          <cell r="A5434" t="str">
            <v>7.522HA80270803320</v>
          </cell>
          <cell r="B5434" t="str">
            <v>CAILAN RICEMACARONILONGTUBE WOVENBG@10KG</v>
          </cell>
          <cell r="C5434" t="str">
            <v>NUI GẠO CÁI LÂN - ỐNG DÀI 10KG</v>
          </cell>
          <cell r="D5434" t="str">
            <v>CAILAN RICEMACARONILONGTUBE WOVENBG@10KG</v>
          </cell>
          <cell r="E5434">
            <v>10</v>
          </cell>
          <cell r="F5434" t="str">
            <v>Chọn</v>
          </cell>
          <cell r="G5434" t="str">
            <v>2000000007</v>
          </cell>
          <cell r="H5434"/>
        </row>
        <row r="5435">
          <cell r="A5435" t="str">
            <v>N04.0018006.00455</v>
          </cell>
          <cell r="B5435" t="str">
            <v>PROMOTIONAL STUFF, TYPE:PARASOL, MATERIAL:SOFT HIFLEX 3.6 ZEM, SIZE:DIAMETER: 2.1 M (± 3 CM), MARKING:POWER100, ADDITIONAL DETAILS:FOR VIET NAM</v>
          </cell>
          <cell r="C5435" t="str">
            <v>DÙ CHE NGOÀI TRỜI POWER100</v>
          </cell>
          <cell r="D5435" t="str">
            <v>PROMOTIONAL STUFF,PARASOL,SOFT HIFLEX 3.</v>
          </cell>
          <cell r="E5435">
            <v>0</v>
          </cell>
          <cell r="F5435" t="str">
            <v>Chọn</v>
          </cell>
          <cell r="G5435"/>
          <cell r="H5435"/>
        </row>
        <row r="5436">
          <cell r="A5436" t="str">
            <v>V51.000.261</v>
          </cell>
          <cell r="B5436" t="str">
            <v>WHITE EMPTY PP BAG PRINTED KALI FINE STANDAR 60 MATERIAL FOR PRODUCTION, SIZE 50 KG</v>
          </cell>
          <cell r="C5436" t="str">
            <v>BAO PP TRẮNG IN KALI BỘT ĐỎ MỊN 60 NGUYÊN LIỆU CHO SẢN XUẤT, LOẠI 50 KG</v>
          </cell>
          <cell r="D5436" t="str">
            <v>WHITE EMPTY PP BAG PRINTED KALI FINE STANDAR 60 MATERIAL FOR PRODUCTION, SIZE 50 KG</v>
          </cell>
          <cell r="E5436">
            <v>0</v>
          </cell>
          <cell r="F5436" t="str">
            <v>Chọn</v>
          </cell>
          <cell r="G5436"/>
          <cell r="H5436"/>
        </row>
        <row r="5437">
          <cell r="A5437" t="str">
            <v>V51.000.262</v>
          </cell>
          <cell r="B5437" t="str">
            <v>CARGO BOX 450X450X400</v>
          </cell>
          <cell r="C5437" t="str">
            <v>THÙNG CHỞ HÀNG 450 X 450 X 400</v>
          </cell>
          <cell r="D5437" t="str">
            <v>CARGO BOX 450X450X400</v>
          </cell>
          <cell r="E5437">
            <v>0</v>
          </cell>
          <cell r="F5437" t="str">
            <v>Chọn</v>
          </cell>
          <cell r="G5437"/>
          <cell r="H5437"/>
        </row>
        <row r="5438">
          <cell r="A5438" t="str">
            <v>7.92419B7993701A001</v>
          </cell>
          <cell r="B5438" t="str">
            <v>ANCHOVY FISH SAUCE 40°N GLASS BOTTLES 500ML</v>
          </cell>
          <cell r="C5438" t="str">
            <v>NƯỚC MẮM NHỈ CÁ CƠM 40° ĐẠM HIỆU 584 NHA TRANG CHAI THỦY TINH 500ML</v>
          </cell>
          <cell r="D5438" t="str">
            <v>ANCHOVY FISH SAUCE 40°N GLASS BOTTLES 500ML</v>
          </cell>
          <cell r="E5438">
            <v>0.62</v>
          </cell>
          <cell r="F5438" t="str">
            <v>Chọn</v>
          </cell>
          <cell r="G5438"/>
          <cell r="H5438"/>
        </row>
        <row r="5439">
          <cell r="A5439" t="str">
            <v>7.92419B7993701A0</v>
          </cell>
          <cell r="B5439" t="str">
            <v>ANCHOVY FISH SAUCE 40°N GLASS BOTTLES 500ML X 12 BOT IN CARTON</v>
          </cell>
          <cell r="C5439" t="str">
            <v>NƯỚC MẮM NHỈ CÁ CƠM 40° ĐẠM HIỆU 584 NHA TRANG CHAI THỦY TINH 500ML X 12 CHAI ĐÓNG TRONG THÙNG CARTON</v>
          </cell>
          <cell r="D5439" t="str">
            <v>ANCHOVY FISH SAUCE 40°N GLASS BOTTLES 500ML X 12 BOT IN CARTON</v>
          </cell>
          <cell r="E5439">
            <v>7.39</v>
          </cell>
          <cell r="F5439" t="str">
            <v>Chọn</v>
          </cell>
          <cell r="G5439"/>
          <cell r="H5439" t="str">
            <v>7.92419B7993701A001</v>
          </cell>
        </row>
        <row r="5440">
          <cell r="A5440" t="str">
            <v>7.92419B7993701A101</v>
          </cell>
          <cell r="B5440" t="str">
            <v>ANCHOVY FISH SAUCE 35°N GLASS BOTTLES 500ML</v>
          </cell>
          <cell r="C5440" t="str">
            <v>NƯỚC MẮM NHỈ CÁ CƠM 35° ĐẠM HIỆU 584 NHA TRANG CHAI THỦY TINH 500ML</v>
          </cell>
          <cell r="D5440" t="str">
            <v>ANCHOVY FISH SAUCE 35°N GLASS BOTTLES 500ML</v>
          </cell>
          <cell r="E5440">
            <v>0.61</v>
          </cell>
          <cell r="F5440" t="str">
            <v>Chọn</v>
          </cell>
          <cell r="G5440"/>
          <cell r="H5440"/>
        </row>
        <row r="5441">
          <cell r="A5441" t="str">
            <v>7.92419B7993701A1</v>
          </cell>
          <cell r="B5441" t="str">
            <v>ANCHOVY FISH SAUCE 35°N GLASS BOTTLES 500ML X 12 BOT IN CARTON</v>
          </cell>
          <cell r="C5441" t="str">
            <v>NƯỚC MẮM NHỈ CÁ CƠM 35° ĐẠM HIỆU 584 NHA TRANG CHAI THỦY TINH 500ML X 12 CHAI ĐÓNG TRONG THÙNG CARTON</v>
          </cell>
          <cell r="D5441" t="str">
            <v>ANCHOVY FISH SAUCE 35°N GLASS BOTTLES 500ML X 12 BOT IN CARTON</v>
          </cell>
          <cell r="E5441">
            <v>7.36</v>
          </cell>
          <cell r="F5441" t="str">
            <v>Chọn</v>
          </cell>
          <cell r="G5441"/>
          <cell r="H5441" t="str">
            <v>7.92419B7993701A101</v>
          </cell>
        </row>
        <row r="5442">
          <cell r="A5442" t="str">
            <v>7.92419B7993701A201</v>
          </cell>
          <cell r="B5442" t="str">
            <v>ANCHOVY FISH SAUCE 25°N GLASS BOTTLES 500ML</v>
          </cell>
          <cell r="C5442" t="str">
            <v>NƯỚC MẮM NHỈ CÁ CƠM 25° ĐẠM HIỆU 584 NHA TRANG CHAI THỦY TINH 500ML</v>
          </cell>
          <cell r="D5442" t="str">
            <v>ANCHOVY FISH SAUCE 25°N GLASS BOTTLES 500ML</v>
          </cell>
          <cell r="E5442">
            <v>0.6</v>
          </cell>
          <cell r="F5442" t="str">
            <v>Chọn</v>
          </cell>
          <cell r="G5442"/>
          <cell r="H5442"/>
        </row>
        <row r="5443">
          <cell r="A5443" t="str">
            <v>7.92419B7993701A2</v>
          </cell>
          <cell r="B5443" t="str">
            <v>ANCHOVY FISH SAUCE 25°N GLASS BOTTLES 500ML X 15 BOT IN CARTON</v>
          </cell>
          <cell r="C5443" t="str">
            <v>NƯỚC MẮM NHỈ CÁ CƠM 25° ĐẠM HIỆU 584 NHA TRANG CHAI THỦY TINH 500ML X 15 CHAI ĐÓNG TRONG THÙNG CARTON</v>
          </cell>
          <cell r="D5443" t="str">
            <v>ANCHOVY FISH SAUCE 25°N GLASS BOTTLES 500ML X 15 BOT IN CARTON</v>
          </cell>
          <cell r="E5443">
            <v>9.0299999999999994</v>
          </cell>
          <cell r="F5443" t="str">
            <v>Chọn</v>
          </cell>
          <cell r="G5443"/>
          <cell r="H5443" t="str">
            <v>7.92419B7993701A201</v>
          </cell>
        </row>
        <row r="5444">
          <cell r="A5444" t="str">
            <v>7.92419B799F801A001</v>
          </cell>
          <cell r="B5444" t="str">
            <v>ANCHOVY FISH SAUCE 40°N GIFT PACK OF 02 GLASS BOTTLES 500ML</v>
          </cell>
          <cell r="C5444" t="str">
            <v>NƯỚC MẮM NHỈ CÁ CƠM 40° ĐẠM HIỆU 584 NHA TRANG HỘP 2 CHAI THỦY TINH 500ML</v>
          </cell>
          <cell r="D5444" t="str">
            <v>ANCHOVY FISH SAUCE 40°N GIFT PACK OF 02 GLASS BOTTLES 500ML</v>
          </cell>
          <cell r="E5444">
            <v>1.23</v>
          </cell>
          <cell r="F5444" t="str">
            <v>Chọn</v>
          </cell>
          <cell r="G5444"/>
          <cell r="H5444"/>
        </row>
        <row r="5445">
          <cell r="A5445" t="str">
            <v>7.92419B799F801A0</v>
          </cell>
          <cell r="B5445" t="str">
            <v>ANCHOVY FISH SAUCE 40°N GIFT PACK OF 02 GLASS BOTTLES 500ML X 3 PCS IN CARTON</v>
          </cell>
          <cell r="C5445" t="str">
            <v>NƯỚC MẮM NHỈ CÁ CƠM 40° ĐẠM HIỆU 584 NHA TRANG HỘP 2 CHAI THỦY TINH 500ML X 3 HỘP ĐÓNG TRONG THÙNG CARTON</v>
          </cell>
          <cell r="D5445" t="str">
            <v>ANCHOVY FISH SAUCE 40°N GIFT PACK OF 02 GLASS BOTTLES 500ML X 3 PCS IN CARTON</v>
          </cell>
          <cell r="E5445">
            <v>3.7</v>
          </cell>
          <cell r="F5445" t="str">
            <v>Chọn</v>
          </cell>
          <cell r="G5445"/>
          <cell r="H5445" t="str">
            <v>7.92419B799F801A001</v>
          </cell>
        </row>
        <row r="5446">
          <cell r="A5446" t="str">
            <v>7.92419B799F801A101</v>
          </cell>
          <cell r="B5446" t="str">
            <v>ANCHOVY FISH SAUCE 35°N GIFT PACK OF 02 GLASS BOTTLES 500ML</v>
          </cell>
          <cell r="C5446" t="str">
            <v>NƯỚC MẮM NHỈ CÁ CƠM 35° ĐẠM HIỆU 584 NHA TRANG HỘP 2 CHAI THỦY TINH 500ML</v>
          </cell>
          <cell r="D5446" t="str">
            <v>ANCHOVY FISH SAUCE 35°N GIFT PACK OF 02 GLASS BOTTLES 500ML</v>
          </cell>
          <cell r="E5446">
            <v>1.23</v>
          </cell>
          <cell r="F5446" t="str">
            <v>Chọn</v>
          </cell>
          <cell r="G5446"/>
          <cell r="H5446"/>
        </row>
        <row r="5447">
          <cell r="A5447" t="str">
            <v>7.92419B799F801A1</v>
          </cell>
          <cell r="B5447" t="str">
            <v>ANCHOVY FISH SAUCE 35°N GIFT PACK OF 02 GLASS BOTTLES 500ML X 3 PCS IN CARTON</v>
          </cell>
          <cell r="C5447" t="str">
            <v>NƯỚC MẮM NHỈ CÁ CƠM 35° ĐẠM HIỆU 584 NHA TRANG HỘP 2 CHAI THỦY TINH 500ML X 3 HỘP ĐÓNG TRONG THÙNG CARTON</v>
          </cell>
          <cell r="D5447" t="str">
            <v>ANCHOVY FISH SAUCE 35°N GIFT PACK OF 02 GLASS BOTTLES 500ML X 3 PCS IN CARTON</v>
          </cell>
          <cell r="E5447">
            <v>3.68</v>
          </cell>
          <cell r="F5447" t="str">
            <v>Chọn</v>
          </cell>
          <cell r="G5447"/>
          <cell r="H5447" t="str">
            <v>7.92419B799F801A101</v>
          </cell>
        </row>
        <row r="5448">
          <cell r="A5448" t="str">
            <v>7.52213409A321901</v>
          </cell>
          <cell r="B5448" t="str">
            <v>BLUE COMPASS NOODLEFL PRO9-12%PPBAG@40KG</v>
          </cell>
          <cell r="C5448" t="str">
            <v>BỘT MÌ LA BÀN XANH (40KG)</v>
          </cell>
          <cell r="D5448" t="str">
            <v>BLUE COMPASS NOODLEFL PRO9-12%PPBAG@40KG</v>
          </cell>
          <cell r="E5448">
            <v>40</v>
          </cell>
          <cell r="F5448" t="str">
            <v>Chọn</v>
          </cell>
          <cell r="G5448"/>
          <cell r="H5448"/>
        </row>
        <row r="5449">
          <cell r="A5449" t="str">
            <v>N04.0017001.00045</v>
          </cell>
          <cell r="B5449" t="str">
            <v>APRON, MATERIAL:KAKI 65/35, SIZE:90 X 61 X 62 CM</v>
          </cell>
          <cell r="C5449" t="str">
            <v>TẠP DỀ DẦU HÀO NAM DƯƠNG MÀU CAM</v>
          </cell>
          <cell r="D5449" t="str">
            <v>APRON,KAKI 65/35</v>
          </cell>
          <cell r="E5449">
            <v>0</v>
          </cell>
          <cell r="F5449" t="str">
            <v>Chọn</v>
          </cell>
          <cell r="G5449"/>
          <cell r="H5449"/>
        </row>
        <row r="5450">
          <cell r="A5450" t="str">
            <v>N04.0018001.00103</v>
          </cell>
          <cell r="B5450" t="str">
            <v>BAG, TYPE:TOTE/GOODIE, MATERIAL:PU MATERIAL, SIZE:21 CM L X 7 CM W X  12 CM H, ADDITIONAL DETAILS:LOGO: 1 COLOR, VIETNAM MARKET, BRAND:NEPTUNE</v>
          </cell>
          <cell r="C5450" t="str">
            <v>TÚI ĐỰNG MỸ PHẨM</v>
          </cell>
          <cell r="D5450" t="str">
            <v>BAG,21 CM L X 7 CM W X  12 CM H,NEPTUNE,</v>
          </cell>
          <cell r="E5450">
            <v>0</v>
          </cell>
          <cell r="F5450" t="str">
            <v>Chọn</v>
          </cell>
          <cell r="G5450"/>
          <cell r="H5450"/>
        </row>
        <row r="5451">
          <cell r="A5451" t="str">
            <v>7.8100001B8A000100</v>
          </cell>
          <cell r="B5451" t="str">
            <v>ZINC STEARATE AV310W IN PLASTICBAG@25KG</v>
          </cell>
          <cell r="C5451" t="str">
            <v>KẼM STEARAT AV310W; BAO NHỰA 25KG</v>
          </cell>
          <cell r="D5451" t="str">
            <v>ZINC STEARATE AV310W IN PLASTICBAG@25KG</v>
          </cell>
          <cell r="E5451">
            <v>25</v>
          </cell>
          <cell r="F5451" t="str">
            <v>Chọn</v>
          </cell>
          <cell r="G5451"/>
          <cell r="H5451"/>
        </row>
        <row r="5452">
          <cell r="A5452" t="str">
            <v>7.8100001B8A000200</v>
          </cell>
          <cell r="B5452" t="str">
            <v>ZINC STEARATE AV301W IN PLASTICBAG@25KG</v>
          </cell>
          <cell r="C5452" t="str">
            <v>KẼM STEARAT AV301W; BAO NHỰA 25KG</v>
          </cell>
          <cell r="D5452" t="str">
            <v>ZINC STEARATE AV301W IN PLASTICBAG@25KG</v>
          </cell>
          <cell r="E5452">
            <v>25</v>
          </cell>
          <cell r="F5452" t="str">
            <v>Chọn</v>
          </cell>
          <cell r="G5452"/>
          <cell r="H5452"/>
        </row>
        <row r="5453">
          <cell r="A5453" t="str">
            <v>7.8100001B8A000300</v>
          </cell>
          <cell r="B5453" t="str">
            <v>ZINC STEARATE AV320 IN PLASTICBAG@25KG</v>
          </cell>
          <cell r="C5453" t="str">
            <v>KẼM STEARAT AV320; BAO NHỰA 25KG</v>
          </cell>
          <cell r="D5453" t="str">
            <v>ZINC STEARATE AV320 IN PLASTICBAG@25KG</v>
          </cell>
          <cell r="E5453">
            <v>25</v>
          </cell>
          <cell r="F5453" t="str">
            <v>Chọn</v>
          </cell>
          <cell r="G5453"/>
          <cell r="H5453"/>
        </row>
        <row r="5454">
          <cell r="A5454" t="str">
            <v>7.118110B419217010TD</v>
          </cell>
          <cell r="B5454" t="str">
            <v>SIMPLY MAYO RICE ROASTED FLVR BTL@230G</v>
          </cell>
          <cell r="C5454" t="str">
            <v>MAYONNAISE HƯƠNG GẠO RANG 230G</v>
          </cell>
          <cell r="D5454" t="str">
            <v>SIMPLY MAYO RICE ROASTED FLVR BTL@230G</v>
          </cell>
          <cell r="E5454">
            <v>0.23</v>
          </cell>
          <cell r="F5454" t="str">
            <v>Chọn</v>
          </cell>
          <cell r="G5454"/>
          <cell r="H5454"/>
        </row>
        <row r="5455">
          <cell r="A5455" t="str">
            <v>7.5180061402408010TD</v>
          </cell>
          <cell r="B5455" t="str">
            <v>NEPTUNE PORK BOUILLON GRANULE PEBAG@380G</v>
          </cell>
          <cell r="C5455" t="str">
            <v>HẠT NÊM 4 TRONG 1 VỊ HEO 380G</v>
          </cell>
          <cell r="D5455" t="str">
            <v>NEPTUNE PORK BOUILLON GRANULE PEBAG@380G</v>
          </cell>
          <cell r="E5455">
            <v>0.38</v>
          </cell>
          <cell r="F5455" t="str">
            <v>Chọn</v>
          </cell>
          <cell r="G5455"/>
          <cell r="H5455"/>
        </row>
        <row r="5456">
          <cell r="A5456" t="str">
            <v>V78.000.047</v>
          </cell>
          <cell r="B5456" t="str">
            <v>SET AO DAI TET NEPTUNE</v>
          </cell>
          <cell r="C5456" t="str">
            <v>BỘ ÁO DÀI NỮ PG</v>
          </cell>
          <cell r="D5456" t="str">
            <v>SET AO DAI TET NEPTUNE</v>
          </cell>
          <cell r="E5456">
            <v>0</v>
          </cell>
          <cell r="F5456" t="str">
            <v>Chọn</v>
          </cell>
          <cell r="G5456"/>
          <cell r="H5456"/>
        </row>
        <row r="5457">
          <cell r="A5457" t="str">
            <v>V78.000.048</v>
          </cell>
          <cell r="B5457" t="str">
            <v>T-SHIRT TET NEPTUNE</v>
          </cell>
          <cell r="C5457" t="str">
            <v>ÁO THUN TẾT NEPTUNE</v>
          </cell>
          <cell r="D5457" t="str">
            <v>T-SHIRT TET NEPTUNE</v>
          </cell>
          <cell r="E5457">
            <v>0</v>
          </cell>
          <cell r="F5457" t="str">
            <v>Chọn</v>
          </cell>
          <cell r="G5457"/>
          <cell r="H5457"/>
        </row>
        <row r="5458">
          <cell r="A5458" t="str">
            <v>7.5630080190030600TD</v>
          </cell>
          <cell r="B5458" t="str">
            <v>NAM DUONG TOMATO SAUCE IN BOTTLE@255G</v>
          </cell>
          <cell r="C5458" t="str">
            <v>TƯƠNG CÀ NAM DƯƠNG 255G</v>
          </cell>
          <cell r="D5458" t="str">
            <v>NAM DUONG TOMATO SAUCE IN BOTTLE@255G</v>
          </cell>
          <cell r="E5458">
            <v>0.255</v>
          </cell>
          <cell r="F5458" t="str">
            <v>Chọn</v>
          </cell>
          <cell r="G5458"/>
          <cell r="H5458"/>
        </row>
        <row r="5459">
          <cell r="A5459" t="str">
            <v>N04.0019026.00393</v>
          </cell>
          <cell r="B5459" t="str">
            <v>UNIFORM, TYPE:SHORT SLEEVE, MODEL:POLO T SHIRT, COLOR:BLUE, MATERIAL:RAYON, NYLON, MARKING:VFM LOGO AT FRONT, AT 220, BRAND:POLO</v>
          </cell>
          <cell r="C5459" t="str">
            <v>ÁO THUN POLO BASIC</v>
          </cell>
          <cell r="D5459" t="str">
            <v>UNIFORM,SHORT SLEEVE,POLO T SHIRT,VFM LO</v>
          </cell>
          <cell r="E5459">
            <v>0</v>
          </cell>
          <cell r="F5459" t="str">
            <v>Chọn</v>
          </cell>
          <cell r="G5459"/>
          <cell r="H5459"/>
        </row>
        <row r="5460">
          <cell r="A5460" t="str">
            <v>N16.0388003.00163</v>
          </cell>
          <cell r="B5460" t="str">
            <v>HANGER,HANGER, SIZE:210 X 187 MM, ADDITIONAL DETAILS:LOAD CAPACITY : 15 KG</v>
          </cell>
          <cell r="C5460" t="str">
            <v>DÂY TREO CHAI</v>
          </cell>
          <cell r="D5460" t="str">
            <v>HANGER,HANGER</v>
          </cell>
          <cell r="E5460">
            <v>0</v>
          </cell>
          <cell r="F5460" t="str">
            <v>Chọn</v>
          </cell>
          <cell r="G5460"/>
          <cell r="H5460"/>
        </row>
        <row r="5461">
          <cell r="A5461" t="str">
            <v>7.522208012631901</v>
          </cell>
          <cell r="B5461" t="str">
            <v xml:space="preserve">ACE-111 WOODGLUE FLOUR ASH 3% PPBAG@5KG_x000D_
</v>
          </cell>
          <cell r="C5461" t="str">
            <v>BỘT MÌ CÔNG NGHIỆP ACE-111 (NGUYÊN LIỆU SẢN XUẤT HỒ DÁN, KEO DÁN GỖ) 5KG</v>
          </cell>
          <cell r="D5461" t="str">
            <v xml:space="preserve">ACE-111 WOODGLUE FLOUR ASH 3% PPBAG@5KG_x000D_
</v>
          </cell>
          <cell r="E5461">
            <v>5</v>
          </cell>
          <cell r="F5461" t="str">
            <v>Chọn</v>
          </cell>
          <cell r="G5461"/>
          <cell r="H5461"/>
        </row>
        <row r="5462">
          <cell r="A5462" t="str">
            <v>7.J4301109902019901</v>
          </cell>
          <cell r="B5462" t="str">
            <v>GREEN MUNG BEAN IN PACK 1KG</v>
          </cell>
          <cell r="C5462" t="str">
            <v>ĐẬU XANH HẠT ĐÓNG TRONG TÚI 1KG</v>
          </cell>
          <cell r="D5462" t="str">
            <v>MUNG BEAN</v>
          </cell>
          <cell r="E5462">
            <v>1</v>
          </cell>
          <cell r="F5462" t="str">
            <v>Chọn</v>
          </cell>
          <cell r="G5462"/>
          <cell r="H5462"/>
        </row>
        <row r="5463">
          <cell r="A5463" t="str">
            <v>7.J43011099020199</v>
          </cell>
          <cell r="B5463" t="str">
            <v>GREEN MUNG BEAN 1KG X 25 BAGS IN PP BAG</v>
          </cell>
          <cell r="C5463" t="str">
            <v>ĐẬU XANH HẠT TÚI 1KG X 25 TÚI ĐÓNG TRONG BAO PP</v>
          </cell>
          <cell r="D5463" t="str">
            <v>MUNG BEAN</v>
          </cell>
          <cell r="E5463">
            <v>25</v>
          </cell>
          <cell r="F5463" t="str">
            <v>Chọn</v>
          </cell>
          <cell r="G5463"/>
          <cell r="H5463" t="str">
            <v>7.J4301109902019901</v>
          </cell>
        </row>
        <row r="5464">
          <cell r="A5464" t="str">
            <v>7.E3804789985I9D401</v>
          </cell>
          <cell r="B5464" t="str">
            <v>MEADOW FRESH WHIPPING CREAM UHT 1L, NEW ZEALAND ORIGIN</v>
          </cell>
          <cell r="C5464" t="str">
            <v>KEM SỮA ĐÁNH TIỆT TRÙNG NHÃN HIỆU MEADOW FRESH 1L XUẤT XỨ NEW ZEALAND</v>
          </cell>
          <cell r="D5464" t="str">
            <v>MEADOW FRESH WHIPPING CREAM UHT 1L, NEW ZEALAND ORIGIN</v>
          </cell>
          <cell r="E5464">
            <v>1</v>
          </cell>
          <cell r="F5464" t="str">
            <v>Chọn</v>
          </cell>
          <cell r="G5464"/>
          <cell r="H5464"/>
        </row>
        <row r="5465">
          <cell r="A5465" t="str">
            <v>7.E3804789985I9D4</v>
          </cell>
          <cell r="B5465" t="str">
            <v>MEADOW FRESH WHIPPING CREAM UHT 1LX12, NEW ZEALAND ORIGIN</v>
          </cell>
          <cell r="C5465" t="str">
            <v>KEM SỮA ĐÁNH TIỆT TRÙNG NHÃN HIỆU MEADOW FRESH 1LX12 XUẤT XỨ NEW ZEALAND</v>
          </cell>
          <cell r="D5465" t="str">
            <v>MEADOW FRESH WHIPPING CREAM UHT 1LX12, NEW ZEALAND ORIGIN</v>
          </cell>
          <cell r="E5465">
            <v>12</v>
          </cell>
          <cell r="F5465" t="str">
            <v>Chọn</v>
          </cell>
          <cell r="G5465"/>
          <cell r="H5465" t="str">
            <v>7.E3804789985I9D401</v>
          </cell>
        </row>
        <row r="5466">
          <cell r="A5466" t="str">
            <v>7.92423C399F9A0D501</v>
          </cell>
          <cell r="B5466" t="str">
            <v xml:space="preserve">GRANORO BOLOGNESE TOMATO SAUCE 370GR_x000D_
</v>
          </cell>
          <cell r="C5466" t="str">
            <v>XỐT CÀ CHUA BOLOGNESE NHÃN HIỆU GRANORO 370G</v>
          </cell>
          <cell r="D5466" t="str">
            <v xml:space="preserve">GRANORO BOLOGNESE TOMATO SAUCE 370GR_x000D_
</v>
          </cell>
          <cell r="E5466">
            <v>0.37</v>
          </cell>
          <cell r="F5466" t="str">
            <v>Chọn</v>
          </cell>
          <cell r="G5466"/>
          <cell r="H5466"/>
        </row>
        <row r="5467">
          <cell r="A5467" t="str">
            <v>7.92423C399F9A0D601</v>
          </cell>
          <cell r="B5467" t="str">
            <v xml:space="preserve">GRANORO TOMATO BASIL SAUCE 370GR_x000D_
</v>
          </cell>
          <cell r="C5467" t="str">
            <v>XỐT CÀ CHUA HÚNG QUẾ NHÃN HIỆU GRANORO 370G</v>
          </cell>
          <cell r="D5467" t="str">
            <v xml:space="preserve">GRANORO TOMATO BASIL SAUCE 370GR_x000D_
</v>
          </cell>
          <cell r="E5467">
            <v>0.37</v>
          </cell>
          <cell r="F5467" t="str">
            <v>Chọn</v>
          </cell>
          <cell r="G5467"/>
          <cell r="H5467"/>
        </row>
        <row r="5468">
          <cell r="A5468" t="str">
            <v>V58.000.006</v>
          </cell>
          <cell r="B5468" t="str">
            <v>LARGE-SIZED PROMOTIONAL TAPE</v>
          </cell>
          <cell r="C5468" t="str">
            <v>BĂNG KEO KHUYẾN MÃI KHỔ LỚN</v>
          </cell>
          <cell r="D5468" t="str">
            <v>LARGE-SIZED PROMOTIONAL TAPE</v>
          </cell>
          <cell r="E5468">
            <v>0</v>
          </cell>
          <cell r="F5468" t="str">
            <v>Chọn</v>
          </cell>
          <cell r="G5468"/>
          <cell r="H5468"/>
        </row>
        <row r="5469">
          <cell r="A5469" t="str">
            <v>V58.000.007</v>
          </cell>
          <cell r="B5469" t="str">
            <v>SMALL-SIZED PROMOTIONAL TAPE</v>
          </cell>
          <cell r="C5469" t="str">
            <v>BĂNG KEO KHUYẾN MÃI KHỔ NHỎ</v>
          </cell>
          <cell r="D5469" t="str">
            <v>SMALL-SIZED PROMOTIONAL TAPE</v>
          </cell>
          <cell r="E5469">
            <v>0</v>
          </cell>
          <cell r="F5469" t="str">
            <v>Chọn</v>
          </cell>
          <cell r="G5469"/>
          <cell r="H5469"/>
        </row>
        <row r="5470">
          <cell r="A5470" t="str">
            <v>V51.000.263</v>
          </cell>
          <cell r="B5470" t="str">
            <v>CROSSBODY BAG</v>
          </cell>
          <cell r="C5470" t="str">
            <v>TÚI ĐEO CHÉO</v>
          </cell>
          <cell r="D5470" t="str">
            <v>CROSSBODY BAG</v>
          </cell>
          <cell r="E5470">
            <v>0</v>
          </cell>
          <cell r="F5470" t="str">
            <v>Chọn</v>
          </cell>
          <cell r="G5470"/>
          <cell r="H5470"/>
        </row>
        <row r="5471">
          <cell r="A5471" t="str">
            <v>7.E380578990501D7</v>
          </cell>
          <cell r="B5471" t="str">
            <v>MEADOW FRESH UNSALTED BUTTER IN CARTON 25KG</v>
          </cell>
          <cell r="C5471" t="str">
            <v>BƠ LẠT NHÃN HIỆU MEADOW FRESH ĐÓNG TRONG THÙNG CARTON 25KG</v>
          </cell>
          <cell r="D5471" t="str">
            <v>MEADOW FRESH UNSALTED BUTTER IN CARTON 25KG</v>
          </cell>
          <cell r="E5471">
            <v>25</v>
          </cell>
          <cell r="F5471" t="str">
            <v>Chọn</v>
          </cell>
          <cell r="G5471"/>
          <cell r="H5471"/>
        </row>
        <row r="5472">
          <cell r="A5472" t="str">
            <v>7.59801031591016</v>
          </cell>
          <cell r="B5472" t="str">
            <v>NEPTUNE PORK BG@850G+MEIZANGOLD CO@400ML</v>
          </cell>
          <cell r="C5472" t="str">
            <v>HẠT NÊM 4 TRONG 1 VỊ HEO 850G ĐÓNG KÈM 01 CHAI DẦU ĂN CAO CẤP NHÃN HIỆU MEIZAN GOLD 400 ML</v>
          </cell>
          <cell r="D5472" t="str">
            <v>NEPTUNE PORK BG@850G+MEIZANGOLD CO@400ML</v>
          </cell>
          <cell r="E5472">
            <v>1.17</v>
          </cell>
          <cell r="F5472" t="str">
            <v>Chọn</v>
          </cell>
          <cell r="G5472" t="str">
            <v>2000000008</v>
          </cell>
          <cell r="H5472"/>
        </row>
        <row r="5473">
          <cell r="A5473" t="str">
            <v>7.59801031590616</v>
          </cell>
          <cell r="B5473" t="str">
            <v>(NEPTUNE PBG@850G+MEIZANGOLDCO@400ML)*10</v>
          </cell>
          <cell r="C5473" t="str">
            <v>HẠT NÊM 4 TRONG 1 VỊ HEO 850G X 10 GÓI ĐÓNG KÈM 10 CHAI DẦU ĂN CAO CẤP NHÃN HIỆU MEIZAN GOLD 400 ML/ THÙNG</v>
          </cell>
          <cell r="D5473" t="str">
            <v>(NEPTUNE PBG@850G+MEIZANGOLDCO@400ML)*10</v>
          </cell>
          <cell r="E5473">
            <v>11.7</v>
          </cell>
          <cell r="F5473" t="str">
            <v>Chọn</v>
          </cell>
          <cell r="G5473" t="str">
            <v>2000000008</v>
          </cell>
          <cell r="H5473" t="str">
            <v>7.59801031591016</v>
          </cell>
        </row>
        <row r="5474">
          <cell r="A5474" t="str">
            <v>7.J4302109902019901</v>
          </cell>
          <cell r="B5474" t="str">
            <v>HULLED SESAME SEED 99.97% 1KG IN PACK</v>
          </cell>
          <cell r="C5474" t="str">
            <v>HẠT MÈ (VỪNG) TÁCH VỎ 99.97% ĐÓNG TRONG GÓI 1KG</v>
          </cell>
          <cell r="D5474" t="str">
            <v>HULLED SESAME SEED 99.97% 1KG IN PACK</v>
          </cell>
          <cell r="E5474">
            <v>1</v>
          </cell>
          <cell r="F5474" t="str">
            <v>Chọn</v>
          </cell>
          <cell r="G5474"/>
          <cell r="H5474"/>
        </row>
        <row r="5475">
          <cell r="A5475" t="str">
            <v>7.J43021099020199</v>
          </cell>
          <cell r="B5475" t="str">
            <v>HULLED SESAME SEED 99.97% 1KG X 25 PACK IN PP MASTER BAG</v>
          </cell>
          <cell r="C5475" t="str">
            <v>HẠT MÈ (VỪNG) TÁCH VỎ 99.97% 1KG X 25 GÓI ĐÓNG TRONG BAO PP</v>
          </cell>
          <cell r="D5475" t="str">
            <v>HULLED SESAME SEED 99.97% 1KG X 25 PACK IN PP MASTER BAG</v>
          </cell>
          <cell r="E5475">
            <v>25</v>
          </cell>
          <cell r="F5475" t="str">
            <v>Chọn</v>
          </cell>
          <cell r="G5475"/>
          <cell r="H5475" t="str">
            <v>7.J4302109902019901</v>
          </cell>
        </row>
        <row r="5476">
          <cell r="A5476" t="str">
            <v>7.J43021099050199</v>
          </cell>
          <cell r="B5476" t="str">
            <v>HULLED SESAME SEED 99.97% IN 25KG PP BAG</v>
          </cell>
          <cell r="C5476" t="str">
            <v>HẠT MÈ (VỪNG) TÁCH VỎ 99.97% ĐÓNG TRONG BAO 25KG</v>
          </cell>
          <cell r="D5476" t="str">
            <v>HULLED SESAME SEED 99.97% IN 25KG PP BAG</v>
          </cell>
          <cell r="E5476">
            <v>25</v>
          </cell>
          <cell r="F5476" t="str">
            <v>Chọn</v>
          </cell>
          <cell r="G5476"/>
          <cell r="H5476"/>
        </row>
        <row r="5477">
          <cell r="A5477" t="str">
            <v>N04.0001006.00196</v>
          </cell>
          <cell r="B5477" t="str">
            <v>SPEAKER, TYPE:PORTABLE, ORDER TYPE:MINI SPEAKER, WATTAGE:5 W, ADDITIONAL DETAILS:CAPACITY: 350 MAH, BRAND:AMO</v>
          </cell>
          <cell r="C5477" t="str">
            <v>LOA BLUETOOTH</v>
          </cell>
          <cell r="D5477" t="str">
            <v>SPEAKER,AMO,PORTABLE,MINI SPEAKER</v>
          </cell>
          <cell r="E5477">
            <v>0</v>
          </cell>
          <cell r="F5477" t="str">
            <v>Chọn</v>
          </cell>
          <cell r="G5477"/>
          <cell r="H5477"/>
        </row>
        <row r="5478">
          <cell r="A5478" t="str">
            <v>7245-0000032</v>
          </cell>
          <cell r="B5478" t="str">
            <v>MEIZAN RBD COCONUT OIL@ 20KG BIB CARTON</v>
          </cell>
          <cell r="C5478" t="str">
            <v>DẦU DỪA TINH LUYỆN MEIZAN 20KG</v>
          </cell>
          <cell r="D5478" t="str">
            <v>MEIZAN RBD COCONUT OIL@ 20KG BIB CARTON</v>
          </cell>
          <cell r="E5478">
            <v>20</v>
          </cell>
          <cell r="F5478" t="str">
            <v>Chọn</v>
          </cell>
          <cell r="G5478"/>
          <cell r="H5478"/>
        </row>
        <row r="5479">
          <cell r="A5479" t="str">
            <v>7.1060120202308010</v>
          </cell>
          <cell r="B5479" t="str">
            <v>SHORTENING MEIZAN 36-39 IN PE BAG @20KG</v>
          </cell>
          <cell r="C5479" t="str">
            <v>SHORTENING MEIZAN 36-39 MEIZAN 20KG</v>
          </cell>
          <cell r="D5479" t="str">
            <v>SHORTENING MEIZAN 36-39 IN PE BAG @20KG</v>
          </cell>
          <cell r="E5479">
            <v>20</v>
          </cell>
          <cell r="F5479" t="str">
            <v>Chọn</v>
          </cell>
          <cell r="G5479"/>
          <cell r="H5479"/>
        </row>
        <row r="5480">
          <cell r="A5480" t="str">
            <v>7.74104034050000</v>
          </cell>
          <cell r="B5480" t="str">
            <v>SLES 1-MOL IN ISOTANK @23MT</v>
          </cell>
          <cell r="C5480" t="str">
            <v>SODIUM LAURYL ETHER SULPHATE 1EO ĐÓNG TRONG ISOTANK</v>
          </cell>
          <cell r="D5480" t="str">
            <v>SLES 1-MOL IN ISOTANK @23MT</v>
          </cell>
          <cell r="E5480">
            <v>1</v>
          </cell>
          <cell r="F5480" t="str">
            <v>Chọn</v>
          </cell>
          <cell r="G5480"/>
          <cell r="H5480"/>
        </row>
        <row r="5481">
          <cell r="A5481" t="str">
            <v>N04.0017001.00047</v>
          </cell>
          <cell r="B5481" t="str">
            <v>APRON, MATERIAL:KAKI 65/35, ADDITIONAL DETAILS:65% POLY, 35% COTT</v>
          </cell>
          <cell r="C5481" t="str">
            <v>TẠP DỀ MEIZAN - NỘI ĐỊA KHÔNG LỚP LÓT</v>
          </cell>
          <cell r="D5481" t="str">
            <v>APRON,KAKI 65/35</v>
          </cell>
          <cell r="E5481">
            <v>0</v>
          </cell>
          <cell r="F5481" t="str">
            <v>Chọn</v>
          </cell>
          <cell r="G5481"/>
          <cell r="H5481"/>
        </row>
        <row r="5482">
          <cell r="A5482" t="str">
            <v>7.92514B6994701D801</v>
          </cell>
          <cell r="B5482" t="str">
            <v>DHFOODS BBQ SAUCE FOR HONEY GRILLED MEAT 80GR</v>
          </cell>
          <cell r="C5482" t="str">
            <v>XỐT GIA VỊ HOÀN CHỈNH NƯỚNG MẬT ONG NHÃN HIỆU DHFOODS 80G</v>
          </cell>
          <cell r="D5482" t="str">
            <v>DHFOODS BBQ SAUCE FOR HONEY GRILLED MEAT 80GR</v>
          </cell>
          <cell r="E5482">
            <v>0.08</v>
          </cell>
          <cell r="F5482" t="str">
            <v>Chọn</v>
          </cell>
          <cell r="G5482"/>
          <cell r="H5482"/>
        </row>
        <row r="5483">
          <cell r="A5483" t="str">
            <v>7.92514B6994701D8</v>
          </cell>
          <cell r="B5483" t="str">
            <v>DHFOODS BBQ SAUCE FOR HONEY GRILLED MEAT 80GR X 20 X 6 BOXES IN CARTON</v>
          </cell>
          <cell r="C5483" t="str">
            <v>XỐT GIA VỊ HOÀN CHỈNH NƯỚNG MẬT ONG NHÃN HIỆU DHFOODS 80G X 20 X 6 HỘP ĐÓNG TRONG THÙNG CARTON</v>
          </cell>
          <cell r="D5483" t="str">
            <v>DHFOODS BBQ SAUCE FOR HONEY GRILLED MEAT 80GR X 20 X 6 BOXES IN CARTON</v>
          </cell>
          <cell r="E5483">
            <v>9.6</v>
          </cell>
          <cell r="F5483" t="str">
            <v>Chọn</v>
          </cell>
          <cell r="G5483"/>
          <cell r="H5483" t="str">
            <v>7.92514B6994701D801</v>
          </cell>
        </row>
        <row r="5484">
          <cell r="A5484" t="str">
            <v>7.92524B69947L2D901</v>
          </cell>
          <cell r="B5484" t="str">
            <v>DHFOODS SOUP BASE FOR BEEF STEW 80GR</v>
          </cell>
          <cell r="C5484" t="str">
            <v>XỐT GIA VỊ HOÀN CHỈNH BÒ KHO NHÃN HIỆU DHFOODS 80G</v>
          </cell>
          <cell r="D5484" t="str">
            <v>DHFOODS SOUP BASE FOR BEEF STEW 80GR</v>
          </cell>
          <cell r="E5484">
            <v>0.08</v>
          </cell>
          <cell r="F5484" t="str">
            <v>Chọn</v>
          </cell>
          <cell r="G5484"/>
          <cell r="H5484"/>
        </row>
        <row r="5485">
          <cell r="A5485" t="str">
            <v>7.92524B69947L2D9</v>
          </cell>
          <cell r="B5485" t="str">
            <v>DHFOODS SOUP BASE FOR BEEF STEW 80GR X 20 X 6 BOXES IN CARTON</v>
          </cell>
          <cell r="C5485" t="str">
            <v>XỐT GIA VỊ HOÀN CHỈNH BÒ KHO NHÃN HIỆU DHFOODS 80G X 20 X 6 HỘP ĐÓNG TRONG THÙNG CARTON</v>
          </cell>
          <cell r="D5485" t="str">
            <v>DHFOODS SOUP BASE FOR BEEF STEW 80GR X 20 X 6 BOXES IN CARTON</v>
          </cell>
          <cell r="E5485">
            <v>9.6</v>
          </cell>
          <cell r="F5485" t="str">
            <v>Chọn</v>
          </cell>
          <cell r="G5485"/>
          <cell r="H5485" t="str">
            <v>7.92524B69947L2D901</v>
          </cell>
        </row>
        <row r="5486">
          <cell r="A5486" t="str">
            <v>7.92524B69947L39901</v>
          </cell>
          <cell r="B5486" t="str">
            <v>DHFOODS VIETNAMESE BRAISING SAUCE FOR MEAT &amp; FISH 80GR</v>
          </cell>
          <cell r="C5486" t="str">
            <v>XỐT GIA VỊ HOÀN CHỈNH KHO THỊT CÁ NHÃN HIỆU DHFOODS 80G</v>
          </cell>
          <cell r="D5486" t="str">
            <v>DHFOODS VIETNAMESE BRAISING SAUCE FOR MEAT &amp; FISH 80GR</v>
          </cell>
          <cell r="E5486">
            <v>0.08</v>
          </cell>
          <cell r="F5486" t="str">
            <v>Chọn</v>
          </cell>
          <cell r="G5486"/>
          <cell r="H5486"/>
        </row>
        <row r="5487">
          <cell r="A5487" t="str">
            <v>7.92524B69947L399</v>
          </cell>
          <cell r="B5487" t="str">
            <v>DHFOODS VIETNAMESE BRAISING SAUCE FOR MEAT &amp; FISH 80GR X 20 X 6 BOXES IN CARTON</v>
          </cell>
          <cell r="C5487" t="str">
            <v>XỐT GIA VỊ HOÀN CHỈNH KHO THỊT CÁ NHÃN HIỆU DHFOODS 80G X 20 X 6 HỘP ĐÓNG TRONG THÙNG CARTON</v>
          </cell>
          <cell r="D5487" t="str">
            <v>DHFOODS VIETNAMESE BRAISING SAUCE FOR MEAT &amp; FISH 80GR X 20 X 6 BOXES IN CARTON</v>
          </cell>
          <cell r="E5487">
            <v>9.6</v>
          </cell>
          <cell r="F5487" t="str">
            <v>Chọn</v>
          </cell>
          <cell r="G5487"/>
          <cell r="H5487" t="str">
            <v>7.92524B69947L39901</v>
          </cell>
        </row>
        <row r="5488">
          <cell r="A5488" t="str">
            <v>7.92524B69947L3E001</v>
          </cell>
          <cell r="B5488" t="str">
            <v>DHFOODS VIETNAMESE CARAMEL BRAISING SAUCE 80GR</v>
          </cell>
          <cell r="C5488" t="str">
            <v>XỐT GIA VỊ HOÀN CHỈNH KHO TÀU NHÃN HIỆU DHFOODS 80G</v>
          </cell>
          <cell r="D5488" t="str">
            <v>DHFOODS VIETNAMESE CARAMEL BRAISING SAUCE 80GR</v>
          </cell>
          <cell r="E5488">
            <v>0.08</v>
          </cell>
          <cell r="F5488" t="str">
            <v>Chọn</v>
          </cell>
          <cell r="G5488"/>
          <cell r="H5488"/>
        </row>
        <row r="5489">
          <cell r="A5489" t="str">
            <v>7.92524B69947L3E0</v>
          </cell>
          <cell r="B5489" t="str">
            <v>DHFOODS VIETNAMESE CARAMEL BRAISING SAUCE 80GR X 20 X 6 BOXES IN CARTON</v>
          </cell>
          <cell r="C5489" t="str">
            <v>XỐT GIA VỊ HOÀN CHỈNH KHO TÀU NHÃN HIỆU DHFOODS 80G X 20 X 6 HỘP ĐÓNG TRONG THÙNG CARTON</v>
          </cell>
          <cell r="D5489" t="str">
            <v>DHFOODS VIETNAMESE CARAMEL BRAISING SAUCE 80GR X 20 X 6 BOXES IN CARTON</v>
          </cell>
          <cell r="E5489">
            <v>9.6</v>
          </cell>
          <cell r="F5489" t="str">
            <v>Chọn</v>
          </cell>
          <cell r="G5489"/>
          <cell r="H5489" t="str">
            <v>7.92524B69947L3E001</v>
          </cell>
        </row>
        <row r="5490">
          <cell r="A5490" t="str">
            <v>7.92524B69947L40801</v>
          </cell>
          <cell r="B5490" t="str">
            <v>DHFOODS STIR-FRY SAUCE WITH SWEET &amp; SOUR TASTE 80GR</v>
          </cell>
          <cell r="C5490" t="str">
            <v>XỐT GIA VỊ HOÀN CHỈNH XÀO CHUA NGỌT NHÃN HIỆU DHFOODS 80G</v>
          </cell>
          <cell r="D5490" t="str">
            <v>DHFOODS STIR-FRY SAUCE WITH SWEET &amp; SOUR TASTE 80GR</v>
          </cell>
          <cell r="E5490">
            <v>0.08</v>
          </cell>
          <cell r="F5490" t="str">
            <v>Chọn</v>
          </cell>
          <cell r="G5490"/>
          <cell r="H5490"/>
        </row>
        <row r="5491">
          <cell r="A5491" t="str">
            <v>7.92524B69947L408</v>
          </cell>
          <cell r="B5491" t="str">
            <v>DHFOODS STIR-FRY SAUCE WITH SWEET &amp; SOUR TASTE 80GR X 20 X 6 BOXES IN CARTON</v>
          </cell>
          <cell r="C5491" t="str">
            <v>XỐT GIA VỊ HOÀN CHỈNH XÀO CHUA NGỌT NHÃN HIỆU DHFOODS 80G X 20 X 6 HỘP ĐÓNG TRONG THÙNG CARTON</v>
          </cell>
          <cell r="D5491" t="str">
            <v>DHFOODS STIR-FRY SAUCE WITH SWEET &amp; SOUR TASTE 80GR X 20 X 6 BOXES IN CARTON</v>
          </cell>
          <cell r="E5491">
            <v>9.6</v>
          </cell>
          <cell r="F5491" t="str">
            <v>Chọn</v>
          </cell>
          <cell r="G5491"/>
          <cell r="H5491" t="str">
            <v>7.92524B69947L40801</v>
          </cell>
        </row>
        <row r="5492">
          <cell r="A5492" t="str">
            <v>7.92524B6996001E101</v>
          </cell>
          <cell r="B5492" t="str">
            <v>DHFOODS CHEESE SAUCE 100GR</v>
          </cell>
          <cell r="C5492" t="str">
            <v>XỐT PHÔ MAI NHÃN HIỆU DHFOODS 100G</v>
          </cell>
          <cell r="D5492" t="str">
            <v>DHFOODS CHEESE SAUCE 100GR</v>
          </cell>
          <cell r="E5492">
            <v>0.1</v>
          </cell>
          <cell r="F5492" t="str">
            <v>Chọn</v>
          </cell>
          <cell r="G5492"/>
          <cell r="H5492"/>
        </row>
        <row r="5493">
          <cell r="A5493" t="str">
            <v>7.92524B6996001E1</v>
          </cell>
          <cell r="B5493" t="str">
            <v>DHFOODS CHEESE SAUCE 100GR X 24 PCS IN CARTON</v>
          </cell>
          <cell r="C5493" t="str">
            <v>XỐT PHÔ MAI NHÃN HIỆU DHFOODS 100G X 24 CHAI ĐÓNG TRONG THÙNG CARTON</v>
          </cell>
          <cell r="D5493" t="str">
            <v>DHFOODS CHEESE SAUCE 100GR X 24 PCS IN CARTON</v>
          </cell>
          <cell r="E5493">
            <v>2.4</v>
          </cell>
          <cell r="F5493" t="str">
            <v>Chọn</v>
          </cell>
          <cell r="G5493"/>
          <cell r="H5493" t="str">
            <v>7.92524B6996001E101</v>
          </cell>
        </row>
        <row r="5494">
          <cell r="A5494" t="str">
            <v>7.92524B6993201E201</v>
          </cell>
          <cell r="B5494" t="str">
            <v>DHFOODS THAI-STYLE LEMONGRASS &amp; KUMQUAT SAUCE 200GR</v>
          </cell>
          <cell r="C5494" t="str">
            <v>XỐT THÁI SẢ TẮC NHÃN HIỆU DHFOODS 200G</v>
          </cell>
          <cell r="D5494" t="str">
            <v>DHFOODS THAI-STYLE LEMONGRASS &amp; KUMQUAT SAUCE 200GR</v>
          </cell>
          <cell r="E5494">
            <v>0.2</v>
          </cell>
          <cell r="F5494" t="str">
            <v>Chọn</v>
          </cell>
          <cell r="G5494"/>
          <cell r="H5494"/>
        </row>
        <row r="5495">
          <cell r="A5495" t="str">
            <v>7.92524B6993201E2</v>
          </cell>
          <cell r="B5495" t="str">
            <v>DHFOODS THAI-STYLE LEMONGRASS &amp; KUMQUAT SAUCE 200GR X 24 PCS IN CARTON</v>
          </cell>
          <cell r="C5495" t="str">
            <v>XỐT THÁI SẢ TẮC NHÃN HIỆU DHFOODS 200G X 24 CHAI ĐÓNG TRONG THÙNG CARTON</v>
          </cell>
          <cell r="D5495" t="str">
            <v>DHFOODS THAI-STYLE LEMONGRASS &amp; KUMQUAT SAUCE 200GR X 24 PCS IN CARTON</v>
          </cell>
          <cell r="E5495">
            <v>4.8</v>
          </cell>
          <cell r="F5495" t="str">
            <v>Chọn</v>
          </cell>
          <cell r="G5495"/>
          <cell r="H5495" t="str">
            <v>7.92524B6993201E201</v>
          </cell>
        </row>
        <row r="5496">
          <cell r="A5496" t="str">
            <v>V51.000.264</v>
          </cell>
          <cell r="B5496" t="str">
            <v>PHILIPS 3.5 LITER AIR FRYER NA342/00</v>
          </cell>
          <cell r="C5496" t="str">
            <v>NỒI CHIÊN KHÔNG DẦU PHILIP 3.5 LÍT NA342/00</v>
          </cell>
          <cell r="D5496" t="str">
            <v>PHILIPS 3.5 LITER AIR FRYER NA342/00</v>
          </cell>
          <cell r="E5496">
            <v>0</v>
          </cell>
          <cell r="F5496" t="str">
            <v>Chọn</v>
          </cell>
          <cell r="G5496"/>
          <cell r="H5496"/>
        </row>
        <row r="5497">
          <cell r="A5497" t="str">
            <v>V51.000.265</v>
          </cell>
          <cell r="B5497" t="str">
            <v>LG PURICARE 360 HIT AIR PURIFIER AS60GHWG0</v>
          </cell>
          <cell r="C5497" t="str">
            <v>MÁY LỌC KHÔNG KHÍ LG PURICARE 360 HIT AS60GHWG0</v>
          </cell>
          <cell r="D5497" t="str">
            <v>LG PURICARE 360 HIT AIR PURIFIER AS60GHWG0</v>
          </cell>
          <cell r="E5497">
            <v>0</v>
          </cell>
          <cell r="F5497" t="str">
            <v>Chọn</v>
          </cell>
          <cell r="G5497"/>
          <cell r="H5497"/>
        </row>
        <row r="5498">
          <cell r="A5498" t="str">
            <v>V51.000.266</v>
          </cell>
          <cell r="B5498" t="str">
            <v>MAGIC ECO AC-307 BLADELESS FAN</v>
          </cell>
          <cell r="C5498" t="str">
            <v>QUẠT KHÔNG CÁNH MAGIC ECO AC-307</v>
          </cell>
          <cell r="D5498" t="str">
            <v>MAGIC ECO AC-307 BLADELESS FAN</v>
          </cell>
          <cell r="E5498">
            <v>0</v>
          </cell>
          <cell r="F5498" t="str">
            <v>Chọn</v>
          </cell>
          <cell r="G5498"/>
          <cell r="H5498"/>
        </row>
        <row r="5499">
          <cell r="A5499" t="str">
            <v>V51.000.267</v>
          </cell>
          <cell r="B5499" t="str">
            <v>IPHONE 17 PRO 256GB - COSMIC ORANGE</v>
          </cell>
          <cell r="C5499" t="str">
            <v>ĐIỆN THOẠI DI ĐỘNG IPHONE 17 PRO COSMIC ORANGE 256GB</v>
          </cell>
          <cell r="D5499" t="str">
            <v>IPHONE 17 PRO 256GB - COSMIC ORANGE</v>
          </cell>
          <cell r="E5499">
            <v>0</v>
          </cell>
          <cell r="F5499" t="str">
            <v>Chọn</v>
          </cell>
          <cell r="G5499"/>
          <cell r="H5499"/>
        </row>
        <row r="5500">
          <cell r="A5500" t="str">
            <v>V51.000.268</v>
          </cell>
          <cell r="B5500" t="str">
            <v>99.99% GOLD RING (0.5/PC)</v>
          </cell>
          <cell r="C5500" t="str">
            <v>NHẪN VÀNG 99,99% LOẠI 5 PHÂN</v>
          </cell>
          <cell r="D5500" t="str">
            <v>99.99% GOLD RING (0.5/PC)</v>
          </cell>
          <cell r="E5500">
            <v>0</v>
          </cell>
          <cell r="F5500" t="str">
            <v>Chọn</v>
          </cell>
          <cell r="G5500"/>
          <cell r="H5500"/>
        </row>
        <row r="5501">
          <cell r="A5501" t="str">
            <v>6.4607000</v>
          </cell>
          <cell r="B5501" t="str">
            <v>DEWAXED REF BLEACH DEO RICE BRAN OIL</v>
          </cell>
          <cell r="C5501" t="str">
            <v>DẦU GẠO LỨT TINH LUYỆN TRONG XE BỒN</v>
          </cell>
          <cell r="D5501" t="str">
            <v>DEWAXED REF BLEACH DEO RICE BRAN OIL</v>
          </cell>
          <cell r="E5501">
            <v>1</v>
          </cell>
          <cell r="F5501" t="str">
            <v>Chọn</v>
          </cell>
          <cell r="G5501"/>
          <cell r="H5501"/>
        </row>
        <row r="5502">
          <cell r="A5502" t="str">
            <v>7.59800827601103</v>
          </cell>
          <cell r="B5502" t="str">
            <v>NAMDUNG+NEPTUNE BUNDLE COMBO PACK</v>
          </cell>
          <cell r="C5502" t="str">
            <v>COMBO 01 BAO HẠT NÊM 4 TRONG 1 VỊ HEO 850G VÀ 01 CHAI NƯỚC TƯƠNG THƯỢNG HẠNG 500ML VÀ 01 CHAI TƯƠNG ỚT ĐẶC BIỆT CAY 255G VÀ 01 CHAI NƯỚC MẮM NHỈ CÁ CƠM 30° ĐẠM HIỆU 584 NHA TRANG CHAI PET 500ML</v>
          </cell>
          <cell r="D5502" t="str">
            <v>NAMDUNG+NEPTUNE BUNDLE COMBO PACK</v>
          </cell>
          <cell r="E5502">
            <v>2.1</v>
          </cell>
          <cell r="F5502" t="str">
            <v>Chọn</v>
          </cell>
          <cell r="G5502" t="str">
            <v>2000000008</v>
          </cell>
          <cell r="H5502"/>
        </row>
        <row r="5503">
          <cell r="A5503" t="str">
            <v>7.59800827601116</v>
          </cell>
          <cell r="B5503" t="str">
            <v>NAMDUNG+NEPTUNE BUNDLE COMBO X 10PACK</v>
          </cell>
          <cell r="C5503" t="str">
            <v>COMBO 01 BAO HẠT NÊM 4 TRONG 1 VỊ HEO 850G VÀ 01 CHAI NƯỚC TƯƠNG THƯỢNG HẠNG 500ML VÀ 01 CHAI TƯƠNG ỚT ĐẶC BIỆT CAY 255G VÀ 01 CHAI NƯỚC MẮM NHỈ CÁ CƠM 30° ĐẠM HIỆU 584 NHA TRANG CHAI PET 500ML X 10 TÚI/ THÙNG</v>
          </cell>
          <cell r="D5503" t="str">
            <v>NAMDUNG+NEPTUNE BUNDLE COMBO X 10PACK</v>
          </cell>
          <cell r="E5503">
            <v>21.05</v>
          </cell>
          <cell r="F5503" t="str">
            <v>Chọn</v>
          </cell>
          <cell r="G5503" t="str">
            <v>2000000008</v>
          </cell>
          <cell r="H5503" t="str">
            <v>7.59800827601103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17FE2-8073-42E9-A623-46911FB084C1}">
  <dimension ref="A3:F187"/>
  <sheetViews>
    <sheetView topLeftCell="A97" workbookViewId="0">
      <selection activeCell="A103" sqref="A103"/>
    </sheetView>
  </sheetViews>
  <sheetFormatPr defaultRowHeight="15" x14ac:dyDescent="0.25"/>
  <cols>
    <col min="1" max="1" width="32.42578125" customWidth="1"/>
    <col min="2" max="2" width="33" customWidth="1"/>
    <col min="3" max="3" width="25.5703125" customWidth="1"/>
    <col min="4" max="4" width="34.140625" customWidth="1"/>
    <col min="5" max="5" width="57.28515625" customWidth="1"/>
    <col min="6" max="6" width="77.42578125" customWidth="1"/>
  </cols>
  <sheetData>
    <row r="3" spans="1:6" x14ac:dyDescent="0.25">
      <c r="A3" s="10" t="s">
        <v>210</v>
      </c>
      <c r="B3" s="10" t="s">
        <v>314</v>
      </c>
      <c r="C3" s="10" t="s">
        <v>153</v>
      </c>
      <c r="D3" s="10" t="s">
        <v>61</v>
      </c>
      <c r="E3" s="11" t="s">
        <v>92</v>
      </c>
      <c r="F3" s="10" t="s">
        <v>57</v>
      </c>
    </row>
    <row r="4" spans="1:6" x14ac:dyDescent="0.25">
      <c r="A4" s="2" t="s">
        <v>244</v>
      </c>
      <c r="B4" s="2" t="s">
        <v>385</v>
      </c>
      <c r="C4" s="2" t="s">
        <v>48</v>
      </c>
      <c r="D4" s="2" t="s">
        <v>48</v>
      </c>
      <c r="E4" s="2" t="s">
        <v>107</v>
      </c>
      <c r="F4" s="2" t="s">
        <v>243</v>
      </c>
    </row>
    <row r="5" spans="1:6" x14ac:dyDescent="0.25">
      <c r="A5" s="2" t="s">
        <v>17</v>
      </c>
      <c r="B5" s="2" t="s">
        <v>316</v>
      </c>
      <c r="C5" s="2" t="s">
        <v>48</v>
      </c>
      <c r="D5" s="2" t="s">
        <v>48</v>
      </c>
      <c r="E5" s="2" t="s">
        <v>98</v>
      </c>
      <c r="F5" s="2" t="s">
        <v>146</v>
      </c>
    </row>
    <row r="6" spans="1:6" x14ac:dyDescent="0.25">
      <c r="A6" s="2" t="s">
        <v>4</v>
      </c>
      <c r="B6" s="2" t="s">
        <v>315</v>
      </c>
      <c r="C6" s="2" t="s">
        <v>48</v>
      </c>
      <c r="D6" s="2" t="s">
        <v>48</v>
      </c>
      <c r="E6" s="2" t="s">
        <v>98</v>
      </c>
      <c r="F6" s="2" t="s">
        <v>64</v>
      </c>
    </row>
    <row r="7" spans="1:6" x14ac:dyDescent="0.25">
      <c r="A7" s="3" t="s">
        <v>393</v>
      </c>
      <c r="B7" s="3" t="s">
        <v>394</v>
      </c>
      <c r="C7" s="2" t="s">
        <v>48</v>
      </c>
      <c r="D7" s="3" t="s">
        <v>313</v>
      </c>
      <c r="E7" s="6" t="s">
        <v>395</v>
      </c>
      <c r="F7" s="6" t="s">
        <v>396</v>
      </c>
    </row>
    <row r="8" spans="1:6" x14ac:dyDescent="0.25">
      <c r="A8" s="2" t="s">
        <v>383</v>
      </c>
      <c r="B8" s="2" t="s">
        <v>381</v>
      </c>
      <c r="C8" s="2" t="s">
        <v>48</v>
      </c>
      <c r="D8" s="2" t="s">
        <v>48</v>
      </c>
      <c r="E8" s="2" t="s">
        <v>115</v>
      </c>
      <c r="F8" s="2" t="s">
        <v>87</v>
      </c>
    </row>
    <row r="9" spans="1:6" x14ac:dyDescent="0.25">
      <c r="A9" s="2" t="s">
        <v>326</v>
      </c>
      <c r="B9" s="2" t="s">
        <v>356</v>
      </c>
      <c r="C9" s="2" t="s">
        <v>48</v>
      </c>
      <c r="D9" s="2" t="s">
        <v>48</v>
      </c>
      <c r="E9" s="2" t="s">
        <v>125</v>
      </c>
      <c r="F9" s="2" t="s">
        <v>327</v>
      </c>
    </row>
    <row r="10" spans="1:6" x14ac:dyDescent="0.25">
      <c r="A10" s="2" t="s">
        <v>3</v>
      </c>
      <c r="B10" s="2" t="s">
        <v>317</v>
      </c>
      <c r="C10" s="2" t="s">
        <v>48</v>
      </c>
      <c r="D10" s="2" t="s">
        <v>48</v>
      </c>
      <c r="E10" s="2" t="s">
        <v>108</v>
      </c>
      <c r="F10" s="2" t="s">
        <v>109</v>
      </c>
    </row>
    <row r="11" spans="1:6" x14ac:dyDescent="0.25">
      <c r="A11" s="2" t="s">
        <v>247</v>
      </c>
      <c r="B11" s="2" t="s">
        <v>374</v>
      </c>
      <c r="C11" s="2" t="s">
        <v>48</v>
      </c>
      <c r="D11" s="2" t="s">
        <v>48</v>
      </c>
      <c r="E11" s="2" t="s">
        <v>246</v>
      </c>
      <c r="F11" s="2" t="s">
        <v>245</v>
      </c>
    </row>
    <row r="12" spans="1:6" x14ac:dyDescent="0.25">
      <c r="A12" s="2" t="s">
        <v>36</v>
      </c>
      <c r="B12" s="2" t="s">
        <v>152</v>
      </c>
      <c r="C12" s="2" t="s">
        <v>152</v>
      </c>
      <c r="D12" s="2" t="s">
        <v>7</v>
      </c>
      <c r="E12" s="2" t="s">
        <v>96</v>
      </c>
      <c r="F12" s="2" t="s">
        <v>63</v>
      </c>
    </row>
    <row r="13" spans="1:6" x14ac:dyDescent="0.25">
      <c r="A13" s="2" t="s">
        <v>274</v>
      </c>
      <c r="B13" s="2" t="s">
        <v>149</v>
      </c>
      <c r="C13" s="2" t="s">
        <v>149</v>
      </c>
      <c r="D13" s="2" t="s">
        <v>46</v>
      </c>
      <c r="E13" s="2" t="s">
        <v>96</v>
      </c>
      <c r="F13" s="2" t="s">
        <v>275</v>
      </c>
    </row>
    <row r="14" spans="1:6" x14ac:dyDescent="0.25">
      <c r="A14" s="2" t="s">
        <v>32</v>
      </c>
      <c r="B14" s="45" t="s">
        <v>150</v>
      </c>
      <c r="C14" s="45" t="s">
        <v>150</v>
      </c>
      <c r="D14" s="2" t="s">
        <v>51</v>
      </c>
      <c r="E14" s="2" t="s">
        <v>96</v>
      </c>
      <c r="F14" s="2" t="s">
        <v>68</v>
      </c>
    </row>
    <row r="15" spans="1:6" x14ac:dyDescent="0.25">
      <c r="A15" s="2" t="s">
        <v>301</v>
      </c>
      <c r="B15" s="2" t="s">
        <v>318</v>
      </c>
      <c r="C15" s="2" t="s">
        <v>48</v>
      </c>
      <c r="D15" s="2" t="s">
        <v>48</v>
      </c>
      <c r="E15" s="2" t="s">
        <v>96</v>
      </c>
      <c r="F15" s="2" t="s">
        <v>302</v>
      </c>
    </row>
    <row r="16" spans="1:6" x14ac:dyDescent="0.25">
      <c r="A16" s="2" t="s">
        <v>281</v>
      </c>
      <c r="B16" s="2" t="s">
        <v>319</v>
      </c>
      <c r="C16" s="2" t="s">
        <v>48</v>
      </c>
      <c r="D16" s="2" t="s">
        <v>48</v>
      </c>
      <c r="E16" s="2" t="s">
        <v>96</v>
      </c>
      <c r="F16" s="2" t="s">
        <v>282</v>
      </c>
    </row>
    <row r="17" spans="1:6" x14ac:dyDescent="0.25">
      <c r="A17" s="2" t="s">
        <v>37</v>
      </c>
      <c r="B17" s="2" t="s">
        <v>151</v>
      </c>
      <c r="C17" s="2" t="s">
        <v>151</v>
      </c>
      <c r="D17" s="2" t="s">
        <v>7</v>
      </c>
      <c r="E17" s="2" t="s">
        <v>96</v>
      </c>
      <c r="F17" s="2" t="s">
        <v>80</v>
      </c>
    </row>
    <row r="18" spans="1:6" x14ac:dyDescent="0.25">
      <c r="A18" s="2" t="s">
        <v>54</v>
      </c>
      <c r="B18" s="2" t="s">
        <v>150</v>
      </c>
      <c r="C18" s="2" t="s">
        <v>150</v>
      </c>
      <c r="D18" s="2" t="s">
        <v>51</v>
      </c>
      <c r="E18" s="2" t="s">
        <v>127</v>
      </c>
      <c r="F18" s="2" t="s">
        <v>76</v>
      </c>
    </row>
    <row r="19" spans="1:6" x14ac:dyDescent="0.25">
      <c r="A19" s="2" t="s">
        <v>155</v>
      </c>
      <c r="B19" s="2" t="s">
        <v>218</v>
      </c>
      <c r="C19" s="2" t="s">
        <v>218</v>
      </c>
      <c r="D19" s="2" t="s">
        <v>7</v>
      </c>
      <c r="E19" s="2" t="s">
        <v>156</v>
      </c>
      <c r="F19" s="2" t="s">
        <v>157</v>
      </c>
    </row>
    <row r="20" spans="1:6" x14ac:dyDescent="0.25">
      <c r="A20" s="2" t="s">
        <v>158</v>
      </c>
      <c r="B20" s="2" t="s">
        <v>319</v>
      </c>
      <c r="C20" s="2" t="s">
        <v>48</v>
      </c>
      <c r="D20" s="2" t="s">
        <v>48</v>
      </c>
      <c r="E20" s="2" t="s">
        <v>159</v>
      </c>
      <c r="F20" s="2" t="s">
        <v>170</v>
      </c>
    </row>
    <row r="21" spans="1:6" x14ac:dyDescent="0.25">
      <c r="A21" s="2" t="s">
        <v>33</v>
      </c>
      <c r="B21" s="2" t="s">
        <v>95</v>
      </c>
      <c r="C21" s="2" t="s">
        <v>95</v>
      </c>
      <c r="D21" s="2" t="s">
        <v>52</v>
      </c>
      <c r="E21" s="2" t="s">
        <v>123</v>
      </c>
      <c r="F21" s="2" t="s">
        <v>83</v>
      </c>
    </row>
    <row r="22" spans="1:6" x14ac:dyDescent="0.25">
      <c r="A22" s="2" t="s">
        <v>189</v>
      </c>
      <c r="B22" s="2" t="s">
        <v>359</v>
      </c>
      <c r="C22" s="2" t="s">
        <v>48</v>
      </c>
      <c r="D22" s="2" t="s">
        <v>48</v>
      </c>
      <c r="E22" s="2" t="s">
        <v>190</v>
      </c>
      <c r="F22" s="2" t="s">
        <v>206</v>
      </c>
    </row>
    <row r="23" spans="1:6" x14ac:dyDescent="0.25">
      <c r="A23" s="2" t="s">
        <v>207</v>
      </c>
      <c r="B23" s="2" t="s">
        <v>284</v>
      </c>
      <c r="C23" s="2" t="s">
        <v>284</v>
      </c>
      <c r="D23" s="2" t="s">
        <v>50</v>
      </c>
      <c r="E23" s="2" t="s">
        <v>208</v>
      </c>
      <c r="F23" s="2" t="s">
        <v>209</v>
      </c>
    </row>
    <row r="24" spans="1:6" x14ac:dyDescent="0.25">
      <c r="A24" s="2" t="s">
        <v>53</v>
      </c>
      <c r="B24" s="2" t="s">
        <v>363</v>
      </c>
      <c r="C24" s="2" t="s">
        <v>48</v>
      </c>
      <c r="D24" s="2" t="s">
        <v>48</v>
      </c>
      <c r="E24" s="2" t="s">
        <v>143</v>
      </c>
      <c r="F24" s="2" t="s">
        <v>79</v>
      </c>
    </row>
    <row r="25" spans="1:6" x14ac:dyDescent="0.25">
      <c r="A25" s="2" t="s">
        <v>289</v>
      </c>
      <c r="B25" s="2" t="s">
        <v>362</v>
      </c>
      <c r="C25" s="2" t="s">
        <v>48</v>
      </c>
      <c r="D25" s="2" t="s">
        <v>48</v>
      </c>
      <c r="E25" s="2" t="s">
        <v>211</v>
      </c>
      <c r="F25" s="2" t="s">
        <v>276</v>
      </c>
    </row>
    <row r="26" spans="1:6" x14ac:dyDescent="0.25">
      <c r="A26" s="2" t="s">
        <v>323</v>
      </c>
      <c r="B26" s="2" t="s">
        <v>360</v>
      </c>
      <c r="C26" s="2" t="s">
        <v>48</v>
      </c>
      <c r="D26" s="2" t="s">
        <v>48</v>
      </c>
      <c r="E26" s="2" t="s">
        <v>324</v>
      </c>
      <c r="F26" s="2" t="s">
        <v>325</v>
      </c>
    </row>
    <row r="27" spans="1:6" x14ac:dyDescent="0.25">
      <c r="A27" s="2" t="s">
        <v>91</v>
      </c>
      <c r="B27" s="2" t="s">
        <v>363</v>
      </c>
      <c r="C27" s="2" t="s">
        <v>48</v>
      </c>
      <c r="D27" s="2" t="s">
        <v>48</v>
      </c>
      <c r="E27" s="2" t="s">
        <v>216</v>
      </c>
      <c r="F27" s="2" t="s">
        <v>217</v>
      </c>
    </row>
    <row r="28" spans="1:6" x14ac:dyDescent="0.25">
      <c r="A28" s="2" t="s">
        <v>28</v>
      </c>
      <c r="B28" s="2" t="s">
        <v>361</v>
      </c>
      <c r="C28" s="2" t="s">
        <v>48</v>
      </c>
      <c r="D28" s="2" t="s">
        <v>48</v>
      </c>
      <c r="E28" s="2" t="s">
        <v>129</v>
      </c>
      <c r="F28" s="2" t="s">
        <v>89</v>
      </c>
    </row>
    <row r="29" spans="1:6" x14ac:dyDescent="0.25">
      <c r="A29" s="2" t="s">
        <v>238</v>
      </c>
      <c r="B29" s="2" t="s">
        <v>360</v>
      </c>
      <c r="C29" s="2" t="s">
        <v>48</v>
      </c>
      <c r="D29" s="2" t="s">
        <v>48</v>
      </c>
      <c r="E29" s="2" t="s">
        <v>230</v>
      </c>
      <c r="F29" s="2" t="s">
        <v>237</v>
      </c>
    </row>
    <row r="30" spans="1:6" x14ac:dyDescent="0.25">
      <c r="A30" s="2" t="s">
        <v>161</v>
      </c>
      <c r="B30" s="2" t="s">
        <v>174</v>
      </c>
      <c r="C30" s="2" t="s">
        <v>174</v>
      </c>
      <c r="D30" s="2" t="s">
        <v>50</v>
      </c>
      <c r="E30" s="2" t="s">
        <v>162</v>
      </c>
      <c r="F30" s="2" t="s">
        <v>163</v>
      </c>
    </row>
    <row r="31" spans="1:6" x14ac:dyDescent="0.25">
      <c r="A31" s="2" t="s">
        <v>168</v>
      </c>
      <c r="B31" s="2" t="s">
        <v>359</v>
      </c>
      <c r="C31" s="2" t="s">
        <v>48</v>
      </c>
      <c r="D31" s="2" t="s">
        <v>48</v>
      </c>
      <c r="E31" s="2" t="s">
        <v>110</v>
      </c>
      <c r="F31" s="2" t="s">
        <v>81</v>
      </c>
    </row>
    <row r="32" spans="1:6" x14ac:dyDescent="0.25">
      <c r="A32" s="2" t="s">
        <v>277</v>
      </c>
      <c r="B32" s="2" t="s">
        <v>364</v>
      </c>
      <c r="C32" s="2" t="s">
        <v>48</v>
      </c>
      <c r="D32" s="2" t="s">
        <v>48</v>
      </c>
      <c r="E32" s="2" t="s">
        <v>94</v>
      </c>
      <c r="F32" s="2" t="s">
        <v>278</v>
      </c>
    </row>
    <row r="33" spans="1:6" x14ac:dyDescent="0.25">
      <c r="A33" s="2" t="s">
        <v>15</v>
      </c>
      <c r="B33" s="2" t="s">
        <v>365</v>
      </c>
      <c r="C33" s="2" t="s">
        <v>48</v>
      </c>
      <c r="D33" s="2" t="s">
        <v>48</v>
      </c>
      <c r="E33" s="2" t="s">
        <v>94</v>
      </c>
      <c r="F33" s="2" t="s">
        <v>142</v>
      </c>
    </row>
    <row r="34" spans="1:6" x14ac:dyDescent="0.25">
      <c r="A34" s="2" t="s">
        <v>615</v>
      </c>
      <c r="B34" s="2" t="s">
        <v>788</v>
      </c>
      <c r="C34" s="2" t="s">
        <v>48</v>
      </c>
      <c r="D34" s="2" t="s">
        <v>48</v>
      </c>
      <c r="E34" s="2" t="s">
        <v>94</v>
      </c>
      <c r="F34" s="8" t="s">
        <v>618</v>
      </c>
    </row>
    <row r="35" spans="1:6" x14ac:dyDescent="0.25">
      <c r="A35" s="2" t="s">
        <v>616</v>
      </c>
      <c r="B35" s="2" t="s">
        <v>365</v>
      </c>
      <c r="C35" s="2" t="s">
        <v>48</v>
      </c>
      <c r="D35" s="2" t="s">
        <v>48</v>
      </c>
      <c r="E35" s="2" t="s">
        <v>94</v>
      </c>
      <c r="F35" s="8" t="s">
        <v>617</v>
      </c>
    </row>
    <row r="36" spans="1:6" x14ac:dyDescent="0.25">
      <c r="A36" s="2" t="s">
        <v>332</v>
      </c>
      <c r="B36" s="2" t="s">
        <v>333</v>
      </c>
      <c r="C36" s="2" t="s">
        <v>333</v>
      </c>
      <c r="D36" s="2" t="s">
        <v>46</v>
      </c>
      <c r="E36" s="2" t="s">
        <v>94</v>
      </c>
      <c r="F36" s="2" t="s">
        <v>334</v>
      </c>
    </row>
    <row r="37" spans="1:6" x14ac:dyDescent="0.25">
      <c r="A37" s="2" t="s">
        <v>328</v>
      </c>
      <c r="B37" s="2" t="s">
        <v>366</v>
      </c>
      <c r="C37" s="5" t="s">
        <v>48</v>
      </c>
      <c r="D37" s="5" t="s">
        <v>48</v>
      </c>
      <c r="E37" s="2" t="s">
        <v>94</v>
      </c>
      <c r="F37" s="2" t="s">
        <v>329</v>
      </c>
    </row>
    <row r="38" spans="1:6" x14ac:dyDescent="0.25">
      <c r="A38" s="2" t="s">
        <v>10</v>
      </c>
      <c r="B38" s="2" t="s">
        <v>367</v>
      </c>
      <c r="C38" s="2" t="s">
        <v>48</v>
      </c>
      <c r="D38" s="2" t="s">
        <v>48</v>
      </c>
      <c r="E38" s="2" t="s">
        <v>94</v>
      </c>
      <c r="F38" s="2" t="s">
        <v>86</v>
      </c>
    </row>
    <row r="39" spans="1:6" x14ac:dyDescent="0.25">
      <c r="A39" s="2" t="s">
        <v>14</v>
      </c>
      <c r="B39" s="2" t="s">
        <v>385</v>
      </c>
      <c r="C39" s="2" t="s">
        <v>48</v>
      </c>
      <c r="D39" s="2" t="s">
        <v>48</v>
      </c>
      <c r="E39" s="2" t="s">
        <v>94</v>
      </c>
      <c r="F39" s="2" t="s">
        <v>173</v>
      </c>
    </row>
    <row r="40" spans="1:6" x14ac:dyDescent="0.25">
      <c r="A40" s="14" t="s">
        <v>399</v>
      </c>
      <c r="B40" s="14" t="s">
        <v>392</v>
      </c>
      <c r="C40" s="14" t="s">
        <v>48</v>
      </c>
      <c r="D40" s="14" t="s">
        <v>48</v>
      </c>
      <c r="E40" s="14" t="s">
        <v>94</v>
      </c>
      <c r="F40" s="14" t="s">
        <v>400</v>
      </c>
    </row>
    <row r="41" spans="1:6" x14ac:dyDescent="0.25">
      <c r="A41" s="1" t="s">
        <v>351</v>
      </c>
      <c r="B41" s="1" t="s">
        <v>401</v>
      </c>
      <c r="C41" s="2" t="s">
        <v>48</v>
      </c>
      <c r="D41" s="1" t="s">
        <v>313</v>
      </c>
      <c r="E41" s="1" t="s">
        <v>349</v>
      </c>
      <c r="F41" s="1" t="s">
        <v>352</v>
      </c>
    </row>
    <row r="42" spans="1:6" x14ac:dyDescent="0.25">
      <c r="A42" s="1" t="s">
        <v>397</v>
      </c>
      <c r="B42" s="1" t="s">
        <v>402</v>
      </c>
      <c r="C42" s="2" t="s">
        <v>48</v>
      </c>
      <c r="D42" s="1" t="s">
        <v>313</v>
      </c>
      <c r="E42" s="1" t="s">
        <v>349</v>
      </c>
      <c r="F42" s="1" t="s">
        <v>398</v>
      </c>
    </row>
    <row r="43" spans="1:6" x14ac:dyDescent="0.25">
      <c r="A43" s="1" t="s">
        <v>348</v>
      </c>
      <c r="B43" s="1" t="s">
        <v>365</v>
      </c>
      <c r="C43" s="2" t="s">
        <v>48</v>
      </c>
      <c r="D43" s="1" t="s">
        <v>313</v>
      </c>
      <c r="E43" s="1" t="s">
        <v>349</v>
      </c>
      <c r="F43" s="1" t="s">
        <v>350</v>
      </c>
    </row>
    <row r="44" spans="1:6" x14ac:dyDescent="0.25">
      <c r="A44" s="2" t="s">
        <v>290</v>
      </c>
      <c r="B44" s="2" t="s">
        <v>371</v>
      </c>
      <c r="C44" s="2" t="s">
        <v>48</v>
      </c>
      <c r="D44" s="2" t="s">
        <v>48</v>
      </c>
      <c r="E44" s="2" t="s">
        <v>104</v>
      </c>
      <c r="F44" s="2" t="s">
        <v>291</v>
      </c>
    </row>
    <row r="45" spans="1:6" x14ac:dyDescent="0.25">
      <c r="A45" s="2" t="s">
        <v>221</v>
      </c>
      <c r="B45" s="2" t="s">
        <v>357</v>
      </c>
      <c r="C45" s="2" t="s">
        <v>48</v>
      </c>
      <c r="D45" s="2" t="s">
        <v>48</v>
      </c>
      <c r="E45" s="2" t="s">
        <v>222</v>
      </c>
      <c r="F45" s="2" t="s">
        <v>223</v>
      </c>
    </row>
    <row r="46" spans="1:6" x14ac:dyDescent="0.25">
      <c r="A46" s="2" t="s">
        <v>23</v>
      </c>
      <c r="B46" s="2" t="s">
        <v>356</v>
      </c>
      <c r="C46" s="2" t="s">
        <v>48</v>
      </c>
      <c r="D46" s="2" t="s">
        <v>48</v>
      </c>
      <c r="E46" s="2" t="s">
        <v>105</v>
      </c>
      <c r="F46" s="2" t="s">
        <v>74</v>
      </c>
    </row>
    <row r="47" spans="1:6" x14ac:dyDescent="0.25">
      <c r="A47" s="2" t="s">
        <v>309</v>
      </c>
      <c r="B47" s="2" t="s">
        <v>310</v>
      </c>
      <c r="C47" s="2" t="s">
        <v>310</v>
      </c>
      <c r="D47" s="2" t="s">
        <v>288</v>
      </c>
      <c r="E47" s="2" t="s">
        <v>311</v>
      </c>
      <c r="F47" s="2" t="s">
        <v>312</v>
      </c>
    </row>
    <row r="48" spans="1:6" x14ac:dyDescent="0.25">
      <c r="A48" s="2" t="s">
        <v>232</v>
      </c>
      <c r="B48" s="2" t="s">
        <v>364</v>
      </c>
      <c r="C48" s="2" t="s">
        <v>48</v>
      </c>
      <c r="D48" s="2" t="s">
        <v>48</v>
      </c>
      <c r="E48" s="2" t="s">
        <v>166</v>
      </c>
      <c r="F48" s="2" t="s">
        <v>167</v>
      </c>
    </row>
    <row r="49" spans="1:6" x14ac:dyDescent="0.25">
      <c r="A49" s="2" t="s">
        <v>29</v>
      </c>
      <c r="B49" s="2" t="s">
        <v>359</v>
      </c>
      <c r="C49" s="2" t="s">
        <v>48</v>
      </c>
      <c r="D49" s="2" t="s">
        <v>48</v>
      </c>
      <c r="E49" s="2" t="s">
        <v>147</v>
      </c>
      <c r="F49" s="2" t="s">
        <v>75</v>
      </c>
    </row>
    <row r="50" spans="1:6" x14ac:dyDescent="0.25">
      <c r="A50" s="2" t="s">
        <v>283</v>
      </c>
      <c r="B50" s="2" t="s">
        <v>371</v>
      </c>
      <c r="C50" s="2" t="s">
        <v>48</v>
      </c>
      <c r="D50" s="2" t="s">
        <v>48</v>
      </c>
      <c r="E50" s="2" t="s">
        <v>185</v>
      </c>
      <c r="F50" s="2" t="s">
        <v>186</v>
      </c>
    </row>
    <row r="51" spans="1:6" x14ac:dyDescent="0.25">
      <c r="A51" s="2" t="s">
        <v>219</v>
      </c>
      <c r="B51" s="2" t="s">
        <v>95</v>
      </c>
      <c r="C51" s="2" t="s">
        <v>95</v>
      </c>
      <c r="D51" s="2" t="s">
        <v>52</v>
      </c>
      <c r="E51" s="2" t="s">
        <v>204</v>
      </c>
      <c r="F51" s="2" t="s">
        <v>205</v>
      </c>
    </row>
    <row r="52" spans="1:6" x14ac:dyDescent="0.25">
      <c r="A52" s="2" t="s">
        <v>220</v>
      </c>
      <c r="B52" s="2" t="s">
        <v>402</v>
      </c>
      <c r="C52" s="2" t="s">
        <v>48</v>
      </c>
      <c r="D52" s="2" t="s">
        <v>48</v>
      </c>
      <c r="E52" s="2" t="s">
        <v>103</v>
      </c>
      <c r="F52" s="2" t="s">
        <v>183</v>
      </c>
    </row>
    <row r="53" spans="1:6" x14ac:dyDescent="0.25">
      <c r="A53" s="2" t="s">
        <v>20</v>
      </c>
      <c r="B53" s="2" t="s">
        <v>364</v>
      </c>
      <c r="C53" s="2" t="s">
        <v>48</v>
      </c>
      <c r="D53" s="2" t="s">
        <v>48</v>
      </c>
      <c r="E53" s="2" t="s">
        <v>138</v>
      </c>
      <c r="F53" s="2" t="s">
        <v>139</v>
      </c>
    </row>
    <row r="54" spans="1:6" x14ac:dyDescent="0.25">
      <c r="A54" s="2" t="s">
        <v>269</v>
      </c>
      <c r="B54" s="2" t="s">
        <v>360</v>
      </c>
      <c r="C54" s="2" t="s">
        <v>48</v>
      </c>
      <c r="D54" s="2" t="s">
        <v>48</v>
      </c>
      <c r="E54" s="2" t="s">
        <v>270</v>
      </c>
      <c r="F54" s="2" t="s">
        <v>271</v>
      </c>
    </row>
    <row r="55" spans="1:6" x14ac:dyDescent="0.25">
      <c r="A55" s="2" t="s">
        <v>5</v>
      </c>
      <c r="B55" s="2" t="s">
        <v>386</v>
      </c>
      <c r="C55" s="2" t="s">
        <v>48</v>
      </c>
      <c r="D55" s="2" t="s">
        <v>48</v>
      </c>
      <c r="E55" s="2" t="s">
        <v>111</v>
      </c>
      <c r="F55" s="2" t="s">
        <v>72</v>
      </c>
    </row>
    <row r="56" spans="1:6" x14ac:dyDescent="0.25">
      <c r="A56" s="2" t="s">
        <v>308</v>
      </c>
      <c r="B56" s="2" t="s">
        <v>292</v>
      </c>
      <c r="C56" s="2" t="s">
        <v>292</v>
      </c>
      <c r="D56" s="2" t="s">
        <v>293</v>
      </c>
      <c r="E56" s="2" t="s">
        <v>294</v>
      </c>
      <c r="F56" s="2" t="s">
        <v>295</v>
      </c>
    </row>
    <row r="57" spans="1:6" x14ac:dyDescent="0.25">
      <c r="A57" s="2" t="s">
        <v>8</v>
      </c>
      <c r="B57" s="2" t="s">
        <v>370</v>
      </c>
      <c r="C57" s="2" t="s">
        <v>48</v>
      </c>
      <c r="D57" s="2" t="s">
        <v>48</v>
      </c>
      <c r="E57" s="2" t="s">
        <v>124</v>
      </c>
      <c r="F57" s="2" t="s">
        <v>145</v>
      </c>
    </row>
    <row r="58" spans="1:6" x14ac:dyDescent="0.25">
      <c r="A58" s="2" t="s">
        <v>24</v>
      </c>
      <c r="B58" s="2" t="s">
        <v>377</v>
      </c>
      <c r="C58" s="2" t="s">
        <v>48</v>
      </c>
      <c r="D58" s="2" t="s">
        <v>48</v>
      </c>
      <c r="E58" s="2" t="s">
        <v>132</v>
      </c>
      <c r="F58" s="2" t="s">
        <v>133</v>
      </c>
    </row>
    <row r="59" spans="1:6" x14ac:dyDescent="0.25">
      <c r="A59" s="2" t="s">
        <v>279</v>
      </c>
      <c r="B59" s="2" t="s">
        <v>358</v>
      </c>
      <c r="C59" s="2" t="s">
        <v>48</v>
      </c>
      <c r="D59" s="2" t="s">
        <v>48</v>
      </c>
      <c r="E59" s="2" t="s">
        <v>177</v>
      </c>
      <c r="F59" s="2" t="s">
        <v>280</v>
      </c>
    </row>
    <row r="60" spans="1:6" x14ac:dyDescent="0.25">
      <c r="A60" s="1" t="s">
        <v>353</v>
      </c>
      <c r="B60" s="1" t="s">
        <v>373</v>
      </c>
      <c r="C60" s="2" t="s">
        <v>48</v>
      </c>
      <c r="D60" s="1" t="s">
        <v>313</v>
      </c>
      <c r="E60" s="1" t="s">
        <v>354</v>
      </c>
      <c r="F60" s="1" t="s">
        <v>355</v>
      </c>
    </row>
    <row r="61" spans="1:6" x14ac:dyDescent="0.25">
      <c r="A61" s="1" t="s">
        <v>340</v>
      </c>
      <c r="B61" s="1" t="s">
        <v>356</v>
      </c>
      <c r="C61" s="2" t="s">
        <v>48</v>
      </c>
      <c r="D61" s="1" t="s">
        <v>313</v>
      </c>
      <c r="E61" s="1" t="s">
        <v>341</v>
      </c>
      <c r="F61" s="1" t="s">
        <v>342</v>
      </c>
    </row>
    <row r="62" spans="1:6" x14ac:dyDescent="0.25">
      <c r="A62" s="1" t="s">
        <v>343</v>
      </c>
      <c r="B62" s="1" t="s">
        <v>403</v>
      </c>
      <c r="C62" s="2" t="s">
        <v>48</v>
      </c>
      <c r="D62" s="1" t="s">
        <v>313</v>
      </c>
      <c r="E62" s="1" t="s">
        <v>341</v>
      </c>
      <c r="F62" s="1" t="s">
        <v>344</v>
      </c>
    </row>
    <row r="63" spans="1:6" x14ac:dyDescent="0.25">
      <c r="A63" s="1" t="s">
        <v>345</v>
      </c>
      <c r="B63" s="1" t="s">
        <v>404</v>
      </c>
      <c r="C63" s="2" t="s">
        <v>48</v>
      </c>
      <c r="D63" s="1" t="s">
        <v>313</v>
      </c>
      <c r="E63" s="1" t="s">
        <v>346</v>
      </c>
      <c r="F63" s="1" t="s">
        <v>347</v>
      </c>
    </row>
    <row r="64" spans="1:6" x14ac:dyDescent="0.25">
      <c r="A64" s="2" t="s">
        <v>22</v>
      </c>
      <c r="B64" s="2" t="s">
        <v>375</v>
      </c>
      <c r="C64" s="2" t="s">
        <v>48</v>
      </c>
      <c r="D64" s="2" t="s">
        <v>48</v>
      </c>
      <c r="E64" s="2" t="s">
        <v>93</v>
      </c>
      <c r="F64" s="2" t="s">
        <v>141</v>
      </c>
    </row>
    <row r="65" spans="1:6" x14ac:dyDescent="0.25">
      <c r="A65" s="2" t="s">
        <v>45</v>
      </c>
      <c r="B65" s="2" t="s">
        <v>181</v>
      </c>
      <c r="C65" s="2" t="s">
        <v>181</v>
      </c>
      <c r="D65" s="2" t="s">
        <v>46</v>
      </c>
      <c r="E65" s="2" t="s">
        <v>93</v>
      </c>
      <c r="F65" s="2" t="s">
        <v>66</v>
      </c>
    </row>
    <row r="66" spans="1:6" x14ac:dyDescent="0.25">
      <c r="A66" s="2" t="s">
        <v>11</v>
      </c>
      <c r="B66" s="2" t="s">
        <v>358</v>
      </c>
      <c r="C66" s="2" t="s">
        <v>48</v>
      </c>
      <c r="D66" s="2" t="s">
        <v>48</v>
      </c>
      <c r="E66" s="2" t="s">
        <v>93</v>
      </c>
      <c r="F66" s="2" t="s">
        <v>65</v>
      </c>
    </row>
    <row r="67" spans="1:6" x14ac:dyDescent="0.25">
      <c r="A67" s="2" t="s">
        <v>13</v>
      </c>
      <c r="B67" s="2" t="s">
        <v>374</v>
      </c>
      <c r="C67" s="2" t="s">
        <v>48</v>
      </c>
      <c r="D67" s="2" t="s">
        <v>48</v>
      </c>
      <c r="E67" s="2" t="s">
        <v>93</v>
      </c>
      <c r="F67" s="2" t="s">
        <v>82</v>
      </c>
    </row>
    <row r="68" spans="1:6" x14ac:dyDescent="0.25">
      <c r="A68" s="2" t="s">
        <v>263</v>
      </c>
      <c r="B68" s="2" t="s">
        <v>374</v>
      </c>
      <c r="C68" s="2" t="s">
        <v>48</v>
      </c>
      <c r="D68" s="2" t="s">
        <v>48</v>
      </c>
      <c r="E68" s="2" t="s">
        <v>93</v>
      </c>
      <c r="F68" s="2" t="s">
        <v>262</v>
      </c>
    </row>
    <row r="69" spans="1:6" x14ac:dyDescent="0.25">
      <c r="A69" s="2" t="s">
        <v>267</v>
      </c>
      <c r="B69" s="2" t="s">
        <v>629</v>
      </c>
      <c r="C69" s="2" t="s">
        <v>48</v>
      </c>
      <c r="D69" s="2" t="s">
        <v>48</v>
      </c>
      <c r="E69" s="2" t="s">
        <v>93</v>
      </c>
      <c r="F69" s="2" t="s">
        <v>268</v>
      </c>
    </row>
    <row r="70" spans="1:6" x14ac:dyDescent="0.25">
      <c r="A70" s="2" t="s">
        <v>56</v>
      </c>
      <c r="B70" s="2" t="s">
        <v>95</v>
      </c>
      <c r="C70" s="2" t="s">
        <v>95</v>
      </c>
      <c r="D70" s="2" t="s">
        <v>52</v>
      </c>
      <c r="E70" s="2" t="s">
        <v>171</v>
      </c>
      <c r="F70" s="2" t="s">
        <v>172</v>
      </c>
    </row>
    <row r="71" spans="1:6" x14ac:dyDescent="0.25">
      <c r="A71" s="2" t="s">
        <v>112</v>
      </c>
      <c r="B71" s="2" t="s">
        <v>319</v>
      </c>
      <c r="C71" s="2" t="s">
        <v>48</v>
      </c>
      <c r="D71" s="2" t="s">
        <v>48</v>
      </c>
      <c r="E71" s="2" t="s">
        <v>113</v>
      </c>
      <c r="F71" s="2" t="s">
        <v>228</v>
      </c>
    </row>
    <row r="72" spans="1:6" s="12" customFormat="1" x14ac:dyDescent="0.25">
      <c r="A72" s="13" t="s">
        <v>19</v>
      </c>
      <c r="B72" s="13" t="s">
        <v>363</v>
      </c>
      <c r="C72" s="13" t="s">
        <v>48</v>
      </c>
      <c r="D72" s="13" t="s">
        <v>48</v>
      </c>
      <c r="E72" s="13" t="s">
        <v>117</v>
      </c>
      <c r="F72" s="13" t="s">
        <v>78</v>
      </c>
    </row>
    <row r="73" spans="1:6" s="12" customFormat="1" x14ac:dyDescent="0.25">
      <c r="A73" s="13" t="s">
        <v>19</v>
      </c>
      <c r="B73" s="13" t="s">
        <v>380</v>
      </c>
      <c r="C73" s="13" t="s">
        <v>48</v>
      </c>
      <c r="D73" s="13" t="s">
        <v>48</v>
      </c>
      <c r="E73" s="13" t="s">
        <v>117</v>
      </c>
      <c r="F73" s="13" t="s">
        <v>78</v>
      </c>
    </row>
    <row r="74" spans="1:6" x14ac:dyDescent="0.25">
      <c r="A74" s="2" t="s">
        <v>193</v>
      </c>
      <c r="B74" s="2" t="s">
        <v>379</v>
      </c>
      <c r="C74" s="2" t="s">
        <v>48</v>
      </c>
      <c r="D74" s="2" t="s">
        <v>48</v>
      </c>
      <c r="E74" s="2" t="s">
        <v>194</v>
      </c>
      <c r="F74" s="2" t="s">
        <v>195</v>
      </c>
    </row>
    <row r="75" spans="1:6" x14ac:dyDescent="0.25">
      <c r="A75" s="2" t="s">
        <v>307</v>
      </c>
      <c r="B75" s="4" t="s">
        <v>387</v>
      </c>
      <c r="C75" s="2" t="s">
        <v>48</v>
      </c>
      <c r="D75" s="2" t="s">
        <v>48</v>
      </c>
      <c r="E75" s="2" t="s">
        <v>120</v>
      </c>
      <c r="F75" s="2" t="s">
        <v>121</v>
      </c>
    </row>
    <row r="76" spans="1:6" x14ac:dyDescent="0.25">
      <c r="A76" s="2" t="s">
        <v>339</v>
      </c>
      <c r="B76" s="2" t="s">
        <v>582</v>
      </c>
      <c r="C76" s="2" t="s">
        <v>284</v>
      </c>
      <c r="D76" s="2" t="s">
        <v>50</v>
      </c>
      <c r="E76" s="2" t="s">
        <v>337</v>
      </c>
      <c r="F76" s="2" t="s">
        <v>338</v>
      </c>
    </row>
    <row r="77" spans="1:6" x14ac:dyDescent="0.25">
      <c r="A77" s="2" t="s">
        <v>391</v>
      </c>
      <c r="B77" s="2" t="s">
        <v>316</v>
      </c>
      <c r="C77" s="2" t="s">
        <v>48</v>
      </c>
      <c r="D77" s="2" t="s">
        <v>48</v>
      </c>
      <c r="E77" s="2" t="s">
        <v>330</v>
      </c>
      <c r="F77" s="2" t="s">
        <v>331</v>
      </c>
    </row>
    <row r="78" spans="1:6" x14ac:dyDescent="0.25">
      <c r="A78" s="2" t="s">
        <v>35</v>
      </c>
      <c r="B78" s="2" t="s">
        <v>148</v>
      </c>
      <c r="C78" s="2" t="s">
        <v>148</v>
      </c>
      <c r="D78" s="2" t="s">
        <v>49</v>
      </c>
      <c r="E78" s="2" t="s">
        <v>128</v>
      </c>
      <c r="F78" s="2" t="s">
        <v>254</v>
      </c>
    </row>
    <row r="79" spans="1:6" x14ac:dyDescent="0.25">
      <c r="A79" s="2" t="s">
        <v>1</v>
      </c>
      <c r="B79" s="2" t="s">
        <v>362</v>
      </c>
      <c r="C79" s="2" t="s">
        <v>48</v>
      </c>
      <c r="D79" s="2" t="s">
        <v>48</v>
      </c>
      <c r="E79" s="2" t="s">
        <v>116</v>
      </c>
      <c r="F79" s="2" t="s">
        <v>71</v>
      </c>
    </row>
    <row r="80" spans="1:6" s="12" customFormat="1" x14ac:dyDescent="0.25">
      <c r="A80" s="13" t="s">
        <v>6</v>
      </c>
      <c r="B80" s="13" t="s">
        <v>182</v>
      </c>
      <c r="C80" s="13" t="s">
        <v>182</v>
      </c>
      <c r="D80" s="13" t="s">
        <v>7</v>
      </c>
      <c r="E80" s="13" t="s">
        <v>114</v>
      </c>
      <c r="F80" s="13" t="s">
        <v>261</v>
      </c>
    </row>
    <row r="81" spans="1:6" s="12" customFormat="1" x14ac:dyDescent="0.25">
      <c r="A81" s="13" t="s">
        <v>6</v>
      </c>
      <c r="B81" s="13" t="s">
        <v>372</v>
      </c>
      <c r="C81" s="13" t="s">
        <v>48</v>
      </c>
      <c r="D81" s="13" t="s">
        <v>48</v>
      </c>
      <c r="E81" s="13" t="s">
        <v>114</v>
      </c>
      <c r="F81" s="13" t="s">
        <v>154</v>
      </c>
    </row>
    <row r="82" spans="1:6" x14ac:dyDescent="0.25">
      <c r="A82" s="2" t="s">
        <v>27</v>
      </c>
      <c r="B82" s="2" t="s">
        <v>315</v>
      </c>
      <c r="C82" s="2" t="s">
        <v>48</v>
      </c>
      <c r="D82" s="2" t="s">
        <v>48</v>
      </c>
      <c r="E82" s="2" t="s">
        <v>122</v>
      </c>
      <c r="F82" s="2" t="s">
        <v>77</v>
      </c>
    </row>
    <row r="83" spans="1:6" x14ac:dyDescent="0.25">
      <c r="A83" s="2" t="s">
        <v>304</v>
      </c>
      <c r="B83" s="2" t="s">
        <v>284</v>
      </c>
      <c r="C83" s="2" t="s">
        <v>284</v>
      </c>
      <c r="D83" s="2" t="s">
        <v>50</v>
      </c>
      <c r="E83" s="2" t="s">
        <v>305</v>
      </c>
      <c r="F83" s="2" t="s">
        <v>306</v>
      </c>
    </row>
    <row r="84" spans="1:6" x14ac:dyDescent="0.25">
      <c r="A84" s="2" t="s">
        <v>335</v>
      </c>
      <c r="B84" s="2" t="s">
        <v>319</v>
      </c>
      <c r="C84" s="2" t="s">
        <v>48</v>
      </c>
      <c r="D84" s="2" t="s">
        <v>48</v>
      </c>
      <c r="E84" s="2" t="s">
        <v>191</v>
      </c>
      <c r="F84" s="2" t="s">
        <v>192</v>
      </c>
    </row>
    <row r="85" spans="1:6" s="12" customFormat="1" x14ac:dyDescent="0.25">
      <c r="A85" s="13" t="s">
        <v>2</v>
      </c>
      <c r="B85" s="13" t="s">
        <v>372</v>
      </c>
      <c r="C85" s="13" t="s">
        <v>48</v>
      </c>
      <c r="D85" s="13" t="s">
        <v>48</v>
      </c>
      <c r="E85" s="13" t="s">
        <v>101</v>
      </c>
      <c r="F85" s="13" t="s">
        <v>240</v>
      </c>
    </row>
    <row r="86" spans="1:6" s="12" customFormat="1" x14ac:dyDescent="0.25">
      <c r="A86" s="13" t="s">
        <v>2</v>
      </c>
      <c r="B86" s="13" t="s">
        <v>373</v>
      </c>
      <c r="C86" s="13" t="s">
        <v>48</v>
      </c>
      <c r="D86" s="13" t="s">
        <v>48</v>
      </c>
      <c r="E86" s="13" t="s">
        <v>101</v>
      </c>
      <c r="F86" s="13" t="s">
        <v>248</v>
      </c>
    </row>
    <row r="87" spans="1:6" x14ac:dyDescent="0.25">
      <c r="A87" s="2" t="s">
        <v>231</v>
      </c>
      <c r="B87" s="2" t="s">
        <v>316</v>
      </c>
      <c r="C87" s="2" t="s">
        <v>48</v>
      </c>
      <c r="D87" s="2" t="s">
        <v>48</v>
      </c>
      <c r="E87" s="2" t="s">
        <v>224</v>
      </c>
      <c r="F87" s="2" t="s">
        <v>225</v>
      </c>
    </row>
    <row r="88" spans="1:6" x14ac:dyDescent="0.25">
      <c r="A88" s="27" t="s">
        <v>231</v>
      </c>
      <c r="B88" s="27" t="s">
        <v>388</v>
      </c>
      <c r="C88" s="27" t="s">
        <v>48</v>
      </c>
      <c r="D88" s="27" t="s">
        <v>48</v>
      </c>
      <c r="E88" s="27" t="s">
        <v>224</v>
      </c>
      <c r="F88" s="27" t="s">
        <v>567</v>
      </c>
    </row>
    <row r="89" spans="1:6" x14ac:dyDescent="0.25">
      <c r="A89" s="13" t="s">
        <v>264</v>
      </c>
      <c r="B89" s="13" t="s">
        <v>378</v>
      </c>
      <c r="C89" s="13" t="s">
        <v>48</v>
      </c>
      <c r="D89" s="13" t="s">
        <v>48</v>
      </c>
      <c r="E89" s="13" t="s">
        <v>184</v>
      </c>
      <c r="F89" s="13" t="s">
        <v>260</v>
      </c>
    </row>
    <row r="90" spans="1:6" x14ac:dyDescent="0.25">
      <c r="A90" s="13" t="s">
        <v>264</v>
      </c>
      <c r="B90" s="13" t="s">
        <v>714</v>
      </c>
      <c r="C90" s="13" t="s">
        <v>48</v>
      </c>
      <c r="D90" s="13" t="s">
        <v>48</v>
      </c>
      <c r="E90" s="13" t="s">
        <v>184</v>
      </c>
      <c r="F90" s="13" t="s">
        <v>715</v>
      </c>
    </row>
    <row r="91" spans="1:6" x14ac:dyDescent="0.25">
      <c r="A91" s="2" t="s">
        <v>212</v>
      </c>
      <c r="B91" s="2" t="s">
        <v>152</v>
      </c>
      <c r="C91" s="2" t="s">
        <v>152</v>
      </c>
      <c r="D91" s="2" t="s">
        <v>7</v>
      </c>
      <c r="E91" s="2" t="s">
        <v>213</v>
      </c>
      <c r="F91" s="2" t="s">
        <v>214</v>
      </c>
    </row>
    <row r="92" spans="1:6" x14ac:dyDescent="0.25">
      <c r="A92" s="2" t="s">
        <v>9</v>
      </c>
      <c r="B92" s="2" t="s">
        <v>233</v>
      </c>
      <c r="C92" s="2" t="s">
        <v>233</v>
      </c>
      <c r="D92" s="2" t="s">
        <v>50</v>
      </c>
      <c r="E92" s="2" t="s">
        <v>169</v>
      </c>
      <c r="F92" s="2" t="s">
        <v>88</v>
      </c>
    </row>
    <row r="93" spans="1:6" x14ac:dyDescent="0.25">
      <c r="A93" s="2" t="s">
        <v>176</v>
      </c>
      <c r="B93" s="2" t="s">
        <v>382</v>
      </c>
      <c r="C93" s="2" t="s">
        <v>48</v>
      </c>
      <c r="D93" s="2" t="s">
        <v>48</v>
      </c>
      <c r="E93" s="2" t="s">
        <v>100</v>
      </c>
      <c r="F93" s="2" t="s">
        <v>67</v>
      </c>
    </row>
    <row r="94" spans="1:6" x14ac:dyDescent="0.25">
      <c r="A94" s="2" t="s">
        <v>285</v>
      </c>
      <c r="B94" s="2" t="s">
        <v>388</v>
      </c>
      <c r="C94" s="2" t="s">
        <v>48</v>
      </c>
      <c r="D94" s="2" t="s">
        <v>48</v>
      </c>
      <c r="E94" s="2" t="s">
        <v>286</v>
      </c>
      <c r="F94" s="2" t="s">
        <v>287</v>
      </c>
    </row>
    <row r="95" spans="1:6" x14ac:dyDescent="0.25">
      <c r="A95" s="2" t="s">
        <v>266</v>
      </c>
      <c r="B95" s="2" t="s">
        <v>377</v>
      </c>
      <c r="C95" s="2" t="s">
        <v>48</v>
      </c>
      <c r="D95" s="2" t="s">
        <v>48</v>
      </c>
      <c r="E95" s="2" t="s">
        <v>256</v>
      </c>
      <c r="F95" s="2" t="s">
        <v>255</v>
      </c>
    </row>
    <row r="96" spans="1:6" x14ac:dyDescent="0.25">
      <c r="A96" s="2" t="s">
        <v>16</v>
      </c>
      <c r="B96" s="2" t="s">
        <v>366</v>
      </c>
      <c r="C96" s="2" t="s">
        <v>48</v>
      </c>
      <c r="D96" s="2" t="s">
        <v>48</v>
      </c>
      <c r="E96" s="2" t="s">
        <v>99</v>
      </c>
      <c r="F96" s="2" t="s">
        <v>62</v>
      </c>
    </row>
    <row r="97" spans="1:6" x14ac:dyDescent="0.25">
      <c r="A97" s="2" t="s">
        <v>47</v>
      </c>
      <c r="B97" s="2" t="s">
        <v>316</v>
      </c>
      <c r="C97" s="2" t="s">
        <v>48</v>
      </c>
      <c r="D97" s="2" t="s">
        <v>48</v>
      </c>
      <c r="E97" s="2" t="s">
        <v>97</v>
      </c>
      <c r="F97" s="2" t="s">
        <v>73</v>
      </c>
    </row>
    <row r="98" spans="1:6" x14ac:dyDescent="0.25">
      <c r="A98" s="2" t="s">
        <v>236</v>
      </c>
      <c r="B98" s="2" t="s">
        <v>149</v>
      </c>
      <c r="C98" s="2" t="s">
        <v>149</v>
      </c>
      <c r="D98" s="2" t="s">
        <v>46</v>
      </c>
      <c r="E98" s="2" t="s">
        <v>235</v>
      </c>
      <c r="F98" s="2" t="s">
        <v>234</v>
      </c>
    </row>
    <row r="99" spans="1:6" x14ac:dyDescent="0.25">
      <c r="A99" s="2" t="s">
        <v>178</v>
      </c>
      <c r="B99" s="2" t="s">
        <v>376</v>
      </c>
      <c r="C99" s="2" t="s">
        <v>48</v>
      </c>
      <c r="D99" s="2" t="s">
        <v>48</v>
      </c>
      <c r="E99" s="2" t="s">
        <v>164</v>
      </c>
      <c r="F99" s="2" t="s">
        <v>165</v>
      </c>
    </row>
    <row r="100" spans="1:6" x14ac:dyDescent="0.25">
      <c r="A100" s="2" t="s">
        <v>251</v>
      </c>
      <c r="B100" s="2" t="s">
        <v>374</v>
      </c>
      <c r="C100" s="2" t="s">
        <v>48</v>
      </c>
      <c r="D100" s="2" t="s">
        <v>48</v>
      </c>
      <c r="E100" s="2" t="s">
        <v>250</v>
      </c>
      <c r="F100" s="2" t="s">
        <v>249</v>
      </c>
    </row>
    <row r="101" spans="1:6" x14ac:dyDescent="0.25">
      <c r="A101" s="2" t="s">
        <v>34</v>
      </c>
      <c r="B101" s="2" t="s">
        <v>359</v>
      </c>
      <c r="C101" s="2" t="s">
        <v>48</v>
      </c>
      <c r="D101" s="2" t="s">
        <v>48</v>
      </c>
      <c r="E101" s="2" t="s">
        <v>119</v>
      </c>
      <c r="F101" s="2" t="s">
        <v>75</v>
      </c>
    </row>
    <row r="102" spans="1:6" x14ac:dyDescent="0.25">
      <c r="A102" s="2" t="s">
        <v>18</v>
      </c>
      <c r="B102" s="2" t="s">
        <v>150</v>
      </c>
      <c r="C102" s="2" t="s">
        <v>150</v>
      </c>
      <c r="D102" s="2" t="s">
        <v>51</v>
      </c>
      <c r="E102" s="2" t="s">
        <v>131</v>
      </c>
      <c r="F102" s="2" t="s">
        <v>69</v>
      </c>
    </row>
    <row r="103" spans="1:6" x14ac:dyDescent="0.25">
      <c r="A103" s="2" t="s">
        <v>130</v>
      </c>
      <c r="B103" s="2" t="s">
        <v>95</v>
      </c>
      <c r="C103" s="2" t="s">
        <v>95</v>
      </c>
      <c r="D103" s="2" t="s">
        <v>52</v>
      </c>
      <c r="E103" s="2" t="s">
        <v>179</v>
      </c>
      <c r="F103" s="2" t="s">
        <v>180</v>
      </c>
    </row>
    <row r="104" spans="1:6" x14ac:dyDescent="0.25">
      <c r="A104" s="2" t="s">
        <v>239</v>
      </c>
      <c r="B104" s="2" t="s">
        <v>389</v>
      </c>
      <c r="C104" s="2" t="s">
        <v>48</v>
      </c>
      <c r="D104" s="2" t="s">
        <v>48</v>
      </c>
      <c r="E104" s="2" t="s">
        <v>102</v>
      </c>
      <c r="F104" s="2" t="s">
        <v>84</v>
      </c>
    </row>
    <row r="105" spans="1:6" x14ac:dyDescent="0.25">
      <c r="A105" s="2" t="s">
        <v>31</v>
      </c>
      <c r="B105" s="2" t="s">
        <v>390</v>
      </c>
      <c r="C105" s="2" t="s">
        <v>48</v>
      </c>
      <c r="D105" s="2" t="s">
        <v>48</v>
      </c>
      <c r="E105" s="2" t="s">
        <v>134</v>
      </c>
      <c r="F105" s="2" t="s">
        <v>135</v>
      </c>
    </row>
    <row r="106" spans="1:6" x14ac:dyDescent="0.25">
      <c r="A106" s="2" t="s">
        <v>336</v>
      </c>
      <c r="B106" s="2" t="s">
        <v>361</v>
      </c>
      <c r="C106" s="2" t="s">
        <v>95</v>
      </c>
      <c r="D106" s="2" t="s">
        <v>52</v>
      </c>
      <c r="E106" s="2" t="s">
        <v>226</v>
      </c>
      <c r="F106" s="2" t="s">
        <v>227</v>
      </c>
    </row>
    <row r="107" spans="1:6" x14ac:dyDescent="0.25">
      <c r="A107" s="27" t="s">
        <v>568</v>
      </c>
      <c r="B107" s="27" t="s">
        <v>150</v>
      </c>
      <c r="C107" s="27" t="s">
        <v>150</v>
      </c>
      <c r="D107" s="27" t="s">
        <v>51</v>
      </c>
      <c r="E107" s="27" t="s">
        <v>569</v>
      </c>
      <c r="F107" s="27" t="s">
        <v>570</v>
      </c>
    </row>
    <row r="108" spans="1:6" x14ac:dyDescent="0.25">
      <c r="A108" s="2" t="s">
        <v>300</v>
      </c>
      <c r="B108" s="2" t="s">
        <v>364</v>
      </c>
      <c r="C108" s="2" t="s">
        <v>48</v>
      </c>
      <c r="D108" s="2" t="s">
        <v>48</v>
      </c>
      <c r="E108" s="2" t="s">
        <v>187</v>
      </c>
      <c r="F108" s="2" t="s">
        <v>188</v>
      </c>
    </row>
    <row r="109" spans="1:6" x14ac:dyDescent="0.25">
      <c r="A109" s="2" t="s">
        <v>21</v>
      </c>
      <c r="B109" s="2" t="s">
        <v>359</v>
      </c>
      <c r="C109" s="2" t="s">
        <v>48</v>
      </c>
      <c r="D109" s="2" t="s">
        <v>48</v>
      </c>
      <c r="E109" s="2" t="s">
        <v>126</v>
      </c>
      <c r="F109" s="2" t="s">
        <v>175</v>
      </c>
    </row>
    <row r="110" spans="1:6" x14ac:dyDescent="0.25">
      <c r="A110" s="2" t="s">
        <v>296</v>
      </c>
      <c r="B110" s="2" t="s">
        <v>297</v>
      </c>
      <c r="C110" s="2" t="s">
        <v>297</v>
      </c>
      <c r="D110" s="2" t="s">
        <v>7</v>
      </c>
      <c r="E110" s="2" t="s">
        <v>298</v>
      </c>
      <c r="F110" s="2" t="s">
        <v>299</v>
      </c>
    </row>
    <row r="111" spans="1:6" x14ac:dyDescent="0.25">
      <c r="A111" s="2" t="s">
        <v>259</v>
      </c>
      <c r="B111" s="2" t="s">
        <v>372</v>
      </c>
      <c r="C111" s="2" t="s">
        <v>48</v>
      </c>
      <c r="D111" s="2" t="s">
        <v>48</v>
      </c>
      <c r="E111" s="2" t="s">
        <v>258</v>
      </c>
      <c r="F111" s="2" t="s">
        <v>257</v>
      </c>
    </row>
    <row r="112" spans="1:6" x14ac:dyDescent="0.25">
      <c r="A112" s="2" t="s">
        <v>196</v>
      </c>
      <c r="B112" s="2" t="s">
        <v>197</v>
      </c>
      <c r="C112" s="2" t="s">
        <v>197</v>
      </c>
      <c r="D112" s="2" t="s">
        <v>7</v>
      </c>
      <c r="E112" s="2" t="s">
        <v>198</v>
      </c>
      <c r="F112" s="2" t="s">
        <v>199</v>
      </c>
    </row>
    <row r="113" spans="1:6" x14ac:dyDescent="0.25">
      <c r="A113" s="2" t="s">
        <v>30</v>
      </c>
      <c r="B113" s="2" t="s">
        <v>384</v>
      </c>
      <c r="C113" s="2" t="s">
        <v>48</v>
      </c>
      <c r="D113" s="2" t="s">
        <v>48</v>
      </c>
    </row>
    <row r="114" spans="1:6" s="12" customFormat="1" x14ac:dyDescent="0.25">
      <c r="A114" s="13" t="s">
        <v>25</v>
      </c>
      <c r="B114" s="13" t="s">
        <v>149</v>
      </c>
      <c r="C114" s="13" t="s">
        <v>149</v>
      </c>
      <c r="D114" s="13" t="s">
        <v>46</v>
      </c>
      <c r="E114" s="15"/>
      <c r="F114" s="15"/>
    </row>
    <row r="115" spans="1:6" s="12" customFormat="1" x14ac:dyDescent="0.25">
      <c r="A115" s="13" t="s">
        <v>25</v>
      </c>
      <c r="B115" s="13" t="s">
        <v>253</v>
      </c>
      <c r="C115" s="13" t="s">
        <v>253</v>
      </c>
      <c r="D115" s="13" t="s">
        <v>252</v>
      </c>
      <c r="E115" s="15"/>
      <c r="F115" s="15"/>
    </row>
    <row r="116" spans="1:6" s="12" customFormat="1" x14ac:dyDescent="0.25">
      <c r="A116" s="13" t="s">
        <v>25</v>
      </c>
      <c r="B116" s="13" t="s">
        <v>371</v>
      </c>
      <c r="C116" s="13" t="s">
        <v>48</v>
      </c>
      <c r="D116" s="13" t="s">
        <v>48</v>
      </c>
      <c r="E116" s="13" t="s">
        <v>106</v>
      </c>
      <c r="F116" s="13" t="s">
        <v>215</v>
      </c>
    </row>
    <row r="117" spans="1:6" x14ac:dyDescent="0.25">
      <c r="A117" s="2" t="s">
        <v>272</v>
      </c>
      <c r="B117" s="2" t="s">
        <v>319</v>
      </c>
      <c r="C117" s="2" t="s">
        <v>48</v>
      </c>
      <c r="D117" s="2" t="s">
        <v>48</v>
      </c>
      <c r="E117" s="2" t="s">
        <v>229</v>
      </c>
      <c r="F117" s="2" t="s">
        <v>273</v>
      </c>
    </row>
    <row r="118" spans="1:6" x14ac:dyDescent="0.25">
      <c r="A118" s="2" t="s">
        <v>265</v>
      </c>
      <c r="B118" s="2" t="s">
        <v>357</v>
      </c>
      <c r="C118" s="2" t="s">
        <v>48</v>
      </c>
      <c r="D118" s="2" t="s">
        <v>48</v>
      </c>
      <c r="E118" s="2" t="s">
        <v>242</v>
      </c>
      <c r="F118" s="2" t="s">
        <v>241</v>
      </c>
    </row>
    <row r="119" spans="1:6" s="12" customFormat="1" x14ac:dyDescent="0.25">
      <c r="A119" s="13" t="s">
        <v>26</v>
      </c>
      <c r="B119" s="13" t="s">
        <v>363</v>
      </c>
      <c r="C119" s="13" t="s">
        <v>48</v>
      </c>
      <c r="D119" s="13" t="s">
        <v>48</v>
      </c>
      <c r="E119" s="13" t="s">
        <v>144</v>
      </c>
      <c r="F119" s="13" t="s">
        <v>90</v>
      </c>
    </row>
    <row r="120" spans="1:6" s="12" customFormat="1" x14ac:dyDescent="0.25">
      <c r="A120" s="13" t="s">
        <v>26</v>
      </c>
      <c r="B120" s="13" t="s">
        <v>372</v>
      </c>
      <c r="C120" s="13" t="s">
        <v>48</v>
      </c>
      <c r="D120" s="13" t="s">
        <v>48</v>
      </c>
      <c r="E120" s="13" t="s">
        <v>144</v>
      </c>
      <c r="F120" s="13" t="s">
        <v>160</v>
      </c>
    </row>
    <row r="121" spans="1:6" s="12" customFormat="1" x14ac:dyDescent="0.25">
      <c r="A121" s="13" t="s">
        <v>26</v>
      </c>
      <c r="B121" s="13" t="s">
        <v>392</v>
      </c>
      <c r="C121" s="13" t="s">
        <v>48</v>
      </c>
      <c r="D121" s="13" t="s">
        <v>48</v>
      </c>
      <c r="E121" s="13" t="s">
        <v>144</v>
      </c>
      <c r="F121" s="13" t="s">
        <v>85</v>
      </c>
    </row>
    <row r="122" spans="1:6" x14ac:dyDescent="0.25">
      <c r="A122" s="2" t="s">
        <v>303</v>
      </c>
      <c r="B122" s="4" t="s">
        <v>368</v>
      </c>
      <c r="C122" s="2" t="s">
        <v>48</v>
      </c>
      <c r="D122" s="2" t="s">
        <v>48</v>
      </c>
      <c r="E122" s="2" t="s">
        <v>136</v>
      </c>
      <c r="F122" s="2" t="s">
        <v>137</v>
      </c>
    </row>
    <row r="123" spans="1:6" x14ac:dyDescent="0.25">
      <c r="A123" s="2" t="s">
        <v>320</v>
      </c>
      <c r="B123" s="2" t="s">
        <v>148</v>
      </c>
      <c r="C123" s="2" t="s">
        <v>148</v>
      </c>
      <c r="D123" s="2" t="s">
        <v>49</v>
      </c>
      <c r="E123" s="2" t="s">
        <v>321</v>
      </c>
      <c r="F123" s="2" t="s">
        <v>322</v>
      </c>
    </row>
    <row r="124" spans="1:6" x14ac:dyDescent="0.25">
      <c r="A124" t="s">
        <v>12</v>
      </c>
      <c r="B124" t="s">
        <v>369</v>
      </c>
      <c r="C124" t="s">
        <v>48</v>
      </c>
      <c r="D124" t="s">
        <v>48</v>
      </c>
      <c r="E124" t="s">
        <v>118</v>
      </c>
      <c r="F124" t="s">
        <v>70</v>
      </c>
    </row>
    <row r="125" spans="1:6" x14ac:dyDescent="0.25">
      <c r="A125" s="27" t="s">
        <v>571</v>
      </c>
      <c r="B125" s="27" t="s">
        <v>572</v>
      </c>
      <c r="C125" s="27" t="s">
        <v>572</v>
      </c>
      <c r="D125" s="27" t="s">
        <v>573</v>
      </c>
      <c r="E125" s="27" t="s">
        <v>574</v>
      </c>
      <c r="F125" s="27" t="s">
        <v>575</v>
      </c>
    </row>
    <row r="126" spans="1:6" x14ac:dyDescent="0.25">
      <c r="A126" s="27" t="s">
        <v>576</v>
      </c>
      <c r="B126" s="27" t="s">
        <v>372</v>
      </c>
      <c r="C126" s="27" t="s">
        <v>48</v>
      </c>
      <c r="D126" s="27" t="s">
        <v>48</v>
      </c>
      <c r="E126" s="27" t="s">
        <v>577</v>
      </c>
      <c r="F126" s="27" t="s">
        <v>578</v>
      </c>
    </row>
    <row r="127" spans="1:6" x14ac:dyDescent="0.25">
      <c r="A127" s="27" t="s">
        <v>579</v>
      </c>
      <c r="B127" s="27" t="s">
        <v>374</v>
      </c>
      <c r="C127" s="27" t="s">
        <v>48</v>
      </c>
      <c r="D127" s="27" t="s">
        <v>48</v>
      </c>
      <c r="E127" s="27" t="s">
        <v>580</v>
      </c>
      <c r="F127" s="27" t="s">
        <v>581</v>
      </c>
    </row>
    <row r="128" spans="1:6" x14ac:dyDescent="0.25">
      <c r="A128" s="39" t="s">
        <v>755</v>
      </c>
      <c r="B128" s="39" t="s">
        <v>734</v>
      </c>
      <c r="C128" s="39" t="s">
        <v>734</v>
      </c>
      <c r="D128" s="39" t="s">
        <v>711</v>
      </c>
      <c r="E128" s="39" t="s">
        <v>756</v>
      </c>
      <c r="F128" s="39" t="s">
        <v>757</v>
      </c>
    </row>
    <row r="135" spans="1:6" x14ac:dyDescent="0.25">
      <c r="A135" t="s">
        <v>803</v>
      </c>
      <c r="B135" t="s">
        <v>665</v>
      </c>
      <c r="C135" t="s">
        <v>665</v>
      </c>
      <c r="D135" t="s">
        <v>665</v>
      </c>
      <c r="E135" t="s">
        <v>804</v>
      </c>
      <c r="F135" t="s">
        <v>805</v>
      </c>
    </row>
    <row r="136" spans="1:6" x14ac:dyDescent="0.25">
      <c r="A136" t="s">
        <v>718</v>
      </c>
      <c r="B136" s="8" t="s">
        <v>403</v>
      </c>
      <c r="C136" s="28" t="s">
        <v>48</v>
      </c>
      <c r="D136" s="28" t="s">
        <v>48</v>
      </c>
      <c r="E136" t="s">
        <v>720</v>
      </c>
      <c r="F136" t="s">
        <v>802</v>
      </c>
    </row>
    <row r="137" spans="1:6" x14ac:dyDescent="0.25">
      <c r="A137" t="s">
        <v>797</v>
      </c>
      <c r="B137" t="s">
        <v>798</v>
      </c>
      <c r="C137" t="s">
        <v>798</v>
      </c>
      <c r="D137" t="s">
        <v>799</v>
      </c>
      <c r="E137" t="s">
        <v>800</v>
      </c>
      <c r="F137" t="s">
        <v>801</v>
      </c>
    </row>
    <row r="138" spans="1:6" x14ac:dyDescent="0.25">
      <c r="A138" s="28" t="s">
        <v>594</v>
      </c>
      <c r="B138" s="28" t="s">
        <v>317</v>
      </c>
      <c r="C138" s="28" t="s">
        <v>48</v>
      </c>
      <c r="D138" s="28" t="s">
        <v>48</v>
      </c>
      <c r="E138" s="28" t="s">
        <v>595</v>
      </c>
      <c r="F138" s="28" t="s">
        <v>596</v>
      </c>
    </row>
    <row r="139" spans="1:6" x14ac:dyDescent="0.25">
      <c r="A139" s="28" t="s">
        <v>597</v>
      </c>
      <c r="B139" s="28" t="s">
        <v>598</v>
      </c>
      <c r="C139" s="28" t="s">
        <v>48</v>
      </c>
      <c r="D139" s="28" t="s">
        <v>48</v>
      </c>
      <c r="E139" s="28" t="s">
        <v>94</v>
      </c>
      <c r="F139" s="28" t="s">
        <v>599</v>
      </c>
    </row>
    <row r="140" spans="1:6" x14ac:dyDescent="0.25">
      <c r="A140" s="31" t="s">
        <v>437</v>
      </c>
      <c r="B140" s="31" t="s">
        <v>360</v>
      </c>
      <c r="C140" s="31" t="s">
        <v>48</v>
      </c>
      <c r="D140" s="31" t="s">
        <v>48</v>
      </c>
      <c r="E140" s="31" t="s">
        <v>438</v>
      </c>
      <c r="F140" s="28" t="s">
        <v>439</v>
      </c>
    </row>
    <row r="141" spans="1:6" x14ac:dyDescent="0.25">
      <c r="A141" s="12" t="s">
        <v>437</v>
      </c>
      <c r="B141" s="12" t="s">
        <v>182</v>
      </c>
      <c r="C141" s="12" t="s">
        <v>182</v>
      </c>
      <c r="D141" s="12" t="s">
        <v>7</v>
      </c>
      <c r="E141" s="12" t="s">
        <v>438</v>
      </c>
      <c r="F141" t="s">
        <v>796</v>
      </c>
    </row>
    <row r="142" spans="1:6" x14ac:dyDescent="0.25">
      <c r="A142" s="8" t="s">
        <v>608</v>
      </c>
      <c r="B142" s="8" t="s">
        <v>317</v>
      </c>
      <c r="C142" s="8" t="s">
        <v>48</v>
      </c>
      <c r="D142" s="8" t="s">
        <v>48</v>
      </c>
      <c r="E142" s="8" t="s">
        <v>609</v>
      </c>
      <c r="F142" s="8" t="s">
        <v>610</v>
      </c>
    </row>
    <row r="143" spans="1:6" x14ac:dyDescent="0.25">
      <c r="A143" s="8" t="s">
        <v>611</v>
      </c>
      <c r="B143" s="8" t="s">
        <v>612</v>
      </c>
      <c r="C143" s="8" t="s">
        <v>612</v>
      </c>
      <c r="D143" s="8" t="s">
        <v>252</v>
      </c>
      <c r="E143" s="8" t="s">
        <v>613</v>
      </c>
      <c r="F143" s="8" t="s">
        <v>614</v>
      </c>
    </row>
    <row r="144" spans="1:6" x14ac:dyDescent="0.25">
      <c r="A144" s="8" t="s">
        <v>619</v>
      </c>
      <c r="B144" s="8" t="s">
        <v>620</v>
      </c>
      <c r="C144" s="8" t="s">
        <v>48</v>
      </c>
      <c r="D144" s="8" t="s">
        <v>48</v>
      </c>
      <c r="E144" s="8" t="s">
        <v>621</v>
      </c>
      <c r="F144" s="8" t="s">
        <v>622</v>
      </c>
    </row>
    <row r="145" spans="1:6" x14ac:dyDescent="0.25">
      <c r="A145" s="8" t="s">
        <v>579</v>
      </c>
      <c r="B145" s="8" t="s">
        <v>374</v>
      </c>
      <c r="C145" s="8" t="s">
        <v>48</v>
      </c>
      <c r="D145" s="8" t="s">
        <v>48</v>
      </c>
      <c r="E145" s="8" t="s">
        <v>580</v>
      </c>
      <c r="F145" s="8" t="s">
        <v>581</v>
      </c>
    </row>
    <row r="146" spans="1:6" x14ac:dyDescent="0.25">
      <c r="A146" s="29" t="s">
        <v>623</v>
      </c>
      <c r="B146" s="16" t="s">
        <v>95</v>
      </c>
      <c r="C146" s="16" t="s">
        <v>95</v>
      </c>
      <c r="D146" s="16" t="s">
        <v>52</v>
      </c>
      <c r="E146" s="29" t="s">
        <v>204</v>
      </c>
      <c r="F146" s="29" t="s">
        <v>624</v>
      </c>
    </row>
    <row r="147" spans="1:6" x14ac:dyDescent="0.25">
      <c r="A147" s="29" t="s">
        <v>625</v>
      </c>
      <c r="B147" s="29" t="s">
        <v>626</v>
      </c>
      <c r="C147" s="29" t="s">
        <v>48</v>
      </c>
      <c r="D147" s="29" t="s">
        <v>48</v>
      </c>
      <c r="E147" s="29" t="s">
        <v>627</v>
      </c>
      <c r="F147" s="29" t="s">
        <v>628</v>
      </c>
    </row>
    <row r="148" spans="1:6" x14ac:dyDescent="0.25">
      <c r="A148" s="30" t="s">
        <v>630</v>
      </c>
      <c r="B148" s="30" t="s">
        <v>174</v>
      </c>
      <c r="C148" s="30" t="s">
        <v>174</v>
      </c>
      <c r="D148" s="30" t="s">
        <v>50</v>
      </c>
      <c r="E148" s="30" t="s">
        <v>631</v>
      </c>
      <c r="F148" s="30" t="s">
        <v>632</v>
      </c>
    </row>
    <row r="149" spans="1:6" x14ac:dyDescent="0.25">
      <c r="A149" s="30" t="s">
        <v>112</v>
      </c>
      <c r="B149" s="30" t="s">
        <v>376</v>
      </c>
      <c r="C149" s="30" t="s">
        <v>48</v>
      </c>
      <c r="D149" s="30" t="s">
        <v>48</v>
      </c>
      <c r="E149" s="30" t="s">
        <v>113</v>
      </c>
      <c r="F149" s="30" t="s">
        <v>633</v>
      </c>
    </row>
    <row r="150" spans="1:6" x14ac:dyDescent="0.25">
      <c r="A150" s="1" t="s">
        <v>634</v>
      </c>
      <c r="B150" s="7" t="s">
        <v>360</v>
      </c>
      <c r="C150" s="1" t="s">
        <v>48</v>
      </c>
      <c r="D150" s="1" t="s">
        <v>48</v>
      </c>
      <c r="E150" s="8" t="s">
        <v>635</v>
      </c>
      <c r="F150" s="8" t="s">
        <v>636</v>
      </c>
    </row>
    <row r="151" spans="1:6" x14ac:dyDescent="0.25">
      <c r="A151" s="8" t="s">
        <v>637</v>
      </c>
      <c r="B151" s="8" t="s">
        <v>174</v>
      </c>
      <c r="C151" s="8" t="s">
        <v>174</v>
      </c>
      <c r="D151" s="8" t="s">
        <v>50</v>
      </c>
      <c r="E151" s="8" t="s">
        <v>638</v>
      </c>
      <c r="F151" s="8" t="s">
        <v>639</v>
      </c>
    </row>
    <row r="152" spans="1:6" x14ac:dyDescent="0.25">
      <c r="A152" s="8" t="s">
        <v>640</v>
      </c>
      <c r="B152" s="8" t="s">
        <v>641</v>
      </c>
      <c r="C152" s="8" t="s">
        <v>641</v>
      </c>
      <c r="D152" s="8" t="s">
        <v>7</v>
      </c>
      <c r="E152" s="8" t="s">
        <v>642</v>
      </c>
      <c r="F152" s="8" t="s">
        <v>643</v>
      </c>
    </row>
    <row r="153" spans="1:6" x14ac:dyDescent="0.25">
      <c r="A153" s="8" t="s">
        <v>644</v>
      </c>
      <c r="B153" s="1" t="s">
        <v>789</v>
      </c>
      <c r="C153" s="1" t="s">
        <v>48</v>
      </c>
      <c r="D153" s="1" t="s">
        <v>48</v>
      </c>
      <c r="E153" s="8" t="s">
        <v>645</v>
      </c>
      <c r="F153" s="8" t="s">
        <v>646</v>
      </c>
    </row>
    <row r="154" spans="1:6" x14ac:dyDescent="0.25">
      <c r="A154" s="8" t="s">
        <v>647</v>
      </c>
      <c r="B154" s="8" t="s">
        <v>318</v>
      </c>
      <c r="C154" s="8" t="s">
        <v>48</v>
      </c>
      <c r="D154" s="8" t="s">
        <v>48</v>
      </c>
      <c r="E154" s="8" t="s">
        <v>648</v>
      </c>
      <c r="F154" s="8" t="s">
        <v>649</v>
      </c>
    </row>
    <row r="155" spans="1:6" x14ac:dyDescent="0.25">
      <c r="A155" s="31" t="s">
        <v>654</v>
      </c>
      <c r="B155" s="8" t="s">
        <v>655</v>
      </c>
      <c r="C155" s="8" t="s">
        <v>655</v>
      </c>
      <c r="D155" s="8" t="s">
        <v>293</v>
      </c>
      <c r="E155" s="8" t="s">
        <v>96</v>
      </c>
      <c r="F155" s="8" t="s">
        <v>656</v>
      </c>
    </row>
    <row r="156" spans="1:6" x14ac:dyDescent="0.25">
      <c r="A156" s="8" t="s">
        <v>657</v>
      </c>
      <c r="B156" s="8" t="s">
        <v>620</v>
      </c>
      <c r="C156" s="8" t="s">
        <v>48</v>
      </c>
      <c r="D156" s="8" t="s">
        <v>48</v>
      </c>
      <c r="E156" s="8" t="s">
        <v>658</v>
      </c>
      <c r="F156" s="8" t="s">
        <v>659</v>
      </c>
    </row>
    <row r="157" spans="1:6" x14ac:dyDescent="0.25">
      <c r="A157" t="s">
        <v>660</v>
      </c>
      <c r="B157" t="s">
        <v>150</v>
      </c>
      <c r="C157" t="s">
        <v>150</v>
      </c>
      <c r="D157" t="s">
        <v>51</v>
      </c>
      <c r="E157" t="s">
        <v>661</v>
      </c>
      <c r="F157" t="s">
        <v>662</v>
      </c>
    </row>
    <row r="158" spans="1:6" x14ac:dyDescent="0.25">
      <c r="A158" s="8" t="s">
        <v>221</v>
      </c>
      <c r="B158" s="8" t="s">
        <v>706</v>
      </c>
      <c r="C158" s="8" t="s">
        <v>48</v>
      </c>
      <c r="D158" s="8" t="s">
        <v>48</v>
      </c>
      <c r="E158" s="8" t="s">
        <v>222</v>
      </c>
      <c r="F158" s="8" t="s">
        <v>663</v>
      </c>
    </row>
    <row r="159" spans="1:6" x14ac:dyDescent="0.25">
      <c r="A159" s="8" t="s">
        <v>676</v>
      </c>
      <c r="B159" s="8" t="s">
        <v>679</v>
      </c>
      <c r="C159" s="8" t="s">
        <v>48</v>
      </c>
      <c r="D159" s="8" t="s">
        <v>48</v>
      </c>
      <c r="E159" s="8" t="s">
        <v>677</v>
      </c>
      <c r="F159" s="8" t="s">
        <v>678</v>
      </c>
    </row>
    <row r="160" spans="1:6" x14ac:dyDescent="0.25">
      <c r="A160" t="s">
        <v>680</v>
      </c>
      <c r="B160" t="s">
        <v>385</v>
      </c>
      <c r="C160" t="s">
        <v>48</v>
      </c>
      <c r="D160" t="s">
        <v>48</v>
      </c>
      <c r="E160" t="s">
        <v>681</v>
      </c>
      <c r="F160" t="s">
        <v>682</v>
      </c>
    </row>
    <row r="161" spans="1:6" x14ac:dyDescent="0.25">
      <c r="A161" s="34" t="s">
        <v>683</v>
      </c>
      <c r="B161" s="34" t="s">
        <v>369</v>
      </c>
      <c r="C161" s="34" t="s">
        <v>48</v>
      </c>
      <c r="D161" s="34" t="s">
        <v>48</v>
      </c>
      <c r="E161" s="34" t="s">
        <v>684</v>
      </c>
      <c r="F161" s="34" t="s">
        <v>685</v>
      </c>
    </row>
    <row r="162" spans="1:6" x14ac:dyDescent="0.25">
      <c r="A162" s="37" t="s">
        <v>716</v>
      </c>
      <c r="B162" t="s">
        <v>686</v>
      </c>
      <c r="C162" t="s">
        <v>48</v>
      </c>
      <c r="D162" t="s">
        <v>48</v>
      </c>
      <c r="E162" s="35" t="s">
        <v>687</v>
      </c>
      <c r="F162" s="35" t="s">
        <v>688</v>
      </c>
    </row>
    <row r="163" spans="1:6" x14ac:dyDescent="0.25">
      <c r="A163" s="34" t="s">
        <v>689</v>
      </c>
      <c r="B163" s="34" t="s">
        <v>318</v>
      </c>
      <c r="C163" s="34" t="s">
        <v>48</v>
      </c>
      <c r="D163" s="34" t="s">
        <v>48</v>
      </c>
      <c r="E163" s="34" t="s">
        <v>690</v>
      </c>
      <c r="F163" s="34" t="s">
        <v>691</v>
      </c>
    </row>
    <row r="164" spans="1:6" x14ac:dyDescent="0.25">
      <c r="A164" s="36" t="s">
        <v>699</v>
      </c>
      <c r="B164" s="36" t="s">
        <v>387</v>
      </c>
      <c r="C164" s="36" t="s">
        <v>48</v>
      </c>
      <c r="D164" s="36" t="s">
        <v>48</v>
      </c>
      <c r="E164" s="36" t="s">
        <v>700</v>
      </c>
      <c r="F164" s="36" t="s">
        <v>701</v>
      </c>
    </row>
    <row r="165" spans="1:6" x14ac:dyDescent="0.25">
      <c r="A165" s="36" t="s">
        <v>702</v>
      </c>
      <c r="B165" s="36" t="s">
        <v>372</v>
      </c>
      <c r="C165" s="36" t="s">
        <v>48</v>
      </c>
      <c r="D165" s="36" t="s">
        <v>48</v>
      </c>
      <c r="E165" s="36" t="s">
        <v>703</v>
      </c>
      <c r="F165" s="36" t="s">
        <v>704</v>
      </c>
    </row>
    <row r="166" spans="1:6" x14ac:dyDescent="0.25">
      <c r="A166" s="36" t="s">
        <v>705</v>
      </c>
      <c r="B166" s="36" t="s">
        <v>706</v>
      </c>
      <c r="C166" s="36" t="s">
        <v>48</v>
      </c>
      <c r="D166" s="36" t="s">
        <v>48</v>
      </c>
      <c r="E166" s="36" t="s">
        <v>707</v>
      </c>
      <c r="F166" s="36" t="s">
        <v>708</v>
      </c>
    </row>
    <row r="167" spans="1:6" x14ac:dyDescent="0.25">
      <c r="A167" s="36" t="s">
        <v>709</v>
      </c>
      <c r="B167" s="36" t="s">
        <v>710</v>
      </c>
      <c r="C167" s="36" t="s">
        <v>710</v>
      </c>
      <c r="D167" s="36" t="s">
        <v>711</v>
      </c>
      <c r="E167" s="36" t="s">
        <v>712</v>
      </c>
      <c r="F167" s="36" t="s">
        <v>713</v>
      </c>
    </row>
    <row r="168" spans="1:6" x14ac:dyDescent="0.25">
      <c r="A168" s="31" t="s">
        <v>718</v>
      </c>
      <c r="B168" s="31" t="s">
        <v>719</v>
      </c>
      <c r="C168" s="31" t="s">
        <v>719</v>
      </c>
      <c r="D168" s="31" t="s">
        <v>252</v>
      </c>
      <c r="E168" s="8" t="s">
        <v>720</v>
      </c>
      <c r="F168" s="8" t="s">
        <v>721</v>
      </c>
    </row>
    <row r="169" spans="1:6" x14ac:dyDescent="0.25">
      <c r="A169" s="8" t="s">
        <v>722</v>
      </c>
      <c r="B169" s="8" t="s">
        <v>723</v>
      </c>
      <c r="C169" s="8" t="s">
        <v>723</v>
      </c>
      <c r="D169" s="8" t="s">
        <v>49</v>
      </c>
      <c r="E169" s="8" t="s">
        <v>724</v>
      </c>
      <c r="F169" s="8" t="s">
        <v>725</v>
      </c>
    </row>
    <row r="170" spans="1:6" x14ac:dyDescent="0.25">
      <c r="A170" t="s">
        <v>726</v>
      </c>
      <c r="B170" s="39" t="s">
        <v>95</v>
      </c>
      <c r="C170" s="39" t="s">
        <v>95</v>
      </c>
      <c r="D170" s="39" t="s">
        <v>52</v>
      </c>
      <c r="E170" s="39" t="s">
        <v>727</v>
      </c>
      <c r="F170" s="39" t="s">
        <v>728</v>
      </c>
    </row>
    <row r="171" spans="1:6" x14ac:dyDescent="0.25">
      <c r="A171" s="39" t="s">
        <v>729</v>
      </c>
      <c r="B171" s="39" t="s">
        <v>730</v>
      </c>
      <c r="C171" s="39" t="s">
        <v>730</v>
      </c>
      <c r="D171" s="39" t="s">
        <v>181</v>
      </c>
      <c r="E171" s="39" t="s">
        <v>731</v>
      </c>
      <c r="F171" s="39" t="s">
        <v>732</v>
      </c>
    </row>
    <row r="172" spans="1:6" x14ac:dyDescent="0.25">
      <c r="A172" s="39" t="s">
        <v>733</v>
      </c>
      <c r="B172" s="39" t="s">
        <v>734</v>
      </c>
      <c r="C172" s="39" t="s">
        <v>734</v>
      </c>
      <c r="D172" s="39" t="s">
        <v>711</v>
      </c>
      <c r="E172" s="39" t="s">
        <v>735</v>
      </c>
      <c r="F172" s="39" t="s">
        <v>736</v>
      </c>
    </row>
    <row r="173" spans="1:6" x14ac:dyDescent="0.25">
      <c r="A173" s="39" t="s">
        <v>737</v>
      </c>
      <c r="B173" s="39" t="s">
        <v>376</v>
      </c>
      <c r="C173" s="39" t="s">
        <v>48</v>
      </c>
      <c r="D173" s="39" t="s">
        <v>48</v>
      </c>
      <c r="E173" s="39" t="s">
        <v>738</v>
      </c>
      <c r="F173" s="39" t="s">
        <v>739</v>
      </c>
    </row>
    <row r="174" spans="1:6" x14ac:dyDescent="0.25">
      <c r="A174" s="39" t="s">
        <v>740</v>
      </c>
      <c r="B174" s="39" t="s">
        <v>741</v>
      </c>
      <c r="C174" s="39" t="s">
        <v>741</v>
      </c>
      <c r="D174" s="39" t="s">
        <v>50</v>
      </c>
      <c r="E174" s="39" t="s">
        <v>742</v>
      </c>
      <c r="F174" s="39" t="s">
        <v>743</v>
      </c>
    </row>
    <row r="175" spans="1:6" x14ac:dyDescent="0.25">
      <c r="A175" s="41" t="s">
        <v>744</v>
      </c>
      <c r="B175" s="41" t="s">
        <v>369</v>
      </c>
      <c r="C175" s="41" t="s">
        <v>48</v>
      </c>
      <c r="D175" s="41" t="s">
        <v>48</v>
      </c>
      <c r="E175" s="39" t="s">
        <v>745</v>
      </c>
      <c r="F175" s="39" t="s">
        <v>746</v>
      </c>
    </row>
    <row r="176" spans="1:6" x14ac:dyDescent="0.25">
      <c r="A176" s="42" t="s">
        <v>744</v>
      </c>
      <c r="B176" s="42" t="s">
        <v>780</v>
      </c>
      <c r="C176" s="42" t="s">
        <v>48</v>
      </c>
      <c r="D176" s="42" t="s">
        <v>48</v>
      </c>
      <c r="E176" s="40" t="s">
        <v>745</v>
      </c>
      <c r="F176" s="40" t="s">
        <v>781</v>
      </c>
    </row>
    <row r="177" spans="1:6" x14ac:dyDescent="0.25">
      <c r="A177" s="39" t="s">
        <v>729</v>
      </c>
      <c r="B177" s="39" t="s">
        <v>181</v>
      </c>
      <c r="C177" s="39" t="s">
        <v>181</v>
      </c>
      <c r="D177" s="39" t="s">
        <v>181</v>
      </c>
      <c r="E177" s="39" t="s">
        <v>731</v>
      </c>
      <c r="F177" s="39" t="s">
        <v>732</v>
      </c>
    </row>
    <row r="178" spans="1:6" x14ac:dyDescent="0.25">
      <c r="A178" s="39" t="s">
        <v>747</v>
      </c>
      <c r="B178" s="39" t="s">
        <v>151</v>
      </c>
      <c r="C178" s="39" t="s">
        <v>151</v>
      </c>
      <c r="D178" s="39" t="s">
        <v>7</v>
      </c>
      <c r="E178" s="39" t="s">
        <v>748</v>
      </c>
      <c r="F178" s="39" t="s">
        <v>749</v>
      </c>
    </row>
    <row r="179" spans="1:6" x14ac:dyDescent="0.25">
      <c r="A179" s="39" t="s">
        <v>750</v>
      </c>
      <c r="B179" s="8" t="s">
        <v>751</v>
      </c>
      <c r="C179" s="8" t="s">
        <v>751</v>
      </c>
      <c r="D179" s="8" t="s">
        <v>752</v>
      </c>
      <c r="E179" s="39" t="s">
        <v>753</v>
      </c>
      <c r="F179" s="39" t="s">
        <v>754</v>
      </c>
    </row>
    <row r="180" spans="1:6" x14ac:dyDescent="0.25">
      <c r="A180" s="39" t="s">
        <v>651</v>
      </c>
      <c r="B180" s="39" t="s">
        <v>292</v>
      </c>
      <c r="C180" s="39" t="s">
        <v>292</v>
      </c>
      <c r="D180" s="39" t="s">
        <v>293</v>
      </c>
      <c r="E180" s="39" t="s">
        <v>652</v>
      </c>
      <c r="F180" s="39" t="s">
        <v>653</v>
      </c>
    </row>
    <row r="181" spans="1:6" x14ac:dyDescent="0.25">
      <c r="A181" s="39" t="s">
        <v>758</v>
      </c>
      <c r="B181" s="39" t="s">
        <v>148</v>
      </c>
      <c r="C181" s="39" t="s">
        <v>148</v>
      </c>
      <c r="D181" s="39" t="s">
        <v>49</v>
      </c>
      <c r="E181" s="39" t="s">
        <v>759</v>
      </c>
      <c r="F181" s="39" t="s">
        <v>760</v>
      </c>
    </row>
    <row r="182" spans="1:6" x14ac:dyDescent="0.25">
      <c r="A182" s="40" t="s">
        <v>773</v>
      </c>
      <c r="B182" s="40" t="s">
        <v>774</v>
      </c>
      <c r="C182" s="40" t="s">
        <v>48</v>
      </c>
      <c r="D182" s="40" t="s">
        <v>48</v>
      </c>
      <c r="E182" s="40" t="s">
        <v>775</v>
      </c>
      <c r="F182" s="40" t="s">
        <v>776</v>
      </c>
    </row>
    <row r="183" spans="1:6" x14ac:dyDescent="0.25">
      <c r="A183" t="s">
        <v>777</v>
      </c>
      <c r="B183" t="s">
        <v>381</v>
      </c>
      <c r="C183" t="s">
        <v>48</v>
      </c>
      <c r="D183" t="s">
        <v>48</v>
      </c>
      <c r="E183" s="16" t="s">
        <v>778</v>
      </c>
      <c r="F183" s="16" t="s">
        <v>779</v>
      </c>
    </row>
    <row r="184" spans="1:6" x14ac:dyDescent="0.25">
      <c r="A184" s="19" t="s">
        <v>426</v>
      </c>
      <c r="B184" s="40" t="s">
        <v>427</v>
      </c>
      <c r="C184" s="39" t="s">
        <v>48</v>
      </c>
      <c r="D184" s="39" t="s">
        <v>48</v>
      </c>
      <c r="E184" s="40" t="s">
        <v>428</v>
      </c>
      <c r="F184" s="40" t="s">
        <v>429</v>
      </c>
    </row>
    <row r="185" spans="1:6" x14ac:dyDescent="0.25">
      <c r="A185" s="40" t="s">
        <v>782</v>
      </c>
      <c r="B185" s="40" t="s">
        <v>369</v>
      </c>
      <c r="C185" s="40" t="s">
        <v>48</v>
      </c>
      <c r="D185" s="40" t="s">
        <v>48</v>
      </c>
      <c r="E185" s="40" t="s">
        <v>783</v>
      </c>
      <c r="F185" s="40" t="s">
        <v>784</v>
      </c>
    </row>
    <row r="186" spans="1:6" x14ac:dyDescent="0.25">
      <c r="A186" t="s">
        <v>790</v>
      </c>
      <c r="B186" t="s">
        <v>364</v>
      </c>
      <c r="C186" t="s">
        <v>48</v>
      </c>
      <c r="D186" t="s">
        <v>48</v>
      </c>
      <c r="E186" t="s">
        <v>791</v>
      </c>
      <c r="F186" t="s">
        <v>792</v>
      </c>
    </row>
    <row r="187" spans="1:6" x14ac:dyDescent="0.25">
      <c r="A187" t="s">
        <v>793</v>
      </c>
      <c r="B187" t="s">
        <v>95</v>
      </c>
      <c r="C187" t="s">
        <v>95</v>
      </c>
      <c r="D187" t="s">
        <v>52</v>
      </c>
      <c r="E187" t="s">
        <v>794</v>
      </c>
      <c r="F187" t="s">
        <v>795</v>
      </c>
    </row>
  </sheetData>
  <autoFilter ref="A3:F128" xr:uid="{2B217FE2-8073-42E9-A623-46911FB084C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68ED-6C30-49B5-8D79-E3E05EEC36B0}">
  <dimension ref="A3:E26"/>
  <sheetViews>
    <sheetView workbookViewId="0">
      <selection activeCell="A22" sqref="A22"/>
    </sheetView>
  </sheetViews>
  <sheetFormatPr defaultRowHeight="15" x14ac:dyDescent="0.25"/>
  <cols>
    <col min="1" max="1" width="25.140625" customWidth="1"/>
    <col min="2" max="2" width="91" customWidth="1"/>
    <col min="3" max="3" width="29.85546875" customWidth="1"/>
    <col min="4" max="4" width="43.7109375" customWidth="1"/>
    <col min="5" max="5" width="63.140625" customWidth="1"/>
  </cols>
  <sheetData>
    <row r="3" spans="1:5" x14ac:dyDescent="0.25">
      <c r="A3" s="10" t="s">
        <v>210</v>
      </c>
      <c r="B3" s="10" t="s">
        <v>314</v>
      </c>
      <c r="C3" s="10" t="s">
        <v>61</v>
      </c>
      <c r="D3" s="11" t="s">
        <v>92</v>
      </c>
      <c r="E3" s="10" t="s">
        <v>57</v>
      </c>
    </row>
    <row r="4" spans="1:5" ht="21.75" customHeight="1" x14ac:dyDescent="0.25">
      <c r="A4" s="20" t="s">
        <v>405</v>
      </c>
      <c r="B4" s="21" t="s">
        <v>406</v>
      </c>
      <c r="C4" s="20" t="s">
        <v>46</v>
      </c>
      <c r="D4" s="20" t="s">
        <v>407</v>
      </c>
      <c r="E4" s="20" t="s">
        <v>408</v>
      </c>
    </row>
    <row r="5" spans="1:5" x14ac:dyDescent="0.25">
      <c r="A5" s="19" t="s">
        <v>409</v>
      </c>
      <c r="B5" s="19" t="s">
        <v>410</v>
      </c>
      <c r="C5" s="19" t="s">
        <v>411</v>
      </c>
      <c r="D5" s="19" t="s">
        <v>412</v>
      </c>
      <c r="E5" s="19" t="s">
        <v>413</v>
      </c>
    </row>
    <row r="6" spans="1:5" x14ac:dyDescent="0.25">
      <c r="A6" s="19" t="s">
        <v>414</v>
      </c>
      <c r="B6" s="19" t="s">
        <v>415</v>
      </c>
      <c r="C6" s="19" t="s">
        <v>416</v>
      </c>
      <c r="D6" s="19" t="s">
        <v>417</v>
      </c>
    </row>
    <row r="7" spans="1:5" x14ac:dyDescent="0.25">
      <c r="A7" s="19" t="s">
        <v>414</v>
      </c>
      <c r="B7" s="19" t="s">
        <v>418</v>
      </c>
      <c r="C7" s="19" t="s">
        <v>46</v>
      </c>
      <c r="D7" s="19" t="s">
        <v>417</v>
      </c>
      <c r="E7" s="19" t="s">
        <v>419</v>
      </c>
    </row>
    <row r="8" spans="1:5" x14ac:dyDescent="0.25">
      <c r="A8" s="19" t="s">
        <v>420</v>
      </c>
      <c r="B8" s="19" t="s">
        <v>182</v>
      </c>
      <c r="C8" s="19" t="s">
        <v>7</v>
      </c>
      <c r="D8" s="19" t="s">
        <v>421</v>
      </c>
      <c r="E8" s="19" t="s">
        <v>422</v>
      </c>
    </row>
    <row r="9" spans="1:5" x14ac:dyDescent="0.25">
      <c r="A9" s="19" t="s">
        <v>423</v>
      </c>
      <c r="B9" s="19" t="s">
        <v>363</v>
      </c>
      <c r="C9" s="19" t="s">
        <v>48</v>
      </c>
      <c r="D9" s="19" t="s">
        <v>424</v>
      </c>
      <c r="E9" s="19" t="s">
        <v>425</v>
      </c>
    </row>
    <row r="10" spans="1:5" x14ac:dyDescent="0.25">
      <c r="A10" s="19" t="s">
        <v>426</v>
      </c>
      <c r="B10" s="19" t="s">
        <v>427</v>
      </c>
      <c r="C10" s="19" t="s">
        <v>48</v>
      </c>
      <c r="D10" s="19" t="s">
        <v>428</v>
      </c>
      <c r="E10" s="19" t="s">
        <v>429</v>
      </c>
    </row>
    <row r="11" spans="1:5" x14ac:dyDescent="0.25">
      <c r="A11" s="19" t="s">
        <v>430</v>
      </c>
      <c r="B11" s="19" t="s">
        <v>431</v>
      </c>
      <c r="C11" s="19" t="s">
        <v>48</v>
      </c>
      <c r="D11" s="19" t="s">
        <v>432</v>
      </c>
      <c r="E11" s="19" t="s">
        <v>433</v>
      </c>
    </row>
    <row r="12" spans="1:5" x14ac:dyDescent="0.25">
      <c r="A12" s="19" t="s">
        <v>434</v>
      </c>
      <c r="B12" s="19" t="s">
        <v>360</v>
      </c>
      <c r="C12" s="19" t="s">
        <v>48</v>
      </c>
      <c r="D12" s="19" t="s">
        <v>435</v>
      </c>
      <c r="E12" s="19" t="s">
        <v>436</v>
      </c>
    </row>
    <row r="13" spans="1:5" x14ac:dyDescent="0.25">
      <c r="A13" s="19" t="s">
        <v>437</v>
      </c>
      <c r="B13" s="19" t="s">
        <v>360</v>
      </c>
      <c r="C13" s="19" t="s">
        <v>48</v>
      </c>
      <c r="D13" s="19" t="s">
        <v>438</v>
      </c>
      <c r="E13" s="19" t="s">
        <v>439</v>
      </c>
    </row>
    <row r="14" spans="1:5" x14ac:dyDescent="0.25">
      <c r="A14" s="9" t="s">
        <v>440</v>
      </c>
      <c r="B14" s="19" t="s">
        <v>441</v>
      </c>
      <c r="C14" s="9" t="s">
        <v>411</v>
      </c>
      <c r="D14" s="22" t="s">
        <v>442</v>
      </c>
      <c r="E14" s="22" t="s">
        <v>443</v>
      </c>
    </row>
    <row r="15" spans="1:5" ht="30" x14ac:dyDescent="0.25">
      <c r="A15" s="23" t="s">
        <v>445</v>
      </c>
      <c r="B15" s="24" t="s">
        <v>406</v>
      </c>
      <c r="C15" s="25" t="s">
        <v>46</v>
      </c>
      <c r="D15" s="25" t="s">
        <v>446</v>
      </c>
      <c r="E15" s="25" t="s">
        <v>447</v>
      </c>
    </row>
    <row r="16" spans="1:5" x14ac:dyDescent="0.25">
      <c r="A16" s="19" t="s">
        <v>437</v>
      </c>
      <c r="B16" s="19" t="s">
        <v>360</v>
      </c>
      <c r="C16" s="26"/>
      <c r="D16" s="19" t="s">
        <v>438</v>
      </c>
      <c r="E16" s="19" t="s">
        <v>439</v>
      </c>
    </row>
    <row r="17" spans="1:5" x14ac:dyDescent="0.25">
      <c r="A17" s="19" t="s">
        <v>236</v>
      </c>
      <c r="B17" s="19" t="s">
        <v>149</v>
      </c>
      <c r="C17" s="19" t="s">
        <v>46</v>
      </c>
      <c r="D17" s="19" t="s">
        <v>235</v>
      </c>
      <c r="E17" s="19" t="s">
        <v>234</v>
      </c>
    </row>
    <row r="18" spans="1:5" x14ac:dyDescent="0.25">
      <c r="A18" s="19" t="s">
        <v>448</v>
      </c>
      <c r="B18" s="19" t="s">
        <v>449</v>
      </c>
      <c r="C18" s="19" t="s">
        <v>288</v>
      </c>
      <c r="D18" s="19" t="s">
        <v>450</v>
      </c>
      <c r="E18" s="19" t="s">
        <v>451</v>
      </c>
    </row>
    <row r="19" spans="1:5" x14ac:dyDescent="0.25">
      <c r="A19" s="8" t="s">
        <v>651</v>
      </c>
      <c r="B19" s="8" t="s">
        <v>292</v>
      </c>
      <c r="C19" s="8" t="s">
        <v>292</v>
      </c>
      <c r="D19" s="8" t="s">
        <v>652</v>
      </c>
      <c r="E19" s="8" t="s">
        <v>653</v>
      </c>
    </row>
    <row r="20" spans="1:5" x14ac:dyDescent="0.25">
      <c r="A20" t="s">
        <v>434</v>
      </c>
      <c r="B20" t="s">
        <v>360</v>
      </c>
      <c r="C20" s="16" t="s">
        <v>48</v>
      </c>
      <c r="D20" s="16" t="s">
        <v>435</v>
      </c>
      <c r="E20" s="16" t="s">
        <v>436</v>
      </c>
    </row>
    <row r="21" spans="1:5" x14ac:dyDescent="0.25">
      <c r="A21" s="8" t="s">
        <v>664</v>
      </c>
      <c r="B21" s="19" t="s">
        <v>665</v>
      </c>
      <c r="C21" s="19" t="s">
        <v>665</v>
      </c>
      <c r="D21" s="8" t="s">
        <v>666</v>
      </c>
      <c r="E21" s="8" t="s">
        <v>667</v>
      </c>
    </row>
    <row r="22" spans="1:5" x14ac:dyDescent="0.25">
      <c r="A22" s="8" t="s">
        <v>668</v>
      </c>
      <c r="B22" s="8" t="s">
        <v>233</v>
      </c>
      <c r="C22" s="8" t="s">
        <v>50</v>
      </c>
      <c r="D22" s="8" t="s">
        <v>669</v>
      </c>
      <c r="E22" s="8" t="s">
        <v>670</v>
      </c>
    </row>
    <row r="23" spans="1:5" x14ac:dyDescent="0.25">
      <c r="A23" s="8" t="s">
        <v>692</v>
      </c>
      <c r="B23" s="8" t="s">
        <v>316</v>
      </c>
      <c r="C23" s="8" t="s">
        <v>48</v>
      </c>
      <c r="D23" s="8" t="s">
        <v>693</v>
      </c>
      <c r="E23" s="8" t="s">
        <v>694</v>
      </c>
    </row>
    <row r="24" spans="1:5" x14ac:dyDescent="0.25">
      <c r="A24" s="39" t="s">
        <v>747</v>
      </c>
      <c r="B24" s="39" t="s">
        <v>151</v>
      </c>
      <c r="C24" s="39" t="s">
        <v>7</v>
      </c>
      <c r="D24" s="39" t="s">
        <v>748</v>
      </c>
      <c r="E24" s="39" t="s">
        <v>749</v>
      </c>
    </row>
    <row r="25" spans="1:5" x14ac:dyDescent="0.25">
      <c r="A25" s="39" t="s">
        <v>761</v>
      </c>
      <c r="B25" s="39" t="s">
        <v>762</v>
      </c>
      <c r="C25" s="39" t="s">
        <v>46</v>
      </c>
      <c r="D25" s="39" t="s">
        <v>763</v>
      </c>
      <c r="E25" s="39" t="s">
        <v>764</v>
      </c>
    </row>
    <row r="26" spans="1:5" x14ac:dyDescent="0.25">
      <c r="C26" t="s">
        <v>444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FAE66-3BD7-4069-88BF-241F767C7406}">
  <dimension ref="A3:H48"/>
  <sheetViews>
    <sheetView workbookViewId="0">
      <selection activeCell="A28" sqref="A28"/>
    </sheetView>
  </sheetViews>
  <sheetFormatPr defaultRowHeight="15" x14ac:dyDescent="0.25"/>
  <cols>
    <col min="1" max="1" width="34.5703125" customWidth="1"/>
    <col min="2" max="2" width="32.140625" customWidth="1"/>
    <col min="3" max="3" width="62.7109375" customWidth="1"/>
    <col min="4" max="4" width="19.140625" customWidth="1"/>
    <col min="5" max="5" width="33.140625" customWidth="1"/>
    <col min="6" max="6" width="33.7109375" customWidth="1"/>
    <col min="7" max="7" width="70.7109375" customWidth="1"/>
  </cols>
  <sheetData>
    <row r="3" spans="1:8" ht="21" x14ac:dyDescent="0.25">
      <c r="A3" s="69" t="s">
        <v>905</v>
      </c>
      <c r="B3" s="69" t="s">
        <v>906</v>
      </c>
      <c r="C3" s="46" t="s">
        <v>806</v>
      </c>
      <c r="D3" s="46"/>
      <c r="E3" s="10" t="s">
        <v>61</v>
      </c>
      <c r="F3" s="11" t="s">
        <v>92</v>
      </c>
      <c r="G3" s="10" t="s">
        <v>57</v>
      </c>
    </row>
    <row r="4" spans="1:8" ht="15.75" x14ac:dyDescent="0.25">
      <c r="A4" s="16" t="s">
        <v>452</v>
      </c>
      <c r="B4" s="16" t="s">
        <v>787</v>
      </c>
      <c r="C4" s="47" t="s">
        <v>889</v>
      </c>
      <c r="D4" s="47"/>
      <c r="E4" s="16" t="s">
        <v>453</v>
      </c>
      <c r="F4" s="16" t="s">
        <v>96</v>
      </c>
      <c r="G4" s="16" t="s">
        <v>454</v>
      </c>
    </row>
    <row r="5" spans="1:8" ht="15.75" x14ac:dyDescent="0.25">
      <c r="A5" s="17" t="s">
        <v>455</v>
      </c>
      <c r="B5" s="17" t="s">
        <v>456</v>
      </c>
      <c r="C5" s="47" t="s">
        <v>456</v>
      </c>
      <c r="D5" s="47"/>
      <c r="E5" s="17" t="s">
        <v>456</v>
      </c>
      <c r="F5" s="17" t="s">
        <v>457</v>
      </c>
      <c r="G5" s="17" t="s">
        <v>458</v>
      </c>
      <c r="H5" s="16"/>
    </row>
    <row r="6" spans="1:8" ht="15.75" x14ac:dyDescent="0.25">
      <c r="A6" s="17" t="s">
        <v>459</v>
      </c>
      <c r="B6" s="4" t="s">
        <v>460</v>
      </c>
      <c r="C6" s="47" t="s">
        <v>889</v>
      </c>
      <c r="D6" s="47"/>
      <c r="E6" s="17" t="s">
        <v>453</v>
      </c>
      <c r="F6" s="17" t="s">
        <v>461</v>
      </c>
      <c r="G6" s="17" t="s">
        <v>462</v>
      </c>
      <c r="H6" s="38" t="s">
        <v>717</v>
      </c>
    </row>
    <row r="7" spans="1:8" ht="15.75" x14ac:dyDescent="0.25">
      <c r="A7" s="17" t="s">
        <v>463</v>
      </c>
      <c r="B7" s="17" t="s">
        <v>464</v>
      </c>
      <c r="C7" s="47" t="s">
        <v>890</v>
      </c>
      <c r="D7" s="47"/>
      <c r="E7" s="17" t="s">
        <v>465</v>
      </c>
      <c r="F7" s="17" t="s">
        <v>466</v>
      </c>
      <c r="G7" s="17" t="s">
        <v>467</v>
      </c>
    </row>
    <row r="8" spans="1:8" ht="15.75" x14ac:dyDescent="0.25">
      <c r="A8" s="17" t="s">
        <v>468</v>
      </c>
      <c r="B8" s="17" t="s">
        <v>469</v>
      </c>
      <c r="C8" s="47" t="s">
        <v>891</v>
      </c>
      <c r="D8" s="47"/>
      <c r="E8" s="17" t="s">
        <v>470</v>
      </c>
      <c r="F8" s="17" t="s">
        <v>471</v>
      </c>
      <c r="G8" s="17" t="s">
        <v>472</v>
      </c>
    </row>
    <row r="9" spans="1:8" ht="15.75" x14ac:dyDescent="0.25">
      <c r="A9" s="18" t="s">
        <v>473</v>
      </c>
      <c r="B9" s="18" t="s">
        <v>474</v>
      </c>
      <c r="C9" s="47" t="s">
        <v>892</v>
      </c>
      <c r="D9" s="47"/>
      <c r="E9" s="17" t="s">
        <v>475</v>
      </c>
      <c r="F9" s="17" t="s">
        <v>94</v>
      </c>
      <c r="G9" s="17" t="s">
        <v>476</v>
      </c>
    </row>
    <row r="10" spans="1:8" ht="15.75" x14ac:dyDescent="0.25">
      <c r="A10" s="17" t="s">
        <v>477</v>
      </c>
      <c r="B10" s="17" t="s">
        <v>478</v>
      </c>
      <c r="C10" s="47" t="s">
        <v>889</v>
      </c>
      <c r="D10" s="47"/>
      <c r="E10" s="17" t="s">
        <v>453</v>
      </c>
      <c r="F10" s="17" t="s">
        <v>94</v>
      </c>
      <c r="G10" s="17" t="s">
        <v>479</v>
      </c>
    </row>
    <row r="11" spans="1:8" ht="15.75" x14ac:dyDescent="0.25">
      <c r="A11" s="17" t="s">
        <v>480</v>
      </c>
      <c r="B11" s="17" t="s">
        <v>474</v>
      </c>
      <c r="C11" s="47" t="s">
        <v>892</v>
      </c>
      <c r="D11" s="47"/>
      <c r="E11" s="17" t="s">
        <v>475</v>
      </c>
      <c r="F11" s="17" t="s">
        <v>481</v>
      </c>
      <c r="G11" s="17" t="s">
        <v>482</v>
      </c>
    </row>
    <row r="12" spans="1:8" ht="15.75" x14ac:dyDescent="0.25">
      <c r="A12" s="17" t="s">
        <v>483</v>
      </c>
      <c r="B12" s="17" t="s">
        <v>484</v>
      </c>
      <c r="C12" s="47" t="s">
        <v>889</v>
      </c>
      <c r="D12" s="70"/>
      <c r="E12" s="2" t="s">
        <v>453</v>
      </c>
      <c r="F12" s="17" t="s">
        <v>485</v>
      </c>
      <c r="G12" s="17" t="s">
        <v>486</v>
      </c>
    </row>
    <row r="13" spans="1:8" ht="15.75" x14ac:dyDescent="0.25">
      <c r="A13" s="17" t="s">
        <v>487</v>
      </c>
      <c r="B13" s="17" t="s">
        <v>488</v>
      </c>
      <c r="C13" s="47" t="s">
        <v>488</v>
      </c>
      <c r="D13" s="47"/>
      <c r="E13" s="17" t="s">
        <v>489</v>
      </c>
      <c r="F13" s="17" t="s">
        <v>490</v>
      </c>
      <c r="G13" s="9"/>
    </row>
    <row r="14" spans="1:8" ht="15.75" x14ac:dyDescent="0.25">
      <c r="A14" s="43" t="s">
        <v>491</v>
      </c>
      <c r="B14" s="43" t="s">
        <v>492</v>
      </c>
      <c r="C14" s="47" t="s">
        <v>895</v>
      </c>
      <c r="D14" s="47"/>
      <c r="E14" s="43" t="s">
        <v>493</v>
      </c>
      <c r="F14" s="17" t="s">
        <v>494</v>
      </c>
      <c r="G14" s="17" t="s">
        <v>495</v>
      </c>
    </row>
    <row r="15" spans="1:8" ht="15.75" x14ac:dyDescent="0.25">
      <c r="A15" s="42" t="s">
        <v>491</v>
      </c>
      <c r="B15" s="42" t="s">
        <v>894</v>
      </c>
      <c r="C15" s="47" t="s">
        <v>893</v>
      </c>
      <c r="D15" s="47"/>
      <c r="E15" s="42" t="s">
        <v>785</v>
      </c>
      <c r="F15" s="40" t="s">
        <v>494</v>
      </c>
      <c r="G15" s="40" t="s">
        <v>786</v>
      </c>
    </row>
    <row r="16" spans="1:8" ht="15.75" x14ac:dyDescent="0.25">
      <c r="A16" s="17" t="s">
        <v>496</v>
      </c>
      <c r="B16" s="17" t="s">
        <v>497</v>
      </c>
      <c r="C16" s="47" t="s">
        <v>896</v>
      </c>
      <c r="D16" s="47"/>
      <c r="E16" s="17" t="s">
        <v>497</v>
      </c>
      <c r="F16" s="17" t="s">
        <v>498</v>
      </c>
      <c r="G16" s="17" t="s">
        <v>499</v>
      </c>
    </row>
    <row r="17" spans="1:8" ht="15.75" x14ac:dyDescent="0.25">
      <c r="A17" s="9" t="s">
        <v>500</v>
      </c>
      <c r="B17" s="9" t="s">
        <v>501</v>
      </c>
      <c r="C17" s="47" t="s">
        <v>897</v>
      </c>
      <c r="D17" s="70"/>
      <c r="E17" s="9" t="s">
        <v>502</v>
      </c>
      <c r="F17" s="9" t="s">
        <v>503</v>
      </c>
      <c r="G17" s="9" t="s">
        <v>504</v>
      </c>
    </row>
    <row r="18" spans="1:8" ht="15.75" x14ac:dyDescent="0.25">
      <c r="A18" s="17" t="s">
        <v>505</v>
      </c>
      <c r="B18" s="17" t="s">
        <v>484</v>
      </c>
      <c r="C18" s="47" t="s">
        <v>889</v>
      </c>
      <c r="D18" s="47"/>
      <c r="E18" s="17" t="s">
        <v>453</v>
      </c>
      <c r="F18" s="17" t="s">
        <v>506</v>
      </c>
      <c r="G18" s="17" t="s">
        <v>507</v>
      </c>
    </row>
    <row r="19" spans="1:8" ht="15.75" x14ac:dyDescent="0.25">
      <c r="A19" s="17" t="s">
        <v>508</v>
      </c>
      <c r="B19" s="17" t="s">
        <v>478</v>
      </c>
      <c r="C19" s="47" t="s">
        <v>889</v>
      </c>
      <c r="D19" s="47"/>
      <c r="E19" s="17" t="s">
        <v>453</v>
      </c>
      <c r="F19" s="17" t="s">
        <v>506</v>
      </c>
      <c r="G19" s="17" t="s">
        <v>509</v>
      </c>
    </row>
    <row r="20" spans="1:8" ht="15.75" x14ac:dyDescent="0.25">
      <c r="A20" s="17" t="s">
        <v>510</v>
      </c>
      <c r="B20" s="17" t="s">
        <v>511</v>
      </c>
      <c r="C20" s="47" t="s">
        <v>898</v>
      </c>
      <c r="D20" s="47"/>
      <c r="E20" s="17" t="s">
        <v>511</v>
      </c>
      <c r="F20" s="17" t="s">
        <v>512</v>
      </c>
      <c r="G20" s="17" t="s">
        <v>513</v>
      </c>
    </row>
    <row r="21" spans="1:8" ht="15.75" x14ac:dyDescent="0.25">
      <c r="A21" s="17" t="s">
        <v>514</v>
      </c>
      <c r="B21" s="17" t="s">
        <v>515</v>
      </c>
      <c r="C21" s="47" t="s">
        <v>899</v>
      </c>
      <c r="D21" s="47"/>
      <c r="E21" s="17" t="s">
        <v>515</v>
      </c>
      <c r="F21" s="17" t="s">
        <v>516</v>
      </c>
      <c r="G21" s="17" t="s">
        <v>517</v>
      </c>
    </row>
    <row r="22" spans="1:8" ht="15.75" x14ac:dyDescent="0.25">
      <c r="A22" s="17" t="s">
        <v>518</v>
      </c>
      <c r="B22" s="17" t="s">
        <v>478</v>
      </c>
      <c r="C22" s="47" t="s">
        <v>889</v>
      </c>
      <c r="D22" s="47"/>
      <c r="E22" s="17" t="s">
        <v>453</v>
      </c>
      <c r="F22" s="17" t="s">
        <v>93</v>
      </c>
      <c r="G22" s="17" t="s">
        <v>519</v>
      </c>
    </row>
    <row r="23" spans="1:8" ht="15.75" x14ac:dyDescent="0.25">
      <c r="A23" s="17" t="s">
        <v>520</v>
      </c>
      <c r="B23" s="17" t="s">
        <v>488</v>
      </c>
      <c r="C23" s="47" t="s">
        <v>488</v>
      </c>
      <c r="D23" s="47"/>
      <c r="E23" s="17" t="s">
        <v>489</v>
      </c>
      <c r="F23" s="17" t="s">
        <v>93</v>
      </c>
      <c r="G23" s="17" t="s">
        <v>521</v>
      </c>
    </row>
    <row r="24" spans="1:8" ht="15.75" x14ac:dyDescent="0.25">
      <c r="A24" s="17" t="s">
        <v>522</v>
      </c>
      <c r="B24" s="17" t="s">
        <v>460</v>
      </c>
      <c r="C24" s="47" t="s">
        <v>889</v>
      </c>
      <c r="D24" s="47"/>
      <c r="E24" s="17" t="s">
        <v>453</v>
      </c>
      <c r="F24" s="17" t="s">
        <v>523</v>
      </c>
      <c r="G24" s="17" t="s">
        <v>524</v>
      </c>
      <c r="H24" s="33" t="s">
        <v>675</v>
      </c>
    </row>
    <row r="25" spans="1:8" ht="15.75" x14ac:dyDescent="0.25">
      <c r="A25" s="17" t="s">
        <v>525</v>
      </c>
      <c r="B25" s="17" t="s">
        <v>526</v>
      </c>
      <c r="C25" s="47" t="s">
        <v>526</v>
      </c>
      <c r="D25" s="47"/>
      <c r="E25" s="17" t="s">
        <v>527</v>
      </c>
      <c r="F25" s="17" t="s">
        <v>528</v>
      </c>
      <c r="G25" s="17" t="s">
        <v>529</v>
      </c>
    </row>
    <row r="26" spans="1:8" ht="15.75" x14ac:dyDescent="0.25">
      <c r="A26" s="17" t="s">
        <v>530</v>
      </c>
      <c r="B26" s="17" t="s">
        <v>531</v>
      </c>
      <c r="C26" s="47" t="s">
        <v>900</v>
      </c>
      <c r="D26" s="47"/>
      <c r="E26" s="17" t="s">
        <v>532</v>
      </c>
      <c r="F26" s="17" t="s">
        <v>533</v>
      </c>
      <c r="G26" s="17" t="s">
        <v>534</v>
      </c>
    </row>
    <row r="27" spans="1:8" ht="15.75" x14ac:dyDescent="0.25">
      <c r="A27" t="s">
        <v>698</v>
      </c>
      <c r="B27" t="s">
        <v>583</v>
      </c>
      <c r="C27" s="47" t="s">
        <v>900</v>
      </c>
      <c r="D27" s="70"/>
      <c r="E27" t="s">
        <v>532</v>
      </c>
      <c r="F27" t="s">
        <v>94</v>
      </c>
      <c r="G27" t="s">
        <v>584</v>
      </c>
    </row>
    <row r="28" spans="1:8" ht="15.75" x14ac:dyDescent="0.25">
      <c r="A28" s="17" t="s">
        <v>535</v>
      </c>
      <c r="B28" s="17" t="s">
        <v>536</v>
      </c>
      <c r="C28" s="47" t="s">
        <v>901</v>
      </c>
      <c r="D28" s="47"/>
      <c r="E28" s="17" t="s">
        <v>537</v>
      </c>
      <c r="F28" s="17" t="s">
        <v>538</v>
      </c>
      <c r="G28" s="17" t="s">
        <v>539</v>
      </c>
    </row>
    <row r="29" spans="1:8" ht="15.75" x14ac:dyDescent="0.25">
      <c r="A29" s="17" t="s">
        <v>540</v>
      </c>
      <c r="B29" s="17" t="s">
        <v>541</v>
      </c>
      <c r="C29" s="47" t="s">
        <v>889</v>
      </c>
      <c r="D29" s="47"/>
      <c r="E29" s="17" t="s">
        <v>453</v>
      </c>
      <c r="F29" s="17" t="s">
        <v>542</v>
      </c>
      <c r="G29" s="17" t="s">
        <v>543</v>
      </c>
    </row>
    <row r="30" spans="1:8" ht="15.75" x14ac:dyDescent="0.25">
      <c r="A30" s="17" t="s">
        <v>540</v>
      </c>
      <c r="B30" s="17" t="s">
        <v>478</v>
      </c>
      <c r="C30" s="47" t="s">
        <v>889</v>
      </c>
      <c r="D30" s="47"/>
      <c r="E30" s="17" t="s">
        <v>453</v>
      </c>
      <c r="F30" s="17" t="s">
        <v>542</v>
      </c>
      <c r="G30" s="17" t="s">
        <v>593</v>
      </c>
    </row>
    <row r="31" spans="1:8" ht="15.75" x14ac:dyDescent="0.25">
      <c r="A31" s="17" t="s">
        <v>544</v>
      </c>
      <c r="B31" s="17" t="s">
        <v>545</v>
      </c>
      <c r="C31" s="47" t="s">
        <v>891</v>
      </c>
      <c r="D31" s="47"/>
      <c r="E31" s="17" t="s">
        <v>470</v>
      </c>
      <c r="F31" s="17" t="s">
        <v>546</v>
      </c>
      <c r="G31" s="17" t="s">
        <v>547</v>
      </c>
    </row>
    <row r="32" spans="1:8" ht="15.75" x14ac:dyDescent="0.25">
      <c r="A32" s="17" t="s">
        <v>548</v>
      </c>
      <c r="B32" s="17" t="s">
        <v>545</v>
      </c>
      <c r="C32" s="47" t="s">
        <v>891</v>
      </c>
      <c r="D32" s="47"/>
      <c r="E32" s="17" t="s">
        <v>549</v>
      </c>
      <c r="F32" s="17" t="s">
        <v>550</v>
      </c>
      <c r="G32" s="17" t="s">
        <v>551</v>
      </c>
    </row>
    <row r="33" spans="1:8" ht="15.75" x14ac:dyDescent="0.25">
      <c r="A33" s="17" t="s">
        <v>552</v>
      </c>
      <c r="B33" s="17" t="s">
        <v>553</v>
      </c>
      <c r="C33" s="47" t="s">
        <v>553</v>
      </c>
      <c r="D33" s="47"/>
      <c r="E33" s="17" t="s">
        <v>554</v>
      </c>
      <c r="F33" s="17" t="s">
        <v>555</v>
      </c>
      <c r="G33" s="17" t="s">
        <v>556</v>
      </c>
    </row>
    <row r="34" spans="1:8" ht="15.75" x14ac:dyDescent="0.25">
      <c r="A34" s="17" t="s">
        <v>557</v>
      </c>
      <c r="B34" s="17" t="s">
        <v>558</v>
      </c>
      <c r="C34" s="47" t="s">
        <v>902</v>
      </c>
      <c r="D34" s="47"/>
      <c r="E34" s="17" t="s">
        <v>558</v>
      </c>
      <c r="F34" s="17" t="s">
        <v>559</v>
      </c>
      <c r="G34" s="17" t="s">
        <v>560</v>
      </c>
    </row>
    <row r="35" spans="1:8" ht="15.75" x14ac:dyDescent="0.25">
      <c r="A35" s="17" t="s">
        <v>561</v>
      </c>
      <c r="B35" s="17" t="s">
        <v>531</v>
      </c>
      <c r="C35" s="47" t="s">
        <v>900</v>
      </c>
      <c r="D35" s="47"/>
      <c r="E35" s="17" t="s">
        <v>532</v>
      </c>
      <c r="F35" s="17" t="s">
        <v>562</v>
      </c>
      <c r="G35" s="17" t="s">
        <v>563</v>
      </c>
    </row>
    <row r="36" spans="1:8" ht="15.75" x14ac:dyDescent="0.25">
      <c r="A36" s="17" t="s">
        <v>196</v>
      </c>
      <c r="B36" s="17" t="s">
        <v>197</v>
      </c>
      <c r="C36" s="47" t="s">
        <v>810</v>
      </c>
      <c r="D36" s="47"/>
      <c r="E36" s="17" t="s">
        <v>7</v>
      </c>
      <c r="F36" s="17" t="s">
        <v>198</v>
      </c>
      <c r="G36" s="17" t="s">
        <v>199</v>
      </c>
    </row>
    <row r="37" spans="1:8" ht="15.75" x14ac:dyDescent="0.25">
      <c r="A37" s="2" t="s">
        <v>564</v>
      </c>
      <c r="B37" s="17" t="s">
        <v>484</v>
      </c>
      <c r="C37" s="47" t="s">
        <v>889</v>
      </c>
      <c r="D37" s="70"/>
      <c r="E37" s="2" t="s">
        <v>453</v>
      </c>
      <c r="F37" s="17" t="s">
        <v>565</v>
      </c>
      <c r="G37" s="17" t="s">
        <v>566</v>
      </c>
    </row>
    <row r="38" spans="1:8" ht="15.75" x14ac:dyDescent="0.25">
      <c r="A38" s="8" t="s">
        <v>650</v>
      </c>
      <c r="B38" s="8" t="s">
        <v>583</v>
      </c>
      <c r="C38" s="47" t="s">
        <v>900</v>
      </c>
      <c r="D38" s="47"/>
      <c r="E38" s="8" t="s">
        <v>532</v>
      </c>
      <c r="F38" t="s">
        <v>94</v>
      </c>
      <c r="G38" t="s">
        <v>584</v>
      </c>
      <c r="H38" s="44" t="s">
        <v>444</v>
      </c>
    </row>
    <row r="39" spans="1:8" ht="15.75" x14ac:dyDescent="0.25">
      <c r="A39" t="s">
        <v>585</v>
      </c>
      <c r="B39" t="s">
        <v>586</v>
      </c>
      <c r="C39" s="47" t="s">
        <v>904</v>
      </c>
      <c r="D39" s="70"/>
      <c r="E39" t="s">
        <v>587</v>
      </c>
      <c r="F39" t="s">
        <v>93</v>
      </c>
      <c r="G39" t="s">
        <v>588</v>
      </c>
    </row>
    <row r="40" spans="1:8" ht="15.75" x14ac:dyDescent="0.25">
      <c r="A40" s="8" t="s">
        <v>589</v>
      </c>
      <c r="B40" s="8" t="s">
        <v>590</v>
      </c>
      <c r="C40" s="47" t="s">
        <v>903</v>
      </c>
      <c r="D40" s="47"/>
      <c r="E40" s="8" t="s">
        <v>590</v>
      </c>
      <c r="F40" s="8" t="s">
        <v>591</v>
      </c>
      <c r="G40" s="8" t="s">
        <v>592</v>
      </c>
    </row>
    <row r="41" spans="1:8" ht="15.75" x14ac:dyDescent="0.25">
      <c r="A41" t="s">
        <v>671</v>
      </c>
      <c r="B41" t="s">
        <v>583</v>
      </c>
      <c r="C41" s="47" t="s">
        <v>900</v>
      </c>
      <c r="D41" s="70"/>
      <c r="E41" t="s">
        <v>532</v>
      </c>
      <c r="F41" t="s">
        <v>672</v>
      </c>
      <c r="G41" t="s">
        <v>673</v>
      </c>
    </row>
    <row r="42" spans="1:8" ht="15.75" x14ac:dyDescent="0.25">
      <c r="A42" s="8" t="s">
        <v>600</v>
      </c>
      <c r="B42" s="8" t="s">
        <v>583</v>
      </c>
      <c r="C42" s="47" t="s">
        <v>900</v>
      </c>
      <c r="D42" s="47"/>
      <c r="E42" s="8" t="s">
        <v>532</v>
      </c>
      <c r="F42" s="8" t="s">
        <v>601</v>
      </c>
      <c r="G42" s="8" t="s">
        <v>602</v>
      </c>
    </row>
    <row r="43" spans="1:8" ht="15.75" x14ac:dyDescent="0.25">
      <c r="A43" s="8" t="s">
        <v>603</v>
      </c>
      <c r="B43" s="8" t="s">
        <v>586</v>
      </c>
      <c r="C43" s="47" t="s">
        <v>904</v>
      </c>
      <c r="D43" s="47"/>
      <c r="E43" s="8" t="s">
        <v>587</v>
      </c>
      <c r="F43" s="8" t="s">
        <v>604</v>
      </c>
      <c r="G43" s="8" t="s">
        <v>605</v>
      </c>
    </row>
    <row r="44" spans="1:8" ht="15.75" x14ac:dyDescent="0.25">
      <c r="A44" s="8" t="s">
        <v>564</v>
      </c>
      <c r="B44" s="8" t="s">
        <v>606</v>
      </c>
      <c r="C44" s="47" t="s">
        <v>889</v>
      </c>
      <c r="D44" s="47"/>
      <c r="E44" s="8" t="s">
        <v>453</v>
      </c>
      <c r="F44" s="8" t="s">
        <v>565</v>
      </c>
      <c r="G44" s="8" t="s">
        <v>607</v>
      </c>
      <c r="H44" s="32" t="s">
        <v>674</v>
      </c>
    </row>
    <row r="45" spans="1:8" ht="15.75" x14ac:dyDescent="0.25">
      <c r="A45" s="8" t="s">
        <v>671</v>
      </c>
      <c r="B45" s="1" t="s">
        <v>583</v>
      </c>
      <c r="C45" s="47" t="s">
        <v>900</v>
      </c>
      <c r="D45" s="70"/>
      <c r="E45" s="1" t="s">
        <v>532</v>
      </c>
      <c r="F45" s="8" t="s">
        <v>672</v>
      </c>
      <c r="G45" s="8" t="s">
        <v>673</v>
      </c>
    </row>
    <row r="46" spans="1:8" ht="15.75" x14ac:dyDescent="0.25">
      <c r="A46" s="8" t="s">
        <v>695</v>
      </c>
      <c r="B46" s="8" t="s">
        <v>484</v>
      </c>
      <c r="C46" s="47" t="s">
        <v>889</v>
      </c>
      <c r="D46" s="47"/>
      <c r="E46" s="8" t="s">
        <v>453</v>
      </c>
      <c r="F46" s="8" t="s">
        <v>696</v>
      </c>
      <c r="G46" s="8" t="s">
        <v>697</v>
      </c>
    </row>
    <row r="47" spans="1:8" x14ac:dyDescent="0.25">
      <c r="A47" t="s">
        <v>765</v>
      </c>
      <c r="B47" t="s">
        <v>766</v>
      </c>
      <c r="E47" t="s">
        <v>549</v>
      </c>
      <c r="F47" t="s">
        <v>767</v>
      </c>
      <c r="G47" t="s">
        <v>768</v>
      </c>
    </row>
    <row r="48" spans="1:8" x14ac:dyDescent="0.25">
      <c r="A48" t="s">
        <v>769</v>
      </c>
      <c r="B48" t="s">
        <v>770</v>
      </c>
      <c r="E48" t="s">
        <v>770</v>
      </c>
      <c r="F48" s="39" t="s">
        <v>771</v>
      </c>
      <c r="G48" s="39" t="s">
        <v>772</v>
      </c>
    </row>
  </sheetData>
  <autoFilter ref="A3:H48" xr:uid="{C6CFAE66-3BD7-4069-88BF-241F767C740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36CE-BCB3-4B2D-81F5-124B45F669F5}">
  <dimension ref="A3:G26"/>
  <sheetViews>
    <sheetView workbookViewId="0">
      <selection activeCell="A20" sqref="A20"/>
    </sheetView>
  </sheetViews>
  <sheetFormatPr defaultRowHeight="15" x14ac:dyDescent="0.25"/>
  <cols>
    <col min="1" max="1" width="25.140625" customWidth="1"/>
    <col min="2" max="2" width="91" customWidth="1"/>
    <col min="3" max="4" width="82.42578125" customWidth="1"/>
    <col min="5" max="5" width="29.85546875" customWidth="1"/>
    <col min="6" max="6" width="43.7109375" customWidth="1"/>
    <col min="7" max="7" width="63.140625" customWidth="1"/>
  </cols>
  <sheetData>
    <row r="3" spans="1:7" ht="21" x14ac:dyDescent="0.25">
      <c r="A3" s="69" t="s">
        <v>905</v>
      </c>
      <c r="B3" s="69" t="s">
        <v>906</v>
      </c>
      <c r="C3" s="46" t="s">
        <v>806</v>
      </c>
      <c r="D3" s="46"/>
      <c r="E3" s="10" t="s">
        <v>61</v>
      </c>
      <c r="F3" s="11" t="s">
        <v>92</v>
      </c>
      <c r="G3" s="10" t="s">
        <v>57</v>
      </c>
    </row>
    <row r="4" spans="1:7" ht="21.75" customHeight="1" x14ac:dyDescent="0.25">
      <c r="A4" s="20" t="s">
        <v>405</v>
      </c>
      <c r="B4" s="21" t="s">
        <v>406</v>
      </c>
      <c r="C4" s="47" t="s">
        <v>406</v>
      </c>
      <c r="D4" s="70"/>
      <c r="E4" s="20" t="s">
        <v>46</v>
      </c>
      <c r="F4" s="20" t="s">
        <v>407</v>
      </c>
      <c r="G4" s="20" t="s">
        <v>408</v>
      </c>
    </row>
    <row r="5" spans="1:7" ht="15.75" x14ac:dyDescent="0.25">
      <c r="A5" s="19" t="s">
        <v>409</v>
      </c>
      <c r="B5" s="19" t="s">
        <v>821</v>
      </c>
      <c r="C5" s="47" t="s">
        <v>807</v>
      </c>
      <c r="D5" s="47"/>
      <c r="E5" s="19" t="s">
        <v>411</v>
      </c>
      <c r="F5" s="19" t="s">
        <v>412</v>
      </c>
      <c r="G5" s="19" t="s">
        <v>413</v>
      </c>
    </row>
    <row r="6" spans="1:7" ht="15.75" x14ac:dyDescent="0.25">
      <c r="A6" s="19" t="s">
        <v>414</v>
      </c>
      <c r="B6" s="19" t="s">
        <v>415</v>
      </c>
      <c r="C6" s="48" t="s">
        <v>808</v>
      </c>
      <c r="D6" s="71"/>
      <c r="E6" s="19" t="s">
        <v>416</v>
      </c>
      <c r="F6" s="19" t="s">
        <v>417</v>
      </c>
    </row>
    <row r="7" spans="1:7" ht="31.5" x14ac:dyDescent="0.25">
      <c r="A7" s="19" t="s">
        <v>414</v>
      </c>
      <c r="B7" s="19" t="s">
        <v>418</v>
      </c>
      <c r="C7" s="48" t="s">
        <v>809</v>
      </c>
      <c r="D7" s="71"/>
      <c r="E7" s="19" t="s">
        <v>46</v>
      </c>
      <c r="F7" s="19" t="s">
        <v>417</v>
      </c>
      <c r="G7" s="19" t="s">
        <v>419</v>
      </c>
    </row>
    <row r="8" spans="1:7" ht="15.75" x14ac:dyDescent="0.25">
      <c r="A8" s="19" t="s">
        <v>420</v>
      </c>
      <c r="B8" s="19" t="s">
        <v>182</v>
      </c>
      <c r="C8" s="47" t="s">
        <v>810</v>
      </c>
      <c r="D8" s="47"/>
      <c r="E8" s="19" t="s">
        <v>7</v>
      </c>
      <c r="F8" s="19" t="s">
        <v>421</v>
      </c>
      <c r="G8" s="19" t="s">
        <v>422</v>
      </c>
    </row>
    <row r="9" spans="1:7" ht="15.75" x14ac:dyDescent="0.25">
      <c r="A9" s="19" t="s">
        <v>423</v>
      </c>
      <c r="B9" s="19" t="s">
        <v>820</v>
      </c>
      <c r="C9" s="47" t="s">
        <v>811</v>
      </c>
      <c r="D9" s="47"/>
      <c r="E9" s="19" t="s">
        <v>48</v>
      </c>
      <c r="F9" s="19" t="s">
        <v>424</v>
      </c>
      <c r="G9" s="19" t="s">
        <v>425</v>
      </c>
    </row>
    <row r="10" spans="1:7" ht="15.75" x14ac:dyDescent="0.25">
      <c r="A10" s="19" t="s">
        <v>426</v>
      </c>
      <c r="B10" s="19" t="s">
        <v>819</v>
      </c>
      <c r="C10" s="47" t="s">
        <v>811</v>
      </c>
      <c r="D10" s="47"/>
      <c r="E10" s="19" t="s">
        <v>48</v>
      </c>
      <c r="F10" s="19" t="s">
        <v>428</v>
      </c>
      <c r="G10" s="19" t="s">
        <v>429</v>
      </c>
    </row>
    <row r="11" spans="1:7" ht="15.75" x14ac:dyDescent="0.25">
      <c r="A11" s="19" t="s">
        <v>430</v>
      </c>
      <c r="B11" s="19" t="s">
        <v>818</v>
      </c>
      <c r="C11" s="47" t="s">
        <v>811</v>
      </c>
      <c r="D11" s="47"/>
      <c r="E11" s="19" t="s">
        <v>48</v>
      </c>
      <c r="F11" s="19" t="s">
        <v>432</v>
      </c>
      <c r="G11" s="19" t="s">
        <v>433</v>
      </c>
    </row>
    <row r="12" spans="1:7" ht="15.75" x14ac:dyDescent="0.25">
      <c r="A12" s="19" t="s">
        <v>434</v>
      </c>
      <c r="B12" s="19" t="s">
        <v>368</v>
      </c>
      <c r="C12" s="47" t="s">
        <v>811</v>
      </c>
      <c r="D12" s="47"/>
      <c r="E12" s="19" t="s">
        <v>48</v>
      </c>
      <c r="F12" s="19" t="s">
        <v>435</v>
      </c>
      <c r="G12" s="19" t="s">
        <v>436</v>
      </c>
    </row>
    <row r="13" spans="1:7" ht="15.75" x14ac:dyDescent="0.25">
      <c r="A13" s="19" t="s">
        <v>437</v>
      </c>
      <c r="B13" s="19" t="s">
        <v>368</v>
      </c>
      <c r="C13" s="47" t="s">
        <v>811</v>
      </c>
      <c r="D13" s="47"/>
      <c r="E13" s="19" t="s">
        <v>48</v>
      </c>
      <c r="F13" s="19" t="s">
        <v>438</v>
      </c>
      <c r="G13" s="19" t="s">
        <v>439</v>
      </c>
    </row>
    <row r="14" spans="1:7" ht="15.75" x14ac:dyDescent="0.25">
      <c r="A14" s="9" t="s">
        <v>440</v>
      </c>
      <c r="B14" s="47" t="s">
        <v>822</v>
      </c>
      <c r="C14" s="47" t="s">
        <v>807</v>
      </c>
      <c r="D14" s="70"/>
      <c r="E14" s="9" t="s">
        <v>411</v>
      </c>
      <c r="F14" s="22" t="s">
        <v>442</v>
      </c>
      <c r="G14" s="22" t="s">
        <v>443</v>
      </c>
    </row>
    <row r="15" spans="1:7" ht="30" x14ac:dyDescent="0.25">
      <c r="A15" s="23" t="s">
        <v>445</v>
      </c>
      <c r="B15" s="24" t="s">
        <v>406</v>
      </c>
      <c r="C15" s="47" t="s">
        <v>406</v>
      </c>
      <c r="D15" s="70"/>
      <c r="E15" s="25" t="s">
        <v>46</v>
      </c>
      <c r="F15" s="25" t="s">
        <v>446</v>
      </c>
      <c r="G15" s="25" t="s">
        <v>447</v>
      </c>
    </row>
    <row r="16" spans="1:7" ht="15.75" x14ac:dyDescent="0.25">
      <c r="A16" s="19" t="s">
        <v>437</v>
      </c>
      <c r="B16" s="19" t="s">
        <v>368</v>
      </c>
      <c r="C16" s="47" t="s">
        <v>811</v>
      </c>
      <c r="D16" s="47"/>
      <c r="E16" s="26"/>
      <c r="F16" s="19" t="s">
        <v>438</v>
      </c>
      <c r="G16" s="19" t="s">
        <v>439</v>
      </c>
    </row>
    <row r="17" spans="1:7" ht="15.75" x14ac:dyDescent="0.25">
      <c r="A17" s="19" t="s">
        <v>236</v>
      </c>
      <c r="B17" s="19" t="s">
        <v>149</v>
      </c>
      <c r="C17" s="47" t="s">
        <v>809</v>
      </c>
      <c r="D17" s="47"/>
      <c r="E17" s="19" t="s">
        <v>46</v>
      </c>
      <c r="F17" s="19" t="s">
        <v>235</v>
      </c>
      <c r="G17" s="19" t="s">
        <v>234</v>
      </c>
    </row>
    <row r="18" spans="1:7" ht="15.75" x14ac:dyDescent="0.25">
      <c r="A18" s="19" t="s">
        <v>448</v>
      </c>
      <c r="B18" s="19" t="s">
        <v>449</v>
      </c>
      <c r="C18" s="48" t="s">
        <v>808</v>
      </c>
      <c r="D18" s="71"/>
      <c r="E18" s="19" t="s">
        <v>288</v>
      </c>
      <c r="F18" s="19" t="s">
        <v>450</v>
      </c>
      <c r="G18" s="19" t="s">
        <v>451</v>
      </c>
    </row>
    <row r="19" spans="1:7" ht="15.75" x14ac:dyDescent="0.25">
      <c r="A19" s="8" t="s">
        <v>651</v>
      </c>
      <c r="B19" s="8" t="s">
        <v>817</v>
      </c>
      <c r="C19" s="47" t="s">
        <v>812</v>
      </c>
      <c r="D19" s="47"/>
      <c r="E19" s="8" t="s">
        <v>292</v>
      </c>
      <c r="F19" s="8" t="s">
        <v>652</v>
      </c>
      <c r="G19" s="8" t="s">
        <v>653</v>
      </c>
    </row>
    <row r="20" spans="1:7" ht="15.75" x14ac:dyDescent="0.25">
      <c r="A20" t="s">
        <v>434</v>
      </c>
      <c r="B20" s="47" t="s">
        <v>813</v>
      </c>
      <c r="C20" s="47" t="s">
        <v>811</v>
      </c>
      <c r="D20" s="47"/>
      <c r="E20" s="16" t="s">
        <v>48</v>
      </c>
      <c r="F20" s="16" t="s">
        <v>435</v>
      </c>
      <c r="G20" s="16" t="s">
        <v>436</v>
      </c>
    </row>
    <row r="21" spans="1:7" ht="31.5" x14ac:dyDescent="0.25">
      <c r="A21" s="8" t="s">
        <v>664</v>
      </c>
      <c r="B21" s="19" t="s">
        <v>665</v>
      </c>
      <c r="C21" s="48" t="s">
        <v>809</v>
      </c>
      <c r="D21" s="71"/>
      <c r="E21" s="19" t="s">
        <v>665</v>
      </c>
      <c r="F21" s="8" t="s">
        <v>666</v>
      </c>
      <c r="G21" s="8" t="s">
        <v>667</v>
      </c>
    </row>
    <row r="22" spans="1:7" ht="15.75" x14ac:dyDescent="0.25">
      <c r="A22" s="8" t="s">
        <v>668</v>
      </c>
      <c r="B22" s="8" t="s">
        <v>816</v>
      </c>
      <c r="C22" s="47" t="s">
        <v>814</v>
      </c>
      <c r="D22" s="47"/>
      <c r="E22" s="8" t="s">
        <v>50</v>
      </c>
      <c r="F22" s="8" t="s">
        <v>669</v>
      </c>
      <c r="G22" s="8" t="s">
        <v>670</v>
      </c>
    </row>
    <row r="23" spans="1:7" ht="15.75" x14ac:dyDescent="0.25">
      <c r="A23" s="8" t="s">
        <v>692</v>
      </c>
      <c r="B23" s="8" t="s">
        <v>815</v>
      </c>
      <c r="C23" s="47" t="s">
        <v>811</v>
      </c>
      <c r="D23" s="47"/>
      <c r="E23" s="8" t="s">
        <v>48</v>
      </c>
      <c r="F23" s="8" t="s">
        <v>693</v>
      </c>
      <c r="G23" s="8" t="s">
        <v>694</v>
      </c>
    </row>
    <row r="24" spans="1:7" ht="15.75" x14ac:dyDescent="0.25">
      <c r="A24" s="39" t="s">
        <v>747</v>
      </c>
      <c r="B24" s="39" t="s">
        <v>151</v>
      </c>
      <c r="C24" s="47" t="s">
        <v>810</v>
      </c>
      <c r="D24" s="47"/>
      <c r="E24" s="39" t="s">
        <v>7</v>
      </c>
      <c r="F24" s="39" t="s">
        <v>748</v>
      </c>
      <c r="G24" s="39" t="s">
        <v>749</v>
      </c>
    </row>
    <row r="25" spans="1:7" ht="15.75" x14ac:dyDescent="0.25">
      <c r="A25" s="39" t="s">
        <v>761</v>
      </c>
      <c r="B25" s="39" t="s">
        <v>762</v>
      </c>
      <c r="C25" s="47" t="s">
        <v>809</v>
      </c>
      <c r="D25" s="47"/>
      <c r="E25" s="39" t="s">
        <v>46</v>
      </c>
      <c r="F25" s="39" t="s">
        <v>763</v>
      </c>
      <c r="G25" s="39" t="s">
        <v>764</v>
      </c>
    </row>
    <row r="26" spans="1:7" x14ac:dyDescent="0.25">
      <c r="E26" t="s">
        <v>444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3CAD-8EBF-4906-BC41-829E5722388C}">
  <dimension ref="A3:G181"/>
  <sheetViews>
    <sheetView topLeftCell="D151" workbookViewId="0">
      <selection activeCell="G159" sqref="G159"/>
    </sheetView>
  </sheetViews>
  <sheetFormatPr defaultRowHeight="15" x14ac:dyDescent="0.25"/>
  <cols>
    <col min="1" max="1" width="32.42578125" customWidth="1"/>
    <col min="2" max="2" width="33" customWidth="1"/>
    <col min="3" max="3" width="52.5703125" customWidth="1"/>
    <col min="4" max="4" width="25.5703125" customWidth="1"/>
    <col min="5" max="5" width="15.85546875" customWidth="1"/>
    <col min="6" max="6" width="57.28515625" customWidth="1"/>
    <col min="7" max="7" width="77.42578125" customWidth="1"/>
  </cols>
  <sheetData>
    <row r="3" spans="1:7" ht="21" x14ac:dyDescent="0.25">
      <c r="A3" s="69" t="s">
        <v>905</v>
      </c>
      <c r="B3" s="69" t="s">
        <v>906</v>
      </c>
      <c r="C3" s="46" t="s">
        <v>806</v>
      </c>
      <c r="D3" s="10" t="s">
        <v>153</v>
      </c>
      <c r="E3" s="10" t="s">
        <v>61</v>
      </c>
      <c r="F3" s="11" t="s">
        <v>92</v>
      </c>
      <c r="G3" s="10" t="s">
        <v>57</v>
      </c>
    </row>
    <row r="4" spans="1:7" x14ac:dyDescent="0.25">
      <c r="A4" s="2" t="s">
        <v>244</v>
      </c>
      <c r="B4" s="2" t="s">
        <v>837</v>
      </c>
      <c r="C4" s="64" t="s">
        <v>811</v>
      </c>
      <c r="D4" s="2" t="s">
        <v>838</v>
      </c>
      <c r="E4" s="2" t="s">
        <v>838</v>
      </c>
      <c r="F4" s="2" t="s">
        <v>107</v>
      </c>
      <c r="G4" s="2" t="s">
        <v>243</v>
      </c>
    </row>
    <row r="5" spans="1:7" x14ac:dyDescent="0.25">
      <c r="A5" s="2" t="s">
        <v>17</v>
      </c>
      <c r="B5" s="2" t="s">
        <v>815</v>
      </c>
      <c r="C5" s="64" t="s">
        <v>811</v>
      </c>
      <c r="D5" s="2" t="s">
        <v>838</v>
      </c>
      <c r="E5" s="2" t="s">
        <v>838</v>
      </c>
      <c r="F5" s="2" t="s">
        <v>98</v>
      </c>
      <c r="G5" s="2" t="s">
        <v>146</v>
      </c>
    </row>
    <row r="6" spans="1:7" x14ac:dyDescent="0.25">
      <c r="A6" s="2" t="s">
        <v>4</v>
      </c>
      <c r="B6" s="2" t="s">
        <v>839</v>
      </c>
      <c r="C6" s="64" t="s">
        <v>811</v>
      </c>
      <c r="D6" s="2" t="s">
        <v>838</v>
      </c>
      <c r="E6" s="2" t="s">
        <v>838</v>
      </c>
      <c r="F6" s="2" t="s">
        <v>98</v>
      </c>
      <c r="G6" s="2" t="s">
        <v>64</v>
      </c>
    </row>
    <row r="7" spans="1:7" x14ac:dyDescent="0.25">
      <c r="A7" s="3" t="s">
        <v>393</v>
      </c>
      <c r="B7" s="3" t="s">
        <v>394</v>
      </c>
      <c r="C7" s="64" t="s">
        <v>811</v>
      </c>
      <c r="D7" s="2" t="s">
        <v>838</v>
      </c>
      <c r="E7" s="3" t="s">
        <v>313</v>
      </c>
      <c r="F7" s="6" t="s">
        <v>395</v>
      </c>
      <c r="G7" s="6" t="s">
        <v>396</v>
      </c>
    </row>
    <row r="8" spans="1:7" x14ac:dyDescent="0.25">
      <c r="A8" s="2" t="s">
        <v>383</v>
      </c>
      <c r="B8" s="2" t="s">
        <v>840</v>
      </c>
      <c r="C8" s="64" t="s">
        <v>811</v>
      </c>
      <c r="D8" s="2" t="s">
        <v>838</v>
      </c>
      <c r="E8" s="2" t="s">
        <v>838</v>
      </c>
      <c r="F8" s="2" t="s">
        <v>115</v>
      </c>
      <c r="G8" s="2" t="s">
        <v>87</v>
      </c>
    </row>
    <row r="9" spans="1:7" x14ac:dyDescent="0.25">
      <c r="A9" s="2" t="s">
        <v>326</v>
      </c>
      <c r="B9" s="2" t="s">
        <v>841</v>
      </c>
      <c r="C9" s="64" t="s">
        <v>811</v>
      </c>
      <c r="D9" s="2" t="s">
        <v>838</v>
      </c>
      <c r="E9" s="2" t="s">
        <v>838</v>
      </c>
      <c r="F9" s="2" t="s">
        <v>125</v>
      </c>
      <c r="G9" s="2" t="s">
        <v>327</v>
      </c>
    </row>
    <row r="10" spans="1:7" x14ac:dyDescent="0.25">
      <c r="A10" s="2" t="s">
        <v>3</v>
      </c>
      <c r="B10" s="2" t="s">
        <v>842</v>
      </c>
      <c r="C10" s="64" t="s">
        <v>811</v>
      </c>
      <c r="D10" s="2" t="s">
        <v>838</v>
      </c>
      <c r="E10" s="2" t="s">
        <v>838</v>
      </c>
      <c r="F10" s="2" t="s">
        <v>108</v>
      </c>
      <c r="G10" s="2" t="s">
        <v>109</v>
      </c>
    </row>
    <row r="11" spans="1:7" x14ac:dyDescent="0.25">
      <c r="A11" s="2" t="s">
        <v>247</v>
      </c>
      <c r="B11" s="2" t="s">
        <v>843</v>
      </c>
      <c r="C11" s="64" t="s">
        <v>811</v>
      </c>
      <c r="D11" s="2" t="s">
        <v>838</v>
      </c>
      <c r="E11" s="2" t="s">
        <v>838</v>
      </c>
      <c r="F11" s="2" t="s">
        <v>246</v>
      </c>
      <c r="G11" s="2" t="s">
        <v>245</v>
      </c>
    </row>
    <row r="12" spans="1:7" x14ac:dyDescent="0.25">
      <c r="A12" s="2" t="s">
        <v>36</v>
      </c>
      <c r="B12" s="2" t="s">
        <v>152</v>
      </c>
      <c r="C12" s="64" t="s">
        <v>810</v>
      </c>
      <c r="D12" s="2" t="s">
        <v>152</v>
      </c>
      <c r="E12" s="2" t="s">
        <v>7</v>
      </c>
      <c r="F12" s="2" t="s">
        <v>96</v>
      </c>
      <c r="G12" s="2" t="s">
        <v>63</v>
      </c>
    </row>
    <row r="13" spans="1:7" ht="47.25" x14ac:dyDescent="0.25">
      <c r="A13" s="2" t="s">
        <v>274</v>
      </c>
      <c r="B13" s="2" t="s">
        <v>149</v>
      </c>
      <c r="C13" s="48" t="s">
        <v>809</v>
      </c>
      <c r="D13" s="2" t="s">
        <v>149</v>
      </c>
      <c r="E13" s="2" t="s">
        <v>46</v>
      </c>
      <c r="F13" s="2" t="s">
        <v>96</v>
      </c>
      <c r="G13" s="2" t="s">
        <v>275</v>
      </c>
    </row>
    <row r="14" spans="1:7" x14ac:dyDescent="0.25">
      <c r="A14" s="2" t="s">
        <v>32</v>
      </c>
      <c r="B14" s="64" t="s">
        <v>823</v>
      </c>
      <c r="C14" s="64" t="s">
        <v>823</v>
      </c>
      <c r="D14" s="64" t="s">
        <v>823</v>
      </c>
      <c r="E14" s="2" t="s">
        <v>51</v>
      </c>
      <c r="F14" s="2" t="s">
        <v>96</v>
      </c>
      <c r="G14" s="2" t="s">
        <v>68</v>
      </c>
    </row>
    <row r="15" spans="1:7" x14ac:dyDescent="0.25">
      <c r="A15" s="2" t="s">
        <v>301</v>
      </c>
      <c r="B15" s="2" t="s">
        <v>844</v>
      </c>
      <c r="C15" s="64" t="s">
        <v>811</v>
      </c>
      <c r="D15" s="2" t="s">
        <v>838</v>
      </c>
      <c r="E15" s="2" t="s">
        <v>838</v>
      </c>
      <c r="F15" s="2" t="s">
        <v>96</v>
      </c>
      <c r="G15" s="2" t="s">
        <v>302</v>
      </c>
    </row>
    <row r="16" spans="1:7" x14ac:dyDescent="0.25">
      <c r="A16" s="2" t="s">
        <v>281</v>
      </c>
      <c r="B16" s="2" t="s">
        <v>845</v>
      </c>
      <c r="C16" s="64" t="s">
        <v>811</v>
      </c>
      <c r="D16" s="2" t="s">
        <v>838</v>
      </c>
      <c r="E16" s="2" t="s">
        <v>838</v>
      </c>
      <c r="F16" s="2" t="s">
        <v>96</v>
      </c>
      <c r="G16" s="2" t="s">
        <v>282</v>
      </c>
    </row>
    <row r="17" spans="1:7" x14ac:dyDescent="0.25">
      <c r="A17" s="2" t="s">
        <v>37</v>
      </c>
      <c r="B17" s="2" t="s">
        <v>151</v>
      </c>
      <c r="C17" s="64" t="s">
        <v>810</v>
      </c>
      <c r="D17" s="2" t="s">
        <v>151</v>
      </c>
      <c r="E17" s="2" t="s">
        <v>7</v>
      </c>
      <c r="F17" s="2" t="s">
        <v>96</v>
      </c>
      <c r="G17" s="2" t="s">
        <v>80</v>
      </c>
    </row>
    <row r="18" spans="1:7" x14ac:dyDescent="0.25">
      <c r="A18" s="2" t="s">
        <v>54</v>
      </c>
      <c r="B18" s="64" t="s">
        <v>823</v>
      </c>
      <c r="C18" s="64" t="s">
        <v>823</v>
      </c>
      <c r="D18" s="64" t="s">
        <v>823</v>
      </c>
      <c r="E18" s="2" t="s">
        <v>51</v>
      </c>
      <c r="F18" s="2" t="s">
        <v>127</v>
      </c>
      <c r="G18" s="2" t="s">
        <v>76</v>
      </c>
    </row>
    <row r="19" spans="1:7" x14ac:dyDescent="0.25">
      <c r="A19" s="2" t="s">
        <v>155</v>
      </c>
      <c r="B19" s="2" t="s">
        <v>218</v>
      </c>
      <c r="C19" s="64" t="s">
        <v>810</v>
      </c>
      <c r="D19" s="2" t="s">
        <v>218</v>
      </c>
      <c r="E19" s="2" t="s">
        <v>7</v>
      </c>
      <c r="F19" s="2" t="s">
        <v>156</v>
      </c>
      <c r="G19" s="2" t="s">
        <v>157</v>
      </c>
    </row>
    <row r="20" spans="1:7" x14ac:dyDescent="0.25">
      <c r="A20" s="2" t="s">
        <v>158</v>
      </c>
      <c r="B20" s="2" t="s">
        <v>845</v>
      </c>
      <c r="C20" s="64" t="s">
        <v>811</v>
      </c>
      <c r="D20" s="2" t="s">
        <v>838</v>
      </c>
      <c r="E20" s="2" t="s">
        <v>838</v>
      </c>
      <c r="F20" s="2" t="s">
        <v>159</v>
      </c>
      <c r="G20" s="2" t="s">
        <v>170</v>
      </c>
    </row>
    <row r="21" spans="1:7" x14ac:dyDescent="0.25">
      <c r="A21" s="2" t="s">
        <v>33</v>
      </c>
      <c r="B21" s="2" t="s">
        <v>95</v>
      </c>
      <c r="C21" s="64" t="s">
        <v>95</v>
      </c>
      <c r="D21" s="2" t="s">
        <v>95</v>
      </c>
      <c r="E21" s="2" t="s">
        <v>52</v>
      </c>
      <c r="F21" s="2" t="s">
        <v>123</v>
      </c>
      <c r="G21" s="2" t="s">
        <v>83</v>
      </c>
    </row>
    <row r="22" spans="1:7" x14ac:dyDescent="0.25">
      <c r="A22" s="2" t="s">
        <v>189</v>
      </c>
      <c r="B22" s="2" t="s">
        <v>846</v>
      </c>
      <c r="C22" s="64" t="s">
        <v>811</v>
      </c>
      <c r="D22" s="2" t="s">
        <v>838</v>
      </c>
      <c r="E22" s="2" t="s">
        <v>838</v>
      </c>
      <c r="F22" s="2" t="s">
        <v>190</v>
      </c>
      <c r="G22" s="2" t="s">
        <v>206</v>
      </c>
    </row>
    <row r="23" spans="1:7" x14ac:dyDescent="0.25">
      <c r="A23" s="2" t="s">
        <v>207</v>
      </c>
      <c r="B23" s="64" t="s">
        <v>824</v>
      </c>
      <c r="C23" s="64" t="s">
        <v>814</v>
      </c>
      <c r="D23" s="64" t="s">
        <v>824</v>
      </c>
      <c r="E23" s="2" t="s">
        <v>50</v>
      </c>
      <c r="F23" s="2" t="s">
        <v>208</v>
      </c>
      <c r="G23" s="2" t="s">
        <v>209</v>
      </c>
    </row>
    <row r="24" spans="1:7" x14ac:dyDescent="0.25">
      <c r="A24" s="2" t="s">
        <v>53</v>
      </c>
      <c r="B24" s="2" t="s">
        <v>820</v>
      </c>
      <c r="C24" s="64" t="s">
        <v>811</v>
      </c>
      <c r="D24" s="2" t="s">
        <v>838</v>
      </c>
      <c r="E24" s="2" t="s">
        <v>838</v>
      </c>
      <c r="F24" s="2" t="s">
        <v>143</v>
      </c>
      <c r="G24" s="2" t="s">
        <v>79</v>
      </c>
    </row>
    <row r="25" spans="1:7" x14ac:dyDescent="0.25">
      <c r="A25" s="2" t="s">
        <v>289</v>
      </c>
      <c r="B25" s="2" t="s">
        <v>847</v>
      </c>
      <c r="C25" s="64" t="s">
        <v>811</v>
      </c>
      <c r="D25" s="2" t="s">
        <v>838</v>
      </c>
      <c r="E25" s="2" t="s">
        <v>838</v>
      </c>
      <c r="F25" s="2" t="s">
        <v>211</v>
      </c>
      <c r="G25" s="2" t="s">
        <v>276</v>
      </c>
    </row>
    <row r="26" spans="1:7" x14ac:dyDescent="0.25">
      <c r="A26" s="2" t="s">
        <v>323</v>
      </c>
      <c r="B26" s="2" t="s">
        <v>368</v>
      </c>
      <c r="C26" s="64" t="s">
        <v>811</v>
      </c>
      <c r="D26" s="2" t="s">
        <v>838</v>
      </c>
      <c r="E26" s="2" t="s">
        <v>838</v>
      </c>
      <c r="F26" s="2" t="s">
        <v>324</v>
      </c>
      <c r="G26" s="2" t="s">
        <v>325</v>
      </c>
    </row>
    <row r="27" spans="1:7" x14ac:dyDescent="0.25">
      <c r="A27" s="2" t="s">
        <v>91</v>
      </c>
      <c r="B27" s="2" t="s">
        <v>820</v>
      </c>
      <c r="C27" s="64" t="s">
        <v>811</v>
      </c>
      <c r="D27" s="2" t="s">
        <v>838</v>
      </c>
      <c r="E27" s="2" t="s">
        <v>838</v>
      </c>
      <c r="F27" s="2" t="s">
        <v>216</v>
      </c>
      <c r="G27" s="2" t="s">
        <v>217</v>
      </c>
    </row>
    <row r="28" spans="1:7" x14ac:dyDescent="0.25">
      <c r="A28" s="2" t="s">
        <v>28</v>
      </c>
      <c r="B28" s="2" t="s">
        <v>848</v>
      </c>
      <c r="C28" s="64" t="s">
        <v>811</v>
      </c>
      <c r="D28" s="2" t="s">
        <v>838</v>
      </c>
      <c r="E28" s="2" t="s">
        <v>838</v>
      </c>
      <c r="F28" s="2" t="s">
        <v>129</v>
      </c>
      <c r="G28" s="2" t="s">
        <v>89</v>
      </c>
    </row>
    <row r="29" spans="1:7" x14ac:dyDescent="0.25">
      <c r="A29" s="2" t="s">
        <v>238</v>
      </c>
      <c r="B29" s="2" t="s">
        <v>368</v>
      </c>
      <c r="C29" s="64" t="s">
        <v>811</v>
      </c>
      <c r="D29" s="2" t="s">
        <v>838</v>
      </c>
      <c r="E29" s="2" t="s">
        <v>838</v>
      </c>
      <c r="F29" s="2" t="s">
        <v>230</v>
      </c>
      <c r="G29" s="2" t="s">
        <v>237</v>
      </c>
    </row>
    <row r="30" spans="1:7" x14ac:dyDescent="0.25">
      <c r="A30" s="2" t="s">
        <v>161</v>
      </c>
      <c r="B30" s="2" t="s">
        <v>825</v>
      </c>
      <c r="C30" s="64" t="s">
        <v>814</v>
      </c>
      <c r="D30" s="2" t="s">
        <v>825</v>
      </c>
      <c r="E30" s="2" t="s">
        <v>50</v>
      </c>
      <c r="F30" s="2" t="s">
        <v>162</v>
      </c>
      <c r="G30" s="2" t="s">
        <v>163</v>
      </c>
    </row>
    <row r="31" spans="1:7" x14ac:dyDescent="0.25">
      <c r="A31" s="2" t="s">
        <v>168</v>
      </c>
      <c r="B31" s="2" t="s">
        <v>846</v>
      </c>
      <c r="C31" s="64" t="s">
        <v>811</v>
      </c>
      <c r="D31" s="2" t="s">
        <v>838</v>
      </c>
      <c r="E31" s="2" t="s">
        <v>838</v>
      </c>
      <c r="F31" s="2" t="s">
        <v>110</v>
      </c>
      <c r="G31" s="2" t="s">
        <v>81</v>
      </c>
    </row>
    <row r="32" spans="1:7" x14ac:dyDescent="0.25">
      <c r="A32" s="2" t="s">
        <v>277</v>
      </c>
      <c r="B32" s="2" t="s">
        <v>394</v>
      </c>
      <c r="C32" s="64" t="s">
        <v>811</v>
      </c>
      <c r="D32" s="2" t="s">
        <v>838</v>
      </c>
      <c r="E32" s="2" t="s">
        <v>838</v>
      </c>
      <c r="F32" s="2" t="s">
        <v>94</v>
      </c>
      <c r="G32" s="2" t="s">
        <v>278</v>
      </c>
    </row>
    <row r="33" spans="1:7" x14ac:dyDescent="0.25">
      <c r="A33" s="2" t="s">
        <v>15</v>
      </c>
      <c r="B33" s="2" t="s">
        <v>849</v>
      </c>
      <c r="C33" s="64" t="s">
        <v>811</v>
      </c>
      <c r="D33" s="2" t="s">
        <v>838</v>
      </c>
      <c r="E33" s="2" t="s">
        <v>838</v>
      </c>
      <c r="F33" s="2" t="s">
        <v>94</v>
      </c>
      <c r="G33" s="2" t="s">
        <v>142</v>
      </c>
    </row>
    <row r="34" spans="1:7" x14ac:dyDescent="0.25">
      <c r="A34" s="2" t="s">
        <v>615</v>
      </c>
      <c r="B34" s="2" t="s">
        <v>850</v>
      </c>
      <c r="C34" s="64" t="s">
        <v>811</v>
      </c>
      <c r="D34" s="2" t="s">
        <v>838</v>
      </c>
      <c r="E34" s="2" t="s">
        <v>838</v>
      </c>
      <c r="F34" s="2" t="s">
        <v>94</v>
      </c>
      <c r="G34" s="8" t="s">
        <v>618</v>
      </c>
    </row>
    <row r="35" spans="1:7" x14ac:dyDescent="0.25">
      <c r="A35" s="2" t="s">
        <v>616</v>
      </c>
      <c r="B35" s="2" t="s">
        <v>849</v>
      </c>
      <c r="C35" s="64" t="s">
        <v>811</v>
      </c>
      <c r="D35" s="2" t="s">
        <v>838</v>
      </c>
      <c r="E35" s="2" t="s">
        <v>838</v>
      </c>
      <c r="F35" s="2" t="s">
        <v>94</v>
      </c>
      <c r="G35" s="8" t="s">
        <v>617</v>
      </c>
    </row>
    <row r="36" spans="1:7" ht="47.25" x14ac:dyDescent="0.25">
      <c r="A36" s="2" t="s">
        <v>332</v>
      </c>
      <c r="B36" s="2" t="s">
        <v>333</v>
      </c>
      <c r="C36" s="48" t="s">
        <v>809</v>
      </c>
      <c r="D36" s="2" t="s">
        <v>333</v>
      </c>
      <c r="E36" s="2" t="s">
        <v>46</v>
      </c>
      <c r="F36" s="2" t="s">
        <v>94</v>
      </c>
      <c r="G36" s="2" t="s">
        <v>334</v>
      </c>
    </row>
    <row r="37" spans="1:7" x14ac:dyDescent="0.25">
      <c r="A37" s="2" t="s">
        <v>328</v>
      </c>
      <c r="B37" s="2" t="s">
        <v>851</v>
      </c>
      <c r="C37" s="64" t="s">
        <v>811</v>
      </c>
      <c r="D37" s="5" t="s">
        <v>838</v>
      </c>
      <c r="E37" s="5" t="s">
        <v>838</v>
      </c>
      <c r="F37" s="2" t="s">
        <v>94</v>
      </c>
      <c r="G37" s="2" t="s">
        <v>329</v>
      </c>
    </row>
    <row r="38" spans="1:7" x14ac:dyDescent="0.25">
      <c r="A38" s="2" t="s">
        <v>10</v>
      </c>
      <c r="B38" s="2" t="s">
        <v>852</v>
      </c>
      <c r="C38" s="64" t="s">
        <v>811</v>
      </c>
      <c r="D38" s="2" t="s">
        <v>838</v>
      </c>
      <c r="E38" s="2" t="s">
        <v>838</v>
      </c>
      <c r="F38" s="2" t="s">
        <v>94</v>
      </c>
      <c r="G38" s="2" t="s">
        <v>86</v>
      </c>
    </row>
    <row r="39" spans="1:7" x14ac:dyDescent="0.25">
      <c r="A39" s="2" t="s">
        <v>14</v>
      </c>
      <c r="B39" s="2" t="s">
        <v>837</v>
      </c>
      <c r="C39" s="64" t="s">
        <v>811</v>
      </c>
      <c r="D39" s="2" t="s">
        <v>838</v>
      </c>
      <c r="E39" s="2" t="s">
        <v>838</v>
      </c>
      <c r="F39" s="2" t="s">
        <v>94</v>
      </c>
      <c r="G39" s="2" t="s">
        <v>173</v>
      </c>
    </row>
    <row r="40" spans="1:7" x14ac:dyDescent="0.25">
      <c r="A40" s="16" t="s">
        <v>399</v>
      </c>
      <c r="B40" s="16" t="s">
        <v>853</v>
      </c>
      <c r="C40" s="64" t="s">
        <v>811</v>
      </c>
      <c r="D40" s="16" t="s">
        <v>838</v>
      </c>
      <c r="E40" s="14" t="s">
        <v>838</v>
      </c>
      <c r="F40" s="14" t="s">
        <v>94</v>
      </c>
      <c r="G40" s="14" t="s">
        <v>400</v>
      </c>
    </row>
    <row r="41" spans="1:7" x14ac:dyDescent="0.25">
      <c r="A41" s="1" t="s">
        <v>351</v>
      </c>
      <c r="B41" s="1" t="s">
        <v>854</v>
      </c>
      <c r="C41" s="64" t="s">
        <v>811</v>
      </c>
      <c r="D41" s="2" t="s">
        <v>838</v>
      </c>
      <c r="E41" s="1" t="s">
        <v>313</v>
      </c>
      <c r="F41" s="1" t="s">
        <v>349</v>
      </c>
      <c r="G41" s="1" t="s">
        <v>352</v>
      </c>
    </row>
    <row r="42" spans="1:7" x14ac:dyDescent="0.25">
      <c r="A42" s="1" t="s">
        <v>397</v>
      </c>
      <c r="B42" s="1" t="s">
        <v>855</v>
      </c>
      <c r="C42" s="64" t="s">
        <v>811</v>
      </c>
      <c r="D42" s="2" t="s">
        <v>838</v>
      </c>
      <c r="E42" s="1" t="s">
        <v>313</v>
      </c>
      <c r="F42" s="1" t="s">
        <v>349</v>
      </c>
      <c r="G42" s="1" t="s">
        <v>398</v>
      </c>
    </row>
    <row r="43" spans="1:7" x14ac:dyDescent="0.25">
      <c r="A43" s="1" t="s">
        <v>348</v>
      </c>
      <c r="B43" s="1" t="s">
        <v>849</v>
      </c>
      <c r="C43" s="64" t="s">
        <v>811</v>
      </c>
      <c r="D43" s="2" t="s">
        <v>838</v>
      </c>
      <c r="E43" s="1" t="s">
        <v>313</v>
      </c>
      <c r="F43" s="1" t="s">
        <v>349</v>
      </c>
      <c r="G43" s="1" t="s">
        <v>350</v>
      </c>
    </row>
    <row r="44" spans="1:7" x14ac:dyDescent="0.25">
      <c r="A44" s="2" t="s">
        <v>290</v>
      </c>
      <c r="B44" s="2" t="s">
        <v>856</v>
      </c>
      <c r="C44" s="64" t="s">
        <v>811</v>
      </c>
      <c r="D44" s="2" t="s">
        <v>838</v>
      </c>
      <c r="E44" s="2" t="s">
        <v>838</v>
      </c>
      <c r="F44" s="2" t="s">
        <v>104</v>
      </c>
      <c r="G44" s="2" t="s">
        <v>291</v>
      </c>
    </row>
    <row r="45" spans="1:7" x14ac:dyDescent="0.25">
      <c r="A45" s="2" t="s">
        <v>221</v>
      </c>
      <c r="B45" s="2" t="s">
        <v>857</v>
      </c>
      <c r="C45" s="64" t="s">
        <v>811</v>
      </c>
      <c r="D45" s="2" t="s">
        <v>838</v>
      </c>
      <c r="E45" s="2" t="s">
        <v>838</v>
      </c>
      <c r="F45" s="2" t="s">
        <v>222</v>
      </c>
      <c r="G45" s="2" t="s">
        <v>223</v>
      </c>
    </row>
    <row r="46" spans="1:7" x14ac:dyDescent="0.25">
      <c r="A46" s="2" t="s">
        <v>23</v>
      </c>
      <c r="B46" s="2" t="s">
        <v>841</v>
      </c>
      <c r="C46" s="64" t="s">
        <v>811</v>
      </c>
      <c r="D46" s="2" t="s">
        <v>838</v>
      </c>
      <c r="E46" s="2" t="s">
        <v>838</v>
      </c>
      <c r="F46" s="2" t="s">
        <v>105</v>
      </c>
      <c r="G46" s="2" t="s">
        <v>74</v>
      </c>
    </row>
    <row r="47" spans="1:7" x14ac:dyDescent="0.25">
      <c r="A47" s="2" t="s">
        <v>309</v>
      </c>
      <c r="B47" s="2" t="s">
        <v>310</v>
      </c>
      <c r="C47" s="2"/>
      <c r="D47" s="2" t="s">
        <v>310</v>
      </c>
      <c r="E47" s="2" t="s">
        <v>288</v>
      </c>
      <c r="F47" s="2" t="s">
        <v>311</v>
      </c>
      <c r="G47" s="2" t="s">
        <v>312</v>
      </c>
    </row>
    <row r="48" spans="1:7" x14ac:dyDescent="0.25">
      <c r="A48" s="2" t="s">
        <v>232</v>
      </c>
      <c r="B48" s="2" t="s">
        <v>394</v>
      </c>
      <c r="C48" s="64" t="s">
        <v>811</v>
      </c>
      <c r="D48" s="2" t="s">
        <v>838</v>
      </c>
      <c r="E48" s="2" t="s">
        <v>838</v>
      </c>
      <c r="F48" s="2" t="s">
        <v>166</v>
      </c>
      <c r="G48" s="2" t="s">
        <v>167</v>
      </c>
    </row>
    <row r="49" spans="1:7" x14ac:dyDescent="0.25">
      <c r="A49" s="2" t="s">
        <v>29</v>
      </c>
      <c r="B49" s="2" t="s">
        <v>846</v>
      </c>
      <c r="C49" s="64" t="s">
        <v>811</v>
      </c>
      <c r="D49" s="2" t="s">
        <v>838</v>
      </c>
      <c r="E49" s="2" t="s">
        <v>838</v>
      </c>
      <c r="F49" s="2" t="s">
        <v>147</v>
      </c>
      <c r="G49" s="2" t="s">
        <v>75</v>
      </c>
    </row>
    <row r="50" spans="1:7" x14ac:dyDescent="0.25">
      <c r="A50" s="2" t="s">
        <v>283</v>
      </c>
      <c r="B50" s="2" t="s">
        <v>856</v>
      </c>
      <c r="C50" s="64" t="s">
        <v>811</v>
      </c>
      <c r="D50" s="2" t="s">
        <v>838</v>
      </c>
      <c r="E50" s="2" t="s">
        <v>838</v>
      </c>
      <c r="F50" s="2" t="s">
        <v>185</v>
      </c>
      <c r="G50" s="2" t="s">
        <v>186</v>
      </c>
    </row>
    <row r="51" spans="1:7" x14ac:dyDescent="0.25">
      <c r="A51" s="2" t="s">
        <v>219</v>
      </c>
      <c r="B51" s="2" t="s">
        <v>95</v>
      </c>
      <c r="C51" s="64" t="s">
        <v>95</v>
      </c>
      <c r="D51" s="2" t="s">
        <v>95</v>
      </c>
      <c r="E51" s="2" t="s">
        <v>52</v>
      </c>
      <c r="F51" s="2" t="s">
        <v>204</v>
      </c>
      <c r="G51" s="2" t="s">
        <v>205</v>
      </c>
    </row>
    <row r="52" spans="1:7" x14ac:dyDescent="0.25">
      <c r="A52" s="2" t="s">
        <v>220</v>
      </c>
      <c r="B52" s="2" t="s">
        <v>855</v>
      </c>
      <c r="C52" s="64" t="s">
        <v>811</v>
      </c>
      <c r="D52" s="2" t="s">
        <v>838</v>
      </c>
      <c r="E52" s="2" t="s">
        <v>838</v>
      </c>
      <c r="F52" s="2" t="s">
        <v>103</v>
      </c>
      <c r="G52" s="2" t="s">
        <v>183</v>
      </c>
    </row>
    <row r="53" spans="1:7" x14ac:dyDescent="0.25">
      <c r="A53" s="2" t="s">
        <v>20</v>
      </c>
      <c r="B53" s="2" t="s">
        <v>394</v>
      </c>
      <c r="C53" s="64" t="s">
        <v>811</v>
      </c>
      <c r="D53" s="2" t="s">
        <v>838</v>
      </c>
      <c r="E53" s="2" t="s">
        <v>838</v>
      </c>
      <c r="F53" s="2" t="s">
        <v>138</v>
      </c>
      <c r="G53" s="2" t="s">
        <v>139</v>
      </c>
    </row>
    <row r="54" spans="1:7" x14ac:dyDescent="0.25">
      <c r="A54" s="2" t="s">
        <v>269</v>
      </c>
      <c r="B54" s="2" t="s">
        <v>368</v>
      </c>
      <c r="C54" s="64" t="s">
        <v>811</v>
      </c>
      <c r="D54" s="2" t="s">
        <v>838</v>
      </c>
      <c r="E54" s="2" t="s">
        <v>838</v>
      </c>
      <c r="F54" s="2" t="s">
        <v>270</v>
      </c>
      <c r="G54" s="2" t="s">
        <v>271</v>
      </c>
    </row>
    <row r="55" spans="1:7" x14ac:dyDescent="0.25">
      <c r="A55" s="2" t="s">
        <v>5</v>
      </c>
      <c r="B55" s="2" t="s">
        <v>858</v>
      </c>
      <c r="C55" s="64" t="s">
        <v>811</v>
      </c>
      <c r="D55" s="2" t="s">
        <v>838</v>
      </c>
      <c r="E55" s="2" t="s">
        <v>838</v>
      </c>
      <c r="F55" s="2" t="s">
        <v>111</v>
      </c>
      <c r="G55" s="2" t="s">
        <v>72</v>
      </c>
    </row>
    <row r="56" spans="1:7" x14ac:dyDescent="0.25">
      <c r="A56" s="2" t="s">
        <v>308</v>
      </c>
      <c r="B56" s="2" t="s">
        <v>817</v>
      </c>
      <c r="C56" s="64" t="s">
        <v>812</v>
      </c>
      <c r="D56" s="2" t="s">
        <v>817</v>
      </c>
      <c r="E56" s="2" t="s">
        <v>293</v>
      </c>
      <c r="F56" s="2" t="s">
        <v>294</v>
      </c>
      <c r="G56" s="2" t="s">
        <v>295</v>
      </c>
    </row>
    <row r="57" spans="1:7" x14ac:dyDescent="0.25">
      <c r="A57" s="2" t="s">
        <v>8</v>
      </c>
      <c r="B57" s="2" t="s">
        <v>859</v>
      </c>
      <c r="C57" s="64" t="s">
        <v>811</v>
      </c>
      <c r="D57" s="2" t="s">
        <v>838</v>
      </c>
      <c r="E57" s="2" t="s">
        <v>838</v>
      </c>
      <c r="F57" s="2" t="s">
        <v>124</v>
      </c>
      <c r="G57" s="2" t="s">
        <v>145</v>
      </c>
    </row>
    <row r="58" spans="1:7" x14ac:dyDescent="0.25">
      <c r="A58" s="2" t="s">
        <v>24</v>
      </c>
      <c r="B58" s="2" t="s">
        <v>860</v>
      </c>
      <c r="C58" s="64" t="s">
        <v>811</v>
      </c>
      <c r="D58" s="2" t="s">
        <v>838</v>
      </c>
      <c r="E58" s="2" t="s">
        <v>838</v>
      </c>
      <c r="F58" s="2" t="s">
        <v>132</v>
      </c>
      <c r="G58" s="2" t="s">
        <v>133</v>
      </c>
    </row>
    <row r="59" spans="1:7" x14ac:dyDescent="0.25">
      <c r="A59" s="2" t="s">
        <v>279</v>
      </c>
      <c r="B59" s="2" t="s">
        <v>861</v>
      </c>
      <c r="C59" s="64" t="s">
        <v>811</v>
      </c>
      <c r="D59" s="2" t="s">
        <v>838</v>
      </c>
      <c r="E59" s="2" t="s">
        <v>838</v>
      </c>
      <c r="F59" s="2" t="s">
        <v>177</v>
      </c>
      <c r="G59" s="2" t="s">
        <v>280</v>
      </c>
    </row>
    <row r="60" spans="1:7" x14ac:dyDescent="0.25">
      <c r="A60" s="1" t="s">
        <v>353</v>
      </c>
      <c r="B60" s="1" t="s">
        <v>862</v>
      </c>
      <c r="C60" s="64" t="s">
        <v>811</v>
      </c>
      <c r="D60" s="2" t="s">
        <v>838</v>
      </c>
      <c r="E60" s="1" t="s">
        <v>313</v>
      </c>
      <c r="F60" s="1" t="s">
        <v>354</v>
      </c>
      <c r="G60" s="1" t="s">
        <v>355</v>
      </c>
    </row>
    <row r="61" spans="1:7" x14ac:dyDescent="0.25">
      <c r="A61" s="1" t="s">
        <v>340</v>
      </c>
      <c r="B61" s="1" t="s">
        <v>841</v>
      </c>
      <c r="C61" s="64" t="s">
        <v>811</v>
      </c>
      <c r="D61" s="2" t="s">
        <v>838</v>
      </c>
      <c r="E61" s="1" t="s">
        <v>313</v>
      </c>
      <c r="F61" s="1" t="s">
        <v>341</v>
      </c>
      <c r="G61" s="1" t="s">
        <v>342</v>
      </c>
    </row>
    <row r="62" spans="1:7" x14ac:dyDescent="0.25">
      <c r="A62" s="1" t="s">
        <v>343</v>
      </c>
      <c r="B62" s="1" t="s">
        <v>863</v>
      </c>
      <c r="C62" s="64" t="s">
        <v>811</v>
      </c>
      <c r="D62" s="2" t="s">
        <v>838</v>
      </c>
      <c r="E62" s="1" t="s">
        <v>313</v>
      </c>
      <c r="F62" s="1" t="s">
        <v>341</v>
      </c>
      <c r="G62" s="1" t="s">
        <v>344</v>
      </c>
    </row>
    <row r="63" spans="1:7" x14ac:dyDescent="0.25">
      <c r="A63" s="1" t="s">
        <v>345</v>
      </c>
      <c r="B63" s="1" t="s">
        <v>864</v>
      </c>
      <c r="C63" s="64" t="s">
        <v>811</v>
      </c>
      <c r="D63" s="2" t="s">
        <v>838</v>
      </c>
      <c r="E63" s="1" t="s">
        <v>313</v>
      </c>
      <c r="F63" s="1" t="s">
        <v>346</v>
      </c>
      <c r="G63" s="1" t="s">
        <v>347</v>
      </c>
    </row>
    <row r="64" spans="1:7" x14ac:dyDescent="0.25">
      <c r="A64" s="2" t="s">
        <v>22</v>
      </c>
      <c r="B64" s="2" t="s">
        <v>865</v>
      </c>
      <c r="C64" s="64" t="s">
        <v>811</v>
      </c>
      <c r="D64" s="2" t="s">
        <v>838</v>
      </c>
      <c r="E64" s="2" t="s">
        <v>838</v>
      </c>
      <c r="F64" s="2" t="s">
        <v>93</v>
      </c>
      <c r="G64" s="2" t="s">
        <v>141</v>
      </c>
    </row>
    <row r="65" spans="1:7" x14ac:dyDescent="0.25">
      <c r="A65" s="2" t="s">
        <v>45</v>
      </c>
      <c r="B65" s="2" t="s">
        <v>181</v>
      </c>
      <c r="C65" s="2"/>
      <c r="D65" s="2" t="s">
        <v>181</v>
      </c>
      <c r="E65" s="2" t="s">
        <v>46</v>
      </c>
      <c r="F65" s="2" t="s">
        <v>93</v>
      </c>
      <c r="G65" s="2" t="s">
        <v>66</v>
      </c>
    </row>
    <row r="66" spans="1:7" x14ac:dyDescent="0.25">
      <c r="A66" s="2" t="s">
        <v>11</v>
      </c>
      <c r="B66" s="2" t="s">
        <v>861</v>
      </c>
      <c r="C66" s="64" t="s">
        <v>811</v>
      </c>
      <c r="D66" s="2" t="s">
        <v>838</v>
      </c>
      <c r="E66" s="2" t="s">
        <v>838</v>
      </c>
      <c r="F66" s="2" t="s">
        <v>93</v>
      </c>
      <c r="G66" s="2" t="s">
        <v>65</v>
      </c>
    </row>
    <row r="67" spans="1:7" x14ac:dyDescent="0.25">
      <c r="A67" s="2" t="s">
        <v>13</v>
      </c>
      <c r="B67" s="2" t="s">
        <v>843</v>
      </c>
      <c r="C67" s="64" t="s">
        <v>811</v>
      </c>
      <c r="D67" s="2" t="s">
        <v>838</v>
      </c>
      <c r="E67" s="2" t="s">
        <v>838</v>
      </c>
      <c r="F67" s="2" t="s">
        <v>93</v>
      </c>
      <c r="G67" s="2" t="s">
        <v>82</v>
      </c>
    </row>
    <row r="68" spans="1:7" x14ac:dyDescent="0.25">
      <c r="A68" s="2" t="s">
        <v>263</v>
      </c>
      <c r="B68" s="2" t="s">
        <v>843</v>
      </c>
      <c r="C68" s="64" t="s">
        <v>811</v>
      </c>
      <c r="D68" s="2" t="s">
        <v>838</v>
      </c>
      <c r="E68" s="2" t="s">
        <v>838</v>
      </c>
      <c r="F68" s="2" t="s">
        <v>93</v>
      </c>
      <c r="G68" s="2" t="s">
        <v>262</v>
      </c>
    </row>
    <row r="69" spans="1:7" x14ac:dyDescent="0.25">
      <c r="A69" s="2" t="s">
        <v>267</v>
      </c>
      <c r="B69" s="2" t="s">
        <v>866</v>
      </c>
      <c r="C69" s="64" t="s">
        <v>811</v>
      </c>
      <c r="D69" s="2" t="s">
        <v>838</v>
      </c>
      <c r="E69" s="2" t="s">
        <v>838</v>
      </c>
      <c r="F69" s="2" t="s">
        <v>93</v>
      </c>
      <c r="G69" s="2" t="s">
        <v>268</v>
      </c>
    </row>
    <row r="70" spans="1:7" x14ac:dyDescent="0.25">
      <c r="A70" s="2" t="s">
        <v>56</v>
      </c>
      <c r="B70" s="2" t="s">
        <v>95</v>
      </c>
      <c r="C70" s="64" t="s">
        <v>95</v>
      </c>
      <c r="D70" s="2" t="s">
        <v>95</v>
      </c>
      <c r="E70" s="2" t="s">
        <v>52</v>
      </c>
      <c r="F70" s="2" t="s">
        <v>171</v>
      </c>
      <c r="G70" s="2" t="s">
        <v>172</v>
      </c>
    </row>
    <row r="71" spans="1:7" x14ac:dyDescent="0.25">
      <c r="A71" s="2" t="s">
        <v>112</v>
      </c>
      <c r="B71" s="2" t="s">
        <v>845</v>
      </c>
      <c r="C71" s="64" t="s">
        <v>811</v>
      </c>
      <c r="D71" s="2" t="s">
        <v>838</v>
      </c>
      <c r="E71" s="2" t="s">
        <v>838</v>
      </c>
      <c r="F71" s="2" t="s">
        <v>113</v>
      </c>
      <c r="G71" s="2" t="s">
        <v>228</v>
      </c>
    </row>
    <row r="72" spans="1:7" s="12" customFormat="1" x14ac:dyDescent="0.25">
      <c r="A72" s="13" t="s">
        <v>19</v>
      </c>
      <c r="B72" s="13" t="s">
        <v>820</v>
      </c>
      <c r="C72" s="64" t="s">
        <v>811</v>
      </c>
      <c r="D72" s="13" t="s">
        <v>838</v>
      </c>
      <c r="E72" s="13" t="s">
        <v>838</v>
      </c>
      <c r="F72" s="13" t="s">
        <v>117</v>
      </c>
      <c r="G72" s="13" t="s">
        <v>78</v>
      </c>
    </row>
    <row r="73" spans="1:7" s="12" customFormat="1" x14ac:dyDescent="0.25">
      <c r="A73" s="13" t="s">
        <v>19</v>
      </c>
      <c r="B73" s="13" t="s">
        <v>867</v>
      </c>
      <c r="C73" s="64" t="s">
        <v>811</v>
      </c>
      <c r="D73" s="13" t="s">
        <v>838</v>
      </c>
      <c r="E73" s="13" t="s">
        <v>838</v>
      </c>
      <c r="F73" s="13" t="s">
        <v>117</v>
      </c>
      <c r="G73" s="13" t="s">
        <v>78</v>
      </c>
    </row>
    <row r="74" spans="1:7" x14ac:dyDescent="0.25">
      <c r="A74" s="2" t="s">
        <v>193</v>
      </c>
      <c r="B74" s="2" t="s">
        <v>868</v>
      </c>
      <c r="C74" s="64" t="s">
        <v>811</v>
      </c>
      <c r="D74" s="2" t="s">
        <v>838</v>
      </c>
      <c r="E74" s="2" t="s">
        <v>838</v>
      </c>
      <c r="F74" s="2" t="s">
        <v>194</v>
      </c>
      <c r="G74" s="2" t="s">
        <v>195</v>
      </c>
    </row>
    <row r="75" spans="1:7" x14ac:dyDescent="0.25">
      <c r="A75" s="2" t="s">
        <v>307</v>
      </c>
      <c r="B75" s="4" t="s">
        <v>387</v>
      </c>
      <c r="C75" s="64" t="s">
        <v>811</v>
      </c>
      <c r="D75" s="2" t="s">
        <v>838</v>
      </c>
      <c r="E75" s="2" t="s">
        <v>838</v>
      </c>
      <c r="F75" s="2" t="s">
        <v>120</v>
      </c>
      <c r="G75" s="2" t="s">
        <v>121</v>
      </c>
    </row>
    <row r="76" spans="1:7" x14ac:dyDescent="0.25">
      <c r="A76" s="2" t="s">
        <v>339</v>
      </c>
      <c r="B76" s="2" t="s">
        <v>869</v>
      </c>
      <c r="C76" s="64" t="s">
        <v>811</v>
      </c>
      <c r="D76" s="2" t="s">
        <v>284</v>
      </c>
      <c r="E76" s="2" t="s">
        <v>50</v>
      </c>
      <c r="F76" s="2" t="s">
        <v>337</v>
      </c>
      <c r="G76" s="2" t="s">
        <v>338</v>
      </c>
    </row>
    <row r="77" spans="1:7" x14ac:dyDescent="0.25">
      <c r="A77" s="2" t="s">
        <v>391</v>
      </c>
      <c r="B77" s="2" t="s">
        <v>815</v>
      </c>
      <c r="C77" s="64" t="s">
        <v>811</v>
      </c>
      <c r="D77" s="2" t="s">
        <v>838</v>
      </c>
      <c r="E77" s="2" t="s">
        <v>838</v>
      </c>
      <c r="F77" s="2" t="s">
        <v>330</v>
      </c>
      <c r="G77" s="2" t="s">
        <v>331</v>
      </c>
    </row>
    <row r="78" spans="1:7" x14ac:dyDescent="0.25">
      <c r="A78" s="2" t="s">
        <v>35</v>
      </c>
      <c r="B78" s="2" t="s">
        <v>827</v>
      </c>
      <c r="C78" s="64" t="s">
        <v>812</v>
      </c>
      <c r="D78" s="2" t="s">
        <v>827</v>
      </c>
      <c r="E78" s="2" t="s">
        <v>49</v>
      </c>
      <c r="F78" s="2" t="s">
        <v>128</v>
      </c>
      <c r="G78" s="2" t="s">
        <v>254</v>
      </c>
    </row>
    <row r="79" spans="1:7" x14ac:dyDescent="0.25">
      <c r="A79" s="2" t="s">
        <v>1</v>
      </c>
      <c r="B79" s="2" t="s">
        <v>847</v>
      </c>
      <c r="C79" s="64" t="s">
        <v>811</v>
      </c>
      <c r="D79" s="2" t="s">
        <v>838</v>
      </c>
      <c r="E79" s="2" t="s">
        <v>838</v>
      </c>
      <c r="F79" s="2" t="s">
        <v>116</v>
      </c>
      <c r="G79" s="2" t="s">
        <v>71</v>
      </c>
    </row>
    <row r="80" spans="1:7" s="12" customFormat="1" x14ac:dyDescent="0.25">
      <c r="A80" s="13" t="s">
        <v>6</v>
      </c>
      <c r="B80" s="13" t="s">
        <v>182</v>
      </c>
      <c r="C80" s="64" t="s">
        <v>810</v>
      </c>
      <c r="D80" s="13" t="s">
        <v>182</v>
      </c>
      <c r="E80" s="13" t="s">
        <v>7</v>
      </c>
      <c r="F80" s="13" t="s">
        <v>114</v>
      </c>
      <c r="G80" s="13" t="s">
        <v>261</v>
      </c>
    </row>
    <row r="81" spans="1:7" s="12" customFormat="1" x14ac:dyDescent="0.25">
      <c r="A81" s="13" t="s">
        <v>6</v>
      </c>
      <c r="B81" s="13" t="s">
        <v>870</v>
      </c>
      <c r="C81" s="64" t="s">
        <v>811</v>
      </c>
      <c r="D81" s="13" t="s">
        <v>838</v>
      </c>
      <c r="E81" s="13" t="s">
        <v>838</v>
      </c>
      <c r="F81" s="13" t="s">
        <v>114</v>
      </c>
      <c r="G81" s="13" t="s">
        <v>154</v>
      </c>
    </row>
    <row r="82" spans="1:7" x14ac:dyDescent="0.25">
      <c r="A82" s="2" t="s">
        <v>27</v>
      </c>
      <c r="B82" s="2" t="s">
        <v>839</v>
      </c>
      <c r="C82" s="64" t="s">
        <v>811</v>
      </c>
      <c r="D82" s="2" t="s">
        <v>838</v>
      </c>
      <c r="E82" s="2" t="s">
        <v>838</v>
      </c>
      <c r="F82" s="2" t="s">
        <v>122</v>
      </c>
      <c r="G82" s="2" t="s">
        <v>77</v>
      </c>
    </row>
    <row r="83" spans="1:7" x14ac:dyDescent="0.25">
      <c r="A83" s="2" t="s">
        <v>304</v>
      </c>
      <c r="B83" s="64" t="s">
        <v>824</v>
      </c>
      <c r="C83" s="64" t="s">
        <v>814</v>
      </c>
      <c r="D83" s="64" t="s">
        <v>824</v>
      </c>
      <c r="E83" s="2" t="s">
        <v>50</v>
      </c>
      <c r="F83" s="2" t="s">
        <v>305</v>
      </c>
      <c r="G83" s="2" t="s">
        <v>306</v>
      </c>
    </row>
    <row r="84" spans="1:7" x14ac:dyDescent="0.25">
      <c r="A84" s="2" t="s">
        <v>335</v>
      </c>
      <c r="B84" s="2" t="s">
        <v>845</v>
      </c>
      <c r="C84" s="64" t="s">
        <v>811</v>
      </c>
      <c r="D84" s="2" t="s">
        <v>838</v>
      </c>
      <c r="E84" s="2" t="s">
        <v>838</v>
      </c>
      <c r="F84" s="2" t="s">
        <v>191</v>
      </c>
      <c r="G84" s="2" t="s">
        <v>192</v>
      </c>
    </row>
    <row r="85" spans="1:7" s="12" customFormat="1" x14ac:dyDescent="0.25">
      <c r="A85" s="13" t="s">
        <v>2</v>
      </c>
      <c r="B85" s="13" t="s">
        <v>870</v>
      </c>
      <c r="C85" s="64" t="s">
        <v>811</v>
      </c>
      <c r="D85" s="13" t="s">
        <v>838</v>
      </c>
      <c r="E85" s="13" t="s">
        <v>838</v>
      </c>
      <c r="F85" s="13" t="s">
        <v>101</v>
      </c>
      <c r="G85" s="13" t="s">
        <v>240</v>
      </c>
    </row>
    <row r="86" spans="1:7" s="12" customFormat="1" x14ac:dyDescent="0.25">
      <c r="A86" s="13" t="s">
        <v>2</v>
      </c>
      <c r="B86" s="13" t="s">
        <v>862</v>
      </c>
      <c r="C86" s="64" t="s">
        <v>811</v>
      </c>
      <c r="D86" s="13" t="s">
        <v>838</v>
      </c>
      <c r="E86" s="13" t="s">
        <v>838</v>
      </c>
      <c r="F86" s="13" t="s">
        <v>101</v>
      </c>
      <c r="G86" s="13" t="s">
        <v>248</v>
      </c>
    </row>
    <row r="87" spans="1:7" x14ac:dyDescent="0.25">
      <c r="A87" s="2" t="s">
        <v>231</v>
      </c>
      <c r="B87" s="2" t="s">
        <v>815</v>
      </c>
      <c r="C87" s="64" t="s">
        <v>811</v>
      </c>
      <c r="D87" s="2" t="s">
        <v>838</v>
      </c>
      <c r="E87" s="2" t="s">
        <v>838</v>
      </c>
      <c r="F87" s="2" t="s">
        <v>224</v>
      </c>
      <c r="G87" s="2" t="s">
        <v>225</v>
      </c>
    </row>
    <row r="88" spans="1:7" x14ac:dyDescent="0.25">
      <c r="A88" s="16" t="s">
        <v>231</v>
      </c>
      <c r="B88" s="16" t="s">
        <v>871</v>
      </c>
      <c r="C88" s="64" t="s">
        <v>811</v>
      </c>
      <c r="D88" s="16" t="s">
        <v>838</v>
      </c>
      <c r="E88" s="27" t="s">
        <v>838</v>
      </c>
      <c r="F88" s="27" t="s">
        <v>224</v>
      </c>
      <c r="G88" s="27" t="s">
        <v>567</v>
      </c>
    </row>
    <row r="89" spans="1:7" x14ac:dyDescent="0.25">
      <c r="A89" s="13" t="s">
        <v>264</v>
      </c>
      <c r="B89" s="13" t="s">
        <v>872</v>
      </c>
      <c r="C89" s="64" t="s">
        <v>811</v>
      </c>
      <c r="D89" s="13" t="s">
        <v>838</v>
      </c>
      <c r="E89" s="13" t="s">
        <v>838</v>
      </c>
      <c r="F89" s="13" t="s">
        <v>184</v>
      </c>
      <c r="G89" s="13" t="s">
        <v>260</v>
      </c>
    </row>
    <row r="90" spans="1:7" x14ac:dyDescent="0.25">
      <c r="A90" s="13" t="s">
        <v>264</v>
      </c>
      <c r="B90" s="13" t="s">
        <v>873</v>
      </c>
      <c r="C90" s="64" t="s">
        <v>811</v>
      </c>
      <c r="D90" s="13" t="s">
        <v>838</v>
      </c>
      <c r="E90" s="13" t="s">
        <v>838</v>
      </c>
      <c r="F90" s="13" t="s">
        <v>184</v>
      </c>
      <c r="G90" s="13" t="s">
        <v>715</v>
      </c>
    </row>
    <row r="91" spans="1:7" x14ac:dyDescent="0.25">
      <c r="A91" s="2" t="s">
        <v>212</v>
      </c>
      <c r="B91" s="2" t="s">
        <v>152</v>
      </c>
      <c r="C91" s="64" t="s">
        <v>810</v>
      </c>
      <c r="D91" s="2" t="s">
        <v>152</v>
      </c>
      <c r="E91" s="2" t="s">
        <v>7</v>
      </c>
      <c r="F91" s="2" t="s">
        <v>213</v>
      </c>
      <c r="G91" s="2" t="s">
        <v>214</v>
      </c>
    </row>
    <row r="92" spans="1:7" x14ac:dyDescent="0.25">
      <c r="A92" s="2" t="s">
        <v>9</v>
      </c>
      <c r="B92" s="2" t="s">
        <v>816</v>
      </c>
      <c r="C92" s="64" t="s">
        <v>814</v>
      </c>
      <c r="D92" s="2" t="s">
        <v>816</v>
      </c>
      <c r="E92" s="2" t="s">
        <v>50</v>
      </c>
      <c r="F92" s="2" t="s">
        <v>169</v>
      </c>
      <c r="G92" s="2" t="s">
        <v>88</v>
      </c>
    </row>
    <row r="93" spans="1:7" x14ac:dyDescent="0.25">
      <c r="A93" s="2" t="s">
        <v>176</v>
      </c>
      <c r="B93" s="2" t="s">
        <v>874</v>
      </c>
      <c r="C93" s="64" t="s">
        <v>811</v>
      </c>
      <c r="D93" s="2" t="s">
        <v>838</v>
      </c>
      <c r="E93" s="2" t="s">
        <v>838</v>
      </c>
      <c r="F93" s="2" t="s">
        <v>100</v>
      </c>
      <c r="G93" s="2" t="s">
        <v>67</v>
      </c>
    </row>
    <row r="94" spans="1:7" x14ac:dyDescent="0.25">
      <c r="A94" s="2" t="s">
        <v>285</v>
      </c>
      <c r="B94" s="2" t="s">
        <v>871</v>
      </c>
      <c r="C94" s="64" t="s">
        <v>811</v>
      </c>
      <c r="D94" s="2" t="s">
        <v>838</v>
      </c>
      <c r="E94" s="2" t="s">
        <v>838</v>
      </c>
      <c r="F94" s="2" t="s">
        <v>286</v>
      </c>
      <c r="G94" s="2" t="s">
        <v>287</v>
      </c>
    </row>
    <row r="95" spans="1:7" x14ac:dyDescent="0.25">
      <c r="A95" s="2" t="s">
        <v>266</v>
      </c>
      <c r="B95" s="2" t="s">
        <v>860</v>
      </c>
      <c r="C95" s="64" t="s">
        <v>811</v>
      </c>
      <c r="D95" s="2" t="s">
        <v>838</v>
      </c>
      <c r="E95" s="2" t="s">
        <v>838</v>
      </c>
      <c r="F95" s="2" t="s">
        <v>256</v>
      </c>
      <c r="G95" s="2" t="s">
        <v>255</v>
      </c>
    </row>
    <row r="96" spans="1:7" x14ac:dyDescent="0.25">
      <c r="A96" s="2" t="s">
        <v>16</v>
      </c>
      <c r="B96" s="2" t="s">
        <v>851</v>
      </c>
      <c r="C96" s="64" t="s">
        <v>811</v>
      </c>
      <c r="D96" s="2" t="s">
        <v>838</v>
      </c>
      <c r="E96" s="2" t="s">
        <v>838</v>
      </c>
      <c r="F96" s="2" t="s">
        <v>99</v>
      </c>
      <c r="G96" s="2" t="s">
        <v>62</v>
      </c>
    </row>
    <row r="97" spans="1:7" x14ac:dyDescent="0.25">
      <c r="A97" s="2" t="s">
        <v>47</v>
      </c>
      <c r="B97" s="2" t="s">
        <v>815</v>
      </c>
      <c r="C97" s="64" t="s">
        <v>811</v>
      </c>
      <c r="D97" s="2" t="s">
        <v>838</v>
      </c>
      <c r="E97" s="2" t="s">
        <v>838</v>
      </c>
      <c r="F97" s="2" t="s">
        <v>97</v>
      </c>
      <c r="G97" s="2" t="s">
        <v>73</v>
      </c>
    </row>
    <row r="98" spans="1:7" ht="47.25" x14ac:dyDescent="0.25">
      <c r="A98" s="2" t="s">
        <v>236</v>
      </c>
      <c r="B98" s="2" t="s">
        <v>149</v>
      </c>
      <c r="C98" s="48" t="s">
        <v>809</v>
      </c>
      <c r="D98" s="2" t="s">
        <v>149</v>
      </c>
      <c r="E98" s="2" t="s">
        <v>46</v>
      </c>
      <c r="F98" s="2" t="s">
        <v>235</v>
      </c>
      <c r="G98" s="2" t="s">
        <v>234</v>
      </c>
    </row>
    <row r="99" spans="1:7" x14ac:dyDescent="0.25">
      <c r="A99" s="2" t="s">
        <v>178</v>
      </c>
      <c r="B99" s="2" t="s">
        <v>875</v>
      </c>
      <c r="C99" s="64" t="s">
        <v>811</v>
      </c>
      <c r="D99" s="2" t="s">
        <v>838</v>
      </c>
      <c r="E99" s="2" t="s">
        <v>838</v>
      </c>
      <c r="F99" s="2" t="s">
        <v>164</v>
      </c>
      <c r="G99" s="2" t="s">
        <v>165</v>
      </c>
    </row>
    <row r="100" spans="1:7" x14ac:dyDescent="0.25">
      <c r="A100" s="2" t="s">
        <v>251</v>
      </c>
      <c r="B100" s="2" t="s">
        <v>843</v>
      </c>
      <c r="C100" s="64" t="s">
        <v>811</v>
      </c>
      <c r="D100" s="2" t="s">
        <v>838</v>
      </c>
      <c r="E100" s="2" t="s">
        <v>838</v>
      </c>
      <c r="F100" s="2" t="s">
        <v>250</v>
      </c>
      <c r="G100" s="2" t="s">
        <v>249</v>
      </c>
    </row>
    <row r="101" spans="1:7" x14ac:dyDescent="0.25">
      <c r="A101" s="2" t="s">
        <v>34</v>
      </c>
      <c r="B101" s="2" t="s">
        <v>846</v>
      </c>
      <c r="C101" s="64" t="s">
        <v>811</v>
      </c>
      <c r="D101" s="2" t="s">
        <v>838</v>
      </c>
      <c r="E101" s="2" t="s">
        <v>838</v>
      </c>
      <c r="F101" s="2" t="s">
        <v>119</v>
      </c>
      <c r="G101" s="2" t="s">
        <v>75</v>
      </c>
    </row>
    <row r="102" spans="1:7" x14ac:dyDescent="0.25">
      <c r="A102" s="2" t="s">
        <v>18</v>
      </c>
      <c r="B102" s="64" t="s">
        <v>823</v>
      </c>
      <c r="C102" s="64" t="s">
        <v>823</v>
      </c>
      <c r="D102" s="64" t="s">
        <v>823</v>
      </c>
      <c r="E102" s="2" t="s">
        <v>51</v>
      </c>
      <c r="F102" s="2" t="s">
        <v>131</v>
      </c>
      <c r="G102" s="2" t="s">
        <v>69</v>
      </c>
    </row>
    <row r="103" spans="1:7" x14ac:dyDescent="0.25">
      <c r="A103" s="2" t="s">
        <v>130</v>
      </c>
      <c r="B103" s="2" t="s">
        <v>95</v>
      </c>
      <c r="C103" s="64" t="s">
        <v>95</v>
      </c>
      <c r="D103" s="2" t="s">
        <v>95</v>
      </c>
      <c r="E103" s="2" t="s">
        <v>52</v>
      </c>
      <c r="F103" s="2" t="s">
        <v>179</v>
      </c>
      <c r="G103" s="2" t="s">
        <v>180</v>
      </c>
    </row>
    <row r="104" spans="1:7" x14ac:dyDescent="0.25">
      <c r="A104" s="2" t="s">
        <v>239</v>
      </c>
      <c r="B104" s="2" t="s">
        <v>876</v>
      </c>
      <c r="C104" s="64" t="s">
        <v>811</v>
      </c>
      <c r="D104" s="2" t="s">
        <v>838</v>
      </c>
      <c r="E104" s="2" t="s">
        <v>838</v>
      </c>
      <c r="F104" s="2" t="s">
        <v>102</v>
      </c>
      <c r="G104" s="2" t="s">
        <v>84</v>
      </c>
    </row>
    <row r="105" spans="1:7" x14ac:dyDescent="0.25">
      <c r="A105" s="2" t="s">
        <v>31</v>
      </c>
      <c r="B105" s="2" t="s">
        <v>877</v>
      </c>
      <c r="C105" s="64" t="s">
        <v>811</v>
      </c>
      <c r="D105" s="2" t="s">
        <v>838</v>
      </c>
      <c r="E105" s="2" t="s">
        <v>838</v>
      </c>
      <c r="F105" s="2" t="s">
        <v>134</v>
      </c>
      <c r="G105" s="2" t="s">
        <v>135</v>
      </c>
    </row>
    <row r="106" spans="1:7" x14ac:dyDescent="0.25">
      <c r="A106" s="2" t="s">
        <v>336</v>
      </c>
      <c r="B106" s="2" t="s">
        <v>848</v>
      </c>
      <c r="C106" s="64" t="s">
        <v>811</v>
      </c>
      <c r="D106" s="2" t="s">
        <v>95</v>
      </c>
      <c r="E106" s="2" t="s">
        <v>52</v>
      </c>
      <c r="F106" s="2" t="s">
        <v>226</v>
      </c>
      <c r="G106" s="2" t="s">
        <v>227</v>
      </c>
    </row>
    <row r="107" spans="1:7" x14ac:dyDescent="0.25">
      <c r="A107" s="16" t="s">
        <v>568</v>
      </c>
      <c r="B107" s="64" t="s">
        <v>823</v>
      </c>
      <c r="C107" s="64" t="s">
        <v>823</v>
      </c>
      <c r="D107" s="64" t="s">
        <v>823</v>
      </c>
      <c r="E107" s="27" t="s">
        <v>51</v>
      </c>
      <c r="F107" s="27" t="s">
        <v>569</v>
      </c>
      <c r="G107" s="27" t="s">
        <v>570</v>
      </c>
    </row>
    <row r="108" spans="1:7" x14ac:dyDescent="0.25">
      <c r="A108" s="2" t="s">
        <v>300</v>
      </c>
      <c r="B108" s="2" t="s">
        <v>394</v>
      </c>
      <c r="C108" s="64" t="s">
        <v>811</v>
      </c>
      <c r="D108" s="2" t="s">
        <v>838</v>
      </c>
      <c r="E108" s="2" t="s">
        <v>838</v>
      </c>
      <c r="F108" s="2" t="s">
        <v>187</v>
      </c>
      <c r="G108" s="2" t="s">
        <v>188</v>
      </c>
    </row>
    <row r="109" spans="1:7" x14ac:dyDescent="0.25">
      <c r="A109" s="2" t="s">
        <v>21</v>
      </c>
      <c r="B109" s="2" t="s">
        <v>846</v>
      </c>
      <c r="C109" s="64" t="s">
        <v>811</v>
      </c>
      <c r="D109" s="2" t="s">
        <v>838</v>
      </c>
      <c r="E109" s="2" t="s">
        <v>838</v>
      </c>
      <c r="F109" s="2" t="s">
        <v>126</v>
      </c>
      <c r="G109" s="2" t="s">
        <v>175</v>
      </c>
    </row>
    <row r="110" spans="1:7" x14ac:dyDescent="0.25">
      <c r="A110" s="2" t="s">
        <v>296</v>
      </c>
      <c r="B110" s="2" t="s">
        <v>297</v>
      </c>
      <c r="C110" s="64" t="s">
        <v>810</v>
      </c>
      <c r="D110" s="2" t="s">
        <v>297</v>
      </c>
      <c r="E110" s="2" t="s">
        <v>7</v>
      </c>
      <c r="F110" s="2" t="s">
        <v>298</v>
      </c>
      <c r="G110" s="2" t="s">
        <v>299</v>
      </c>
    </row>
    <row r="111" spans="1:7" x14ac:dyDescent="0.25">
      <c r="A111" s="2" t="s">
        <v>259</v>
      </c>
      <c r="B111" s="2" t="s">
        <v>870</v>
      </c>
      <c r="C111" s="64" t="s">
        <v>811</v>
      </c>
      <c r="D111" s="2" t="s">
        <v>838</v>
      </c>
      <c r="E111" s="2" t="s">
        <v>838</v>
      </c>
      <c r="F111" s="2" t="s">
        <v>258</v>
      </c>
      <c r="G111" s="2" t="s">
        <v>257</v>
      </c>
    </row>
    <row r="112" spans="1:7" x14ac:dyDescent="0.25">
      <c r="A112" s="2" t="s">
        <v>196</v>
      </c>
      <c r="B112" s="2" t="s">
        <v>197</v>
      </c>
      <c r="C112" s="64" t="s">
        <v>810</v>
      </c>
      <c r="D112" s="2" t="s">
        <v>197</v>
      </c>
      <c r="E112" s="2" t="s">
        <v>7</v>
      </c>
      <c r="F112" s="2" t="s">
        <v>198</v>
      </c>
      <c r="G112" s="2" t="s">
        <v>199</v>
      </c>
    </row>
    <row r="113" spans="1:7" x14ac:dyDescent="0.25">
      <c r="A113" s="2" t="s">
        <v>30</v>
      </c>
      <c r="B113" s="2" t="s">
        <v>878</v>
      </c>
      <c r="C113" s="64" t="s">
        <v>811</v>
      </c>
      <c r="D113" s="2" t="s">
        <v>838</v>
      </c>
      <c r="E113" s="2" t="s">
        <v>838</v>
      </c>
    </row>
    <row r="114" spans="1:7" s="12" customFormat="1" ht="47.25" x14ac:dyDescent="0.25">
      <c r="A114" s="13" t="s">
        <v>25</v>
      </c>
      <c r="B114" s="13" t="s">
        <v>149</v>
      </c>
      <c r="C114" s="48" t="s">
        <v>809</v>
      </c>
      <c r="D114" s="13" t="s">
        <v>149</v>
      </c>
      <c r="E114" s="13" t="s">
        <v>46</v>
      </c>
      <c r="F114" s="15"/>
      <c r="G114" s="15"/>
    </row>
    <row r="115" spans="1:7" s="12" customFormat="1" x14ac:dyDescent="0.25">
      <c r="A115" s="13" t="s">
        <v>25</v>
      </c>
      <c r="B115" s="13" t="s">
        <v>829</v>
      </c>
      <c r="C115" s="64" t="s">
        <v>828</v>
      </c>
      <c r="D115" s="13" t="s">
        <v>829</v>
      </c>
      <c r="E115" s="13" t="s">
        <v>252</v>
      </c>
      <c r="F115" s="15"/>
      <c r="G115" s="15"/>
    </row>
    <row r="116" spans="1:7" s="12" customFormat="1" x14ac:dyDescent="0.25">
      <c r="A116" s="13" t="s">
        <v>25</v>
      </c>
      <c r="B116" s="13" t="s">
        <v>856</v>
      </c>
      <c r="C116" s="64" t="s">
        <v>811</v>
      </c>
      <c r="D116" s="13" t="s">
        <v>838</v>
      </c>
      <c r="E116" s="13" t="s">
        <v>838</v>
      </c>
      <c r="F116" s="13" t="s">
        <v>106</v>
      </c>
      <c r="G116" s="13" t="s">
        <v>215</v>
      </c>
    </row>
    <row r="117" spans="1:7" x14ac:dyDescent="0.25">
      <c r="A117" s="2" t="s">
        <v>272</v>
      </c>
      <c r="B117" s="2" t="s">
        <v>845</v>
      </c>
      <c r="C117" s="64" t="s">
        <v>811</v>
      </c>
      <c r="D117" s="2" t="s">
        <v>838</v>
      </c>
      <c r="E117" s="2" t="s">
        <v>838</v>
      </c>
      <c r="F117" s="2" t="s">
        <v>229</v>
      </c>
      <c r="G117" s="2" t="s">
        <v>273</v>
      </c>
    </row>
    <row r="118" spans="1:7" x14ac:dyDescent="0.25">
      <c r="A118" s="2" t="s">
        <v>265</v>
      </c>
      <c r="B118" s="2" t="s">
        <v>857</v>
      </c>
      <c r="C118" s="64" t="s">
        <v>811</v>
      </c>
      <c r="D118" s="2" t="s">
        <v>838</v>
      </c>
      <c r="E118" s="2" t="s">
        <v>838</v>
      </c>
      <c r="F118" s="2" t="s">
        <v>242</v>
      </c>
      <c r="G118" s="2" t="s">
        <v>241</v>
      </c>
    </row>
    <row r="119" spans="1:7" s="12" customFormat="1" x14ac:dyDescent="0.25">
      <c r="A119" s="13" t="s">
        <v>26</v>
      </c>
      <c r="B119" s="13" t="s">
        <v>820</v>
      </c>
      <c r="C119" s="64" t="s">
        <v>811</v>
      </c>
      <c r="D119" s="13" t="s">
        <v>838</v>
      </c>
      <c r="E119" s="13" t="s">
        <v>838</v>
      </c>
      <c r="F119" s="13" t="s">
        <v>144</v>
      </c>
      <c r="G119" s="13" t="s">
        <v>90</v>
      </c>
    </row>
    <row r="120" spans="1:7" s="12" customFormat="1" x14ac:dyDescent="0.25">
      <c r="A120" s="13" t="s">
        <v>26</v>
      </c>
      <c r="B120" s="13" t="s">
        <v>870</v>
      </c>
      <c r="C120" s="64" t="s">
        <v>811</v>
      </c>
      <c r="D120" s="13" t="s">
        <v>838</v>
      </c>
      <c r="E120" s="13" t="s">
        <v>838</v>
      </c>
      <c r="F120" s="13" t="s">
        <v>144</v>
      </c>
      <c r="G120" s="13" t="s">
        <v>160</v>
      </c>
    </row>
    <row r="121" spans="1:7" s="12" customFormat="1" x14ac:dyDescent="0.25">
      <c r="A121" s="13" t="s">
        <v>26</v>
      </c>
      <c r="B121" s="13" t="s">
        <v>853</v>
      </c>
      <c r="C121" s="64" t="s">
        <v>811</v>
      </c>
      <c r="D121" s="13" t="s">
        <v>838</v>
      </c>
      <c r="E121" s="13" t="s">
        <v>838</v>
      </c>
      <c r="F121" s="13" t="s">
        <v>144</v>
      </c>
      <c r="G121" s="13" t="s">
        <v>85</v>
      </c>
    </row>
    <row r="122" spans="1:7" x14ac:dyDescent="0.25">
      <c r="A122" s="2" t="s">
        <v>303</v>
      </c>
      <c r="B122" s="4" t="s">
        <v>368</v>
      </c>
      <c r="C122" s="64" t="s">
        <v>811</v>
      </c>
      <c r="D122" s="2" t="s">
        <v>838</v>
      </c>
      <c r="E122" s="2" t="s">
        <v>838</v>
      </c>
      <c r="F122" s="2" t="s">
        <v>136</v>
      </c>
      <c r="G122" s="2" t="s">
        <v>137</v>
      </c>
    </row>
    <row r="123" spans="1:7" x14ac:dyDescent="0.25">
      <c r="A123" s="2" t="s">
        <v>320</v>
      </c>
      <c r="B123" s="2" t="s">
        <v>827</v>
      </c>
      <c r="C123" s="64" t="s">
        <v>812</v>
      </c>
      <c r="D123" s="2" t="s">
        <v>827</v>
      </c>
      <c r="E123" s="2" t="s">
        <v>49</v>
      </c>
      <c r="F123" s="2" t="s">
        <v>321</v>
      </c>
      <c r="G123" s="2" t="s">
        <v>322</v>
      </c>
    </row>
    <row r="124" spans="1:7" x14ac:dyDescent="0.25">
      <c r="A124" s="9" t="s">
        <v>12</v>
      </c>
      <c r="B124" s="9" t="s">
        <v>879</v>
      </c>
      <c r="C124" s="64" t="s">
        <v>811</v>
      </c>
      <c r="D124" s="9" t="s">
        <v>838</v>
      </c>
      <c r="E124" t="s">
        <v>838</v>
      </c>
      <c r="F124" t="s">
        <v>118</v>
      </c>
      <c r="G124" t="s">
        <v>70</v>
      </c>
    </row>
    <row r="125" spans="1:7" x14ac:dyDescent="0.25">
      <c r="A125" s="16" t="s">
        <v>571</v>
      </c>
      <c r="B125" s="16" t="s">
        <v>826</v>
      </c>
      <c r="C125" s="64" t="s">
        <v>812</v>
      </c>
      <c r="D125" s="16" t="s">
        <v>826</v>
      </c>
      <c r="E125" s="27" t="s">
        <v>573</v>
      </c>
      <c r="F125" s="27" t="s">
        <v>574</v>
      </c>
      <c r="G125" s="27" t="s">
        <v>575</v>
      </c>
    </row>
    <row r="126" spans="1:7" x14ac:dyDescent="0.25">
      <c r="A126" s="16" t="s">
        <v>576</v>
      </c>
      <c r="B126" s="16" t="s">
        <v>870</v>
      </c>
      <c r="C126" s="64" t="s">
        <v>811</v>
      </c>
      <c r="D126" s="16" t="s">
        <v>838</v>
      </c>
      <c r="E126" s="27" t="s">
        <v>838</v>
      </c>
      <c r="F126" s="27" t="s">
        <v>577</v>
      </c>
      <c r="G126" s="27" t="s">
        <v>578</v>
      </c>
    </row>
    <row r="127" spans="1:7" x14ac:dyDescent="0.25">
      <c r="A127" s="16" t="s">
        <v>579</v>
      </c>
      <c r="B127" s="16" t="s">
        <v>843</v>
      </c>
      <c r="C127" s="64" t="s">
        <v>811</v>
      </c>
      <c r="D127" s="16" t="s">
        <v>838</v>
      </c>
      <c r="E127" s="27" t="s">
        <v>838</v>
      </c>
      <c r="F127" s="27" t="s">
        <v>580</v>
      </c>
      <c r="G127" s="27" t="s">
        <v>581</v>
      </c>
    </row>
    <row r="128" spans="1:7" ht="47.25" x14ac:dyDescent="0.25">
      <c r="A128" s="39" t="s">
        <v>755</v>
      </c>
      <c r="B128" s="39" t="s">
        <v>734</v>
      </c>
      <c r="C128" s="48" t="s">
        <v>809</v>
      </c>
      <c r="D128" s="39" t="s">
        <v>734</v>
      </c>
      <c r="E128" s="39" t="s">
        <v>711</v>
      </c>
      <c r="F128" s="39" t="s">
        <v>756</v>
      </c>
      <c r="G128" s="39" t="s">
        <v>757</v>
      </c>
    </row>
    <row r="129" spans="1:7" s="49" customFormat="1" ht="47.25" x14ac:dyDescent="0.25">
      <c r="A129" s="49" t="s">
        <v>803</v>
      </c>
      <c r="B129" s="49" t="s">
        <v>665</v>
      </c>
      <c r="C129" s="48" t="s">
        <v>809</v>
      </c>
      <c r="D129" s="49" t="s">
        <v>665</v>
      </c>
      <c r="E129" s="49" t="s">
        <v>665</v>
      </c>
      <c r="F129" s="49" t="s">
        <v>804</v>
      </c>
      <c r="G129" s="49" t="s">
        <v>805</v>
      </c>
    </row>
    <row r="130" spans="1:7" s="49" customFormat="1" x14ac:dyDescent="0.25">
      <c r="A130" s="63" t="s">
        <v>718</v>
      </c>
      <c r="B130" s="54" t="s">
        <v>863</v>
      </c>
      <c r="C130" s="64" t="s">
        <v>811</v>
      </c>
      <c r="D130" s="54" t="s">
        <v>838</v>
      </c>
      <c r="E130" s="50" t="s">
        <v>838</v>
      </c>
      <c r="F130" s="49" t="s">
        <v>720</v>
      </c>
      <c r="G130" s="49" t="s">
        <v>802</v>
      </c>
    </row>
    <row r="131" spans="1:7" s="49" customFormat="1" x14ac:dyDescent="0.25">
      <c r="A131" s="63" t="s">
        <v>797</v>
      </c>
      <c r="B131" s="63" t="s">
        <v>831</v>
      </c>
      <c r="C131" s="64" t="s">
        <v>812</v>
      </c>
      <c r="D131" s="63" t="s">
        <v>831</v>
      </c>
      <c r="E131" s="49" t="s">
        <v>799</v>
      </c>
      <c r="F131" s="49" t="s">
        <v>800</v>
      </c>
      <c r="G131" s="49" t="s">
        <v>801</v>
      </c>
    </row>
    <row r="132" spans="1:7" s="49" customFormat="1" x14ac:dyDescent="0.25">
      <c r="A132" s="54" t="s">
        <v>594</v>
      </c>
      <c r="B132" s="54" t="s">
        <v>842</v>
      </c>
      <c r="C132" s="64" t="s">
        <v>811</v>
      </c>
      <c r="D132" s="54" t="s">
        <v>838</v>
      </c>
      <c r="E132" s="50" t="s">
        <v>838</v>
      </c>
      <c r="F132" s="50" t="s">
        <v>595</v>
      </c>
      <c r="G132" s="50" t="s">
        <v>596</v>
      </c>
    </row>
    <row r="133" spans="1:7" s="49" customFormat="1" x14ac:dyDescent="0.25">
      <c r="A133" s="54" t="s">
        <v>597</v>
      </c>
      <c r="B133" s="54" t="s">
        <v>880</v>
      </c>
      <c r="C133" s="64" t="s">
        <v>811</v>
      </c>
      <c r="D133" s="54" t="s">
        <v>838</v>
      </c>
      <c r="E133" s="50" t="s">
        <v>838</v>
      </c>
      <c r="F133" s="50" t="s">
        <v>94</v>
      </c>
      <c r="G133" s="50" t="s">
        <v>599</v>
      </c>
    </row>
    <row r="134" spans="1:7" s="49" customFormat="1" x14ac:dyDescent="0.25">
      <c r="A134" s="65" t="s">
        <v>437</v>
      </c>
      <c r="B134" s="65" t="s">
        <v>368</v>
      </c>
      <c r="C134" s="64" t="s">
        <v>811</v>
      </c>
      <c r="D134" s="65" t="s">
        <v>838</v>
      </c>
      <c r="E134" s="51" t="s">
        <v>838</v>
      </c>
      <c r="F134" s="51" t="s">
        <v>438</v>
      </c>
      <c r="G134" s="50" t="s">
        <v>439</v>
      </c>
    </row>
    <row r="135" spans="1:7" s="49" customFormat="1" x14ac:dyDescent="0.25">
      <c r="A135" s="67" t="s">
        <v>437</v>
      </c>
      <c r="B135" s="67" t="s">
        <v>182</v>
      </c>
      <c r="C135" s="64" t="s">
        <v>810</v>
      </c>
      <c r="D135" s="67" t="s">
        <v>182</v>
      </c>
      <c r="E135" s="52" t="s">
        <v>7</v>
      </c>
      <c r="F135" s="52" t="s">
        <v>438</v>
      </c>
      <c r="G135" s="49" t="s">
        <v>796</v>
      </c>
    </row>
    <row r="136" spans="1:7" s="49" customFormat="1" x14ac:dyDescent="0.25">
      <c r="A136" s="54" t="s">
        <v>608</v>
      </c>
      <c r="B136" s="54" t="s">
        <v>842</v>
      </c>
      <c r="C136" s="64" t="s">
        <v>811</v>
      </c>
      <c r="D136" s="54" t="s">
        <v>838</v>
      </c>
      <c r="E136" s="37" t="s">
        <v>838</v>
      </c>
      <c r="F136" s="37" t="s">
        <v>609</v>
      </c>
      <c r="G136" s="37" t="s">
        <v>610</v>
      </c>
    </row>
    <row r="137" spans="1:7" s="49" customFormat="1" x14ac:dyDescent="0.25">
      <c r="A137" s="54" t="s">
        <v>611</v>
      </c>
      <c r="B137" s="54" t="s">
        <v>830</v>
      </c>
      <c r="C137" s="64" t="s">
        <v>828</v>
      </c>
      <c r="D137" s="54" t="s">
        <v>830</v>
      </c>
      <c r="E137" s="37" t="s">
        <v>252</v>
      </c>
      <c r="F137" s="37" t="s">
        <v>613</v>
      </c>
      <c r="G137" s="37" t="s">
        <v>614</v>
      </c>
    </row>
    <row r="138" spans="1:7" s="49" customFormat="1" x14ac:dyDescent="0.25">
      <c r="A138" s="54" t="s">
        <v>619</v>
      </c>
      <c r="B138" s="54" t="s">
        <v>881</v>
      </c>
      <c r="C138" s="64" t="s">
        <v>811</v>
      </c>
      <c r="D138" s="54" t="s">
        <v>838</v>
      </c>
      <c r="E138" s="37" t="s">
        <v>838</v>
      </c>
      <c r="F138" s="37" t="s">
        <v>621</v>
      </c>
      <c r="G138" s="37" t="s">
        <v>622</v>
      </c>
    </row>
    <row r="139" spans="1:7" s="49" customFormat="1" x14ac:dyDescent="0.25">
      <c r="A139" s="54" t="s">
        <v>579</v>
      </c>
      <c r="B139" s="54" t="s">
        <v>843</v>
      </c>
      <c r="C139" s="64" t="s">
        <v>811</v>
      </c>
      <c r="D139" s="54" t="s">
        <v>838</v>
      </c>
      <c r="E139" s="37" t="s">
        <v>838</v>
      </c>
      <c r="F139" s="37" t="s">
        <v>580</v>
      </c>
      <c r="G139" s="37" t="s">
        <v>581</v>
      </c>
    </row>
    <row r="140" spans="1:7" s="49" customFormat="1" x14ac:dyDescent="0.25">
      <c r="A140" s="54" t="s">
        <v>623</v>
      </c>
      <c r="B140" s="54" t="s">
        <v>95</v>
      </c>
      <c r="C140" s="64" t="s">
        <v>95</v>
      </c>
      <c r="D140" s="54" t="s">
        <v>95</v>
      </c>
      <c r="E140" s="54" t="s">
        <v>52</v>
      </c>
      <c r="F140" s="53" t="s">
        <v>204</v>
      </c>
      <c r="G140" s="53" t="s">
        <v>624</v>
      </c>
    </row>
    <row r="141" spans="1:7" s="49" customFormat="1" x14ac:dyDescent="0.25">
      <c r="A141" s="54" t="s">
        <v>625</v>
      </c>
      <c r="B141" s="54" t="s">
        <v>882</v>
      </c>
      <c r="C141" s="64" t="s">
        <v>811</v>
      </c>
      <c r="D141" s="54" t="s">
        <v>838</v>
      </c>
      <c r="E141" s="53" t="s">
        <v>838</v>
      </c>
      <c r="F141" s="53" t="s">
        <v>627</v>
      </c>
      <c r="G141" s="53" t="s">
        <v>628</v>
      </c>
    </row>
    <row r="142" spans="1:7" s="49" customFormat="1" x14ac:dyDescent="0.25">
      <c r="A142" s="54" t="s">
        <v>630</v>
      </c>
      <c r="B142" s="2" t="s">
        <v>825</v>
      </c>
      <c r="C142" s="64" t="s">
        <v>814</v>
      </c>
      <c r="D142" s="2" t="s">
        <v>825</v>
      </c>
      <c r="E142" s="55" t="s">
        <v>50</v>
      </c>
      <c r="F142" s="55" t="s">
        <v>631</v>
      </c>
      <c r="G142" s="55" t="s">
        <v>632</v>
      </c>
    </row>
    <row r="143" spans="1:7" s="49" customFormat="1" x14ac:dyDescent="0.25">
      <c r="A143" s="54" t="s">
        <v>112</v>
      </c>
      <c r="B143" s="54" t="s">
        <v>875</v>
      </c>
      <c r="C143" s="64" t="s">
        <v>811</v>
      </c>
      <c r="D143" s="54" t="s">
        <v>838</v>
      </c>
      <c r="E143" s="55" t="s">
        <v>838</v>
      </c>
      <c r="F143" s="55" t="s">
        <v>113</v>
      </c>
      <c r="G143" s="55" t="s">
        <v>633</v>
      </c>
    </row>
    <row r="144" spans="1:7" s="49" customFormat="1" x14ac:dyDescent="0.25">
      <c r="A144" s="56" t="s">
        <v>634</v>
      </c>
      <c r="B144" s="56" t="s">
        <v>368</v>
      </c>
      <c r="C144" s="64" t="s">
        <v>811</v>
      </c>
      <c r="D144" s="56" t="s">
        <v>838</v>
      </c>
      <c r="E144" s="56" t="s">
        <v>838</v>
      </c>
      <c r="F144" s="37" t="s">
        <v>635</v>
      </c>
      <c r="G144" s="37" t="s">
        <v>636</v>
      </c>
    </row>
    <row r="145" spans="1:7" s="49" customFormat="1" x14ac:dyDescent="0.25">
      <c r="A145" s="54" t="s">
        <v>637</v>
      </c>
      <c r="B145" s="2" t="s">
        <v>825</v>
      </c>
      <c r="C145" s="64" t="s">
        <v>814</v>
      </c>
      <c r="D145" s="2" t="s">
        <v>825</v>
      </c>
      <c r="E145" s="37" t="s">
        <v>50</v>
      </c>
      <c r="F145" s="37" t="s">
        <v>638</v>
      </c>
      <c r="G145" s="37" t="s">
        <v>639</v>
      </c>
    </row>
    <row r="146" spans="1:7" s="49" customFormat="1" x14ac:dyDescent="0.25">
      <c r="A146" s="54" t="s">
        <v>640</v>
      </c>
      <c r="B146" s="54" t="s">
        <v>641</v>
      </c>
      <c r="C146" s="64" t="s">
        <v>810</v>
      </c>
      <c r="D146" s="54" t="s">
        <v>641</v>
      </c>
      <c r="E146" s="37" t="s">
        <v>7</v>
      </c>
      <c r="F146" s="37" t="s">
        <v>642</v>
      </c>
      <c r="G146" s="37" t="s">
        <v>643</v>
      </c>
    </row>
    <row r="147" spans="1:7" s="49" customFormat="1" x14ac:dyDescent="0.25">
      <c r="A147" s="54" t="s">
        <v>644</v>
      </c>
      <c r="B147" s="56" t="s">
        <v>883</v>
      </c>
      <c r="C147" s="64" t="s">
        <v>811</v>
      </c>
      <c r="D147" s="56" t="s">
        <v>838</v>
      </c>
      <c r="E147" s="56" t="s">
        <v>838</v>
      </c>
      <c r="F147" s="37" t="s">
        <v>645</v>
      </c>
      <c r="G147" s="37" t="s">
        <v>646</v>
      </c>
    </row>
    <row r="148" spans="1:7" s="49" customFormat="1" x14ac:dyDescent="0.25">
      <c r="A148" s="54" t="s">
        <v>647</v>
      </c>
      <c r="B148" s="54" t="s">
        <v>844</v>
      </c>
      <c r="C148" s="64" t="s">
        <v>811</v>
      </c>
      <c r="D148" s="54" t="s">
        <v>838</v>
      </c>
      <c r="E148" s="37" t="s">
        <v>838</v>
      </c>
      <c r="F148" s="37" t="s">
        <v>648</v>
      </c>
      <c r="G148" s="37" t="s">
        <v>649</v>
      </c>
    </row>
    <row r="149" spans="1:7" s="49" customFormat="1" x14ac:dyDescent="0.25">
      <c r="A149" s="65" t="s">
        <v>654</v>
      </c>
      <c r="B149" s="54" t="s">
        <v>833</v>
      </c>
      <c r="C149" s="64" t="s">
        <v>812</v>
      </c>
      <c r="D149" s="54" t="s">
        <v>833</v>
      </c>
      <c r="E149" s="37" t="s">
        <v>293</v>
      </c>
      <c r="F149" s="37" t="s">
        <v>96</v>
      </c>
      <c r="G149" s="37" t="s">
        <v>656</v>
      </c>
    </row>
    <row r="150" spans="1:7" s="49" customFormat="1" x14ac:dyDescent="0.25">
      <c r="A150" s="54" t="s">
        <v>657</v>
      </c>
      <c r="B150" s="54" t="s">
        <v>881</v>
      </c>
      <c r="C150" s="64" t="s">
        <v>811</v>
      </c>
      <c r="D150" s="54" t="s">
        <v>838</v>
      </c>
      <c r="E150" s="37" t="s">
        <v>838</v>
      </c>
      <c r="F150" s="37" t="s">
        <v>658</v>
      </c>
      <c r="G150" s="37" t="s">
        <v>659</v>
      </c>
    </row>
    <row r="151" spans="1:7" s="49" customFormat="1" x14ac:dyDescent="0.25">
      <c r="A151" s="63" t="s">
        <v>660</v>
      </c>
      <c r="B151" s="64" t="s">
        <v>823</v>
      </c>
      <c r="C151" s="64" t="s">
        <v>823</v>
      </c>
      <c r="D151" s="64" t="s">
        <v>823</v>
      </c>
      <c r="E151" s="49" t="s">
        <v>51</v>
      </c>
      <c r="F151" s="49" t="s">
        <v>661</v>
      </c>
      <c r="G151" s="49" t="s">
        <v>662</v>
      </c>
    </row>
    <row r="152" spans="1:7" s="49" customFormat="1" x14ac:dyDescent="0.25">
      <c r="A152" s="54" t="s">
        <v>221</v>
      </c>
      <c r="B152" s="54" t="s">
        <v>884</v>
      </c>
      <c r="C152" s="64" t="s">
        <v>811</v>
      </c>
      <c r="D152" s="54" t="s">
        <v>838</v>
      </c>
      <c r="E152" s="37" t="s">
        <v>838</v>
      </c>
      <c r="F152" s="37" t="s">
        <v>222</v>
      </c>
      <c r="G152" s="37" t="s">
        <v>663</v>
      </c>
    </row>
    <row r="153" spans="1:7" s="49" customFormat="1" x14ac:dyDescent="0.25">
      <c r="A153" s="54" t="s">
        <v>676</v>
      </c>
      <c r="B153" s="54" t="s">
        <v>885</v>
      </c>
      <c r="C153" s="64" t="s">
        <v>811</v>
      </c>
      <c r="D153" s="54" t="s">
        <v>838</v>
      </c>
      <c r="E153" s="37" t="s">
        <v>838</v>
      </c>
      <c r="F153" s="37" t="s">
        <v>677</v>
      </c>
      <c r="G153" s="37" t="s">
        <v>678</v>
      </c>
    </row>
    <row r="154" spans="1:7" s="49" customFormat="1" x14ac:dyDescent="0.25">
      <c r="A154" s="63" t="s">
        <v>680</v>
      </c>
      <c r="B154" s="63" t="s">
        <v>837</v>
      </c>
      <c r="C154" s="64" t="s">
        <v>811</v>
      </c>
      <c r="D154" s="63" t="s">
        <v>838</v>
      </c>
      <c r="E154" s="49" t="s">
        <v>838</v>
      </c>
      <c r="F154" s="49" t="s">
        <v>681</v>
      </c>
      <c r="G154" s="49" t="s">
        <v>682</v>
      </c>
    </row>
    <row r="155" spans="1:7" s="49" customFormat="1" x14ac:dyDescent="0.25">
      <c r="A155" s="54" t="s">
        <v>683</v>
      </c>
      <c r="B155" s="54" t="s">
        <v>879</v>
      </c>
      <c r="C155" s="64" t="s">
        <v>811</v>
      </c>
      <c r="D155" s="54" t="s">
        <v>838</v>
      </c>
      <c r="E155" s="35" t="s">
        <v>838</v>
      </c>
      <c r="F155" s="35" t="s">
        <v>684</v>
      </c>
      <c r="G155" s="35" t="s">
        <v>685</v>
      </c>
    </row>
    <row r="156" spans="1:7" s="49" customFormat="1" x14ac:dyDescent="0.25">
      <c r="A156" s="54" t="s">
        <v>716</v>
      </c>
      <c r="B156" s="63" t="s">
        <v>886</v>
      </c>
      <c r="C156" s="64" t="s">
        <v>811</v>
      </c>
      <c r="D156" s="63" t="s">
        <v>838</v>
      </c>
      <c r="E156" s="49" t="s">
        <v>838</v>
      </c>
      <c r="F156" s="35" t="s">
        <v>687</v>
      </c>
      <c r="G156" s="35" t="s">
        <v>688</v>
      </c>
    </row>
    <row r="157" spans="1:7" s="49" customFormat="1" x14ac:dyDescent="0.25">
      <c r="A157" s="54" t="s">
        <v>689</v>
      </c>
      <c r="B157" s="54" t="s">
        <v>844</v>
      </c>
      <c r="C157" s="64" t="s">
        <v>811</v>
      </c>
      <c r="D157" s="54" t="s">
        <v>838</v>
      </c>
      <c r="E157" s="35" t="s">
        <v>838</v>
      </c>
      <c r="F157" s="35" t="s">
        <v>690</v>
      </c>
      <c r="G157" s="35" t="s">
        <v>691</v>
      </c>
    </row>
    <row r="158" spans="1:7" s="49" customFormat="1" x14ac:dyDescent="0.25">
      <c r="A158" s="54" t="s">
        <v>699</v>
      </c>
      <c r="B158" s="54" t="s">
        <v>387</v>
      </c>
      <c r="C158" s="64" t="s">
        <v>811</v>
      </c>
      <c r="D158" s="54" t="s">
        <v>838</v>
      </c>
      <c r="E158" s="57" t="s">
        <v>838</v>
      </c>
      <c r="F158" s="57" t="s">
        <v>700</v>
      </c>
      <c r="G158" s="57" t="s">
        <v>701</v>
      </c>
    </row>
    <row r="159" spans="1:7" s="49" customFormat="1" x14ac:dyDescent="0.25">
      <c r="A159" s="54" t="s">
        <v>702</v>
      </c>
      <c r="B159" s="54" t="s">
        <v>870</v>
      </c>
      <c r="C159" s="64" t="s">
        <v>811</v>
      </c>
      <c r="D159" s="54" t="s">
        <v>838</v>
      </c>
      <c r="E159" s="57" t="s">
        <v>838</v>
      </c>
      <c r="F159" s="57" t="s">
        <v>703</v>
      </c>
      <c r="G159" s="57" t="s">
        <v>704</v>
      </c>
    </row>
    <row r="160" spans="1:7" s="49" customFormat="1" x14ac:dyDescent="0.25">
      <c r="A160" s="54" t="s">
        <v>705</v>
      </c>
      <c r="B160" s="54" t="s">
        <v>884</v>
      </c>
      <c r="C160" s="64" t="s">
        <v>811</v>
      </c>
      <c r="D160" s="54" t="s">
        <v>838</v>
      </c>
      <c r="E160" s="57" t="s">
        <v>838</v>
      </c>
      <c r="F160" s="57" t="s">
        <v>707</v>
      </c>
      <c r="G160" s="57" t="s">
        <v>708</v>
      </c>
    </row>
    <row r="161" spans="1:7" s="49" customFormat="1" ht="47.25" x14ac:dyDescent="0.25">
      <c r="A161" s="57" t="s">
        <v>709</v>
      </c>
      <c r="B161" s="57" t="s">
        <v>710</v>
      </c>
      <c r="C161" s="48" t="s">
        <v>809</v>
      </c>
      <c r="D161" s="57" t="s">
        <v>710</v>
      </c>
      <c r="E161" s="57" t="s">
        <v>711</v>
      </c>
      <c r="F161" s="57" t="s">
        <v>712</v>
      </c>
      <c r="G161" s="57" t="s">
        <v>713</v>
      </c>
    </row>
    <row r="162" spans="1:7" s="49" customFormat="1" x14ac:dyDescent="0.25">
      <c r="A162" s="65" t="s">
        <v>718</v>
      </c>
      <c r="B162" s="65" t="s">
        <v>834</v>
      </c>
      <c r="C162" s="64" t="s">
        <v>828</v>
      </c>
      <c r="D162" s="65" t="s">
        <v>834</v>
      </c>
      <c r="E162" s="51" t="s">
        <v>252</v>
      </c>
      <c r="F162" s="37" t="s">
        <v>720</v>
      </c>
      <c r="G162" s="37" t="s">
        <v>721</v>
      </c>
    </row>
    <row r="163" spans="1:7" s="49" customFormat="1" x14ac:dyDescent="0.25">
      <c r="A163" s="54" t="s">
        <v>722</v>
      </c>
      <c r="B163" s="54" t="s">
        <v>835</v>
      </c>
      <c r="C163" s="64" t="s">
        <v>812</v>
      </c>
      <c r="D163" s="54" t="s">
        <v>835</v>
      </c>
      <c r="E163" s="37" t="s">
        <v>49</v>
      </c>
      <c r="F163" s="37" t="s">
        <v>724</v>
      </c>
      <c r="G163" s="37" t="s">
        <v>725</v>
      </c>
    </row>
    <row r="164" spans="1:7" s="49" customFormat="1" x14ac:dyDescent="0.25">
      <c r="A164" s="63" t="s">
        <v>726</v>
      </c>
      <c r="B164" s="66" t="s">
        <v>95</v>
      </c>
      <c r="C164" s="64" t="s">
        <v>95</v>
      </c>
      <c r="D164" s="66" t="s">
        <v>95</v>
      </c>
      <c r="E164" s="58" t="s">
        <v>52</v>
      </c>
      <c r="F164" s="58" t="s">
        <v>727</v>
      </c>
      <c r="G164" s="58" t="s">
        <v>728</v>
      </c>
    </row>
    <row r="165" spans="1:7" s="49" customFormat="1" x14ac:dyDescent="0.25">
      <c r="A165" s="58" t="s">
        <v>729</v>
      </c>
      <c r="B165" s="58" t="s">
        <v>730</v>
      </c>
      <c r="C165" s="58"/>
      <c r="D165" s="58" t="s">
        <v>730</v>
      </c>
      <c r="E165" s="58" t="s">
        <v>181</v>
      </c>
      <c r="F165" s="58" t="s">
        <v>731</v>
      </c>
      <c r="G165" s="58" t="s">
        <v>732</v>
      </c>
    </row>
    <row r="166" spans="1:7" s="49" customFormat="1" ht="47.25" x14ac:dyDescent="0.25">
      <c r="A166" s="58" t="s">
        <v>733</v>
      </c>
      <c r="B166" s="58" t="s">
        <v>734</v>
      </c>
      <c r="C166" s="48" t="s">
        <v>809</v>
      </c>
      <c r="D166" s="58" t="s">
        <v>734</v>
      </c>
      <c r="E166" s="58" t="s">
        <v>711</v>
      </c>
      <c r="F166" s="58" t="s">
        <v>735</v>
      </c>
      <c r="G166" s="58" t="s">
        <v>736</v>
      </c>
    </row>
    <row r="167" spans="1:7" s="49" customFormat="1" x14ac:dyDescent="0.25">
      <c r="A167" s="66" t="s">
        <v>737</v>
      </c>
      <c r="B167" s="66" t="s">
        <v>875</v>
      </c>
      <c r="C167" s="64" t="s">
        <v>811</v>
      </c>
      <c r="D167" s="66" t="s">
        <v>838</v>
      </c>
      <c r="E167" s="58" t="s">
        <v>838</v>
      </c>
      <c r="F167" s="58" t="s">
        <v>738</v>
      </c>
      <c r="G167" s="58" t="s">
        <v>739</v>
      </c>
    </row>
    <row r="168" spans="1:7" s="49" customFormat="1" x14ac:dyDescent="0.25">
      <c r="A168" s="66" t="s">
        <v>740</v>
      </c>
      <c r="B168" s="66" t="s">
        <v>836</v>
      </c>
      <c r="C168" s="64" t="s">
        <v>814</v>
      </c>
      <c r="D168" s="66" t="s">
        <v>836</v>
      </c>
      <c r="E168" s="58" t="s">
        <v>50</v>
      </c>
      <c r="F168" s="58" t="s">
        <v>742</v>
      </c>
      <c r="G168" s="58" t="s">
        <v>743</v>
      </c>
    </row>
    <row r="169" spans="1:7" s="49" customFormat="1" x14ac:dyDescent="0.25">
      <c r="A169" s="68" t="s">
        <v>744</v>
      </c>
      <c r="B169" s="68" t="s">
        <v>879</v>
      </c>
      <c r="C169" s="64" t="s">
        <v>811</v>
      </c>
      <c r="D169" s="68" t="s">
        <v>838</v>
      </c>
      <c r="E169" s="59" t="s">
        <v>838</v>
      </c>
      <c r="F169" s="58" t="s">
        <v>745</v>
      </c>
      <c r="G169" s="58" t="s">
        <v>746</v>
      </c>
    </row>
    <row r="170" spans="1:7" s="49" customFormat="1" x14ac:dyDescent="0.25">
      <c r="A170" s="68" t="s">
        <v>744</v>
      </c>
      <c r="B170" s="68" t="s">
        <v>887</v>
      </c>
      <c r="C170" s="64" t="s">
        <v>811</v>
      </c>
      <c r="D170" s="68" t="s">
        <v>838</v>
      </c>
      <c r="E170" s="60" t="s">
        <v>838</v>
      </c>
      <c r="F170" s="61" t="s">
        <v>745</v>
      </c>
      <c r="G170" s="61" t="s">
        <v>781</v>
      </c>
    </row>
    <row r="171" spans="1:7" s="49" customFormat="1" ht="47.25" x14ac:dyDescent="0.25">
      <c r="A171" s="58" t="s">
        <v>729</v>
      </c>
      <c r="B171" s="58" t="s">
        <v>181</v>
      </c>
      <c r="C171" s="48" t="s">
        <v>809</v>
      </c>
      <c r="D171" s="58" t="s">
        <v>181</v>
      </c>
      <c r="E171" s="58" t="s">
        <v>181</v>
      </c>
      <c r="F171" s="58" t="s">
        <v>731</v>
      </c>
      <c r="G171" s="58" t="s">
        <v>732</v>
      </c>
    </row>
    <row r="172" spans="1:7" s="49" customFormat="1" x14ac:dyDescent="0.25">
      <c r="A172" s="66" t="s">
        <v>747</v>
      </c>
      <c r="B172" s="66" t="s">
        <v>151</v>
      </c>
      <c r="C172" s="64" t="s">
        <v>810</v>
      </c>
      <c r="D172" s="66" t="s">
        <v>151</v>
      </c>
      <c r="E172" s="58" t="s">
        <v>7</v>
      </c>
      <c r="F172" s="58" t="s">
        <v>748</v>
      </c>
      <c r="G172" s="58" t="s">
        <v>749</v>
      </c>
    </row>
    <row r="173" spans="1:7" s="49" customFormat="1" x14ac:dyDescent="0.25">
      <c r="A173" s="66" t="s">
        <v>750</v>
      </c>
      <c r="B173" s="54" t="s">
        <v>832</v>
      </c>
      <c r="C173" s="64" t="s">
        <v>828</v>
      </c>
      <c r="D173" s="54" t="s">
        <v>832</v>
      </c>
      <c r="E173" s="37" t="s">
        <v>752</v>
      </c>
      <c r="F173" s="58" t="s">
        <v>753</v>
      </c>
      <c r="G173" s="58" t="s">
        <v>754</v>
      </c>
    </row>
    <row r="174" spans="1:7" s="49" customFormat="1" x14ac:dyDescent="0.25">
      <c r="A174" s="66" t="s">
        <v>651</v>
      </c>
      <c r="B174" s="66" t="s">
        <v>817</v>
      </c>
      <c r="C174" s="64" t="s">
        <v>812</v>
      </c>
      <c r="D174" s="66" t="s">
        <v>817</v>
      </c>
      <c r="E174" s="58" t="s">
        <v>293</v>
      </c>
      <c r="F174" s="58" t="s">
        <v>652</v>
      </c>
      <c r="G174" s="58" t="s">
        <v>653</v>
      </c>
    </row>
    <row r="175" spans="1:7" s="49" customFormat="1" x14ac:dyDescent="0.25">
      <c r="A175" s="66" t="s">
        <v>758</v>
      </c>
      <c r="B175" s="66" t="s">
        <v>827</v>
      </c>
      <c r="C175" s="64" t="s">
        <v>812</v>
      </c>
      <c r="D175" s="66" t="s">
        <v>827</v>
      </c>
      <c r="E175" s="58" t="s">
        <v>49</v>
      </c>
      <c r="F175" s="58" t="s">
        <v>759</v>
      </c>
      <c r="G175" s="58" t="s">
        <v>760</v>
      </c>
    </row>
    <row r="176" spans="1:7" s="49" customFormat="1" x14ac:dyDescent="0.25">
      <c r="A176" s="66" t="s">
        <v>773</v>
      </c>
      <c r="B176" s="66" t="s">
        <v>888</v>
      </c>
      <c r="C176" s="64" t="s">
        <v>811</v>
      </c>
      <c r="D176" s="66" t="s">
        <v>838</v>
      </c>
      <c r="E176" s="61" t="s">
        <v>838</v>
      </c>
      <c r="F176" s="61" t="s">
        <v>775</v>
      </c>
      <c r="G176" s="61" t="s">
        <v>776</v>
      </c>
    </row>
    <row r="177" spans="1:7" s="49" customFormat="1" x14ac:dyDescent="0.25">
      <c r="A177" s="63" t="s">
        <v>777</v>
      </c>
      <c r="B177" s="63" t="s">
        <v>840</v>
      </c>
      <c r="C177" s="64" t="s">
        <v>811</v>
      </c>
      <c r="D177" s="63" t="s">
        <v>838</v>
      </c>
      <c r="E177" s="49" t="s">
        <v>838</v>
      </c>
      <c r="F177" s="54" t="s">
        <v>778</v>
      </c>
      <c r="G177" s="54" t="s">
        <v>779</v>
      </c>
    </row>
    <row r="178" spans="1:7" s="49" customFormat="1" x14ac:dyDescent="0.25">
      <c r="A178" s="62" t="s">
        <v>426</v>
      </c>
      <c r="B178" s="66" t="s">
        <v>819</v>
      </c>
      <c r="C178" s="64" t="s">
        <v>811</v>
      </c>
      <c r="D178" s="66" t="s">
        <v>838</v>
      </c>
      <c r="E178" s="58" t="s">
        <v>838</v>
      </c>
      <c r="F178" s="61" t="s">
        <v>428</v>
      </c>
      <c r="G178" s="61" t="s">
        <v>429</v>
      </c>
    </row>
    <row r="179" spans="1:7" s="49" customFormat="1" x14ac:dyDescent="0.25">
      <c r="A179" s="66" t="s">
        <v>782</v>
      </c>
      <c r="B179" s="66" t="s">
        <v>879</v>
      </c>
      <c r="C179" s="64" t="s">
        <v>811</v>
      </c>
      <c r="D179" s="66" t="s">
        <v>838</v>
      </c>
      <c r="E179" s="61" t="s">
        <v>838</v>
      </c>
      <c r="F179" s="61" t="s">
        <v>783</v>
      </c>
      <c r="G179" s="61" t="s">
        <v>784</v>
      </c>
    </row>
    <row r="180" spans="1:7" s="49" customFormat="1" x14ac:dyDescent="0.25">
      <c r="A180" s="63" t="s">
        <v>790</v>
      </c>
      <c r="B180" s="63" t="s">
        <v>394</v>
      </c>
      <c r="C180" s="64" t="s">
        <v>811</v>
      </c>
      <c r="D180" s="63" t="s">
        <v>838</v>
      </c>
      <c r="E180" s="49" t="s">
        <v>838</v>
      </c>
      <c r="F180" s="49" t="s">
        <v>791</v>
      </c>
      <c r="G180" s="49" t="s">
        <v>792</v>
      </c>
    </row>
    <row r="181" spans="1:7" s="49" customFormat="1" x14ac:dyDescent="0.25">
      <c r="A181" s="63" t="s">
        <v>793</v>
      </c>
      <c r="B181" s="63" t="s">
        <v>95</v>
      </c>
      <c r="C181" s="64" t="s">
        <v>95</v>
      </c>
      <c r="D181" s="63" t="s">
        <v>95</v>
      </c>
      <c r="E181" s="49" t="s">
        <v>52</v>
      </c>
      <c r="F181" s="49" t="s">
        <v>794</v>
      </c>
      <c r="G181" s="49" t="s">
        <v>795</v>
      </c>
    </row>
  </sheetData>
  <autoFilter ref="A3:G181" xr:uid="{2B217FE2-8073-42E9-A623-46911FB084C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5BE92-BF51-41D5-A1FB-0C15ADD5A11A}">
  <sheetPr>
    <tabColor rgb="FF00B0F0"/>
  </sheetPr>
  <dimension ref="A1:O380"/>
  <sheetViews>
    <sheetView zoomScale="130" zoomScaleNormal="130" workbookViewId="0">
      <pane xSplit="3" ySplit="2" topLeftCell="D206" activePane="bottomRight" state="frozen"/>
      <selection pane="topRight" activeCell="D1" sqref="D1"/>
      <selection pane="bottomLeft" activeCell="A3" sqref="A3"/>
      <selection pane="bottomRight" activeCell="M214" sqref="M214"/>
    </sheetView>
  </sheetViews>
  <sheetFormatPr defaultRowHeight="15" x14ac:dyDescent="0.25"/>
  <cols>
    <col min="2" max="2" width="14.5703125" bestFit="1" customWidth="1"/>
    <col min="3" max="3" width="18" bestFit="1" customWidth="1"/>
    <col min="4" max="4" width="38" customWidth="1"/>
    <col min="5" max="5" width="31.28515625" style="79" hidden="1" customWidth="1"/>
    <col min="6" max="6" width="16.5703125" hidden="1" customWidth="1"/>
    <col min="7" max="7" width="28.5703125" customWidth="1"/>
    <col min="8" max="8" width="13" customWidth="1"/>
    <col min="9" max="9" width="17.7109375" bestFit="1" customWidth="1"/>
    <col min="10" max="11" width="17.7109375" hidden="1" customWidth="1"/>
    <col min="12" max="12" width="14.5703125" bestFit="1" customWidth="1"/>
    <col min="13" max="13" width="18" style="79" customWidth="1"/>
  </cols>
  <sheetData>
    <row r="1" spans="1:13" x14ac:dyDescent="0.25">
      <c r="C1">
        <v>1</v>
      </c>
      <c r="D1">
        <v>2</v>
      </c>
      <c r="E1">
        <v>3</v>
      </c>
      <c r="F1">
        <v>4</v>
      </c>
      <c r="G1">
        <v>5</v>
      </c>
      <c r="H1">
        <v>6</v>
      </c>
      <c r="I1">
        <v>7</v>
      </c>
      <c r="J1">
        <v>8</v>
      </c>
      <c r="K1">
        <v>9</v>
      </c>
      <c r="L1">
        <v>10</v>
      </c>
    </row>
    <row r="2" spans="1:13" ht="12.75" customHeight="1" x14ac:dyDescent="0.25">
      <c r="B2" s="74" t="s">
        <v>925</v>
      </c>
      <c r="C2" s="74" t="s">
        <v>926</v>
      </c>
      <c r="D2" s="74" t="s">
        <v>928</v>
      </c>
      <c r="E2" s="110" t="s">
        <v>2002</v>
      </c>
      <c r="F2" s="74" t="s">
        <v>929</v>
      </c>
      <c r="G2" s="74" t="s">
        <v>927</v>
      </c>
      <c r="H2" s="74"/>
      <c r="I2" s="74" t="s">
        <v>930</v>
      </c>
      <c r="J2" s="110" t="s">
        <v>2002</v>
      </c>
      <c r="K2" s="74"/>
      <c r="L2" s="74" t="s">
        <v>925</v>
      </c>
      <c r="M2" s="75"/>
    </row>
    <row r="3" spans="1:13" ht="17.25" customHeight="1" x14ac:dyDescent="0.25">
      <c r="A3">
        <v>1</v>
      </c>
      <c r="B3" s="8" t="s">
        <v>931</v>
      </c>
      <c r="C3" s="8" t="s">
        <v>932</v>
      </c>
      <c r="D3" s="8" t="s">
        <v>934</v>
      </c>
      <c r="E3" s="73" t="str">
        <f>VLOOKUP(C3,'[1]Sheet (2)'!$A$3:$G$5503,1,0)</f>
        <v>7.45705279090100</v>
      </c>
      <c r="F3" s="8" t="s">
        <v>935</v>
      </c>
      <c r="G3" s="8" t="s">
        <v>933</v>
      </c>
      <c r="H3" s="8"/>
      <c r="I3" s="76">
        <v>18</v>
      </c>
      <c r="J3" s="76">
        <f>VLOOKUP(C3,'[1]Sheet (2)'!$A$3:$H$5503,5,0)</f>
        <v>18</v>
      </c>
      <c r="K3" s="76">
        <f>I3-J3</f>
        <v>0</v>
      </c>
      <c r="L3" s="8" t="s">
        <v>931</v>
      </c>
      <c r="M3" s="73" t="str">
        <f t="shared" ref="M3:M66" si="0">IF(COUNTIF($C$3:$C$356, C3)&gt;1, "Trùng", "")</f>
        <v/>
      </c>
    </row>
    <row r="4" spans="1:13" ht="17.25" customHeight="1" x14ac:dyDescent="0.25">
      <c r="A4">
        <v>2</v>
      </c>
      <c r="B4" s="8" t="s">
        <v>931</v>
      </c>
      <c r="C4" s="8" t="s">
        <v>936</v>
      </c>
      <c r="D4" s="8" t="s">
        <v>938</v>
      </c>
      <c r="E4" s="73" t="str">
        <f>VLOOKUP(C4,'[1]Sheet (2)'!$A$3:$G$5503,1,0)</f>
        <v>7.131087031705H10</v>
      </c>
      <c r="F4" s="8" t="s">
        <v>939</v>
      </c>
      <c r="G4" s="8" t="s">
        <v>937</v>
      </c>
      <c r="H4" s="8"/>
      <c r="I4" s="76">
        <v>10.92</v>
      </c>
      <c r="J4" s="76">
        <f>VLOOKUP(C4,'[1]Sheet (2)'!$A$3:$H$5503,5,0)</f>
        <v>10.92</v>
      </c>
      <c r="K4" s="76">
        <f t="shared" ref="K4:K67" si="1">I4-J4</f>
        <v>0</v>
      </c>
      <c r="L4" s="8" t="s">
        <v>931</v>
      </c>
      <c r="M4" s="73" t="str">
        <f t="shared" si="0"/>
        <v/>
      </c>
    </row>
    <row r="5" spans="1:13" ht="17.25" customHeight="1" x14ac:dyDescent="0.25">
      <c r="A5">
        <v>3</v>
      </c>
      <c r="B5" s="8" t="s">
        <v>931</v>
      </c>
      <c r="C5" s="8" t="s">
        <v>940</v>
      </c>
      <c r="D5" s="8" t="s">
        <v>942</v>
      </c>
      <c r="E5" s="73" t="str">
        <f>VLOOKUP(C5,'[1]Sheet (2)'!$A$3:$G$5503,1,0)</f>
        <v>7.131087061703H10</v>
      </c>
      <c r="F5" s="8" t="s">
        <v>939</v>
      </c>
      <c r="G5" s="8" t="s">
        <v>941</v>
      </c>
      <c r="H5" s="8"/>
      <c r="I5" s="76">
        <v>18.2</v>
      </c>
      <c r="J5" s="76">
        <f>VLOOKUP(C5,'[1]Sheet (2)'!$A$3:$H$5503,5,0)</f>
        <v>18.2</v>
      </c>
      <c r="K5" s="76">
        <f t="shared" si="1"/>
        <v>0</v>
      </c>
      <c r="L5" s="8" t="s">
        <v>931</v>
      </c>
      <c r="M5" s="73" t="str">
        <f t="shared" si="0"/>
        <v/>
      </c>
    </row>
    <row r="6" spans="1:13" ht="17.25" customHeight="1" x14ac:dyDescent="0.25">
      <c r="A6">
        <v>4</v>
      </c>
      <c r="B6" s="8" t="s">
        <v>931</v>
      </c>
      <c r="C6" s="8" t="s">
        <v>943</v>
      </c>
      <c r="D6" s="8" t="s">
        <v>945</v>
      </c>
      <c r="E6" s="73" t="str">
        <f>VLOOKUP(C6,'[1]Sheet (2)'!$A$3:$G$5503,1,0)</f>
        <v>7.1070123222553050</v>
      </c>
      <c r="F6" s="8" t="s">
        <v>939</v>
      </c>
      <c r="G6" s="8" t="s">
        <v>944</v>
      </c>
      <c r="H6" s="8"/>
      <c r="I6" s="76">
        <v>9.6</v>
      </c>
      <c r="J6" s="76">
        <f>VLOOKUP(C6,'[1]Sheet (2)'!$A$3:$H$5503,5,0)</f>
        <v>9.6</v>
      </c>
      <c r="K6" s="76">
        <f t="shared" si="1"/>
        <v>0</v>
      </c>
      <c r="L6" s="8" t="s">
        <v>931</v>
      </c>
      <c r="M6" s="73" t="str">
        <f t="shared" si="0"/>
        <v/>
      </c>
    </row>
    <row r="7" spans="1:13" ht="17.25" customHeight="1" x14ac:dyDescent="0.25">
      <c r="A7">
        <v>5</v>
      </c>
      <c r="B7" s="8" t="s">
        <v>931</v>
      </c>
      <c r="C7" s="8" t="s">
        <v>946</v>
      </c>
      <c r="D7" s="8" t="s">
        <v>948</v>
      </c>
      <c r="E7" s="73" t="str">
        <f>VLOOKUP(C7,'[1]Sheet (2)'!$A$3:$G$5503,1,0)</f>
        <v>7.131078031705E10</v>
      </c>
      <c r="F7" s="8" t="s">
        <v>939</v>
      </c>
      <c r="G7" s="8" t="s">
        <v>947</v>
      </c>
      <c r="H7" s="8"/>
      <c r="I7" s="76">
        <v>10.92</v>
      </c>
      <c r="J7" s="76">
        <f>VLOOKUP(C7,'[1]Sheet (2)'!$A$3:$H$5503,5,0)</f>
        <v>10.92</v>
      </c>
      <c r="K7" s="76">
        <f t="shared" si="1"/>
        <v>0</v>
      </c>
      <c r="L7" s="8" t="s">
        <v>931</v>
      </c>
      <c r="M7" s="73" t="str">
        <f t="shared" si="0"/>
        <v/>
      </c>
    </row>
    <row r="8" spans="1:13" ht="17.25" customHeight="1" x14ac:dyDescent="0.25">
      <c r="A8">
        <v>6</v>
      </c>
      <c r="B8" s="8" t="s">
        <v>931</v>
      </c>
      <c r="C8" s="8" t="s">
        <v>949</v>
      </c>
      <c r="D8" s="8" t="s">
        <v>951</v>
      </c>
      <c r="E8" s="73" t="str">
        <f>VLOOKUP(C8,'[1]Sheet (2)'!$A$3:$G$5503,1,0)</f>
        <v>7.131009031705O90</v>
      </c>
      <c r="F8" s="8" t="s">
        <v>939</v>
      </c>
      <c r="G8" s="8" t="s">
        <v>950</v>
      </c>
      <c r="H8" s="8"/>
      <c r="I8" s="76">
        <v>10.92</v>
      </c>
      <c r="J8" s="76">
        <f>VLOOKUP(C8,'[1]Sheet (2)'!$A$3:$H$5503,5,0)</f>
        <v>10.92</v>
      </c>
      <c r="K8" s="76">
        <f t="shared" si="1"/>
        <v>0</v>
      </c>
      <c r="L8" s="8" t="s">
        <v>931</v>
      </c>
      <c r="M8" s="73" t="str">
        <f t="shared" si="0"/>
        <v/>
      </c>
    </row>
    <row r="9" spans="1:13" ht="17.25" customHeight="1" x14ac:dyDescent="0.25">
      <c r="A9">
        <v>7</v>
      </c>
      <c r="B9" s="8" t="s">
        <v>931</v>
      </c>
      <c r="C9" s="8" t="s">
        <v>952</v>
      </c>
      <c r="D9" s="8" t="s">
        <v>954</v>
      </c>
      <c r="E9" s="73" t="str">
        <f>VLOOKUP(C9,'[1]Sheet (2)'!$A$3:$G$5503,1,0)</f>
        <v>7.131009041704O90</v>
      </c>
      <c r="F9" s="8" t="s">
        <v>939</v>
      </c>
      <c r="G9" s="8" t="s">
        <v>953</v>
      </c>
      <c r="H9" s="8"/>
      <c r="I9" s="76">
        <v>10.92</v>
      </c>
      <c r="J9" s="76">
        <f>VLOOKUP(C9,'[1]Sheet (2)'!$A$3:$H$5503,5,0)</f>
        <v>10.92</v>
      </c>
      <c r="K9" s="76">
        <f t="shared" si="1"/>
        <v>0</v>
      </c>
      <c r="L9" s="8" t="s">
        <v>931</v>
      </c>
      <c r="M9" s="73" t="str">
        <f t="shared" si="0"/>
        <v/>
      </c>
    </row>
    <row r="10" spans="1:13" ht="17.25" customHeight="1" x14ac:dyDescent="0.25">
      <c r="A10">
        <v>8</v>
      </c>
      <c r="B10" s="8" t="s">
        <v>931</v>
      </c>
      <c r="C10" s="8" t="s">
        <v>955</v>
      </c>
      <c r="D10" s="8" t="s">
        <v>957</v>
      </c>
      <c r="E10" s="73" t="str">
        <f>VLOOKUP(C10,'[1]Sheet (2)'!$A$3:$G$5503,1,0)</f>
        <v>7.131103A41703P20</v>
      </c>
      <c r="F10" s="8" t="s">
        <v>939</v>
      </c>
      <c r="G10" s="8" t="s">
        <v>956</v>
      </c>
      <c r="H10" s="8"/>
      <c r="I10" s="76">
        <v>18.2</v>
      </c>
      <c r="J10" s="76">
        <f>VLOOKUP(C10,'[1]Sheet (2)'!$A$3:$H$5503,5,0)</f>
        <v>18.2</v>
      </c>
      <c r="K10" s="76">
        <f t="shared" si="1"/>
        <v>0</v>
      </c>
      <c r="L10" s="8" t="s">
        <v>931</v>
      </c>
      <c r="M10" s="73" t="str">
        <f t="shared" si="0"/>
        <v/>
      </c>
    </row>
    <row r="11" spans="1:13" ht="17.25" customHeight="1" x14ac:dyDescent="0.25">
      <c r="A11">
        <v>9</v>
      </c>
      <c r="B11" s="8" t="s">
        <v>931</v>
      </c>
      <c r="C11" s="8" t="s">
        <v>958</v>
      </c>
      <c r="D11" s="8" t="s">
        <v>960</v>
      </c>
      <c r="E11" s="73" t="str">
        <f>VLOOKUP(C11,'[1]Sheet (2)'!$A$3:$G$5503,1,0)</f>
        <v>7.131103F01703P20</v>
      </c>
      <c r="F11" s="8" t="s">
        <v>939</v>
      </c>
      <c r="G11" s="8" t="s">
        <v>959</v>
      </c>
      <c r="H11" s="8"/>
      <c r="I11" s="76">
        <v>16.38</v>
      </c>
      <c r="J11" s="76">
        <f>VLOOKUP(C11,'[1]Sheet (2)'!$A$3:$H$5503,5,0)</f>
        <v>16.38</v>
      </c>
      <c r="K11" s="76">
        <f t="shared" si="1"/>
        <v>0</v>
      </c>
      <c r="L11" s="8" t="s">
        <v>931</v>
      </c>
      <c r="M11" s="73" t="str">
        <f t="shared" si="0"/>
        <v/>
      </c>
    </row>
    <row r="12" spans="1:13" ht="17.25" customHeight="1" x14ac:dyDescent="0.25">
      <c r="A12">
        <v>10</v>
      </c>
      <c r="B12" s="8" t="s">
        <v>931</v>
      </c>
      <c r="C12" s="8" t="s">
        <v>961</v>
      </c>
      <c r="D12" s="8" t="s">
        <v>963</v>
      </c>
      <c r="E12" s="73" t="str">
        <f>VLOOKUP(C12,'[1]Sheet (2)'!$A$3:$G$5503,1,0)</f>
        <v>7.101306591201A60</v>
      </c>
      <c r="F12" s="8" t="s">
        <v>964</v>
      </c>
      <c r="G12" s="8" t="s">
        <v>962</v>
      </c>
      <c r="H12" s="8"/>
      <c r="I12" s="76">
        <v>25</v>
      </c>
      <c r="J12" s="76">
        <f>VLOOKUP(C12,'[1]Sheet (2)'!$A$3:$H$5503,5,0)</f>
        <v>25</v>
      </c>
      <c r="K12" s="76">
        <f t="shared" si="1"/>
        <v>0</v>
      </c>
      <c r="L12" s="8" t="s">
        <v>931</v>
      </c>
      <c r="M12" s="73" t="str">
        <f t="shared" si="0"/>
        <v/>
      </c>
    </row>
    <row r="13" spans="1:13" ht="17.25" customHeight="1" x14ac:dyDescent="0.25">
      <c r="A13">
        <v>11</v>
      </c>
      <c r="B13" s="8" t="s">
        <v>931</v>
      </c>
      <c r="C13" s="8" t="s">
        <v>965</v>
      </c>
      <c r="D13" s="8" t="s">
        <v>967</v>
      </c>
      <c r="E13" s="73" t="str">
        <f>VLOOKUP(C13,'[1]Sheet (2)'!$A$3:$G$5503,1,0)</f>
        <v>7.131009591201O50</v>
      </c>
      <c r="F13" s="8" t="s">
        <v>964</v>
      </c>
      <c r="G13" s="8" t="s">
        <v>966</v>
      </c>
      <c r="H13" s="8"/>
      <c r="I13" s="76">
        <v>25</v>
      </c>
      <c r="J13" s="76">
        <f>VLOOKUP(C13,'[1]Sheet (2)'!$A$3:$H$5503,5,0)</f>
        <v>25</v>
      </c>
      <c r="K13" s="76">
        <f t="shared" si="1"/>
        <v>0</v>
      </c>
      <c r="L13" s="8" t="s">
        <v>931</v>
      </c>
      <c r="M13" s="73" t="str">
        <f t="shared" si="0"/>
        <v/>
      </c>
    </row>
    <row r="14" spans="1:13" ht="17.25" customHeight="1" x14ac:dyDescent="0.25">
      <c r="A14">
        <v>12</v>
      </c>
      <c r="B14" s="8" t="s">
        <v>931</v>
      </c>
      <c r="C14" s="8" t="s">
        <v>968</v>
      </c>
      <c r="D14" s="8" t="s">
        <v>970</v>
      </c>
      <c r="E14" s="73" t="str">
        <f>VLOOKUP(C14,'[1]Sheet (2)'!$A$3:$G$5503,1,0)</f>
        <v>7.45705003010500</v>
      </c>
      <c r="F14" s="8" t="s">
        <v>939</v>
      </c>
      <c r="G14" s="8" t="s">
        <v>969</v>
      </c>
      <c r="H14" s="8"/>
      <c r="I14" s="76">
        <v>10.92</v>
      </c>
      <c r="J14" s="76">
        <f>VLOOKUP(C14,'[1]Sheet (2)'!$A$3:$H$5503,5,0)</f>
        <v>10.92</v>
      </c>
      <c r="K14" s="76">
        <f t="shared" si="1"/>
        <v>0</v>
      </c>
      <c r="L14" s="8" t="s">
        <v>931</v>
      </c>
      <c r="M14" s="73" t="str">
        <f t="shared" si="0"/>
        <v/>
      </c>
    </row>
    <row r="15" spans="1:13" ht="17.25" customHeight="1" x14ac:dyDescent="0.25">
      <c r="A15">
        <v>13</v>
      </c>
      <c r="B15" s="8" t="s">
        <v>931</v>
      </c>
      <c r="C15" s="8" t="s">
        <v>971</v>
      </c>
      <c r="D15" s="8" t="s">
        <v>973</v>
      </c>
      <c r="E15" s="73" t="str">
        <f>VLOOKUP(C15,'[1]Sheet (2)'!$A$3:$G$5503,1,0)</f>
        <v>7.458050051704000</v>
      </c>
      <c r="F15" s="8" t="s">
        <v>939</v>
      </c>
      <c r="G15" s="8" t="s">
        <v>972</v>
      </c>
      <c r="H15" s="8"/>
      <c r="I15" s="76">
        <v>10.92</v>
      </c>
      <c r="J15" s="76">
        <f>VLOOKUP(C15,'[1]Sheet (2)'!$A$3:$H$5503,5,0)</f>
        <v>10.92</v>
      </c>
      <c r="K15" s="76">
        <f t="shared" si="1"/>
        <v>0</v>
      </c>
      <c r="L15" s="8" t="s">
        <v>931</v>
      </c>
      <c r="M15" s="73" t="str">
        <f t="shared" si="0"/>
        <v/>
      </c>
    </row>
    <row r="16" spans="1:13" ht="17.25" customHeight="1" x14ac:dyDescent="0.25">
      <c r="A16">
        <v>14</v>
      </c>
      <c r="B16" s="8" t="s">
        <v>931</v>
      </c>
      <c r="C16" s="8" t="s">
        <v>974</v>
      </c>
      <c r="D16" s="8" t="s">
        <v>976</v>
      </c>
      <c r="E16" s="73" t="str">
        <f>VLOOKUP(C16,'[1]Sheet (2)'!$A$3:$G$5503,1,0)</f>
        <v>7.455051R11706010</v>
      </c>
      <c r="F16" s="8" t="s">
        <v>939</v>
      </c>
      <c r="G16" s="8" t="s">
        <v>975</v>
      </c>
      <c r="H16" s="8"/>
      <c r="I16" s="76">
        <v>2.1840000000000002</v>
      </c>
      <c r="J16" s="76">
        <f>VLOOKUP(C16,'[1]Sheet (2)'!$A$3:$H$5503,5,0)</f>
        <v>2.1840000000000002</v>
      </c>
      <c r="K16" s="76">
        <f t="shared" si="1"/>
        <v>0</v>
      </c>
      <c r="L16" s="8" t="s">
        <v>931</v>
      </c>
      <c r="M16" s="73" t="str">
        <f t="shared" si="0"/>
        <v/>
      </c>
    </row>
    <row r="17" spans="1:13" ht="17.25" customHeight="1" x14ac:dyDescent="0.25">
      <c r="A17">
        <v>15</v>
      </c>
      <c r="B17" s="8" t="s">
        <v>931</v>
      </c>
      <c r="C17" s="8" t="s">
        <v>977</v>
      </c>
      <c r="D17" s="8" t="s">
        <v>979</v>
      </c>
      <c r="E17" s="73" t="str">
        <f>VLOOKUP(C17,'[1]Sheet (2)'!$A$3:$G$5503,1,0)</f>
        <v>7.45505101010501</v>
      </c>
      <c r="F17" s="8" t="s">
        <v>939</v>
      </c>
      <c r="G17" s="8" t="s">
        <v>978</v>
      </c>
      <c r="H17" s="8"/>
      <c r="I17" s="76">
        <v>2.73</v>
      </c>
      <c r="J17" s="76">
        <f>VLOOKUP(C17,'[1]Sheet (2)'!$A$3:$H$5503,5,0)</f>
        <v>2.73</v>
      </c>
      <c r="K17" s="76">
        <f t="shared" si="1"/>
        <v>0</v>
      </c>
      <c r="L17" s="8" t="s">
        <v>931</v>
      </c>
      <c r="M17" s="73" t="str">
        <f t="shared" si="0"/>
        <v/>
      </c>
    </row>
    <row r="18" spans="1:13" ht="17.25" customHeight="1" x14ac:dyDescent="0.25">
      <c r="A18">
        <v>16</v>
      </c>
      <c r="B18" s="8" t="s">
        <v>931</v>
      </c>
      <c r="C18" s="8" t="s">
        <v>980</v>
      </c>
      <c r="D18" s="8" t="s">
        <v>982</v>
      </c>
      <c r="E18" s="73" t="str">
        <f>VLOOKUP(C18,'[1]Sheet (2)'!$A$3:$G$5503,1,0)</f>
        <v>7.1070123122552250</v>
      </c>
      <c r="F18" s="8" t="s">
        <v>939</v>
      </c>
      <c r="G18" s="8" t="s">
        <v>981</v>
      </c>
      <c r="H18" s="8"/>
      <c r="I18" s="76">
        <v>7.2</v>
      </c>
      <c r="J18" s="76">
        <f>VLOOKUP(C18,'[1]Sheet (2)'!$A$3:$H$5503,5,0)</f>
        <v>7.2</v>
      </c>
      <c r="K18" s="76">
        <f t="shared" si="1"/>
        <v>0</v>
      </c>
      <c r="L18" s="8" t="s">
        <v>931</v>
      </c>
      <c r="M18" s="73" t="str">
        <f t="shared" si="0"/>
        <v/>
      </c>
    </row>
    <row r="19" spans="1:13" ht="17.25" customHeight="1" x14ac:dyDescent="0.25">
      <c r="A19">
        <v>17</v>
      </c>
      <c r="B19" s="8" t="s">
        <v>931</v>
      </c>
      <c r="C19" s="8" t="s">
        <v>983</v>
      </c>
      <c r="D19" s="8" t="s">
        <v>985</v>
      </c>
      <c r="E19" s="73" t="str">
        <f>VLOOKUP(C19,'[1]Sheet (2)'!$A$3:$G$5503,1,0)</f>
        <v>7.1070123022552230</v>
      </c>
      <c r="F19" s="8" t="s">
        <v>939</v>
      </c>
      <c r="G19" s="8" t="s">
        <v>984</v>
      </c>
      <c r="H19" s="8"/>
      <c r="I19" s="76">
        <v>4.8</v>
      </c>
      <c r="J19" s="76">
        <f>VLOOKUP(C19,'[1]Sheet (2)'!$A$3:$H$5503,5,0)</f>
        <v>4.8</v>
      </c>
      <c r="K19" s="76">
        <f t="shared" si="1"/>
        <v>0</v>
      </c>
      <c r="L19" s="8" t="s">
        <v>931</v>
      </c>
      <c r="M19" s="73" t="str">
        <f t="shared" si="0"/>
        <v/>
      </c>
    </row>
    <row r="20" spans="1:13" ht="17.25" customHeight="1" x14ac:dyDescent="0.25">
      <c r="A20">
        <v>18</v>
      </c>
      <c r="B20" s="8" t="s">
        <v>931</v>
      </c>
      <c r="C20" s="8" t="s">
        <v>986</v>
      </c>
      <c r="D20" s="8" t="s">
        <v>988</v>
      </c>
      <c r="E20" s="73" t="str">
        <f>VLOOKUP(C20,'[1]Sheet (2)'!$A$3:$G$5503,1,0)</f>
        <v>7.45105103010500</v>
      </c>
      <c r="F20" s="8" t="s">
        <v>939</v>
      </c>
      <c r="G20" s="8" t="s">
        <v>987</v>
      </c>
      <c r="H20" s="8"/>
      <c r="I20" s="76">
        <v>10.92</v>
      </c>
      <c r="J20" s="76">
        <f>VLOOKUP(C20,'[1]Sheet (2)'!$A$3:$H$5503,5,0)</f>
        <v>10.92</v>
      </c>
      <c r="K20" s="76">
        <f t="shared" si="1"/>
        <v>0</v>
      </c>
      <c r="L20" s="8" t="s">
        <v>931</v>
      </c>
      <c r="M20" s="73" t="str">
        <f t="shared" si="0"/>
        <v/>
      </c>
    </row>
    <row r="21" spans="1:13" ht="17.25" customHeight="1" x14ac:dyDescent="0.25">
      <c r="A21">
        <v>19</v>
      </c>
      <c r="B21" s="8" t="s">
        <v>931</v>
      </c>
      <c r="C21" s="8" t="s">
        <v>989</v>
      </c>
      <c r="D21" s="8" t="s">
        <v>991</v>
      </c>
      <c r="E21" s="73" t="str">
        <f>VLOOKUP(C21,'[1]Sheet (2)'!$A$3:$G$5503,1,0)</f>
        <v>7.101071031805550</v>
      </c>
      <c r="F21" s="8" t="s">
        <v>939</v>
      </c>
      <c r="G21" s="8" t="s">
        <v>990</v>
      </c>
      <c r="H21" s="8"/>
      <c r="I21" s="76">
        <v>10.92</v>
      </c>
      <c r="J21" s="76">
        <f>VLOOKUP(C21,'[1]Sheet (2)'!$A$3:$H$5503,5,0)</f>
        <v>10.92</v>
      </c>
      <c r="K21" s="76">
        <f t="shared" si="1"/>
        <v>0</v>
      </c>
      <c r="L21" s="8" t="s">
        <v>931</v>
      </c>
      <c r="M21" s="73" t="str">
        <f t="shared" si="0"/>
        <v/>
      </c>
    </row>
    <row r="22" spans="1:13" ht="17.25" customHeight="1" x14ac:dyDescent="0.25">
      <c r="A22">
        <v>20</v>
      </c>
      <c r="B22" s="8" t="s">
        <v>931</v>
      </c>
      <c r="C22" s="8" t="s">
        <v>992</v>
      </c>
      <c r="D22" s="8" t="s">
        <v>994</v>
      </c>
      <c r="E22" s="73" t="str">
        <f>VLOOKUP(C22,'[1]Sheet (2)'!$A$3:$G$5503,1,0)</f>
        <v>7.131023011705840</v>
      </c>
      <c r="F22" s="8" t="s">
        <v>939</v>
      </c>
      <c r="G22" s="8" t="s">
        <v>993</v>
      </c>
      <c r="H22" s="8"/>
      <c r="I22" s="76">
        <v>2.73</v>
      </c>
      <c r="J22" s="76">
        <f>VLOOKUP(C22,'[1]Sheet (2)'!$A$3:$H$5503,5,0)</f>
        <v>2.73</v>
      </c>
      <c r="K22" s="76">
        <f t="shared" si="1"/>
        <v>0</v>
      </c>
      <c r="L22" s="8" t="s">
        <v>931</v>
      </c>
      <c r="M22" s="73" t="str">
        <f t="shared" si="0"/>
        <v/>
      </c>
    </row>
    <row r="23" spans="1:13" ht="17.25" customHeight="1" x14ac:dyDescent="0.25">
      <c r="A23">
        <v>21</v>
      </c>
      <c r="B23" s="8" t="s">
        <v>931</v>
      </c>
      <c r="C23" s="8" t="s">
        <v>995</v>
      </c>
      <c r="D23" s="8" t="s">
        <v>997</v>
      </c>
      <c r="E23" s="73" t="str">
        <f>VLOOKUP(C23,'[1]Sheet (2)'!$A$3:$G$5503,1,0)</f>
        <v>7.47505601010500</v>
      </c>
      <c r="F23" s="8" t="s">
        <v>939</v>
      </c>
      <c r="G23" s="8" t="s">
        <v>996</v>
      </c>
      <c r="H23" s="8"/>
      <c r="I23" s="76">
        <v>2.73</v>
      </c>
      <c r="J23" s="76">
        <f>VLOOKUP(C23,'[1]Sheet (2)'!$A$3:$H$5503,5,0)</f>
        <v>2.73</v>
      </c>
      <c r="K23" s="76">
        <f t="shared" si="1"/>
        <v>0</v>
      </c>
      <c r="L23" s="8" t="s">
        <v>931</v>
      </c>
      <c r="M23" s="73" t="str">
        <f t="shared" si="0"/>
        <v/>
      </c>
    </row>
    <row r="24" spans="1:13" ht="17.25" customHeight="1" x14ac:dyDescent="0.25">
      <c r="A24">
        <v>22</v>
      </c>
      <c r="B24" s="8" t="s">
        <v>931</v>
      </c>
      <c r="C24" s="8" t="s">
        <v>998</v>
      </c>
      <c r="D24" s="8" t="s">
        <v>1000</v>
      </c>
      <c r="E24" s="73" t="str">
        <f>VLOOKUP(C24,'[1]Sheet (2)'!$A$3:$G$5503,1,0)</f>
        <v>7.47505617010400</v>
      </c>
      <c r="F24" s="8" t="s">
        <v>939</v>
      </c>
      <c r="G24" s="8" t="s">
        <v>999</v>
      </c>
      <c r="H24" s="8"/>
      <c r="I24" s="76">
        <v>4.0949999999999998</v>
      </c>
      <c r="J24" s="76">
        <f>VLOOKUP(C24,'[1]Sheet (2)'!$A$3:$H$5503,5,0)</f>
        <v>4.0949999999999998</v>
      </c>
      <c r="K24" s="76">
        <f t="shared" si="1"/>
        <v>0</v>
      </c>
      <c r="L24" s="8" t="s">
        <v>931</v>
      </c>
      <c r="M24" s="73" t="str">
        <f t="shared" si="0"/>
        <v/>
      </c>
    </row>
    <row r="25" spans="1:13" ht="17.25" customHeight="1" x14ac:dyDescent="0.25">
      <c r="A25">
        <v>23</v>
      </c>
      <c r="B25" s="8" t="s">
        <v>931</v>
      </c>
      <c r="C25" s="8" t="s">
        <v>1001</v>
      </c>
      <c r="D25" s="8" t="s">
        <v>1003</v>
      </c>
      <c r="E25" s="73" t="str">
        <f>VLOOKUP(C25,'[1]Sheet (2)'!$A$3:$G$5503,1,0)</f>
        <v>7.107014089103300</v>
      </c>
      <c r="F25" s="77" t="s">
        <v>1004</v>
      </c>
      <c r="G25" s="8" t="s">
        <v>1002</v>
      </c>
      <c r="H25" s="8"/>
      <c r="I25" s="76">
        <v>18</v>
      </c>
      <c r="J25" s="76">
        <f>VLOOKUP(C25,'[1]Sheet (2)'!$A$3:$H$5503,5,0)</f>
        <v>18</v>
      </c>
      <c r="K25" s="76">
        <f t="shared" si="1"/>
        <v>0</v>
      </c>
      <c r="L25" s="8" t="s">
        <v>931</v>
      </c>
      <c r="M25" s="73" t="str">
        <f t="shared" si="0"/>
        <v>Trùng</v>
      </c>
    </row>
    <row r="26" spans="1:13" ht="17.25" customHeight="1" x14ac:dyDescent="0.25">
      <c r="A26">
        <v>24</v>
      </c>
      <c r="B26" s="8" t="s">
        <v>931</v>
      </c>
      <c r="C26" s="8" t="s">
        <v>1005</v>
      </c>
      <c r="D26" s="8" t="s">
        <v>1007</v>
      </c>
      <c r="E26" s="73" t="str">
        <f>VLOOKUP(C26,'[1]Sheet (2)'!$A$3:$G$5503,1,0)</f>
        <v>7.1070120892033009</v>
      </c>
      <c r="F26" s="8" t="s">
        <v>1004</v>
      </c>
      <c r="G26" s="8" t="s">
        <v>1006</v>
      </c>
      <c r="H26" s="8"/>
      <c r="I26" s="76">
        <v>18</v>
      </c>
      <c r="J26" s="76">
        <f>VLOOKUP(C26,'[1]Sheet (2)'!$A$3:$H$5503,5,0)</f>
        <v>18</v>
      </c>
      <c r="K26" s="76">
        <f t="shared" si="1"/>
        <v>0</v>
      </c>
      <c r="L26" s="8" t="s">
        <v>931</v>
      </c>
      <c r="M26" s="73" t="str">
        <f t="shared" si="0"/>
        <v/>
      </c>
    </row>
    <row r="27" spans="1:13" ht="17.25" customHeight="1" x14ac:dyDescent="0.25">
      <c r="A27">
        <v>25</v>
      </c>
      <c r="B27" s="8" t="s">
        <v>931</v>
      </c>
      <c r="C27" s="8" t="s">
        <v>1008</v>
      </c>
      <c r="D27" s="8" t="s">
        <v>1010</v>
      </c>
      <c r="E27" s="73" t="str">
        <f>VLOOKUP(C27,'[1]Sheet (2)'!$A$3:$G$5503,1,0)</f>
        <v>7.707584P53717000H</v>
      </c>
      <c r="F27" s="8" t="s">
        <v>939</v>
      </c>
      <c r="G27" s="8" t="s">
        <v>1009</v>
      </c>
      <c r="H27" s="8"/>
      <c r="I27" s="76">
        <v>12.8</v>
      </c>
      <c r="J27" s="76">
        <f>VLOOKUP(C27,'[1]Sheet (2)'!$A$3:$H$5503,5,0)</f>
        <v>12.8</v>
      </c>
      <c r="K27" s="76">
        <f t="shared" si="1"/>
        <v>0</v>
      </c>
      <c r="L27" s="8" t="s">
        <v>931</v>
      </c>
      <c r="M27" s="73" t="str">
        <f t="shared" si="0"/>
        <v/>
      </c>
    </row>
    <row r="28" spans="1:13" ht="17.25" customHeight="1" x14ac:dyDescent="0.25">
      <c r="A28">
        <v>26</v>
      </c>
      <c r="B28" s="8" t="s">
        <v>931</v>
      </c>
      <c r="C28" s="8" t="s">
        <v>1011</v>
      </c>
      <c r="D28" s="8" t="s">
        <v>1013</v>
      </c>
      <c r="E28" s="73" t="str">
        <f>VLOOKUP(C28,'[1]Sheet (2)'!$A$3:$G$5503,1,0)</f>
        <v>7.707586652817000H</v>
      </c>
      <c r="F28" s="8" t="s">
        <v>939</v>
      </c>
      <c r="G28" s="8" t="s">
        <v>1012</v>
      </c>
      <c r="H28" s="8"/>
      <c r="I28" s="76">
        <v>14</v>
      </c>
      <c r="J28" s="76">
        <f>VLOOKUP(C28,'[1]Sheet (2)'!$A$3:$H$5503,5,0)</f>
        <v>14</v>
      </c>
      <c r="K28" s="76">
        <f t="shared" si="1"/>
        <v>0</v>
      </c>
      <c r="L28" s="8" t="s">
        <v>931</v>
      </c>
      <c r="M28" s="73" t="str">
        <f t="shared" si="0"/>
        <v/>
      </c>
    </row>
    <row r="29" spans="1:13" ht="17.25" customHeight="1" x14ac:dyDescent="0.25">
      <c r="A29">
        <v>27</v>
      </c>
      <c r="B29" s="8" t="s">
        <v>931</v>
      </c>
      <c r="C29" s="8" t="s">
        <v>1014</v>
      </c>
      <c r="D29" s="8" t="s">
        <v>1016</v>
      </c>
      <c r="E29" s="73" t="str">
        <f>VLOOKUP(C29,'[1]Sheet (2)'!$A$3:$G$5503,1,0)</f>
        <v>7.707662N328170001</v>
      </c>
      <c r="F29" s="8" t="s">
        <v>939</v>
      </c>
      <c r="G29" s="8" t="s">
        <v>1015</v>
      </c>
      <c r="H29" s="8"/>
      <c r="I29" s="76">
        <v>14</v>
      </c>
      <c r="J29" s="76">
        <f>VLOOKUP(C29,'[1]Sheet (2)'!$A$3:$H$5503,5,0)</f>
        <v>14</v>
      </c>
      <c r="K29" s="76">
        <f t="shared" si="1"/>
        <v>0</v>
      </c>
      <c r="L29" s="8" t="s">
        <v>931</v>
      </c>
      <c r="M29" s="73" t="str">
        <f t="shared" si="0"/>
        <v/>
      </c>
    </row>
    <row r="30" spans="1:13" ht="17.25" customHeight="1" x14ac:dyDescent="0.25">
      <c r="A30">
        <v>28</v>
      </c>
      <c r="B30" s="8" t="s">
        <v>931</v>
      </c>
      <c r="C30" s="8" t="s">
        <v>1017</v>
      </c>
      <c r="D30" s="8" t="s">
        <v>1019</v>
      </c>
      <c r="E30" s="73" t="str">
        <f>VLOOKUP(C30,'[1]Sheet (2)'!$A$3:$G$5503,1,0)</f>
        <v>7.707662N528170000</v>
      </c>
      <c r="F30" s="8" t="s">
        <v>1020</v>
      </c>
      <c r="G30" s="8" t="s">
        <v>1018</v>
      </c>
      <c r="H30" s="8"/>
      <c r="I30" s="76">
        <v>9</v>
      </c>
      <c r="J30" s="76">
        <f>VLOOKUP(C30,'[1]Sheet (2)'!$A$3:$H$5503,5,0)</f>
        <v>9</v>
      </c>
      <c r="K30" s="76">
        <f t="shared" si="1"/>
        <v>0</v>
      </c>
      <c r="L30" s="8" t="s">
        <v>931</v>
      </c>
      <c r="M30" s="73" t="str">
        <f t="shared" si="0"/>
        <v/>
      </c>
    </row>
    <row r="31" spans="1:13" ht="17.25" customHeight="1" x14ac:dyDescent="0.25">
      <c r="A31">
        <v>29</v>
      </c>
      <c r="B31" s="8" t="s">
        <v>931</v>
      </c>
      <c r="C31" s="8" t="s">
        <v>1021</v>
      </c>
      <c r="D31" s="8" t="s">
        <v>1023</v>
      </c>
      <c r="E31" s="73" t="str">
        <f>VLOOKUP(C31,'[1]Sheet (2)'!$A$3:$G$5503,1,0)</f>
        <v>7.707711E92817000N</v>
      </c>
      <c r="F31" s="8" t="s">
        <v>939</v>
      </c>
      <c r="G31" s="8" t="s">
        <v>1022</v>
      </c>
      <c r="H31" s="8"/>
      <c r="I31" s="76">
        <v>12</v>
      </c>
      <c r="J31" s="76">
        <f>VLOOKUP(C31,'[1]Sheet (2)'!$A$3:$H$5503,5,0)</f>
        <v>12</v>
      </c>
      <c r="K31" s="76">
        <f t="shared" si="1"/>
        <v>0</v>
      </c>
      <c r="L31" s="8" t="s">
        <v>931</v>
      </c>
      <c r="M31" s="73" t="str">
        <f t="shared" si="0"/>
        <v/>
      </c>
    </row>
    <row r="32" spans="1:13" ht="17.25" customHeight="1" x14ac:dyDescent="0.25">
      <c r="A32">
        <v>30</v>
      </c>
      <c r="B32" s="8" t="s">
        <v>931</v>
      </c>
      <c r="C32" s="8" t="s">
        <v>1024</v>
      </c>
      <c r="D32" s="8" t="s">
        <v>1026</v>
      </c>
      <c r="E32" s="73" t="str">
        <f>VLOOKUP(C32,'[1]Sheet (2)'!$A$3:$G$5503,1,0)</f>
        <v>7.707711962817000H</v>
      </c>
      <c r="F32" s="8" t="s">
        <v>939</v>
      </c>
      <c r="G32" s="8" t="s">
        <v>1025</v>
      </c>
      <c r="H32" s="8"/>
      <c r="I32" s="76">
        <v>12</v>
      </c>
      <c r="J32" s="76">
        <f>VLOOKUP(C32,'[1]Sheet (2)'!$A$3:$H$5503,5,0)</f>
        <v>12</v>
      </c>
      <c r="K32" s="76">
        <f t="shared" si="1"/>
        <v>0</v>
      </c>
      <c r="L32" s="8" t="s">
        <v>931</v>
      </c>
      <c r="M32" s="73" t="str">
        <f t="shared" si="0"/>
        <v/>
      </c>
    </row>
    <row r="33" spans="1:13" ht="17.25" customHeight="1" x14ac:dyDescent="0.25">
      <c r="A33">
        <v>31</v>
      </c>
      <c r="B33" s="8" t="s">
        <v>931</v>
      </c>
      <c r="C33" s="8" t="s">
        <v>1027</v>
      </c>
      <c r="D33" s="8" t="s">
        <v>1029</v>
      </c>
      <c r="E33" s="73" t="str">
        <f>VLOOKUP(C33,'[1]Sheet (2)'!$A$3:$G$5503,1,0)</f>
        <v>7.707591M328170002</v>
      </c>
      <c r="F33" s="8" t="s">
        <v>939</v>
      </c>
      <c r="G33" s="8" t="s">
        <v>1028</v>
      </c>
      <c r="H33" s="8"/>
      <c r="I33" s="76">
        <v>11.555999999999999</v>
      </c>
      <c r="J33" s="76">
        <f>VLOOKUP(C33,'[1]Sheet (2)'!$A$3:$H$5503,5,0)</f>
        <v>11.555999999999999</v>
      </c>
      <c r="K33" s="76">
        <f t="shared" si="1"/>
        <v>0</v>
      </c>
      <c r="L33" s="8" t="s">
        <v>931</v>
      </c>
      <c r="M33" s="73" t="str">
        <f t="shared" si="0"/>
        <v/>
      </c>
    </row>
    <row r="34" spans="1:13" ht="17.25" customHeight="1" x14ac:dyDescent="0.25">
      <c r="A34">
        <v>32</v>
      </c>
      <c r="B34" s="8" t="s">
        <v>931</v>
      </c>
      <c r="C34" s="8" t="s">
        <v>1030</v>
      </c>
      <c r="D34" s="8" t="s">
        <v>1032</v>
      </c>
      <c r="E34" s="73" t="str">
        <f>VLOOKUP(C34,'[1]Sheet (2)'!$A$3:$G$5503,1,0)</f>
        <v>7.707663652817000H</v>
      </c>
      <c r="F34" s="8" t="s">
        <v>939</v>
      </c>
      <c r="G34" s="8" t="s">
        <v>1031</v>
      </c>
      <c r="H34" s="8"/>
      <c r="I34" s="76">
        <v>14</v>
      </c>
      <c r="J34" s="76">
        <f>VLOOKUP(C34,'[1]Sheet (2)'!$A$3:$H$5503,5,0)</f>
        <v>14</v>
      </c>
      <c r="K34" s="76">
        <f t="shared" si="1"/>
        <v>0</v>
      </c>
      <c r="L34" s="8" t="s">
        <v>931</v>
      </c>
      <c r="M34" s="73" t="str">
        <f t="shared" si="0"/>
        <v/>
      </c>
    </row>
    <row r="35" spans="1:13" ht="17.25" customHeight="1" x14ac:dyDescent="0.25">
      <c r="A35">
        <v>33</v>
      </c>
      <c r="B35" s="8" t="s">
        <v>931</v>
      </c>
      <c r="C35" s="8" t="s">
        <v>1033</v>
      </c>
      <c r="D35" s="8" t="s">
        <v>1035</v>
      </c>
      <c r="E35" s="73" t="str">
        <f>VLOOKUP(C35,'[1]Sheet (2)'!$A$3:$G$5503,1,0)</f>
        <v>7.707664P53717000H</v>
      </c>
      <c r="F35" s="8" t="s">
        <v>939</v>
      </c>
      <c r="G35" s="8" t="s">
        <v>1034</v>
      </c>
      <c r="H35" s="8"/>
      <c r="I35" s="76">
        <v>12.8</v>
      </c>
      <c r="J35" s="76">
        <f>VLOOKUP(C35,'[1]Sheet (2)'!$A$3:$H$5503,5,0)</f>
        <v>12.8</v>
      </c>
      <c r="K35" s="76">
        <f t="shared" si="1"/>
        <v>0</v>
      </c>
      <c r="L35" s="8" t="s">
        <v>931</v>
      </c>
      <c r="M35" s="73" t="str">
        <f t="shared" si="0"/>
        <v/>
      </c>
    </row>
    <row r="36" spans="1:13" ht="17.25" customHeight="1" x14ac:dyDescent="0.25">
      <c r="A36">
        <v>34</v>
      </c>
      <c r="B36" s="8" t="s">
        <v>931</v>
      </c>
      <c r="C36" s="8" t="s">
        <v>1036</v>
      </c>
      <c r="D36" s="8" t="s">
        <v>1038</v>
      </c>
      <c r="E36" s="73" t="str">
        <f>VLOOKUP(C36,'[1]Sheet (2)'!$A$3:$G$5503,1,0)</f>
        <v>7.704228N528170019</v>
      </c>
      <c r="F36" s="8" t="s">
        <v>939</v>
      </c>
      <c r="G36" s="8" t="s">
        <v>1037</v>
      </c>
      <c r="H36" s="8"/>
      <c r="I36" s="76">
        <v>18</v>
      </c>
      <c r="J36" s="76">
        <f>VLOOKUP(C36,'[1]Sheet (2)'!$A$3:$H$5503,5,0)</f>
        <v>18</v>
      </c>
      <c r="K36" s="76">
        <f t="shared" si="1"/>
        <v>0</v>
      </c>
      <c r="L36" s="8" t="s">
        <v>931</v>
      </c>
      <c r="M36" s="73" t="str">
        <f t="shared" si="0"/>
        <v/>
      </c>
    </row>
    <row r="37" spans="1:13" ht="17.25" customHeight="1" x14ac:dyDescent="0.25">
      <c r="A37">
        <v>35</v>
      </c>
      <c r="B37" s="8" t="s">
        <v>931</v>
      </c>
      <c r="C37" s="8" t="s">
        <v>1039</v>
      </c>
      <c r="D37" s="8" t="s">
        <v>1041</v>
      </c>
      <c r="E37" s="73" t="str">
        <f>VLOOKUP(C37,'[1]Sheet (2)'!$A$3:$G$5503,1,0)</f>
        <v>7.704229P53717000H</v>
      </c>
      <c r="F37" s="8" t="s">
        <v>939</v>
      </c>
      <c r="G37" s="8" t="s">
        <v>1040</v>
      </c>
      <c r="H37" s="8"/>
      <c r="I37" s="76">
        <v>12.8</v>
      </c>
      <c r="J37" s="76">
        <f>VLOOKUP(C37,'[1]Sheet (2)'!$A$3:$H$5503,5,0)</f>
        <v>12.8</v>
      </c>
      <c r="K37" s="76">
        <f t="shared" si="1"/>
        <v>0</v>
      </c>
      <c r="L37" s="8" t="s">
        <v>931</v>
      </c>
      <c r="M37" s="73" t="str">
        <f t="shared" si="0"/>
        <v/>
      </c>
    </row>
    <row r="38" spans="1:13" ht="17.25" customHeight="1" x14ac:dyDescent="0.25">
      <c r="A38">
        <v>36</v>
      </c>
      <c r="B38" s="8" t="s">
        <v>931</v>
      </c>
      <c r="C38" s="8" t="s">
        <v>1042</v>
      </c>
      <c r="D38" s="8" t="s">
        <v>1044</v>
      </c>
      <c r="E38" s="73" t="str">
        <f>VLOOKUP(C38,'[1]Sheet (2)'!$A$3:$G$5503,1,0)</f>
        <v>7.704229P42817000H</v>
      </c>
      <c r="F38" s="8" t="s">
        <v>939</v>
      </c>
      <c r="G38" s="8" t="s">
        <v>1043</v>
      </c>
      <c r="H38" s="8"/>
      <c r="I38" s="76">
        <v>13.6</v>
      </c>
      <c r="J38" s="76">
        <f>VLOOKUP(C38,'[1]Sheet (2)'!$A$3:$H$5503,5,0)</f>
        <v>13.6</v>
      </c>
      <c r="K38" s="76">
        <f t="shared" si="1"/>
        <v>0</v>
      </c>
      <c r="L38" s="8" t="s">
        <v>931</v>
      </c>
      <c r="M38" s="73" t="str">
        <f t="shared" si="0"/>
        <v/>
      </c>
    </row>
    <row r="39" spans="1:13" ht="17.25" customHeight="1" x14ac:dyDescent="0.25">
      <c r="A39">
        <v>37</v>
      </c>
      <c r="B39" s="8" t="s">
        <v>931</v>
      </c>
      <c r="C39" s="8" t="s">
        <v>1045</v>
      </c>
      <c r="D39" s="8" t="s">
        <v>1047</v>
      </c>
      <c r="E39" s="73" t="str">
        <f>VLOOKUP(C39,'[1]Sheet (2)'!$A$3:$G$5503,1,0)</f>
        <v>7.704233Q83717001I</v>
      </c>
      <c r="F39" s="8" t="s">
        <v>939</v>
      </c>
      <c r="G39" s="8" t="s">
        <v>1046</v>
      </c>
      <c r="H39" s="8"/>
      <c r="I39" s="76">
        <v>15.9</v>
      </c>
      <c r="J39" s="76">
        <f>VLOOKUP(C39,'[1]Sheet (2)'!$A$3:$H$5503,5,0)</f>
        <v>15.9</v>
      </c>
      <c r="K39" s="76">
        <f t="shared" si="1"/>
        <v>0</v>
      </c>
      <c r="L39" s="8" t="s">
        <v>931</v>
      </c>
      <c r="M39" s="73" t="str">
        <f t="shared" si="0"/>
        <v/>
      </c>
    </row>
    <row r="40" spans="1:13" ht="17.25" customHeight="1" x14ac:dyDescent="0.25">
      <c r="A40">
        <v>38</v>
      </c>
      <c r="B40" s="8" t="s">
        <v>931</v>
      </c>
      <c r="C40" s="8" t="s">
        <v>1048</v>
      </c>
      <c r="D40" s="8" t="s">
        <v>1050</v>
      </c>
      <c r="E40" s="73" t="str">
        <f>VLOOKUP(C40,'[1]Sheet (2)'!$A$3:$G$5503,1,0)</f>
        <v>7.704235R73717001M</v>
      </c>
      <c r="F40" s="8" t="s">
        <v>1051</v>
      </c>
      <c r="G40" s="8" t="s">
        <v>1049</v>
      </c>
      <c r="H40" s="8"/>
      <c r="I40" s="76">
        <v>15.3</v>
      </c>
      <c r="J40" s="76">
        <f>VLOOKUP(C40,'[1]Sheet (2)'!$A$3:$H$5503,5,0)</f>
        <v>15.3</v>
      </c>
      <c r="K40" s="76">
        <f t="shared" si="1"/>
        <v>0</v>
      </c>
      <c r="L40" s="8" t="s">
        <v>931</v>
      </c>
      <c r="M40" s="73" t="str">
        <f t="shared" si="0"/>
        <v/>
      </c>
    </row>
    <row r="41" spans="1:13" ht="17.25" customHeight="1" x14ac:dyDescent="0.25">
      <c r="A41">
        <v>39</v>
      </c>
      <c r="B41" s="8" t="s">
        <v>931</v>
      </c>
      <c r="C41" s="8" t="s">
        <v>1052</v>
      </c>
      <c r="D41" s="8" t="s">
        <v>1054</v>
      </c>
      <c r="E41" s="73" t="str">
        <f>VLOOKUP(C41,'[1]Sheet (2)'!$A$3:$G$5503,1,0)</f>
        <v>7.10108957090102</v>
      </c>
      <c r="F41" s="8" t="s">
        <v>939</v>
      </c>
      <c r="G41" s="8" t="s">
        <v>1053</v>
      </c>
      <c r="H41" s="8"/>
      <c r="I41" s="76">
        <v>18</v>
      </c>
      <c r="J41" s="76">
        <f>VLOOKUP(C41,'[1]Sheet (2)'!$A$3:$H$5503,5,0)</f>
        <v>18</v>
      </c>
      <c r="K41" s="76">
        <f t="shared" si="1"/>
        <v>0</v>
      </c>
      <c r="L41" s="8" t="s">
        <v>931</v>
      </c>
      <c r="M41" s="73" t="str">
        <f t="shared" si="0"/>
        <v/>
      </c>
    </row>
    <row r="42" spans="1:13" ht="17.25" customHeight="1" x14ac:dyDescent="0.25">
      <c r="A42">
        <v>40</v>
      </c>
      <c r="B42" s="8" t="s">
        <v>931</v>
      </c>
      <c r="C42" s="8" t="s">
        <v>1055</v>
      </c>
      <c r="D42" s="8" t="s">
        <v>1057</v>
      </c>
      <c r="E42" s="73" t="str">
        <f>VLOOKUP(C42,'[1]Sheet (2)'!$A$3:$G$5503,1,0)</f>
        <v>7.707662N32817000K</v>
      </c>
      <c r="F42" s="8" t="s">
        <v>939</v>
      </c>
      <c r="G42" s="8" t="s">
        <v>1056</v>
      </c>
      <c r="H42" s="8"/>
      <c r="I42" s="76">
        <v>11.2</v>
      </c>
      <c r="J42" s="76">
        <f>VLOOKUP(C42,'[1]Sheet (2)'!$A$3:$H$5503,5,0)</f>
        <v>11.2</v>
      </c>
      <c r="K42" s="76">
        <f t="shared" si="1"/>
        <v>0</v>
      </c>
      <c r="L42" s="8" t="s">
        <v>931</v>
      </c>
      <c r="M42" s="73" t="str">
        <f t="shared" si="0"/>
        <v/>
      </c>
    </row>
    <row r="43" spans="1:13" ht="17.25" customHeight="1" x14ac:dyDescent="0.25">
      <c r="A43">
        <v>41</v>
      </c>
      <c r="B43" s="8" t="s">
        <v>931</v>
      </c>
      <c r="C43" s="111" t="s">
        <v>1058</v>
      </c>
      <c r="D43" s="111" t="s">
        <v>1060</v>
      </c>
      <c r="E43" s="73" t="str">
        <f>VLOOKUP(C43,'[1]Sheet (2)'!$A$3:$G$5503,1,0)</f>
        <v>7.1070140214008010</v>
      </c>
      <c r="F43" s="8" t="s">
        <v>935</v>
      </c>
      <c r="G43" s="8" t="s">
        <v>1059</v>
      </c>
      <c r="H43" s="8"/>
      <c r="I43" s="76">
        <v>20</v>
      </c>
      <c r="J43" s="76">
        <f>VLOOKUP(C43,'[1]Sheet (2)'!$A$3:$H$5503,5,0)</f>
        <v>20</v>
      </c>
      <c r="K43" s="76">
        <f t="shared" si="1"/>
        <v>0</v>
      </c>
      <c r="L43" s="8" t="s">
        <v>931</v>
      </c>
      <c r="M43" s="73" t="str">
        <f t="shared" si="0"/>
        <v/>
      </c>
    </row>
    <row r="44" spans="1:13" ht="17.25" customHeight="1" x14ac:dyDescent="0.25">
      <c r="A44">
        <v>42</v>
      </c>
      <c r="B44" s="8" t="s">
        <v>931</v>
      </c>
      <c r="C44" s="8" t="s">
        <v>1061</v>
      </c>
      <c r="D44" s="8" t="s">
        <v>1063</v>
      </c>
      <c r="E44" s="73" t="str">
        <f>VLOOKUP(C44,'[1]Sheet (2)'!$A$3:$G$5503,1,0)</f>
        <v>7.10408930480801</v>
      </c>
      <c r="F44" s="8" t="s">
        <v>935</v>
      </c>
      <c r="G44" s="8" t="s">
        <v>1062</v>
      </c>
      <c r="H44" s="8"/>
      <c r="I44" s="76">
        <v>25</v>
      </c>
      <c r="J44" s="76">
        <f>VLOOKUP(C44,'[1]Sheet (2)'!$A$3:$H$5503,5,0)</f>
        <v>25</v>
      </c>
      <c r="K44" s="76">
        <f t="shared" si="1"/>
        <v>0</v>
      </c>
      <c r="L44" s="8" t="s">
        <v>931</v>
      </c>
      <c r="M44" s="73" t="str">
        <f t="shared" si="0"/>
        <v/>
      </c>
    </row>
    <row r="45" spans="1:13" ht="17.25" customHeight="1" x14ac:dyDescent="0.25">
      <c r="A45">
        <v>43</v>
      </c>
      <c r="B45" s="8" t="s">
        <v>931</v>
      </c>
      <c r="C45" s="8" t="s">
        <v>1064</v>
      </c>
      <c r="D45" s="8" t="s">
        <v>1066</v>
      </c>
      <c r="E45" s="73" t="str">
        <f>VLOOKUP(C45,'[1]Sheet (2)'!$A$3:$G$5503,1,0)</f>
        <v>7.704228P53717000H</v>
      </c>
      <c r="F45" s="8" t="s">
        <v>939</v>
      </c>
      <c r="G45" s="8" t="s">
        <v>1065</v>
      </c>
      <c r="H45" s="8"/>
      <c r="I45" s="76">
        <v>12.8</v>
      </c>
      <c r="J45" s="76">
        <f>VLOOKUP(C45,'[1]Sheet (2)'!$A$3:$H$5503,5,0)</f>
        <v>12.8</v>
      </c>
      <c r="K45" s="76">
        <f t="shared" si="1"/>
        <v>0</v>
      </c>
      <c r="L45" s="8" t="s">
        <v>931</v>
      </c>
      <c r="M45" s="73" t="str">
        <f t="shared" si="0"/>
        <v/>
      </c>
    </row>
    <row r="46" spans="1:13" ht="17.25" customHeight="1" x14ac:dyDescent="0.25">
      <c r="A46">
        <v>44</v>
      </c>
      <c r="B46" s="8" t="s">
        <v>931</v>
      </c>
      <c r="C46" s="8" t="s">
        <v>1067</v>
      </c>
      <c r="D46" s="8" t="s">
        <v>1069</v>
      </c>
      <c r="E46" s="73" t="str">
        <f>VLOOKUP(C46,'[1]Sheet (2)'!$A$3:$G$5503,1,0)</f>
        <v>7.131078061703E10</v>
      </c>
      <c r="F46" s="8" t="s">
        <v>939</v>
      </c>
      <c r="G46" s="8" t="s">
        <v>1068</v>
      </c>
      <c r="H46" s="8"/>
      <c r="I46" s="76">
        <v>18.2</v>
      </c>
      <c r="J46" s="76">
        <f>VLOOKUP(C46,'[1]Sheet (2)'!$A$3:$H$5503,5,0)</f>
        <v>18.2</v>
      </c>
      <c r="K46" s="76">
        <f t="shared" si="1"/>
        <v>0</v>
      </c>
      <c r="L46" s="8" t="s">
        <v>931</v>
      </c>
      <c r="M46" s="73" t="str">
        <f t="shared" si="0"/>
        <v/>
      </c>
    </row>
    <row r="47" spans="1:13" ht="17.25" customHeight="1" x14ac:dyDescent="0.25">
      <c r="A47">
        <v>45</v>
      </c>
      <c r="B47" s="8" t="s">
        <v>931</v>
      </c>
      <c r="C47" s="8" t="s">
        <v>1070</v>
      </c>
      <c r="D47" s="8" t="s">
        <v>1072</v>
      </c>
      <c r="E47" s="73" t="str">
        <f>VLOOKUP(C47,'[1]Sheet (2)'!$A$3:$G$5503,1,0)</f>
        <v>7.131009121706O90</v>
      </c>
      <c r="F47" s="8" t="s">
        <v>939</v>
      </c>
      <c r="G47" s="8" t="s">
        <v>1071</v>
      </c>
      <c r="H47" s="8"/>
      <c r="I47" s="76">
        <v>8.7360000000000007</v>
      </c>
      <c r="J47" s="76">
        <f>VLOOKUP(C47,'[1]Sheet (2)'!$A$3:$H$5503,5,0)</f>
        <v>8.7360000000000007</v>
      </c>
      <c r="K47" s="76">
        <f t="shared" si="1"/>
        <v>0</v>
      </c>
      <c r="L47" s="8" t="s">
        <v>931</v>
      </c>
      <c r="M47" s="73" t="str">
        <f t="shared" si="0"/>
        <v/>
      </c>
    </row>
    <row r="48" spans="1:13" ht="17.25" customHeight="1" x14ac:dyDescent="0.25">
      <c r="A48">
        <v>46</v>
      </c>
      <c r="B48" s="8" t="s">
        <v>931</v>
      </c>
      <c r="C48" s="8" t="s">
        <v>1073</v>
      </c>
      <c r="D48" s="8" t="s">
        <v>1075</v>
      </c>
      <c r="E48" s="73" t="str">
        <f>VLOOKUP(C48,'[1]Sheet (2)'!$A$3:$G$5503,1,0)</f>
        <v>7.707583652817400H</v>
      </c>
      <c r="F48" s="8" t="s">
        <v>939</v>
      </c>
      <c r="G48" s="8" t="s">
        <v>1074</v>
      </c>
      <c r="H48" s="8"/>
      <c r="I48" s="76">
        <v>14</v>
      </c>
      <c r="J48" s="76">
        <f>VLOOKUP(C48,'[1]Sheet (2)'!$A$3:$H$5503,5,0)</f>
        <v>14</v>
      </c>
      <c r="K48" s="76">
        <f t="shared" si="1"/>
        <v>0</v>
      </c>
      <c r="L48" s="8" t="s">
        <v>931</v>
      </c>
      <c r="M48" s="73" t="str">
        <f t="shared" si="0"/>
        <v/>
      </c>
    </row>
    <row r="49" spans="1:13" ht="17.25" customHeight="1" x14ac:dyDescent="0.25">
      <c r="A49">
        <v>47</v>
      </c>
      <c r="B49" s="8" t="s">
        <v>931</v>
      </c>
      <c r="C49" s="8" t="s">
        <v>1076</v>
      </c>
      <c r="D49" s="8" t="s">
        <v>1078</v>
      </c>
      <c r="E49" s="73" t="str">
        <f>VLOOKUP(C49,'[1]Sheet (2)'!$A$3:$G$5503,1,0)</f>
        <v>7.707662652817000H</v>
      </c>
      <c r="F49" s="8" t="s">
        <v>939</v>
      </c>
      <c r="G49" s="8" t="s">
        <v>1077</v>
      </c>
      <c r="H49" s="8"/>
      <c r="I49" s="76">
        <v>14</v>
      </c>
      <c r="J49" s="76">
        <f>VLOOKUP(C49,'[1]Sheet (2)'!$A$3:$H$5503,5,0)</f>
        <v>14</v>
      </c>
      <c r="K49" s="76">
        <f t="shared" si="1"/>
        <v>0</v>
      </c>
      <c r="L49" s="8" t="s">
        <v>931</v>
      </c>
      <c r="M49" s="73" t="str">
        <f t="shared" si="0"/>
        <v/>
      </c>
    </row>
    <row r="50" spans="1:13" ht="17.25" customHeight="1" x14ac:dyDescent="0.25">
      <c r="A50">
        <v>48</v>
      </c>
      <c r="B50" s="8" t="s">
        <v>931</v>
      </c>
      <c r="C50" s="8" t="s">
        <v>1079</v>
      </c>
      <c r="D50" s="8" t="s">
        <v>1081</v>
      </c>
      <c r="E50" s="73" t="str">
        <f>VLOOKUP(C50,'[1]Sheet (2)'!$A$3:$G$5503,1,0)</f>
        <v>7.706102031401200</v>
      </c>
      <c r="F50" s="8" t="s">
        <v>935</v>
      </c>
      <c r="G50" s="8" t="s">
        <v>1080</v>
      </c>
      <c r="H50" s="8"/>
      <c r="I50" s="76">
        <v>250</v>
      </c>
      <c r="J50" s="76">
        <f>VLOOKUP(C50,'[1]Sheet (2)'!$A$3:$H$5503,5,0)</f>
        <v>250</v>
      </c>
      <c r="K50" s="76">
        <f t="shared" si="1"/>
        <v>0</v>
      </c>
      <c r="L50" s="8" t="s">
        <v>931</v>
      </c>
      <c r="M50" s="73" t="str">
        <f t="shared" si="0"/>
        <v/>
      </c>
    </row>
    <row r="51" spans="1:13" ht="17.25" customHeight="1" x14ac:dyDescent="0.25">
      <c r="A51">
        <v>49</v>
      </c>
      <c r="B51" s="8" t="s">
        <v>931</v>
      </c>
      <c r="C51" s="8" t="s">
        <v>1001</v>
      </c>
      <c r="D51" s="8" t="s">
        <v>1003</v>
      </c>
      <c r="E51" s="73" t="str">
        <f>VLOOKUP(C51,'[1]Sheet (2)'!$A$3:$G$5503,1,0)</f>
        <v>7.107014089103300</v>
      </c>
      <c r="F51" s="77" t="s">
        <v>935</v>
      </c>
      <c r="G51" s="8" t="s">
        <v>1002</v>
      </c>
      <c r="H51" s="8"/>
      <c r="I51" s="76">
        <v>18</v>
      </c>
      <c r="J51" s="76">
        <f>VLOOKUP(C51,'[1]Sheet (2)'!$A$3:$H$5503,5,0)</f>
        <v>18</v>
      </c>
      <c r="K51" s="76">
        <f t="shared" si="1"/>
        <v>0</v>
      </c>
      <c r="L51" s="8" t="s">
        <v>931</v>
      </c>
      <c r="M51" s="73" t="str">
        <f t="shared" si="0"/>
        <v>Trùng</v>
      </c>
    </row>
    <row r="52" spans="1:13" ht="17.25" customHeight="1" x14ac:dyDescent="0.25">
      <c r="A52">
        <v>50</v>
      </c>
      <c r="B52" s="8" t="s">
        <v>931</v>
      </c>
      <c r="C52" s="8" t="s">
        <v>1082</v>
      </c>
      <c r="D52" s="8" t="s">
        <v>1084</v>
      </c>
      <c r="E52" s="73" t="str">
        <f>VLOOKUP(C52,'[1]Sheet (2)'!$A$3:$G$5503,1,0)</f>
        <v>7.1070140295008010</v>
      </c>
      <c r="F52" s="8" t="s">
        <v>935</v>
      </c>
      <c r="G52" s="8" t="s">
        <v>1083</v>
      </c>
      <c r="H52" s="8"/>
      <c r="I52" s="76">
        <v>20</v>
      </c>
      <c r="J52" s="76">
        <f>VLOOKUP(C52,'[1]Sheet (2)'!$A$3:$H$5503,5,0)</f>
        <v>20</v>
      </c>
      <c r="K52" s="76">
        <f t="shared" si="1"/>
        <v>0</v>
      </c>
      <c r="L52" s="8" t="s">
        <v>931</v>
      </c>
      <c r="M52" s="73" t="str">
        <f t="shared" si="0"/>
        <v/>
      </c>
    </row>
    <row r="53" spans="1:13" ht="17.25" customHeight="1" x14ac:dyDescent="0.25">
      <c r="A53">
        <v>51</v>
      </c>
      <c r="B53" s="8" t="s">
        <v>931</v>
      </c>
      <c r="C53" s="111" t="s">
        <v>1085</v>
      </c>
      <c r="D53" s="111" t="s">
        <v>1087</v>
      </c>
      <c r="E53" s="73" t="str">
        <f>VLOOKUP(C53,'[1]Sheet (2)'!$A$3:$G$5503,1,0)</f>
        <v>7.10108959120002</v>
      </c>
      <c r="F53" s="8" t="s">
        <v>935</v>
      </c>
      <c r="G53" s="8" t="s">
        <v>1086</v>
      </c>
      <c r="H53" s="8"/>
      <c r="I53" s="76">
        <v>25</v>
      </c>
      <c r="J53" s="76">
        <f>VLOOKUP(C53,'[1]Sheet (2)'!$A$3:$H$5503,5,0)</f>
        <v>25</v>
      </c>
      <c r="K53" s="76">
        <f t="shared" si="1"/>
        <v>0</v>
      </c>
      <c r="L53" s="8" t="s">
        <v>931</v>
      </c>
      <c r="M53" s="73" t="str">
        <f t="shared" si="0"/>
        <v/>
      </c>
    </row>
    <row r="54" spans="1:13" ht="17.25" customHeight="1" x14ac:dyDescent="0.25">
      <c r="A54">
        <v>52</v>
      </c>
      <c r="B54" s="8" t="s">
        <v>931</v>
      </c>
      <c r="C54" s="8" t="s">
        <v>1088</v>
      </c>
      <c r="D54" s="8" t="s">
        <v>1090</v>
      </c>
      <c r="E54" s="73" t="str">
        <f>VLOOKUP(C54,'[1]Sheet (2)'!$A$3:$G$5503,1,0)</f>
        <v>7.45105003010500</v>
      </c>
      <c r="F54" s="8" t="s">
        <v>939</v>
      </c>
      <c r="G54" s="8" t="s">
        <v>1089</v>
      </c>
      <c r="H54" s="8"/>
      <c r="I54" s="76">
        <v>10.92</v>
      </c>
      <c r="J54" s="76">
        <f>VLOOKUP(C54,'[1]Sheet (2)'!$A$3:$H$5503,5,0)</f>
        <v>10.92</v>
      </c>
      <c r="K54" s="76">
        <f t="shared" si="1"/>
        <v>0</v>
      </c>
      <c r="L54" s="8" t="s">
        <v>931</v>
      </c>
      <c r="M54" s="73" t="str">
        <f t="shared" si="0"/>
        <v/>
      </c>
    </row>
    <row r="55" spans="1:13" ht="17.25" customHeight="1" x14ac:dyDescent="0.25">
      <c r="A55">
        <v>53</v>
      </c>
      <c r="B55" s="8" t="s">
        <v>931</v>
      </c>
      <c r="C55" s="8" t="s">
        <v>1091</v>
      </c>
      <c r="D55" s="8" t="s">
        <v>1093</v>
      </c>
      <c r="E55" s="73" t="str">
        <f>VLOOKUP(C55,'[1]Sheet (2)'!$A$3:$G$5503,1,0)</f>
        <v>7.1061590330308010</v>
      </c>
      <c r="F55" s="8" t="s">
        <v>935</v>
      </c>
      <c r="G55" s="8" t="s">
        <v>1092</v>
      </c>
      <c r="H55" s="8"/>
      <c r="I55" s="76">
        <v>25</v>
      </c>
      <c r="J55" s="76">
        <f>VLOOKUP(C55,'[1]Sheet (2)'!$A$3:$H$5503,5,0)</f>
        <v>25</v>
      </c>
      <c r="K55" s="76">
        <f t="shared" si="1"/>
        <v>0</v>
      </c>
      <c r="L55" s="8" t="s">
        <v>931</v>
      </c>
      <c r="M55" s="73" t="str">
        <f t="shared" si="0"/>
        <v/>
      </c>
    </row>
    <row r="56" spans="1:13" ht="17.25" customHeight="1" x14ac:dyDescent="0.25">
      <c r="A56">
        <v>54</v>
      </c>
      <c r="B56" s="8" t="s">
        <v>931</v>
      </c>
      <c r="C56" s="8" t="s">
        <v>1094</v>
      </c>
      <c r="D56" s="8" t="s">
        <v>1096</v>
      </c>
      <c r="E56" s="73" t="str">
        <f>VLOOKUP(C56,'[1]Sheet (2)'!$A$3:$G$5503,1,0)</f>
        <v>7.451052261200000</v>
      </c>
      <c r="F56" s="8" t="s">
        <v>935</v>
      </c>
      <c r="G56" s="8" t="s">
        <v>1095</v>
      </c>
      <c r="H56" s="8"/>
      <c r="I56" s="76">
        <v>25</v>
      </c>
      <c r="J56" s="76">
        <f>VLOOKUP(C56,'[1]Sheet (2)'!$A$3:$H$5503,5,0)</f>
        <v>25</v>
      </c>
      <c r="K56" s="76">
        <f t="shared" si="1"/>
        <v>0</v>
      </c>
      <c r="L56" s="8" t="s">
        <v>931</v>
      </c>
      <c r="M56" s="73" t="str">
        <f t="shared" si="0"/>
        <v/>
      </c>
    </row>
    <row r="57" spans="1:13" ht="17.25" customHeight="1" x14ac:dyDescent="0.25">
      <c r="A57">
        <v>55</v>
      </c>
      <c r="B57" s="8" t="s">
        <v>931</v>
      </c>
      <c r="C57" s="8" t="s">
        <v>1097</v>
      </c>
      <c r="D57" s="8" t="s">
        <v>1099</v>
      </c>
      <c r="E57" s="73" t="str">
        <f>VLOOKUP(C57,'[1]Sheet (2)'!$A$3:$G$5503,1,0)</f>
        <v>7.704233Q13717001H</v>
      </c>
      <c r="F57" s="8" t="s">
        <v>939</v>
      </c>
      <c r="G57" s="8" t="s">
        <v>1098</v>
      </c>
      <c r="H57" s="8"/>
      <c r="I57" s="76">
        <v>13</v>
      </c>
      <c r="J57" s="76">
        <f>VLOOKUP(C57,'[1]Sheet (2)'!$A$3:$H$5503,5,0)</f>
        <v>13</v>
      </c>
      <c r="K57" s="76">
        <f t="shared" si="1"/>
        <v>0</v>
      </c>
      <c r="L57" s="8" t="s">
        <v>931</v>
      </c>
      <c r="M57" s="73" t="str">
        <f t="shared" si="0"/>
        <v/>
      </c>
    </row>
    <row r="58" spans="1:13" ht="17.25" customHeight="1" x14ac:dyDescent="0.25">
      <c r="A58">
        <v>56</v>
      </c>
      <c r="B58" s="8" t="s">
        <v>931</v>
      </c>
      <c r="C58" s="8" t="s">
        <v>1100</v>
      </c>
      <c r="D58" s="8" t="s">
        <v>1102</v>
      </c>
      <c r="E58" s="73" t="str">
        <f>VLOOKUP(C58,'[1]Sheet (2)'!$A$3:$G$5503,1,0)</f>
        <v>7.45105008010300</v>
      </c>
      <c r="F58" s="8" t="s">
        <v>939</v>
      </c>
      <c r="G58" s="8" t="s">
        <v>1101</v>
      </c>
      <c r="H58" s="8"/>
      <c r="I58" s="76">
        <v>18.2</v>
      </c>
      <c r="J58" s="76">
        <f>VLOOKUP(C58,'[1]Sheet (2)'!$A$3:$H$5503,5,0)</f>
        <v>18.2</v>
      </c>
      <c r="K58" s="76">
        <f t="shared" si="1"/>
        <v>0</v>
      </c>
      <c r="L58" s="8" t="s">
        <v>931</v>
      </c>
      <c r="M58" s="73" t="str">
        <f t="shared" si="0"/>
        <v/>
      </c>
    </row>
    <row r="59" spans="1:13" ht="17.25" customHeight="1" x14ac:dyDescent="0.25">
      <c r="A59">
        <v>57</v>
      </c>
      <c r="B59" s="8" t="s">
        <v>931</v>
      </c>
      <c r="C59" s="8" t="s">
        <v>1103</v>
      </c>
      <c r="D59" s="8" t="s">
        <v>1105</v>
      </c>
      <c r="E59" s="73" t="str">
        <f>VLOOKUP(C59,'[1]Sheet (2)'!$A$3:$G$5503,1,0)</f>
        <v>7.131014591200E30</v>
      </c>
      <c r="F59" s="8" t="s">
        <v>964</v>
      </c>
      <c r="G59" s="8" t="s">
        <v>1104</v>
      </c>
      <c r="H59" s="8"/>
      <c r="I59" s="76">
        <v>25</v>
      </c>
      <c r="J59" s="76">
        <f>VLOOKUP(C59,'[1]Sheet (2)'!$A$3:$H$5503,5,0)</f>
        <v>25</v>
      </c>
      <c r="K59" s="76">
        <f t="shared" si="1"/>
        <v>0</v>
      </c>
      <c r="L59" s="8" t="s">
        <v>931</v>
      </c>
      <c r="M59" s="73" t="str">
        <f t="shared" si="0"/>
        <v/>
      </c>
    </row>
    <row r="60" spans="1:13" ht="17.25" customHeight="1" x14ac:dyDescent="0.25">
      <c r="A60">
        <v>58</v>
      </c>
      <c r="B60" s="8" t="s">
        <v>931</v>
      </c>
      <c r="C60" s="8" t="s">
        <v>1106</v>
      </c>
      <c r="D60" s="8" t="s">
        <v>1108</v>
      </c>
      <c r="E60" s="73" t="str">
        <f>VLOOKUP(C60,'[1]Sheet (2)'!$A$3:$G$5503,1,0)</f>
        <v>7.131103D11705P20</v>
      </c>
      <c r="F60" s="8" t="s">
        <v>939</v>
      </c>
      <c r="G60" s="8" t="s">
        <v>1107</v>
      </c>
      <c r="H60" s="8"/>
      <c r="I60" s="76">
        <v>9.61</v>
      </c>
      <c r="J60" s="76">
        <f>VLOOKUP(C60,'[1]Sheet (2)'!$A$3:$H$5503,5,0)</f>
        <v>9.61</v>
      </c>
      <c r="K60" s="76">
        <f t="shared" si="1"/>
        <v>0</v>
      </c>
      <c r="L60" s="8" t="s">
        <v>931</v>
      </c>
      <c r="M60" s="73" t="str">
        <f t="shared" si="0"/>
        <v/>
      </c>
    </row>
    <row r="61" spans="1:13" ht="17.25" customHeight="1" x14ac:dyDescent="0.25">
      <c r="A61">
        <v>59</v>
      </c>
      <c r="B61" s="8" t="s">
        <v>931</v>
      </c>
      <c r="C61" s="8" t="s">
        <v>1109</v>
      </c>
      <c r="D61" s="8" t="s">
        <v>1111</v>
      </c>
      <c r="E61" s="73" t="str">
        <f>VLOOKUP(C61,'[1]Sheet (2)'!$A$3:$G$5503,1,0)</f>
        <v>7.707705P42817000H</v>
      </c>
      <c r="F61" s="8" t="s">
        <v>939</v>
      </c>
      <c r="G61" s="8" t="s">
        <v>1110</v>
      </c>
      <c r="H61" s="8"/>
      <c r="I61" s="76">
        <v>13.6</v>
      </c>
      <c r="J61" s="76">
        <f>VLOOKUP(C61,'[1]Sheet (2)'!$A$3:$H$5503,5,0)</f>
        <v>13.6</v>
      </c>
      <c r="K61" s="76">
        <f t="shared" si="1"/>
        <v>0</v>
      </c>
      <c r="L61" s="8" t="s">
        <v>931</v>
      </c>
      <c r="M61" s="73" t="str">
        <f t="shared" si="0"/>
        <v/>
      </c>
    </row>
    <row r="62" spans="1:13" ht="17.25" customHeight="1" x14ac:dyDescent="0.25">
      <c r="A62">
        <v>60</v>
      </c>
      <c r="B62" s="8" t="s">
        <v>931</v>
      </c>
      <c r="C62" s="8" t="s">
        <v>1112</v>
      </c>
      <c r="D62" s="8" t="s">
        <v>1114</v>
      </c>
      <c r="E62" s="73" t="str">
        <f>VLOOKUP(C62,'[1]Sheet (2)'!$A$3:$G$5503,1,0)</f>
        <v>7.707664652817000H</v>
      </c>
      <c r="F62" s="8" t="s">
        <v>939</v>
      </c>
      <c r="G62" s="8" t="s">
        <v>1113</v>
      </c>
      <c r="H62" s="8"/>
      <c r="I62" s="76">
        <v>14</v>
      </c>
      <c r="J62" s="76">
        <f>VLOOKUP(C62,'[1]Sheet (2)'!$A$3:$H$5503,5,0)</f>
        <v>14</v>
      </c>
      <c r="K62" s="76">
        <f t="shared" si="1"/>
        <v>0</v>
      </c>
      <c r="L62" s="8" t="s">
        <v>931</v>
      </c>
      <c r="M62" s="73" t="str">
        <f t="shared" si="0"/>
        <v/>
      </c>
    </row>
    <row r="63" spans="1:13" ht="17.25" customHeight="1" x14ac:dyDescent="0.25">
      <c r="A63">
        <v>61</v>
      </c>
      <c r="B63" s="8" t="s">
        <v>931</v>
      </c>
      <c r="C63" s="8" t="s">
        <v>1115</v>
      </c>
      <c r="D63" s="8" t="s">
        <v>1117</v>
      </c>
      <c r="E63" s="73" t="str">
        <f>VLOOKUP(C63,'[1]Sheet (2)'!$A$3:$G$5503,1,0)</f>
        <v>6.1212A98</v>
      </c>
      <c r="F63" s="8" t="s">
        <v>935</v>
      </c>
      <c r="G63" s="8" t="s">
        <v>1116</v>
      </c>
      <c r="H63" s="8"/>
      <c r="I63" s="76">
        <v>1</v>
      </c>
      <c r="J63" s="76">
        <f>VLOOKUP(C63,'[1]Sheet (2)'!$A$3:$H$5503,5,0)</f>
        <v>1</v>
      </c>
      <c r="K63" s="76">
        <f t="shared" si="1"/>
        <v>0</v>
      </c>
      <c r="L63" s="8" t="s">
        <v>931</v>
      </c>
      <c r="M63" s="73" t="str">
        <f t="shared" si="0"/>
        <v/>
      </c>
    </row>
    <row r="64" spans="1:13" ht="17.25" customHeight="1" x14ac:dyDescent="0.25">
      <c r="A64">
        <v>62</v>
      </c>
      <c r="B64" s="8" t="s">
        <v>931</v>
      </c>
      <c r="C64" s="8" t="s">
        <v>1118</v>
      </c>
      <c r="D64" s="8" t="s">
        <v>1120</v>
      </c>
      <c r="E64" s="73" t="str">
        <f>VLOOKUP(C64,'[1]Sheet (2)'!$A$3:$G$5503,1,0)</f>
        <v>7.707583N528174000</v>
      </c>
      <c r="F64" s="8" t="s">
        <v>1020</v>
      </c>
      <c r="G64" s="8" t="s">
        <v>1119</v>
      </c>
      <c r="H64" s="8"/>
      <c r="I64" s="76">
        <v>9</v>
      </c>
      <c r="J64" s="76">
        <f>VLOOKUP(C64,'[1]Sheet (2)'!$A$3:$H$5503,5,0)</f>
        <v>9</v>
      </c>
      <c r="K64" s="76">
        <f t="shared" si="1"/>
        <v>0</v>
      </c>
      <c r="L64" s="8" t="s">
        <v>931</v>
      </c>
      <c r="M64" s="73" t="str">
        <f t="shared" si="0"/>
        <v/>
      </c>
    </row>
    <row r="65" spans="1:13" ht="17.25" customHeight="1" x14ac:dyDescent="0.25">
      <c r="A65">
        <v>63</v>
      </c>
      <c r="B65" s="8" t="s">
        <v>931</v>
      </c>
      <c r="C65" s="8" t="s">
        <v>1121</v>
      </c>
      <c r="D65" s="8" t="s">
        <v>1123</v>
      </c>
      <c r="E65" s="73" t="str">
        <f>VLOOKUP(C65,'[1]Sheet (2)'!$A$3:$G$5503,1,0)</f>
        <v>7.131087041704H10</v>
      </c>
      <c r="F65" s="8" t="s">
        <v>939</v>
      </c>
      <c r="G65" s="8" t="s">
        <v>1122</v>
      </c>
      <c r="H65" s="8"/>
      <c r="I65" s="76">
        <v>10.92</v>
      </c>
      <c r="J65" s="76">
        <f>VLOOKUP(C65,'[1]Sheet (2)'!$A$3:$H$5503,5,0)</f>
        <v>10.92</v>
      </c>
      <c r="K65" s="76">
        <f t="shared" si="1"/>
        <v>0</v>
      </c>
      <c r="L65" s="8" t="s">
        <v>931</v>
      </c>
      <c r="M65" s="73" t="str">
        <f t="shared" si="0"/>
        <v/>
      </c>
    </row>
    <row r="66" spans="1:13" ht="17.25" customHeight="1" x14ac:dyDescent="0.25">
      <c r="A66">
        <v>64</v>
      </c>
      <c r="B66" s="8" t="s">
        <v>931</v>
      </c>
      <c r="C66" s="8" t="s">
        <v>1124</v>
      </c>
      <c r="D66" s="8" t="s">
        <v>1126</v>
      </c>
      <c r="E66" s="73" t="str">
        <f>VLOOKUP(C66,'[1]Sheet (2)'!$A$3:$G$5503,1,0)</f>
        <v>7.131078041704E10</v>
      </c>
      <c r="F66" s="8" t="s">
        <v>939</v>
      </c>
      <c r="G66" s="8" t="s">
        <v>1125</v>
      </c>
      <c r="H66" s="8"/>
      <c r="I66" s="76">
        <v>10.92</v>
      </c>
      <c r="J66" s="76">
        <f>VLOOKUP(C66,'[1]Sheet (2)'!$A$3:$H$5503,5,0)</f>
        <v>10.92</v>
      </c>
      <c r="K66" s="76">
        <f t="shared" si="1"/>
        <v>0</v>
      </c>
      <c r="L66" s="8" t="s">
        <v>931</v>
      </c>
      <c r="M66" s="73" t="str">
        <f t="shared" si="0"/>
        <v/>
      </c>
    </row>
    <row r="67" spans="1:13" ht="17.25" customHeight="1" x14ac:dyDescent="0.25">
      <c r="A67">
        <v>65</v>
      </c>
      <c r="B67" s="8" t="s">
        <v>931</v>
      </c>
      <c r="C67" s="8" t="s">
        <v>1127</v>
      </c>
      <c r="D67" s="8" t="s">
        <v>1129</v>
      </c>
      <c r="E67" s="73" t="str">
        <f>VLOOKUP(C67,'[1]Sheet (2)'!$A$3:$G$5503,1,0)</f>
        <v>7.131103281705P20</v>
      </c>
      <c r="F67" s="8" t="s">
        <v>939</v>
      </c>
      <c r="G67" s="8" t="s">
        <v>1128</v>
      </c>
      <c r="H67" s="8"/>
      <c r="I67" s="76">
        <v>10.92</v>
      </c>
      <c r="J67" s="76">
        <f>VLOOKUP(C67,'[1]Sheet (2)'!$A$3:$H$5503,5,0)</f>
        <v>10.92</v>
      </c>
      <c r="K67" s="76">
        <f t="shared" si="1"/>
        <v>0</v>
      </c>
      <c r="L67" s="8" t="s">
        <v>931</v>
      </c>
      <c r="M67" s="73" t="str">
        <f t="shared" ref="M67:M130" si="2">IF(COUNTIF($C$3:$C$356, C67)&gt;1, "Trùng", "")</f>
        <v/>
      </c>
    </row>
    <row r="68" spans="1:13" ht="17.25" customHeight="1" x14ac:dyDescent="0.25">
      <c r="A68">
        <v>66</v>
      </c>
      <c r="B68" s="8" t="s">
        <v>931</v>
      </c>
      <c r="C68" s="8" t="s">
        <v>1130</v>
      </c>
      <c r="D68" s="8" t="s">
        <v>1131</v>
      </c>
      <c r="E68" s="73" t="str">
        <f>VLOOKUP(C68,'[1]Sheet (2)'!$A$3:$G$5503,1,0)</f>
        <v>7.101307591201C20</v>
      </c>
      <c r="F68" s="8" t="s">
        <v>964</v>
      </c>
      <c r="G68" s="8" t="s">
        <v>962</v>
      </c>
      <c r="H68" s="8"/>
      <c r="I68" s="76">
        <v>25</v>
      </c>
      <c r="J68" s="76">
        <f>VLOOKUP(C68,'[1]Sheet (2)'!$A$3:$H$5503,5,0)</f>
        <v>25</v>
      </c>
      <c r="K68" s="76">
        <f t="shared" ref="K68:K131" si="3">I68-J68</f>
        <v>0</v>
      </c>
      <c r="L68" s="8" t="s">
        <v>931</v>
      </c>
      <c r="M68" s="73" t="str">
        <f t="shared" si="2"/>
        <v/>
      </c>
    </row>
    <row r="69" spans="1:13" ht="17.25" customHeight="1" x14ac:dyDescent="0.25">
      <c r="A69">
        <v>67</v>
      </c>
      <c r="B69" s="8" t="s">
        <v>931</v>
      </c>
      <c r="C69" s="8" t="s">
        <v>1132</v>
      </c>
      <c r="D69" s="8" t="s">
        <v>1134</v>
      </c>
      <c r="E69" s="73" t="str">
        <f>VLOOKUP(C69,'[1]Sheet (2)'!$A$3:$G$5503,1,0)</f>
        <v>7.475056171704020</v>
      </c>
      <c r="F69" s="8" t="s">
        <v>939</v>
      </c>
      <c r="G69" s="8" t="s">
        <v>1133</v>
      </c>
      <c r="H69" s="8"/>
      <c r="I69" s="76">
        <v>4.0949999999999998</v>
      </c>
      <c r="J69" s="76">
        <f>VLOOKUP(C69,'[1]Sheet (2)'!$A$3:$H$5503,5,0)</f>
        <v>4.0949999999999998</v>
      </c>
      <c r="K69" s="76">
        <f t="shared" si="3"/>
        <v>0</v>
      </c>
      <c r="L69" s="8" t="s">
        <v>931</v>
      </c>
      <c r="M69" s="73" t="str">
        <f t="shared" si="2"/>
        <v/>
      </c>
    </row>
    <row r="70" spans="1:13" ht="17.25" customHeight="1" x14ac:dyDescent="0.25">
      <c r="A70">
        <v>68</v>
      </c>
      <c r="B70" s="8" t="s">
        <v>931</v>
      </c>
      <c r="C70" s="8" t="s">
        <v>1135</v>
      </c>
      <c r="D70" s="8" t="s">
        <v>1137</v>
      </c>
      <c r="E70" s="73" t="str">
        <f>VLOOKUP(C70,'[1]Sheet (2)'!$A$3:$G$5503,1,0)</f>
        <v>7.707707P53717000H</v>
      </c>
      <c r="F70" s="8" t="s">
        <v>939</v>
      </c>
      <c r="G70" s="8" t="s">
        <v>1136</v>
      </c>
      <c r="H70" s="8"/>
      <c r="I70" s="76">
        <v>12.8</v>
      </c>
      <c r="J70" s="76">
        <f>VLOOKUP(C70,'[1]Sheet (2)'!$A$3:$H$5503,5,0)</f>
        <v>12.8</v>
      </c>
      <c r="K70" s="76">
        <f t="shared" si="3"/>
        <v>0</v>
      </c>
      <c r="L70" s="8" t="s">
        <v>931</v>
      </c>
      <c r="M70" s="73" t="str">
        <f t="shared" si="2"/>
        <v/>
      </c>
    </row>
    <row r="71" spans="1:13" ht="17.25" customHeight="1" x14ac:dyDescent="0.25">
      <c r="A71">
        <v>69</v>
      </c>
      <c r="B71" s="8" t="s">
        <v>931</v>
      </c>
      <c r="C71" s="8" t="s">
        <v>1138</v>
      </c>
      <c r="D71" s="8" t="s">
        <v>1140</v>
      </c>
      <c r="E71" s="73" t="str">
        <f>VLOOKUP(C71,'[1]Sheet (2)'!$A$3:$G$5503,1,0)</f>
        <v>7.131103B11704P20</v>
      </c>
      <c r="F71" s="8" t="s">
        <v>939</v>
      </c>
      <c r="G71" s="8" t="s">
        <v>1139</v>
      </c>
      <c r="H71" s="8"/>
      <c r="I71" s="76">
        <v>10.92</v>
      </c>
      <c r="J71" s="76">
        <f>VLOOKUP(C71,'[1]Sheet (2)'!$A$3:$H$5503,5,0)</f>
        <v>10.92</v>
      </c>
      <c r="K71" s="76">
        <f t="shared" si="3"/>
        <v>0</v>
      </c>
      <c r="L71" s="8" t="s">
        <v>931</v>
      </c>
      <c r="M71" s="73" t="str">
        <f t="shared" si="2"/>
        <v/>
      </c>
    </row>
    <row r="72" spans="1:13" ht="17.25" customHeight="1" x14ac:dyDescent="0.25">
      <c r="A72">
        <v>70</v>
      </c>
      <c r="B72" s="8" t="s">
        <v>931</v>
      </c>
      <c r="C72" s="8" t="s">
        <v>1141</v>
      </c>
      <c r="D72" s="8" t="s">
        <v>1143</v>
      </c>
      <c r="E72" s="73" t="str">
        <f>VLOOKUP(C72,'[1]Sheet (2)'!$A$3:$G$5503,1,0)</f>
        <v>7.707712O63717000C</v>
      </c>
      <c r="F72" s="8" t="s">
        <v>939</v>
      </c>
      <c r="G72" s="8" t="s">
        <v>1142</v>
      </c>
      <c r="H72" s="8"/>
      <c r="I72" s="76">
        <v>12.24</v>
      </c>
      <c r="J72" s="76">
        <f>VLOOKUP(C72,'[1]Sheet (2)'!$A$3:$H$5503,5,0)</f>
        <v>12.24</v>
      </c>
      <c r="K72" s="76">
        <f t="shared" si="3"/>
        <v>0</v>
      </c>
      <c r="L72" s="8" t="s">
        <v>931</v>
      </c>
      <c r="M72" s="73" t="str">
        <f t="shared" si="2"/>
        <v/>
      </c>
    </row>
    <row r="73" spans="1:13" ht="17.25" customHeight="1" x14ac:dyDescent="0.25">
      <c r="A73">
        <v>71</v>
      </c>
      <c r="B73" s="8" t="s">
        <v>931</v>
      </c>
      <c r="C73" s="8" t="s">
        <v>1144</v>
      </c>
      <c r="D73" s="8" t="s">
        <v>1146</v>
      </c>
      <c r="E73" s="73" t="str">
        <f>VLOOKUP(C73,'[1]Sheet (2)'!$A$3:$G$5503,1,0)</f>
        <v>7.707713R82017001K</v>
      </c>
      <c r="F73" s="8" t="s">
        <v>939</v>
      </c>
      <c r="G73" s="8" t="s">
        <v>1145</v>
      </c>
      <c r="H73" s="8"/>
      <c r="I73" s="76">
        <v>7.3440000000000003</v>
      </c>
      <c r="J73" s="76">
        <f>VLOOKUP(C73,'[1]Sheet (2)'!$A$3:$H$5503,5,0)</f>
        <v>7.3440000000000003</v>
      </c>
      <c r="K73" s="76">
        <f t="shared" si="3"/>
        <v>0</v>
      </c>
      <c r="L73" s="8" t="s">
        <v>931</v>
      </c>
      <c r="M73" s="73" t="str">
        <f t="shared" si="2"/>
        <v/>
      </c>
    </row>
    <row r="74" spans="1:13" ht="17.25" customHeight="1" x14ac:dyDescent="0.25">
      <c r="A74">
        <v>72</v>
      </c>
      <c r="B74" s="8" t="s">
        <v>931</v>
      </c>
      <c r="C74" s="8" t="s">
        <v>1147</v>
      </c>
      <c r="D74" s="8" t="s">
        <v>1149</v>
      </c>
      <c r="E74" s="73" t="str">
        <f>VLOOKUP(C74,'[1]Sheet (2)'!$A$3:$G$5503,1,0)</f>
        <v>7.704712R82017001K</v>
      </c>
      <c r="F74" s="8" t="s">
        <v>939</v>
      </c>
      <c r="G74" s="8" t="s">
        <v>1148</v>
      </c>
      <c r="H74" s="8"/>
      <c r="I74" s="76">
        <v>7.3440000000000003</v>
      </c>
      <c r="J74" s="76">
        <f>VLOOKUP(C74,'[1]Sheet (2)'!$A$3:$H$5503,5,0)</f>
        <v>7.3440000000000003</v>
      </c>
      <c r="K74" s="76">
        <f t="shared" si="3"/>
        <v>0</v>
      </c>
      <c r="L74" s="8" t="s">
        <v>931</v>
      </c>
      <c r="M74" s="73" t="str">
        <f t="shared" si="2"/>
        <v/>
      </c>
    </row>
    <row r="75" spans="1:13" ht="17.25" customHeight="1" x14ac:dyDescent="0.25">
      <c r="A75">
        <v>73</v>
      </c>
      <c r="B75" s="8" t="s">
        <v>931</v>
      </c>
      <c r="C75" s="8" t="s">
        <v>1150</v>
      </c>
      <c r="D75" s="8" t="s">
        <v>1152</v>
      </c>
      <c r="E75" s="73" t="str">
        <f>VLOOKUP(C75,'[1]Sheet (2)'!$A$3:$G$5503,1,0)</f>
        <v>7.704D62R63717001J</v>
      </c>
      <c r="F75" s="8" t="s">
        <v>939</v>
      </c>
      <c r="G75" s="8" t="s">
        <v>1151</v>
      </c>
      <c r="H75" s="8"/>
      <c r="I75" s="76">
        <v>10.199999999999999</v>
      </c>
      <c r="J75" s="76">
        <f>VLOOKUP(C75,'[1]Sheet (2)'!$A$3:$H$5503,5,0)</f>
        <v>10.199999999999999</v>
      </c>
      <c r="K75" s="76">
        <f t="shared" si="3"/>
        <v>0</v>
      </c>
      <c r="L75" s="8" t="s">
        <v>931</v>
      </c>
      <c r="M75" s="73" t="str">
        <f t="shared" si="2"/>
        <v/>
      </c>
    </row>
    <row r="76" spans="1:13" ht="17.25" customHeight="1" x14ac:dyDescent="0.25">
      <c r="A76">
        <v>74</v>
      </c>
      <c r="B76" s="8" t="s">
        <v>931</v>
      </c>
      <c r="C76" s="8" t="s">
        <v>1153</v>
      </c>
      <c r="D76" s="8" t="s">
        <v>1155</v>
      </c>
      <c r="E76" s="73" t="str">
        <f>VLOOKUP(C76,'[1]Sheet (2)'!$A$3:$G$5503,1,0)</f>
        <v>7.1070120201608010</v>
      </c>
      <c r="F76" s="8" t="s">
        <v>935</v>
      </c>
      <c r="G76" s="8" t="s">
        <v>1154</v>
      </c>
      <c r="H76" s="8"/>
      <c r="I76" s="76">
        <v>20</v>
      </c>
      <c r="J76" s="76">
        <f>VLOOKUP(C76,'[1]Sheet (2)'!$A$3:$H$5503,5,0)</f>
        <v>20</v>
      </c>
      <c r="K76" s="76">
        <f t="shared" si="3"/>
        <v>0</v>
      </c>
      <c r="L76" s="8" t="s">
        <v>931</v>
      </c>
      <c r="M76" s="73" t="str">
        <f t="shared" si="2"/>
        <v/>
      </c>
    </row>
    <row r="77" spans="1:13" ht="17.25" customHeight="1" x14ac:dyDescent="0.25">
      <c r="A77">
        <v>75</v>
      </c>
      <c r="B77" s="8" t="s">
        <v>931</v>
      </c>
      <c r="C77" s="8" t="s">
        <v>1156</v>
      </c>
      <c r="D77" s="8" t="s">
        <v>1157</v>
      </c>
      <c r="E77" s="73" t="str">
        <f>VLOOKUP(C77,'[1]Sheet (2)'!$A$3:$G$5503,1,0)</f>
        <v>7.131010041704O30</v>
      </c>
      <c r="F77" s="8" t="s">
        <v>939</v>
      </c>
      <c r="G77" s="8" t="s">
        <v>953</v>
      </c>
      <c r="H77" s="8"/>
      <c r="I77" s="76">
        <v>10.92</v>
      </c>
      <c r="J77" s="76">
        <f>VLOOKUP(C77,'[1]Sheet (2)'!$A$3:$H$5503,5,0)</f>
        <v>10.92</v>
      </c>
      <c r="K77" s="76">
        <f t="shared" si="3"/>
        <v>0</v>
      </c>
      <c r="L77" s="8" t="s">
        <v>931</v>
      </c>
      <c r="M77" s="73" t="str">
        <f t="shared" si="2"/>
        <v/>
      </c>
    </row>
    <row r="78" spans="1:13" ht="17.25" customHeight="1" x14ac:dyDescent="0.25">
      <c r="A78">
        <v>76</v>
      </c>
      <c r="B78" s="8" t="s">
        <v>931</v>
      </c>
      <c r="C78" s="8" t="s">
        <v>1158</v>
      </c>
      <c r="D78" s="8" t="s">
        <v>1160</v>
      </c>
      <c r="E78" s="73" t="str">
        <f>VLOOKUP(C78,'[1]Sheet (2)'!$A$3:$G$5503,1,0)</f>
        <v>7.45105005010400</v>
      </c>
      <c r="F78" s="8" t="s">
        <v>939</v>
      </c>
      <c r="G78" s="8" t="s">
        <v>1159</v>
      </c>
      <c r="H78" s="8"/>
      <c r="I78" s="76">
        <v>10.92</v>
      </c>
      <c r="J78" s="76">
        <f>VLOOKUP(C78,'[1]Sheet (2)'!$A$3:$H$5503,5,0)</f>
        <v>10.92</v>
      </c>
      <c r="K78" s="76">
        <f t="shared" si="3"/>
        <v>0</v>
      </c>
      <c r="L78" s="8" t="s">
        <v>931</v>
      </c>
      <c r="M78" s="73" t="str">
        <f t="shared" si="2"/>
        <v/>
      </c>
    </row>
    <row r="79" spans="1:13" ht="17.25" customHeight="1" x14ac:dyDescent="0.25">
      <c r="A79">
        <v>77</v>
      </c>
      <c r="B79" s="8" t="s">
        <v>931</v>
      </c>
      <c r="C79" s="8" t="s">
        <v>1161</v>
      </c>
      <c r="D79" s="8" t="s">
        <v>1163</v>
      </c>
      <c r="E79" s="73" t="str">
        <f>VLOOKUP(C79,'[1]Sheet (2)'!$A$3:$G$5503,1,0)</f>
        <v>7.707583653717400H</v>
      </c>
      <c r="F79" s="8" t="s">
        <v>939</v>
      </c>
      <c r="G79" s="8" t="s">
        <v>1162</v>
      </c>
      <c r="H79" s="8"/>
      <c r="I79" s="76">
        <v>14</v>
      </c>
      <c r="J79" s="76">
        <f>VLOOKUP(C79,'[1]Sheet (2)'!$A$3:$H$5503,5,0)</f>
        <v>14</v>
      </c>
      <c r="K79" s="76">
        <f t="shared" si="3"/>
        <v>0</v>
      </c>
      <c r="L79" s="8" t="s">
        <v>931</v>
      </c>
      <c r="M79" s="73" t="str">
        <f t="shared" si="2"/>
        <v/>
      </c>
    </row>
    <row r="80" spans="1:13" ht="17.25" customHeight="1" x14ac:dyDescent="0.25">
      <c r="A80">
        <v>78</v>
      </c>
      <c r="B80" s="8" t="s">
        <v>931</v>
      </c>
      <c r="C80" s="8" t="s">
        <v>1164</v>
      </c>
      <c r="D80" s="8" t="s">
        <v>1166</v>
      </c>
      <c r="E80" s="73" t="str">
        <f>VLOOKUP(C80,'[1]Sheet (2)'!$A$3:$G$5503,1,0)</f>
        <v>7.707664M428170002</v>
      </c>
      <c r="F80" s="8" t="s">
        <v>939</v>
      </c>
      <c r="G80" s="8" t="s">
        <v>1165</v>
      </c>
      <c r="H80" s="8"/>
      <c r="I80" s="76">
        <v>11.88</v>
      </c>
      <c r="J80" s="76">
        <f>VLOOKUP(C80,'[1]Sheet (2)'!$A$3:$H$5503,5,0)</f>
        <v>11.88</v>
      </c>
      <c r="K80" s="76">
        <f t="shared" si="3"/>
        <v>0</v>
      </c>
      <c r="L80" s="8" t="s">
        <v>931</v>
      </c>
      <c r="M80" s="73" t="str">
        <f t="shared" si="2"/>
        <v/>
      </c>
    </row>
    <row r="81" spans="1:13" ht="17.25" customHeight="1" x14ac:dyDescent="0.25">
      <c r="A81">
        <v>79</v>
      </c>
      <c r="B81" s="8" t="s">
        <v>931</v>
      </c>
      <c r="C81" s="8" t="s">
        <v>1167</v>
      </c>
      <c r="D81" s="8" t="s">
        <v>1169</v>
      </c>
      <c r="E81" s="73" t="str">
        <f>VLOOKUP(C81,'[1]Sheet (2)'!$A$3:$G$5503,1,0)</f>
        <v>7.707713O63717000C</v>
      </c>
      <c r="F81" s="8" t="s">
        <v>939</v>
      </c>
      <c r="G81" s="8" t="s">
        <v>1168</v>
      </c>
      <c r="H81" s="8"/>
      <c r="I81" s="76">
        <v>12.24</v>
      </c>
      <c r="J81" s="76">
        <f>VLOOKUP(C81,'[1]Sheet (2)'!$A$3:$H$5503,5,0)</f>
        <v>12.24</v>
      </c>
      <c r="K81" s="76">
        <f t="shared" si="3"/>
        <v>0</v>
      </c>
      <c r="L81" s="8" t="s">
        <v>931</v>
      </c>
      <c r="M81" s="73" t="str">
        <f t="shared" si="2"/>
        <v/>
      </c>
    </row>
    <row r="82" spans="1:13" ht="17.25" customHeight="1" x14ac:dyDescent="0.25">
      <c r="A82">
        <v>80</v>
      </c>
      <c r="B82" s="8" t="s">
        <v>931</v>
      </c>
      <c r="C82" s="8" t="s">
        <v>1170</v>
      </c>
      <c r="D82" s="8" t="s">
        <v>1172</v>
      </c>
      <c r="E82" s="73" t="str">
        <f>VLOOKUP(C82,'[1]Sheet (2)'!$A$3:$G$5503,1,0)</f>
        <v>7.458051B51705000</v>
      </c>
      <c r="F82" s="8" t="s">
        <v>939</v>
      </c>
      <c r="G82" s="8" t="s">
        <v>1171</v>
      </c>
      <c r="H82" s="8"/>
      <c r="I82" s="76">
        <v>10.92</v>
      </c>
      <c r="J82" s="76">
        <f>VLOOKUP(C82,'[1]Sheet (2)'!$A$3:$H$5503,5,0)</f>
        <v>10.92</v>
      </c>
      <c r="K82" s="76">
        <f t="shared" si="3"/>
        <v>0</v>
      </c>
      <c r="L82" s="8" t="s">
        <v>931</v>
      </c>
      <c r="M82" s="73" t="str">
        <f t="shared" si="2"/>
        <v/>
      </c>
    </row>
    <row r="83" spans="1:13" ht="17.25" customHeight="1" x14ac:dyDescent="0.25">
      <c r="A83">
        <v>81</v>
      </c>
      <c r="B83" s="8" t="s">
        <v>931</v>
      </c>
      <c r="C83" s="8" t="s">
        <v>1173</v>
      </c>
      <c r="D83" s="8" t="s">
        <v>1175</v>
      </c>
      <c r="E83" s="73" t="str">
        <f>VLOOKUP(C83,'[1]Sheet (2)'!$A$3:$G$5503,1,0)</f>
        <v>7.460050030105030</v>
      </c>
      <c r="F83" s="8" t="s">
        <v>939</v>
      </c>
      <c r="G83" s="8" t="s">
        <v>1174</v>
      </c>
      <c r="H83" s="8"/>
      <c r="I83" s="76">
        <v>10.92</v>
      </c>
      <c r="J83" s="76">
        <f>VLOOKUP(C83,'[1]Sheet (2)'!$A$3:$H$5503,5,0)</f>
        <v>10.92</v>
      </c>
      <c r="K83" s="76">
        <f t="shared" si="3"/>
        <v>0</v>
      </c>
      <c r="L83" s="8" t="s">
        <v>931</v>
      </c>
      <c r="M83" s="73" t="str">
        <f t="shared" si="2"/>
        <v/>
      </c>
    </row>
    <row r="84" spans="1:13" ht="17.25" customHeight="1" x14ac:dyDescent="0.25">
      <c r="A84">
        <v>82</v>
      </c>
      <c r="B84" s="8" t="s">
        <v>931</v>
      </c>
      <c r="C84" s="8" t="s">
        <v>1176</v>
      </c>
      <c r="D84" s="8" t="s">
        <v>1177</v>
      </c>
      <c r="E84" s="73" t="str">
        <f>VLOOKUP(C84,'[1]Sheet (2)'!$A$3:$G$5503,1,0)</f>
        <v>7.131010031705O30</v>
      </c>
      <c r="F84" s="8" t="s">
        <v>939</v>
      </c>
      <c r="G84" s="8" t="s">
        <v>950</v>
      </c>
      <c r="H84" s="8"/>
      <c r="I84" s="76">
        <v>10.92</v>
      </c>
      <c r="J84" s="76">
        <f>VLOOKUP(C84,'[1]Sheet (2)'!$A$3:$H$5503,5,0)</f>
        <v>10.92</v>
      </c>
      <c r="K84" s="76">
        <f t="shared" si="3"/>
        <v>0</v>
      </c>
      <c r="L84" s="8" t="s">
        <v>931</v>
      </c>
      <c r="M84" s="73" t="str">
        <f t="shared" si="2"/>
        <v/>
      </c>
    </row>
    <row r="85" spans="1:13" ht="17.25" customHeight="1" x14ac:dyDescent="0.25">
      <c r="A85">
        <v>83</v>
      </c>
      <c r="B85" s="8" t="s">
        <v>931</v>
      </c>
      <c r="C85" s="8" t="s">
        <v>1178</v>
      </c>
      <c r="D85" s="8" t="s">
        <v>1179</v>
      </c>
      <c r="E85" s="73" t="str">
        <f>VLOOKUP(C85,'[1]Sheet (2)'!$A$3:$G$5503,1,0)</f>
        <v>7.131104281705P10</v>
      </c>
      <c r="F85" s="8" t="s">
        <v>939</v>
      </c>
      <c r="G85" s="8" t="s">
        <v>1128</v>
      </c>
      <c r="H85" s="8"/>
      <c r="I85" s="76">
        <v>10.92</v>
      </c>
      <c r="J85" s="76">
        <f>VLOOKUP(C85,'[1]Sheet (2)'!$A$3:$H$5503,5,0)</f>
        <v>10.92</v>
      </c>
      <c r="K85" s="76">
        <f t="shared" si="3"/>
        <v>0</v>
      </c>
      <c r="L85" s="8" t="s">
        <v>931</v>
      </c>
      <c r="M85" s="73" t="str">
        <f t="shared" si="2"/>
        <v/>
      </c>
    </row>
    <row r="86" spans="1:13" ht="17.25" customHeight="1" x14ac:dyDescent="0.25">
      <c r="A86">
        <v>84</v>
      </c>
      <c r="B86" s="8" t="s">
        <v>931</v>
      </c>
      <c r="C86" s="8" t="s">
        <v>1180</v>
      </c>
      <c r="D86" s="8" t="s">
        <v>1182</v>
      </c>
      <c r="E86" s="73" t="str">
        <f>VLOOKUP(C86,'[1]Sheet (2)'!$A$3:$G$5503,1,0)</f>
        <v>7.723025010100000</v>
      </c>
      <c r="F86" s="8" t="s">
        <v>935</v>
      </c>
      <c r="G86" s="8" t="s">
        <v>1181</v>
      </c>
      <c r="H86" s="8"/>
      <c r="I86" s="76">
        <v>25</v>
      </c>
      <c r="J86" s="76">
        <f>VLOOKUP(C86,'[1]Sheet (2)'!$A$3:$H$5503,5,0)</f>
        <v>25</v>
      </c>
      <c r="K86" s="76">
        <f t="shared" si="3"/>
        <v>0</v>
      </c>
      <c r="L86" s="8" t="s">
        <v>931</v>
      </c>
      <c r="M86" s="73" t="str">
        <f t="shared" si="2"/>
        <v/>
      </c>
    </row>
    <row r="87" spans="1:13" ht="17.25" customHeight="1" x14ac:dyDescent="0.25">
      <c r="A87">
        <v>85</v>
      </c>
      <c r="B87" s="8" t="s">
        <v>931</v>
      </c>
      <c r="C87" s="8" t="s">
        <v>1183</v>
      </c>
      <c r="D87" s="8" t="s">
        <v>1185</v>
      </c>
      <c r="E87" s="73" t="str">
        <f>VLOOKUP(C87,'[1]Sheet (2)'!$A$3:$G$5503,1,0)</f>
        <v>7.707587L82817000A</v>
      </c>
      <c r="F87" s="8" t="s">
        <v>939</v>
      </c>
      <c r="G87" s="8" t="s">
        <v>1184</v>
      </c>
      <c r="H87" s="8"/>
      <c r="I87" s="76">
        <v>11.904</v>
      </c>
      <c r="J87" s="76">
        <f>VLOOKUP(C87,'[1]Sheet (2)'!$A$3:$H$5503,5,0)</f>
        <v>11.904</v>
      </c>
      <c r="K87" s="76">
        <f t="shared" si="3"/>
        <v>0</v>
      </c>
      <c r="L87" s="8" t="s">
        <v>931</v>
      </c>
      <c r="M87" s="73" t="str">
        <f t="shared" si="2"/>
        <v/>
      </c>
    </row>
    <row r="88" spans="1:13" ht="17.25" customHeight="1" x14ac:dyDescent="0.25">
      <c r="A88">
        <v>86</v>
      </c>
      <c r="B88" s="8" t="s">
        <v>931</v>
      </c>
      <c r="C88" s="8" t="s">
        <v>1186</v>
      </c>
      <c r="D88" s="8" t="s">
        <v>1188</v>
      </c>
      <c r="E88" s="73" t="str">
        <f>VLOOKUP(C88,'[1]Sheet (2)'!$A$3:$G$5503,1,0)</f>
        <v>7.460050B91704030</v>
      </c>
      <c r="F88" s="8" t="s">
        <v>939</v>
      </c>
      <c r="G88" s="8" t="s">
        <v>1187</v>
      </c>
      <c r="H88" s="8"/>
      <c r="I88" s="76">
        <v>10.92</v>
      </c>
      <c r="J88" s="76">
        <f>VLOOKUP(C88,'[1]Sheet (2)'!$A$3:$H$5503,5,0)</f>
        <v>10.92</v>
      </c>
      <c r="K88" s="76">
        <f t="shared" si="3"/>
        <v>0</v>
      </c>
      <c r="L88" s="8" t="s">
        <v>931</v>
      </c>
      <c r="M88" s="73" t="str">
        <f t="shared" si="2"/>
        <v/>
      </c>
    </row>
    <row r="89" spans="1:13" ht="17.25" customHeight="1" x14ac:dyDescent="0.25">
      <c r="A89">
        <v>87</v>
      </c>
      <c r="B89" s="8" t="s">
        <v>931</v>
      </c>
      <c r="C89" s="8" t="s">
        <v>1189</v>
      </c>
      <c r="D89" s="8" t="s">
        <v>1191</v>
      </c>
      <c r="E89" s="73" t="str">
        <f>VLOOKUP(C89,'[1]Sheet (2)'!$A$3:$G$5503,1,0)</f>
        <v>7.131010061703O30</v>
      </c>
      <c r="F89" s="8" t="s">
        <v>939</v>
      </c>
      <c r="G89" s="8" t="s">
        <v>1190</v>
      </c>
      <c r="H89" s="8"/>
      <c r="I89" s="76">
        <v>18.2</v>
      </c>
      <c r="J89" s="76">
        <f>VLOOKUP(C89,'[1]Sheet (2)'!$A$3:$H$5503,5,0)</f>
        <v>18.2</v>
      </c>
      <c r="K89" s="76">
        <f t="shared" si="3"/>
        <v>0</v>
      </c>
      <c r="L89" s="8" t="s">
        <v>931</v>
      </c>
      <c r="M89" s="73" t="str">
        <f t="shared" si="2"/>
        <v/>
      </c>
    </row>
    <row r="90" spans="1:13" ht="17.25" customHeight="1" x14ac:dyDescent="0.25">
      <c r="A90">
        <v>88</v>
      </c>
      <c r="B90" s="8" t="s">
        <v>931</v>
      </c>
      <c r="C90" s="8" t="s">
        <v>1192</v>
      </c>
      <c r="D90" s="8" t="s">
        <v>1194</v>
      </c>
      <c r="E90" s="73" t="str">
        <f>VLOOKUP(C90,'[1]Sheet (2)'!$A$3:$G$5503,1,0)</f>
        <v>6.1212B64</v>
      </c>
      <c r="F90" s="8" t="s">
        <v>935</v>
      </c>
      <c r="G90" s="8" t="s">
        <v>1193</v>
      </c>
      <c r="H90" s="8"/>
      <c r="I90" s="76">
        <v>1</v>
      </c>
      <c r="J90" s="76">
        <f>VLOOKUP(C90,'[1]Sheet (2)'!$A$3:$H$5503,5,0)</f>
        <v>1</v>
      </c>
      <c r="K90" s="76">
        <f t="shared" si="3"/>
        <v>0</v>
      </c>
      <c r="L90" s="8" t="s">
        <v>931</v>
      </c>
      <c r="M90" s="73" t="str">
        <f t="shared" si="2"/>
        <v/>
      </c>
    </row>
    <row r="91" spans="1:13" ht="17.25" customHeight="1" x14ac:dyDescent="0.25">
      <c r="A91">
        <v>89</v>
      </c>
      <c r="B91" s="8" t="s">
        <v>931</v>
      </c>
      <c r="C91" s="8" t="s">
        <v>1195</v>
      </c>
      <c r="D91" s="8" t="s">
        <v>1197</v>
      </c>
      <c r="E91" s="73" t="str">
        <f>VLOOKUP(C91,'[1]Sheet (2)'!$A$3:$G$5503,1,0)</f>
        <v>7.131105031705P50</v>
      </c>
      <c r="F91" s="8" t="s">
        <v>939</v>
      </c>
      <c r="G91" s="8" t="s">
        <v>1196</v>
      </c>
      <c r="H91" s="8"/>
      <c r="I91" s="76">
        <v>10.92</v>
      </c>
      <c r="J91" s="76">
        <f>VLOOKUP(C91,'[1]Sheet (2)'!$A$3:$H$5503,5,0)</f>
        <v>10.92</v>
      </c>
      <c r="K91" s="76">
        <f t="shared" si="3"/>
        <v>0</v>
      </c>
      <c r="L91" s="8" t="s">
        <v>931</v>
      </c>
      <c r="M91" s="73" t="str">
        <f t="shared" si="2"/>
        <v/>
      </c>
    </row>
    <row r="92" spans="1:13" ht="17.25" customHeight="1" x14ac:dyDescent="0.25">
      <c r="A92">
        <v>90</v>
      </c>
      <c r="B92" s="8" t="s">
        <v>931</v>
      </c>
      <c r="C92" s="8" t="s">
        <v>1198</v>
      </c>
      <c r="D92" s="8" t="s">
        <v>1200</v>
      </c>
      <c r="E92" s="73" t="str">
        <f>VLOOKUP(C92,'[1]Sheet (2)'!$A$3:$G$5503,1,0)</f>
        <v>7.131105041704P50</v>
      </c>
      <c r="F92" s="8" t="s">
        <v>939</v>
      </c>
      <c r="G92" s="8" t="s">
        <v>1199</v>
      </c>
      <c r="H92" s="8"/>
      <c r="I92" s="76">
        <v>10.92</v>
      </c>
      <c r="J92" s="76">
        <f>VLOOKUP(C92,'[1]Sheet (2)'!$A$3:$H$5503,5,0)</f>
        <v>10.92</v>
      </c>
      <c r="K92" s="76">
        <f t="shared" si="3"/>
        <v>0</v>
      </c>
      <c r="L92" s="8" t="s">
        <v>931</v>
      </c>
      <c r="M92" s="73" t="str">
        <f t="shared" si="2"/>
        <v/>
      </c>
    </row>
    <row r="93" spans="1:13" ht="17.25" customHeight="1" x14ac:dyDescent="0.25">
      <c r="A93">
        <v>91</v>
      </c>
      <c r="B93" s="8" t="s">
        <v>931</v>
      </c>
      <c r="C93" s="8" t="s">
        <v>1201</v>
      </c>
      <c r="D93" s="8" t="s">
        <v>1203</v>
      </c>
      <c r="E93" s="73" t="str">
        <f>VLOOKUP(C93,'[1]Sheet (2)'!$A$3:$G$5503,1,0)</f>
        <v>N04.0018006.00445</v>
      </c>
      <c r="F93" s="8" t="s">
        <v>1204</v>
      </c>
      <c r="G93" s="8" t="s">
        <v>1202</v>
      </c>
      <c r="H93" s="8"/>
      <c r="I93" s="76">
        <v>0</v>
      </c>
      <c r="J93" s="76">
        <f>VLOOKUP(C93,'[1]Sheet (2)'!$A$3:$H$5503,5,0)</f>
        <v>0</v>
      </c>
      <c r="K93" s="76">
        <f t="shared" si="3"/>
        <v>0</v>
      </c>
      <c r="L93" s="8" t="s">
        <v>931</v>
      </c>
      <c r="M93" s="73" t="str">
        <f t="shared" si="2"/>
        <v/>
      </c>
    </row>
    <row r="94" spans="1:13" ht="17.25" customHeight="1" x14ac:dyDescent="0.25">
      <c r="A94">
        <v>92</v>
      </c>
      <c r="B94" s="8" t="s">
        <v>931</v>
      </c>
      <c r="C94" s="8" t="s">
        <v>1205</v>
      </c>
      <c r="D94" s="8" t="s">
        <v>1207</v>
      </c>
      <c r="E94" s="73" t="str">
        <f>VLOOKUP(C94,'[1]Sheet (2)'!$A$3:$G$5503,1,0)</f>
        <v>7.45805003010500</v>
      </c>
      <c r="F94" s="8" t="s">
        <v>939</v>
      </c>
      <c r="G94" s="8" t="s">
        <v>1206</v>
      </c>
      <c r="H94" s="8"/>
      <c r="I94" s="76">
        <v>10.92</v>
      </c>
      <c r="J94" s="76">
        <f>VLOOKUP(C94,'[1]Sheet (2)'!$A$3:$H$5503,5,0)</f>
        <v>10.92</v>
      </c>
      <c r="K94" s="76">
        <f t="shared" si="3"/>
        <v>0</v>
      </c>
      <c r="L94" s="8" t="s">
        <v>931</v>
      </c>
      <c r="M94" s="73" t="str">
        <f t="shared" si="2"/>
        <v/>
      </c>
    </row>
    <row r="95" spans="1:13" ht="17.25" customHeight="1" x14ac:dyDescent="0.25">
      <c r="A95">
        <v>93</v>
      </c>
      <c r="B95" s="8" t="s">
        <v>931</v>
      </c>
      <c r="C95" s="8" t="s">
        <v>1208</v>
      </c>
      <c r="D95" s="8" t="s">
        <v>1210</v>
      </c>
      <c r="E95" s="73" t="str">
        <f>VLOOKUP(C95,'[1]Sheet (2)'!$A$3:$G$5503,1,0)</f>
        <v>7.45105105010400</v>
      </c>
      <c r="F95" s="8" t="s">
        <v>939</v>
      </c>
      <c r="G95" s="8" t="s">
        <v>1209</v>
      </c>
      <c r="H95" s="8"/>
      <c r="I95" s="76">
        <v>10.92</v>
      </c>
      <c r="J95" s="76">
        <f>VLOOKUP(C95,'[1]Sheet (2)'!$A$3:$H$5503,5,0)</f>
        <v>10.92</v>
      </c>
      <c r="K95" s="76">
        <f t="shared" si="3"/>
        <v>0</v>
      </c>
      <c r="L95" s="8" t="s">
        <v>931</v>
      </c>
      <c r="M95" s="73" t="str">
        <f t="shared" si="2"/>
        <v/>
      </c>
    </row>
    <row r="96" spans="1:13" ht="17.25" customHeight="1" x14ac:dyDescent="0.25">
      <c r="A96">
        <v>94</v>
      </c>
      <c r="B96" s="8" t="s">
        <v>931</v>
      </c>
      <c r="C96" s="8" t="s">
        <v>1211</v>
      </c>
      <c r="D96" s="8" t="s">
        <v>1213</v>
      </c>
      <c r="E96" s="73" t="str">
        <f>VLOOKUP(C96,'[1]Sheet (2)'!$A$3:$G$5503,1,0)</f>
        <v>7.45105108010300</v>
      </c>
      <c r="F96" s="8" t="s">
        <v>939</v>
      </c>
      <c r="G96" s="8" t="s">
        <v>1212</v>
      </c>
      <c r="H96" s="8"/>
      <c r="I96" s="76">
        <v>18.2</v>
      </c>
      <c r="J96" s="76">
        <f>VLOOKUP(C96,'[1]Sheet (2)'!$A$3:$H$5503,5,0)</f>
        <v>18.2</v>
      </c>
      <c r="K96" s="76">
        <f t="shared" si="3"/>
        <v>0</v>
      </c>
      <c r="L96" s="8" t="s">
        <v>931</v>
      </c>
      <c r="M96" s="73" t="str">
        <f t="shared" si="2"/>
        <v/>
      </c>
    </row>
    <row r="97" spans="1:13" ht="17.25" customHeight="1" x14ac:dyDescent="0.25">
      <c r="A97">
        <v>95</v>
      </c>
      <c r="B97" s="8" t="s">
        <v>931</v>
      </c>
      <c r="C97" s="8" t="s">
        <v>1214</v>
      </c>
      <c r="D97" s="8" t="s">
        <v>1216</v>
      </c>
      <c r="E97" s="73" t="str">
        <f>VLOOKUP(C97,'[1]Sheet (2)'!$A$3:$G$5503,1,0)</f>
        <v>7.451050440106000</v>
      </c>
      <c r="F97" s="8" t="s">
        <v>939</v>
      </c>
      <c r="G97" s="8" t="s">
        <v>1215</v>
      </c>
      <c r="H97" s="8"/>
      <c r="I97" s="76">
        <v>8.7360000000000007</v>
      </c>
      <c r="J97" s="76">
        <f>VLOOKUP(C97,'[1]Sheet (2)'!$A$3:$H$5503,5,0)</f>
        <v>8.7360000000000007</v>
      </c>
      <c r="K97" s="76">
        <f t="shared" si="3"/>
        <v>0</v>
      </c>
      <c r="L97" s="8" t="s">
        <v>931</v>
      </c>
      <c r="M97" s="73" t="str">
        <f t="shared" si="2"/>
        <v/>
      </c>
    </row>
    <row r="98" spans="1:13" ht="17.25" customHeight="1" x14ac:dyDescent="0.25">
      <c r="A98">
        <v>96</v>
      </c>
      <c r="B98" s="8" t="s">
        <v>931</v>
      </c>
      <c r="C98" s="8" t="s">
        <v>1217</v>
      </c>
      <c r="D98" s="8" t="s">
        <v>1218</v>
      </c>
      <c r="E98" s="73" t="str">
        <f>VLOOKUP(C98,'[1]Sheet (2)'!$A$3:$G$5503,1,0)</f>
        <v>7.131104A41703P10</v>
      </c>
      <c r="F98" s="8" t="s">
        <v>939</v>
      </c>
      <c r="G98" s="8" t="s">
        <v>956</v>
      </c>
      <c r="H98" s="8"/>
      <c r="I98" s="76">
        <v>18.2</v>
      </c>
      <c r="J98" s="76">
        <f>VLOOKUP(C98,'[1]Sheet (2)'!$A$3:$H$5503,5,0)</f>
        <v>18.2</v>
      </c>
      <c r="K98" s="76">
        <f t="shared" si="3"/>
        <v>0</v>
      </c>
      <c r="L98" s="8" t="s">
        <v>931</v>
      </c>
      <c r="M98" s="73" t="str">
        <f t="shared" si="2"/>
        <v/>
      </c>
    </row>
    <row r="99" spans="1:13" ht="17.25" customHeight="1" x14ac:dyDescent="0.25">
      <c r="A99">
        <v>97</v>
      </c>
      <c r="B99" s="8" t="s">
        <v>931</v>
      </c>
      <c r="C99" s="8" t="s">
        <v>1219</v>
      </c>
      <c r="D99" s="8" t="s">
        <v>1220</v>
      </c>
      <c r="E99" s="73" t="str">
        <f>VLOOKUP(C99,'[1]Sheet (2)'!$A$3:$G$5503,1,0)</f>
        <v>7.131010591201O40</v>
      </c>
      <c r="F99" s="8" t="s">
        <v>964</v>
      </c>
      <c r="G99" s="8" t="s">
        <v>966</v>
      </c>
      <c r="H99" s="8"/>
      <c r="I99" s="76">
        <v>25</v>
      </c>
      <c r="J99" s="76">
        <f>VLOOKUP(C99,'[1]Sheet (2)'!$A$3:$H$5503,5,0)</f>
        <v>25</v>
      </c>
      <c r="K99" s="76">
        <f t="shared" si="3"/>
        <v>0</v>
      </c>
      <c r="L99" s="8" t="s">
        <v>931</v>
      </c>
      <c r="M99" s="73" t="str">
        <f t="shared" si="2"/>
        <v/>
      </c>
    </row>
    <row r="100" spans="1:13" ht="17.25" customHeight="1" x14ac:dyDescent="0.25">
      <c r="A100">
        <v>98</v>
      </c>
      <c r="B100" s="8" t="s">
        <v>931</v>
      </c>
      <c r="C100" s="8" t="s">
        <v>1221</v>
      </c>
      <c r="D100" s="8" t="s">
        <v>1223</v>
      </c>
      <c r="E100" s="73" t="str">
        <f>VLOOKUP(C100,'[1]Sheet (2)'!$A$3:$G$5503,1,0)</f>
        <v>7.45105279090100</v>
      </c>
      <c r="F100" s="8" t="s">
        <v>935</v>
      </c>
      <c r="G100" s="8" t="s">
        <v>1222</v>
      </c>
      <c r="H100" s="8"/>
      <c r="I100" s="76">
        <v>18</v>
      </c>
      <c r="J100" s="76">
        <f>VLOOKUP(C100,'[1]Sheet (2)'!$A$3:$H$5503,5,0)</f>
        <v>18</v>
      </c>
      <c r="K100" s="76">
        <f t="shared" si="3"/>
        <v>0</v>
      </c>
      <c r="L100" s="8" t="s">
        <v>931</v>
      </c>
      <c r="M100" s="73" t="str">
        <f t="shared" si="2"/>
        <v/>
      </c>
    </row>
    <row r="101" spans="1:13" ht="17.25" customHeight="1" x14ac:dyDescent="0.25">
      <c r="A101">
        <v>99</v>
      </c>
      <c r="B101" s="8" t="s">
        <v>931</v>
      </c>
      <c r="C101" s="8" t="s">
        <v>1224</v>
      </c>
      <c r="D101" s="8" t="s">
        <v>1226</v>
      </c>
      <c r="E101" s="73" t="str">
        <f>VLOOKUP(C101,'[1]Sheet (2)'!$A$3:$G$5503,1,0)</f>
        <v>7.101089580800910</v>
      </c>
      <c r="F101" s="8" t="s">
        <v>935</v>
      </c>
      <c r="G101" s="8" t="s">
        <v>1225</v>
      </c>
      <c r="H101" s="8"/>
      <c r="I101" s="76">
        <v>20</v>
      </c>
      <c r="J101" s="76">
        <f>VLOOKUP(C101,'[1]Sheet (2)'!$A$3:$H$5503,5,0)</f>
        <v>20</v>
      </c>
      <c r="K101" s="76">
        <f t="shared" si="3"/>
        <v>0</v>
      </c>
      <c r="L101" s="8" t="s">
        <v>931</v>
      </c>
      <c r="M101" s="73" t="str">
        <f t="shared" si="2"/>
        <v/>
      </c>
    </row>
    <row r="102" spans="1:13" ht="17.25" customHeight="1" x14ac:dyDescent="0.25">
      <c r="A102">
        <v>100</v>
      </c>
      <c r="B102" s="8" t="s">
        <v>931</v>
      </c>
      <c r="C102" s="8" t="s">
        <v>1227</v>
      </c>
      <c r="D102" s="8" t="s">
        <v>1229</v>
      </c>
      <c r="E102" s="73" t="str">
        <f>VLOOKUP(C102,'[1]Sheet (2)'!$A$3:$G$5503,1,0)</f>
        <v>7.704236E03717000H</v>
      </c>
      <c r="F102" s="8" t="s">
        <v>939</v>
      </c>
      <c r="G102" s="8" t="s">
        <v>1228</v>
      </c>
      <c r="H102" s="8"/>
      <c r="I102" s="76">
        <v>10</v>
      </c>
      <c r="J102" s="76">
        <f>VLOOKUP(C102,'[1]Sheet (2)'!$A$3:$H$5503,5,0)</f>
        <v>10</v>
      </c>
      <c r="K102" s="76">
        <f t="shared" si="3"/>
        <v>0</v>
      </c>
      <c r="L102" s="8" t="s">
        <v>931</v>
      </c>
      <c r="M102" s="73" t="str">
        <f t="shared" si="2"/>
        <v/>
      </c>
    </row>
    <row r="103" spans="1:13" ht="17.25" customHeight="1" x14ac:dyDescent="0.25">
      <c r="A103">
        <v>101</v>
      </c>
      <c r="B103" s="8" t="s">
        <v>931</v>
      </c>
      <c r="C103" s="8" t="s">
        <v>1230</v>
      </c>
      <c r="D103" s="8" t="s">
        <v>1232</v>
      </c>
      <c r="E103" s="73" t="str">
        <f>VLOOKUP(C103,'[1]Sheet (2)'!$A$3:$G$5503,1,0)</f>
        <v>7.704237E03717000H</v>
      </c>
      <c r="F103" s="8" t="s">
        <v>939</v>
      </c>
      <c r="G103" s="8" t="s">
        <v>1231</v>
      </c>
      <c r="H103" s="8"/>
      <c r="I103" s="76">
        <v>10</v>
      </c>
      <c r="J103" s="76">
        <f>VLOOKUP(C103,'[1]Sheet (2)'!$A$3:$H$5503,5,0)</f>
        <v>10</v>
      </c>
      <c r="K103" s="76">
        <f t="shared" si="3"/>
        <v>0</v>
      </c>
      <c r="L103" s="8" t="s">
        <v>931</v>
      </c>
      <c r="M103" s="73" t="str">
        <f t="shared" si="2"/>
        <v/>
      </c>
    </row>
    <row r="104" spans="1:13" ht="17.25" customHeight="1" x14ac:dyDescent="0.25">
      <c r="A104">
        <v>102</v>
      </c>
      <c r="B104" s="8" t="s">
        <v>931</v>
      </c>
      <c r="C104" s="8" t="s">
        <v>1233</v>
      </c>
      <c r="D104" s="8" t="s">
        <v>1235</v>
      </c>
      <c r="E104" s="73" t="str">
        <f>VLOOKUP(C104,'[1]Sheet (2)'!$A$3:$G$5503,1,0)</f>
        <v>7.101172570901A00</v>
      </c>
      <c r="F104" s="8" t="s">
        <v>935</v>
      </c>
      <c r="G104" s="8" t="s">
        <v>1234</v>
      </c>
      <c r="H104" s="8"/>
      <c r="I104" s="76">
        <v>18</v>
      </c>
      <c r="J104" s="76">
        <f>VLOOKUP(C104,'[1]Sheet (2)'!$A$3:$H$5503,5,0)</f>
        <v>18</v>
      </c>
      <c r="K104" s="76">
        <f t="shared" si="3"/>
        <v>0</v>
      </c>
      <c r="L104" s="8" t="s">
        <v>931</v>
      </c>
      <c r="M104" s="73" t="str">
        <f t="shared" si="2"/>
        <v/>
      </c>
    </row>
    <row r="105" spans="1:13" ht="17.25" customHeight="1" x14ac:dyDescent="0.25">
      <c r="A105">
        <v>103</v>
      </c>
      <c r="B105" s="8" t="s">
        <v>931</v>
      </c>
      <c r="C105" s="8" t="s">
        <v>1236</v>
      </c>
      <c r="D105" s="8" t="s">
        <v>1238</v>
      </c>
      <c r="E105" s="73" t="str">
        <f>VLOOKUP(C105,'[1]Sheet (2)'!$A$3:$G$5503,1,0)</f>
        <v>7.1060140333708010</v>
      </c>
      <c r="F105" s="8" t="s">
        <v>935</v>
      </c>
      <c r="G105" s="8" t="s">
        <v>1237</v>
      </c>
      <c r="H105" s="8"/>
      <c r="I105" s="76">
        <v>25</v>
      </c>
      <c r="J105" s="76">
        <f>VLOOKUP(C105,'[1]Sheet (2)'!$A$3:$H$5503,5,0)</f>
        <v>25</v>
      </c>
      <c r="K105" s="76">
        <f t="shared" si="3"/>
        <v>0</v>
      </c>
      <c r="L105" s="8" t="s">
        <v>931</v>
      </c>
      <c r="M105" s="73" t="str">
        <f t="shared" si="2"/>
        <v/>
      </c>
    </row>
    <row r="106" spans="1:13" ht="17.25" customHeight="1" x14ac:dyDescent="0.25">
      <c r="A106">
        <v>104</v>
      </c>
      <c r="B106" s="8" t="s">
        <v>931</v>
      </c>
      <c r="C106" s="8" t="s">
        <v>1239</v>
      </c>
      <c r="D106" s="8" t="s">
        <v>1241</v>
      </c>
      <c r="E106" s="73" t="str">
        <f>VLOOKUP(C106,'[1]Sheet (2)'!$A$3:$G$5503,1,0)</f>
        <v>7.707664N52817000X</v>
      </c>
      <c r="F106" s="8" t="s">
        <v>939</v>
      </c>
      <c r="G106" s="8" t="s">
        <v>1240</v>
      </c>
      <c r="H106" s="8"/>
      <c r="I106" s="76">
        <v>18</v>
      </c>
      <c r="J106" s="76">
        <f>VLOOKUP(C106,'[1]Sheet (2)'!$A$3:$H$5503,5,0)</f>
        <v>18</v>
      </c>
      <c r="K106" s="76">
        <f t="shared" si="3"/>
        <v>0</v>
      </c>
      <c r="L106" s="8" t="s">
        <v>931</v>
      </c>
      <c r="M106" s="73" t="str">
        <f t="shared" si="2"/>
        <v/>
      </c>
    </row>
    <row r="107" spans="1:13" ht="17.25" customHeight="1" x14ac:dyDescent="0.25">
      <c r="A107">
        <v>105</v>
      </c>
      <c r="B107" s="8" t="s">
        <v>931</v>
      </c>
      <c r="C107" s="8" t="s">
        <v>1242</v>
      </c>
      <c r="D107" s="8" t="s">
        <v>1244</v>
      </c>
      <c r="E107" s="73" t="str">
        <f>VLOOKUP(C107,'[1]Sheet (2)'!$A$3:$G$5503,1,0)</f>
        <v>7.707662N52817000X</v>
      </c>
      <c r="F107" s="8" t="s">
        <v>939</v>
      </c>
      <c r="G107" s="8" t="s">
        <v>1243</v>
      </c>
      <c r="H107" s="8"/>
      <c r="I107" s="76">
        <v>18</v>
      </c>
      <c r="J107" s="76">
        <f>VLOOKUP(C107,'[1]Sheet (2)'!$A$3:$H$5503,5,0)</f>
        <v>18</v>
      </c>
      <c r="K107" s="76">
        <f t="shared" si="3"/>
        <v>0</v>
      </c>
      <c r="L107" s="8" t="s">
        <v>931</v>
      </c>
      <c r="M107" s="73" t="str">
        <f t="shared" si="2"/>
        <v/>
      </c>
    </row>
    <row r="108" spans="1:13" ht="17.25" customHeight="1" x14ac:dyDescent="0.25">
      <c r="A108">
        <v>106</v>
      </c>
      <c r="B108" s="8" t="s">
        <v>931</v>
      </c>
      <c r="C108" s="8" t="s">
        <v>1245</v>
      </c>
      <c r="D108" s="8" t="s">
        <v>1247</v>
      </c>
      <c r="E108" s="73" t="str">
        <f>VLOOKUP(C108,'[1]Sheet (2)'!$A$3:$G$5503,1,0)</f>
        <v>7.707663N52817000X</v>
      </c>
      <c r="F108" s="8" t="s">
        <v>939</v>
      </c>
      <c r="G108" s="8" t="s">
        <v>1246</v>
      </c>
      <c r="H108" s="8"/>
      <c r="I108" s="76">
        <v>18</v>
      </c>
      <c r="J108" s="76">
        <f>VLOOKUP(C108,'[1]Sheet (2)'!$A$3:$H$5503,5,0)</f>
        <v>18</v>
      </c>
      <c r="K108" s="76">
        <f t="shared" si="3"/>
        <v>0</v>
      </c>
      <c r="L108" s="8" t="s">
        <v>931</v>
      </c>
      <c r="M108" s="73" t="str">
        <f t="shared" si="2"/>
        <v/>
      </c>
    </row>
    <row r="109" spans="1:13" ht="17.25" customHeight="1" x14ac:dyDescent="0.25">
      <c r="A109">
        <v>107</v>
      </c>
      <c r="B109" s="8" t="s">
        <v>931</v>
      </c>
      <c r="C109" s="8" t="s">
        <v>1248</v>
      </c>
      <c r="D109" s="8" t="s">
        <v>1250</v>
      </c>
      <c r="E109" s="73" t="str">
        <f>VLOOKUP(C109,'[1]Sheet (2)'!$A$3:$G$5503,1,0)</f>
        <v>7.131087121706H10</v>
      </c>
      <c r="F109" s="8" t="s">
        <v>939</v>
      </c>
      <c r="G109" s="8" t="s">
        <v>1249</v>
      </c>
      <c r="H109" s="8"/>
      <c r="I109" s="76">
        <v>8.7360000000000007</v>
      </c>
      <c r="J109" s="76">
        <f>VLOOKUP(C109,'[1]Sheet (2)'!$A$3:$H$5503,5,0)</f>
        <v>8.7360000000000007</v>
      </c>
      <c r="K109" s="76">
        <f t="shared" si="3"/>
        <v>0</v>
      </c>
      <c r="L109" s="8" t="s">
        <v>931</v>
      </c>
      <c r="M109" s="73" t="str">
        <f t="shared" si="2"/>
        <v/>
      </c>
    </row>
    <row r="110" spans="1:13" ht="17.25" customHeight="1" x14ac:dyDescent="0.25">
      <c r="A110">
        <v>108</v>
      </c>
      <c r="B110" s="8" t="s">
        <v>931</v>
      </c>
      <c r="C110" s="8" t="s">
        <v>1251</v>
      </c>
      <c r="D110" s="8" t="s">
        <v>1253</v>
      </c>
      <c r="E110" s="73" t="str">
        <f>VLOOKUP(C110,'[1]Sheet (2)'!$A$3:$G$5503,1,0)</f>
        <v>7.1070120201508010</v>
      </c>
      <c r="F110" s="8" t="s">
        <v>939</v>
      </c>
      <c r="G110" s="8" t="s">
        <v>1252</v>
      </c>
      <c r="H110" s="8"/>
      <c r="I110" s="76">
        <v>20</v>
      </c>
      <c r="J110" s="76">
        <f>VLOOKUP(C110,'[1]Sheet (2)'!$A$3:$H$5503,5,0)</f>
        <v>20</v>
      </c>
      <c r="K110" s="76">
        <f t="shared" si="3"/>
        <v>0</v>
      </c>
      <c r="L110" s="8" t="s">
        <v>931</v>
      </c>
      <c r="M110" s="73" t="str">
        <f t="shared" si="2"/>
        <v/>
      </c>
    </row>
    <row r="111" spans="1:13" ht="17.25" customHeight="1" x14ac:dyDescent="0.25">
      <c r="A111">
        <v>109</v>
      </c>
      <c r="B111" s="8" t="s">
        <v>931</v>
      </c>
      <c r="C111" s="8" t="s">
        <v>1254</v>
      </c>
      <c r="D111" s="8" t="s">
        <v>1256</v>
      </c>
      <c r="E111" s="73" t="str">
        <f>VLOOKUP(C111,'[1]Sheet (2)'!$A$3:$G$5503,1,0)</f>
        <v>7.131036560800D60</v>
      </c>
      <c r="F111" s="8" t="s">
        <v>935</v>
      </c>
      <c r="G111" s="8" t="s">
        <v>1255</v>
      </c>
      <c r="H111" s="8"/>
      <c r="I111" s="76">
        <v>15</v>
      </c>
      <c r="J111" s="76">
        <f>VLOOKUP(C111,'[1]Sheet (2)'!$A$3:$H$5503,5,0)</f>
        <v>15</v>
      </c>
      <c r="K111" s="76">
        <f t="shared" si="3"/>
        <v>0</v>
      </c>
      <c r="L111" s="8" t="s">
        <v>931</v>
      </c>
      <c r="M111" s="73" t="str">
        <f t="shared" si="2"/>
        <v/>
      </c>
    </row>
    <row r="112" spans="1:13" ht="17.25" customHeight="1" x14ac:dyDescent="0.25">
      <c r="A112">
        <v>110</v>
      </c>
      <c r="B112" s="8" t="s">
        <v>931</v>
      </c>
      <c r="C112" s="8" t="s">
        <v>1257</v>
      </c>
      <c r="D112" s="8" t="s">
        <v>1259</v>
      </c>
      <c r="E112" s="73" t="str">
        <f>VLOOKUP(C112,'[1]Sheet (2)'!$A$3:$G$5503,1,0)</f>
        <v>7.107033089153300</v>
      </c>
      <c r="F112" s="8" t="s">
        <v>935</v>
      </c>
      <c r="G112" s="8" t="s">
        <v>1258</v>
      </c>
      <c r="H112" s="8"/>
      <c r="I112" s="76">
        <v>18</v>
      </c>
      <c r="J112" s="76">
        <f>VLOOKUP(C112,'[1]Sheet (2)'!$A$3:$H$5503,5,0)</f>
        <v>18</v>
      </c>
      <c r="K112" s="76">
        <f t="shared" si="3"/>
        <v>0</v>
      </c>
      <c r="L112" s="8" t="s">
        <v>931</v>
      </c>
      <c r="M112" s="73" t="str">
        <f t="shared" si="2"/>
        <v/>
      </c>
    </row>
    <row r="113" spans="1:13" ht="17.25" customHeight="1" x14ac:dyDescent="0.25">
      <c r="A113">
        <v>111</v>
      </c>
      <c r="B113" s="8" t="s">
        <v>931</v>
      </c>
      <c r="C113" s="8" t="s">
        <v>1260</v>
      </c>
      <c r="D113" s="8" t="s">
        <v>1262</v>
      </c>
      <c r="E113" s="73" t="str">
        <f>VLOOKUP(C113,'[1]Sheet (2)'!$A$3:$G$5503,1,0)</f>
        <v>7.706102031501200</v>
      </c>
      <c r="F113" s="8" t="s">
        <v>935</v>
      </c>
      <c r="G113" s="8" t="s">
        <v>1261</v>
      </c>
      <c r="H113" s="8"/>
      <c r="I113" s="76">
        <v>250</v>
      </c>
      <c r="J113" s="76">
        <f>VLOOKUP(C113,'[1]Sheet (2)'!$A$3:$H$5503,5,0)</f>
        <v>250</v>
      </c>
      <c r="K113" s="76">
        <f t="shared" si="3"/>
        <v>0</v>
      </c>
      <c r="L113" s="8" t="s">
        <v>931</v>
      </c>
      <c r="M113" s="73" t="str">
        <f t="shared" si="2"/>
        <v/>
      </c>
    </row>
    <row r="114" spans="1:13" ht="17.25" customHeight="1" x14ac:dyDescent="0.25">
      <c r="A114">
        <v>112</v>
      </c>
      <c r="B114" s="8" t="s">
        <v>931</v>
      </c>
      <c r="C114" s="8" t="s">
        <v>1263</v>
      </c>
      <c r="D114" s="8" t="s">
        <v>1265</v>
      </c>
      <c r="E114" s="73" t="str">
        <f>VLOOKUP(C114,'[1]Sheet (2)'!$A$3:$G$5503,1,0)</f>
        <v>7.704229N528170019</v>
      </c>
      <c r="F114" s="8" t="s">
        <v>939</v>
      </c>
      <c r="G114" s="8" t="s">
        <v>1264</v>
      </c>
      <c r="H114" s="8"/>
      <c r="I114" s="76">
        <v>18</v>
      </c>
      <c r="J114" s="76">
        <f>VLOOKUP(C114,'[1]Sheet (2)'!$A$3:$H$5503,5,0)</f>
        <v>18</v>
      </c>
      <c r="K114" s="76">
        <f t="shared" si="3"/>
        <v>0</v>
      </c>
      <c r="L114" s="8" t="s">
        <v>931</v>
      </c>
      <c r="M114" s="73" t="str">
        <f t="shared" si="2"/>
        <v/>
      </c>
    </row>
    <row r="115" spans="1:13" ht="17.25" customHeight="1" x14ac:dyDescent="0.25">
      <c r="A115">
        <v>113</v>
      </c>
      <c r="B115" s="8" t="s">
        <v>931</v>
      </c>
      <c r="C115" s="8" t="s">
        <v>1266</v>
      </c>
      <c r="D115" s="8" t="s">
        <v>1268</v>
      </c>
      <c r="E115" s="73" t="str">
        <f>VLOOKUP(C115,'[1]Sheet (2)'!$A$3:$G$5503,1,0)</f>
        <v>7.131005E41702C50</v>
      </c>
      <c r="F115" s="8" t="s">
        <v>939</v>
      </c>
      <c r="G115" s="8" t="s">
        <v>1267</v>
      </c>
      <c r="H115" s="8"/>
      <c r="I115" s="76">
        <v>18</v>
      </c>
      <c r="J115" s="76">
        <f>VLOOKUP(C115,'[1]Sheet (2)'!$A$3:$H$5503,5,0)</f>
        <v>18</v>
      </c>
      <c r="K115" s="76">
        <f t="shared" si="3"/>
        <v>0</v>
      </c>
      <c r="L115" s="8" t="s">
        <v>931</v>
      </c>
      <c r="M115" s="73" t="str">
        <f t="shared" si="2"/>
        <v/>
      </c>
    </row>
    <row r="116" spans="1:13" ht="17.25" customHeight="1" x14ac:dyDescent="0.25">
      <c r="A116">
        <v>114</v>
      </c>
      <c r="B116" s="8" t="s">
        <v>931</v>
      </c>
      <c r="C116" s="8" t="s">
        <v>1269</v>
      </c>
      <c r="D116" s="8" t="s">
        <v>1271</v>
      </c>
      <c r="E116" s="73" t="str">
        <f>VLOOKUP(C116,'[1]Sheet (2)'!$A$3:$G$5503,1,0)</f>
        <v>7.1070120291508010</v>
      </c>
      <c r="F116" s="8" t="s">
        <v>935</v>
      </c>
      <c r="G116" s="8" t="s">
        <v>1270</v>
      </c>
      <c r="H116" s="8"/>
      <c r="I116" s="76">
        <v>20</v>
      </c>
      <c r="J116" s="76">
        <f>VLOOKUP(C116,'[1]Sheet (2)'!$A$3:$H$5503,5,0)</f>
        <v>20</v>
      </c>
      <c r="K116" s="76">
        <f t="shared" si="3"/>
        <v>0</v>
      </c>
      <c r="L116" s="8" t="s">
        <v>931</v>
      </c>
      <c r="M116" s="73" t="str">
        <f t="shared" si="2"/>
        <v/>
      </c>
    </row>
    <row r="117" spans="1:13" ht="17.25" customHeight="1" x14ac:dyDescent="0.25">
      <c r="A117">
        <v>115</v>
      </c>
      <c r="B117" s="8" t="s">
        <v>931</v>
      </c>
      <c r="C117" s="8" t="s">
        <v>1272</v>
      </c>
      <c r="D117" s="8" t="s">
        <v>1274</v>
      </c>
      <c r="E117" s="73" t="str">
        <f>VLOOKUP(C117,'[1]Sheet (2)'!$A$3:$G$5503,1,0)</f>
        <v>7.707662P53717000H</v>
      </c>
      <c r="F117" s="8" t="s">
        <v>939</v>
      </c>
      <c r="G117" s="8" t="s">
        <v>1273</v>
      </c>
      <c r="H117" s="8"/>
      <c r="I117" s="76">
        <v>12.8</v>
      </c>
      <c r="J117" s="76">
        <f>VLOOKUP(C117,'[1]Sheet (2)'!$A$3:$H$5503,5,0)</f>
        <v>12.8</v>
      </c>
      <c r="K117" s="76">
        <f t="shared" si="3"/>
        <v>0</v>
      </c>
      <c r="L117" s="8" t="s">
        <v>931</v>
      </c>
      <c r="M117" s="73" t="str">
        <f t="shared" si="2"/>
        <v/>
      </c>
    </row>
    <row r="118" spans="1:13" ht="17.25" customHeight="1" x14ac:dyDescent="0.25">
      <c r="A118">
        <v>116</v>
      </c>
      <c r="B118" s="8" t="s">
        <v>931</v>
      </c>
      <c r="C118" s="8" t="s">
        <v>1275</v>
      </c>
      <c r="D118" s="8" t="s">
        <v>1277</v>
      </c>
      <c r="E118" s="73" t="str">
        <f>VLOOKUP(C118,'[1]Sheet (2)'!$A$3:$G$5503,1,0)</f>
        <v>7.704235913717001L</v>
      </c>
      <c r="F118" s="8" t="s">
        <v>1051</v>
      </c>
      <c r="G118" s="8" t="s">
        <v>1276</v>
      </c>
      <c r="H118" s="8"/>
      <c r="I118" s="76">
        <v>12.6</v>
      </c>
      <c r="J118" s="76">
        <f>VLOOKUP(C118,'[1]Sheet (2)'!$A$3:$H$5503,5,0)</f>
        <v>12.6</v>
      </c>
      <c r="K118" s="76">
        <f t="shared" si="3"/>
        <v>0</v>
      </c>
      <c r="L118" s="8" t="s">
        <v>931</v>
      </c>
      <c r="M118" s="73" t="str">
        <f t="shared" si="2"/>
        <v/>
      </c>
    </row>
    <row r="119" spans="1:13" ht="17.25" customHeight="1" x14ac:dyDescent="0.25">
      <c r="A119">
        <v>117</v>
      </c>
      <c r="B119" s="8" t="s">
        <v>931</v>
      </c>
      <c r="C119" s="8" t="s">
        <v>1278</v>
      </c>
      <c r="D119" s="8" t="s">
        <v>1279</v>
      </c>
      <c r="E119" s="73" t="str">
        <f>VLOOKUP(C119,'[1]Sheet (2)'!$A$3:$G$5503,1,0)</f>
        <v>7.131009061703O90</v>
      </c>
      <c r="F119" s="8" t="s">
        <v>939</v>
      </c>
      <c r="G119" s="8" t="s">
        <v>1190</v>
      </c>
      <c r="H119" s="8"/>
      <c r="I119" s="76">
        <v>18.2</v>
      </c>
      <c r="J119" s="76">
        <f>VLOOKUP(C119,'[1]Sheet (2)'!$A$3:$H$5503,5,0)</f>
        <v>18.2</v>
      </c>
      <c r="K119" s="76">
        <f t="shared" si="3"/>
        <v>0</v>
      </c>
      <c r="L119" s="8" t="s">
        <v>931</v>
      </c>
      <c r="M119" s="73" t="str">
        <f t="shared" si="2"/>
        <v/>
      </c>
    </row>
    <row r="120" spans="1:13" ht="17.25" customHeight="1" x14ac:dyDescent="0.25">
      <c r="A120">
        <v>118</v>
      </c>
      <c r="B120" s="8" t="s">
        <v>931</v>
      </c>
      <c r="C120" s="8" t="s">
        <v>1280</v>
      </c>
      <c r="D120" s="8" t="s">
        <v>1282</v>
      </c>
      <c r="E120" s="73" t="str">
        <f>VLOOKUP(C120,'[1]Sheet (2)'!$A$3:$G$5503,1,0)</f>
        <v>7.131009570901O50</v>
      </c>
      <c r="F120" s="8" t="s">
        <v>939</v>
      </c>
      <c r="G120" s="8" t="s">
        <v>1281</v>
      </c>
      <c r="H120" s="8"/>
      <c r="I120" s="76">
        <v>18</v>
      </c>
      <c r="J120" s="76">
        <f>VLOOKUP(C120,'[1]Sheet (2)'!$A$3:$H$5503,5,0)</f>
        <v>18</v>
      </c>
      <c r="K120" s="76">
        <f t="shared" si="3"/>
        <v>0</v>
      </c>
      <c r="L120" s="8" t="s">
        <v>931</v>
      </c>
      <c r="M120" s="73" t="str">
        <f t="shared" si="2"/>
        <v/>
      </c>
    </row>
    <row r="121" spans="1:13" ht="17.25" customHeight="1" x14ac:dyDescent="0.25">
      <c r="A121">
        <v>119</v>
      </c>
      <c r="B121" s="8" t="s">
        <v>931</v>
      </c>
      <c r="C121" s="8" t="s">
        <v>1283</v>
      </c>
      <c r="D121" s="8" t="s">
        <v>1285</v>
      </c>
      <c r="E121" s="73" t="str">
        <f>VLOOKUP(C121,'[1]Sheet (2)'!$A$3:$G$5503,1,0)</f>
        <v>7.131087F11702H10</v>
      </c>
      <c r="F121" s="8" t="s">
        <v>939</v>
      </c>
      <c r="G121" s="8" t="s">
        <v>1284</v>
      </c>
      <c r="H121" s="8"/>
      <c r="I121" s="76">
        <v>18</v>
      </c>
      <c r="J121" s="76">
        <f>VLOOKUP(C121,'[1]Sheet (2)'!$A$3:$H$5503,5,0)</f>
        <v>18</v>
      </c>
      <c r="K121" s="76">
        <f t="shared" si="3"/>
        <v>0</v>
      </c>
      <c r="L121" s="8" t="s">
        <v>931</v>
      </c>
      <c r="M121" s="73" t="str">
        <f t="shared" si="2"/>
        <v/>
      </c>
    </row>
    <row r="122" spans="1:13" ht="17.25" customHeight="1" x14ac:dyDescent="0.25">
      <c r="A122">
        <v>120</v>
      </c>
      <c r="B122" s="8" t="s">
        <v>931</v>
      </c>
      <c r="C122" s="8" t="s">
        <v>1286</v>
      </c>
      <c r="D122" s="8" t="s">
        <v>1288</v>
      </c>
      <c r="E122" s="73" t="str">
        <f>VLOOKUP(C122,'[1]Sheet (2)'!$A$3:$G$5503,1,0)</f>
        <v>7.707707652817000H</v>
      </c>
      <c r="F122" s="8" t="s">
        <v>939</v>
      </c>
      <c r="G122" s="8" t="s">
        <v>1287</v>
      </c>
      <c r="H122" s="8"/>
      <c r="I122" s="76">
        <v>14</v>
      </c>
      <c r="J122" s="76">
        <f>VLOOKUP(C122,'[1]Sheet (2)'!$A$3:$H$5503,5,0)</f>
        <v>14</v>
      </c>
      <c r="K122" s="76">
        <f t="shared" si="3"/>
        <v>0</v>
      </c>
      <c r="L122" s="8" t="s">
        <v>931</v>
      </c>
      <c r="M122" s="73" t="str">
        <f t="shared" si="2"/>
        <v/>
      </c>
    </row>
    <row r="123" spans="1:13" ht="17.25" customHeight="1" x14ac:dyDescent="0.25">
      <c r="A123">
        <v>121</v>
      </c>
      <c r="B123" s="8" t="s">
        <v>931</v>
      </c>
      <c r="C123" s="8" t="s">
        <v>1289</v>
      </c>
      <c r="D123" s="8" t="s">
        <v>1291</v>
      </c>
      <c r="E123" s="73" t="str">
        <f>VLOOKUP(C123,'[1]Sheet (2)'!$A$3:$G$5503,1,0)</f>
        <v>7.707707N32817000K</v>
      </c>
      <c r="F123" s="8" t="s">
        <v>939</v>
      </c>
      <c r="G123" s="8" t="s">
        <v>1290</v>
      </c>
      <c r="H123" s="8"/>
      <c r="I123" s="76">
        <v>11.2</v>
      </c>
      <c r="J123" s="76">
        <f>VLOOKUP(C123,'[1]Sheet (2)'!$A$3:$H$5503,5,0)</f>
        <v>11.2</v>
      </c>
      <c r="K123" s="76">
        <f t="shared" si="3"/>
        <v>0</v>
      </c>
      <c r="L123" s="8" t="s">
        <v>931</v>
      </c>
      <c r="M123" s="73" t="str">
        <f t="shared" si="2"/>
        <v/>
      </c>
    </row>
    <row r="124" spans="1:13" ht="17.25" customHeight="1" x14ac:dyDescent="0.25">
      <c r="A124">
        <v>122</v>
      </c>
      <c r="B124" s="8" t="s">
        <v>931</v>
      </c>
      <c r="C124" s="8" t="s">
        <v>1292</v>
      </c>
      <c r="D124" s="8" t="s">
        <v>1293</v>
      </c>
      <c r="E124" s="73" t="str">
        <f>VLOOKUP(C124,'[1]Sheet (2)'!$A$3:$G$5503,1,0)</f>
        <v>7.707583F62817400A</v>
      </c>
      <c r="F124" s="8" t="s">
        <v>939</v>
      </c>
      <c r="G124" s="8" t="s">
        <v>1293</v>
      </c>
      <c r="H124" s="8"/>
      <c r="I124" s="76">
        <v>9.6</v>
      </c>
      <c r="J124" s="76">
        <f>VLOOKUP(C124,'[1]Sheet (2)'!$A$3:$H$5503,5,0)</f>
        <v>9.6</v>
      </c>
      <c r="K124" s="76">
        <f t="shared" si="3"/>
        <v>0</v>
      </c>
      <c r="L124" s="8" t="s">
        <v>931</v>
      </c>
      <c r="M124" s="73" t="str">
        <f t="shared" si="2"/>
        <v/>
      </c>
    </row>
    <row r="125" spans="1:13" ht="17.25" customHeight="1" x14ac:dyDescent="0.25">
      <c r="A125">
        <v>123</v>
      </c>
      <c r="B125" s="8" t="s">
        <v>931</v>
      </c>
      <c r="C125" s="8" t="s">
        <v>1294</v>
      </c>
      <c r="D125" s="8" t="s">
        <v>1296</v>
      </c>
      <c r="E125" s="73" t="str">
        <f>VLOOKUP(C125,'[1]Sheet (2)'!$A$3:$G$5503,1,0)</f>
        <v>7.7042335937170003</v>
      </c>
      <c r="F125" s="8" t="s">
        <v>939</v>
      </c>
      <c r="G125" s="8" t="s">
        <v>1295</v>
      </c>
      <c r="H125" s="8"/>
      <c r="I125" s="76">
        <v>14</v>
      </c>
      <c r="J125" s="103">
        <f>VLOOKUP(C125,'[1]Sheet (2)'!$A$3:$H$5503,5,0)</f>
        <v>14</v>
      </c>
      <c r="K125" s="76">
        <f t="shared" si="3"/>
        <v>0</v>
      </c>
      <c r="L125" s="8" t="s">
        <v>931</v>
      </c>
      <c r="M125" s="73" t="str">
        <f t="shared" si="2"/>
        <v/>
      </c>
    </row>
    <row r="126" spans="1:13" ht="17.25" customHeight="1" x14ac:dyDescent="0.25">
      <c r="A126">
        <v>124</v>
      </c>
      <c r="B126" s="8" t="s">
        <v>931</v>
      </c>
      <c r="C126" s="8" t="s">
        <v>1297</v>
      </c>
      <c r="D126" s="8" t="s">
        <v>1299</v>
      </c>
      <c r="E126" s="73" t="str">
        <f>VLOOKUP(C126,'[1]Sheet (2)'!$A$3:$G$5503,1,0)</f>
        <v>7.707583N32817000K</v>
      </c>
      <c r="F126" s="8" t="s">
        <v>939</v>
      </c>
      <c r="G126" s="8" t="s">
        <v>1298</v>
      </c>
      <c r="H126" s="8"/>
      <c r="I126" s="76">
        <v>11.2</v>
      </c>
      <c r="J126" s="103">
        <f>VLOOKUP(C126,'[1]Sheet (2)'!$A$3:$H$5503,5,0)</f>
        <v>11.2</v>
      </c>
      <c r="K126" s="76">
        <f t="shared" si="3"/>
        <v>0</v>
      </c>
      <c r="L126" s="8" t="s">
        <v>931</v>
      </c>
      <c r="M126" s="73" t="str">
        <f t="shared" si="2"/>
        <v/>
      </c>
    </row>
    <row r="127" spans="1:13" ht="17.25" customHeight="1" x14ac:dyDescent="0.25">
      <c r="A127">
        <v>125</v>
      </c>
      <c r="B127" s="8" t="s">
        <v>931</v>
      </c>
      <c r="C127" s="8" t="s">
        <v>1300</v>
      </c>
      <c r="D127" s="8" t="s">
        <v>1302</v>
      </c>
      <c r="E127" s="73" t="str">
        <f>VLOOKUP(C127,'[1]Sheet (2)'!$A$3:$G$5503,1,0)</f>
        <v>7.707583E92817400N</v>
      </c>
      <c r="F127" s="8" t="s">
        <v>939</v>
      </c>
      <c r="G127" s="8" t="s">
        <v>1301</v>
      </c>
      <c r="H127" s="8"/>
      <c r="I127" s="76">
        <v>12</v>
      </c>
      <c r="J127" s="76">
        <f>VLOOKUP(C127,'[1]Sheet (2)'!$A$3:$H$5503,5,0)</f>
        <v>12</v>
      </c>
      <c r="K127" s="76">
        <f t="shared" si="3"/>
        <v>0</v>
      </c>
      <c r="L127" s="8" t="s">
        <v>931</v>
      </c>
      <c r="M127" s="73" t="str">
        <f t="shared" si="2"/>
        <v/>
      </c>
    </row>
    <row r="128" spans="1:13" ht="17.25" customHeight="1" x14ac:dyDescent="0.25">
      <c r="A128">
        <v>126</v>
      </c>
      <c r="B128" s="8" t="s">
        <v>931</v>
      </c>
      <c r="C128" s="8" t="s">
        <v>1303</v>
      </c>
      <c r="D128" s="8" t="s">
        <v>1304</v>
      </c>
      <c r="E128" s="73" t="str">
        <f>VLOOKUP(C128,'[1]Sheet (2)'!$A$3:$G$5503,1,0)</f>
        <v>7.475056081708020</v>
      </c>
      <c r="F128" s="8" t="s">
        <v>939</v>
      </c>
      <c r="G128" s="8" t="s">
        <v>1304</v>
      </c>
      <c r="H128" s="8"/>
      <c r="I128" s="76">
        <v>13.65</v>
      </c>
      <c r="J128" s="76">
        <f>VLOOKUP(C128,'[1]Sheet (2)'!$A$3:$H$5503,5,0)</f>
        <v>13.65</v>
      </c>
      <c r="K128" s="76">
        <f t="shared" si="3"/>
        <v>0</v>
      </c>
      <c r="L128" s="8" t="s">
        <v>931</v>
      </c>
      <c r="M128" s="73" t="str">
        <f t="shared" si="2"/>
        <v/>
      </c>
    </row>
    <row r="129" spans="1:13" ht="17.25" customHeight="1" x14ac:dyDescent="0.25">
      <c r="A129">
        <v>127</v>
      </c>
      <c r="B129" s="8" t="s">
        <v>931</v>
      </c>
      <c r="C129" s="8" t="s">
        <v>1305</v>
      </c>
      <c r="D129" s="8" t="s">
        <v>1307</v>
      </c>
      <c r="E129" s="73" t="str">
        <f>VLOOKUP(C129,'[1]Sheet (2)'!$A$3:$G$5503,1,0)</f>
        <v>7.131078121706H60</v>
      </c>
      <c r="F129" s="8" t="s">
        <v>939</v>
      </c>
      <c r="G129" s="8" t="s">
        <v>1306</v>
      </c>
      <c r="H129" s="8"/>
      <c r="I129" s="76">
        <v>8.7360000000000007</v>
      </c>
      <c r="J129" s="76">
        <f>VLOOKUP(C129,'[1]Sheet (2)'!$A$3:$H$5503,5,0)</f>
        <v>8.7360000000000007</v>
      </c>
      <c r="K129" s="76">
        <f t="shared" si="3"/>
        <v>0</v>
      </c>
      <c r="L129" s="8" t="s">
        <v>931</v>
      </c>
      <c r="M129" s="73" t="str">
        <f t="shared" si="2"/>
        <v/>
      </c>
    </row>
    <row r="130" spans="1:13" ht="17.25" customHeight="1" x14ac:dyDescent="0.25">
      <c r="A130">
        <v>128</v>
      </c>
      <c r="B130" s="8" t="s">
        <v>931</v>
      </c>
      <c r="C130" s="8" t="s">
        <v>1308</v>
      </c>
      <c r="D130" s="8" t="s">
        <v>1310</v>
      </c>
      <c r="E130" s="73" t="str">
        <f>VLOOKUP(C130,'[1]Sheet (2)'!$A$3:$G$5503,1,0)</f>
        <v>7.707662F62817000A</v>
      </c>
      <c r="F130" s="8" t="s">
        <v>939</v>
      </c>
      <c r="G130" s="8" t="s">
        <v>1309</v>
      </c>
      <c r="H130" s="8"/>
      <c r="I130" s="76">
        <v>9.6</v>
      </c>
      <c r="J130" s="76">
        <f>VLOOKUP(C130,'[1]Sheet (2)'!$A$3:$H$5503,5,0)</f>
        <v>9.6</v>
      </c>
      <c r="K130" s="76">
        <f t="shared" si="3"/>
        <v>0</v>
      </c>
      <c r="L130" s="8" t="s">
        <v>931</v>
      </c>
      <c r="M130" s="73" t="str">
        <f t="shared" si="2"/>
        <v/>
      </c>
    </row>
    <row r="131" spans="1:13" ht="17.25" customHeight="1" x14ac:dyDescent="0.25">
      <c r="A131">
        <v>129</v>
      </c>
      <c r="B131" s="8" t="s">
        <v>931</v>
      </c>
      <c r="C131" s="8" t="s">
        <v>1311</v>
      </c>
      <c r="D131" s="8" t="s">
        <v>1313</v>
      </c>
      <c r="E131" s="73" t="str">
        <f>VLOOKUP(C131,'[1]Sheet (2)'!$A$3:$G$5503,1,0)</f>
        <v>7.707662E92817000N</v>
      </c>
      <c r="F131" s="8" t="s">
        <v>939</v>
      </c>
      <c r="G131" s="8" t="s">
        <v>1312</v>
      </c>
      <c r="H131" s="8"/>
      <c r="I131" s="76">
        <v>12</v>
      </c>
      <c r="J131" s="76">
        <f>VLOOKUP(C131,'[1]Sheet (2)'!$A$3:$H$5503,5,0)</f>
        <v>12</v>
      </c>
      <c r="K131" s="76">
        <f t="shared" si="3"/>
        <v>0</v>
      </c>
      <c r="L131" s="8" t="s">
        <v>931</v>
      </c>
      <c r="M131" s="73" t="str">
        <f t="shared" ref="M131:M194" si="4">IF(COUNTIF($C$3:$C$356, C131)&gt;1, "Trùng", "")</f>
        <v/>
      </c>
    </row>
    <row r="132" spans="1:13" ht="17.25" customHeight="1" x14ac:dyDescent="0.25">
      <c r="A132">
        <v>130</v>
      </c>
      <c r="B132" s="8" t="s">
        <v>931</v>
      </c>
      <c r="C132" s="8" t="s">
        <v>1314</v>
      </c>
      <c r="D132" s="8" t="s">
        <v>1315</v>
      </c>
      <c r="E132" s="73" t="str">
        <f>VLOOKUP(C132,'[1]Sheet (2)'!$A$3:$G$5503,1,0)</f>
        <v>7.45105003170000</v>
      </c>
      <c r="F132" s="8" t="s">
        <v>1020</v>
      </c>
      <c r="G132" s="8" t="s">
        <v>1315</v>
      </c>
      <c r="H132" s="8"/>
      <c r="I132" s="76">
        <v>0.91</v>
      </c>
      <c r="J132" s="103">
        <f>VLOOKUP(C132,'[1]Sheet (2)'!$A$3:$H$5503,5,0)</f>
        <v>0.91</v>
      </c>
      <c r="K132" s="76">
        <f t="shared" ref="K132:K195" si="5">I132-J132</f>
        <v>0</v>
      </c>
      <c r="L132" s="8" t="s">
        <v>931</v>
      </c>
      <c r="M132" s="73" t="str">
        <f t="shared" si="4"/>
        <v>Trùng</v>
      </c>
    </row>
    <row r="133" spans="1:13" ht="17.25" customHeight="1" x14ac:dyDescent="0.25">
      <c r="A133">
        <v>131</v>
      </c>
      <c r="B133" s="8" t="s">
        <v>931</v>
      </c>
      <c r="C133" s="8" t="s">
        <v>1316</v>
      </c>
      <c r="D133" s="8" t="s">
        <v>1317</v>
      </c>
      <c r="E133" s="73" t="str">
        <f>VLOOKUP(C133,'[1]Sheet (2)'!$A$3:$G$5503,1,0)</f>
        <v>7.707704N22817000H</v>
      </c>
      <c r="F133" s="8" t="s">
        <v>939</v>
      </c>
      <c r="G133" s="8" t="s">
        <v>1317</v>
      </c>
      <c r="H133" s="8"/>
      <c r="I133" s="76">
        <v>15.04</v>
      </c>
      <c r="J133" s="103">
        <f>VLOOKUP(C133,'[1]Sheet (2)'!$A$3:$H$5503,5,0)</f>
        <v>15.04</v>
      </c>
      <c r="K133" s="76">
        <f t="shared" si="5"/>
        <v>0</v>
      </c>
      <c r="L133" s="8" t="s">
        <v>931</v>
      </c>
      <c r="M133" s="73" t="str">
        <f t="shared" si="4"/>
        <v/>
      </c>
    </row>
    <row r="134" spans="1:13" ht="17.25" customHeight="1" x14ac:dyDescent="0.25">
      <c r="A134">
        <v>132</v>
      </c>
      <c r="B134" s="8" t="s">
        <v>931</v>
      </c>
      <c r="C134" s="8" t="s">
        <v>1318</v>
      </c>
      <c r="D134" s="8" t="s">
        <v>1319</v>
      </c>
      <c r="E134" s="73" t="str">
        <f>VLOOKUP(C134,'[1]Sheet (2)'!$A$3:$G$5503,1,0)</f>
        <v>7.707663M428170002</v>
      </c>
      <c r="F134" s="8" t="s">
        <v>939</v>
      </c>
      <c r="G134" s="8" t="s">
        <v>1319</v>
      </c>
      <c r="H134" s="8"/>
      <c r="I134" s="76">
        <v>11.88</v>
      </c>
      <c r="J134" s="76">
        <f>VLOOKUP(C134,'[1]Sheet (2)'!$A$3:$H$5503,5,0)</f>
        <v>11.88</v>
      </c>
      <c r="K134" s="76">
        <f t="shared" si="5"/>
        <v>0</v>
      </c>
      <c r="L134" s="8" t="s">
        <v>931</v>
      </c>
      <c r="M134" s="73" t="str">
        <f t="shared" si="4"/>
        <v/>
      </c>
    </row>
    <row r="135" spans="1:13" ht="17.25" customHeight="1" x14ac:dyDescent="0.25">
      <c r="A135">
        <v>133</v>
      </c>
      <c r="B135" s="8" t="s">
        <v>931</v>
      </c>
      <c r="C135" s="8" t="s">
        <v>1320</v>
      </c>
      <c r="D135" s="8" t="s">
        <v>1322</v>
      </c>
      <c r="E135" s="73" t="str">
        <f>VLOOKUP(C135,'[1]Sheet (2)'!$A$3:$G$5503,1,0)</f>
        <v>7.707710N32817000K</v>
      </c>
      <c r="F135" s="8" t="s">
        <v>939</v>
      </c>
      <c r="G135" s="8" t="s">
        <v>1321</v>
      </c>
      <c r="H135" s="8"/>
      <c r="I135" s="76">
        <v>11.2</v>
      </c>
      <c r="J135" s="76">
        <f>VLOOKUP(C135,'[1]Sheet (2)'!$A$3:$H$5503,5,0)</f>
        <v>11.2</v>
      </c>
      <c r="K135" s="76">
        <f t="shared" si="5"/>
        <v>0</v>
      </c>
      <c r="L135" s="8" t="s">
        <v>931</v>
      </c>
      <c r="M135" s="73" t="str">
        <f t="shared" si="4"/>
        <v/>
      </c>
    </row>
    <row r="136" spans="1:13" ht="17.25" customHeight="1" x14ac:dyDescent="0.25">
      <c r="A136">
        <v>134</v>
      </c>
      <c r="B136" s="8" t="s">
        <v>931</v>
      </c>
      <c r="C136" s="8" t="s">
        <v>1323</v>
      </c>
      <c r="D136" s="8" t="s">
        <v>1325</v>
      </c>
      <c r="E136" s="73" t="str">
        <f>VLOOKUP(C136,'[1]Sheet (2)'!$A$3:$G$5503,1,0)</f>
        <v>7.707710E92817000N</v>
      </c>
      <c r="F136" s="8" t="s">
        <v>939</v>
      </c>
      <c r="G136" s="8" t="s">
        <v>1324</v>
      </c>
      <c r="H136" s="8"/>
      <c r="I136" s="76">
        <v>12</v>
      </c>
      <c r="J136" s="76">
        <f>VLOOKUP(C136,'[1]Sheet (2)'!$A$3:$H$5503,5,0)</f>
        <v>12</v>
      </c>
      <c r="K136" s="76">
        <f t="shared" si="5"/>
        <v>0</v>
      </c>
      <c r="L136" s="8" t="s">
        <v>931</v>
      </c>
      <c r="M136" s="73" t="str">
        <f t="shared" si="4"/>
        <v/>
      </c>
    </row>
    <row r="137" spans="1:13" ht="17.25" customHeight="1" x14ac:dyDescent="0.25">
      <c r="A137">
        <v>135</v>
      </c>
      <c r="B137" s="8" t="s">
        <v>931</v>
      </c>
      <c r="C137" s="8" t="s">
        <v>1326</v>
      </c>
      <c r="D137" s="8" t="s">
        <v>1328</v>
      </c>
      <c r="E137" s="73" t="str">
        <f>VLOOKUP(C137,'[1]Sheet (2)'!$A$3:$G$5503,1,0)</f>
        <v>7.707711953717000C</v>
      </c>
      <c r="F137" s="8" t="s">
        <v>939</v>
      </c>
      <c r="G137" s="8" t="s">
        <v>1327</v>
      </c>
      <c r="H137" s="8"/>
      <c r="I137" s="76">
        <v>12</v>
      </c>
      <c r="J137" s="76">
        <f>VLOOKUP(C137,'[1]Sheet (2)'!$A$3:$H$5503,5,0)</f>
        <v>12</v>
      </c>
      <c r="K137" s="76">
        <f t="shared" si="5"/>
        <v>0</v>
      </c>
      <c r="L137" s="8" t="s">
        <v>931</v>
      </c>
      <c r="M137" s="73" t="str">
        <f t="shared" si="4"/>
        <v/>
      </c>
    </row>
    <row r="138" spans="1:13" ht="17.25" customHeight="1" x14ac:dyDescent="0.25">
      <c r="A138">
        <v>136</v>
      </c>
      <c r="B138" s="8" t="s">
        <v>931</v>
      </c>
      <c r="C138" s="77" t="s">
        <v>1329</v>
      </c>
      <c r="D138" s="8" t="s">
        <v>1331</v>
      </c>
      <c r="E138" s="73" t="str">
        <f>VLOOKUP(C138,'[1]Sheet (2)'!$A$3:$G$5503,1,0)</f>
        <v>7.1070120803408010</v>
      </c>
      <c r="F138" s="8" t="s">
        <v>935</v>
      </c>
      <c r="G138" s="8" t="s">
        <v>1330</v>
      </c>
      <c r="H138" s="8"/>
      <c r="I138" s="76">
        <v>18</v>
      </c>
      <c r="J138" s="76">
        <f>VLOOKUP(C138,'[1]Sheet (2)'!$A$3:$H$5503,5,0)</f>
        <v>18</v>
      </c>
      <c r="K138" s="76">
        <f t="shared" si="5"/>
        <v>0</v>
      </c>
      <c r="L138" s="8" t="s">
        <v>931</v>
      </c>
      <c r="M138" s="73" t="str">
        <f t="shared" si="4"/>
        <v/>
      </c>
    </row>
    <row r="139" spans="1:13" ht="17.25" customHeight="1" x14ac:dyDescent="0.25">
      <c r="A139">
        <v>137</v>
      </c>
      <c r="B139" s="8" t="s">
        <v>931</v>
      </c>
      <c r="C139" s="8" t="s">
        <v>1332</v>
      </c>
      <c r="D139" s="8" t="s">
        <v>1333</v>
      </c>
      <c r="E139" s="73" t="str">
        <f>VLOOKUP(C139,'[1]Sheet (2)'!$A$3:$G$5503,1,0)</f>
        <v>7.45105044170000</v>
      </c>
      <c r="F139" s="8" t="s">
        <v>1020</v>
      </c>
      <c r="G139" s="8" t="s">
        <v>1215</v>
      </c>
      <c r="H139" s="8"/>
      <c r="I139" s="76">
        <v>0.36399999999999999</v>
      </c>
      <c r="J139" s="76">
        <f>VLOOKUP(C139,'[1]Sheet (2)'!$A$3:$H$5503,5,0)</f>
        <v>0.36399999999999999</v>
      </c>
      <c r="K139" s="76">
        <f t="shared" si="5"/>
        <v>0</v>
      </c>
      <c r="L139" s="8" t="s">
        <v>931</v>
      </c>
      <c r="M139" s="73" t="str">
        <f t="shared" si="4"/>
        <v/>
      </c>
    </row>
    <row r="140" spans="1:13" ht="17.25" customHeight="1" x14ac:dyDescent="0.25">
      <c r="A140">
        <v>138</v>
      </c>
      <c r="B140" s="8" t="s">
        <v>931</v>
      </c>
      <c r="C140" s="8" t="s">
        <v>1334</v>
      </c>
      <c r="D140" s="8" t="s">
        <v>1335</v>
      </c>
      <c r="E140" s="73" t="str">
        <f>VLOOKUP(C140,'[1]Sheet (2)'!$A$3:$G$5503,1,0)</f>
        <v>7.45105008170000</v>
      </c>
      <c r="F140" s="8" t="s">
        <v>1020</v>
      </c>
      <c r="G140" s="8" t="s">
        <v>1101</v>
      </c>
      <c r="H140" s="8"/>
      <c r="I140" s="76">
        <v>4.55</v>
      </c>
      <c r="J140" s="76">
        <f>VLOOKUP(C140,'[1]Sheet (2)'!$A$3:$H$5503,5,0)</f>
        <v>4.55</v>
      </c>
      <c r="K140" s="76">
        <f t="shared" si="5"/>
        <v>0</v>
      </c>
      <c r="L140" s="8" t="s">
        <v>931</v>
      </c>
      <c r="M140" s="73" t="str">
        <f t="shared" si="4"/>
        <v/>
      </c>
    </row>
    <row r="141" spans="1:13" ht="17.25" customHeight="1" x14ac:dyDescent="0.25">
      <c r="A141">
        <v>139</v>
      </c>
      <c r="B141" s="8" t="s">
        <v>931</v>
      </c>
      <c r="C141" s="8" t="s">
        <v>1336</v>
      </c>
      <c r="D141" s="8" t="s">
        <v>1337</v>
      </c>
      <c r="E141" s="73" t="str">
        <f>VLOOKUP(C141,'[1]Sheet (2)'!$A$3:$G$5503,1,0)</f>
        <v>7.45805003170000</v>
      </c>
      <c r="F141" s="8" t="s">
        <v>1020</v>
      </c>
      <c r="G141" s="8" t="s">
        <v>1206</v>
      </c>
      <c r="H141" s="8"/>
      <c r="I141" s="76">
        <v>0.91</v>
      </c>
      <c r="J141" s="76">
        <f>VLOOKUP(C141,'[1]Sheet (2)'!$A$3:$H$5503,5,0)</f>
        <v>0.91</v>
      </c>
      <c r="K141" s="76">
        <f t="shared" si="5"/>
        <v>0</v>
      </c>
      <c r="L141" s="8" t="s">
        <v>931</v>
      </c>
      <c r="M141" s="73" t="str">
        <f t="shared" si="4"/>
        <v/>
      </c>
    </row>
    <row r="142" spans="1:13" ht="17.25" customHeight="1" x14ac:dyDescent="0.25">
      <c r="A142">
        <v>140</v>
      </c>
      <c r="B142" s="8" t="s">
        <v>931</v>
      </c>
      <c r="C142" s="8" t="s">
        <v>1338</v>
      </c>
      <c r="D142" s="8" t="s">
        <v>1339</v>
      </c>
      <c r="E142" s="73" t="str">
        <f>VLOOKUP(C142,'[1]Sheet (2)'!$A$3:$G$5503,1,0)</f>
        <v>7.458050051700000</v>
      </c>
      <c r="F142" s="8" t="s">
        <v>1020</v>
      </c>
      <c r="G142" s="8" t="s">
        <v>972</v>
      </c>
      <c r="H142" s="8"/>
      <c r="I142" s="76">
        <v>1.82</v>
      </c>
      <c r="J142" s="76">
        <f>VLOOKUP(C142,'[1]Sheet (2)'!$A$3:$H$5503,5,0)</f>
        <v>1.82</v>
      </c>
      <c r="K142" s="76">
        <f t="shared" si="5"/>
        <v>0</v>
      </c>
      <c r="L142" s="8" t="s">
        <v>931</v>
      </c>
      <c r="M142" s="73" t="str">
        <f t="shared" si="4"/>
        <v/>
      </c>
    </row>
    <row r="143" spans="1:13" ht="17.25" customHeight="1" x14ac:dyDescent="0.25">
      <c r="A143">
        <v>141</v>
      </c>
      <c r="B143" s="8" t="s">
        <v>931</v>
      </c>
      <c r="C143" s="8" t="s">
        <v>1340</v>
      </c>
      <c r="D143" s="8" t="s">
        <v>1341</v>
      </c>
      <c r="E143" s="73" t="str">
        <f>VLOOKUP(C143,'[1]Sheet (2)'!$A$3:$G$5503,1,0)</f>
        <v>7.45705003170000</v>
      </c>
      <c r="F143" s="8" t="s">
        <v>1020</v>
      </c>
      <c r="G143" s="8" t="s">
        <v>969</v>
      </c>
      <c r="H143" s="8"/>
      <c r="I143" s="76">
        <v>0.91</v>
      </c>
      <c r="J143" s="76">
        <f>VLOOKUP(C143,'[1]Sheet (2)'!$A$3:$H$5503,5,0)</f>
        <v>0.91</v>
      </c>
      <c r="K143" s="76">
        <f t="shared" si="5"/>
        <v>0</v>
      </c>
      <c r="L143" s="8" t="s">
        <v>931</v>
      </c>
      <c r="M143" s="73" t="str">
        <f t="shared" si="4"/>
        <v/>
      </c>
    </row>
    <row r="144" spans="1:13" ht="17.25" customHeight="1" x14ac:dyDescent="0.25">
      <c r="A144">
        <v>142</v>
      </c>
      <c r="B144" s="8" t="s">
        <v>931</v>
      </c>
      <c r="C144" s="8" t="s">
        <v>1342</v>
      </c>
      <c r="D144" s="8" t="s">
        <v>1344</v>
      </c>
      <c r="E144" s="73" t="str">
        <f>VLOOKUP(C144,'[1]Sheet (2)'!$A$3:$G$5503,1,0)</f>
        <v>7.101089570901890</v>
      </c>
      <c r="F144" s="8" t="s">
        <v>935</v>
      </c>
      <c r="G144" s="8" t="s">
        <v>1343</v>
      </c>
      <c r="H144" s="8"/>
      <c r="I144" s="76">
        <v>18</v>
      </c>
      <c r="J144" s="76">
        <f>VLOOKUP(C144,'[1]Sheet (2)'!$A$3:$H$5503,5,0)</f>
        <v>18</v>
      </c>
      <c r="K144" s="76">
        <f t="shared" si="5"/>
        <v>0</v>
      </c>
      <c r="L144" s="8" t="s">
        <v>931</v>
      </c>
      <c r="M144" s="73" t="str">
        <f t="shared" si="4"/>
        <v/>
      </c>
    </row>
    <row r="145" spans="1:13" ht="17.25" customHeight="1" x14ac:dyDescent="0.25">
      <c r="A145">
        <v>143</v>
      </c>
      <c r="B145" s="8" t="s">
        <v>931</v>
      </c>
      <c r="C145" s="8" t="s">
        <v>1345</v>
      </c>
      <c r="D145" s="8" t="s">
        <v>1347</v>
      </c>
      <c r="E145" s="73" t="str">
        <f>VLOOKUP(C145,'[1]Sheet (2)'!$A$3:$G$5503,1,0)</f>
        <v>7.74100814070000</v>
      </c>
      <c r="F145" s="8" t="s">
        <v>935</v>
      </c>
      <c r="G145" s="8" t="s">
        <v>1346</v>
      </c>
      <c r="H145" s="8"/>
      <c r="I145" s="76">
        <v>25</v>
      </c>
      <c r="J145" s="76">
        <f>VLOOKUP(C145,'[1]Sheet (2)'!$A$3:$H$5503,5,0)</f>
        <v>25</v>
      </c>
      <c r="K145" s="76">
        <f t="shared" si="5"/>
        <v>0</v>
      </c>
      <c r="L145" s="8" t="s">
        <v>931</v>
      </c>
      <c r="M145" s="73" t="str">
        <f t="shared" si="4"/>
        <v/>
      </c>
    </row>
    <row r="146" spans="1:13" ht="17.25" customHeight="1" x14ac:dyDescent="0.25">
      <c r="A146">
        <v>144</v>
      </c>
      <c r="B146" s="8" t="s">
        <v>931</v>
      </c>
      <c r="C146" s="8" t="s">
        <v>1348</v>
      </c>
      <c r="D146" s="8" t="s">
        <v>1350</v>
      </c>
      <c r="E146" s="73" t="str">
        <f>VLOOKUP(C146,'[1]Sheet (2)'!$A$3:$G$5503,1,0)</f>
        <v>7.707710F62817000A</v>
      </c>
      <c r="F146" s="8" t="s">
        <v>939</v>
      </c>
      <c r="G146" s="8" t="s">
        <v>1349</v>
      </c>
      <c r="H146" s="8"/>
      <c r="I146" s="76">
        <v>9.6</v>
      </c>
      <c r="J146" s="76">
        <f>VLOOKUP(C146,'[1]Sheet (2)'!$A$3:$H$5503,5,0)</f>
        <v>9.6</v>
      </c>
      <c r="K146" s="76">
        <f t="shared" si="5"/>
        <v>0</v>
      </c>
      <c r="L146" s="8" t="s">
        <v>931</v>
      </c>
      <c r="M146" s="73" t="str">
        <f t="shared" si="4"/>
        <v/>
      </c>
    </row>
    <row r="147" spans="1:13" ht="17.25" customHeight="1" x14ac:dyDescent="0.25">
      <c r="A147">
        <v>145</v>
      </c>
      <c r="B147" s="8" t="s">
        <v>931</v>
      </c>
      <c r="C147" s="8" t="s">
        <v>1351</v>
      </c>
      <c r="D147" s="8" t="s">
        <v>1352</v>
      </c>
      <c r="E147" s="73" t="str">
        <f>VLOOKUP(C147,'[1]Sheet (2)'!$A$3:$G$5503,1,0)</f>
        <v>7.131104F01703P10</v>
      </c>
      <c r="F147" s="8" t="s">
        <v>939</v>
      </c>
      <c r="G147" s="8" t="s">
        <v>959</v>
      </c>
      <c r="H147" s="8"/>
      <c r="I147" s="76">
        <v>16.38</v>
      </c>
      <c r="J147" s="76">
        <f>VLOOKUP(C147,'[1]Sheet (2)'!$A$3:$H$5503,5,0)</f>
        <v>16.38</v>
      </c>
      <c r="K147" s="76">
        <f t="shared" si="5"/>
        <v>0</v>
      </c>
      <c r="L147" s="8" t="s">
        <v>931</v>
      </c>
      <c r="M147" s="73" t="str">
        <f t="shared" si="4"/>
        <v/>
      </c>
    </row>
    <row r="148" spans="1:13" ht="17.25" customHeight="1" x14ac:dyDescent="0.25">
      <c r="A148">
        <v>146</v>
      </c>
      <c r="B148" s="8" t="s">
        <v>931</v>
      </c>
      <c r="C148" s="77" t="s">
        <v>1353</v>
      </c>
      <c r="D148" s="8" t="s">
        <v>1355</v>
      </c>
      <c r="E148" s="73" t="str">
        <f>VLOOKUP(C148,'[1]Sheet (2)'!$A$3:$G$5503,1,0)</f>
        <v>N04.0018006.00306</v>
      </c>
      <c r="F148" s="8" t="s">
        <v>1204</v>
      </c>
      <c r="G148" s="8" t="s">
        <v>1354</v>
      </c>
      <c r="H148" s="8"/>
      <c r="I148" s="76">
        <v>0</v>
      </c>
      <c r="J148" s="76">
        <f>VLOOKUP(C148,'[1]Sheet (2)'!$A$3:$H$5503,5,0)</f>
        <v>0</v>
      </c>
      <c r="K148" s="76">
        <f t="shared" si="5"/>
        <v>0</v>
      </c>
      <c r="L148" s="8" t="s">
        <v>931</v>
      </c>
      <c r="M148" s="73" t="str">
        <f t="shared" si="4"/>
        <v/>
      </c>
    </row>
    <row r="149" spans="1:13" ht="17.25" customHeight="1" x14ac:dyDescent="0.25">
      <c r="A149">
        <v>147</v>
      </c>
      <c r="B149" s="8" t="s">
        <v>931</v>
      </c>
      <c r="C149" s="8" t="s">
        <v>1356</v>
      </c>
      <c r="D149" s="8" t="s">
        <v>1358</v>
      </c>
      <c r="E149" s="73" t="str">
        <f>VLOOKUP(C149,'[1]Sheet (2)'!$A$3:$G$5503,1,0)</f>
        <v>N04.0018001.00085</v>
      </c>
      <c r="F149" s="8" t="s">
        <v>1204</v>
      </c>
      <c r="G149" s="8" t="s">
        <v>1357</v>
      </c>
      <c r="H149" s="8"/>
      <c r="I149" s="76">
        <v>0</v>
      </c>
      <c r="J149" s="76">
        <f>VLOOKUP(C149,'[1]Sheet (2)'!$A$3:$H$5503,5,0)</f>
        <v>0</v>
      </c>
      <c r="K149" s="76">
        <f t="shared" si="5"/>
        <v>0</v>
      </c>
      <c r="L149" s="8" t="s">
        <v>931</v>
      </c>
      <c r="M149" s="73" t="str">
        <f t="shared" si="4"/>
        <v/>
      </c>
    </row>
    <row r="150" spans="1:13" ht="17.25" customHeight="1" x14ac:dyDescent="0.25">
      <c r="A150">
        <v>148</v>
      </c>
      <c r="B150" s="8" t="s">
        <v>931</v>
      </c>
      <c r="C150" s="8" t="s">
        <v>1359</v>
      </c>
      <c r="D150" s="8" t="s">
        <v>1361</v>
      </c>
      <c r="E150" s="73" t="str">
        <f>VLOOKUP(C150,'[1]Sheet (2)'!$A$3:$G$5503,1,0)</f>
        <v>7.704D63R537170001</v>
      </c>
      <c r="F150" s="8" t="s">
        <v>939</v>
      </c>
      <c r="G150" s="8" t="s">
        <v>1360</v>
      </c>
      <c r="H150" s="8"/>
      <c r="I150" s="76">
        <v>5.0999999999999996</v>
      </c>
      <c r="J150" s="76">
        <f>VLOOKUP(C150,'[1]Sheet (2)'!$A$3:$H$5503,5,0)</f>
        <v>5.0999999999999996</v>
      </c>
      <c r="K150" s="76">
        <f t="shared" si="5"/>
        <v>0</v>
      </c>
      <c r="L150" s="8" t="s">
        <v>931</v>
      </c>
      <c r="M150" s="73" t="str">
        <f t="shared" si="4"/>
        <v/>
      </c>
    </row>
    <row r="151" spans="1:13" ht="17.25" customHeight="1" x14ac:dyDescent="0.25">
      <c r="A151">
        <v>149</v>
      </c>
      <c r="B151" s="8" t="s">
        <v>931</v>
      </c>
      <c r="C151" s="8" t="s">
        <v>1365</v>
      </c>
      <c r="D151" s="8" t="s">
        <v>1367</v>
      </c>
      <c r="E151" s="73" t="str">
        <f>VLOOKUP(C151,'[1]Sheet (2)'!$A$3:$G$5503,1,0)</f>
        <v>7.1060140429608010</v>
      </c>
      <c r="F151" s="8" t="s">
        <v>935</v>
      </c>
      <c r="G151" s="8" t="s">
        <v>1366</v>
      </c>
      <c r="H151" s="8"/>
      <c r="I151" s="76">
        <v>16</v>
      </c>
      <c r="J151" s="76">
        <f>VLOOKUP(C151,'[1]Sheet (2)'!$A$3:$H$5503,5,0)</f>
        <v>16</v>
      </c>
      <c r="K151" s="76">
        <f t="shared" si="5"/>
        <v>0</v>
      </c>
      <c r="L151" s="8" t="s">
        <v>931</v>
      </c>
      <c r="M151" s="73" t="str">
        <f t="shared" si="4"/>
        <v/>
      </c>
    </row>
    <row r="152" spans="1:13" ht="17.25" customHeight="1" x14ac:dyDescent="0.25">
      <c r="A152">
        <v>150</v>
      </c>
      <c r="B152" s="8" t="s">
        <v>931</v>
      </c>
      <c r="C152" s="8" t="s">
        <v>1368</v>
      </c>
      <c r="D152" s="8" t="s">
        <v>1370</v>
      </c>
      <c r="E152" s="73" t="str">
        <f>VLOOKUP(C152,'[1]Sheet (2)'!$A$3:$G$5503,1,0)</f>
        <v>7.1060140239008010</v>
      </c>
      <c r="F152" s="8" t="s">
        <v>935</v>
      </c>
      <c r="G152" s="8" t="s">
        <v>1369</v>
      </c>
      <c r="H152" s="8"/>
      <c r="I152" s="76">
        <v>20</v>
      </c>
      <c r="J152" s="76">
        <f>VLOOKUP(C152,'[1]Sheet (2)'!$A$3:$H$5503,5,0)</f>
        <v>20</v>
      </c>
      <c r="K152" s="76">
        <f t="shared" si="5"/>
        <v>0</v>
      </c>
      <c r="L152" s="8" t="s">
        <v>931</v>
      </c>
      <c r="M152" s="73" t="str">
        <f t="shared" si="4"/>
        <v/>
      </c>
    </row>
    <row r="153" spans="1:13" ht="17.25" customHeight="1" x14ac:dyDescent="0.25">
      <c r="A153">
        <v>151</v>
      </c>
      <c r="B153" s="8" t="s">
        <v>931</v>
      </c>
      <c r="C153" s="8" t="s">
        <v>1371</v>
      </c>
      <c r="D153" s="8" t="s">
        <v>1373</v>
      </c>
      <c r="E153" s="73" t="str">
        <f>VLOOKUP(C153,'[1]Sheet (2)'!$A$3:$G$5503,1,0)</f>
        <v>7.101089570901880</v>
      </c>
      <c r="F153" s="8" t="s">
        <v>935</v>
      </c>
      <c r="G153" s="8" t="s">
        <v>1372</v>
      </c>
      <c r="H153" s="8"/>
      <c r="I153" s="76">
        <v>18</v>
      </c>
      <c r="J153" s="76">
        <f>VLOOKUP(C153,'[1]Sheet (2)'!$A$3:$H$5503,5,0)</f>
        <v>18</v>
      </c>
      <c r="K153" s="76">
        <f t="shared" si="5"/>
        <v>0</v>
      </c>
      <c r="L153" s="8" t="s">
        <v>931</v>
      </c>
      <c r="M153" s="73" t="str">
        <f t="shared" si="4"/>
        <v/>
      </c>
    </row>
    <row r="154" spans="1:13" ht="17.25" customHeight="1" x14ac:dyDescent="0.25">
      <c r="A154">
        <v>152</v>
      </c>
      <c r="B154" s="8" t="s">
        <v>931</v>
      </c>
      <c r="C154" s="8" t="s">
        <v>1374</v>
      </c>
      <c r="D154" s="8" t="s">
        <v>1376</v>
      </c>
      <c r="E154" s="73" t="str">
        <f>VLOOKUP(C154,'[1]Sheet (2)'!$A$3:$G$5503,1,0)</f>
        <v>7.706102173201200</v>
      </c>
      <c r="F154" s="8" t="s">
        <v>935</v>
      </c>
      <c r="G154" s="8" t="s">
        <v>1375</v>
      </c>
      <c r="H154" s="8"/>
      <c r="I154" s="76">
        <v>30</v>
      </c>
      <c r="J154" s="76">
        <f>VLOOKUP(C154,'[1]Sheet (2)'!$A$3:$H$5503,5,0)</f>
        <v>30</v>
      </c>
      <c r="K154" s="76">
        <f t="shared" si="5"/>
        <v>0</v>
      </c>
      <c r="L154" s="8" t="s">
        <v>931</v>
      </c>
      <c r="M154" s="73" t="str">
        <f t="shared" si="4"/>
        <v/>
      </c>
    </row>
    <row r="155" spans="1:13" ht="17.25" customHeight="1" x14ac:dyDescent="0.25">
      <c r="A155">
        <v>153</v>
      </c>
      <c r="B155" s="8" t="s">
        <v>931</v>
      </c>
      <c r="C155" s="8" t="s">
        <v>1377</v>
      </c>
      <c r="D155" s="8" t="s">
        <v>1378</v>
      </c>
      <c r="E155" s="73" t="str">
        <f>VLOOKUP(C155,'[1]Sheet (2)'!$A$3:$G$5503,1,0)</f>
        <v>7.1070123001852230</v>
      </c>
      <c r="F155" s="8" t="s">
        <v>939</v>
      </c>
      <c r="G155" s="8" t="s">
        <v>984</v>
      </c>
      <c r="H155" s="8"/>
      <c r="I155" s="76">
        <v>4.8</v>
      </c>
      <c r="J155" s="76">
        <f>VLOOKUP(C155,'[1]Sheet (2)'!$A$3:$H$5503,5,0)</f>
        <v>4.8</v>
      </c>
      <c r="K155" s="76">
        <f t="shared" si="5"/>
        <v>0</v>
      </c>
      <c r="L155" s="8" t="s">
        <v>931</v>
      </c>
      <c r="M155" s="73" t="str">
        <f t="shared" si="4"/>
        <v/>
      </c>
    </row>
    <row r="156" spans="1:13" ht="17.25" customHeight="1" x14ac:dyDescent="0.25">
      <c r="A156">
        <v>154</v>
      </c>
      <c r="B156" s="8" t="s">
        <v>931</v>
      </c>
      <c r="C156" s="8" t="s">
        <v>1379</v>
      </c>
      <c r="D156" s="8" t="s">
        <v>1381</v>
      </c>
      <c r="E156" s="73" t="str">
        <f>VLOOKUP(C156,'[1]Sheet (2)'!$A$3:$G$5503,1,0)</f>
        <v>6.4510700</v>
      </c>
      <c r="F156" s="8" t="s">
        <v>935</v>
      </c>
      <c r="G156" s="8" t="s">
        <v>1380</v>
      </c>
      <c r="H156" s="8"/>
      <c r="I156" s="76">
        <v>1</v>
      </c>
      <c r="J156" s="76">
        <f>VLOOKUP(C156,'[1]Sheet (2)'!$A$3:$H$5503,5,0)</f>
        <v>1</v>
      </c>
      <c r="K156" s="76">
        <f t="shared" si="5"/>
        <v>0</v>
      </c>
      <c r="L156" s="8" t="s">
        <v>931</v>
      </c>
      <c r="M156" s="73" t="str">
        <f t="shared" si="4"/>
        <v/>
      </c>
    </row>
    <row r="157" spans="1:13" ht="17.25" customHeight="1" x14ac:dyDescent="0.25">
      <c r="A157">
        <v>155</v>
      </c>
      <c r="B157" s="8" t="s">
        <v>931</v>
      </c>
      <c r="C157" s="8" t="s">
        <v>1382</v>
      </c>
      <c r="D157" s="8" t="s">
        <v>1384</v>
      </c>
      <c r="E157" s="73" t="str">
        <f>VLOOKUP(C157,'[1]Sheet (2)'!$A$3:$G$5503,1,0)</f>
        <v>6.1212A64</v>
      </c>
      <c r="F157" s="8" t="s">
        <v>935</v>
      </c>
      <c r="G157" s="8" t="s">
        <v>1383</v>
      </c>
      <c r="H157" s="8"/>
      <c r="I157" s="76">
        <v>1</v>
      </c>
      <c r="J157" s="76">
        <f>VLOOKUP(C157,'[1]Sheet (2)'!$A$3:$H$5503,5,0)</f>
        <v>1</v>
      </c>
      <c r="K157" s="76">
        <f t="shared" si="5"/>
        <v>0</v>
      </c>
      <c r="L157" s="8" t="s">
        <v>931</v>
      </c>
      <c r="M157" s="73" t="str">
        <f t="shared" si="4"/>
        <v/>
      </c>
    </row>
    <row r="158" spans="1:13" ht="17.25" customHeight="1" x14ac:dyDescent="0.25">
      <c r="A158">
        <v>156</v>
      </c>
      <c r="B158" s="8" t="s">
        <v>931</v>
      </c>
      <c r="C158" s="8" t="s">
        <v>1385</v>
      </c>
      <c r="D158" s="8" t="s">
        <v>1387</v>
      </c>
      <c r="E158" s="73" t="str">
        <f>VLOOKUP(C158,'[1]Sheet (2)'!$A$3:$G$5503,1,0)</f>
        <v>7.707583E928174002</v>
      </c>
      <c r="F158" s="8" t="s">
        <v>939</v>
      </c>
      <c r="G158" s="8" t="s">
        <v>1386</v>
      </c>
      <c r="H158" s="8"/>
      <c r="I158" s="76">
        <v>9</v>
      </c>
      <c r="J158" s="76">
        <f>VLOOKUP(C158,'[1]Sheet (2)'!$A$3:$H$5503,5,0)</f>
        <v>9</v>
      </c>
      <c r="K158" s="76">
        <f t="shared" si="5"/>
        <v>0</v>
      </c>
      <c r="L158" s="8" t="s">
        <v>931</v>
      </c>
      <c r="M158" s="73" t="str">
        <f t="shared" si="4"/>
        <v/>
      </c>
    </row>
    <row r="159" spans="1:13" ht="17.25" customHeight="1" x14ac:dyDescent="0.25">
      <c r="A159">
        <v>157</v>
      </c>
      <c r="B159" s="8" t="s">
        <v>931</v>
      </c>
      <c r="C159" s="8" t="s">
        <v>1388</v>
      </c>
      <c r="D159" s="8" t="s">
        <v>1390</v>
      </c>
      <c r="E159" s="73" t="str">
        <f>VLOOKUP(C159,'[1]Sheet (2)'!$A$3:$G$5503,1,0)</f>
        <v>7.7040800101012000</v>
      </c>
      <c r="F159" s="8" t="s">
        <v>935</v>
      </c>
      <c r="G159" s="8" t="s">
        <v>1389</v>
      </c>
      <c r="H159" s="8"/>
      <c r="I159" s="76">
        <v>25</v>
      </c>
      <c r="J159" s="76">
        <f>VLOOKUP(C159,'[1]Sheet (2)'!$A$3:$H$5503,5,0)</f>
        <v>25</v>
      </c>
      <c r="K159" s="76">
        <f t="shared" si="5"/>
        <v>0</v>
      </c>
      <c r="L159" s="8" t="s">
        <v>931</v>
      </c>
      <c r="M159" s="73" t="str">
        <f t="shared" si="4"/>
        <v/>
      </c>
    </row>
    <row r="160" spans="1:13" ht="17.25" customHeight="1" x14ac:dyDescent="0.25">
      <c r="A160">
        <v>158</v>
      </c>
      <c r="B160" s="8" t="s">
        <v>931</v>
      </c>
      <c r="C160" s="8" t="s">
        <v>1391</v>
      </c>
      <c r="D160" s="8" t="s">
        <v>1393</v>
      </c>
      <c r="E160" s="73" t="str">
        <f>VLOOKUP(C160,'[1]Sheet (2)'!$A$3:$G$5503,1,0)</f>
        <v>7.101089591200A80</v>
      </c>
      <c r="F160" s="8" t="s">
        <v>935</v>
      </c>
      <c r="G160" s="8" t="s">
        <v>1392</v>
      </c>
      <c r="H160" s="8"/>
      <c r="I160" s="76">
        <v>25</v>
      </c>
      <c r="J160" s="76">
        <f>VLOOKUP(C160,'[1]Sheet (2)'!$A$3:$H$5503,5,0)</f>
        <v>25</v>
      </c>
      <c r="K160" s="76">
        <f t="shared" si="5"/>
        <v>0</v>
      </c>
      <c r="L160" s="8" t="s">
        <v>931</v>
      </c>
      <c r="M160" s="73" t="str">
        <f t="shared" si="4"/>
        <v/>
      </c>
    </row>
    <row r="161" spans="1:13" ht="17.25" customHeight="1" x14ac:dyDescent="0.25">
      <c r="A161">
        <v>159</v>
      </c>
      <c r="B161" s="8" t="s">
        <v>931</v>
      </c>
      <c r="C161" s="8" t="s">
        <v>1394</v>
      </c>
      <c r="D161" s="8" t="s">
        <v>1396</v>
      </c>
      <c r="E161" s="73" t="str">
        <f>VLOOKUP(C161,'[1]Sheet (2)'!$A$3:$G$5503,1,0)</f>
        <v>7.703004010500500</v>
      </c>
      <c r="F161" s="8" t="s">
        <v>935</v>
      </c>
      <c r="G161" s="8" t="s">
        <v>1395</v>
      </c>
      <c r="H161" s="8"/>
      <c r="I161" s="76">
        <v>25</v>
      </c>
      <c r="J161" s="76">
        <f>VLOOKUP(C161,'[1]Sheet (2)'!$A$3:$H$5503,5,0)</f>
        <v>25</v>
      </c>
      <c r="K161" s="76">
        <f t="shared" si="5"/>
        <v>0</v>
      </c>
      <c r="L161" s="8" t="s">
        <v>931</v>
      </c>
      <c r="M161" s="73" t="str">
        <f t="shared" si="4"/>
        <v/>
      </c>
    </row>
    <row r="162" spans="1:13" ht="17.25" customHeight="1" x14ac:dyDescent="0.25">
      <c r="A162">
        <v>160</v>
      </c>
      <c r="B162" s="8" t="s">
        <v>931</v>
      </c>
      <c r="C162" s="8" t="s">
        <v>1397</v>
      </c>
      <c r="D162" s="8" t="s">
        <v>1399</v>
      </c>
      <c r="E162" s="73" t="str">
        <f>VLOOKUP(C162,'[1]Sheet (2)'!$A$3:$G$5503,1,0)</f>
        <v>7.707710953717000C</v>
      </c>
      <c r="F162" s="8" t="s">
        <v>939</v>
      </c>
      <c r="G162" s="8" t="s">
        <v>1398</v>
      </c>
      <c r="H162" s="8"/>
      <c r="I162" s="76">
        <v>12</v>
      </c>
      <c r="J162" s="76">
        <f>VLOOKUP(C162,'[1]Sheet (2)'!$A$3:$H$5503,5,0)</f>
        <v>12</v>
      </c>
      <c r="K162" s="76">
        <f t="shared" si="5"/>
        <v>0</v>
      </c>
      <c r="L162" s="8" t="s">
        <v>931</v>
      </c>
      <c r="M162" s="73" t="str">
        <f t="shared" si="4"/>
        <v/>
      </c>
    </row>
    <row r="163" spans="1:13" ht="17.25" customHeight="1" x14ac:dyDescent="0.25">
      <c r="A163">
        <v>161</v>
      </c>
      <c r="B163" s="8" t="s">
        <v>931</v>
      </c>
      <c r="C163" s="8" t="s">
        <v>1400</v>
      </c>
      <c r="D163" s="8" t="s">
        <v>1402</v>
      </c>
      <c r="E163" s="73" t="str">
        <f>VLOOKUP(C163,'[1]Sheet (2)'!$A$3:$G$5503,1,0)</f>
        <v>7.707586N32817000K</v>
      </c>
      <c r="F163" s="8" t="s">
        <v>939</v>
      </c>
      <c r="G163" s="8" t="s">
        <v>1401</v>
      </c>
      <c r="H163" s="8"/>
      <c r="I163" s="76">
        <v>11.2</v>
      </c>
      <c r="J163" s="76">
        <f>VLOOKUP(C163,'[1]Sheet (2)'!$A$3:$H$5503,5,0)</f>
        <v>11.2</v>
      </c>
      <c r="K163" s="76">
        <f t="shared" si="5"/>
        <v>0</v>
      </c>
      <c r="L163" s="8" t="s">
        <v>931</v>
      </c>
      <c r="M163" s="73" t="str">
        <f t="shared" si="4"/>
        <v/>
      </c>
    </row>
    <row r="164" spans="1:13" ht="16.5" customHeight="1" x14ac:dyDescent="0.25">
      <c r="A164">
        <v>162</v>
      </c>
      <c r="B164" s="8" t="s">
        <v>931</v>
      </c>
      <c r="C164" s="8" t="s">
        <v>1403</v>
      </c>
      <c r="D164" s="8" t="s">
        <v>1405</v>
      </c>
      <c r="E164" s="73" t="str">
        <f>VLOOKUP(C164,'[1]Sheet (2)'!$A$3:$G$5503,1,0)</f>
        <v>7.74132917020000</v>
      </c>
      <c r="F164" s="8" t="s">
        <v>935</v>
      </c>
      <c r="G164" s="8" t="s">
        <v>1404</v>
      </c>
      <c r="H164" s="8"/>
      <c r="I164" s="76">
        <v>200</v>
      </c>
      <c r="J164" s="76">
        <f>VLOOKUP(C164,'[1]Sheet (2)'!$A$3:$H$5503,5,0)</f>
        <v>200</v>
      </c>
      <c r="K164" s="76">
        <f t="shared" si="5"/>
        <v>0</v>
      </c>
      <c r="L164" s="8" t="s">
        <v>931</v>
      </c>
      <c r="M164" s="73" t="str">
        <f t="shared" si="4"/>
        <v/>
      </c>
    </row>
    <row r="165" spans="1:13" ht="17.25" customHeight="1" x14ac:dyDescent="0.25">
      <c r="A165">
        <v>163</v>
      </c>
      <c r="B165" s="8" t="s">
        <v>931</v>
      </c>
      <c r="C165" s="8" t="s">
        <v>1362</v>
      </c>
      <c r="D165" s="8" t="s">
        <v>1364</v>
      </c>
      <c r="E165" s="73" t="str">
        <f>VLOOKUP(C165,'[1]Sheet (2)'!$A$3:$G$5503,1,0)</f>
        <v>7.704D62R537170001</v>
      </c>
      <c r="F165" s="8" t="s">
        <v>939</v>
      </c>
      <c r="G165" s="8" t="s">
        <v>1363</v>
      </c>
      <c r="H165" s="8"/>
      <c r="I165" s="76">
        <v>5.0999999999999996</v>
      </c>
      <c r="J165" s="76">
        <f>VLOOKUP(C165,'[1]Sheet (2)'!$A$3:$H$5503,5,0)</f>
        <v>5.0999999999999996</v>
      </c>
      <c r="K165" s="76">
        <f t="shared" si="5"/>
        <v>0</v>
      </c>
      <c r="L165" s="8" t="s">
        <v>931</v>
      </c>
      <c r="M165" s="73" t="str">
        <f t="shared" si="4"/>
        <v/>
      </c>
    </row>
    <row r="166" spans="1:13" ht="17.25" customHeight="1" x14ac:dyDescent="0.25">
      <c r="A166">
        <v>164</v>
      </c>
      <c r="B166" s="8" t="s">
        <v>931</v>
      </c>
      <c r="C166" s="8" t="s">
        <v>1406</v>
      </c>
      <c r="D166" s="8" t="s">
        <v>1408</v>
      </c>
      <c r="E166" s="73" t="str">
        <f>VLOOKUP(C166,'[1]Sheet (2)'!$A$3:$G$5503,1,0)</f>
        <v>7.707583F62817400G</v>
      </c>
      <c r="F166" s="8" t="s">
        <v>939</v>
      </c>
      <c r="G166" s="8" t="s">
        <v>1407</v>
      </c>
      <c r="H166" s="8"/>
      <c r="I166" s="76">
        <v>11.2</v>
      </c>
      <c r="J166" s="76">
        <f>VLOOKUP(C166,'[1]Sheet (2)'!$A$3:$H$5503,5,0)</f>
        <v>11.2</v>
      </c>
      <c r="K166" s="76">
        <f t="shared" si="5"/>
        <v>0</v>
      </c>
      <c r="L166" s="8" t="s">
        <v>931</v>
      </c>
      <c r="M166" s="73" t="str">
        <f t="shared" si="4"/>
        <v/>
      </c>
    </row>
    <row r="167" spans="1:13" ht="17.25" customHeight="1" x14ac:dyDescent="0.25">
      <c r="A167">
        <v>165</v>
      </c>
      <c r="B167" s="8" t="s">
        <v>931</v>
      </c>
      <c r="C167" s="8" t="s">
        <v>1409</v>
      </c>
      <c r="D167" s="8" t="s">
        <v>1411</v>
      </c>
      <c r="E167" s="73" t="str">
        <f>VLOOKUP(C167,'[1]Sheet (2)'!$A$3:$G$5503,1,0)</f>
        <v>7.707711N32817000K</v>
      </c>
      <c r="F167" s="8" t="s">
        <v>939</v>
      </c>
      <c r="G167" s="8" t="s">
        <v>1410</v>
      </c>
      <c r="H167" s="8"/>
      <c r="I167" s="76">
        <v>11.2</v>
      </c>
      <c r="J167" s="76">
        <f>VLOOKUP(C167,'[1]Sheet (2)'!$A$3:$H$5503,5,0)</f>
        <v>11.2</v>
      </c>
      <c r="K167" s="76">
        <f t="shared" si="5"/>
        <v>0</v>
      </c>
      <c r="L167" s="8" t="s">
        <v>931</v>
      </c>
      <c r="M167" s="73" t="str">
        <f t="shared" si="4"/>
        <v/>
      </c>
    </row>
    <row r="168" spans="1:13" ht="17.25" customHeight="1" x14ac:dyDescent="0.25">
      <c r="A168">
        <v>166</v>
      </c>
      <c r="B168" s="8" t="s">
        <v>931</v>
      </c>
      <c r="C168" s="8" t="s">
        <v>1412</v>
      </c>
      <c r="D168" s="8" t="s">
        <v>1413</v>
      </c>
      <c r="E168" s="73" t="str">
        <f>VLOOKUP(C168,'[1]Sheet (2)'!$A$3:$G$5503,1,0)</f>
        <v>7.131104B11704P10</v>
      </c>
      <c r="F168" s="8" t="s">
        <v>939</v>
      </c>
      <c r="G168" s="8" t="s">
        <v>1139</v>
      </c>
      <c r="H168" s="8"/>
      <c r="I168" s="76">
        <v>10.92</v>
      </c>
      <c r="J168" s="76">
        <f>VLOOKUP(C168,'[1]Sheet (2)'!$A$3:$H$5503,5,0)</f>
        <v>10.92</v>
      </c>
      <c r="K168" s="76">
        <f t="shared" si="5"/>
        <v>0</v>
      </c>
      <c r="L168" s="8" t="s">
        <v>931</v>
      </c>
      <c r="M168" s="73" t="str">
        <f t="shared" si="4"/>
        <v/>
      </c>
    </row>
    <row r="169" spans="1:13" ht="17.25" customHeight="1" x14ac:dyDescent="0.25">
      <c r="A169">
        <v>167</v>
      </c>
      <c r="B169" s="8" t="s">
        <v>1414</v>
      </c>
      <c r="C169" s="8" t="s">
        <v>1415</v>
      </c>
      <c r="D169" s="8" t="s">
        <v>1416</v>
      </c>
      <c r="E169" s="73" t="str">
        <f>VLOOKUP(C169,'[1]Sheet (2)'!$A$3:$G$5503,1,0)</f>
        <v>7.522H850305201320</v>
      </c>
      <c r="F169" s="8" t="s">
        <v>939</v>
      </c>
      <c r="G169" s="8" t="s">
        <v>1416</v>
      </c>
      <c r="H169" s="8"/>
      <c r="I169" s="76">
        <v>8</v>
      </c>
      <c r="J169" s="76">
        <f>VLOOKUP(C169,'[1]Sheet (2)'!$A$3:$H$5503,5,0)</f>
        <v>8</v>
      </c>
      <c r="K169" s="76">
        <f t="shared" si="5"/>
        <v>0</v>
      </c>
      <c r="L169" s="8" t="s">
        <v>1414</v>
      </c>
      <c r="M169" s="73" t="str">
        <f t="shared" si="4"/>
        <v/>
      </c>
    </row>
    <row r="170" spans="1:13" ht="17.25" customHeight="1" x14ac:dyDescent="0.25">
      <c r="A170">
        <v>168</v>
      </c>
      <c r="B170" s="8" t="s">
        <v>1417</v>
      </c>
      <c r="C170" s="8" t="s">
        <v>1418</v>
      </c>
      <c r="D170" s="8" t="s">
        <v>1420</v>
      </c>
      <c r="E170" s="73" t="str">
        <f>VLOOKUP(C170,'[1]Sheet (2)'!$A$3:$G$5503,1,0)</f>
        <v>7.5221125707Y0223</v>
      </c>
      <c r="F170" s="8" t="s">
        <v>939</v>
      </c>
      <c r="G170" s="8" t="s">
        <v>1419</v>
      </c>
      <c r="H170" s="8"/>
      <c r="I170" s="76">
        <v>9</v>
      </c>
      <c r="J170" s="76">
        <f>VLOOKUP(C170,'[1]Sheet (2)'!$A$3:$H$5503,5,0)</f>
        <v>9</v>
      </c>
      <c r="K170" s="76">
        <f t="shared" si="5"/>
        <v>0</v>
      </c>
      <c r="L170" s="8" t="s">
        <v>1417</v>
      </c>
      <c r="M170" s="73" t="str">
        <f t="shared" si="4"/>
        <v/>
      </c>
    </row>
    <row r="171" spans="1:13" ht="17.25" customHeight="1" x14ac:dyDescent="0.25">
      <c r="A171">
        <v>169</v>
      </c>
      <c r="B171" s="8" t="s">
        <v>1417</v>
      </c>
      <c r="C171" s="8" t="s">
        <v>1421</v>
      </c>
      <c r="D171" s="8" t="s">
        <v>1423</v>
      </c>
      <c r="E171" s="73" t="str">
        <f>VLOOKUP(C171,'[1]Sheet (2)'!$A$3:$G$5503,1,0)</f>
        <v>7.522H850300101020</v>
      </c>
      <c r="F171" s="8" t="s">
        <v>939</v>
      </c>
      <c r="G171" s="8" t="s">
        <v>1422</v>
      </c>
      <c r="H171" s="8"/>
      <c r="I171" s="76">
        <v>4.8</v>
      </c>
      <c r="J171" s="76">
        <f>VLOOKUP(C171,'[1]Sheet (2)'!$A$3:$H$5503,5,0)</f>
        <v>4.8</v>
      </c>
      <c r="K171" s="76">
        <f t="shared" si="5"/>
        <v>0</v>
      </c>
      <c r="L171" s="8" t="s">
        <v>1417</v>
      </c>
      <c r="M171" s="73" t="str">
        <f t="shared" si="4"/>
        <v/>
      </c>
    </row>
    <row r="172" spans="1:13" ht="17.25" customHeight="1" x14ac:dyDescent="0.25">
      <c r="A172">
        <v>170</v>
      </c>
      <c r="B172" s="8" t="s">
        <v>1417</v>
      </c>
      <c r="C172" s="8" t="s">
        <v>1424</v>
      </c>
      <c r="D172" s="8" t="s">
        <v>1426</v>
      </c>
      <c r="E172" s="73" t="str">
        <f>VLOOKUP(C172,'[1]Sheet (2)'!$A$3:$G$5503,1,0)</f>
        <v>7.5221120707Y0210</v>
      </c>
      <c r="F172" s="8" t="s">
        <v>939</v>
      </c>
      <c r="G172" s="8" t="s">
        <v>1425</v>
      </c>
      <c r="H172" s="8"/>
      <c r="I172" s="76">
        <v>10</v>
      </c>
      <c r="J172" s="76">
        <f>VLOOKUP(C172,'[1]Sheet (2)'!$A$3:$H$5503,5,0)</f>
        <v>10</v>
      </c>
      <c r="K172" s="76">
        <f t="shared" si="5"/>
        <v>0</v>
      </c>
      <c r="L172" s="8" t="s">
        <v>1417</v>
      </c>
      <c r="M172" s="73" t="str">
        <f t="shared" si="4"/>
        <v/>
      </c>
    </row>
    <row r="173" spans="1:13" ht="17.25" customHeight="1" x14ac:dyDescent="0.25">
      <c r="A173">
        <v>171</v>
      </c>
      <c r="B173" s="8" t="s">
        <v>1417</v>
      </c>
      <c r="C173" s="8" t="s">
        <v>1427</v>
      </c>
      <c r="D173" s="8" t="s">
        <v>1429</v>
      </c>
      <c r="E173" s="73" t="str">
        <f>VLOOKUP(C173,'[1]Sheet (2)'!$A$3:$G$5503,1,0)</f>
        <v>7.522H850301201140</v>
      </c>
      <c r="F173" s="8" t="s">
        <v>939</v>
      </c>
      <c r="G173" s="8" t="s">
        <v>1428</v>
      </c>
      <c r="H173" s="8"/>
      <c r="I173" s="76">
        <v>4.8</v>
      </c>
      <c r="J173" s="76">
        <f>VLOOKUP(C173,'[1]Sheet (2)'!$A$3:$H$5503,5,0)</f>
        <v>4.8</v>
      </c>
      <c r="K173" s="76">
        <f t="shared" si="5"/>
        <v>0</v>
      </c>
      <c r="L173" s="8" t="s">
        <v>1417</v>
      </c>
      <c r="M173" s="73" t="str">
        <f t="shared" si="4"/>
        <v/>
      </c>
    </row>
    <row r="174" spans="1:13" ht="17.25" customHeight="1" x14ac:dyDescent="0.25">
      <c r="A174">
        <v>172</v>
      </c>
      <c r="B174" s="8" t="s">
        <v>1417</v>
      </c>
      <c r="C174" s="8" t="s">
        <v>1430</v>
      </c>
      <c r="D174" s="8" t="s">
        <v>1432</v>
      </c>
      <c r="E174" s="73" t="str">
        <f>VLOOKUP(C174,'[1]Sheet (2)'!$A$3:$G$5503,1,0)</f>
        <v>7.55601041671206</v>
      </c>
      <c r="F174" s="8" t="s">
        <v>939</v>
      </c>
      <c r="G174" s="8" t="s">
        <v>1431</v>
      </c>
      <c r="H174" s="8"/>
      <c r="I174" s="76">
        <v>10</v>
      </c>
      <c r="J174" s="76">
        <f>VLOOKUP(C174,'[1]Sheet (2)'!$A$3:$H$5503,5,0)</f>
        <v>10</v>
      </c>
      <c r="K174" s="76">
        <f t="shared" si="5"/>
        <v>0</v>
      </c>
      <c r="L174" s="8" t="s">
        <v>1417</v>
      </c>
      <c r="M174" s="73" t="str">
        <f t="shared" si="4"/>
        <v/>
      </c>
    </row>
    <row r="175" spans="1:13" ht="17.25" customHeight="1" x14ac:dyDescent="0.25">
      <c r="A175">
        <v>173</v>
      </c>
      <c r="B175" s="8" t="s">
        <v>1417</v>
      </c>
      <c r="C175" s="8" t="s">
        <v>1433</v>
      </c>
      <c r="D175" s="8" t="s">
        <v>1435</v>
      </c>
      <c r="E175" s="73" t="str">
        <f>VLOOKUP(C175,'[1]Sheet (2)'!$A$3:$G$5503,1,0)</f>
        <v>7.522B850640701140</v>
      </c>
      <c r="F175" s="8" t="s">
        <v>939</v>
      </c>
      <c r="G175" s="8" t="s">
        <v>1434</v>
      </c>
      <c r="H175" s="8"/>
      <c r="I175" s="76">
        <v>6</v>
      </c>
      <c r="J175" s="76">
        <f>VLOOKUP(C175,'[1]Sheet (2)'!$A$3:$H$5503,5,0)</f>
        <v>6</v>
      </c>
      <c r="K175" s="76">
        <f t="shared" si="5"/>
        <v>0</v>
      </c>
      <c r="L175" s="8" t="s">
        <v>1417</v>
      </c>
      <c r="M175" s="73" t="str">
        <f t="shared" si="4"/>
        <v/>
      </c>
    </row>
    <row r="176" spans="1:13" ht="17.25" customHeight="1" x14ac:dyDescent="0.25">
      <c r="A176">
        <v>174</v>
      </c>
      <c r="B176" s="8" t="s">
        <v>1417</v>
      </c>
      <c r="C176" s="8" t="s">
        <v>1436</v>
      </c>
      <c r="D176" s="8" t="s">
        <v>1438</v>
      </c>
      <c r="E176" s="73" t="str">
        <f>VLOOKUP(C176,'[1]Sheet (2)'!$A$3:$G$5503,1,0)</f>
        <v>7.5221125707Z0206</v>
      </c>
      <c r="F176" s="8" t="s">
        <v>939</v>
      </c>
      <c r="G176" s="8" t="s">
        <v>1437</v>
      </c>
      <c r="H176" s="8"/>
      <c r="I176" s="76">
        <v>3.6</v>
      </c>
      <c r="J176" s="76">
        <f>VLOOKUP(C176,'[1]Sheet (2)'!$A$3:$H$5503,5,0)</f>
        <v>3.6</v>
      </c>
      <c r="K176" s="76">
        <f t="shared" si="5"/>
        <v>0</v>
      </c>
      <c r="L176" s="8" t="s">
        <v>1417</v>
      </c>
      <c r="M176" s="73" t="str">
        <f t="shared" si="4"/>
        <v/>
      </c>
    </row>
    <row r="177" spans="1:13" ht="17.25" customHeight="1" x14ac:dyDescent="0.25">
      <c r="A177">
        <v>175</v>
      </c>
      <c r="B177" s="8" t="s">
        <v>1417</v>
      </c>
      <c r="C177" s="8" t="s">
        <v>1439</v>
      </c>
      <c r="D177" s="8" t="s">
        <v>1441</v>
      </c>
      <c r="E177" s="73" t="str">
        <f>VLOOKUP(C177,'[1]Sheet (2)'!$A$3:$G$5503,1,0)</f>
        <v>7.522H850041201140</v>
      </c>
      <c r="F177" s="8" t="s">
        <v>939</v>
      </c>
      <c r="G177" s="8" t="s">
        <v>1440</v>
      </c>
      <c r="H177" s="8"/>
      <c r="I177" s="76">
        <v>4.8</v>
      </c>
      <c r="J177" s="76">
        <f>VLOOKUP(C177,'[1]Sheet (2)'!$A$3:$H$5503,5,0)</f>
        <v>4.8</v>
      </c>
      <c r="K177" s="76">
        <f t="shared" si="5"/>
        <v>0</v>
      </c>
      <c r="L177" s="8" t="s">
        <v>1417</v>
      </c>
      <c r="M177" s="73" t="str">
        <f t="shared" si="4"/>
        <v/>
      </c>
    </row>
    <row r="178" spans="1:13" ht="17.25" customHeight="1" x14ac:dyDescent="0.25">
      <c r="A178">
        <v>176</v>
      </c>
      <c r="B178" s="8" t="s">
        <v>1417</v>
      </c>
      <c r="C178" s="8" t="s">
        <v>1442</v>
      </c>
      <c r="D178" s="8" t="s">
        <v>1444</v>
      </c>
      <c r="E178" s="73" t="str">
        <f>VLOOKUP(C178,'[1]Sheet (2)'!$A$3:$G$5503,1,0)</f>
        <v>7.55601010672006</v>
      </c>
      <c r="F178" s="8" t="s">
        <v>939</v>
      </c>
      <c r="G178" s="8" t="s">
        <v>1443</v>
      </c>
      <c r="H178" s="8"/>
      <c r="I178" s="76">
        <v>3.3</v>
      </c>
      <c r="J178" s="76">
        <f>VLOOKUP(C178,'[1]Sheet (2)'!$A$3:$H$5503,5,0)</f>
        <v>3.3</v>
      </c>
      <c r="K178" s="76">
        <f t="shared" si="5"/>
        <v>0</v>
      </c>
      <c r="L178" s="8" t="s">
        <v>1417</v>
      </c>
      <c r="M178" s="73" t="str">
        <f t="shared" si="4"/>
        <v/>
      </c>
    </row>
    <row r="179" spans="1:13" ht="17.25" customHeight="1" x14ac:dyDescent="0.25">
      <c r="A179">
        <v>177</v>
      </c>
      <c r="B179" s="8" t="s">
        <v>1417</v>
      </c>
      <c r="C179" s="8" t="s">
        <v>1445</v>
      </c>
      <c r="D179" s="8" t="s">
        <v>1447</v>
      </c>
      <c r="E179" s="73" t="str">
        <f>VLOOKUP(C179,'[1]Sheet (2)'!$A$3:$G$5503,1,0)</f>
        <v>7.585D130830080110</v>
      </c>
      <c r="F179" s="8" t="s">
        <v>939</v>
      </c>
      <c r="G179" s="8" t="s">
        <v>1446</v>
      </c>
      <c r="H179" s="8"/>
      <c r="I179" s="76">
        <v>4.8</v>
      </c>
      <c r="J179" s="76">
        <f>VLOOKUP(C179,'[1]Sheet (2)'!$A$3:$H$5503,5,0)</f>
        <v>4.8</v>
      </c>
      <c r="K179" s="76">
        <f t="shared" si="5"/>
        <v>0</v>
      </c>
      <c r="L179" s="8" t="s">
        <v>1417</v>
      </c>
      <c r="M179" s="73" t="str">
        <f t="shared" si="4"/>
        <v/>
      </c>
    </row>
    <row r="180" spans="1:13" ht="17.25" customHeight="1" x14ac:dyDescent="0.25">
      <c r="A180">
        <v>178</v>
      </c>
      <c r="B180" s="8" t="s">
        <v>1417</v>
      </c>
      <c r="C180" s="8" t="s">
        <v>1448</v>
      </c>
      <c r="D180" s="8" t="s">
        <v>1450</v>
      </c>
      <c r="E180" s="73" t="str">
        <f>VLOOKUP(C180,'[1]Sheet (2)'!$A$3:$G$5503,1,0)</f>
        <v>7.5221450707Y0210</v>
      </c>
      <c r="F180" s="8" t="s">
        <v>939</v>
      </c>
      <c r="G180" s="8" t="s">
        <v>1449</v>
      </c>
      <c r="H180" s="8"/>
      <c r="I180" s="76">
        <v>10</v>
      </c>
      <c r="J180" s="76">
        <f>VLOOKUP(C180,'[1]Sheet (2)'!$A$3:$H$5503,5,0)</f>
        <v>10</v>
      </c>
      <c r="K180" s="76">
        <f t="shared" si="5"/>
        <v>0</v>
      </c>
      <c r="L180" s="8" t="s">
        <v>1417</v>
      </c>
      <c r="M180" s="73" t="str">
        <f t="shared" si="4"/>
        <v/>
      </c>
    </row>
    <row r="181" spans="1:13" ht="17.25" customHeight="1" x14ac:dyDescent="0.25">
      <c r="A181">
        <v>179</v>
      </c>
      <c r="B181" s="8" t="s">
        <v>1417</v>
      </c>
      <c r="C181" s="8" t="s">
        <v>1451</v>
      </c>
      <c r="D181" s="8" t="s">
        <v>1453</v>
      </c>
      <c r="E181" s="73" t="str">
        <f>VLOOKUP(C181,'[1]Sheet (2)'!$A$3:$G$5503,1,0)</f>
        <v>7.522B850648101020</v>
      </c>
      <c r="F181" s="8" t="s">
        <v>939</v>
      </c>
      <c r="G181" s="8" t="s">
        <v>1452</v>
      </c>
      <c r="H181" s="8"/>
      <c r="I181" s="76">
        <v>6</v>
      </c>
      <c r="J181" s="76">
        <f>VLOOKUP(C181,'[1]Sheet (2)'!$A$3:$H$5503,5,0)</f>
        <v>6</v>
      </c>
      <c r="K181" s="76">
        <f t="shared" si="5"/>
        <v>0</v>
      </c>
      <c r="L181" s="8" t="s">
        <v>1417</v>
      </c>
      <c r="M181" s="73" t="str">
        <f t="shared" si="4"/>
        <v/>
      </c>
    </row>
    <row r="182" spans="1:13" ht="17.25" customHeight="1" x14ac:dyDescent="0.25">
      <c r="A182">
        <v>180</v>
      </c>
      <c r="B182" s="8" t="s">
        <v>1417</v>
      </c>
      <c r="C182" s="8" t="s">
        <v>1454</v>
      </c>
      <c r="D182" s="8" t="s">
        <v>1456</v>
      </c>
      <c r="E182" s="73" t="str">
        <f>VLOOKUP(C182,'[1]Sheet (2)'!$A$3:$G$5503,1,0)</f>
        <v>7.522H850240101020</v>
      </c>
      <c r="F182" s="8" t="s">
        <v>939</v>
      </c>
      <c r="G182" s="8" t="s">
        <v>1455</v>
      </c>
      <c r="H182" s="8"/>
      <c r="I182" s="76">
        <v>4.8</v>
      </c>
      <c r="J182" s="76">
        <f>VLOOKUP(C182,'[1]Sheet (2)'!$A$3:$H$5503,5,0)</f>
        <v>4.8</v>
      </c>
      <c r="K182" s="76">
        <f t="shared" si="5"/>
        <v>0</v>
      </c>
      <c r="L182" s="8" t="s">
        <v>1417</v>
      </c>
      <c r="M182" s="73" t="str">
        <f t="shared" si="4"/>
        <v/>
      </c>
    </row>
    <row r="183" spans="1:13" ht="17.25" customHeight="1" x14ac:dyDescent="0.25">
      <c r="A183">
        <v>181</v>
      </c>
      <c r="B183" s="8" t="s">
        <v>1417</v>
      </c>
      <c r="C183" s="8" t="s">
        <v>1457</v>
      </c>
      <c r="D183" s="8" t="s">
        <v>1459</v>
      </c>
      <c r="E183" s="73" t="str">
        <f>VLOOKUP(C183,'[1]Sheet (2)'!$A$3:$G$5503,1,0)</f>
        <v>7.522H850280101020</v>
      </c>
      <c r="F183" s="8" t="s">
        <v>939</v>
      </c>
      <c r="G183" s="8" t="s">
        <v>1458</v>
      </c>
      <c r="H183" s="8"/>
      <c r="I183" s="76">
        <v>4.8</v>
      </c>
      <c r="J183" s="76">
        <f>VLOOKUP(C183,'[1]Sheet (2)'!$A$3:$H$5503,5,0)</f>
        <v>4.8</v>
      </c>
      <c r="K183" s="76">
        <f t="shared" si="5"/>
        <v>0</v>
      </c>
      <c r="L183" s="8" t="s">
        <v>1417</v>
      </c>
      <c r="M183" s="73" t="str">
        <f t="shared" si="4"/>
        <v/>
      </c>
    </row>
    <row r="184" spans="1:13" ht="17.25" customHeight="1" x14ac:dyDescent="0.25">
      <c r="A184">
        <v>182</v>
      </c>
      <c r="B184" s="8" t="s">
        <v>1417</v>
      </c>
      <c r="C184" s="8" t="s">
        <v>1460</v>
      </c>
      <c r="D184" s="8" t="s">
        <v>1462</v>
      </c>
      <c r="E184" s="73" t="str">
        <f>VLOOKUP(C184,'[1]Sheet (2)'!$A$3:$G$5503,1,0)</f>
        <v>7.5221125707Y0206</v>
      </c>
      <c r="F184" s="8" t="s">
        <v>939</v>
      </c>
      <c r="G184" s="8" t="s">
        <v>1461</v>
      </c>
      <c r="H184" s="8"/>
      <c r="I184" s="76">
        <v>3.6</v>
      </c>
      <c r="J184" s="76">
        <f>VLOOKUP(C184,'[1]Sheet (2)'!$A$3:$H$5503,5,0)</f>
        <v>3.6</v>
      </c>
      <c r="K184" s="76">
        <f t="shared" si="5"/>
        <v>0</v>
      </c>
      <c r="L184" s="8" t="s">
        <v>1417</v>
      </c>
      <c r="M184" s="73" t="str">
        <f t="shared" si="4"/>
        <v/>
      </c>
    </row>
    <row r="185" spans="1:13" ht="17.25" customHeight="1" x14ac:dyDescent="0.25">
      <c r="A185">
        <v>183</v>
      </c>
      <c r="B185" s="8" t="s">
        <v>1417</v>
      </c>
      <c r="C185" s="8" t="s">
        <v>1463</v>
      </c>
      <c r="D185" s="8" t="s">
        <v>1465</v>
      </c>
      <c r="E185" s="73" t="str">
        <f>VLOOKUP(C185,'[1]Sheet (2)'!$A$3:$G$5503,1,0)</f>
        <v>7.522B856160701140</v>
      </c>
      <c r="F185" s="8" t="s">
        <v>939</v>
      </c>
      <c r="G185" s="8" t="s">
        <v>1464</v>
      </c>
      <c r="H185" s="8"/>
      <c r="I185" s="76">
        <v>6</v>
      </c>
      <c r="J185" s="76">
        <f>VLOOKUP(C185,'[1]Sheet (2)'!$A$3:$H$5503,5,0)</f>
        <v>6</v>
      </c>
      <c r="K185" s="76">
        <f t="shared" si="5"/>
        <v>0</v>
      </c>
      <c r="L185" s="8" t="s">
        <v>1417</v>
      </c>
      <c r="M185" s="73" t="str">
        <f t="shared" si="4"/>
        <v/>
      </c>
    </row>
    <row r="186" spans="1:13" ht="17.25" customHeight="1" x14ac:dyDescent="0.25">
      <c r="A186">
        <v>184</v>
      </c>
      <c r="B186" s="8" t="s">
        <v>1417</v>
      </c>
      <c r="C186" s="8" t="s">
        <v>1466</v>
      </c>
      <c r="D186" s="8" t="s">
        <v>1468</v>
      </c>
      <c r="E186" s="73" t="str">
        <f>VLOOKUP(C186,'[1]Sheet (2)'!$A$3:$G$5503,1,0)</f>
        <v>7.522112732350205</v>
      </c>
      <c r="F186" s="8" t="s">
        <v>939</v>
      </c>
      <c r="G186" s="8" t="s">
        <v>1467</v>
      </c>
      <c r="H186" s="8"/>
      <c r="I186" s="76">
        <v>4.8</v>
      </c>
      <c r="J186" s="76">
        <f>VLOOKUP(C186,'[1]Sheet (2)'!$A$3:$H$5503,5,0)</f>
        <v>4.8</v>
      </c>
      <c r="K186" s="76">
        <f t="shared" si="5"/>
        <v>0</v>
      </c>
      <c r="L186" s="8" t="s">
        <v>1417</v>
      </c>
      <c r="M186" s="73" t="str">
        <f t="shared" si="4"/>
        <v>Trùng</v>
      </c>
    </row>
    <row r="187" spans="1:13" ht="17.25" customHeight="1" x14ac:dyDescent="0.25">
      <c r="A187">
        <v>185</v>
      </c>
      <c r="B187" s="8" t="s">
        <v>1417</v>
      </c>
      <c r="C187" s="8" t="s">
        <v>1469</v>
      </c>
      <c r="D187" s="8" t="s">
        <v>1471</v>
      </c>
      <c r="E187" s="73" t="str">
        <f>VLOOKUP(C187,'[1]Sheet (2)'!$A$3:$G$5503,1,0)</f>
        <v>7.01410721050205</v>
      </c>
      <c r="F187" s="8" t="s">
        <v>939</v>
      </c>
      <c r="G187" s="8" t="s">
        <v>1470</v>
      </c>
      <c r="H187" s="8"/>
      <c r="I187" s="76">
        <v>4.8</v>
      </c>
      <c r="J187" s="76">
        <f>VLOOKUP(C187,'[1]Sheet (2)'!$A$3:$H$5503,5,0)</f>
        <v>4.8</v>
      </c>
      <c r="K187" s="76">
        <f t="shared" si="5"/>
        <v>0</v>
      </c>
      <c r="L187" s="8" t="s">
        <v>1417</v>
      </c>
      <c r="M187" s="73" t="str">
        <f t="shared" si="4"/>
        <v/>
      </c>
    </row>
    <row r="188" spans="1:13" ht="17.25" customHeight="1" x14ac:dyDescent="0.25">
      <c r="A188">
        <v>186</v>
      </c>
      <c r="B188" s="8" t="s">
        <v>1417</v>
      </c>
      <c r="C188" s="8" t="s">
        <v>1472</v>
      </c>
      <c r="D188" s="8" t="s">
        <v>1474</v>
      </c>
      <c r="E188" s="73" t="str">
        <f>VLOOKUP(C188,'[1]Sheet (2)'!$A$3:$G$5503,1,0)</f>
        <v>7.522H850040101020</v>
      </c>
      <c r="F188" s="8" t="s">
        <v>939</v>
      </c>
      <c r="G188" s="8" t="s">
        <v>1473</v>
      </c>
      <c r="H188" s="8"/>
      <c r="I188" s="76">
        <v>4.8</v>
      </c>
      <c r="J188" s="76">
        <f>VLOOKUP(C188,'[1]Sheet (2)'!$A$3:$H$5503,5,0)</f>
        <v>4.8</v>
      </c>
      <c r="K188" s="76">
        <f t="shared" si="5"/>
        <v>0</v>
      </c>
      <c r="L188" s="8" t="s">
        <v>1417</v>
      </c>
      <c r="M188" s="73" t="str">
        <f t="shared" si="4"/>
        <v/>
      </c>
    </row>
    <row r="189" spans="1:13" ht="17.25" customHeight="1" x14ac:dyDescent="0.25">
      <c r="A189">
        <v>187</v>
      </c>
      <c r="B189" s="8" t="s">
        <v>1417</v>
      </c>
      <c r="C189" s="8" t="s">
        <v>1475</v>
      </c>
      <c r="D189" s="8" t="s">
        <v>1477</v>
      </c>
      <c r="E189" s="73" t="str">
        <f>VLOOKUP(C189,'[1]Sheet (2)'!$A$3:$G$5503,1,0)</f>
        <v>7.522H850251401140</v>
      </c>
      <c r="F189" s="8" t="s">
        <v>939</v>
      </c>
      <c r="G189" s="8" t="s">
        <v>1476</v>
      </c>
      <c r="H189" s="8"/>
      <c r="I189" s="76">
        <v>3.6</v>
      </c>
      <c r="J189" s="76">
        <f>VLOOKUP(C189,'[1]Sheet (2)'!$A$3:$H$5503,5,0)</f>
        <v>3.6</v>
      </c>
      <c r="K189" s="76">
        <f t="shared" si="5"/>
        <v>0</v>
      </c>
      <c r="L189" s="8" t="s">
        <v>1417</v>
      </c>
      <c r="M189" s="73" t="str">
        <f t="shared" si="4"/>
        <v/>
      </c>
    </row>
    <row r="190" spans="1:13" ht="17.25" customHeight="1" x14ac:dyDescent="0.25">
      <c r="A190">
        <v>188</v>
      </c>
      <c r="B190" s="8" t="s">
        <v>1417</v>
      </c>
      <c r="C190" s="8" t="s">
        <v>1478</v>
      </c>
      <c r="D190" s="8" t="s">
        <v>1480</v>
      </c>
      <c r="E190" s="73" t="str">
        <f>VLOOKUP(C190,'[1]Sheet (2)'!$A$3:$G$5503,1,0)</f>
        <v>7.522H860110780020</v>
      </c>
      <c r="F190" s="8" t="s">
        <v>939</v>
      </c>
      <c r="G190" s="8" t="s">
        <v>1479</v>
      </c>
      <c r="H190" s="8"/>
      <c r="I190" s="76">
        <v>12</v>
      </c>
      <c r="J190" s="76">
        <f>VLOOKUP(C190,'[1]Sheet (2)'!$A$3:$H$5503,5,0)</f>
        <v>12</v>
      </c>
      <c r="K190" s="76">
        <f t="shared" si="5"/>
        <v>0</v>
      </c>
      <c r="L190" s="8" t="s">
        <v>1417</v>
      </c>
      <c r="M190" s="73" t="str">
        <f t="shared" si="4"/>
        <v/>
      </c>
    </row>
    <row r="191" spans="1:13" ht="17.25" customHeight="1" x14ac:dyDescent="0.25">
      <c r="A191">
        <v>189</v>
      </c>
      <c r="B191" s="8" t="s">
        <v>1417</v>
      </c>
      <c r="C191" s="8" t="s">
        <v>1481</v>
      </c>
      <c r="D191" s="8" t="s">
        <v>1483</v>
      </c>
      <c r="E191" s="73" t="str">
        <f>VLOOKUP(C191,'[1]Sheet (2)'!$A$3:$G$5503,1,0)</f>
        <v>7.522H860110765160</v>
      </c>
      <c r="F191" s="8" t="s">
        <v>939</v>
      </c>
      <c r="G191" s="8" t="s">
        <v>1482</v>
      </c>
      <c r="H191" s="8"/>
      <c r="I191" s="76">
        <v>9</v>
      </c>
      <c r="J191" s="76">
        <f>VLOOKUP(C191,'[1]Sheet (2)'!$A$3:$H$5503,5,0)</f>
        <v>9</v>
      </c>
      <c r="K191" s="76">
        <f t="shared" si="5"/>
        <v>0</v>
      </c>
      <c r="L191" s="8" t="s">
        <v>1417</v>
      </c>
      <c r="M191" s="73" t="str">
        <f t="shared" si="4"/>
        <v/>
      </c>
    </row>
    <row r="192" spans="1:13" ht="17.25" customHeight="1" x14ac:dyDescent="0.25">
      <c r="A192">
        <v>190</v>
      </c>
      <c r="B192" s="8" t="s">
        <v>1417</v>
      </c>
      <c r="C192" s="8" t="s">
        <v>1484</v>
      </c>
      <c r="D192" s="8" t="s">
        <v>1486</v>
      </c>
      <c r="E192" s="73" t="str">
        <f>VLOOKUP(C192,'[1]Sheet (2)'!$A$3:$G$5503,1,0)</f>
        <v>7.090026641990913</v>
      </c>
      <c r="F192" s="8" t="s">
        <v>939</v>
      </c>
      <c r="G192" s="8" t="s">
        <v>1485</v>
      </c>
      <c r="H192" s="8"/>
      <c r="I192" s="76">
        <v>4.8</v>
      </c>
      <c r="J192" s="76">
        <f>VLOOKUP(C192,'[1]Sheet (2)'!$A$3:$H$5503,5,0)</f>
        <v>4.8</v>
      </c>
      <c r="K192" s="76">
        <f t="shared" si="5"/>
        <v>0</v>
      </c>
      <c r="L192" s="8" t="s">
        <v>1417</v>
      </c>
      <c r="M192" s="73" t="str">
        <f t="shared" si="4"/>
        <v/>
      </c>
    </row>
    <row r="193" spans="1:13" ht="17.25" customHeight="1" x14ac:dyDescent="0.25">
      <c r="A193">
        <v>191</v>
      </c>
      <c r="B193" s="8" t="s">
        <v>1417</v>
      </c>
      <c r="C193" s="8" t="s">
        <v>1487</v>
      </c>
      <c r="D193" s="8" t="s">
        <v>1489</v>
      </c>
      <c r="E193" s="73" t="str">
        <f>VLOOKUP(C193,'[1]Sheet (2)'!$A$3:$G$5503,1,0)</f>
        <v>7.522H850271201140</v>
      </c>
      <c r="F193" s="8" t="s">
        <v>939</v>
      </c>
      <c r="G193" s="8" t="s">
        <v>1488</v>
      </c>
      <c r="H193" s="8"/>
      <c r="I193" s="76">
        <v>4.8</v>
      </c>
      <c r="J193" s="76">
        <f>VLOOKUP(C193,'[1]Sheet (2)'!$A$3:$H$5503,5,0)</f>
        <v>4.8</v>
      </c>
      <c r="K193" s="76">
        <f t="shared" si="5"/>
        <v>0</v>
      </c>
      <c r="L193" s="8" t="s">
        <v>1417</v>
      </c>
      <c r="M193" s="73" t="str">
        <f t="shared" si="4"/>
        <v/>
      </c>
    </row>
    <row r="194" spans="1:13" ht="17.25" customHeight="1" x14ac:dyDescent="0.25">
      <c r="A194">
        <v>192</v>
      </c>
      <c r="B194" s="8" t="s">
        <v>1417</v>
      </c>
      <c r="C194" s="8" t="s">
        <v>1490</v>
      </c>
      <c r="D194" s="8" t="s">
        <v>1492</v>
      </c>
      <c r="E194" s="73" t="str">
        <f>VLOOKUP(C194,'[1]Sheet (2)'!$A$3:$G$5503,1,0)</f>
        <v>7.522H870040803000</v>
      </c>
      <c r="F194" s="8" t="s">
        <v>1493</v>
      </c>
      <c r="G194" s="8" t="s">
        <v>1491</v>
      </c>
      <c r="H194" s="8"/>
      <c r="I194" s="76">
        <v>10</v>
      </c>
      <c r="J194" s="76">
        <f>VLOOKUP(C194,'[1]Sheet (2)'!$A$3:$H$5503,5,0)</f>
        <v>10</v>
      </c>
      <c r="K194" s="76">
        <f t="shared" si="5"/>
        <v>0</v>
      </c>
      <c r="L194" s="8" t="s">
        <v>1417</v>
      </c>
      <c r="M194" s="73" t="str">
        <f t="shared" si="4"/>
        <v/>
      </c>
    </row>
    <row r="195" spans="1:13" ht="17.25" customHeight="1" x14ac:dyDescent="0.25">
      <c r="A195">
        <v>193</v>
      </c>
      <c r="B195" s="8" t="s">
        <v>1417</v>
      </c>
      <c r="C195" s="8" t="s">
        <v>1494</v>
      </c>
      <c r="D195" s="8" t="s">
        <v>1496</v>
      </c>
      <c r="E195" s="73" t="str">
        <f>VLOOKUP(C195,'[1]Sheet (2)'!$A$3:$G$5503,1,0)</f>
        <v>7.522H870300803000</v>
      </c>
      <c r="F195" s="8" t="s">
        <v>1493</v>
      </c>
      <c r="G195" s="8" t="s">
        <v>1495</v>
      </c>
      <c r="H195" s="8"/>
      <c r="I195" s="76">
        <v>10</v>
      </c>
      <c r="J195" s="76">
        <f>VLOOKUP(C195,'[1]Sheet (2)'!$A$3:$H$5503,5,0)</f>
        <v>10</v>
      </c>
      <c r="K195" s="76">
        <f t="shared" si="5"/>
        <v>0</v>
      </c>
      <c r="L195" s="8" t="s">
        <v>1417</v>
      </c>
      <c r="M195" s="73" t="str">
        <f t="shared" ref="M195:M258" si="6">IF(COUNTIF($C$3:$C$356, C195)&gt;1, "Trùng", "")</f>
        <v/>
      </c>
    </row>
    <row r="196" spans="1:13" ht="17.25" customHeight="1" x14ac:dyDescent="0.25">
      <c r="A196">
        <v>194</v>
      </c>
      <c r="B196" s="8" t="s">
        <v>1417</v>
      </c>
      <c r="C196" s="8" t="s">
        <v>1497</v>
      </c>
      <c r="D196" s="8" t="s">
        <v>1499</v>
      </c>
      <c r="E196" s="73" t="str">
        <f>VLOOKUP(C196,'[1]Sheet (2)'!$A$3:$G$5503,1,0)</f>
        <v>7.522B856181401020</v>
      </c>
      <c r="F196" s="8" t="s">
        <v>939</v>
      </c>
      <c r="G196" s="8" t="s">
        <v>1498</v>
      </c>
      <c r="H196" s="8"/>
      <c r="I196" s="76">
        <v>7.2</v>
      </c>
      <c r="J196" s="76">
        <f>VLOOKUP(C196,'[1]Sheet (2)'!$A$3:$H$5503,5,0)</f>
        <v>7.2</v>
      </c>
      <c r="K196" s="76">
        <f t="shared" ref="K196:K259" si="7">I196-J196</f>
        <v>0</v>
      </c>
      <c r="L196" s="8" t="s">
        <v>1417</v>
      </c>
      <c r="M196" s="73" t="str">
        <f t="shared" si="6"/>
        <v/>
      </c>
    </row>
    <row r="197" spans="1:13" ht="17.25" customHeight="1" x14ac:dyDescent="0.25">
      <c r="A197">
        <v>195</v>
      </c>
      <c r="B197" s="8" t="s">
        <v>1417</v>
      </c>
      <c r="C197" s="8" t="s">
        <v>1500</v>
      </c>
      <c r="D197" s="8" t="s">
        <v>1502</v>
      </c>
      <c r="E197" s="73" t="str">
        <f>VLOOKUP(C197,'[1]Sheet (2)'!$A$3:$G$5503,1,0)</f>
        <v>7.522112732590205</v>
      </c>
      <c r="F197" s="8" t="s">
        <v>939</v>
      </c>
      <c r="G197" s="8" t="s">
        <v>1501</v>
      </c>
      <c r="H197" s="8"/>
      <c r="I197" s="76">
        <v>4.8</v>
      </c>
      <c r="J197" s="76">
        <f>VLOOKUP(C197,'[1]Sheet (2)'!$A$3:$H$5503,5,0)</f>
        <v>4.8</v>
      </c>
      <c r="K197" s="76">
        <f t="shared" si="7"/>
        <v>0</v>
      </c>
      <c r="L197" s="8" t="s">
        <v>1417</v>
      </c>
      <c r="M197" s="73" t="str">
        <f t="shared" si="6"/>
        <v/>
      </c>
    </row>
    <row r="198" spans="1:13" ht="17.25" customHeight="1" x14ac:dyDescent="0.25">
      <c r="A198">
        <v>196</v>
      </c>
      <c r="B198" s="8" t="s">
        <v>1417</v>
      </c>
      <c r="C198" s="8" t="s">
        <v>1503</v>
      </c>
      <c r="D198" s="8" t="s">
        <v>1505</v>
      </c>
      <c r="E198" s="73" t="str">
        <f>VLOOKUP(C198,'[1]Sheet (2)'!$A$3:$G$5503,1,0)</f>
        <v>7.5221125707Z0223</v>
      </c>
      <c r="F198" s="8" t="s">
        <v>939</v>
      </c>
      <c r="G198" s="8" t="s">
        <v>1504</v>
      </c>
      <c r="H198" s="8"/>
      <c r="I198" s="76">
        <v>9</v>
      </c>
      <c r="J198" s="76">
        <f>VLOOKUP(C198,'[1]Sheet (2)'!$A$3:$H$5503,5,0)</f>
        <v>9</v>
      </c>
      <c r="K198" s="76">
        <f t="shared" si="7"/>
        <v>0</v>
      </c>
      <c r="L198" s="8" t="s">
        <v>1417</v>
      </c>
      <c r="M198" s="73" t="str">
        <f t="shared" si="6"/>
        <v/>
      </c>
    </row>
    <row r="199" spans="1:13" ht="17.25" customHeight="1" x14ac:dyDescent="0.25">
      <c r="A199">
        <v>197</v>
      </c>
      <c r="B199" s="8" t="s">
        <v>1417</v>
      </c>
      <c r="C199" s="8" t="s">
        <v>1506</v>
      </c>
      <c r="D199" s="8" t="s">
        <v>1508</v>
      </c>
      <c r="E199" s="73" t="str">
        <f>VLOOKUP(C199,'[1]Sheet (2)'!$A$3:$G$5503,1,0)</f>
        <v>7.01410701050101</v>
      </c>
      <c r="F199" s="8" t="s">
        <v>1493</v>
      </c>
      <c r="G199" s="8" t="s">
        <v>1507</v>
      </c>
      <c r="H199" s="8"/>
      <c r="I199" s="76">
        <v>10</v>
      </c>
      <c r="J199" s="76">
        <f>VLOOKUP(C199,'[1]Sheet (2)'!$A$3:$H$5503,5,0)</f>
        <v>10</v>
      </c>
      <c r="K199" s="76">
        <f t="shared" si="7"/>
        <v>0</v>
      </c>
      <c r="L199" s="8" t="s">
        <v>1417</v>
      </c>
      <c r="M199" s="73" t="str">
        <f t="shared" si="6"/>
        <v/>
      </c>
    </row>
    <row r="200" spans="1:13" ht="17.25" customHeight="1" x14ac:dyDescent="0.25">
      <c r="A200">
        <v>198</v>
      </c>
      <c r="B200" s="8" t="s">
        <v>1417</v>
      </c>
      <c r="C200" s="8" t="s">
        <v>1509</v>
      </c>
      <c r="D200" s="8" t="s">
        <v>1511</v>
      </c>
      <c r="E200" s="73" t="str">
        <f>VLOOKUP(C200,'[1]Sheet (2)'!$A$3:$G$5503,1,0)</f>
        <v>7.522B856170701140</v>
      </c>
      <c r="F200" s="8" t="s">
        <v>939</v>
      </c>
      <c r="G200" s="8" t="s">
        <v>1510</v>
      </c>
      <c r="H200" s="8"/>
      <c r="I200" s="76">
        <v>6</v>
      </c>
      <c r="J200" s="76">
        <f>VLOOKUP(C200,'[1]Sheet (2)'!$A$3:$H$5503,5,0)</f>
        <v>6</v>
      </c>
      <c r="K200" s="76">
        <f t="shared" si="7"/>
        <v>0</v>
      </c>
      <c r="L200" s="8" t="s">
        <v>1417</v>
      </c>
      <c r="M200" s="73" t="str">
        <f t="shared" si="6"/>
        <v/>
      </c>
    </row>
    <row r="201" spans="1:13" ht="17.25" customHeight="1" x14ac:dyDescent="0.25">
      <c r="A201">
        <v>199</v>
      </c>
      <c r="B201" s="8" t="s">
        <v>1417</v>
      </c>
      <c r="C201" s="8" t="s">
        <v>1512</v>
      </c>
      <c r="D201" s="8" t="s">
        <v>1514</v>
      </c>
      <c r="E201" s="73" t="str">
        <f>VLOOKUP(C201,'[1]Sheet (2)'!$A$3:$G$5503,1,0)</f>
        <v>7.522B856158101140</v>
      </c>
      <c r="F201" s="8" t="s">
        <v>939</v>
      </c>
      <c r="G201" s="8" t="s">
        <v>1513</v>
      </c>
      <c r="H201" s="8"/>
      <c r="I201" s="76">
        <v>3</v>
      </c>
      <c r="J201" s="76">
        <f>VLOOKUP(C201,'[1]Sheet (2)'!$A$3:$H$5503,5,0)</f>
        <v>3</v>
      </c>
      <c r="K201" s="76">
        <f t="shared" si="7"/>
        <v>0</v>
      </c>
      <c r="L201" s="8" t="s">
        <v>1417</v>
      </c>
      <c r="M201" s="73" t="str">
        <f t="shared" si="6"/>
        <v/>
      </c>
    </row>
    <row r="202" spans="1:13" ht="17.25" customHeight="1" x14ac:dyDescent="0.25">
      <c r="A202">
        <v>200</v>
      </c>
      <c r="B202" s="8" t="s">
        <v>1417</v>
      </c>
      <c r="C202" s="8" t="s">
        <v>1515</v>
      </c>
      <c r="D202" s="8" t="s">
        <v>1517</v>
      </c>
      <c r="E202" s="73" t="str">
        <f>VLOOKUP(C202,'[1]Sheet (2)'!$A$3:$G$5503,1,0)</f>
        <v>7.585D130180080101</v>
      </c>
      <c r="F202" s="8" t="s">
        <v>939</v>
      </c>
      <c r="G202" s="8" t="s">
        <v>1516</v>
      </c>
      <c r="H202" s="8"/>
      <c r="I202" s="76">
        <v>9</v>
      </c>
      <c r="J202" s="76">
        <f>VLOOKUP(C202,'[1]Sheet (2)'!$A$3:$H$5503,5,0)</f>
        <v>9</v>
      </c>
      <c r="K202" s="76">
        <f t="shared" si="7"/>
        <v>0</v>
      </c>
      <c r="L202" s="8" t="s">
        <v>1417</v>
      </c>
      <c r="M202" s="73" t="str">
        <f t="shared" si="6"/>
        <v/>
      </c>
    </row>
    <row r="203" spans="1:13" ht="17.25" customHeight="1" x14ac:dyDescent="0.25">
      <c r="A203">
        <v>201</v>
      </c>
      <c r="B203" s="8" t="s">
        <v>1417</v>
      </c>
      <c r="C203" s="8" t="s">
        <v>1518</v>
      </c>
      <c r="D203" s="8" t="s">
        <v>1520</v>
      </c>
      <c r="E203" s="73" t="str">
        <f>VLOOKUP(C203,'[1]Sheet (2)'!$A$3:$G$5503,1,0)</f>
        <v>7.59701568D32202</v>
      </c>
      <c r="F203" s="8" t="s">
        <v>939</v>
      </c>
      <c r="G203" s="8" t="s">
        <v>1519</v>
      </c>
      <c r="H203" s="8"/>
      <c r="I203" s="76">
        <v>5</v>
      </c>
      <c r="J203" s="76">
        <f>VLOOKUP(C203,'[1]Sheet (2)'!$A$3:$H$5503,5,0)</f>
        <v>5</v>
      </c>
      <c r="K203" s="76">
        <f t="shared" si="7"/>
        <v>0</v>
      </c>
      <c r="L203" s="8" t="s">
        <v>1417</v>
      </c>
      <c r="M203" s="73" t="str">
        <f t="shared" si="6"/>
        <v/>
      </c>
    </row>
    <row r="204" spans="1:13" ht="17.25" customHeight="1" x14ac:dyDescent="0.25">
      <c r="A204">
        <v>202</v>
      </c>
      <c r="B204" s="8" t="s">
        <v>1417</v>
      </c>
      <c r="C204" s="8" t="s">
        <v>1521</v>
      </c>
      <c r="D204" s="8" t="s">
        <v>1523</v>
      </c>
      <c r="E204" s="73" t="str">
        <f>VLOOKUP(C204,'[1]Sheet (2)'!$A$3:$G$5503,1,0)</f>
        <v>7.01410705050210</v>
      </c>
      <c r="F204" s="8" t="s">
        <v>939</v>
      </c>
      <c r="G204" s="8" t="s">
        <v>1522</v>
      </c>
      <c r="H204" s="8"/>
      <c r="I204" s="76">
        <v>10</v>
      </c>
      <c r="J204" s="76">
        <f>VLOOKUP(C204,'[1]Sheet (2)'!$A$3:$H$5503,5,0)</f>
        <v>10</v>
      </c>
      <c r="K204" s="76">
        <f t="shared" si="7"/>
        <v>0</v>
      </c>
      <c r="L204" s="8" t="s">
        <v>1417</v>
      </c>
      <c r="M204" s="73" t="str">
        <f t="shared" si="6"/>
        <v>Trùng</v>
      </c>
    </row>
    <row r="205" spans="1:13" ht="17.25" customHeight="1" x14ac:dyDescent="0.25">
      <c r="A205">
        <v>203</v>
      </c>
      <c r="B205" s="8" t="s">
        <v>1417</v>
      </c>
      <c r="C205" s="8" t="s">
        <v>1524</v>
      </c>
      <c r="D205" s="8" t="s">
        <v>1526</v>
      </c>
      <c r="E205" s="73" t="str">
        <f>VLOOKUP(C205,'[1]Sheet (2)'!$A$3:$G$5503,1,0)</f>
        <v>7.522H850260101020</v>
      </c>
      <c r="F205" s="8" t="s">
        <v>939</v>
      </c>
      <c r="G205" s="8" t="s">
        <v>1525</v>
      </c>
      <c r="H205" s="8"/>
      <c r="I205" s="76">
        <v>4.8</v>
      </c>
      <c r="J205" s="76">
        <f>VLOOKUP(C205,'[1]Sheet (2)'!$A$3:$H$5503,5,0)</f>
        <v>4.8</v>
      </c>
      <c r="K205" s="76">
        <f t="shared" si="7"/>
        <v>0</v>
      </c>
      <c r="L205" s="8" t="s">
        <v>1417</v>
      </c>
      <c r="M205" s="73" t="str">
        <f t="shared" si="6"/>
        <v/>
      </c>
    </row>
    <row r="206" spans="1:13" ht="17.25" customHeight="1" x14ac:dyDescent="0.25">
      <c r="A206">
        <v>204</v>
      </c>
      <c r="B206" s="8" t="s">
        <v>1417</v>
      </c>
      <c r="C206" s="8" t="s">
        <v>1521</v>
      </c>
      <c r="D206" s="8" t="s">
        <v>1523</v>
      </c>
      <c r="E206" s="73" t="str">
        <f>VLOOKUP(C206,'[1]Sheet (2)'!$A$3:$G$5503,1,0)</f>
        <v>7.01410705050210</v>
      </c>
      <c r="F206" s="8" t="s">
        <v>939</v>
      </c>
      <c r="G206" s="8" t="s">
        <v>1522</v>
      </c>
      <c r="H206" s="8"/>
      <c r="I206" s="76">
        <v>10</v>
      </c>
      <c r="J206" s="76">
        <f>VLOOKUP(C206,'[1]Sheet (2)'!$A$3:$H$5503,5,0)</f>
        <v>10</v>
      </c>
      <c r="K206" s="76">
        <f t="shared" si="7"/>
        <v>0</v>
      </c>
      <c r="L206" s="8" t="s">
        <v>1417</v>
      </c>
      <c r="M206" s="73" t="str">
        <f t="shared" si="6"/>
        <v>Trùng</v>
      </c>
    </row>
    <row r="207" spans="1:13" ht="17.25" customHeight="1" x14ac:dyDescent="0.25">
      <c r="A207">
        <v>205</v>
      </c>
      <c r="B207" s="8" t="s">
        <v>1417</v>
      </c>
      <c r="C207" s="8" t="s">
        <v>1466</v>
      </c>
      <c r="D207" s="8" t="s">
        <v>1468</v>
      </c>
      <c r="E207" s="73" t="str">
        <f>VLOOKUP(C207,'[1]Sheet (2)'!$A$3:$G$5503,1,0)</f>
        <v>7.522112732350205</v>
      </c>
      <c r="F207" s="8" t="s">
        <v>939</v>
      </c>
      <c r="G207" s="8" t="s">
        <v>1467</v>
      </c>
      <c r="H207" s="8"/>
      <c r="I207" s="76">
        <v>4.8</v>
      </c>
      <c r="J207" s="76">
        <f>VLOOKUP(C207,'[1]Sheet (2)'!$A$3:$H$5503,5,0)</f>
        <v>4.8</v>
      </c>
      <c r="K207" s="76">
        <f t="shared" si="7"/>
        <v>0</v>
      </c>
      <c r="L207" s="8" t="s">
        <v>1417</v>
      </c>
      <c r="M207" s="73" t="str">
        <f t="shared" si="6"/>
        <v>Trùng</v>
      </c>
    </row>
    <row r="208" spans="1:13" ht="17.25" customHeight="1" x14ac:dyDescent="0.25">
      <c r="A208">
        <v>206</v>
      </c>
      <c r="B208" s="8" t="s">
        <v>1417</v>
      </c>
      <c r="C208" s="8" t="s">
        <v>1527</v>
      </c>
      <c r="D208" s="8" t="s">
        <v>1528</v>
      </c>
      <c r="E208" s="73" t="str">
        <f>VLOOKUP(C208,'[1]Sheet (2)'!$A$3:$G$5503,1,0)</f>
        <v>7.522112052520101</v>
      </c>
      <c r="F208" s="8" t="s">
        <v>1493</v>
      </c>
      <c r="G208" s="8" t="s">
        <v>1528</v>
      </c>
      <c r="H208" s="8"/>
      <c r="I208" s="76">
        <v>10</v>
      </c>
      <c r="J208" s="76">
        <f>VLOOKUP(C208,'[1]Sheet (2)'!$A$3:$H$5503,5,0)</f>
        <v>10</v>
      </c>
      <c r="K208" s="76">
        <f t="shared" si="7"/>
        <v>0</v>
      </c>
      <c r="L208" s="8" t="s">
        <v>1417</v>
      </c>
      <c r="M208" s="73" t="str">
        <f t="shared" si="6"/>
        <v/>
      </c>
    </row>
    <row r="209" spans="1:13" ht="17.25" customHeight="1" x14ac:dyDescent="0.25">
      <c r="A209">
        <v>207</v>
      </c>
      <c r="B209" s="8" t="s">
        <v>1417</v>
      </c>
      <c r="C209" s="8" t="s">
        <v>1529</v>
      </c>
      <c r="D209" s="8" t="s">
        <v>1531</v>
      </c>
      <c r="E209" s="73" t="str">
        <f>VLOOKUP(C209,'[1]Sheet (2)'!$A$3:$G$5503,1,0)</f>
        <v>7.522HA80260803320</v>
      </c>
      <c r="F209" s="8" t="s">
        <v>1493</v>
      </c>
      <c r="G209" s="8" t="s">
        <v>1530</v>
      </c>
      <c r="H209" s="8"/>
      <c r="I209" s="76">
        <v>10</v>
      </c>
      <c r="J209" s="76">
        <f>VLOOKUP(C209,'[1]Sheet (2)'!$A$3:$H$5503,5,0)</f>
        <v>10</v>
      </c>
      <c r="K209" s="76">
        <f t="shared" si="7"/>
        <v>0</v>
      </c>
      <c r="L209" s="8" t="s">
        <v>1417</v>
      </c>
      <c r="M209" s="73" t="str">
        <f t="shared" si="6"/>
        <v/>
      </c>
    </row>
    <row r="210" spans="1:13" ht="17.25" customHeight="1" x14ac:dyDescent="0.25">
      <c r="A210">
        <v>208</v>
      </c>
      <c r="B210" s="8" t="s">
        <v>1417</v>
      </c>
      <c r="C210" s="8" t="s">
        <v>1532</v>
      </c>
      <c r="D210" s="8" t="s">
        <v>1534</v>
      </c>
      <c r="E210" s="73" t="str">
        <f>VLOOKUP(C210,'[1]Sheet (2)'!$A$3:$G$5503,1,0)</f>
        <v>7.522HA80270803320</v>
      </c>
      <c r="F210" s="8" t="s">
        <v>1493</v>
      </c>
      <c r="G210" s="8" t="s">
        <v>1533</v>
      </c>
      <c r="H210" s="8"/>
      <c r="I210" s="76">
        <v>10</v>
      </c>
      <c r="J210" s="76">
        <f>VLOOKUP(C210,'[1]Sheet (2)'!$A$3:$H$5503,5,0)</f>
        <v>10</v>
      </c>
      <c r="K210" s="76">
        <f t="shared" si="7"/>
        <v>0</v>
      </c>
      <c r="L210" s="8" t="s">
        <v>1417</v>
      </c>
      <c r="M210" s="73" t="str">
        <f t="shared" si="6"/>
        <v/>
      </c>
    </row>
    <row r="211" spans="1:13" ht="17.25" customHeight="1" x14ac:dyDescent="0.25">
      <c r="A211">
        <v>209</v>
      </c>
      <c r="B211" s="8" t="s">
        <v>1417</v>
      </c>
      <c r="C211" s="8" t="s">
        <v>1535</v>
      </c>
      <c r="D211" s="8" t="s">
        <v>1537</v>
      </c>
      <c r="E211" s="73" t="str">
        <f>VLOOKUP(C211,'[1]Sheet (2)'!$A$3:$G$5503,1,0)</f>
        <v>7.522112052520601</v>
      </c>
      <c r="F211" s="8" t="s">
        <v>1493</v>
      </c>
      <c r="G211" s="8" t="s">
        <v>1536</v>
      </c>
      <c r="H211" s="8"/>
      <c r="I211" s="76">
        <v>10</v>
      </c>
      <c r="J211" s="76">
        <f>VLOOKUP(C211,'[1]Sheet (2)'!$A$3:$H$5503,5,0)</f>
        <v>10</v>
      </c>
      <c r="K211" s="76">
        <f t="shared" si="7"/>
        <v>0</v>
      </c>
      <c r="L211" s="8" t="s">
        <v>1417</v>
      </c>
      <c r="M211" s="73" t="str">
        <f t="shared" si="6"/>
        <v/>
      </c>
    </row>
    <row r="212" spans="1:13" ht="17.25" customHeight="1" x14ac:dyDescent="0.25">
      <c r="A212">
        <v>210</v>
      </c>
      <c r="B212" s="8" t="s">
        <v>1417</v>
      </c>
      <c r="C212" s="8" t="s">
        <v>1538</v>
      </c>
      <c r="D212" s="8" t="s">
        <v>1540</v>
      </c>
      <c r="E212" s="73" t="str">
        <f>VLOOKUP(C212,'[1]Sheet (2)'!$A$3:$G$5503,1,0)</f>
        <v>7.522B850641C01320</v>
      </c>
      <c r="F212" s="8" t="s">
        <v>939</v>
      </c>
      <c r="G212" s="8" t="s">
        <v>1539</v>
      </c>
      <c r="H212" s="8"/>
      <c r="I212" s="76">
        <v>6.5</v>
      </c>
      <c r="J212" s="76">
        <f>VLOOKUP(C212,'[1]Sheet (2)'!$A$3:$H$5503,5,0)</f>
        <v>6.5</v>
      </c>
      <c r="K212" s="76">
        <f t="shared" si="7"/>
        <v>0</v>
      </c>
      <c r="L212" s="8" t="s">
        <v>1417</v>
      </c>
      <c r="M212" s="73" t="str">
        <f t="shared" si="6"/>
        <v/>
      </c>
    </row>
    <row r="213" spans="1:13" ht="17.25" customHeight="1" x14ac:dyDescent="0.25">
      <c r="A213">
        <v>211</v>
      </c>
      <c r="B213" s="8" t="s">
        <v>1541</v>
      </c>
      <c r="C213" s="8" t="s">
        <v>1542</v>
      </c>
      <c r="D213" s="8" t="s">
        <v>1544</v>
      </c>
      <c r="E213" s="73" t="str">
        <f>VLOOKUP(C213,'[1]Sheet (2)'!$A$3:$G$5503,1,0)</f>
        <v>7.551460E67C4M0680</v>
      </c>
      <c r="F213" s="8" t="s">
        <v>939</v>
      </c>
      <c r="G213" s="8" t="s">
        <v>1543</v>
      </c>
      <c r="H213" s="8"/>
      <c r="I213" s="76">
        <v>13.095599999999999</v>
      </c>
      <c r="J213" s="76">
        <f>VLOOKUP(C213,'[1]Sheet (2)'!$A$3:$H$5503,5,0)</f>
        <v>13.095599999999999</v>
      </c>
      <c r="K213" s="76">
        <f t="shared" si="7"/>
        <v>0</v>
      </c>
      <c r="L213" s="8" t="s">
        <v>1541</v>
      </c>
      <c r="M213" s="73" t="str">
        <f t="shared" si="6"/>
        <v>Trùng</v>
      </c>
    </row>
    <row r="214" spans="1:13" ht="17.25" customHeight="1" x14ac:dyDescent="0.25">
      <c r="A214">
        <v>212</v>
      </c>
      <c r="B214" s="8" t="s">
        <v>1541</v>
      </c>
      <c r="C214" s="8" t="s">
        <v>1545</v>
      </c>
      <c r="D214" s="8" t="s">
        <v>1547</v>
      </c>
      <c r="E214" s="73" t="str">
        <f>VLOOKUP(C214,'[1]Sheet (2)'!$A$3:$G$5503,1,0)</f>
        <v>7.551460E67C5M0680</v>
      </c>
      <c r="F214" s="8" t="s">
        <v>939</v>
      </c>
      <c r="G214" s="8" t="s">
        <v>1546</v>
      </c>
      <c r="H214" s="8"/>
      <c r="I214" s="76">
        <v>13.096</v>
      </c>
      <c r="J214" s="76">
        <f>VLOOKUP(C214,'[1]Sheet (2)'!$A$3:$H$5503,5,0)</f>
        <v>13.096</v>
      </c>
      <c r="K214" s="76">
        <f t="shared" si="7"/>
        <v>0</v>
      </c>
      <c r="L214" s="8" t="s">
        <v>1541</v>
      </c>
      <c r="M214" s="73" t="str">
        <f t="shared" si="6"/>
        <v/>
      </c>
    </row>
    <row r="215" spans="1:13" ht="17.25" customHeight="1" x14ac:dyDescent="0.25">
      <c r="A215">
        <v>213</v>
      </c>
      <c r="B215" s="8" t="s">
        <v>1541</v>
      </c>
      <c r="C215" s="8" t="s">
        <v>1548</v>
      </c>
      <c r="D215" s="8" t="s">
        <v>1550</v>
      </c>
      <c r="E215" s="73" t="str">
        <f>VLOOKUP(C215,'[1]Sheet (2)'!$A$3:$G$5503,1,0)</f>
        <v>7.551460F37C6M0380</v>
      </c>
      <c r="F215" s="8" t="s">
        <v>939</v>
      </c>
      <c r="G215" s="8" t="s">
        <v>1549</v>
      </c>
      <c r="H215" s="8"/>
      <c r="I215" s="76">
        <v>17.088000000000001</v>
      </c>
      <c r="J215" s="76">
        <f>VLOOKUP(C215,'[1]Sheet (2)'!$A$3:$H$5503,5,0)</f>
        <v>17.088000000000001</v>
      </c>
      <c r="K215" s="76">
        <f t="shared" si="7"/>
        <v>0</v>
      </c>
      <c r="L215" s="8" t="s">
        <v>1541</v>
      </c>
      <c r="M215" s="73" t="str">
        <f t="shared" si="6"/>
        <v/>
      </c>
    </row>
    <row r="216" spans="1:13" ht="17.25" customHeight="1" x14ac:dyDescent="0.25">
      <c r="A216">
        <v>214</v>
      </c>
      <c r="B216" s="8" t="s">
        <v>1541</v>
      </c>
      <c r="C216" s="8" t="s">
        <v>1551</v>
      </c>
      <c r="D216" s="8" t="s">
        <v>1553</v>
      </c>
      <c r="E216" s="73" t="str">
        <f>VLOOKUP(C216,'[1]Sheet (2)'!$A$3:$G$5503,1,0)</f>
        <v>7.5180032102408040</v>
      </c>
      <c r="F216" s="8" t="s">
        <v>939</v>
      </c>
      <c r="G216" s="8" t="s">
        <v>1552</v>
      </c>
      <c r="H216" s="8"/>
      <c r="I216" s="76">
        <v>10.8</v>
      </c>
      <c r="J216" s="76">
        <f>VLOOKUP(C216,'[1]Sheet (2)'!$A$3:$H$5503,5,0)</f>
        <v>10.8</v>
      </c>
      <c r="K216" s="76">
        <f t="shared" si="7"/>
        <v>0</v>
      </c>
      <c r="L216" s="8" t="s">
        <v>1541</v>
      </c>
      <c r="M216" s="73" t="str">
        <f t="shared" si="6"/>
        <v>Trùng</v>
      </c>
    </row>
    <row r="217" spans="1:13" ht="17.25" customHeight="1" x14ac:dyDescent="0.25">
      <c r="A217">
        <v>215</v>
      </c>
      <c r="B217" s="8" t="s">
        <v>1541</v>
      </c>
      <c r="C217" s="8" t="s">
        <v>1554</v>
      </c>
      <c r="D217" s="8" t="s">
        <v>1556</v>
      </c>
      <c r="E217" s="73" t="str">
        <f>VLOOKUP(C217,'[1]Sheet (2)'!$A$3:$G$5503,1,0)</f>
        <v>7.118110B419217060</v>
      </c>
      <c r="F217" s="8" t="s">
        <v>939</v>
      </c>
      <c r="G217" s="8" t="s">
        <v>1555</v>
      </c>
      <c r="H217" s="8"/>
      <c r="I217" s="76">
        <v>5.52</v>
      </c>
      <c r="J217" s="76">
        <f>VLOOKUP(C217,'[1]Sheet (2)'!$A$3:$H$5503,5,0)</f>
        <v>5.52</v>
      </c>
      <c r="K217" s="76">
        <f t="shared" si="7"/>
        <v>0</v>
      </c>
      <c r="L217" s="8" t="s">
        <v>1541</v>
      </c>
      <c r="M217" s="73" t="str">
        <f t="shared" si="6"/>
        <v/>
      </c>
    </row>
    <row r="218" spans="1:13" ht="17.25" customHeight="1" x14ac:dyDescent="0.25">
      <c r="A218">
        <v>216</v>
      </c>
      <c r="B218" s="8" t="s">
        <v>1541</v>
      </c>
      <c r="C218" s="8" t="s">
        <v>1557</v>
      </c>
      <c r="D218" s="8" t="s">
        <v>1559</v>
      </c>
      <c r="E218" s="73" t="str">
        <f>VLOOKUP(C218,'[1]Sheet (2)'!$A$3:$G$5503,1,0)</f>
        <v>7.118110B418217060</v>
      </c>
      <c r="F218" s="8" t="s">
        <v>939</v>
      </c>
      <c r="G218" s="8" t="s">
        <v>1558</v>
      </c>
      <c r="H218" s="8"/>
      <c r="I218" s="76">
        <v>5.52</v>
      </c>
      <c r="J218" s="76">
        <f>VLOOKUP(C218,'[1]Sheet (2)'!$A$3:$H$5503,5,0)</f>
        <v>5.52</v>
      </c>
      <c r="K218" s="76">
        <f t="shared" si="7"/>
        <v>0</v>
      </c>
      <c r="L218" s="8" t="s">
        <v>1541</v>
      </c>
      <c r="M218" s="73" t="str">
        <f t="shared" si="6"/>
        <v/>
      </c>
    </row>
    <row r="219" spans="1:13" ht="17.25" customHeight="1" x14ac:dyDescent="0.25">
      <c r="A219">
        <v>217</v>
      </c>
      <c r="B219" s="8" t="s">
        <v>1541</v>
      </c>
      <c r="C219" s="8" t="s">
        <v>1560</v>
      </c>
      <c r="D219" s="8" t="s">
        <v>1562</v>
      </c>
      <c r="E219" s="73" t="str">
        <f>VLOOKUP(C219,'[1]Sheet (2)'!$A$3:$G$5503,1,0)</f>
        <v>7.551460F56C7M0680</v>
      </c>
      <c r="F219" s="8" t="s">
        <v>939</v>
      </c>
      <c r="G219" s="8" t="s">
        <v>1561</v>
      </c>
      <c r="H219" s="8"/>
      <c r="I219" s="76">
        <v>6.12</v>
      </c>
      <c r="J219" s="76">
        <f>VLOOKUP(C219,'[1]Sheet (2)'!$A$3:$H$5503,5,0)</f>
        <v>6.12</v>
      </c>
      <c r="K219" s="76">
        <f t="shared" si="7"/>
        <v>0</v>
      </c>
      <c r="L219" s="8" t="s">
        <v>1541</v>
      </c>
      <c r="M219" s="73" t="str">
        <f t="shared" si="6"/>
        <v/>
      </c>
    </row>
    <row r="220" spans="1:13" ht="17.25" customHeight="1" x14ac:dyDescent="0.25">
      <c r="A220">
        <v>218</v>
      </c>
      <c r="B220" s="8" t="s">
        <v>1541</v>
      </c>
      <c r="C220" s="8" t="s">
        <v>1563</v>
      </c>
      <c r="D220" s="8" t="s">
        <v>1565</v>
      </c>
      <c r="E220" s="73" t="str">
        <f>VLOOKUP(C220,'[1]Sheet (2)'!$A$3:$G$5503,1,0)</f>
        <v>7.515006143217060</v>
      </c>
      <c r="F220" s="8" t="s">
        <v>939</v>
      </c>
      <c r="G220" s="8" t="s">
        <v>1564</v>
      </c>
      <c r="H220" s="8"/>
      <c r="I220" s="76">
        <v>6.12</v>
      </c>
      <c r="J220" s="76">
        <f>VLOOKUP(C220,'[1]Sheet (2)'!$A$3:$H$5503,5,0)</f>
        <v>6.12</v>
      </c>
      <c r="K220" s="76">
        <f t="shared" si="7"/>
        <v>0</v>
      </c>
      <c r="L220" s="8" t="s">
        <v>1541</v>
      </c>
      <c r="M220" s="73" t="str">
        <f t="shared" si="6"/>
        <v>Trùng</v>
      </c>
    </row>
    <row r="221" spans="1:13" ht="17.25" customHeight="1" x14ac:dyDescent="0.25">
      <c r="A221">
        <v>219</v>
      </c>
      <c r="B221" s="8" t="s">
        <v>1541</v>
      </c>
      <c r="C221" s="8" t="s">
        <v>1566</v>
      </c>
      <c r="D221" s="8" t="s">
        <v>1568</v>
      </c>
      <c r="E221" s="73" t="str">
        <f>VLOOKUP(C221,'[1]Sheet (2)'!$A$3:$G$5503,1,0)</f>
        <v>7.58810402204R1318</v>
      </c>
      <c r="F221" s="8" t="s">
        <v>939</v>
      </c>
      <c r="G221" s="8" t="s">
        <v>1567</v>
      </c>
      <c r="H221" s="8"/>
      <c r="I221" s="76">
        <v>6</v>
      </c>
      <c r="J221" s="76">
        <f>VLOOKUP(C221,'[1]Sheet (2)'!$A$3:$H$5503,5,0)</f>
        <v>6</v>
      </c>
      <c r="K221" s="76">
        <f t="shared" si="7"/>
        <v>0</v>
      </c>
      <c r="L221" s="8" t="s">
        <v>1541</v>
      </c>
      <c r="M221" s="73" t="str">
        <f t="shared" si="6"/>
        <v/>
      </c>
    </row>
    <row r="222" spans="1:13" ht="17.25" customHeight="1" x14ac:dyDescent="0.25">
      <c r="A222">
        <v>220</v>
      </c>
      <c r="B222" s="8" t="s">
        <v>1541</v>
      </c>
      <c r="C222" s="8" t="s">
        <v>1569</v>
      </c>
      <c r="D222" s="8" t="s">
        <v>1571</v>
      </c>
      <c r="E222" s="73" t="str">
        <f>VLOOKUP(C222,'[1]Sheet (2)'!$A$3:$G$5503,1,0)</f>
        <v>7.5180061602408100</v>
      </c>
      <c r="F222" s="8" t="s">
        <v>939</v>
      </c>
      <c r="G222" s="8" t="s">
        <v>1570</v>
      </c>
      <c r="H222" s="8"/>
      <c r="I222" s="76">
        <v>8.5</v>
      </c>
      <c r="J222" s="76">
        <f>VLOOKUP(C222,'[1]Sheet (2)'!$A$3:$H$5503,5,0)</f>
        <v>8.5</v>
      </c>
      <c r="K222" s="76">
        <f t="shared" si="7"/>
        <v>0</v>
      </c>
      <c r="L222" s="8" t="s">
        <v>1541</v>
      </c>
      <c r="M222" s="73" t="str">
        <f t="shared" si="6"/>
        <v/>
      </c>
    </row>
    <row r="223" spans="1:13" ht="17.25" customHeight="1" x14ac:dyDescent="0.25">
      <c r="A223">
        <v>221</v>
      </c>
      <c r="B223" s="8" t="s">
        <v>1541</v>
      </c>
      <c r="C223" s="8" t="s">
        <v>1572</v>
      </c>
      <c r="D223" s="8" t="s">
        <v>1574</v>
      </c>
      <c r="E223" s="73" t="str">
        <f>VLOOKUP(C223,'[1]Sheet (2)'!$A$3:$G$5503,1,0)</f>
        <v>7.5180061402308120</v>
      </c>
      <c r="F223" s="8" t="s">
        <v>939</v>
      </c>
      <c r="G223" s="8" t="s">
        <v>1573</v>
      </c>
      <c r="H223" s="8"/>
      <c r="I223" s="76">
        <v>7.6</v>
      </c>
      <c r="J223" s="76">
        <f>VLOOKUP(C223,'[1]Sheet (2)'!$A$3:$H$5503,5,0)</f>
        <v>7.6</v>
      </c>
      <c r="K223" s="76">
        <f t="shared" si="7"/>
        <v>0</v>
      </c>
      <c r="L223" s="8" t="s">
        <v>1541</v>
      </c>
      <c r="M223" s="73" t="str">
        <f t="shared" si="6"/>
        <v>Trùng</v>
      </c>
    </row>
    <row r="224" spans="1:13" ht="17.25" customHeight="1" x14ac:dyDescent="0.25">
      <c r="A224">
        <v>222</v>
      </c>
      <c r="B224" s="8" t="s">
        <v>1541</v>
      </c>
      <c r="C224" s="8" t="s">
        <v>1575</v>
      </c>
      <c r="D224" s="8" t="s">
        <v>1577</v>
      </c>
      <c r="E224" s="73" t="str">
        <f>VLOOKUP(C224,'[1]Sheet (2)'!$A$3:$G$5503,1,0)</f>
        <v>7.551460E6Y8000680</v>
      </c>
      <c r="F224" s="8" t="s">
        <v>939</v>
      </c>
      <c r="G224" s="8" t="s">
        <v>1576</v>
      </c>
      <c r="H224" s="8"/>
      <c r="I224" s="76">
        <v>13.385999999999999</v>
      </c>
      <c r="J224" s="76">
        <f>VLOOKUP(C224,'[1]Sheet (2)'!$A$3:$H$5503,5,0)</f>
        <v>13.385999999999999</v>
      </c>
      <c r="K224" s="76">
        <f t="shared" si="7"/>
        <v>0</v>
      </c>
      <c r="L224" s="8" t="s">
        <v>1541</v>
      </c>
      <c r="M224" s="73" t="str">
        <f t="shared" si="6"/>
        <v/>
      </c>
    </row>
    <row r="225" spans="1:15" ht="17.25" customHeight="1" x14ac:dyDescent="0.25">
      <c r="A225">
        <v>223</v>
      </c>
      <c r="B225" s="8" t="s">
        <v>1541</v>
      </c>
      <c r="C225" s="8" t="s">
        <v>1578</v>
      </c>
      <c r="D225" s="8" t="s">
        <v>1580</v>
      </c>
      <c r="E225" s="73" t="str">
        <f>VLOOKUP(C225,'[1]Sheet (2)'!$A$3:$G$5503,1,0)</f>
        <v>7.58810415704Q1318</v>
      </c>
      <c r="F225" s="8" t="s">
        <v>939</v>
      </c>
      <c r="G225" s="8" t="s">
        <v>1579</v>
      </c>
      <c r="H225" s="8"/>
      <c r="I225" s="76">
        <v>7.68</v>
      </c>
      <c r="J225" s="76">
        <f>VLOOKUP(C225,'[1]Sheet (2)'!$A$3:$H$5503,5,0)</f>
        <v>7.68</v>
      </c>
      <c r="K225" s="76">
        <f t="shared" si="7"/>
        <v>0</v>
      </c>
      <c r="L225" s="8" t="s">
        <v>1541</v>
      </c>
      <c r="M225" s="73" t="str">
        <f t="shared" si="6"/>
        <v/>
      </c>
    </row>
    <row r="226" spans="1:15" ht="17.25" customHeight="1" x14ac:dyDescent="0.25">
      <c r="A226">
        <v>224</v>
      </c>
      <c r="B226" s="8" t="s">
        <v>1541</v>
      </c>
      <c r="C226" s="8" t="s">
        <v>1581</v>
      </c>
      <c r="D226" s="8" t="s">
        <v>1583</v>
      </c>
      <c r="E226" s="73" t="str">
        <f>VLOOKUP(C226,'[1]Sheet (2)'!$A$3:$G$5503,1,0)</f>
        <v>7.58810415804Q1302</v>
      </c>
      <c r="F226" s="8" t="s">
        <v>939</v>
      </c>
      <c r="G226" s="8" t="s">
        <v>1582</v>
      </c>
      <c r="H226" s="8"/>
      <c r="I226" s="76">
        <v>9.7200000000000006</v>
      </c>
      <c r="J226" s="76">
        <f>VLOOKUP(C226,'[1]Sheet (2)'!$A$3:$H$5503,5,0)</f>
        <v>9.7200000000000006</v>
      </c>
      <c r="K226" s="76">
        <f t="shared" si="7"/>
        <v>0</v>
      </c>
      <c r="L226" s="8" t="s">
        <v>1541</v>
      </c>
      <c r="M226" s="73" t="str">
        <f t="shared" si="6"/>
        <v/>
      </c>
    </row>
    <row r="227" spans="1:15" ht="17.25" customHeight="1" x14ac:dyDescent="0.25">
      <c r="A227">
        <v>225</v>
      </c>
      <c r="B227" s="8" t="s">
        <v>1541</v>
      </c>
      <c r="C227" s="8" t="s">
        <v>1584</v>
      </c>
      <c r="D227" s="8" t="s">
        <v>1586</v>
      </c>
      <c r="E227" s="73" t="str">
        <f>VLOOKUP(C227,'[1]Sheet (2)'!$A$3:$G$5503,1,0)</f>
        <v>7.5180072302408A50</v>
      </c>
      <c r="F227" s="8" t="s">
        <v>1051</v>
      </c>
      <c r="G227" s="8" t="s">
        <v>1585</v>
      </c>
      <c r="H227" s="8"/>
      <c r="I227" s="76">
        <v>20</v>
      </c>
      <c r="J227" s="76">
        <f>VLOOKUP(C227,'[1]Sheet (2)'!$A$3:$H$5503,5,0)</f>
        <v>20</v>
      </c>
      <c r="K227" s="76">
        <f t="shared" si="7"/>
        <v>0</v>
      </c>
      <c r="L227" s="8" t="s">
        <v>1541</v>
      </c>
      <c r="M227" s="73" t="str">
        <f t="shared" si="6"/>
        <v/>
      </c>
      <c r="O227">
        <f>336*I227</f>
        <v>6720</v>
      </c>
    </row>
    <row r="228" spans="1:15" ht="17.25" customHeight="1" x14ac:dyDescent="0.25">
      <c r="A228">
        <v>226</v>
      </c>
      <c r="B228" s="8" t="s">
        <v>1541</v>
      </c>
      <c r="C228" s="8" t="s">
        <v>1587</v>
      </c>
      <c r="D228" s="8" t="s">
        <v>1589</v>
      </c>
      <c r="E228" s="73" t="str">
        <f>VLOOKUP(C228,'[1]Sheet (2)'!$A$3:$G$5503,1,0)</f>
        <v>7.551460E4Y8000680</v>
      </c>
      <c r="F228" s="8" t="s">
        <v>939</v>
      </c>
      <c r="G228" s="8" t="s">
        <v>1588</v>
      </c>
      <c r="H228" s="8"/>
      <c r="I228" s="76">
        <v>5.6219999999999999</v>
      </c>
      <c r="J228" s="76">
        <f>VLOOKUP(C228,'[1]Sheet (2)'!$A$3:$H$5503,5,0)</f>
        <v>5.6219999999999999</v>
      </c>
      <c r="K228" s="76">
        <f t="shared" si="7"/>
        <v>0</v>
      </c>
      <c r="L228" s="8" t="s">
        <v>1541</v>
      </c>
      <c r="M228" s="73" t="str">
        <f t="shared" si="6"/>
        <v/>
      </c>
    </row>
    <row r="229" spans="1:15" ht="17.25" customHeight="1" x14ac:dyDescent="0.25">
      <c r="A229">
        <v>227</v>
      </c>
      <c r="B229" s="8" t="s">
        <v>1541</v>
      </c>
      <c r="C229" s="8" t="s">
        <v>1590</v>
      </c>
      <c r="D229" s="8" t="s">
        <v>1592</v>
      </c>
      <c r="E229" s="73" t="str">
        <f>VLOOKUP(C229,'[1]Sheet (2)'!$A$3:$G$5503,1,0)</f>
        <v>7.551460E5Y9000680</v>
      </c>
      <c r="F229" s="8" t="s">
        <v>939</v>
      </c>
      <c r="G229" s="8" t="s">
        <v>1591</v>
      </c>
      <c r="H229" s="8"/>
      <c r="I229" s="76">
        <v>7.5359999999999996</v>
      </c>
      <c r="J229" s="76">
        <f>VLOOKUP(C229,'[1]Sheet (2)'!$A$3:$H$5503,5,0)</f>
        <v>7.5359999999999996</v>
      </c>
      <c r="K229" s="76">
        <f t="shared" si="7"/>
        <v>0</v>
      </c>
      <c r="L229" s="8" t="s">
        <v>1541</v>
      </c>
      <c r="M229" s="73" t="str">
        <f t="shared" si="6"/>
        <v/>
      </c>
    </row>
    <row r="230" spans="1:15" ht="17.25" customHeight="1" x14ac:dyDescent="0.25">
      <c r="A230">
        <v>228</v>
      </c>
      <c r="B230" s="8" t="s">
        <v>1541</v>
      </c>
      <c r="C230" s="8" t="s">
        <v>1593</v>
      </c>
      <c r="D230" s="8" t="s">
        <v>1595</v>
      </c>
      <c r="E230" s="73" t="str">
        <f>VLOOKUP(C230,'[1]Sheet (2)'!$A$3:$G$5503,1,0)</f>
        <v>7.515006302917030</v>
      </c>
      <c r="F230" s="8" t="s">
        <v>939</v>
      </c>
      <c r="G230" s="8" t="s">
        <v>1594</v>
      </c>
      <c r="H230" s="8"/>
      <c r="I230" s="76">
        <v>16.8</v>
      </c>
      <c r="J230" s="76">
        <f>VLOOKUP(C230,'[1]Sheet (2)'!$A$3:$H$5503,5,0)</f>
        <v>16.8</v>
      </c>
      <c r="K230" s="76">
        <f t="shared" si="7"/>
        <v>0</v>
      </c>
      <c r="L230" s="8" t="s">
        <v>1541</v>
      </c>
      <c r="M230" s="73" t="str">
        <f t="shared" si="6"/>
        <v>Trùng</v>
      </c>
    </row>
    <row r="231" spans="1:15" ht="17.25" customHeight="1" x14ac:dyDescent="0.25">
      <c r="A231">
        <v>229</v>
      </c>
      <c r="B231" s="8" t="s">
        <v>1541</v>
      </c>
      <c r="C231" s="8" t="s">
        <v>1596</v>
      </c>
      <c r="D231" s="8" t="s">
        <v>1598</v>
      </c>
      <c r="E231" s="73" t="str">
        <f>VLOOKUP(C231,'[1]Sheet (2)'!$A$3:$G$5503,1,0)</f>
        <v>7.58810414704Q1304</v>
      </c>
      <c r="F231" s="8" t="s">
        <v>939</v>
      </c>
      <c r="G231" s="8" t="s">
        <v>1597</v>
      </c>
      <c r="H231" s="8"/>
      <c r="I231" s="76">
        <v>12.3</v>
      </c>
      <c r="J231" s="76">
        <f>VLOOKUP(C231,'[1]Sheet (2)'!$A$3:$H$5503,5,0)</f>
        <v>12.3</v>
      </c>
      <c r="K231" s="76">
        <f t="shared" si="7"/>
        <v>0</v>
      </c>
      <c r="L231" s="8" t="s">
        <v>1541</v>
      </c>
      <c r="M231" s="73" t="str">
        <f t="shared" si="6"/>
        <v/>
      </c>
    </row>
    <row r="232" spans="1:15" ht="17.25" customHeight="1" x14ac:dyDescent="0.25">
      <c r="A232">
        <v>230</v>
      </c>
      <c r="B232" s="8" t="s">
        <v>1541</v>
      </c>
      <c r="C232" s="8" t="s">
        <v>1599</v>
      </c>
      <c r="D232" s="8" t="s">
        <v>1601</v>
      </c>
      <c r="E232" s="73" t="str">
        <f>VLOOKUP(C232,'[1]Sheet (2)'!$A$3:$G$5503,1,0)</f>
        <v>7.1181100903976050</v>
      </c>
      <c r="F232" s="8" t="s">
        <v>939</v>
      </c>
      <c r="G232" s="8" t="s">
        <v>1600</v>
      </c>
      <c r="H232" s="8"/>
      <c r="I232" s="76">
        <v>12</v>
      </c>
      <c r="J232" s="76">
        <f>VLOOKUP(C232,'[1]Sheet (2)'!$A$3:$H$5503,5,0)</f>
        <v>12</v>
      </c>
      <c r="K232" s="76">
        <f t="shared" si="7"/>
        <v>0</v>
      </c>
      <c r="L232" s="8" t="s">
        <v>1541</v>
      </c>
      <c r="M232" s="73" t="str">
        <f t="shared" si="6"/>
        <v>Trùng</v>
      </c>
    </row>
    <row r="233" spans="1:15" ht="17.25" customHeight="1" x14ac:dyDescent="0.25">
      <c r="A233">
        <v>231</v>
      </c>
      <c r="B233" s="8" t="s">
        <v>1541</v>
      </c>
      <c r="C233" s="8" t="s">
        <v>1602</v>
      </c>
      <c r="D233" s="8" t="s">
        <v>1604</v>
      </c>
      <c r="E233" s="73" t="str">
        <f>VLOOKUP(C233,'[1]Sheet (2)'!$A$3:$G$5503,1,0)</f>
        <v>7.1181109103976030</v>
      </c>
      <c r="F233" s="8" t="s">
        <v>939</v>
      </c>
      <c r="G233" s="8" t="s">
        <v>1603</v>
      </c>
      <c r="H233" s="8"/>
      <c r="I233" s="76">
        <v>12</v>
      </c>
      <c r="J233" s="76">
        <f>VLOOKUP(C233,'[1]Sheet (2)'!$A$3:$H$5503,5,0)</f>
        <v>12</v>
      </c>
      <c r="K233" s="76">
        <f t="shared" si="7"/>
        <v>0</v>
      </c>
      <c r="L233" s="8" t="s">
        <v>1541</v>
      </c>
      <c r="M233" s="73" t="str">
        <f t="shared" si="6"/>
        <v/>
      </c>
    </row>
    <row r="234" spans="1:15" ht="17.25" customHeight="1" x14ac:dyDescent="0.25">
      <c r="A234">
        <v>232</v>
      </c>
      <c r="B234" s="8" t="s">
        <v>1541</v>
      </c>
      <c r="C234" s="8" t="s">
        <v>1605</v>
      </c>
      <c r="D234" s="8" t="s">
        <v>1607</v>
      </c>
      <c r="E234" s="73" t="str">
        <f>VLOOKUP(C234,'[1]Sheet (2)'!$A$3:$G$5503,1,0)</f>
        <v>7.1180129103976030</v>
      </c>
      <c r="F234" s="8" t="s">
        <v>939</v>
      </c>
      <c r="G234" s="8" t="s">
        <v>1606</v>
      </c>
      <c r="H234" s="8"/>
      <c r="I234" s="76">
        <v>12</v>
      </c>
      <c r="J234" s="76">
        <f>VLOOKUP(C234,'[1]Sheet (2)'!$A$3:$H$5503,5,0)</f>
        <v>12</v>
      </c>
      <c r="K234" s="76">
        <f t="shared" si="7"/>
        <v>0</v>
      </c>
      <c r="L234" s="8" t="s">
        <v>1541</v>
      </c>
      <c r="M234" s="73" t="str">
        <f t="shared" si="6"/>
        <v>Trùng</v>
      </c>
    </row>
    <row r="235" spans="1:15" ht="17.25" customHeight="1" x14ac:dyDescent="0.25">
      <c r="A235">
        <v>233</v>
      </c>
      <c r="B235" s="8" t="s">
        <v>1541</v>
      </c>
      <c r="C235" s="8" t="s">
        <v>1608</v>
      </c>
      <c r="D235" s="8" t="s">
        <v>1610</v>
      </c>
      <c r="E235" s="73" t="str">
        <f>VLOOKUP(C235,'[1]Sheet (2)'!$A$3:$G$5503,1,0)</f>
        <v>7.5180031502508050</v>
      </c>
      <c r="F235" s="8" t="s">
        <v>939</v>
      </c>
      <c r="G235" s="8" t="s">
        <v>1609</v>
      </c>
      <c r="H235" s="8"/>
      <c r="I235" s="76">
        <v>12</v>
      </c>
      <c r="J235" s="76">
        <f>VLOOKUP(C235,'[1]Sheet (2)'!$A$3:$H$5503,5,0)</f>
        <v>12</v>
      </c>
      <c r="K235" s="76">
        <f t="shared" si="7"/>
        <v>0</v>
      </c>
      <c r="L235" s="8" t="s">
        <v>1541</v>
      </c>
      <c r="M235" s="73" t="str">
        <f t="shared" si="6"/>
        <v>Trùng</v>
      </c>
    </row>
    <row r="236" spans="1:15" ht="17.25" customHeight="1" x14ac:dyDescent="0.25">
      <c r="A236">
        <v>234</v>
      </c>
      <c r="B236" s="8" t="s">
        <v>1541</v>
      </c>
      <c r="C236" s="8" t="s">
        <v>1611</v>
      </c>
      <c r="D236" s="8" t="s">
        <v>1613</v>
      </c>
      <c r="E236" s="73" t="str">
        <f>VLOOKUP(C236,'[1]Sheet (2)'!$A$3:$G$5503,1,0)</f>
        <v>7.551460F26C000580</v>
      </c>
      <c r="F236" s="8" t="s">
        <v>939</v>
      </c>
      <c r="G236" s="8" t="s">
        <v>1612</v>
      </c>
      <c r="H236" s="8"/>
      <c r="I236" s="76">
        <v>9.7792999999999992</v>
      </c>
      <c r="J236" s="76">
        <f>VLOOKUP(C236,'[1]Sheet (2)'!$A$3:$H$5503,5,0)</f>
        <v>9.7792999999999992</v>
      </c>
      <c r="K236" s="76">
        <f t="shared" si="7"/>
        <v>0</v>
      </c>
      <c r="L236" s="8" t="s">
        <v>1541</v>
      </c>
      <c r="M236" s="73" t="str">
        <f t="shared" si="6"/>
        <v/>
      </c>
    </row>
    <row r="237" spans="1:15" ht="17.25" customHeight="1" x14ac:dyDescent="0.25">
      <c r="A237">
        <v>235</v>
      </c>
      <c r="B237" s="8" t="s">
        <v>1541</v>
      </c>
      <c r="C237" s="8" t="s">
        <v>1614</v>
      </c>
      <c r="D237" s="8" t="s">
        <v>1616</v>
      </c>
      <c r="E237" s="73" t="str">
        <f>VLOOKUP(C237,'[1]Sheet (2)'!$A$3:$G$5503,1,0)</f>
        <v>7.58810402204Q1318</v>
      </c>
      <c r="F237" s="8" t="s">
        <v>939</v>
      </c>
      <c r="G237" s="8" t="s">
        <v>1615</v>
      </c>
      <c r="H237" s="8"/>
      <c r="I237" s="76">
        <v>6.48</v>
      </c>
      <c r="J237" s="76">
        <f>VLOOKUP(C237,'[1]Sheet (2)'!$A$3:$H$5503,5,0)</f>
        <v>6.48</v>
      </c>
      <c r="K237" s="76">
        <f t="shared" si="7"/>
        <v>0</v>
      </c>
      <c r="L237" s="8" t="s">
        <v>1541</v>
      </c>
      <c r="M237" s="73" t="str">
        <f t="shared" si="6"/>
        <v/>
      </c>
    </row>
    <row r="238" spans="1:15" ht="17.25" customHeight="1" x14ac:dyDescent="0.25">
      <c r="A238">
        <v>236</v>
      </c>
      <c r="B238" s="8" t="s">
        <v>1541</v>
      </c>
      <c r="C238" s="8" t="s">
        <v>1617</v>
      </c>
      <c r="D238" s="8" t="s">
        <v>1619</v>
      </c>
      <c r="E238" s="73" t="str">
        <f>VLOOKUP(C238,'[1]Sheet (2)'!$A$3:$G$5503,1,0)</f>
        <v>7.515006413217060</v>
      </c>
      <c r="F238" s="8" t="s">
        <v>939</v>
      </c>
      <c r="G238" s="8" t="s">
        <v>1618</v>
      </c>
      <c r="H238" s="8"/>
      <c r="I238" s="76">
        <v>9.6</v>
      </c>
      <c r="J238" s="76">
        <f>VLOOKUP(C238,'[1]Sheet (2)'!$A$3:$H$5503,5,0)</f>
        <v>9.6</v>
      </c>
      <c r="K238" s="76">
        <f t="shared" si="7"/>
        <v>0</v>
      </c>
      <c r="L238" s="8" t="s">
        <v>1541</v>
      </c>
      <c r="M238" s="73" t="str">
        <f t="shared" si="6"/>
        <v>Trùng</v>
      </c>
    </row>
    <row r="239" spans="1:15" ht="17.25" customHeight="1" x14ac:dyDescent="0.25">
      <c r="A239">
        <v>237</v>
      </c>
      <c r="B239" s="8" t="s">
        <v>1541</v>
      </c>
      <c r="C239" s="8" t="s">
        <v>1620</v>
      </c>
      <c r="D239" s="8" t="s">
        <v>1622</v>
      </c>
      <c r="E239" s="73" t="str">
        <f>VLOOKUP(C239,'[1]Sheet (2)'!$A$3:$G$5503,1,0)</f>
        <v>7.515006130617050</v>
      </c>
      <c r="F239" s="8" t="s">
        <v>939</v>
      </c>
      <c r="G239" s="8" t="s">
        <v>1621</v>
      </c>
      <c r="H239" s="8"/>
      <c r="I239" s="76">
        <v>5.64</v>
      </c>
      <c r="J239" s="76">
        <f>VLOOKUP(C239,'[1]Sheet (2)'!$A$3:$H$5503,5,0)</f>
        <v>5.64</v>
      </c>
      <c r="K239" s="76">
        <f t="shared" si="7"/>
        <v>0</v>
      </c>
      <c r="L239" s="8" t="s">
        <v>1541</v>
      </c>
      <c r="M239" s="73" t="str">
        <f t="shared" si="6"/>
        <v/>
      </c>
    </row>
    <row r="240" spans="1:15" ht="17.25" customHeight="1" x14ac:dyDescent="0.25">
      <c r="A240">
        <v>238</v>
      </c>
      <c r="B240" s="8" t="s">
        <v>1541</v>
      </c>
      <c r="C240" s="8" t="s">
        <v>1623</v>
      </c>
      <c r="D240" s="8" t="s">
        <v>1625</v>
      </c>
      <c r="E240" s="73" t="str">
        <f>VLOOKUP(C240,'[1]Sheet (2)'!$A$3:$G$5503,1,0)</f>
        <v>7.5630080350030601</v>
      </c>
      <c r="F240" s="8" t="s">
        <v>939</v>
      </c>
      <c r="G240" s="8" t="s">
        <v>1624</v>
      </c>
      <c r="H240" s="8"/>
      <c r="I240" s="76">
        <v>6</v>
      </c>
      <c r="J240" s="76">
        <f>VLOOKUP(C240,'[1]Sheet (2)'!$A$3:$H$5503,5,0)</f>
        <v>6</v>
      </c>
      <c r="K240" s="76">
        <f t="shared" si="7"/>
        <v>0</v>
      </c>
      <c r="L240" s="8" t="s">
        <v>1541</v>
      </c>
      <c r="M240" s="73" t="str">
        <f t="shared" si="6"/>
        <v>Trùng</v>
      </c>
    </row>
    <row r="241" spans="1:13" ht="17.25" customHeight="1" x14ac:dyDescent="0.25">
      <c r="A241">
        <v>239</v>
      </c>
      <c r="B241" s="8" t="s">
        <v>1541</v>
      </c>
      <c r="C241" s="8" t="s">
        <v>1626</v>
      </c>
      <c r="D241" s="8" t="s">
        <v>1628</v>
      </c>
      <c r="E241" s="73" t="str">
        <f>VLOOKUP(C241,'[1]Sheet (2)'!$A$3:$G$5503,1,0)</f>
        <v>7.5180030702518200</v>
      </c>
      <c r="F241" s="8" t="s">
        <v>939</v>
      </c>
      <c r="G241" s="8" t="s">
        <v>1627</v>
      </c>
      <c r="H241" s="8"/>
      <c r="I241" s="76">
        <v>12</v>
      </c>
      <c r="J241" s="76">
        <f>VLOOKUP(C241,'[1]Sheet (2)'!$A$3:$H$5503,5,0)</f>
        <v>12</v>
      </c>
      <c r="K241" s="76">
        <f t="shared" si="7"/>
        <v>0</v>
      </c>
      <c r="L241" s="8" t="s">
        <v>1541</v>
      </c>
      <c r="M241" s="73" t="str">
        <f t="shared" si="6"/>
        <v/>
      </c>
    </row>
    <row r="242" spans="1:13" ht="17.25" customHeight="1" x14ac:dyDescent="0.25">
      <c r="A242">
        <v>240</v>
      </c>
      <c r="B242" s="8" t="s">
        <v>1541</v>
      </c>
      <c r="C242" s="8" t="s">
        <v>1629</v>
      </c>
      <c r="D242" s="8" t="s">
        <v>1631</v>
      </c>
      <c r="E242" s="73" t="str">
        <f>VLOOKUP(C242,'[1]Sheet (2)'!$A$3:$G$5503,1,0)</f>
        <v>7.515006141417060</v>
      </c>
      <c r="F242" s="8" t="s">
        <v>939</v>
      </c>
      <c r="G242" s="8" t="s">
        <v>1630</v>
      </c>
      <c r="H242" s="8"/>
      <c r="I242" s="76">
        <v>6.12</v>
      </c>
      <c r="J242" s="76">
        <f>VLOOKUP(C242,'[1]Sheet (2)'!$A$3:$H$5503,5,0)</f>
        <v>6.12</v>
      </c>
      <c r="K242" s="76">
        <f t="shared" si="7"/>
        <v>0</v>
      </c>
      <c r="L242" s="8" t="s">
        <v>1541</v>
      </c>
      <c r="M242" s="73" t="str">
        <f t="shared" si="6"/>
        <v>Trùng</v>
      </c>
    </row>
    <row r="243" spans="1:13" ht="17.25" customHeight="1" x14ac:dyDescent="0.25">
      <c r="A243">
        <v>241</v>
      </c>
      <c r="B243" s="8" t="s">
        <v>1541</v>
      </c>
      <c r="C243" s="8" t="s">
        <v>1632</v>
      </c>
      <c r="D243" s="8" t="s">
        <v>1634</v>
      </c>
      <c r="E243" s="73" t="str">
        <f>VLOOKUP(C243,'[1]Sheet (2)'!$A$3:$G$5503,1,0)</f>
        <v>7.515006090608100</v>
      </c>
      <c r="F243" s="8" t="s">
        <v>939</v>
      </c>
      <c r="G243" s="8" t="s">
        <v>1633</v>
      </c>
      <c r="H243" s="8"/>
      <c r="I243" s="76">
        <v>10</v>
      </c>
      <c r="J243" s="76">
        <f>VLOOKUP(C243,'[1]Sheet (2)'!$A$3:$H$5503,5,0)</f>
        <v>10</v>
      </c>
      <c r="K243" s="76">
        <f t="shared" si="7"/>
        <v>0</v>
      </c>
      <c r="L243" s="8" t="s">
        <v>1541</v>
      </c>
      <c r="M243" s="73" t="str">
        <f t="shared" si="6"/>
        <v/>
      </c>
    </row>
    <row r="244" spans="1:13" ht="17.25" customHeight="1" x14ac:dyDescent="0.25">
      <c r="A244">
        <v>242</v>
      </c>
      <c r="B244" s="8" t="s">
        <v>1541</v>
      </c>
      <c r="C244" s="8" t="s">
        <v>1635</v>
      </c>
      <c r="D244" s="8" t="s">
        <v>1637</v>
      </c>
      <c r="E244" s="73" t="str">
        <f>VLOOKUP(C244,'[1]Sheet (2)'!$A$3:$G$5503,1,0)</f>
        <v>7.5630080190030604</v>
      </c>
      <c r="F244" s="8" t="s">
        <v>939</v>
      </c>
      <c r="G244" s="8" t="s">
        <v>1636</v>
      </c>
      <c r="H244" s="8"/>
      <c r="I244" s="76">
        <v>6.12</v>
      </c>
      <c r="J244" s="76">
        <f>VLOOKUP(C244,'[1]Sheet (2)'!$A$3:$H$5503,5,0)</f>
        <v>6.12</v>
      </c>
      <c r="K244" s="76">
        <f t="shared" si="7"/>
        <v>0</v>
      </c>
      <c r="L244" s="8" t="s">
        <v>1541</v>
      </c>
      <c r="M244" s="73" t="str">
        <f t="shared" si="6"/>
        <v/>
      </c>
    </row>
    <row r="245" spans="1:13" ht="17.25" customHeight="1" x14ac:dyDescent="0.25">
      <c r="A245">
        <v>243</v>
      </c>
      <c r="B245" s="8" t="s">
        <v>1541</v>
      </c>
      <c r="C245" s="8" t="s">
        <v>1638</v>
      </c>
      <c r="D245" s="8" t="s">
        <v>1640</v>
      </c>
      <c r="E245" s="73" t="str">
        <f>VLOOKUP(C245,'[1]Sheet (2)'!$A$3:$G$5503,1,0)</f>
        <v>7.5630080260030602</v>
      </c>
      <c r="F245" s="8" t="s">
        <v>939</v>
      </c>
      <c r="G245" s="8" t="s">
        <v>1639</v>
      </c>
      <c r="H245" s="8"/>
      <c r="I245" s="76">
        <v>13.2</v>
      </c>
      <c r="J245" s="76">
        <f>VLOOKUP(C245,'[1]Sheet (2)'!$A$3:$H$5503,5,0)</f>
        <v>13.2</v>
      </c>
      <c r="K245" s="76">
        <f t="shared" si="7"/>
        <v>0</v>
      </c>
      <c r="L245" s="8" t="s">
        <v>1541</v>
      </c>
      <c r="M245" s="73" t="str">
        <f t="shared" si="6"/>
        <v/>
      </c>
    </row>
    <row r="246" spans="1:13" ht="17.25" customHeight="1" x14ac:dyDescent="0.25">
      <c r="A246">
        <v>244</v>
      </c>
      <c r="B246" s="8" t="s">
        <v>1541</v>
      </c>
      <c r="C246" s="8" t="s">
        <v>1641</v>
      </c>
      <c r="D246" s="8" t="s">
        <v>1643</v>
      </c>
      <c r="E246" s="73" t="str">
        <f>VLOOKUP(C246,'[1]Sheet (2)'!$A$3:$G$5503,1,0)</f>
        <v>7.5180030702408060</v>
      </c>
      <c r="F246" s="8" t="s">
        <v>939</v>
      </c>
      <c r="G246" s="8" t="s">
        <v>1642</v>
      </c>
      <c r="H246" s="8"/>
      <c r="I246" s="76">
        <v>9.6</v>
      </c>
      <c r="J246" s="76">
        <f>VLOOKUP(C246,'[1]Sheet (2)'!$A$3:$H$5503,5,0)</f>
        <v>9.6</v>
      </c>
      <c r="K246" s="76">
        <f t="shared" si="7"/>
        <v>0</v>
      </c>
      <c r="L246" s="8" t="s">
        <v>1541</v>
      </c>
      <c r="M246" s="73" t="str">
        <f t="shared" si="6"/>
        <v/>
      </c>
    </row>
    <row r="247" spans="1:13" ht="17.25" customHeight="1" x14ac:dyDescent="0.25">
      <c r="A247">
        <v>245</v>
      </c>
      <c r="B247" s="8" t="s">
        <v>1541</v>
      </c>
      <c r="C247" s="8" t="s">
        <v>1644</v>
      </c>
      <c r="D247" s="8" t="s">
        <v>1646</v>
      </c>
      <c r="E247" s="73" t="str">
        <f>VLOOKUP(C247,'[1]Sheet (2)'!$A$3:$G$5503,1,0)</f>
        <v>7.515006333017050</v>
      </c>
      <c r="F247" s="8" t="s">
        <v>939</v>
      </c>
      <c r="G247" s="8" t="s">
        <v>1645</v>
      </c>
      <c r="H247" s="8"/>
      <c r="I247" s="76">
        <v>9.6</v>
      </c>
      <c r="J247" s="76">
        <f>VLOOKUP(C247,'[1]Sheet (2)'!$A$3:$H$5503,5,0)</f>
        <v>9.6</v>
      </c>
      <c r="K247" s="76">
        <f t="shared" si="7"/>
        <v>0</v>
      </c>
      <c r="L247" s="8" t="s">
        <v>1541</v>
      </c>
      <c r="M247" s="73" t="str">
        <f t="shared" si="6"/>
        <v>Trùng</v>
      </c>
    </row>
    <row r="248" spans="1:13" ht="17.25" customHeight="1" x14ac:dyDescent="0.25">
      <c r="A248">
        <v>246</v>
      </c>
      <c r="B248" s="8" t="s">
        <v>1541</v>
      </c>
      <c r="C248" s="8" t="s">
        <v>1647</v>
      </c>
      <c r="D248" s="8" t="s">
        <v>1649</v>
      </c>
      <c r="E248" s="73" t="str">
        <f>VLOOKUP(C248,'[1]Sheet (2)'!$A$3:$G$5503,1,0)</f>
        <v>7.5180071702408080</v>
      </c>
      <c r="F248" s="8" t="s">
        <v>939</v>
      </c>
      <c r="G248" s="8" t="s">
        <v>1648</v>
      </c>
      <c r="H248" s="8"/>
      <c r="I248" s="76">
        <v>15</v>
      </c>
      <c r="J248" s="76">
        <f>VLOOKUP(C248,'[1]Sheet (2)'!$A$3:$H$5503,5,0)</f>
        <v>15</v>
      </c>
      <c r="K248" s="76">
        <f t="shared" si="7"/>
        <v>0</v>
      </c>
      <c r="L248" s="8" t="s">
        <v>1541</v>
      </c>
      <c r="M248" s="73" t="str">
        <f t="shared" si="6"/>
        <v/>
      </c>
    </row>
    <row r="249" spans="1:13" ht="17.25" customHeight="1" x14ac:dyDescent="0.25">
      <c r="A249">
        <v>247</v>
      </c>
      <c r="B249" s="8" t="s">
        <v>1541</v>
      </c>
      <c r="C249" s="8" t="s">
        <v>1650</v>
      </c>
      <c r="D249" s="8" t="s">
        <v>1652</v>
      </c>
      <c r="E249" s="73" t="str">
        <f>VLOOKUP(C249,'[1]Sheet (2)'!$A$3:$G$5503,1,0)</f>
        <v>7.51800009025B2010</v>
      </c>
      <c r="F249" s="8" t="s">
        <v>1493</v>
      </c>
      <c r="G249" s="8" t="s">
        <v>1651</v>
      </c>
      <c r="H249" s="8"/>
      <c r="I249" s="76">
        <v>25</v>
      </c>
      <c r="J249" s="76">
        <f>VLOOKUP(C249,'[1]Sheet (2)'!$A$3:$H$5503,5,0)</f>
        <v>25</v>
      </c>
      <c r="K249" s="76">
        <f t="shared" si="7"/>
        <v>0</v>
      </c>
      <c r="L249" s="8" t="s">
        <v>1541</v>
      </c>
      <c r="M249" s="73" t="str">
        <f t="shared" si="6"/>
        <v/>
      </c>
    </row>
    <row r="250" spans="1:13" ht="17.25" customHeight="1" x14ac:dyDescent="0.25">
      <c r="A250">
        <v>248</v>
      </c>
      <c r="B250" s="8" t="s">
        <v>1541</v>
      </c>
      <c r="C250" s="8" t="s">
        <v>1653</v>
      </c>
      <c r="D250" s="8" t="s">
        <v>1655</v>
      </c>
      <c r="E250" s="73" t="str">
        <f>VLOOKUP(C250,'[1]Sheet (2)'!$A$3:$G$5503,1,0)</f>
        <v>7.551460E6Y9000680</v>
      </c>
      <c r="F250" s="8" t="s">
        <v>939</v>
      </c>
      <c r="G250" s="8" t="s">
        <v>1654</v>
      </c>
      <c r="H250" s="8"/>
      <c r="I250" s="76">
        <v>13.458</v>
      </c>
      <c r="J250" s="76">
        <f>VLOOKUP(C250,'[1]Sheet (2)'!$A$3:$H$5503,5,0)</f>
        <v>13.458</v>
      </c>
      <c r="K250" s="76">
        <f t="shared" si="7"/>
        <v>0</v>
      </c>
      <c r="L250" s="8" t="s">
        <v>1541</v>
      </c>
      <c r="M250" s="73" t="str">
        <f t="shared" si="6"/>
        <v/>
      </c>
    </row>
    <row r="251" spans="1:13" ht="17.25" customHeight="1" x14ac:dyDescent="0.25">
      <c r="A251">
        <v>249</v>
      </c>
      <c r="B251" s="8" t="s">
        <v>1541</v>
      </c>
      <c r="C251" s="8" t="s">
        <v>1656</v>
      </c>
      <c r="D251" s="8" t="s">
        <v>1658</v>
      </c>
      <c r="E251" s="73" t="str">
        <f>VLOOKUP(C251,'[1]Sheet (2)'!$A$3:$G$5503,1,0)</f>
        <v>7.5180061402408120</v>
      </c>
      <c r="F251" s="8" t="s">
        <v>939</v>
      </c>
      <c r="G251" s="8" t="s">
        <v>1657</v>
      </c>
      <c r="H251" s="8"/>
      <c r="I251" s="76">
        <v>7.6</v>
      </c>
      <c r="J251" s="76">
        <f>VLOOKUP(C251,'[1]Sheet (2)'!$A$3:$H$5503,5,0)</f>
        <v>7.6</v>
      </c>
      <c r="K251" s="76">
        <f t="shared" si="7"/>
        <v>0</v>
      </c>
      <c r="L251" s="8" t="s">
        <v>1541</v>
      </c>
      <c r="M251" s="73" t="str">
        <f t="shared" si="6"/>
        <v/>
      </c>
    </row>
    <row r="252" spans="1:13" ht="17.25" customHeight="1" x14ac:dyDescent="0.25">
      <c r="A252">
        <v>250</v>
      </c>
      <c r="B252" s="8" t="s">
        <v>1541</v>
      </c>
      <c r="C252" s="8" t="s">
        <v>1659</v>
      </c>
      <c r="D252" s="8" t="s">
        <v>1661</v>
      </c>
      <c r="E252" s="73" t="str">
        <f>VLOOKUP(C252,'[1]Sheet (2)'!$A$3:$G$5503,1,0)</f>
        <v>7.551460E66C000680</v>
      </c>
      <c r="F252" s="8" t="s">
        <v>939</v>
      </c>
      <c r="G252" s="8" t="s">
        <v>1660</v>
      </c>
      <c r="H252" s="8"/>
      <c r="I252" s="76">
        <v>13.7736</v>
      </c>
      <c r="J252" s="76">
        <f>VLOOKUP(C252,'[1]Sheet (2)'!$A$3:$H$5503,5,0)</f>
        <v>13.7736</v>
      </c>
      <c r="K252" s="76">
        <f t="shared" si="7"/>
        <v>0</v>
      </c>
      <c r="L252" s="8" t="s">
        <v>1541</v>
      </c>
      <c r="M252" s="73" t="str">
        <f t="shared" si="6"/>
        <v/>
      </c>
    </row>
    <row r="253" spans="1:13" ht="17.25" customHeight="1" x14ac:dyDescent="0.25">
      <c r="A253">
        <v>251</v>
      </c>
      <c r="B253" s="8" t="s">
        <v>1541</v>
      </c>
      <c r="C253" s="8" t="s">
        <v>1662</v>
      </c>
      <c r="D253" s="8" t="s">
        <v>1664</v>
      </c>
      <c r="E253" s="73" t="str">
        <f>VLOOKUP(C253,'[1]Sheet (2)'!$A$3:$G$5503,1,0)</f>
        <v>7.5180030703418200</v>
      </c>
      <c r="F253" s="8" t="s">
        <v>939</v>
      </c>
      <c r="G253" s="8" t="s">
        <v>1663</v>
      </c>
      <c r="H253" s="8"/>
      <c r="I253" s="76">
        <v>12</v>
      </c>
      <c r="J253" s="76">
        <f>VLOOKUP(C253,'[1]Sheet (2)'!$A$3:$H$5503,5,0)</f>
        <v>12</v>
      </c>
      <c r="K253" s="76">
        <f t="shared" si="7"/>
        <v>0</v>
      </c>
      <c r="L253" s="8" t="s">
        <v>1541</v>
      </c>
      <c r="M253" s="73" t="str">
        <f t="shared" si="6"/>
        <v/>
      </c>
    </row>
    <row r="254" spans="1:13" ht="17.25" customHeight="1" x14ac:dyDescent="0.25">
      <c r="A254">
        <v>252</v>
      </c>
      <c r="B254" s="8" t="s">
        <v>1541</v>
      </c>
      <c r="C254" s="8" t="s">
        <v>1665</v>
      </c>
      <c r="D254" s="8" t="s">
        <v>1667</v>
      </c>
      <c r="E254" s="73" t="str">
        <f>VLOOKUP(C254,'[1]Sheet (2)'!$A$3:$G$5503,1,0)</f>
        <v>7.5180031702518080</v>
      </c>
      <c r="F254" s="8" t="s">
        <v>939</v>
      </c>
      <c r="G254" s="8" t="s">
        <v>1666</v>
      </c>
      <c r="H254" s="8"/>
      <c r="I254" s="76">
        <v>15</v>
      </c>
      <c r="J254" s="76">
        <f>VLOOKUP(C254,'[1]Sheet (2)'!$A$3:$H$5503,5,0)</f>
        <v>15</v>
      </c>
      <c r="K254" s="76">
        <f t="shared" si="7"/>
        <v>0</v>
      </c>
      <c r="L254" s="8" t="s">
        <v>1541</v>
      </c>
      <c r="M254" s="73" t="str">
        <f t="shared" si="6"/>
        <v>Trùng</v>
      </c>
    </row>
    <row r="255" spans="1:13" ht="17.25" customHeight="1" x14ac:dyDescent="0.25">
      <c r="A255">
        <v>253</v>
      </c>
      <c r="B255" s="8" t="s">
        <v>1541</v>
      </c>
      <c r="C255" s="8" t="s">
        <v>1668</v>
      </c>
      <c r="D255" s="8" t="s">
        <v>1670</v>
      </c>
      <c r="E255" s="73" t="str">
        <f>VLOOKUP(C255,'[1]Sheet (2)'!$A$3:$G$5503,1,0)</f>
        <v>7.551460176C7M0580</v>
      </c>
      <c r="F255" s="8" t="s">
        <v>939</v>
      </c>
      <c r="G255" s="8" t="s">
        <v>1669</v>
      </c>
      <c r="H255" s="8"/>
      <c r="I255" s="76">
        <v>6</v>
      </c>
      <c r="J255" s="76">
        <f>VLOOKUP(C255,'[1]Sheet (2)'!$A$3:$H$5503,5,0)</f>
        <v>6</v>
      </c>
      <c r="K255" s="76">
        <f t="shared" si="7"/>
        <v>0</v>
      </c>
      <c r="L255" s="8" t="s">
        <v>1541</v>
      </c>
      <c r="M255" s="73" t="str">
        <f t="shared" si="6"/>
        <v/>
      </c>
    </row>
    <row r="256" spans="1:13" ht="17.25" customHeight="1" x14ac:dyDescent="0.25">
      <c r="A256">
        <v>254</v>
      </c>
      <c r="B256" s="8" t="s">
        <v>1541</v>
      </c>
      <c r="C256" s="8" t="s">
        <v>1671</v>
      </c>
      <c r="D256" s="8" t="s">
        <v>1673</v>
      </c>
      <c r="E256" s="73" t="str">
        <f>VLOOKUP(C256,'[1]Sheet (2)'!$A$3:$G$5503,1,0)</f>
        <v>7.515006311417040</v>
      </c>
      <c r="F256" s="8" t="s">
        <v>939</v>
      </c>
      <c r="G256" s="8" t="s">
        <v>1672</v>
      </c>
      <c r="H256" s="8"/>
      <c r="I256" s="76">
        <v>12.6</v>
      </c>
      <c r="J256" s="76">
        <f>VLOOKUP(C256,'[1]Sheet (2)'!$A$3:$H$5503,5,0)</f>
        <v>12.6</v>
      </c>
      <c r="K256" s="76">
        <f t="shared" si="7"/>
        <v>0</v>
      </c>
      <c r="L256" s="8" t="s">
        <v>1541</v>
      </c>
      <c r="M256" s="73" t="str">
        <f t="shared" si="6"/>
        <v>Trùng</v>
      </c>
    </row>
    <row r="257" spans="1:13" ht="17.25" customHeight="1" x14ac:dyDescent="0.25">
      <c r="A257">
        <v>255</v>
      </c>
      <c r="B257" s="8" t="s">
        <v>1541</v>
      </c>
      <c r="C257" s="8" t="s">
        <v>1674</v>
      </c>
      <c r="D257" s="8" t="s">
        <v>1676</v>
      </c>
      <c r="E257" s="73" t="str">
        <f>VLOOKUP(C257,'[1]Sheet (2)'!$A$3:$G$5503,1,0)</f>
        <v>7.5180031502518050</v>
      </c>
      <c r="F257" s="8" t="s">
        <v>939</v>
      </c>
      <c r="G257" s="8" t="s">
        <v>1675</v>
      </c>
      <c r="H257" s="8"/>
      <c r="I257" s="76">
        <v>12</v>
      </c>
      <c r="J257" s="76">
        <f>VLOOKUP(C257,'[1]Sheet (2)'!$A$3:$H$5503,5,0)</f>
        <v>12</v>
      </c>
      <c r="K257" s="76">
        <f t="shared" si="7"/>
        <v>0</v>
      </c>
      <c r="L257" s="8" t="s">
        <v>1541</v>
      </c>
      <c r="M257" s="73" t="str">
        <f t="shared" si="6"/>
        <v/>
      </c>
    </row>
    <row r="258" spans="1:13" ht="17.25" customHeight="1" x14ac:dyDescent="0.25">
      <c r="A258">
        <v>256</v>
      </c>
      <c r="B258" s="8" t="s">
        <v>1541</v>
      </c>
      <c r="C258" s="8" t="s">
        <v>1677</v>
      </c>
      <c r="D258" s="8" t="s">
        <v>1679</v>
      </c>
      <c r="E258" s="73" t="str">
        <f>VLOOKUP(C258,'[1]Sheet (2)'!$A$3:$G$5503,1,0)</f>
        <v>7.5180032202518040</v>
      </c>
      <c r="F258" s="8" t="s">
        <v>939</v>
      </c>
      <c r="G258" s="8" t="s">
        <v>1678</v>
      </c>
      <c r="H258" s="8"/>
      <c r="I258" s="76">
        <v>12</v>
      </c>
      <c r="J258" s="76">
        <f>VLOOKUP(C258,'[1]Sheet (2)'!$A$3:$H$5503,5,0)</f>
        <v>12</v>
      </c>
      <c r="K258" s="76">
        <f t="shared" si="7"/>
        <v>0</v>
      </c>
      <c r="L258" s="8" t="s">
        <v>1541</v>
      </c>
      <c r="M258" s="73" t="str">
        <f t="shared" si="6"/>
        <v/>
      </c>
    </row>
    <row r="259" spans="1:13" ht="17.25" customHeight="1" x14ac:dyDescent="0.25">
      <c r="A259">
        <v>257</v>
      </c>
      <c r="B259" s="8" t="s">
        <v>1541</v>
      </c>
      <c r="C259" s="8" t="s">
        <v>1680</v>
      </c>
      <c r="D259" s="8" t="s">
        <v>1681</v>
      </c>
      <c r="E259" s="73" t="str">
        <f>VLOOKUP(C259,'[1]Sheet (2)'!$A$3:$G$5503,1,0)</f>
        <v>7.551477E4Y8000680</v>
      </c>
      <c r="F259" s="8" t="s">
        <v>939</v>
      </c>
      <c r="G259" s="8" t="s">
        <v>1588</v>
      </c>
      <c r="H259" s="8"/>
      <c r="I259" s="76">
        <v>5.6219999999999999</v>
      </c>
      <c r="J259" s="76">
        <f>VLOOKUP(C259,'[1]Sheet (2)'!$A$3:$H$5503,5,0)</f>
        <v>5.6219999999999999</v>
      </c>
      <c r="K259" s="76">
        <f t="shared" si="7"/>
        <v>0</v>
      </c>
      <c r="L259" s="8" t="s">
        <v>1541</v>
      </c>
      <c r="M259" s="73" t="str">
        <f t="shared" ref="M259:M322" si="8">IF(COUNTIF($C$3:$C$356, C259)&gt;1, "Trùng", "")</f>
        <v/>
      </c>
    </row>
    <row r="260" spans="1:13" ht="17.25" customHeight="1" x14ac:dyDescent="0.25">
      <c r="A260">
        <v>258</v>
      </c>
      <c r="B260" s="8" t="s">
        <v>1541</v>
      </c>
      <c r="C260" s="8" t="s">
        <v>1682</v>
      </c>
      <c r="D260" s="8" t="s">
        <v>1684</v>
      </c>
      <c r="E260" s="73" t="str">
        <f>VLOOKUP(C260,'[1]Sheet (2)'!$A$3:$G$5503,1,0)</f>
        <v>7.515006141317B20</v>
      </c>
      <c r="F260" s="8" t="s">
        <v>939</v>
      </c>
      <c r="G260" s="8" t="s">
        <v>1683</v>
      </c>
      <c r="H260" s="8"/>
      <c r="I260" s="76">
        <v>6.12</v>
      </c>
      <c r="J260" s="76">
        <f>VLOOKUP(C260,'[1]Sheet (2)'!$A$3:$H$5503,5,0)</f>
        <v>6.12</v>
      </c>
      <c r="K260" s="76">
        <f t="shared" ref="K260:K323" si="9">I260-J260</f>
        <v>0</v>
      </c>
      <c r="L260" s="8" t="s">
        <v>1541</v>
      </c>
      <c r="M260" s="73" t="str">
        <f t="shared" si="8"/>
        <v/>
      </c>
    </row>
    <row r="261" spans="1:13" ht="17.25" customHeight="1" x14ac:dyDescent="0.25">
      <c r="A261">
        <v>259</v>
      </c>
      <c r="B261" s="8" t="s">
        <v>1541</v>
      </c>
      <c r="C261" s="8" t="s">
        <v>1685</v>
      </c>
      <c r="D261" s="8" t="s">
        <v>1687</v>
      </c>
      <c r="E261" s="73" t="str">
        <f>VLOOKUP(C261,'[1]Sheet (2)'!$A$3:$G$5503,1,0)</f>
        <v>7.5180062202408040</v>
      </c>
      <c r="F261" s="8" t="s">
        <v>939</v>
      </c>
      <c r="G261" s="8" t="s">
        <v>1686</v>
      </c>
      <c r="H261" s="8"/>
      <c r="I261" s="76">
        <v>12</v>
      </c>
      <c r="J261" s="76">
        <f>VLOOKUP(C261,'[1]Sheet (2)'!$A$3:$H$5503,5,0)</f>
        <v>12</v>
      </c>
      <c r="K261" s="76">
        <f t="shared" si="9"/>
        <v>0</v>
      </c>
      <c r="L261" s="8" t="s">
        <v>1541</v>
      </c>
      <c r="M261" s="73" t="str">
        <f t="shared" si="8"/>
        <v/>
      </c>
    </row>
    <row r="262" spans="1:13" ht="17.25" customHeight="1" x14ac:dyDescent="0.25">
      <c r="A262">
        <v>260</v>
      </c>
      <c r="B262" s="8" t="s">
        <v>1541</v>
      </c>
      <c r="C262" s="8" t="s">
        <v>1688</v>
      </c>
      <c r="D262" s="8" t="s">
        <v>1690</v>
      </c>
      <c r="E262" s="73" t="str">
        <f>VLOOKUP(C262,'[1]Sheet (2)'!$A$3:$G$5503,1,0)</f>
        <v>7.58810402204R1335</v>
      </c>
      <c r="F262" s="8" t="s">
        <v>939</v>
      </c>
      <c r="G262" s="8" t="s">
        <v>1689</v>
      </c>
      <c r="H262" s="8"/>
      <c r="I262" s="76">
        <v>6</v>
      </c>
      <c r="J262" s="76">
        <f>VLOOKUP(C262,'[1]Sheet (2)'!$A$3:$H$5503,5,0)</f>
        <v>6</v>
      </c>
      <c r="K262" s="76">
        <f t="shared" si="9"/>
        <v>0</v>
      </c>
      <c r="L262" s="8" t="s">
        <v>1541</v>
      </c>
      <c r="M262" s="73" t="str">
        <f t="shared" si="8"/>
        <v/>
      </c>
    </row>
    <row r="263" spans="1:13" ht="17.25" customHeight="1" x14ac:dyDescent="0.25">
      <c r="A263">
        <v>261</v>
      </c>
      <c r="B263" s="8" t="s">
        <v>1541</v>
      </c>
      <c r="C263" s="8" t="s">
        <v>1691</v>
      </c>
      <c r="D263" s="8" t="s">
        <v>1693</v>
      </c>
      <c r="E263" s="73" t="str">
        <f>VLOOKUP(C263,'[1]Sheet (2)'!$A$3:$G$5503,1,0)</f>
        <v>7.515006312917040</v>
      </c>
      <c r="F263" s="8" t="s">
        <v>939</v>
      </c>
      <c r="G263" s="8" t="s">
        <v>1692</v>
      </c>
      <c r="H263" s="8"/>
      <c r="I263" s="76">
        <v>12.6</v>
      </c>
      <c r="J263" s="76">
        <f>VLOOKUP(C263,'[1]Sheet (2)'!$A$3:$H$5503,5,0)</f>
        <v>12.6</v>
      </c>
      <c r="K263" s="76">
        <f t="shared" si="9"/>
        <v>0</v>
      </c>
      <c r="L263" s="8" t="s">
        <v>1541</v>
      </c>
      <c r="M263" s="73" t="str">
        <f t="shared" si="8"/>
        <v>Trùng</v>
      </c>
    </row>
    <row r="264" spans="1:13" ht="17.25" customHeight="1" x14ac:dyDescent="0.25">
      <c r="A264">
        <v>262</v>
      </c>
      <c r="B264" s="8" t="s">
        <v>1541</v>
      </c>
      <c r="C264" s="8" t="s">
        <v>1694</v>
      </c>
      <c r="D264" s="8" t="s">
        <v>1696</v>
      </c>
      <c r="E264" s="73" t="str">
        <f>VLOOKUP(C264,'[1]Sheet (2)'!$A$3:$G$5503,1,0)</f>
        <v>7.515006341420A80</v>
      </c>
      <c r="F264" s="8" t="s">
        <v>939</v>
      </c>
      <c r="G264" s="8" t="s">
        <v>1695</v>
      </c>
      <c r="H264" s="8"/>
      <c r="I264" s="76">
        <v>8</v>
      </c>
      <c r="J264" s="76">
        <f>VLOOKUP(C264,'[1]Sheet (2)'!$A$3:$H$5503,5,0)</f>
        <v>8</v>
      </c>
      <c r="K264" s="76">
        <f t="shared" si="9"/>
        <v>0</v>
      </c>
      <c r="L264" s="8" t="s">
        <v>1541</v>
      </c>
      <c r="M264" s="73" t="str">
        <f t="shared" si="8"/>
        <v/>
      </c>
    </row>
    <row r="265" spans="1:13" ht="17.25" customHeight="1" x14ac:dyDescent="0.25">
      <c r="A265">
        <v>263</v>
      </c>
      <c r="B265" s="8" t="s">
        <v>1541</v>
      </c>
      <c r="C265" s="8" t="s">
        <v>1697</v>
      </c>
      <c r="D265" s="8" t="s">
        <v>1699</v>
      </c>
      <c r="E265" s="73" t="str">
        <f>VLOOKUP(C265,'[1]Sheet (2)'!$A$3:$G$5503,1,0)</f>
        <v>7.5630080280031006</v>
      </c>
      <c r="F265" s="8" t="s">
        <v>939</v>
      </c>
      <c r="G265" s="8" t="s">
        <v>1698</v>
      </c>
      <c r="H265" s="8"/>
      <c r="I265" s="76">
        <v>8</v>
      </c>
      <c r="J265" s="76">
        <f>VLOOKUP(C265,'[1]Sheet (2)'!$A$3:$H$5503,5,0)</f>
        <v>8</v>
      </c>
      <c r="K265" s="76">
        <f t="shared" si="9"/>
        <v>0</v>
      </c>
      <c r="L265" s="8" t="s">
        <v>1541</v>
      </c>
      <c r="M265" s="73" t="str">
        <f t="shared" si="8"/>
        <v/>
      </c>
    </row>
    <row r="266" spans="1:13" ht="17.25" customHeight="1" x14ac:dyDescent="0.25">
      <c r="A266">
        <v>264</v>
      </c>
      <c r="B266" s="8" t="s">
        <v>1541</v>
      </c>
      <c r="C266" s="8" t="s">
        <v>1700</v>
      </c>
      <c r="D266" s="8" t="s">
        <v>1702</v>
      </c>
      <c r="E266" s="73" t="str">
        <f>VLOOKUP(C266,'[1]Sheet (2)'!$A$3:$G$5503,1,0)</f>
        <v>7.5180031502408100</v>
      </c>
      <c r="F266" s="8" t="s">
        <v>939</v>
      </c>
      <c r="G266" s="8" t="s">
        <v>1701</v>
      </c>
      <c r="H266" s="8"/>
      <c r="I266" s="76">
        <v>10</v>
      </c>
      <c r="J266" s="76">
        <f>VLOOKUP(C266,'[1]Sheet (2)'!$A$3:$H$5503,5,0)</f>
        <v>10</v>
      </c>
      <c r="K266" s="76">
        <f t="shared" si="9"/>
        <v>0</v>
      </c>
      <c r="L266" s="8" t="s">
        <v>1541</v>
      </c>
      <c r="M266" s="73" t="str">
        <f t="shared" si="8"/>
        <v/>
      </c>
    </row>
    <row r="267" spans="1:13" ht="17.25" customHeight="1" x14ac:dyDescent="0.25">
      <c r="A267">
        <v>265</v>
      </c>
      <c r="B267" s="8" t="s">
        <v>1541</v>
      </c>
      <c r="C267" s="8" t="s">
        <v>1703</v>
      </c>
      <c r="D267" s="8" t="s">
        <v>1705</v>
      </c>
      <c r="E267" s="73" t="str">
        <f>VLOOKUP(C267,'[1]Sheet (2)'!$A$3:$G$5503,1,0)</f>
        <v>7.59800827601116</v>
      </c>
      <c r="F267" s="8" t="s">
        <v>939</v>
      </c>
      <c r="G267" s="8" t="s">
        <v>1704</v>
      </c>
      <c r="H267" s="8"/>
      <c r="I267" s="76">
        <v>21.05</v>
      </c>
      <c r="J267" s="103">
        <f>VLOOKUP(C267,'[1]Sheet (2)'!$A$3:$H$5503,5,0)</f>
        <v>21.05</v>
      </c>
      <c r="K267" s="76">
        <f t="shared" si="9"/>
        <v>0</v>
      </c>
      <c r="L267" s="8" t="s">
        <v>1541</v>
      </c>
      <c r="M267" s="73" t="str">
        <f t="shared" si="8"/>
        <v/>
      </c>
    </row>
    <row r="268" spans="1:13" ht="17.25" customHeight="1" x14ac:dyDescent="0.25">
      <c r="A268">
        <v>266</v>
      </c>
      <c r="B268" s="8" t="s">
        <v>1541</v>
      </c>
      <c r="C268" s="8" t="s">
        <v>1314</v>
      </c>
      <c r="D268" s="78" t="s">
        <v>1315</v>
      </c>
      <c r="E268" s="73" t="str">
        <f>VLOOKUP(C268,'[1]Sheet (2)'!$A$3:$G$5503,1,0)</f>
        <v>7.45105003170000</v>
      </c>
      <c r="F268" s="8" t="s">
        <v>939</v>
      </c>
      <c r="G268" s="8" t="s">
        <v>1315</v>
      </c>
      <c r="H268" s="8"/>
      <c r="I268" s="76">
        <v>0.91</v>
      </c>
      <c r="J268" s="103">
        <f>VLOOKUP(C268,'[1]Sheet (2)'!$A$3:$H$5503,5,0)</f>
        <v>0.91</v>
      </c>
      <c r="K268" s="76">
        <f t="shared" si="9"/>
        <v>0</v>
      </c>
      <c r="L268" s="8" t="s">
        <v>1541</v>
      </c>
      <c r="M268" s="73" t="str">
        <f t="shared" si="8"/>
        <v>Trùng</v>
      </c>
    </row>
    <row r="269" spans="1:13" ht="17.25" customHeight="1" x14ac:dyDescent="0.25">
      <c r="A269">
        <v>267</v>
      </c>
      <c r="B269" s="8" t="s">
        <v>1541</v>
      </c>
      <c r="C269" s="8" t="s">
        <v>1665</v>
      </c>
      <c r="D269" s="8" t="s">
        <v>1667</v>
      </c>
      <c r="E269" s="73" t="str">
        <f>VLOOKUP(C269,'[1]Sheet (2)'!$A$3:$G$5503,1,0)</f>
        <v>7.5180031702518080</v>
      </c>
      <c r="F269" s="8" t="s">
        <v>939</v>
      </c>
      <c r="G269" s="8" t="s">
        <v>1666</v>
      </c>
      <c r="H269" s="8"/>
      <c r="I269" s="76">
        <v>15</v>
      </c>
      <c r="J269" s="76">
        <f>VLOOKUP(C269,'[1]Sheet (2)'!$A$3:$H$5503,5,0)</f>
        <v>15</v>
      </c>
      <c r="K269" s="76">
        <f t="shared" si="9"/>
        <v>0</v>
      </c>
      <c r="L269" s="8" t="s">
        <v>1541</v>
      </c>
      <c r="M269" s="73" t="str">
        <f t="shared" si="8"/>
        <v>Trùng</v>
      </c>
    </row>
    <row r="270" spans="1:13" ht="17.25" customHeight="1" x14ac:dyDescent="0.25">
      <c r="A270">
        <v>268</v>
      </c>
      <c r="B270" s="8" t="s">
        <v>1541</v>
      </c>
      <c r="C270" s="8" t="s">
        <v>1608</v>
      </c>
      <c r="D270" s="8" t="s">
        <v>1610</v>
      </c>
      <c r="E270" s="73" t="str">
        <f>VLOOKUP(C270,'[1]Sheet (2)'!$A$3:$G$5503,1,0)</f>
        <v>7.5180031502508050</v>
      </c>
      <c r="F270" s="8" t="s">
        <v>939</v>
      </c>
      <c r="G270" s="8" t="s">
        <v>1609</v>
      </c>
      <c r="H270" s="8"/>
      <c r="I270" s="76">
        <v>12</v>
      </c>
      <c r="J270" s="76">
        <f>VLOOKUP(C270,'[1]Sheet (2)'!$A$3:$H$5503,5,0)</f>
        <v>12</v>
      </c>
      <c r="K270" s="76">
        <f t="shared" si="9"/>
        <v>0</v>
      </c>
      <c r="L270" s="8" t="s">
        <v>1541</v>
      </c>
      <c r="M270" s="73" t="str">
        <f t="shared" si="8"/>
        <v>Trùng</v>
      </c>
    </row>
    <row r="271" spans="1:13" ht="17.25" customHeight="1" x14ac:dyDescent="0.25">
      <c r="A271">
        <v>269</v>
      </c>
      <c r="B271" s="8" t="s">
        <v>1541</v>
      </c>
      <c r="C271" s="8" t="s">
        <v>1706</v>
      </c>
      <c r="D271" s="8" t="s">
        <v>1708</v>
      </c>
      <c r="E271" s="73" t="str">
        <f>VLOOKUP(C271,'[1]Sheet (2)'!$A$3:$G$5503,1,0)</f>
        <v>7.58810404104Q1308</v>
      </c>
      <c r="F271" s="8" t="s">
        <v>939</v>
      </c>
      <c r="G271" s="8" t="s">
        <v>1707</v>
      </c>
      <c r="H271" s="8"/>
      <c r="I271" s="76">
        <v>13.5</v>
      </c>
      <c r="J271" s="76">
        <f>VLOOKUP(C271,'[1]Sheet (2)'!$A$3:$H$5503,5,0)</f>
        <v>13.5</v>
      </c>
      <c r="K271" s="76">
        <f t="shared" si="9"/>
        <v>0</v>
      </c>
      <c r="L271" s="8" t="s">
        <v>1541</v>
      </c>
      <c r="M271" s="73" t="str">
        <f t="shared" si="8"/>
        <v/>
      </c>
    </row>
    <row r="272" spans="1:13" ht="17.25" customHeight="1" x14ac:dyDescent="0.25">
      <c r="A272">
        <v>270</v>
      </c>
      <c r="B272" s="8" t="s">
        <v>1541</v>
      </c>
      <c r="C272" s="8" t="s">
        <v>1551</v>
      </c>
      <c r="D272" s="8" t="s">
        <v>1553</v>
      </c>
      <c r="E272" s="73" t="str">
        <f>VLOOKUP(C272,'[1]Sheet (2)'!$A$3:$G$5503,1,0)</f>
        <v>7.5180032102408040</v>
      </c>
      <c r="F272" s="8" t="s">
        <v>939</v>
      </c>
      <c r="G272" s="8" t="s">
        <v>1552</v>
      </c>
      <c r="H272" s="8"/>
      <c r="I272" s="76">
        <v>10.8</v>
      </c>
      <c r="J272" s="76">
        <f>VLOOKUP(C272,'[1]Sheet (2)'!$A$3:$H$5503,5,0)</f>
        <v>10.8</v>
      </c>
      <c r="K272" s="76">
        <f t="shared" si="9"/>
        <v>0</v>
      </c>
      <c r="L272" s="8" t="s">
        <v>1541</v>
      </c>
      <c r="M272" s="73" t="str">
        <f t="shared" si="8"/>
        <v>Trùng</v>
      </c>
    </row>
    <row r="273" spans="1:13" ht="17.25" customHeight="1" x14ac:dyDescent="0.25">
      <c r="A273">
        <v>271</v>
      </c>
      <c r="B273" s="8" t="s">
        <v>1541</v>
      </c>
      <c r="C273" s="8" t="s">
        <v>2003</v>
      </c>
      <c r="D273" s="8" t="s">
        <v>1702</v>
      </c>
      <c r="E273" s="73" t="str">
        <f>VLOOKUP(C273,'[1]Sheet (2)'!$A$3:$G$5503,1,0)</f>
        <v>7.5180031502408100TD</v>
      </c>
      <c r="F273" s="8" t="s">
        <v>939</v>
      </c>
      <c r="G273" s="8" t="s">
        <v>1701</v>
      </c>
      <c r="H273" s="8"/>
      <c r="I273" s="76">
        <v>10</v>
      </c>
      <c r="J273" s="76">
        <f>VLOOKUP(C273,'[1]Sheet (2)'!$A$3:$H$5503,5,0)</f>
        <v>10</v>
      </c>
      <c r="K273" s="76">
        <f t="shared" si="9"/>
        <v>0</v>
      </c>
      <c r="L273" s="8" t="s">
        <v>1541</v>
      </c>
      <c r="M273" s="73" t="str">
        <f t="shared" si="8"/>
        <v/>
      </c>
    </row>
    <row r="274" spans="1:13" ht="17.25" customHeight="1" x14ac:dyDescent="0.25">
      <c r="A274">
        <v>272</v>
      </c>
      <c r="B274" s="8" t="s">
        <v>1541</v>
      </c>
      <c r="C274" s="8" t="s">
        <v>1572</v>
      </c>
      <c r="D274" s="8" t="s">
        <v>1574</v>
      </c>
      <c r="E274" s="73" t="str">
        <f>VLOOKUP(C274,'[1]Sheet (2)'!$A$3:$G$5503,1,0)</f>
        <v>7.5180061402308120</v>
      </c>
      <c r="F274" s="8" t="s">
        <v>939</v>
      </c>
      <c r="G274" s="8" t="s">
        <v>1573</v>
      </c>
      <c r="H274" s="8"/>
      <c r="I274" s="76">
        <v>7.6</v>
      </c>
      <c r="J274" s="76">
        <f>VLOOKUP(C274,'[1]Sheet (2)'!$A$3:$H$5503,5,0)</f>
        <v>7.6</v>
      </c>
      <c r="K274" s="76">
        <f t="shared" si="9"/>
        <v>0</v>
      </c>
      <c r="L274" s="8" t="s">
        <v>1541</v>
      </c>
      <c r="M274" s="73" t="str">
        <f t="shared" si="8"/>
        <v>Trùng</v>
      </c>
    </row>
    <row r="275" spans="1:13" ht="17.25" customHeight="1" x14ac:dyDescent="0.25">
      <c r="A275">
        <v>273</v>
      </c>
      <c r="B275" s="8" t="s">
        <v>1541</v>
      </c>
      <c r="C275" s="8" t="s">
        <v>1605</v>
      </c>
      <c r="D275" s="8" t="s">
        <v>1607</v>
      </c>
      <c r="E275" s="73" t="str">
        <f>VLOOKUP(C275,'[1]Sheet (2)'!$A$3:$G$5503,1,0)</f>
        <v>7.1180129103976030</v>
      </c>
      <c r="F275" s="8" t="s">
        <v>939</v>
      </c>
      <c r="G275" s="8" t="s">
        <v>1606</v>
      </c>
      <c r="H275" s="8"/>
      <c r="I275" s="76">
        <v>12</v>
      </c>
      <c r="J275" s="76">
        <f>VLOOKUP(C275,'[1]Sheet (2)'!$A$3:$H$5503,5,0)</f>
        <v>12</v>
      </c>
      <c r="K275" s="76">
        <f t="shared" si="9"/>
        <v>0</v>
      </c>
      <c r="L275" s="8" t="s">
        <v>1541</v>
      </c>
      <c r="M275" s="73" t="str">
        <f t="shared" si="8"/>
        <v>Trùng</v>
      </c>
    </row>
    <row r="276" spans="1:13" ht="17.25" customHeight="1" x14ac:dyDescent="0.25">
      <c r="A276">
        <v>274</v>
      </c>
      <c r="B276" s="8" t="s">
        <v>1541</v>
      </c>
      <c r="C276" s="8" t="s">
        <v>1709</v>
      </c>
      <c r="D276" s="8" t="s">
        <v>1710</v>
      </c>
      <c r="E276" s="73" t="str">
        <f>VLOOKUP(C276,'[1]Sheet (2)'!$A$3:$G$5503,1,0)</f>
        <v>7.551460E6S2001280</v>
      </c>
      <c r="F276" s="8" t="s">
        <v>939</v>
      </c>
      <c r="G276" s="8" t="s">
        <v>1710</v>
      </c>
      <c r="H276" s="8"/>
      <c r="I276" s="76">
        <v>11.148</v>
      </c>
      <c r="J276" s="103">
        <f>VLOOKUP(C276,'[1]Sheet (2)'!$A$3:$H$5503,5,0)</f>
        <v>11.148</v>
      </c>
      <c r="K276" s="76">
        <f t="shared" si="9"/>
        <v>0</v>
      </c>
      <c r="L276" s="8" t="s">
        <v>1541</v>
      </c>
      <c r="M276" s="73" t="str">
        <f t="shared" si="8"/>
        <v/>
      </c>
    </row>
    <row r="277" spans="1:13" ht="17.25" customHeight="1" x14ac:dyDescent="0.25">
      <c r="A277">
        <v>275</v>
      </c>
      <c r="B277" s="8" t="s">
        <v>1541</v>
      </c>
      <c r="C277" s="8" t="s">
        <v>2004</v>
      </c>
      <c r="D277" s="8" t="s">
        <v>1637</v>
      </c>
      <c r="E277" s="73" t="str">
        <f>VLOOKUP(C277,'[1]Sheet (2)'!$A$3:$G$5503,1,0)</f>
        <v>7.5630080190030600TD</v>
      </c>
      <c r="F277" s="8" t="s">
        <v>939</v>
      </c>
      <c r="G277" s="8" t="s">
        <v>1636</v>
      </c>
      <c r="H277" s="8"/>
      <c r="I277" s="76">
        <v>6.12</v>
      </c>
      <c r="J277" s="104">
        <f>VLOOKUP(C277,'[1]Sheet (2)'!$A$3:$H$5503,5,0)</f>
        <v>0.255</v>
      </c>
      <c r="K277" s="104">
        <f t="shared" si="9"/>
        <v>5.8650000000000002</v>
      </c>
      <c r="L277" s="8" t="s">
        <v>1541</v>
      </c>
      <c r="M277" s="73" t="str">
        <f t="shared" si="8"/>
        <v/>
      </c>
    </row>
    <row r="278" spans="1:13" ht="17.25" customHeight="1" x14ac:dyDescent="0.25">
      <c r="A278">
        <v>276</v>
      </c>
      <c r="B278" s="8" t="s">
        <v>1541</v>
      </c>
      <c r="C278" s="8" t="s">
        <v>1563</v>
      </c>
      <c r="D278" s="8" t="s">
        <v>1565</v>
      </c>
      <c r="E278" s="73" t="str">
        <f>VLOOKUP(C278,'[1]Sheet (2)'!$A$3:$G$5503,1,0)</f>
        <v>7.515006143217060</v>
      </c>
      <c r="F278" s="8" t="s">
        <v>939</v>
      </c>
      <c r="G278" s="8" t="s">
        <v>1564</v>
      </c>
      <c r="H278" s="8"/>
      <c r="I278" s="76">
        <v>6.12</v>
      </c>
      <c r="J278" s="76">
        <f>VLOOKUP(C278,'[1]Sheet (2)'!$A$3:$H$5503,5,0)</f>
        <v>6.12</v>
      </c>
      <c r="K278" s="76">
        <f t="shared" si="9"/>
        <v>0</v>
      </c>
      <c r="L278" s="8" t="s">
        <v>1541</v>
      </c>
      <c r="M278" s="73" t="str">
        <f t="shared" si="8"/>
        <v>Trùng</v>
      </c>
    </row>
    <row r="279" spans="1:13" ht="17.25" customHeight="1" x14ac:dyDescent="0.25">
      <c r="A279">
        <v>277</v>
      </c>
      <c r="B279" s="8" t="s">
        <v>1541</v>
      </c>
      <c r="C279" s="8" t="s">
        <v>1617</v>
      </c>
      <c r="D279" s="8" t="s">
        <v>1619</v>
      </c>
      <c r="E279" s="73" t="str">
        <f>VLOOKUP(C279,'[1]Sheet (2)'!$A$3:$G$5503,1,0)</f>
        <v>7.515006413217060</v>
      </c>
      <c r="F279" s="8" t="s">
        <v>939</v>
      </c>
      <c r="G279" s="8" t="s">
        <v>1618</v>
      </c>
      <c r="H279" s="8"/>
      <c r="I279" s="76">
        <v>9.6</v>
      </c>
      <c r="J279" s="76">
        <f>VLOOKUP(C279,'[1]Sheet (2)'!$A$3:$H$5503,5,0)</f>
        <v>9.6</v>
      </c>
      <c r="K279" s="76">
        <f t="shared" si="9"/>
        <v>0</v>
      </c>
      <c r="L279" s="8" t="s">
        <v>1541</v>
      </c>
      <c r="M279" s="73" t="str">
        <f t="shared" si="8"/>
        <v>Trùng</v>
      </c>
    </row>
    <row r="280" spans="1:13" ht="17.25" customHeight="1" x14ac:dyDescent="0.25">
      <c r="A280">
        <v>278</v>
      </c>
      <c r="B280" s="8" t="s">
        <v>1541</v>
      </c>
      <c r="C280" s="8" t="s">
        <v>1599</v>
      </c>
      <c r="D280" s="8" t="s">
        <v>1601</v>
      </c>
      <c r="E280" s="73" t="str">
        <f>VLOOKUP(C280,'[1]Sheet (2)'!$A$3:$G$5503,1,0)</f>
        <v>7.1181100903976050</v>
      </c>
      <c r="F280" s="8" t="s">
        <v>939</v>
      </c>
      <c r="G280" s="8" t="s">
        <v>1600</v>
      </c>
      <c r="H280" s="8"/>
      <c r="I280" s="76">
        <v>12</v>
      </c>
      <c r="J280" s="76">
        <f>VLOOKUP(C280,'[1]Sheet (2)'!$A$3:$H$5503,5,0)</f>
        <v>12</v>
      </c>
      <c r="K280" s="76">
        <f t="shared" si="9"/>
        <v>0</v>
      </c>
      <c r="L280" s="8" t="s">
        <v>1541</v>
      </c>
      <c r="M280" s="73" t="str">
        <f t="shared" si="8"/>
        <v>Trùng</v>
      </c>
    </row>
    <row r="281" spans="1:13" ht="17.25" customHeight="1" x14ac:dyDescent="0.25">
      <c r="A281">
        <v>279</v>
      </c>
      <c r="B281" s="8" t="s">
        <v>1541</v>
      </c>
      <c r="C281" s="8" t="s">
        <v>1623</v>
      </c>
      <c r="D281" s="8" t="s">
        <v>1625</v>
      </c>
      <c r="E281" s="73" t="str">
        <f>VLOOKUP(C281,'[1]Sheet (2)'!$A$3:$G$5503,1,0)</f>
        <v>7.5630080350030601</v>
      </c>
      <c r="F281" s="8" t="s">
        <v>939</v>
      </c>
      <c r="G281" s="8" t="s">
        <v>1624</v>
      </c>
      <c r="H281" s="8"/>
      <c r="I281" s="76">
        <v>6</v>
      </c>
      <c r="J281" s="76">
        <f>VLOOKUP(C281,'[1]Sheet (2)'!$A$3:$H$5503,5,0)</f>
        <v>6</v>
      </c>
      <c r="K281" s="76">
        <f t="shared" si="9"/>
        <v>0</v>
      </c>
      <c r="L281" s="8" t="s">
        <v>1541</v>
      </c>
      <c r="M281" s="73" t="str">
        <f t="shared" si="8"/>
        <v>Trùng</v>
      </c>
    </row>
    <row r="282" spans="1:13" ht="17.25" customHeight="1" x14ac:dyDescent="0.25">
      <c r="A282">
        <v>280</v>
      </c>
      <c r="B282" s="8" t="s">
        <v>1541</v>
      </c>
      <c r="C282" s="8" t="s">
        <v>1644</v>
      </c>
      <c r="D282" s="8" t="s">
        <v>1646</v>
      </c>
      <c r="E282" s="73" t="str">
        <f>VLOOKUP(C282,'[1]Sheet (2)'!$A$3:$G$5503,1,0)</f>
        <v>7.515006333017050</v>
      </c>
      <c r="F282" s="8" t="s">
        <v>939</v>
      </c>
      <c r="G282" s="8" t="s">
        <v>1645</v>
      </c>
      <c r="H282" s="8"/>
      <c r="I282" s="76">
        <v>9.6</v>
      </c>
      <c r="J282" s="76">
        <f>VLOOKUP(C282,'[1]Sheet (2)'!$A$3:$H$5503,5,0)</f>
        <v>9.6</v>
      </c>
      <c r="K282" s="76">
        <f t="shared" si="9"/>
        <v>0</v>
      </c>
      <c r="L282" s="8" t="s">
        <v>1541</v>
      </c>
      <c r="M282" s="73" t="str">
        <f t="shared" si="8"/>
        <v>Trùng</v>
      </c>
    </row>
    <row r="283" spans="1:13" ht="17.25" customHeight="1" x14ac:dyDescent="0.25">
      <c r="A283">
        <v>281</v>
      </c>
      <c r="B283" s="8" t="s">
        <v>1541</v>
      </c>
      <c r="C283" s="8" t="s">
        <v>1691</v>
      </c>
      <c r="D283" s="8" t="s">
        <v>1693</v>
      </c>
      <c r="E283" s="73" t="str">
        <f>VLOOKUP(C283,'[1]Sheet (2)'!$A$3:$G$5503,1,0)</f>
        <v>7.515006312917040</v>
      </c>
      <c r="F283" s="8" t="s">
        <v>939</v>
      </c>
      <c r="G283" s="8" t="s">
        <v>1692</v>
      </c>
      <c r="H283" s="8"/>
      <c r="I283" s="76">
        <v>12.6</v>
      </c>
      <c r="J283" s="76">
        <f>VLOOKUP(C283,'[1]Sheet (2)'!$A$3:$H$5503,5,0)</f>
        <v>12.6</v>
      </c>
      <c r="K283" s="76">
        <f t="shared" si="9"/>
        <v>0</v>
      </c>
      <c r="L283" s="8" t="s">
        <v>1541</v>
      </c>
      <c r="M283" s="73" t="str">
        <f t="shared" si="8"/>
        <v>Trùng</v>
      </c>
    </row>
    <row r="284" spans="1:13" ht="17.25" customHeight="1" x14ac:dyDescent="0.25">
      <c r="A284">
        <v>282</v>
      </c>
      <c r="B284" s="8" t="s">
        <v>1541</v>
      </c>
      <c r="C284" s="8" t="s">
        <v>1593</v>
      </c>
      <c r="D284" s="8" t="s">
        <v>1595</v>
      </c>
      <c r="E284" s="73" t="str">
        <f>VLOOKUP(C284,'[1]Sheet (2)'!$A$3:$G$5503,1,0)</f>
        <v>7.515006302917030</v>
      </c>
      <c r="F284" s="8" t="s">
        <v>939</v>
      </c>
      <c r="G284" s="8" t="s">
        <v>1594</v>
      </c>
      <c r="H284" s="8"/>
      <c r="I284" s="76">
        <v>16.8</v>
      </c>
      <c r="J284" s="76">
        <f>VLOOKUP(C284,'[1]Sheet (2)'!$A$3:$H$5503,5,0)</f>
        <v>16.8</v>
      </c>
      <c r="K284" s="76">
        <f t="shared" si="9"/>
        <v>0</v>
      </c>
      <c r="L284" s="8" t="s">
        <v>1541</v>
      </c>
      <c r="M284" s="73" t="str">
        <f t="shared" si="8"/>
        <v>Trùng</v>
      </c>
    </row>
    <row r="285" spans="1:13" ht="17.25" customHeight="1" x14ac:dyDescent="0.25">
      <c r="A285">
        <v>283</v>
      </c>
      <c r="B285" s="8" t="s">
        <v>1541</v>
      </c>
      <c r="C285" s="8" t="s">
        <v>1671</v>
      </c>
      <c r="D285" s="8" t="s">
        <v>1712</v>
      </c>
      <c r="E285" s="73" t="str">
        <f>VLOOKUP(C285,'[1]Sheet (2)'!$A$3:$G$5503,1,0)</f>
        <v>7.515006311417040</v>
      </c>
      <c r="F285" s="8" t="s">
        <v>939</v>
      </c>
      <c r="G285" s="8" t="s">
        <v>1711</v>
      </c>
      <c r="H285" s="8"/>
      <c r="I285" s="76">
        <v>12.6</v>
      </c>
      <c r="J285" s="76">
        <f>VLOOKUP(C285,'[1]Sheet (2)'!$A$3:$H$5503,5,0)</f>
        <v>12.6</v>
      </c>
      <c r="K285" s="76">
        <f t="shared" si="9"/>
        <v>0</v>
      </c>
      <c r="L285" s="8" t="s">
        <v>1541</v>
      </c>
      <c r="M285" s="73" t="str">
        <f t="shared" si="8"/>
        <v>Trùng</v>
      </c>
    </row>
    <row r="286" spans="1:13" ht="17.25" customHeight="1" x14ac:dyDescent="0.25">
      <c r="A286">
        <v>284</v>
      </c>
      <c r="B286" s="8" t="s">
        <v>1541</v>
      </c>
      <c r="C286" s="8" t="s">
        <v>1629</v>
      </c>
      <c r="D286" s="8" t="s">
        <v>1631</v>
      </c>
      <c r="E286" s="73" t="str">
        <f>VLOOKUP(C286,'[1]Sheet (2)'!$A$3:$G$5503,1,0)</f>
        <v>7.515006141417060</v>
      </c>
      <c r="F286" s="8" t="s">
        <v>939</v>
      </c>
      <c r="G286" s="8" t="s">
        <v>1630</v>
      </c>
      <c r="H286" s="8"/>
      <c r="I286" s="76">
        <v>6.12</v>
      </c>
      <c r="J286" s="76">
        <f>VLOOKUP(C286,'[1]Sheet (2)'!$A$3:$H$5503,5,0)</f>
        <v>6.12</v>
      </c>
      <c r="K286" s="76">
        <f t="shared" si="9"/>
        <v>0</v>
      </c>
      <c r="L286" s="8" t="s">
        <v>1541</v>
      </c>
      <c r="M286" s="73" t="str">
        <f t="shared" si="8"/>
        <v>Trùng</v>
      </c>
    </row>
    <row r="287" spans="1:13" ht="17.25" customHeight="1" x14ac:dyDescent="0.25">
      <c r="A287">
        <v>285</v>
      </c>
      <c r="B287" s="8" t="s">
        <v>1541</v>
      </c>
      <c r="C287" s="8" t="s">
        <v>1713</v>
      </c>
      <c r="D287" s="8" t="s">
        <v>1714</v>
      </c>
      <c r="E287" s="73" t="str">
        <f>VLOOKUP(C287,'[1]Sheet (2)'!$A$3:$G$5503,1,0)</f>
        <v>7.5630130190030604</v>
      </c>
      <c r="F287" s="8" t="s">
        <v>939</v>
      </c>
      <c r="G287" s="8" t="s">
        <v>1714</v>
      </c>
      <c r="H287" s="8"/>
      <c r="I287" s="76">
        <v>6.12</v>
      </c>
      <c r="J287" s="76">
        <f>VLOOKUP(C287,'[1]Sheet (2)'!$A$3:$H$5503,5,0)</f>
        <v>6.12</v>
      </c>
      <c r="K287" s="76">
        <f t="shared" si="9"/>
        <v>0</v>
      </c>
      <c r="L287" s="8" t="s">
        <v>1541</v>
      </c>
      <c r="M287" s="73" t="str">
        <f t="shared" si="8"/>
        <v/>
      </c>
    </row>
    <row r="288" spans="1:13" ht="17.25" customHeight="1" x14ac:dyDescent="0.25">
      <c r="A288">
        <v>286</v>
      </c>
      <c r="B288" s="8" t="s">
        <v>1541</v>
      </c>
      <c r="C288" s="8" t="s">
        <v>1715</v>
      </c>
      <c r="D288" s="8" t="s">
        <v>1716</v>
      </c>
      <c r="E288" s="73" t="str">
        <f>VLOOKUP(C288,'[1]Sheet (2)'!$A$3:$G$5503,1,0)</f>
        <v>7.5630130280221008</v>
      </c>
      <c r="F288" s="8" t="s">
        <v>939</v>
      </c>
      <c r="G288" s="8" t="s">
        <v>1716</v>
      </c>
      <c r="H288" s="8"/>
      <c r="I288" s="76">
        <v>12</v>
      </c>
      <c r="J288" s="76">
        <f>VLOOKUP(C288,'[1]Sheet (2)'!$A$3:$H$5503,5,0)</f>
        <v>12</v>
      </c>
      <c r="K288" s="76">
        <f t="shared" si="9"/>
        <v>0</v>
      </c>
      <c r="L288" s="8" t="s">
        <v>1541</v>
      </c>
      <c r="M288" s="73" t="str">
        <f t="shared" si="8"/>
        <v/>
      </c>
    </row>
    <row r="289" spans="1:13" ht="17.25" customHeight="1" x14ac:dyDescent="0.25">
      <c r="A289">
        <v>287</v>
      </c>
      <c r="B289" s="8" t="s">
        <v>1541</v>
      </c>
      <c r="C289" s="8" t="s">
        <v>1542</v>
      </c>
      <c r="D289" s="8" t="s">
        <v>1544</v>
      </c>
      <c r="E289" s="73" t="str">
        <f>VLOOKUP(C289,'[1]Sheet (2)'!$A$3:$G$5503,1,0)</f>
        <v>7.551460E67C4M0680</v>
      </c>
      <c r="F289" s="8" t="s">
        <v>939</v>
      </c>
      <c r="G289" s="8" t="s">
        <v>1543</v>
      </c>
      <c r="H289" s="8"/>
      <c r="I289" s="76">
        <v>13.095599999999999</v>
      </c>
      <c r="J289" s="76">
        <f>VLOOKUP(C289,'[1]Sheet (2)'!$A$3:$H$5503,5,0)</f>
        <v>13.095599999999999</v>
      </c>
      <c r="K289" s="76">
        <f t="shared" si="9"/>
        <v>0</v>
      </c>
      <c r="L289" s="8" t="s">
        <v>1541</v>
      </c>
      <c r="M289" s="73" t="str">
        <f t="shared" si="8"/>
        <v>Trùng</v>
      </c>
    </row>
    <row r="290" spans="1:13" ht="17.25" customHeight="1" x14ac:dyDescent="0.25">
      <c r="A290">
        <v>288</v>
      </c>
      <c r="B290" s="8" t="s">
        <v>1541</v>
      </c>
      <c r="C290" s="8" t="s">
        <v>1717</v>
      </c>
      <c r="D290" s="8" t="s">
        <v>1719</v>
      </c>
      <c r="E290" s="73" t="str">
        <f>VLOOKUP(C290,'[1]Sheet (2)'!$A$3:$G$5503,1,0)</f>
        <v>7.551460F9S52N0680</v>
      </c>
      <c r="F290" s="8" t="s">
        <v>939</v>
      </c>
      <c r="G290" s="8" t="s">
        <v>1718</v>
      </c>
      <c r="H290" s="8"/>
      <c r="I290" s="76">
        <v>7.44</v>
      </c>
      <c r="J290" s="76">
        <f>VLOOKUP(C290,'[1]Sheet (2)'!$A$3:$H$5503,5,0)</f>
        <v>7.44</v>
      </c>
      <c r="K290" s="76">
        <f t="shared" si="9"/>
        <v>0</v>
      </c>
      <c r="L290" s="8" t="s">
        <v>1541</v>
      </c>
      <c r="M290" s="73" t="str">
        <f t="shared" si="8"/>
        <v/>
      </c>
    </row>
    <row r="291" spans="1:13" ht="17.25" customHeight="1" x14ac:dyDescent="0.25">
      <c r="A291">
        <v>289</v>
      </c>
      <c r="B291" s="8" t="s">
        <v>1541</v>
      </c>
      <c r="C291" s="8" t="s">
        <v>1720</v>
      </c>
      <c r="D291" s="8" t="s">
        <v>1722</v>
      </c>
      <c r="E291" s="73" t="str">
        <f>VLOOKUP(C291,'[1]Sheet (2)'!$A$3:$G$5503,1,0)</f>
        <v>7.551460E56C000680</v>
      </c>
      <c r="F291" s="8" t="s">
        <v>939</v>
      </c>
      <c r="G291" s="8" t="s">
        <v>1721</v>
      </c>
      <c r="H291" s="8"/>
      <c r="I291" s="76">
        <v>7.7131999999999996</v>
      </c>
      <c r="J291" s="76">
        <f>VLOOKUP(C291,'[1]Sheet (2)'!$A$3:$H$5503,5,0)</f>
        <v>7.7131999999999996</v>
      </c>
      <c r="K291" s="76">
        <f t="shared" si="9"/>
        <v>0</v>
      </c>
      <c r="L291" s="8" t="s">
        <v>1541</v>
      </c>
      <c r="M291" s="73" t="str">
        <f t="shared" si="8"/>
        <v/>
      </c>
    </row>
    <row r="292" spans="1:13" ht="17.25" customHeight="1" x14ac:dyDescent="0.25">
      <c r="A292">
        <v>290</v>
      </c>
      <c r="B292" s="8" t="s">
        <v>1723</v>
      </c>
      <c r="C292" s="8" t="s">
        <v>1724</v>
      </c>
      <c r="D292" s="8" t="s">
        <v>1726</v>
      </c>
      <c r="E292" s="73" t="str">
        <f>VLOOKUP(C292,'[1]Sheet (2)'!$A$3:$G$5503,1,0)</f>
        <v>7.5221120705D2710</v>
      </c>
      <c r="F292" s="8" t="s">
        <v>939</v>
      </c>
      <c r="G292" s="8" t="s">
        <v>1725</v>
      </c>
      <c r="H292" s="8"/>
      <c r="I292" s="76">
        <v>10</v>
      </c>
      <c r="J292" s="76">
        <f>VLOOKUP(C292,'[1]Sheet (2)'!$A$3:$H$5503,5,0)</f>
        <v>10</v>
      </c>
      <c r="K292" s="76">
        <f t="shared" si="9"/>
        <v>0</v>
      </c>
      <c r="L292" s="8" t="s">
        <v>1723</v>
      </c>
      <c r="M292" s="73" t="str">
        <f t="shared" si="8"/>
        <v/>
      </c>
    </row>
    <row r="293" spans="1:13" ht="17.25" customHeight="1" x14ac:dyDescent="0.25">
      <c r="A293">
        <v>291</v>
      </c>
      <c r="B293" s="8" t="s">
        <v>1723</v>
      </c>
      <c r="C293" s="8" t="s">
        <v>1727</v>
      </c>
      <c r="D293" s="8" t="s">
        <v>1729</v>
      </c>
      <c r="E293" s="73" t="str">
        <f>VLOOKUP(C293,'[1]Sheet (2)'!$A$3:$G$5503,1,0)</f>
        <v>7.089062121281203</v>
      </c>
      <c r="F293" s="8" t="s">
        <v>939</v>
      </c>
      <c r="G293" s="8" t="s">
        <v>1728</v>
      </c>
      <c r="H293" s="8"/>
      <c r="I293" s="76">
        <v>10</v>
      </c>
      <c r="J293" s="76">
        <f>VLOOKUP(C293,'[1]Sheet (2)'!$A$3:$H$5503,5,0)</f>
        <v>10</v>
      </c>
      <c r="K293" s="76">
        <f t="shared" si="9"/>
        <v>0</v>
      </c>
      <c r="L293" s="8" t="s">
        <v>1723</v>
      </c>
      <c r="M293" s="73" t="str">
        <f t="shared" si="8"/>
        <v/>
      </c>
    </row>
    <row r="294" spans="1:13" ht="17.25" customHeight="1" x14ac:dyDescent="0.25">
      <c r="A294">
        <v>292</v>
      </c>
      <c r="B294" s="8" t="s">
        <v>1723</v>
      </c>
      <c r="C294" s="8" t="s">
        <v>1730</v>
      </c>
      <c r="D294" s="8" t="s">
        <v>1732</v>
      </c>
      <c r="E294" s="73" t="str">
        <f>VLOOKUP(C294,'[1]Sheet (2)'!$A$3:$G$5503,1,0)</f>
        <v>7.089062120091203</v>
      </c>
      <c r="F294" s="8" t="s">
        <v>939</v>
      </c>
      <c r="G294" s="8" t="s">
        <v>1731</v>
      </c>
      <c r="H294" s="8"/>
      <c r="I294" s="76">
        <v>10</v>
      </c>
      <c r="J294" s="76">
        <f>VLOOKUP(C294,'[1]Sheet (2)'!$A$3:$H$5503,5,0)</f>
        <v>10</v>
      </c>
      <c r="K294" s="76">
        <f t="shared" si="9"/>
        <v>0</v>
      </c>
      <c r="L294" s="8" t="s">
        <v>1723</v>
      </c>
      <c r="M294" s="73" t="str">
        <f t="shared" si="8"/>
        <v/>
      </c>
    </row>
    <row r="295" spans="1:13" ht="17.25" customHeight="1" x14ac:dyDescent="0.25">
      <c r="A295">
        <v>293</v>
      </c>
      <c r="B295" s="8" t="s">
        <v>1723</v>
      </c>
      <c r="C295" s="8" t="s">
        <v>1733</v>
      </c>
      <c r="D295" s="8" t="s">
        <v>1735</v>
      </c>
      <c r="E295" s="73" t="str">
        <f>VLOOKUP(C295,'[1]Sheet (2)'!$A$3:$G$5503,1,0)</f>
        <v>7.522112071922710</v>
      </c>
      <c r="F295" s="8" t="s">
        <v>939</v>
      </c>
      <c r="G295" s="8" t="s">
        <v>1734</v>
      </c>
      <c r="H295" s="8"/>
      <c r="I295" s="76">
        <v>10</v>
      </c>
      <c r="J295" s="76">
        <f>VLOOKUP(C295,'[1]Sheet (2)'!$A$3:$H$5503,5,0)</f>
        <v>10</v>
      </c>
      <c r="K295" s="76">
        <f t="shared" si="9"/>
        <v>0</v>
      </c>
      <c r="L295" s="8" t="s">
        <v>1723</v>
      </c>
      <c r="M295" s="73" t="str">
        <f t="shared" si="8"/>
        <v/>
      </c>
    </row>
    <row r="296" spans="1:13" ht="17.25" customHeight="1" x14ac:dyDescent="0.25">
      <c r="A296">
        <v>294</v>
      </c>
      <c r="B296" s="8" t="s">
        <v>1723</v>
      </c>
      <c r="C296" s="8" t="s">
        <v>1736</v>
      </c>
      <c r="D296" s="8" t="s">
        <v>1738</v>
      </c>
      <c r="E296" s="73" t="str">
        <f>VLOOKUP(C296,'[1]Sheet (2)'!$A$3:$G$5503,1,0)</f>
        <v>7.52211207A632710</v>
      </c>
      <c r="F296" s="8" t="s">
        <v>939</v>
      </c>
      <c r="G296" s="8" t="s">
        <v>1737</v>
      </c>
      <c r="H296" s="8"/>
      <c r="I296" s="76">
        <v>10</v>
      </c>
      <c r="J296" s="76">
        <f>VLOOKUP(C296,'[1]Sheet (2)'!$A$3:$H$5503,5,0)</f>
        <v>10</v>
      </c>
      <c r="K296" s="76">
        <f t="shared" si="9"/>
        <v>0</v>
      </c>
      <c r="L296" s="8" t="s">
        <v>1723</v>
      </c>
      <c r="M296" s="73" t="str">
        <f t="shared" si="8"/>
        <v/>
      </c>
    </row>
    <row r="297" spans="1:13" ht="17.25" customHeight="1" x14ac:dyDescent="0.25">
      <c r="A297">
        <v>295</v>
      </c>
      <c r="B297" s="8" t="s">
        <v>1723</v>
      </c>
      <c r="C297" s="8" t="s">
        <v>1739</v>
      </c>
      <c r="D297" s="8" t="s">
        <v>1741</v>
      </c>
      <c r="E297" s="73" t="str">
        <f>VLOOKUP(C297,'[1]Sheet (2)'!$A$3:$G$5503,1,0)</f>
        <v>7.089062120111103</v>
      </c>
      <c r="F297" s="8" t="s">
        <v>939</v>
      </c>
      <c r="G297" s="8" t="s">
        <v>1740</v>
      </c>
      <c r="H297" s="8"/>
      <c r="I297" s="76">
        <v>10</v>
      </c>
      <c r="J297" s="76">
        <f>VLOOKUP(C297,'[1]Sheet (2)'!$A$3:$H$5503,5,0)</f>
        <v>10</v>
      </c>
      <c r="K297" s="76">
        <f t="shared" si="9"/>
        <v>0</v>
      </c>
      <c r="L297" s="8" t="s">
        <v>1723</v>
      </c>
      <c r="M297" s="73" t="str">
        <f t="shared" si="8"/>
        <v/>
      </c>
    </row>
    <row r="298" spans="1:13" ht="17.25" customHeight="1" x14ac:dyDescent="0.25">
      <c r="A298">
        <v>296</v>
      </c>
      <c r="B298" s="8" t="s">
        <v>1723</v>
      </c>
      <c r="C298" s="8" t="s">
        <v>1742</v>
      </c>
      <c r="D298" s="8" t="s">
        <v>1744</v>
      </c>
      <c r="E298" s="73" t="str">
        <f>VLOOKUP(C298,'[1]Sheet (2)'!$A$3:$G$5503,1,0)</f>
        <v>7.522112292032712</v>
      </c>
      <c r="F298" s="8" t="s">
        <v>939</v>
      </c>
      <c r="G298" s="8" t="s">
        <v>1743</v>
      </c>
      <c r="H298" s="8"/>
      <c r="I298" s="76">
        <v>10</v>
      </c>
      <c r="J298" s="76">
        <f>VLOOKUP(C298,'[1]Sheet (2)'!$A$3:$H$5503,5,0)</f>
        <v>10</v>
      </c>
      <c r="K298" s="76">
        <f t="shared" si="9"/>
        <v>0</v>
      </c>
      <c r="L298" s="8" t="s">
        <v>1723</v>
      </c>
      <c r="M298" s="73" t="str">
        <f t="shared" si="8"/>
        <v/>
      </c>
    </row>
    <row r="299" spans="1:13" ht="17.25" customHeight="1" x14ac:dyDescent="0.25">
      <c r="A299">
        <v>297</v>
      </c>
      <c r="B299" s="8" t="s">
        <v>1723</v>
      </c>
      <c r="C299" s="8" t="s">
        <v>1745</v>
      </c>
      <c r="D299" s="8" t="s">
        <v>1747</v>
      </c>
      <c r="E299" s="73" t="str">
        <f>VLOOKUP(C299,'[1]Sheet (2)'!$A$3:$G$5503,1,0)</f>
        <v>7.522223292882712</v>
      </c>
      <c r="F299" s="8" t="s">
        <v>939</v>
      </c>
      <c r="G299" s="8" t="s">
        <v>1746</v>
      </c>
      <c r="H299" s="8"/>
      <c r="I299" s="76">
        <v>10</v>
      </c>
      <c r="J299" s="76">
        <f>VLOOKUP(C299,'[1]Sheet (2)'!$A$3:$H$5503,5,0)</f>
        <v>10</v>
      </c>
      <c r="K299" s="76">
        <f t="shared" si="9"/>
        <v>0</v>
      </c>
      <c r="L299" s="8" t="s">
        <v>1723</v>
      </c>
      <c r="M299" s="73" t="str">
        <f t="shared" si="8"/>
        <v/>
      </c>
    </row>
    <row r="300" spans="1:13" ht="17.25" customHeight="1" x14ac:dyDescent="0.25">
      <c r="A300">
        <v>298</v>
      </c>
      <c r="B300" s="8" t="s">
        <v>1723</v>
      </c>
      <c r="C300" s="8" t="s">
        <v>1748</v>
      </c>
      <c r="D300" s="8" t="s">
        <v>1750</v>
      </c>
      <c r="E300" s="73" t="str">
        <f>VLOOKUP(C300,'[1]Sheet (2)'!$A$3:$G$5503,1,0)</f>
        <v>7.522145071362710</v>
      </c>
      <c r="F300" s="8" t="s">
        <v>939</v>
      </c>
      <c r="G300" s="8" t="s">
        <v>1749</v>
      </c>
      <c r="H300" s="8"/>
      <c r="I300" s="76">
        <v>10</v>
      </c>
      <c r="J300" s="76">
        <f>VLOOKUP(C300,'[1]Sheet (2)'!$A$3:$H$5503,5,0)</f>
        <v>10</v>
      </c>
      <c r="K300" s="76">
        <f t="shared" si="9"/>
        <v>0</v>
      </c>
      <c r="L300" s="8" t="s">
        <v>1723</v>
      </c>
      <c r="M300" s="73" t="str">
        <f t="shared" si="8"/>
        <v/>
      </c>
    </row>
    <row r="301" spans="1:13" ht="17.25" customHeight="1" x14ac:dyDescent="0.25">
      <c r="A301">
        <v>299</v>
      </c>
      <c r="B301" s="8" t="s">
        <v>1723</v>
      </c>
      <c r="C301" s="8" t="s">
        <v>1751</v>
      </c>
      <c r="D301" s="8" t="s">
        <v>1753</v>
      </c>
      <c r="E301" s="73" t="str">
        <f>VLOOKUP(C301,'[1]Sheet (2)'!$A$3:$G$5503,1,0)</f>
        <v>7.522145291362712</v>
      </c>
      <c r="F301" s="8" t="s">
        <v>939</v>
      </c>
      <c r="G301" s="8" t="s">
        <v>1752</v>
      </c>
      <c r="H301" s="8"/>
      <c r="I301" s="76">
        <v>10</v>
      </c>
      <c r="J301" s="76">
        <f>VLOOKUP(C301,'[1]Sheet (2)'!$A$3:$H$5503,5,0)</f>
        <v>10</v>
      </c>
      <c r="K301" s="76">
        <f t="shared" si="9"/>
        <v>0</v>
      </c>
      <c r="L301" s="8" t="s">
        <v>1723</v>
      </c>
      <c r="M301" s="73" t="str">
        <f t="shared" si="8"/>
        <v/>
      </c>
    </row>
    <row r="302" spans="1:13" ht="17.25" customHeight="1" x14ac:dyDescent="0.25">
      <c r="A302">
        <v>300</v>
      </c>
      <c r="B302" s="8" t="s">
        <v>0</v>
      </c>
      <c r="C302" s="8" t="s">
        <v>1754</v>
      </c>
      <c r="D302" s="8" t="s">
        <v>60</v>
      </c>
      <c r="E302" s="73" t="str">
        <f>VLOOKUP(C302,'[1]Sheet (2)'!$A$3:$G$5503,1,0)</f>
        <v>7.E38017899F00138</v>
      </c>
      <c r="F302" s="8" t="s">
        <v>939</v>
      </c>
      <c r="G302" s="8" t="s">
        <v>1755</v>
      </c>
      <c r="H302" s="8"/>
      <c r="I302" s="76">
        <v>5.0199999999999996</v>
      </c>
      <c r="J302" s="76">
        <f>VLOOKUP(C302,'[1]Sheet (2)'!$A$3:$H$5503,5,0)</f>
        <v>5.0199999999999996</v>
      </c>
      <c r="K302" s="76">
        <f t="shared" si="9"/>
        <v>0</v>
      </c>
      <c r="L302" s="8" t="s">
        <v>0</v>
      </c>
      <c r="M302" s="73" t="str">
        <f t="shared" si="8"/>
        <v/>
      </c>
    </row>
    <row r="303" spans="1:13" ht="17.25" customHeight="1" x14ac:dyDescent="0.25">
      <c r="A303">
        <v>301</v>
      </c>
      <c r="B303" s="8" t="s">
        <v>0</v>
      </c>
      <c r="C303" s="8" t="s">
        <v>1756</v>
      </c>
      <c r="D303" s="8" t="s">
        <v>1758</v>
      </c>
      <c r="E303" s="73" t="str">
        <f>VLOOKUP(C303,'[1]Sheet (2)'!$A$3:$G$5503,1,0)</f>
        <v>7.G4001B599F20186</v>
      </c>
      <c r="F303" s="8" t="s">
        <v>939</v>
      </c>
      <c r="G303" s="8" t="s">
        <v>1757</v>
      </c>
      <c r="H303" s="8"/>
      <c r="I303" s="76">
        <v>5.04</v>
      </c>
      <c r="J303" s="76">
        <f>VLOOKUP(C303,'[1]Sheet (2)'!$A$3:$H$5503,5,0)</f>
        <v>5.04</v>
      </c>
      <c r="K303" s="76">
        <f t="shared" si="9"/>
        <v>0</v>
      </c>
      <c r="L303" s="8" t="s">
        <v>0</v>
      </c>
      <c r="M303" s="73" t="str">
        <f t="shared" si="8"/>
        <v/>
      </c>
    </row>
    <row r="304" spans="1:13" ht="17.25" customHeight="1" x14ac:dyDescent="0.25">
      <c r="A304">
        <v>302</v>
      </c>
      <c r="B304" s="8" t="s">
        <v>0</v>
      </c>
      <c r="C304" s="8" t="s">
        <v>1759</v>
      </c>
      <c r="D304" s="8" t="s">
        <v>44</v>
      </c>
      <c r="E304" s="73" t="str">
        <f>VLOOKUP(C304,'[1]Sheet (2)'!$A$3:$G$5503,1,0)</f>
        <v>7.E3801789985I932</v>
      </c>
      <c r="F304" s="8" t="s">
        <v>939</v>
      </c>
      <c r="G304" s="8" t="s">
        <v>1760</v>
      </c>
      <c r="H304" s="8"/>
      <c r="I304" s="76">
        <v>12.336</v>
      </c>
      <c r="J304" s="76">
        <f>VLOOKUP(C304,'[1]Sheet (2)'!$A$3:$H$5503,5,0)</f>
        <v>12.336</v>
      </c>
      <c r="K304" s="76">
        <f t="shared" si="9"/>
        <v>0</v>
      </c>
      <c r="L304" s="8" t="s">
        <v>0</v>
      </c>
      <c r="M304" s="73" t="str">
        <f t="shared" si="8"/>
        <v/>
      </c>
    </row>
    <row r="305" spans="1:13" ht="17.25" customHeight="1" x14ac:dyDescent="0.25">
      <c r="A305">
        <v>303</v>
      </c>
      <c r="B305" s="8" t="s">
        <v>0</v>
      </c>
      <c r="C305" s="8" t="s">
        <v>1761</v>
      </c>
      <c r="D305" s="8" t="s">
        <v>1763</v>
      </c>
      <c r="E305" s="73" t="str">
        <f>VLOOKUP(C305,'[1]Sheet (2)'!$A$3:$G$5503,1,0)</f>
        <v>7.92419B799D001A3</v>
      </c>
      <c r="F305" s="8" t="s">
        <v>939</v>
      </c>
      <c r="G305" s="8" t="s">
        <v>1762</v>
      </c>
      <c r="H305" s="8"/>
      <c r="I305" s="76">
        <v>23.52</v>
      </c>
      <c r="J305" s="76">
        <f>VLOOKUP(C305,'[1]Sheet (2)'!$A$3:$H$5503,5,0)</f>
        <v>23.52</v>
      </c>
      <c r="K305" s="76">
        <f t="shared" si="9"/>
        <v>0</v>
      </c>
      <c r="L305" s="8" t="s">
        <v>0</v>
      </c>
      <c r="M305" s="73" t="str">
        <f t="shared" si="8"/>
        <v/>
      </c>
    </row>
    <row r="306" spans="1:13" ht="17.25" customHeight="1" x14ac:dyDescent="0.25">
      <c r="A306">
        <v>304</v>
      </c>
      <c r="B306" s="8" t="s">
        <v>0</v>
      </c>
      <c r="C306" s="8" t="s">
        <v>1764</v>
      </c>
      <c r="D306" s="8" t="s">
        <v>43</v>
      </c>
      <c r="E306" s="73" t="str">
        <f>VLOOKUP(C306,'[1]Sheet (2)'!$A$3:$G$5503,1,0)</f>
        <v>7.E3801789985I933</v>
      </c>
      <c r="F306" s="8" t="s">
        <v>939</v>
      </c>
      <c r="G306" s="8" t="s">
        <v>1765</v>
      </c>
      <c r="H306" s="8"/>
      <c r="I306" s="76">
        <v>12.336</v>
      </c>
      <c r="J306" s="76">
        <f>VLOOKUP(C306,'[1]Sheet (2)'!$A$3:$H$5503,5,0)</f>
        <v>12.336</v>
      </c>
      <c r="K306" s="76">
        <f t="shared" si="9"/>
        <v>0</v>
      </c>
      <c r="L306" s="8" t="s">
        <v>0</v>
      </c>
      <c r="M306" s="73" t="str">
        <f t="shared" si="8"/>
        <v/>
      </c>
    </row>
    <row r="307" spans="1:13" ht="17.25" customHeight="1" x14ac:dyDescent="0.25">
      <c r="A307">
        <v>305</v>
      </c>
      <c r="B307" s="8" t="s">
        <v>0</v>
      </c>
      <c r="C307" s="8" t="s">
        <v>1766</v>
      </c>
      <c r="D307" s="8" t="s">
        <v>1768</v>
      </c>
      <c r="E307" s="73" t="str">
        <f>VLOOKUP(C307,'[1]Sheet (2)'!$A$3:$G$5503,1,0)</f>
        <v>7.E3801789985I935</v>
      </c>
      <c r="F307" s="8" t="s">
        <v>939</v>
      </c>
      <c r="G307" s="8" t="s">
        <v>1767</v>
      </c>
      <c r="H307" s="8"/>
      <c r="I307" s="76">
        <v>12.336</v>
      </c>
      <c r="J307" s="76">
        <f>VLOOKUP(C307,'[1]Sheet (2)'!$A$3:$H$5503,5,0)</f>
        <v>12.336</v>
      </c>
      <c r="K307" s="76">
        <f t="shared" si="9"/>
        <v>0</v>
      </c>
      <c r="L307" s="8" t="s">
        <v>0</v>
      </c>
      <c r="M307" s="73" t="str">
        <f t="shared" si="8"/>
        <v/>
      </c>
    </row>
    <row r="308" spans="1:13" ht="17.25" customHeight="1" x14ac:dyDescent="0.25">
      <c r="A308">
        <v>306</v>
      </c>
      <c r="B308" s="8" t="s">
        <v>0</v>
      </c>
      <c r="C308" s="8" t="s">
        <v>1769</v>
      </c>
      <c r="D308" s="8" t="s">
        <v>58</v>
      </c>
      <c r="E308" s="73" t="str">
        <f>VLOOKUP(C308,'[1]Sheet (2)'!$A$3:$G$5503,1,0)</f>
        <v>7.E3801789985I938</v>
      </c>
      <c r="F308" s="8" t="s">
        <v>939</v>
      </c>
      <c r="G308" s="8" t="s">
        <v>1770</v>
      </c>
      <c r="H308" s="8"/>
      <c r="I308" s="76">
        <v>12.336</v>
      </c>
      <c r="J308" s="76">
        <f>VLOOKUP(C308,'[1]Sheet (2)'!$A$3:$H$5503,5,0)</f>
        <v>12.336</v>
      </c>
      <c r="K308" s="76">
        <f t="shared" si="9"/>
        <v>0</v>
      </c>
      <c r="L308" s="8" t="s">
        <v>0</v>
      </c>
      <c r="M308" s="73" t="str">
        <f t="shared" si="8"/>
        <v/>
      </c>
    </row>
    <row r="309" spans="1:13" ht="17.25" customHeight="1" x14ac:dyDescent="0.25">
      <c r="A309">
        <v>307</v>
      </c>
      <c r="B309" s="8" t="s">
        <v>0</v>
      </c>
      <c r="C309" s="8" t="s">
        <v>1771</v>
      </c>
      <c r="D309" s="8" t="s">
        <v>1773</v>
      </c>
      <c r="E309" s="73" t="str">
        <f>VLOOKUP(C309,'[1]Sheet (2)'!$A$3:$G$5503,1,0)</f>
        <v>7.E38017899F00132</v>
      </c>
      <c r="F309" s="8" t="s">
        <v>939</v>
      </c>
      <c r="G309" s="8" t="s">
        <v>1772</v>
      </c>
      <c r="H309" s="8"/>
      <c r="I309" s="76">
        <v>4.93</v>
      </c>
      <c r="J309" s="76">
        <f>VLOOKUP(C309,'[1]Sheet (2)'!$A$3:$H$5503,5,0)</f>
        <v>4.93</v>
      </c>
      <c r="K309" s="76">
        <f t="shared" si="9"/>
        <v>0</v>
      </c>
      <c r="L309" s="8" t="s">
        <v>0</v>
      </c>
      <c r="M309" s="73" t="str">
        <f t="shared" si="8"/>
        <v/>
      </c>
    </row>
    <row r="310" spans="1:13" ht="17.25" customHeight="1" x14ac:dyDescent="0.25">
      <c r="A310">
        <v>308</v>
      </c>
      <c r="B310" s="8" t="s">
        <v>0</v>
      </c>
      <c r="C310" s="8" t="s">
        <v>1774</v>
      </c>
      <c r="D310" s="8" t="s">
        <v>1776</v>
      </c>
      <c r="E310" s="73" t="str">
        <f>VLOOKUP(C310,'[1]Sheet (2)'!$A$3:$G$5503,1,0)</f>
        <v>7.G4001B599330186</v>
      </c>
      <c r="F310" s="8" t="s">
        <v>939</v>
      </c>
      <c r="G310" s="8" t="s">
        <v>1775</v>
      </c>
      <c r="H310" s="8"/>
      <c r="I310" s="76">
        <v>4</v>
      </c>
      <c r="J310" s="76">
        <f>VLOOKUP(C310,'[1]Sheet (2)'!$A$3:$H$5503,5,0)</f>
        <v>4</v>
      </c>
      <c r="K310" s="76">
        <f t="shared" si="9"/>
        <v>0</v>
      </c>
      <c r="L310" s="8" t="s">
        <v>0</v>
      </c>
      <c r="M310" s="73" t="str">
        <f t="shared" si="8"/>
        <v/>
      </c>
    </row>
    <row r="311" spans="1:13" ht="17.25" customHeight="1" x14ac:dyDescent="0.25">
      <c r="A311">
        <v>309</v>
      </c>
      <c r="B311" s="8" t="s">
        <v>0</v>
      </c>
      <c r="C311" s="8" t="s">
        <v>1777</v>
      </c>
      <c r="D311" s="8" t="s">
        <v>1779</v>
      </c>
      <c r="E311" s="73" t="str">
        <f>VLOOKUP(C311,'[1]Sheet (2)'!$A$3:$G$5503,1,0)</f>
        <v>7.J43021099020199</v>
      </c>
      <c r="F311" s="8" t="s">
        <v>1051</v>
      </c>
      <c r="G311" s="8" t="s">
        <v>1778</v>
      </c>
      <c r="H311" s="8"/>
      <c r="I311" s="76">
        <v>25</v>
      </c>
      <c r="J311" s="76">
        <f>VLOOKUP(C311,'[1]Sheet (2)'!$A$3:$H$5503,5,0)</f>
        <v>25</v>
      </c>
      <c r="K311" s="76">
        <f t="shared" si="9"/>
        <v>0</v>
      </c>
      <c r="L311" s="8" t="s">
        <v>0</v>
      </c>
      <c r="M311" s="73" t="str">
        <f t="shared" si="8"/>
        <v/>
      </c>
    </row>
    <row r="312" spans="1:13" ht="17.25" customHeight="1" x14ac:dyDescent="0.25">
      <c r="A312">
        <v>310</v>
      </c>
      <c r="B312" s="8" t="s">
        <v>0</v>
      </c>
      <c r="C312" s="8" t="s">
        <v>1780</v>
      </c>
      <c r="D312" s="8" t="s">
        <v>1782</v>
      </c>
      <c r="E312" s="73" t="str">
        <f>VLOOKUP(C312,'[1]Sheet (2)'!$A$3:$G$5503,1,0)</f>
        <v>7.G4001B599C20188</v>
      </c>
      <c r="F312" s="8" t="s">
        <v>939</v>
      </c>
      <c r="G312" s="8" t="s">
        <v>1781</v>
      </c>
      <c r="H312" s="8"/>
      <c r="I312" s="76">
        <v>0.96</v>
      </c>
      <c r="J312" s="76">
        <f>VLOOKUP(C312,'[1]Sheet (2)'!$A$3:$H$5503,5,0)</f>
        <v>0.96</v>
      </c>
      <c r="K312" s="76">
        <f t="shared" si="9"/>
        <v>0</v>
      </c>
      <c r="L312" s="8" t="s">
        <v>0</v>
      </c>
      <c r="M312" s="73" t="str">
        <f t="shared" si="8"/>
        <v/>
      </c>
    </row>
    <row r="313" spans="1:13" ht="17.25" customHeight="1" x14ac:dyDescent="0.25">
      <c r="A313">
        <v>311</v>
      </c>
      <c r="B313" s="8" t="s">
        <v>0</v>
      </c>
      <c r="C313" s="8" t="s">
        <v>1783</v>
      </c>
      <c r="D313" s="8" t="s">
        <v>1785</v>
      </c>
      <c r="E313" s="73" t="str">
        <f>VLOOKUP(C313,'[1]Sheet (2)'!$A$3:$G$5503,1,0)</f>
        <v>7.G4001B599320199</v>
      </c>
      <c r="F313" s="8" t="s">
        <v>939</v>
      </c>
      <c r="G313" s="8" t="s">
        <v>1784</v>
      </c>
      <c r="H313" s="8"/>
      <c r="I313" s="76">
        <v>3.2</v>
      </c>
      <c r="J313" s="76">
        <f>VLOOKUP(C313,'[1]Sheet (2)'!$A$3:$H$5503,5,0)</f>
        <v>3.2</v>
      </c>
      <c r="K313" s="76">
        <f t="shared" si="9"/>
        <v>0</v>
      </c>
      <c r="L313" s="8" t="s">
        <v>0</v>
      </c>
      <c r="M313" s="73" t="str">
        <f t="shared" si="8"/>
        <v/>
      </c>
    </row>
    <row r="314" spans="1:13" ht="17.25" customHeight="1" x14ac:dyDescent="0.25">
      <c r="A314">
        <v>312</v>
      </c>
      <c r="B314" s="8" t="s">
        <v>0</v>
      </c>
      <c r="C314" s="8" t="s">
        <v>1786</v>
      </c>
      <c r="D314" s="8" t="s">
        <v>1788</v>
      </c>
      <c r="E314" s="73" t="str">
        <f>VLOOKUP(C314,'[1]Sheet (2)'!$A$3:$G$5503,1,0)</f>
        <v>7.D3701C299020124</v>
      </c>
      <c r="F314" s="8" t="s">
        <v>939</v>
      </c>
      <c r="G314" s="8" t="s">
        <v>1787</v>
      </c>
      <c r="H314" s="8"/>
      <c r="I314" s="76">
        <v>10</v>
      </c>
      <c r="J314" s="76">
        <f>VLOOKUP(C314,'[1]Sheet (2)'!$A$3:$H$5503,5,0)</f>
        <v>10</v>
      </c>
      <c r="K314" s="76">
        <f t="shared" si="9"/>
        <v>0</v>
      </c>
      <c r="L314" s="8" t="s">
        <v>0</v>
      </c>
      <c r="M314" s="73" t="str">
        <f t="shared" si="8"/>
        <v/>
      </c>
    </row>
    <row r="315" spans="1:13" ht="17.25" customHeight="1" x14ac:dyDescent="0.25">
      <c r="A315">
        <v>313</v>
      </c>
      <c r="B315" s="8" t="s">
        <v>0</v>
      </c>
      <c r="C315" s="8" t="s">
        <v>1789</v>
      </c>
      <c r="D315" s="8" t="s">
        <v>1791</v>
      </c>
      <c r="E315" s="73" t="str">
        <f>VLOOKUP(C315,'[1]Sheet (2)'!$A$3:$G$5503,1,0)</f>
        <v>7.D3701C2990201D1</v>
      </c>
      <c r="F315" s="8" t="s">
        <v>939</v>
      </c>
      <c r="G315" s="8" t="s">
        <v>1790</v>
      </c>
      <c r="H315" s="8"/>
      <c r="I315" s="76">
        <v>10</v>
      </c>
      <c r="J315" s="76">
        <f>VLOOKUP(C315,'[1]Sheet (2)'!$A$3:$H$5503,5,0)</f>
        <v>10</v>
      </c>
      <c r="K315" s="76">
        <f t="shared" si="9"/>
        <v>0</v>
      </c>
      <c r="L315" s="8" t="s">
        <v>0</v>
      </c>
      <c r="M315" s="73" t="str">
        <f t="shared" si="8"/>
        <v/>
      </c>
    </row>
    <row r="316" spans="1:13" ht="17.25" customHeight="1" x14ac:dyDescent="0.25">
      <c r="A316">
        <v>314</v>
      </c>
      <c r="B316" s="8" t="s">
        <v>0</v>
      </c>
      <c r="C316" s="8" t="s">
        <v>1792</v>
      </c>
      <c r="D316" s="8" t="s">
        <v>1794</v>
      </c>
      <c r="E316" s="73" t="str">
        <f>VLOOKUP(C316,'[1]Sheet (2)'!$A$3:$G$5503,1,0)</f>
        <v>7.D3701109902L125</v>
      </c>
      <c r="F316" s="8" t="s">
        <v>939</v>
      </c>
      <c r="G316" s="8" t="s">
        <v>1793</v>
      </c>
      <c r="H316" s="8"/>
      <c r="I316" s="76">
        <v>10</v>
      </c>
      <c r="J316" s="76">
        <f>VLOOKUP(C316,'[1]Sheet (2)'!$A$3:$H$5503,5,0)</f>
        <v>10</v>
      </c>
      <c r="K316" s="76">
        <f t="shared" si="9"/>
        <v>0</v>
      </c>
      <c r="L316" s="8" t="s">
        <v>0</v>
      </c>
      <c r="M316" s="73" t="str">
        <f t="shared" si="8"/>
        <v/>
      </c>
    </row>
    <row r="317" spans="1:13" ht="17.25" customHeight="1" x14ac:dyDescent="0.25">
      <c r="A317">
        <v>315</v>
      </c>
      <c r="B317" s="8" t="s">
        <v>0</v>
      </c>
      <c r="C317" s="8" t="s">
        <v>1795</v>
      </c>
      <c r="D317" s="8" t="s">
        <v>1797</v>
      </c>
      <c r="E317" s="73" t="str">
        <f>VLOOKUP(C317,'[1]Sheet (2)'!$A$3:$G$5503,1,0)</f>
        <v>7.E38017899F00135</v>
      </c>
      <c r="F317" s="8" t="s">
        <v>939</v>
      </c>
      <c r="G317" s="8" t="s">
        <v>1796</v>
      </c>
      <c r="H317" s="8"/>
      <c r="I317" s="76">
        <v>4.95</v>
      </c>
      <c r="J317" s="76">
        <f>VLOOKUP(C317,'[1]Sheet (2)'!$A$3:$H$5503,5,0)</f>
        <v>4.95</v>
      </c>
      <c r="K317" s="76">
        <f t="shared" si="9"/>
        <v>0</v>
      </c>
      <c r="L317" s="8" t="s">
        <v>0</v>
      </c>
      <c r="M317" s="73" t="str">
        <f t="shared" si="8"/>
        <v/>
      </c>
    </row>
    <row r="318" spans="1:13" ht="17.25" customHeight="1" x14ac:dyDescent="0.25">
      <c r="A318">
        <v>316</v>
      </c>
      <c r="B318" s="8" t="s">
        <v>0</v>
      </c>
      <c r="C318" s="8" t="s">
        <v>1798</v>
      </c>
      <c r="D318" s="8" t="s">
        <v>42</v>
      </c>
      <c r="E318" s="73" t="str">
        <f>VLOOKUP(C318,'[1]Sheet (2)'!$A$3:$G$5503,1,0)</f>
        <v>7.E3801789985K232</v>
      </c>
      <c r="F318" s="8" t="s">
        <v>939</v>
      </c>
      <c r="G318" s="8" t="s">
        <v>1799</v>
      </c>
      <c r="H318" s="8"/>
      <c r="I318" s="76">
        <v>12</v>
      </c>
      <c r="J318" s="76">
        <f>VLOOKUP(C318,'[1]Sheet (2)'!$A$3:$H$5503,5,0)</f>
        <v>12</v>
      </c>
      <c r="K318" s="76">
        <f t="shared" si="9"/>
        <v>0</v>
      </c>
      <c r="L318" s="8" t="s">
        <v>0</v>
      </c>
      <c r="M318" s="73" t="str">
        <f t="shared" si="8"/>
        <v/>
      </c>
    </row>
    <row r="319" spans="1:13" ht="17.25" customHeight="1" x14ac:dyDescent="0.25">
      <c r="A319">
        <v>317</v>
      </c>
      <c r="B319" s="8" t="s">
        <v>0</v>
      </c>
      <c r="C319" s="8" t="s">
        <v>1800</v>
      </c>
      <c r="D319" s="8" t="s">
        <v>1802</v>
      </c>
      <c r="E319" s="73" t="str">
        <f>VLOOKUP(C319,'[1]Sheet (2)'!$A$3:$G$5503,1,0)</f>
        <v>7.J43021099050199</v>
      </c>
      <c r="F319" s="8" t="s">
        <v>935</v>
      </c>
      <c r="G319" s="8" t="s">
        <v>1801</v>
      </c>
      <c r="H319" s="8"/>
      <c r="I319" s="76">
        <v>25</v>
      </c>
      <c r="J319" s="76">
        <f>VLOOKUP(C319,'[1]Sheet (2)'!$A$3:$H$5503,5,0)</f>
        <v>25</v>
      </c>
      <c r="K319" s="76">
        <f t="shared" si="9"/>
        <v>0</v>
      </c>
      <c r="L319" s="8" t="s">
        <v>0</v>
      </c>
      <c r="M319" s="73" t="str">
        <f t="shared" si="8"/>
        <v/>
      </c>
    </row>
    <row r="320" spans="1:13" ht="17.25" customHeight="1" x14ac:dyDescent="0.25">
      <c r="A320">
        <v>318</v>
      </c>
      <c r="B320" s="8" t="s">
        <v>0</v>
      </c>
      <c r="C320" s="8" t="s">
        <v>1803</v>
      </c>
      <c r="D320" s="8" t="s">
        <v>1805</v>
      </c>
      <c r="E320" s="73" t="str">
        <f>VLOOKUP(C320,'[1]Sheet (2)'!$A$3:$G$5503,1,0)</f>
        <v>7.G4001B599830199</v>
      </c>
      <c r="F320" s="8" t="s">
        <v>939</v>
      </c>
      <c r="G320" s="8" t="s">
        <v>1804</v>
      </c>
      <c r="H320" s="8"/>
      <c r="I320" s="76">
        <v>3.5</v>
      </c>
      <c r="J320" s="76">
        <f>VLOOKUP(C320,'[1]Sheet (2)'!$A$3:$H$5503,5,0)</f>
        <v>3.5</v>
      </c>
      <c r="K320" s="76">
        <f t="shared" si="9"/>
        <v>0</v>
      </c>
      <c r="L320" s="8" t="s">
        <v>0</v>
      </c>
      <c r="M320" s="73" t="str">
        <f t="shared" si="8"/>
        <v/>
      </c>
    </row>
    <row r="321" spans="1:13" ht="17.25" customHeight="1" x14ac:dyDescent="0.25">
      <c r="A321">
        <v>319</v>
      </c>
      <c r="B321" s="8" t="s">
        <v>0</v>
      </c>
      <c r="C321" s="8" t="s">
        <v>1806</v>
      </c>
      <c r="D321" s="8" t="s">
        <v>1808</v>
      </c>
      <c r="E321" s="73" t="str">
        <f>VLOOKUP(C321,'[1]Sheet (2)'!$A$3:$G$5503,1,0)</f>
        <v>7.92524B69947L2D9</v>
      </c>
      <c r="F321" s="8" t="s">
        <v>939</v>
      </c>
      <c r="G321" s="8" t="s">
        <v>1807</v>
      </c>
      <c r="H321" s="8"/>
      <c r="I321" s="76">
        <v>9.6</v>
      </c>
      <c r="J321" s="76">
        <f>VLOOKUP(C321,'[1]Sheet (2)'!$A$3:$H$5503,5,0)</f>
        <v>9.6</v>
      </c>
      <c r="K321" s="76">
        <f t="shared" si="9"/>
        <v>0</v>
      </c>
      <c r="L321" s="8" t="s">
        <v>0</v>
      </c>
      <c r="M321" s="73" t="str">
        <f t="shared" si="8"/>
        <v/>
      </c>
    </row>
    <row r="322" spans="1:13" ht="17.25" customHeight="1" x14ac:dyDescent="0.25">
      <c r="A322">
        <v>320</v>
      </c>
      <c r="B322" s="8" t="s">
        <v>0</v>
      </c>
      <c r="C322" s="8" t="s">
        <v>1809</v>
      </c>
      <c r="D322" s="8" t="s">
        <v>1811</v>
      </c>
      <c r="E322" s="73" t="str">
        <f>VLOOKUP(C322,'[1]Sheet (2)'!$A$3:$G$5503,1,0)</f>
        <v>7.92524B69947L399</v>
      </c>
      <c r="F322" s="8" t="s">
        <v>939</v>
      </c>
      <c r="G322" s="8" t="s">
        <v>1810</v>
      </c>
      <c r="H322" s="8"/>
      <c r="I322" s="76">
        <v>9.6</v>
      </c>
      <c r="J322" s="76">
        <f>VLOOKUP(C322,'[1]Sheet (2)'!$A$3:$H$5503,5,0)</f>
        <v>9.6</v>
      </c>
      <c r="K322" s="76">
        <f t="shared" si="9"/>
        <v>0</v>
      </c>
      <c r="L322" s="8" t="s">
        <v>0</v>
      </c>
      <c r="M322" s="73" t="str">
        <f t="shared" si="8"/>
        <v/>
      </c>
    </row>
    <row r="323" spans="1:13" ht="17.25" customHeight="1" x14ac:dyDescent="0.25">
      <c r="A323">
        <v>321</v>
      </c>
      <c r="B323" s="8" t="s">
        <v>0</v>
      </c>
      <c r="C323" s="8" t="s">
        <v>1812</v>
      </c>
      <c r="D323" s="8" t="s">
        <v>1814</v>
      </c>
      <c r="E323" s="73" t="str">
        <f>VLOOKUP(C323,'[1]Sheet (2)'!$A$3:$G$5503,1,0)</f>
        <v>7.92524B69947L408</v>
      </c>
      <c r="F323" s="8" t="s">
        <v>939</v>
      </c>
      <c r="G323" s="8" t="s">
        <v>1813</v>
      </c>
      <c r="H323" s="8"/>
      <c r="I323" s="76">
        <v>9.6</v>
      </c>
      <c r="J323" s="76">
        <f>VLOOKUP(C323,'[1]Sheet (2)'!$A$3:$H$5503,5,0)</f>
        <v>9.6</v>
      </c>
      <c r="K323" s="76">
        <f t="shared" si="9"/>
        <v>0</v>
      </c>
      <c r="L323" s="8" t="s">
        <v>0</v>
      </c>
      <c r="M323" s="73" t="str">
        <f t="shared" ref="M323:M380" si="10">IF(COUNTIF($C$3:$C$356, C323)&gt;1, "Trùng", "")</f>
        <v/>
      </c>
    </row>
    <row r="324" spans="1:13" ht="17.25" customHeight="1" x14ac:dyDescent="0.25">
      <c r="A324">
        <v>322</v>
      </c>
      <c r="B324" s="8" t="s">
        <v>0</v>
      </c>
      <c r="C324" s="8" t="s">
        <v>1815</v>
      </c>
      <c r="D324" s="8" t="s">
        <v>1817</v>
      </c>
      <c r="E324" s="73" t="str">
        <f>VLOOKUP(C324,'[1]Sheet (2)'!$A$3:$G$5503,1,0)</f>
        <v>7.92524B6996001E1</v>
      </c>
      <c r="F324" s="8" t="s">
        <v>939</v>
      </c>
      <c r="G324" s="8" t="s">
        <v>1816</v>
      </c>
      <c r="H324" s="8"/>
      <c r="I324" s="76">
        <v>2.4</v>
      </c>
      <c r="J324" s="76">
        <f>VLOOKUP(C324,'[1]Sheet (2)'!$A$3:$H$5503,5,0)</f>
        <v>2.4</v>
      </c>
      <c r="K324" s="76">
        <f t="shared" ref="K324:K361" si="11">I324-J324</f>
        <v>0</v>
      </c>
      <c r="L324" s="8" t="s">
        <v>0</v>
      </c>
      <c r="M324" s="73" t="str">
        <f t="shared" si="10"/>
        <v/>
      </c>
    </row>
    <row r="325" spans="1:13" ht="17.25" customHeight="1" x14ac:dyDescent="0.25">
      <c r="A325">
        <v>323</v>
      </c>
      <c r="B325" s="8" t="s">
        <v>0</v>
      </c>
      <c r="C325" s="8" t="s">
        <v>1818</v>
      </c>
      <c r="D325" s="8" t="s">
        <v>1820</v>
      </c>
      <c r="E325" s="73" t="str">
        <f>VLOOKUP(C325,'[1]Sheet (2)'!$A$3:$G$5503,1,0)</f>
        <v>7.92524B6993201E2</v>
      </c>
      <c r="F325" s="8" t="s">
        <v>939</v>
      </c>
      <c r="G325" s="8" t="s">
        <v>1819</v>
      </c>
      <c r="H325" s="8"/>
      <c r="I325" s="76">
        <v>4.8</v>
      </c>
      <c r="J325" s="76">
        <f>VLOOKUP(C325,'[1]Sheet (2)'!$A$3:$H$5503,5,0)</f>
        <v>4.8</v>
      </c>
      <c r="K325" s="76">
        <f t="shared" si="11"/>
        <v>0</v>
      </c>
      <c r="L325" s="8" t="s">
        <v>0</v>
      </c>
      <c r="M325" s="73" t="str">
        <f t="shared" si="10"/>
        <v/>
      </c>
    </row>
    <row r="326" spans="1:13" ht="17.25" customHeight="1" x14ac:dyDescent="0.25">
      <c r="A326">
        <v>324</v>
      </c>
      <c r="B326" s="8" t="s">
        <v>0</v>
      </c>
      <c r="C326" s="8" t="s">
        <v>1821</v>
      </c>
      <c r="D326" s="8" t="s">
        <v>1823</v>
      </c>
      <c r="E326" s="73" t="str">
        <f>VLOOKUP(C326,'[1]Sheet (2)'!$A$3:$G$5503,1,0)</f>
        <v>7.92514B6994701C9</v>
      </c>
      <c r="F326" s="8" t="s">
        <v>939</v>
      </c>
      <c r="G326" s="8" t="s">
        <v>1822</v>
      </c>
      <c r="H326" s="8"/>
      <c r="I326" s="76">
        <v>9.6</v>
      </c>
      <c r="J326" s="76">
        <f>VLOOKUP(C326,'[1]Sheet (2)'!$A$3:$H$5503,5,0)</f>
        <v>9.6</v>
      </c>
      <c r="K326" s="76">
        <f t="shared" si="11"/>
        <v>0</v>
      </c>
      <c r="L326" s="8" t="s">
        <v>0</v>
      </c>
      <c r="M326" s="73" t="str">
        <f t="shared" si="10"/>
        <v/>
      </c>
    </row>
    <row r="327" spans="1:13" ht="17.25" customHeight="1" x14ac:dyDescent="0.25">
      <c r="A327">
        <v>325</v>
      </c>
      <c r="B327" s="8" t="s">
        <v>0</v>
      </c>
      <c r="C327" s="8" t="s">
        <v>1824</v>
      </c>
      <c r="D327" s="8" t="s">
        <v>1826</v>
      </c>
      <c r="E327" s="73" t="str">
        <f>VLOOKUP(C327,'[1]Sheet (2)'!$A$3:$G$5503,1,0)</f>
        <v>7.92511B699D10189</v>
      </c>
      <c r="F327" s="8" t="s">
        <v>939</v>
      </c>
      <c r="G327" s="8" t="s">
        <v>1825</v>
      </c>
      <c r="H327" s="8"/>
      <c r="I327" s="76">
        <v>2.88</v>
      </c>
      <c r="J327" s="76">
        <f>VLOOKUP(C327,'[1]Sheet (2)'!$A$3:$H$5503,5,0)</f>
        <v>2.88</v>
      </c>
      <c r="K327" s="76">
        <f t="shared" si="11"/>
        <v>0</v>
      </c>
      <c r="L327" s="8" t="s">
        <v>0</v>
      </c>
      <c r="M327" s="73" t="str">
        <f t="shared" si="10"/>
        <v/>
      </c>
    </row>
    <row r="328" spans="1:13" ht="17.25" customHeight="1" x14ac:dyDescent="0.25">
      <c r="A328">
        <v>326</v>
      </c>
      <c r="B328" s="8" t="s">
        <v>0</v>
      </c>
      <c r="C328" s="8" t="s">
        <v>1827</v>
      </c>
      <c r="D328" s="8" t="s">
        <v>1829</v>
      </c>
      <c r="E328" s="73" t="str">
        <f>VLOOKUP(C328,'[1]Sheet (2)'!$A$3:$G$5503,1,0)</f>
        <v>7.92511B699B00189</v>
      </c>
      <c r="F328" s="8" t="s">
        <v>939</v>
      </c>
      <c r="G328" s="8" t="s">
        <v>1828</v>
      </c>
      <c r="H328" s="8"/>
      <c r="I328" s="76">
        <v>2.64</v>
      </c>
      <c r="J328" s="76">
        <f>VLOOKUP(C328,'[1]Sheet (2)'!$A$3:$H$5503,5,0)</f>
        <v>2.64</v>
      </c>
      <c r="K328" s="76">
        <f t="shared" si="11"/>
        <v>0</v>
      </c>
      <c r="L328" s="8" t="s">
        <v>0</v>
      </c>
      <c r="M328" s="73" t="str">
        <f t="shared" si="10"/>
        <v/>
      </c>
    </row>
    <row r="329" spans="1:13" ht="17.25" customHeight="1" x14ac:dyDescent="0.25">
      <c r="A329">
        <v>327</v>
      </c>
      <c r="B329" s="8" t="s">
        <v>0</v>
      </c>
      <c r="C329" s="8" t="s">
        <v>1830</v>
      </c>
      <c r="D329" s="8" t="s">
        <v>1832</v>
      </c>
      <c r="E329" s="73" t="str">
        <f>VLOOKUP(C329,'[1]Sheet (2)'!$A$3:$G$5503,1,0)</f>
        <v>7.92520B699430199</v>
      </c>
      <c r="F329" s="8" t="s">
        <v>939</v>
      </c>
      <c r="G329" s="8" t="s">
        <v>1831</v>
      </c>
      <c r="H329" s="8"/>
      <c r="I329" s="76">
        <v>2.4</v>
      </c>
      <c r="J329" s="76">
        <f>VLOOKUP(C329,'[1]Sheet (2)'!$A$3:$H$5503,5,0)</f>
        <v>2.4</v>
      </c>
      <c r="K329" s="76">
        <f t="shared" si="11"/>
        <v>0</v>
      </c>
      <c r="L329" s="8" t="s">
        <v>0</v>
      </c>
      <c r="M329" s="73" t="str">
        <f t="shared" si="10"/>
        <v/>
      </c>
    </row>
    <row r="330" spans="1:13" ht="17.25" customHeight="1" x14ac:dyDescent="0.25">
      <c r="A330">
        <v>328</v>
      </c>
      <c r="B330" s="8" t="s">
        <v>0</v>
      </c>
      <c r="C330" s="8" t="s">
        <v>1833</v>
      </c>
      <c r="D330" s="8" t="s">
        <v>1835</v>
      </c>
      <c r="E330" s="73" t="str">
        <f>VLOOKUP(C330,'[1]Sheet (2)'!$A$3:$G$5503,1,0)</f>
        <v>7.92522B699D70199</v>
      </c>
      <c r="F330" s="8" t="s">
        <v>939</v>
      </c>
      <c r="G330" s="8" t="s">
        <v>1834</v>
      </c>
      <c r="H330" s="8"/>
      <c r="I330" s="76">
        <v>3.12</v>
      </c>
      <c r="J330" s="76">
        <f>VLOOKUP(C330,'[1]Sheet (2)'!$A$3:$H$5503,5,0)</f>
        <v>3.12</v>
      </c>
      <c r="K330" s="76">
        <f t="shared" si="11"/>
        <v>0</v>
      </c>
      <c r="L330" s="8" t="s">
        <v>0</v>
      </c>
      <c r="M330" s="73" t="str">
        <f t="shared" si="10"/>
        <v/>
      </c>
    </row>
    <row r="331" spans="1:13" ht="17.25" customHeight="1" x14ac:dyDescent="0.25">
      <c r="A331">
        <v>329</v>
      </c>
      <c r="B331" s="8" t="s">
        <v>0</v>
      </c>
      <c r="C331" s="8" t="s">
        <v>1836</v>
      </c>
      <c r="D331" s="8" t="s">
        <v>1838</v>
      </c>
      <c r="E331" s="73" t="str">
        <f>VLOOKUP(C331,'[1]Sheet (2)'!$A$3:$G$5503,1,0)</f>
        <v>7.92419B7993701B9</v>
      </c>
      <c r="F331" s="8" t="s">
        <v>939</v>
      </c>
      <c r="G331" s="8" t="s">
        <v>1837</v>
      </c>
      <c r="H331" s="8"/>
      <c r="I331" s="76">
        <v>11.98</v>
      </c>
      <c r="J331" s="76">
        <f>VLOOKUP(C331,'[1]Sheet (2)'!$A$3:$H$5503,5,0)</f>
        <v>11.98</v>
      </c>
      <c r="K331" s="76">
        <f t="shared" si="11"/>
        <v>0</v>
      </c>
      <c r="L331" s="8" t="s">
        <v>0</v>
      </c>
      <c r="M331" s="73" t="str">
        <f t="shared" si="10"/>
        <v/>
      </c>
    </row>
    <row r="332" spans="1:13" ht="17.25" customHeight="1" x14ac:dyDescent="0.25">
      <c r="A332">
        <v>330</v>
      </c>
      <c r="B332" s="8" t="s">
        <v>0</v>
      </c>
      <c r="C332" s="8" t="s">
        <v>1839</v>
      </c>
      <c r="D332" s="8" t="s">
        <v>1841</v>
      </c>
      <c r="E332" s="73" t="str">
        <f>VLOOKUP(C332,'[1]Sheet (2)'!$A$3:$G$5503,1,0)</f>
        <v>7.92419B7993701B8</v>
      </c>
      <c r="F332" s="8" t="s">
        <v>939</v>
      </c>
      <c r="G332" s="8" t="s">
        <v>1840</v>
      </c>
      <c r="H332" s="8"/>
      <c r="I332" s="76">
        <v>3.66</v>
      </c>
      <c r="J332" s="76">
        <f>VLOOKUP(C332,'[1]Sheet (2)'!$A$3:$H$5503,5,0)</f>
        <v>3.66</v>
      </c>
      <c r="K332" s="76">
        <f t="shared" si="11"/>
        <v>0</v>
      </c>
      <c r="L332" s="8" t="s">
        <v>0</v>
      </c>
      <c r="M332" s="73" t="str">
        <f t="shared" si="10"/>
        <v/>
      </c>
    </row>
    <row r="333" spans="1:13" ht="17.25" customHeight="1" x14ac:dyDescent="0.25">
      <c r="A333">
        <v>331</v>
      </c>
      <c r="B333" s="8" t="s">
        <v>0</v>
      </c>
      <c r="C333" s="8" t="s">
        <v>1842</v>
      </c>
      <c r="D333" s="8" t="s">
        <v>1844</v>
      </c>
      <c r="E333" s="73" t="str">
        <f>VLOOKUP(C333,'[1]Sheet (2)'!$A$3:$G$5503,1,0)</f>
        <v>7.92512B699430190</v>
      </c>
      <c r="F333" s="8" t="s">
        <v>939</v>
      </c>
      <c r="G333" s="8" t="s">
        <v>1843</v>
      </c>
      <c r="H333" s="8"/>
      <c r="I333" s="76">
        <v>2.4</v>
      </c>
      <c r="J333" s="76">
        <f>VLOOKUP(C333,'[1]Sheet (2)'!$A$3:$H$5503,5,0)</f>
        <v>2.4</v>
      </c>
      <c r="K333" s="76">
        <f t="shared" si="11"/>
        <v>0</v>
      </c>
      <c r="L333" s="8" t="s">
        <v>0</v>
      </c>
      <c r="M333" s="73" t="str">
        <f t="shared" si="10"/>
        <v/>
      </c>
    </row>
    <row r="334" spans="1:13" ht="17.25" customHeight="1" x14ac:dyDescent="0.25">
      <c r="A334">
        <v>332</v>
      </c>
      <c r="B334" s="8" t="s">
        <v>0</v>
      </c>
      <c r="C334" s="8" t="s">
        <v>1845</v>
      </c>
      <c r="D334" s="8" t="s">
        <v>1847</v>
      </c>
      <c r="E334" s="73" t="str">
        <f>VLOOKUP(C334,'[1]Sheet (2)'!$A$3:$G$5503,1,0)</f>
        <v>7.92419B799C901A2</v>
      </c>
      <c r="F334" s="8" t="s">
        <v>939</v>
      </c>
      <c r="G334" s="8" t="s">
        <v>1846</v>
      </c>
      <c r="H334" s="8"/>
      <c r="I334" s="76">
        <v>14.58</v>
      </c>
      <c r="J334" s="76">
        <f>VLOOKUP(C334,'[1]Sheet (2)'!$A$3:$H$5503,5,0)</f>
        <v>14.58</v>
      </c>
      <c r="K334" s="76">
        <f t="shared" si="11"/>
        <v>0</v>
      </c>
      <c r="L334" s="8" t="s">
        <v>0</v>
      </c>
      <c r="M334" s="73" t="str">
        <f t="shared" si="10"/>
        <v/>
      </c>
    </row>
    <row r="335" spans="1:13" ht="17.25" customHeight="1" x14ac:dyDescent="0.25">
      <c r="A335">
        <v>333</v>
      </c>
      <c r="B335" s="8" t="s">
        <v>0</v>
      </c>
      <c r="C335" s="8" t="s">
        <v>1848</v>
      </c>
      <c r="D335" s="8" t="s">
        <v>1850</v>
      </c>
      <c r="E335" s="73" t="str">
        <f>VLOOKUP(C335,'[1]Sheet (2)'!$A$3:$G$5503,1,0)</f>
        <v>7.92419B7993701A1</v>
      </c>
      <c r="F335" s="8" t="s">
        <v>939</v>
      </c>
      <c r="G335" s="8" t="s">
        <v>1849</v>
      </c>
      <c r="H335" s="8"/>
      <c r="I335" s="76">
        <v>7.36</v>
      </c>
      <c r="J335" s="76">
        <f>VLOOKUP(C335,'[1]Sheet (2)'!$A$3:$H$5503,5,0)</f>
        <v>7.36</v>
      </c>
      <c r="K335" s="76">
        <f t="shared" si="11"/>
        <v>0</v>
      </c>
      <c r="L335" s="8" t="s">
        <v>0</v>
      </c>
      <c r="M335" s="73" t="str">
        <f t="shared" si="10"/>
        <v/>
      </c>
    </row>
    <row r="336" spans="1:13" ht="17.25" customHeight="1" x14ac:dyDescent="0.25">
      <c r="A336">
        <v>334</v>
      </c>
      <c r="B336" s="8" t="s">
        <v>0</v>
      </c>
      <c r="C336" s="8" t="s">
        <v>1851</v>
      </c>
      <c r="D336" s="8" t="s">
        <v>1853</v>
      </c>
      <c r="E336" s="73" t="str">
        <f>VLOOKUP(C336,'[1]Sheet (2)'!$A$3:$G$5503,1,0)</f>
        <v>7.92419B7993701A0</v>
      </c>
      <c r="F336" s="8" t="s">
        <v>939</v>
      </c>
      <c r="G336" s="8" t="s">
        <v>1852</v>
      </c>
      <c r="H336" s="8"/>
      <c r="I336" s="76">
        <v>7.39</v>
      </c>
      <c r="J336" s="76">
        <f>VLOOKUP(C336,'[1]Sheet (2)'!$A$3:$H$5503,5,0)</f>
        <v>7.39</v>
      </c>
      <c r="K336" s="76">
        <f t="shared" si="11"/>
        <v>0</v>
      </c>
      <c r="L336" s="8" t="s">
        <v>0</v>
      </c>
      <c r="M336" s="73" t="str">
        <f t="shared" si="10"/>
        <v/>
      </c>
    </row>
    <row r="337" spans="1:13" ht="17.25" customHeight="1" x14ac:dyDescent="0.25">
      <c r="A337">
        <v>335</v>
      </c>
      <c r="B337" s="8" t="s">
        <v>0</v>
      </c>
      <c r="C337" s="8" t="s">
        <v>1854</v>
      </c>
      <c r="D337" s="8" t="s">
        <v>1856</v>
      </c>
      <c r="E337" s="73" t="str">
        <f>VLOOKUP(C337,'[1]Sheet (2)'!$A$3:$G$5503,1,0)</f>
        <v>7.G4001B595430199</v>
      </c>
      <c r="F337" s="8" t="s">
        <v>939</v>
      </c>
      <c r="G337" s="8" t="s">
        <v>1855</v>
      </c>
      <c r="H337" s="8"/>
      <c r="I337" s="76">
        <v>1.2</v>
      </c>
      <c r="J337" s="76">
        <f>VLOOKUP(C337,'[1]Sheet (2)'!$A$3:$H$5503,5,0)</f>
        <v>1.2</v>
      </c>
      <c r="K337" s="76">
        <f t="shared" si="11"/>
        <v>0</v>
      </c>
      <c r="L337" s="8" t="s">
        <v>0</v>
      </c>
      <c r="M337" s="73" t="str">
        <f t="shared" si="10"/>
        <v/>
      </c>
    </row>
    <row r="338" spans="1:13" ht="17.25" customHeight="1" x14ac:dyDescent="0.25">
      <c r="A338">
        <v>336</v>
      </c>
      <c r="B338" s="8" t="s">
        <v>0</v>
      </c>
      <c r="C338" s="8" t="s">
        <v>1857</v>
      </c>
      <c r="D338" s="8" t="s">
        <v>1859</v>
      </c>
      <c r="E338" s="73" t="str">
        <f>VLOOKUP(C338,'[1]Sheet (2)'!$A$3:$G$5503,1,0)</f>
        <v>7.92413B699600199</v>
      </c>
      <c r="F338" s="8" t="s">
        <v>939</v>
      </c>
      <c r="G338" s="8" t="s">
        <v>1858</v>
      </c>
      <c r="H338" s="8"/>
      <c r="I338" s="76">
        <v>4.8</v>
      </c>
      <c r="J338" s="76">
        <f>VLOOKUP(C338,'[1]Sheet (2)'!$A$3:$H$5503,5,0)</f>
        <v>4.8</v>
      </c>
      <c r="K338" s="76">
        <f t="shared" si="11"/>
        <v>0</v>
      </c>
      <c r="L338" s="8" t="s">
        <v>0</v>
      </c>
      <c r="M338" s="73" t="str">
        <f t="shared" si="10"/>
        <v/>
      </c>
    </row>
    <row r="339" spans="1:13" ht="17.25" customHeight="1" x14ac:dyDescent="0.25">
      <c r="A339">
        <v>337</v>
      </c>
      <c r="B339" s="8" t="s">
        <v>0</v>
      </c>
      <c r="C339" s="8" t="s">
        <v>1860</v>
      </c>
      <c r="D339" s="8" t="s">
        <v>1862</v>
      </c>
      <c r="E339" s="73" t="str">
        <f>VLOOKUP(C339,'[1]Sheet (2)'!$A$3:$G$5503,1,0)</f>
        <v>7.92419B7998501A3</v>
      </c>
      <c r="F339" s="8" t="s">
        <v>939</v>
      </c>
      <c r="G339" s="8" t="s">
        <v>1861</v>
      </c>
      <c r="H339" s="8"/>
      <c r="I339" s="76">
        <v>14.183</v>
      </c>
      <c r="J339" s="76">
        <f>VLOOKUP(C339,'[1]Sheet (2)'!$A$3:$H$5503,5,0)</f>
        <v>14.183</v>
      </c>
      <c r="K339" s="76">
        <f t="shared" si="11"/>
        <v>0</v>
      </c>
      <c r="L339" s="8" t="s">
        <v>0</v>
      </c>
      <c r="M339" s="73" t="str">
        <f t="shared" si="10"/>
        <v/>
      </c>
    </row>
    <row r="340" spans="1:13" ht="17.25" customHeight="1" x14ac:dyDescent="0.25">
      <c r="A340">
        <v>338</v>
      </c>
      <c r="B340" s="8" t="s">
        <v>0</v>
      </c>
      <c r="C340" s="8" t="s">
        <v>1863</v>
      </c>
      <c r="D340" s="8" t="s">
        <v>1940</v>
      </c>
      <c r="E340" s="73" t="str">
        <f>VLOOKUP(C340,'[1]Sheet (2)'!$A$3:$G$5503,1,0)</f>
        <v>7.92413B699320191</v>
      </c>
      <c r="F340" s="8" t="s">
        <v>939</v>
      </c>
      <c r="G340" s="8" t="s">
        <v>1864</v>
      </c>
      <c r="H340" s="8"/>
      <c r="I340" s="76">
        <v>4.8</v>
      </c>
      <c r="J340" s="76">
        <f>VLOOKUP(C340,'[1]Sheet (2)'!$A$3:$H$5503,5,0)</f>
        <v>4.8</v>
      </c>
      <c r="K340" s="76">
        <f t="shared" si="11"/>
        <v>0</v>
      </c>
      <c r="L340" s="8" t="s">
        <v>0</v>
      </c>
      <c r="M340" s="73" t="str">
        <f t="shared" si="10"/>
        <v/>
      </c>
    </row>
    <row r="341" spans="1:13" ht="17.25" customHeight="1" x14ac:dyDescent="0.25">
      <c r="A341">
        <v>339</v>
      </c>
      <c r="B341" s="8" t="s">
        <v>0</v>
      </c>
      <c r="C341" s="8" t="s">
        <v>1865</v>
      </c>
      <c r="D341" s="8" t="s">
        <v>1939</v>
      </c>
      <c r="E341" s="73" t="str">
        <f>VLOOKUP(C341,'[1]Sheet (2)'!$A$3:$G$5503,1,0)</f>
        <v>7.92419B799D001B9</v>
      </c>
      <c r="F341" s="8" t="s">
        <v>939</v>
      </c>
      <c r="G341" s="8" t="s">
        <v>1866</v>
      </c>
      <c r="H341" s="8"/>
      <c r="I341" s="76">
        <v>23.64</v>
      </c>
      <c r="J341" s="76">
        <f>VLOOKUP(C341,'[1]Sheet (2)'!$A$3:$H$5503,5,0)</f>
        <v>23.64</v>
      </c>
      <c r="K341" s="76">
        <f t="shared" si="11"/>
        <v>0</v>
      </c>
      <c r="L341" s="8" t="s">
        <v>0</v>
      </c>
      <c r="M341" s="73" t="str">
        <f t="shared" si="10"/>
        <v/>
      </c>
    </row>
    <row r="342" spans="1:13" ht="17.25" customHeight="1" x14ac:dyDescent="0.25">
      <c r="A342">
        <v>340</v>
      </c>
      <c r="B342" s="8" t="s">
        <v>0</v>
      </c>
      <c r="C342" s="8" t="s">
        <v>1867</v>
      </c>
      <c r="D342" s="8" t="s">
        <v>1937</v>
      </c>
      <c r="E342" s="73" t="str">
        <f>VLOOKUP(C342,'[1]Sheet (2)'!$A$3:$G$5503,1,0)</f>
        <v>7.G4001B499C10183</v>
      </c>
      <c r="F342" s="8" t="s">
        <v>939</v>
      </c>
      <c r="G342" s="8" t="s">
        <v>1938</v>
      </c>
      <c r="H342" s="8"/>
      <c r="I342" s="76">
        <v>0.432</v>
      </c>
      <c r="J342" s="76">
        <f>VLOOKUP(C342,'[1]Sheet (2)'!$A$3:$H$5503,5,0)</f>
        <v>0.432</v>
      </c>
      <c r="K342" s="76">
        <f t="shared" si="11"/>
        <v>0</v>
      </c>
      <c r="L342" s="8" t="s">
        <v>0</v>
      </c>
      <c r="M342" s="73" t="str">
        <f t="shared" si="10"/>
        <v/>
      </c>
    </row>
    <row r="343" spans="1:13" ht="17.25" customHeight="1" x14ac:dyDescent="0.25">
      <c r="A343">
        <v>341</v>
      </c>
      <c r="B343" s="8" t="s">
        <v>0</v>
      </c>
      <c r="C343" s="8" t="s">
        <v>1868</v>
      </c>
      <c r="D343" s="8" t="s">
        <v>1869</v>
      </c>
      <c r="E343" s="73" t="str">
        <f>VLOOKUP(C343,'[1]Sheet (2)'!$A$3:$G$5503,1,0)</f>
        <v>7.G4001B499C00182</v>
      </c>
      <c r="F343" s="8" t="s">
        <v>939</v>
      </c>
      <c r="G343" s="8" t="s">
        <v>1869</v>
      </c>
      <c r="H343" s="8"/>
      <c r="I343" s="76">
        <v>0.36</v>
      </c>
      <c r="J343" s="103">
        <f>VLOOKUP(C343,'[1]Sheet (2)'!$A$3:$H$5503,5,0)</f>
        <v>0.36</v>
      </c>
      <c r="K343" s="76">
        <f t="shared" si="11"/>
        <v>0</v>
      </c>
      <c r="L343" s="8" t="s">
        <v>0</v>
      </c>
      <c r="M343" s="73" t="str">
        <f t="shared" si="10"/>
        <v/>
      </c>
    </row>
    <row r="344" spans="1:13" ht="17.25" customHeight="1" x14ac:dyDescent="0.25">
      <c r="A344">
        <v>342</v>
      </c>
      <c r="B344" s="8" t="s">
        <v>0</v>
      </c>
      <c r="C344" s="8" t="s">
        <v>1870</v>
      </c>
      <c r="D344" s="8" t="s">
        <v>1871</v>
      </c>
      <c r="E344" s="73" t="str">
        <f>VLOOKUP(C344,'[1]Sheet (2)'!$A$3:$G$5503,1,0)</f>
        <v>7.G4001B499C10184</v>
      </c>
      <c r="F344" s="8" t="s">
        <v>939</v>
      </c>
      <c r="G344" s="8" t="s">
        <v>1871</v>
      </c>
      <c r="H344" s="8"/>
      <c r="I344" s="76">
        <v>0.432</v>
      </c>
      <c r="J344" s="103">
        <f>VLOOKUP(C344,'[1]Sheet (2)'!$A$3:$H$5503,5,0)</f>
        <v>0.432</v>
      </c>
      <c r="K344" s="76">
        <f t="shared" si="11"/>
        <v>0</v>
      </c>
      <c r="L344" s="8" t="s">
        <v>0</v>
      </c>
      <c r="M344" s="73" t="str">
        <f t="shared" si="10"/>
        <v/>
      </c>
    </row>
    <row r="345" spans="1:13" ht="17.25" customHeight="1" x14ac:dyDescent="0.25">
      <c r="A345">
        <v>343</v>
      </c>
      <c r="B345" s="8" t="s">
        <v>0</v>
      </c>
      <c r="C345" s="8" t="s">
        <v>1872</v>
      </c>
      <c r="D345" s="8" t="s">
        <v>1874</v>
      </c>
      <c r="E345" s="73" t="str">
        <f>VLOOKUP(C345,'[1]Sheet (2)'!$A$3:$G$5503,1,0)</f>
        <v>7.I42021099050199</v>
      </c>
      <c r="F345" s="8" t="s">
        <v>1493</v>
      </c>
      <c r="G345" s="8" t="s">
        <v>1873</v>
      </c>
      <c r="H345" s="8"/>
      <c r="I345" s="76">
        <v>25</v>
      </c>
      <c r="J345" s="76">
        <f>VLOOKUP(C345,'[1]Sheet (2)'!$A$3:$H$5503,5,0)</f>
        <v>25</v>
      </c>
      <c r="K345" s="76">
        <f t="shared" si="11"/>
        <v>0</v>
      </c>
      <c r="L345" s="8" t="s">
        <v>0</v>
      </c>
      <c r="M345" s="73" t="str">
        <f t="shared" si="10"/>
        <v/>
      </c>
    </row>
    <row r="346" spans="1:13" ht="17.25" customHeight="1" x14ac:dyDescent="0.25">
      <c r="A346">
        <v>344</v>
      </c>
      <c r="B346" s="8" t="s">
        <v>0</v>
      </c>
      <c r="C346" s="8" t="s">
        <v>1875</v>
      </c>
      <c r="D346" s="8" t="s">
        <v>1936</v>
      </c>
      <c r="E346" s="73" t="str">
        <f>VLOOKUP(C346,'[1]Sheet (2)'!$A$3:$G$5503,1,0)</f>
        <v>7.92514B6994701D8</v>
      </c>
      <c r="F346" s="8" t="s">
        <v>939</v>
      </c>
      <c r="G346" s="8" t="s">
        <v>1876</v>
      </c>
      <c r="H346" s="8"/>
      <c r="I346" s="76">
        <v>9.6</v>
      </c>
      <c r="J346" s="76">
        <f>VLOOKUP(C346,'[1]Sheet (2)'!$A$3:$H$5503,5,0)</f>
        <v>9.6</v>
      </c>
      <c r="K346" s="76">
        <f t="shared" si="11"/>
        <v>0</v>
      </c>
      <c r="L346" s="8" t="s">
        <v>0</v>
      </c>
      <c r="M346" s="73" t="str">
        <f t="shared" si="10"/>
        <v/>
      </c>
    </row>
    <row r="347" spans="1:13" ht="17.25" customHeight="1" x14ac:dyDescent="0.25">
      <c r="A347">
        <v>345</v>
      </c>
      <c r="B347" s="8" t="s">
        <v>0</v>
      </c>
      <c r="C347" s="8" t="s">
        <v>1877</v>
      </c>
      <c r="D347" s="8" t="s">
        <v>1879</v>
      </c>
      <c r="E347" s="73" t="str">
        <f>VLOOKUP(C347,'[1]Sheet (2)'!$A$3:$G$5503,1,0)</f>
        <v>7.D370110990399C5</v>
      </c>
      <c r="F347" s="8" t="s">
        <v>939</v>
      </c>
      <c r="G347" s="8" t="s">
        <v>1878</v>
      </c>
      <c r="H347" s="8"/>
      <c r="I347" s="76">
        <v>10</v>
      </c>
      <c r="J347" s="76">
        <f>VLOOKUP(C347,'[1]Sheet (2)'!$A$3:$H$5503,5,0)</f>
        <v>10</v>
      </c>
      <c r="K347" s="76">
        <f t="shared" si="11"/>
        <v>0</v>
      </c>
      <c r="L347" s="8" t="s">
        <v>0</v>
      </c>
      <c r="M347" s="73" t="str">
        <f t="shared" si="10"/>
        <v/>
      </c>
    </row>
    <row r="348" spans="1:13" ht="17.25" customHeight="1" x14ac:dyDescent="0.25">
      <c r="A348">
        <v>346</v>
      </c>
      <c r="B348" s="8" t="s">
        <v>0</v>
      </c>
      <c r="C348" s="8" t="s">
        <v>1880</v>
      </c>
      <c r="D348" s="8" t="s">
        <v>1882</v>
      </c>
      <c r="E348" s="73" t="str">
        <f>VLOOKUP(C348,'[1]Sheet (2)'!$A$3:$G$5503,1,0)</f>
        <v>7.92419B7998501A2</v>
      </c>
      <c r="F348" s="8" t="s">
        <v>939</v>
      </c>
      <c r="G348" s="8" t="s">
        <v>1881</v>
      </c>
      <c r="H348" s="8"/>
      <c r="I348" s="76">
        <v>14.423</v>
      </c>
      <c r="J348" s="76">
        <f>VLOOKUP(C348,'[1]Sheet (2)'!$A$3:$H$5503,5,0)</f>
        <v>14.423</v>
      </c>
      <c r="K348" s="76">
        <f t="shared" si="11"/>
        <v>0</v>
      </c>
      <c r="L348" s="8" t="s">
        <v>0</v>
      </c>
      <c r="M348" s="73" t="str">
        <f t="shared" si="10"/>
        <v/>
      </c>
    </row>
    <row r="349" spans="1:13" ht="17.25" customHeight="1" x14ac:dyDescent="0.25">
      <c r="A349">
        <v>347</v>
      </c>
      <c r="B349" s="8" t="s">
        <v>0</v>
      </c>
      <c r="C349" s="8" t="s">
        <v>1883</v>
      </c>
      <c r="D349" s="8" t="s">
        <v>1885</v>
      </c>
      <c r="E349" s="73" t="str">
        <f>VLOOKUP(C349,'[1]Sheet (2)'!$A$3:$G$5503,1,0)</f>
        <v>7.1340551233401</v>
      </c>
      <c r="F349" s="8" t="s">
        <v>935</v>
      </c>
      <c r="G349" s="8" t="s">
        <v>1884</v>
      </c>
      <c r="H349" s="8"/>
      <c r="I349" s="76">
        <v>18</v>
      </c>
      <c r="J349" s="76">
        <f>VLOOKUP(C349,'[1]Sheet (2)'!$A$3:$H$5503,5,0)</f>
        <v>18</v>
      </c>
      <c r="K349" s="76">
        <f t="shared" si="11"/>
        <v>0</v>
      </c>
      <c r="L349" s="8" t="s">
        <v>0</v>
      </c>
      <c r="M349" s="73" t="str">
        <f t="shared" si="10"/>
        <v/>
      </c>
    </row>
    <row r="350" spans="1:13" ht="17.25" customHeight="1" x14ac:dyDescent="0.25">
      <c r="A350">
        <v>348</v>
      </c>
      <c r="B350" s="8" t="s">
        <v>0</v>
      </c>
      <c r="C350" s="8" t="s">
        <v>1886</v>
      </c>
      <c r="D350" s="8" t="s">
        <v>1888</v>
      </c>
      <c r="E350" s="73" t="str">
        <f>VLOOKUP(C350,'[1]Sheet (2)'!$A$3:$G$5503,1,0)</f>
        <v>7.G4001B599D601C3</v>
      </c>
      <c r="F350" s="8" t="s">
        <v>939</v>
      </c>
      <c r="G350" s="8" t="s">
        <v>1887</v>
      </c>
      <c r="H350" s="8"/>
      <c r="I350" s="76">
        <v>5.04</v>
      </c>
      <c r="J350" s="76">
        <f>VLOOKUP(C350,'[1]Sheet (2)'!$A$3:$H$5503,5,0)</f>
        <v>5.04</v>
      </c>
      <c r="K350" s="76">
        <f t="shared" si="11"/>
        <v>0</v>
      </c>
      <c r="L350" s="8" t="s">
        <v>0</v>
      </c>
      <c r="M350" s="73" t="str">
        <f t="shared" si="10"/>
        <v/>
      </c>
    </row>
    <row r="351" spans="1:13" ht="17.25" customHeight="1" x14ac:dyDescent="0.25">
      <c r="A351">
        <v>349</v>
      </c>
      <c r="B351" s="8" t="s">
        <v>0</v>
      </c>
      <c r="C351" s="8" t="s">
        <v>1889</v>
      </c>
      <c r="D351" s="8" t="s">
        <v>1891</v>
      </c>
      <c r="E351" s="73" t="str">
        <f>VLOOKUP(C351,'[1]Sheet (2)'!$A$3:$G$5503,1,0)</f>
        <v>7.92514B699320199</v>
      </c>
      <c r="F351" s="8" t="s">
        <v>939</v>
      </c>
      <c r="G351" s="8" t="s">
        <v>1890</v>
      </c>
      <c r="H351" s="8"/>
      <c r="I351" s="76">
        <v>4.8</v>
      </c>
      <c r="J351" s="76">
        <f>VLOOKUP(C351,'[1]Sheet (2)'!$A$3:$H$5503,5,0)</f>
        <v>4.8</v>
      </c>
      <c r="K351" s="76">
        <f t="shared" si="11"/>
        <v>0</v>
      </c>
      <c r="L351" s="8" t="s">
        <v>0</v>
      </c>
      <c r="M351" s="73" t="str">
        <f t="shared" si="10"/>
        <v/>
      </c>
    </row>
    <row r="352" spans="1:13" ht="17.25" customHeight="1" x14ac:dyDescent="0.25">
      <c r="A352">
        <v>350</v>
      </c>
      <c r="B352" s="8" t="s">
        <v>0</v>
      </c>
      <c r="C352" s="8" t="s">
        <v>1892</v>
      </c>
      <c r="D352" s="8" t="s">
        <v>44</v>
      </c>
      <c r="E352" s="73" t="str">
        <f>VLOOKUP(C352,'[1]Sheet (2)'!$A$3:$G$5503,1,0)</f>
        <v>7.E3803789985I932</v>
      </c>
      <c r="F352" s="8" t="s">
        <v>939</v>
      </c>
      <c r="G352" s="8" t="s">
        <v>1893</v>
      </c>
      <c r="H352" s="8"/>
      <c r="I352" s="76">
        <v>12.34</v>
      </c>
      <c r="J352" s="76">
        <f>VLOOKUP(C352,'[1]Sheet (2)'!$A$3:$H$5503,5,0)</f>
        <v>12.34</v>
      </c>
      <c r="K352" s="76">
        <f t="shared" si="11"/>
        <v>0</v>
      </c>
      <c r="L352" s="8" t="s">
        <v>0</v>
      </c>
      <c r="M352" s="73" t="str">
        <f t="shared" si="10"/>
        <v/>
      </c>
    </row>
    <row r="353" spans="1:13" ht="17.25" customHeight="1" x14ac:dyDescent="0.25">
      <c r="A353">
        <v>351</v>
      </c>
      <c r="B353" s="8" t="s">
        <v>0</v>
      </c>
      <c r="C353" s="8" t="s">
        <v>1894</v>
      </c>
      <c r="D353" s="8" t="s">
        <v>1896</v>
      </c>
      <c r="E353" s="73" t="str">
        <f>VLOOKUP(C353,'[1]Sheet (2)'!$A$3:$G$5503,1,0)</f>
        <v>7.G4001B599030187</v>
      </c>
      <c r="F353" s="8" t="s">
        <v>939</v>
      </c>
      <c r="G353" s="8" t="s">
        <v>1895</v>
      </c>
      <c r="H353" s="8"/>
      <c r="I353" s="76">
        <v>5</v>
      </c>
      <c r="J353" s="76">
        <f>VLOOKUP(C353,'[1]Sheet (2)'!$A$3:$H$5503,5,0)</f>
        <v>5</v>
      </c>
      <c r="K353" s="76">
        <f t="shared" si="11"/>
        <v>0</v>
      </c>
      <c r="L353" s="8" t="s">
        <v>0</v>
      </c>
      <c r="M353" s="73" t="str">
        <f t="shared" si="10"/>
        <v/>
      </c>
    </row>
    <row r="354" spans="1:13" ht="17.25" customHeight="1" x14ac:dyDescent="0.25">
      <c r="A354">
        <v>352</v>
      </c>
      <c r="B354" s="8" t="s">
        <v>0</v>
      </c>
      <c r="C354" s="8" t="s">
        <v>1897</v>
      </c>
      <c r="D354" s="8" t="s">
        <v>1899</v>
      </c>
      <c r="E354" s="73" t="str">
        <f>VLOOKUP(C354,'[1]Sheet (2)'!$A$3:$G$5503,1,0)</f>
        <v>7.92514B6994701B7</v>
      </c>
      <c r="F354" s="8" t="s">
        <v>939</v>
      </c>
      <c r="G354" s="8" t="s">
        <v>1898</v>
      </c>
      <c r="H354" s="8"/>
      <c r="I354" s="76">
        <v>9.6</v>
      </c>
      <c r="J354" s="76">
        <f>VLOOKUP(C354,'[1]Sheet (2)'!$A$3:$H$5503,5,0)</f>
        <v>9.6</v>
      </c>
      <c r="K354" s="76">
        <f t="shared" si="11"/>
        <v>0</v>
      </c>
      <c r="L354" s="8" t="s">
        <v>0</v>
      </c>
      <c r="M354" s="73" t="str">
        <f t="shared" si="10"/>
        <v/>
      </c>
    </row>
    <row r="355" spans="1:13" ht="17.25" customHeight="1" x14ac:dyDescent="0.25">
      <c r="A355">
        <v>353</v>
      </c>
      <c r="B355" s="8" t="s">
        <v>0</v>
      </c>
      <c r="C355" s="8" t="s">
        <v>1900</v>
      </c>
      <c r="D355" s="8" t="s">
        <v>1902</v>
      </c>
      <c r="E355" s="73" t="str">
        <f>VLOOKUP(C355,'[1]Sheet (2)'!$A$3:$G$5503,1,0)</f>
        <v>7.92419B7993701A2</v>
      </c>
      <c r="F355" s="8" t="s">
        <v>939</v>
      </c>
      <c r="G355" s="8" t="s">
        <v>1901</v>
      </c>
      <c r="H355" s="8"/>
      <c r="I355" s="76">
        <v>9.0299999999999994</v>
      </c>
      <c r="J355" s="76">
        <f>VLOOKUP(C355,'[1]Sheet (2)'!$A$3:$H$5503,5,0)</f>
        <v>9.0299999999999994</v>
      </c>
      <c r="K355" s="76">
        <f t="shared" si="11"/>
        <v>0</v>
      </c>
      <c r="L355" s="8" t="s">
        <v>0</v>
      </c>
      <c r="M355" s="73" t="str">
        <f t="shared" si="10"/>
        <v/>
      </c>
    </row>
    <row r="356" spans="1:13" ht="17.25" customHeight="1" x14ac:dyDescent="0.25">
      <c r="A356">
        <v>354</v>
      </c>
      <c r="B356" s="8" t="s">
        <v>0</v>
      </c>
      <c r="C356" s="8" t="s">
        <v>1903</v>
      </c>
      <c r="D356" s="8" t="s">
        <v>1905</v>
      </c>
      <c r="E356" s="73" t="str">
        <f>VLOOKUP(C356,'[1]Sheet (2)'!$A$3:$G$5503,1,0)</f>
        <v>7.92521B699320108</v>
      </c>
      <c r="F356" s="8" t="s">
        <v>939</v>
      </c>
      <c r="G356" s="8" t="s">
        <v>1904</v>
      </c>
      <c r="H356" s="8"/>
      <c r="I356" s="76">
        <v>4.8</v>
      </c>
      <c r="J356" s="76">
        <f>VLOOKUP(C356,'[1]Sheet (2)'!$A$3:$H$5503,5,0)</f>
        <v>4.8</v>
      </c>
      <c r="K356" s="76">
        <f t="shared" si="11"/>
        <v>0</v>
      </c>
      <c r="L356" s="8" t="s">
        <v>0</v>
      </c>
      <c r="M356" s="73" t="str">
        <f t="shared" si="10"/>
        <v/>
      </c>
    </row>
    <row r="357" spans="1:13" ht="17.25" customHeight="1" x14ac:dyDescent="0.25">
      <c r="A357">
        <v>355</v>
      </c>
      <c r="B357" s="8" t="s">
        <v>0</v>
      </c>
      <c r="C357" s="8" t="s">
        <v>1919</v>
      </c>
      <c r="D357" s="8" t="s">
        <v>1935</v>
      </c>
      <c r="E357" s="73" t="str">
        <f>VLOOKUP(C357,'[1]Sheet (2)'!$A$3:$G$5503,1,0)</f>
        <v>7.G4001B499C10199</v>
      </c>
      <c r="F357" s="8" t="s">
        <v>939</v>
      </c>
      <c r="G357" s="8" t="s">
        <v>1920</v>
      </c>
      <c r="H357" s="8"/>
      <c r="I357" s="76">
        <v>0.432</v>
      </c>
      <c r="J357" s="76">
        <f>VLOOKUP(C357,'[1]Sheet (2)'!$A$3:$H$5503,5,0)</f>
        <v>0.432</v>
      </c>
      <c r="K357" s="76">
        <f t="shared" si="11"/>
        <v>0</v>
      </c>
      <c r="L357" s="8" t="s">
        <v>0</v>
      </c>
      <c r="M357" s="73" t="str">
        <f t="shared" si="10"/>
        <v/>
      </c>
    </row>
    <row r="358" spans="1:13" ht="17.25" customHeight="1" x14ac:dyDescent="0.25">
      <c r="A358">
        <v>356</v>
      </c>
      <c r="B358" s="8" t="s">
        <v>0</v>
      </c>
      <c r="C358" s="8" t="s">
        <v>1921</v>
      </c>
      <c r="D358" s="8" t="s">
        <v>1934</v>
      </c>
      <c r="E358" s="73" t="str">
        <f>VLOOKUP(C358,'[1]Sheet (2)'!$A$3:$G$5503,1,0)</f>
        <v>7.92524B69947L3E0</v>
      </c>
      <c r="F358" s="8" t="s">
        <v>939</v>
      </c>
      <c r="G358" s="8" t="s">
        <v>1922</v>
      </c>
      <c r="H358" s="8"/>
      <c r="I358" s="76">
        <v>9.6</v>
      </c>
      <c r="J358" s="76">
        <f>VLOOKUP(C358,'[1]Sheet (2)'!$A$3:$H$5503,5,0)</f>
        <v>9.6</v>
      </c>
      <c r="K358" s="76">
        <f t="shared" si="11"/>
        <v>0</v>
      </c>
      <c r="L358" s="8" t="s">
        <v>0</v>
      </c>
      <c r="M358" s="73" t="str">
        <f t="shared" si="10"/>
        <v/>
      </c>
    </row>
    <row r="359" spans="1:13" ht="17.25" customHeight="1" x14ac:dyDescent="0.25">
      <c r="A359">
        <v>357</v>
      </c>
      <c r="B359" s="8" t="s">
        <v>0</v>
      </c>
      <c r="C359" s="8" t="s">
        <v>1923</v>
      </c>
      <c r="D359" s="8" t="s">
        <v>1924</v>
      </c>
      <c r="E359" s="73" t="str">
        <f>VLOOKUP(C359,'[1]Sheet (2)'!$A$3:$G$5503,1,0)</f>
        <v>7.131087031700H10</v>
      </c>
      <c r="F359" s="8" t="s">
        <v>1020</v>
      </c>
      <c r="G359" s="8" t="s">
        <v>1927</v>
      </c>
      <c r="H359" s="8"/>
      <c r="I359" s="76">
        <v>0.91</v>
      </c>
      <c r="J359" s="76">
        <f>VLOOKUP(C359,'[1]Sheet (2)'!$A$3:$H$5503,5,0)</f>
        <v>0.91</v>
      </c>
      <c r="K359" s="76">
        <f t="shared" si="11"/>
        <v>0</v>
      </c>
      <c r="L359" s="8" t="s">
        <v>0</v>
      </c>
      <c r="M359" s="73" t="str">
        <f t="shared" si="10"/>
        <v/>
      </c>
    </row>
    <row r="360" spans="1:13" ht="17.25" customHeight="1" x14ac:dyDescent="0.25">
      <c r="A360">
        <v>358</v>
      </c>
      <c r="B360" s="8" t="s">
        <v>0</v>
      </c>
      <c r="C360" s="8" t="s">
        <v>1925</v>
      </c>
      <c r="D360" s="8" t="s">
        <v>1926</v>
      </c>
      <c r="E360" s="73" t="str">
        <f>VLOOKUP(C360,'[1]Sheet (2)'!$A$3:$G$5503,1,0)</f>
        <v>7.45105005170000</v>
      </c>
      <c r="F360" s="8" t="s">
        <v>1020</v>
      </c>
      <c r="G360" s="8" t="s">
        <v>1928</v>
      </c>
      <c r="H360" s="8"/>
      <c r="I360" s="76">
        <v>1.82</v>
      </c>
      <c r="J360" s="76">
        <f>VLOOKUP(C360,'[1]Sheet (2)'!$A$3:$H$5503,5,0)</f>
        <v>1.82</v>
      </c>
      <c r="K360" s="76">
        <f t="shared" si="11"/>
        <v>0</v>
      </c>
      <c r="L360" s="8" t="s">
        <v>0</v>
      </c>
      <c r="M360" s="73" t="str">
        <f t="shared" si="10"/>
        <v/>
      </c>
    </row>
    <row r="361" spans="1:13" ht="17.25" customHeight="1" x14ac:dyDescent="0.25">
      <c r="A361">
        <v>359</v>
      </c>
      <c r="B361" s="8" t="s">
        <v>931</v>
      </c>
      <c r="C361" s="8" t="s">
        <v>1948</v>
      </c>
      <c r="D361" s="8" t="s">
        <v>1949</v>
      </c>
      <c r="E361" s="73" t="str">
        <f>VLOOKUP(C361,'[1]Sheet (2)'!$A$3:$G$5503,1,0)</f>
        <v>7.704D63R63717001J</v>
      </c>
      <c r="F361" s="8" t="s">
        <v>939</v>
      </c>
      <c r="G361" s="8" t="s">
        <v>1950</v>
      </c>
      <c r="H361" s="8"/>
      <c r="I361" s="76">
        <v>10.199999999999999</v>
      </c>
      <c r="J361" s="76">
        <f>VLOOKUP(C361,'[1]Sheet (2)'!$A$3:$H$5503,5,0)</f>
        <v>10.199999999999999</v>
      </c>
      <c r="K361" s="76">
        <f t="shared" si="11"/>
        <v>0</v>
      </c>
      <c r="L361" s="8" t="s">
        <v>931</v>
      </c>
      <c r="M361" s="73" t="str">
        <f t="shared" si="10"/>
        <v/>
      </c>
    </row>
    <row r="362" spans="1:13" ht="17.25" customHeight="1" x14ac:dyDescent="0.25">
      <c r="A362">
        <v>360</v>
      </c>
      <c r="B362" s="8" t="s">
        <v>931</v>
      </c>
      <c r="C362" s="8" t="s">
        <v>16170</v>
      </c>
      <c r="D362" s="8"/>
      <c r="E362" s="73"/>
      <c r="F362" s="8"/>
      <c r="G362" s="8"/>
      <c r="H362" s="8"/>
      <c r="I362" s="76"/>
      <c r="J362" s="76"/>
      <c r="K362" s="76"/>
      <c r="L362" s="8" t="s">
        <v>931</v>
      </c>
      <c r="M362" s="73" t="str">
        <f t="shared" si="10"/>
        <v/>
      </c>
    </row>
    <row r="363" spans="1:13" ht="17.25" customHeight="1" x14ac:dyDescent="0.25">
      <c r="A363">
        <v>361</v>
      </c>
      <c r="B363" s="8" t="s">
        <v>931</v>
      </c>
      <c r="C363" s="8" t="s">
        <v>15774</v>
      </c>
      <c r="D363" s="8" t="s">
        <v>15775</v>
      </c>
      <c r="E363" s="73" t="str">
        <f>VLOOKUP(C363,'[1]Sheet (2)'!$A$3:$G$5503,1,0)</f>
        <v>7.101332761301N90TD</v>
      </c>
      <c r="F363" s="8" t="s">
        <v>939</v>
      </c>
      <c r="G363" s="8" t="s">
        <v>15776</v>
      </c>
      <c r="H363" s="8"/>
      <c r="I363" s="76">
        <v>17</v>
      </c>
      <c r="J363" s="76">
        <f>VLOOKUP(C363,'[1]Sheet (2)'!$A$3:$H$5503,5,0)</f>
        <v>17</v>
      </c>
      <c r="K363" s="76"/>
      <c r="L363" s="8" t="s">
        <v>931</v>
      </c>
      <c r="M363" s="73" t="str">
        <f t="shared" si="10"/>
        <v/>
      </c>
    </row>
    <row r="364" spans="1:13" ht="17.25" customHeight="1" x14ac:dyDescent="0.25">
      <c r="A364">
        <v>362</v>
      </c>
      <c r="B364" s="77" t="s">
        <v>0</v>
      </c>
      <c r="C364" s="77" t="s">
        <v>16171</v>
      </c>
      <c r="D364" s="77" t="s">
        <v>16172</v>
      </c>
      <c r="E364" s="112" t="e">
        <f>VLOOKUP(C364,'[1]Sheet (2)'!$A$3:$G$5503,1,0)</f>
        <v>#N/A</v>
      </c>
      <c r="F364" s="77" t="s">
        <v>16181</v>
      </c>
      <c r="G364" s="77" t="s">
        <v>16173</v>
      </c>
      <c r="H364" s="77"/>
      <c r="I364" s="103">
        <v>0</v>
      </c>
      <c r="J364" s="103" t="e">
        <f>VLOOKUP(C364,'[1]Sheet (2)'!$A$3:$H$5503,5,0)</f>
        <v>#N/A</v>
      </c>
      <c r="K364" s="103"/>
      <c r="L364" s="77" t="s">
        <v>0</v>
      </c>
      <c r="M364" s="112" t="str">
        <f t="shared" si="10"/>
        <v/>
      </c>
    </row>
    <row r="365" spans="1:13" ht="17.25" customHeight="1" x14ac:dyDescent="0.25">
      <c r="A365">
        <v>363</v>
      </c>
      <c r="B365" s="77" t="s">
        <v>0</v>
      </c>
      <c r="C365" s="77" t="s">
        <v>12512</v>
      </c>
      <c r="D365" s="77" t="s">
        <v>12513</v>
      </c>
      <c r="E365" s="112" t="str">
        <f>VLOOKUP(C365,'[1]Sheet (2)'!$A$3:$G$5503,1,0)</f>
        <v>V51.00A.068</v>
      </c>
      <c r="F365" s="77" t="s">
        <v>1204</v>
      </c>
      <c r="G365" s="77" t="s">
        <v>12514</v>
      </c>
      <c r="H365" s="77"/>
      <c r="I365" s="103">
        <v>0</v>
      </c>
      <c r="J365" s="103">
        <f>VLOOKUP(C365,'[1]Sheet (2)'!$A$3:$H$5503,5,0)</f>
        <v>0</v>
      </c>
      <c r="K365" s="103"/>
      <c r="L365" s="77" t="s">
        <v>0</v>
      </c>
      <c r="M365" s="112" t="str">
        <f t="shared" si="10"/>
        <v/>
      </c>
    </row>
    <row r="366" spans="1:13" ht="17.25" customHeight="1" x14ac:dyDescent="0.25">
      <c r="A366">
        <v>364</v>
      </c>
      <c r="B366" s="77" t="s">
        <v>0</v>
      </c>
      <c r="C366" s="77" t="s">
        <v>10119</v>
      </c>
      <c r="D366" s="77" t="s">
        <v>10120</v>
      </c>
      <c r="E366" s="112" t="str">
        <f>VLOOKUP(C366,'[1]Sheet (2)'!$A$3:$G$5503,1,0)</f>
        <v>V51.000.110</v>
      </c>
      <c r="F366" s="77" t="s">
        <v>1204</v>
      </c>
      <c r="G366" s="77" t="s">
        <v>10121</v>
      </c>
      <c r="H366" s="77"/>
      <c r="I366" s="103">
        <v>0</v>
      </c>
      <c r="J366" s="103">
        <f>VLOOKUP(C366,'[1]Sheet (2)'!$A$3:$H$5503,5,0)</f>
        <v>0</v>
      </c>
      <c r="K366" s="103"/>
      <c r="L366" s="77" t="s">
        <v>0</v>
      </c>
      <c r="M366" s="112" t="str">
        <f t="shared" si="10"/>
        <v/>
      </c>
    </row>
    <row r="367" spans="1:13" ht="17.25" customHeight="1" x14ac:dyDescent="0.25">
      <c r="A367">
        <v>365</v>
      </c>
      <c r="B367" s="77" t="s">
        <v>0</v>
      </c>
      <c r="C367" s="77" t="s">
        <v>15978</v>
      </c>
      <c r="D367" s="77" t="s">
        <v>15979</v>
      </c>
      <c r="E367" s="112" t="str">
        <f>VLOOKUP(C367,'[1]Sheet (2)'!$A$3:$G$5503,1,0)</f>
        <v>7.E3803789913I932</v>
      </c>
      <c r="F367" s="77" t="s">
        <v>939</v>
      </c>
      <c r="G367" s="77" t="s">
        <v>16174</v>
      </c>
      <c r="H367" s="77"/>
      <c r="I367" s="103">
        <v>4.93</v>
      </c>
      <c r="J367" s="103">
        <f>VLOOKUP(C367,'[1]Sheet (2)'!$A$3:$H$5503,5,0)</f>
        <v>4.93</v>
      </c>
      <c r="K367" s="103"/>
      <c r="L367" s="77" t="s">
        <v>0</v>
      </c>
      <c r="M367" s="112" t="str">
        <f t="shared" si="10"/>
        <v/>
      </c>
    </row>
    <row r="368" spans="1:13" ht="17.25" customHeight="1" x14ac:dyDescent="0.25">
      <c r="A368">
        <v>366</v>
      </c>
      <c r="B368" s="77" t="s">
        <v>0</v>
      </c>
      <c r="C368" s="77" t="s">
        <v>16175</v>
      </c>
      <c r="D368" s="77" t="s">
        <v>16176</v>
      </c>
      <c r="E368" s="112" t="e">
        <f>VLOOKUP(C368,'[1]Sheet (2)'!$A$3:$G$5503,1,0)</f>
        <v>#N/A</v>
      </c>
      <c r="F368" s="77" t="s">
        <v>939</v>
      </c>
      <c r="G368" s="77" t="s">
        <v>16177</v>
      </c>
      <c r="H368" s="77"/>
      <c r="I368" s="103">
        <v>3.62</v>
      </c>
      <c r="J368" s="103" t="e">
        <f>VLOOKUP(C368,'[1]Sheet (2)'!$A$3:$H$5503,5,0)</f>
        <v>#N/A</v>
      </c>
      <c r="K368" s="103"/>
      <c r="L368" s="77" t="s">
        <v>0</v>
      </c>
      <c r="M368" s="112" t="str">
        <f t="shared" si="10"/>
        <v/>
      </c>
    </row>
    <row r="369" spans="1:13" ht="17.25" customHeight="1" x14ac:dyDescent="0.25">
      <c r="A369">
        <v>367</v>
      </c>
      <c r="B369" s="77" t="s">
        <v>0</v>
      </c>
      <c r="C369" s="77" t="s">
        <v>16178</v>
      </c>
      <c r="D369" s="77" t="s">
        <v>16179</v>
      </c>
      <c r="E369" s="112" t="e">
        <f>VLOOKUP(C369,'[1]Sheet (2)'!$A$3:$G$5503,1,0)</f>
        <v>#N/A</v>
      </c>
      <c r="F369" s="77" t="s">
        <v>939</v>
      </c>
      <c r="G369" s="77" t="s">
        <v>16180</v>
      </c>
      <c r="H369" s="77"/>
      <c r="I369" s="103">
        <v>3.62</v>
      </c>
      <c r="J369" s="103" t="e">
        <f>VLOOKUP(C369,'[1]Sheet (2)'!$A$3:$H$5503,5,0)</f>
        <v>#N/A</v>
      </c>
      <c r="K369" s="103"/>
      <c r="L369" s="77" t="s">
        <v>0</v>
      </c>
      <c r="M369" s="112" t="str">
        <f t="shared" si="10"/>
        <v/>
      </c>
    </row>
    <row r="370" spans="1:13" ht="17.25" customHeight="1" x14ac:dyDescent="0.25">
      <c r="A370">
        <v>368</v>
      </c>
      <c r="B370" s="77" t="s">
        <v>1541</v>
      </c>
      <c r="C370" s="77" t="s">
        <v>15387</v>
      </c>
      <c r="D370" s="77" t="s">
        <v>15388</v>
      </c>
      <c r="E370" s="112" t="str">
        <f>VLOOKUP(C370,'[1]Sheet (2)'!$A$3:$G$5503,1,0)</f>
        <v>7.515016340620B00</v>
      </c>
      <c r="F370" s="77" t="s">
        <v>939</v>
      </c>
      <c r="G370" s="77" t="s">
        <v>9656</v>
      </c>
      <c r="H370" s="77"/>
      <c r="I370" s="103">
        <v>12</v>
      </c>
      <c r="J370" s="103">
        <f>VLOOKUP(C370,'[1]Sheet (2)'!$A$3:$H$5503,5,0)</f>
        <v>12</v>
      </c>
      <c r="K370" s="103"/>
      <c r="L370" s="77" t="s">
        <v>1541</v>
      </c>
      <c r="M370" s="112" t="str">
        <f t="shared" si="10"/>
        <v/>
      </c>
    </row>
    <row r="371" spans="1:13" ht="17.25" customHeight="1" x14ac:dyDescent="0.25">
      <c r="A371">
        <v>369</v>
      </c>
      <c r="B371" s="77" t="s">
        <v>931</v>
      </c>
      <c r="C371" s="77" t="s">
        <v>5107</v>
      </c>
      <c r="D371" s="77" t="s">
        <v>5108</v>
      </c>
      <c r="E371" s="112" t="str">
        <f>VLOOKUP(C371,'[1]Sheet (2)'!$A$3:$G$5503,1,0)</f>
        <v>7.106012021770801</v>
      </c>
      <c r="F371" s="77" t="s">
        <v>939</v>
      </c>
      <c r="G371" s="77" t="s">
        <v>5109</v>
      </c>
      <c r="H371" s="77"/>
      <c r="I371" s="103">
        <v>20</v>
      </c>
      <c r="J371" s="103">
        <f>VLOOKUP(C371,'[1]Sheet (2)'!$A$3:$H$5503,5,0)</f>
        <v>20</v>
      </c>
      <c r="K371" s="103"/>
      <c r="L371" s="77" t="s">
        <v>931</v>
      </c>
      <c r="M371" s="112" t="str">
        <f t="shared" si="10"/>
        <v/>
      </c>
    </row>
    <row r="372" spans="1:13" ht="17.25" customHeight="1" x14ac:dyDescent="0.25">
      <c r="A372">
        <v>370</v>
      </c>
      <c r="B372" s="77" t="s">
        <v>931</v>
      </c>
      <c r="C372" s="77" t="s">
        <v>16203</v>
      </c>
      <c r="D372" s="77" t="s">
        <v>16205</v>
      </c>
      <c r="E372" s="112"/>
      <c r="F372" s="77"/>
      <c r="G372" s="77" t="s">
        <v>5591</v>
      </c>
      <c r="H372" s="77"/>
      <c r="I372" s="103">
        <v>0</v>
      </c>
      <c r="J372" s="103"/>
      <c r="K372" s="103"/>
      <c r="L372" s="77" t="s">
        <v>931</v>
      </c>
      <c r="M372" s="112" t="str">
        <f t="shared" si="10"/>
        <v/>
      </c>
    </row>
    <row r="373" spans="1:13" ht="17.25" customHeight="1" x14ac:dyDescent="0.25">
      <c r="A373">
        <v>371</v>
      </c>
      <c r="B373" s="77" t="s">
        <v>931</v>
      </c>
      <c r="C373" s="77" t="s">
        <v>16202</v>
      </c>
      <c r="D373" s="77" t="s">
        <v>16204</v>
      </c>
      <c r="E373" s="112"/>
      <c r="F373" s="77"/>
      <c r="G373" s="77" t="s">
        <v>16204</v>
      </c>
      <c r="H373" s="77"/>
      <c r="I373" s="103">
        <v>0</v>
      </c>
      <c r="J373" s="103"/>
      <c r="K373" s="103"/>
      <c r="L373" s="77" t="s">
        <v>931</v>
      </c>
      <c r="M373" s="112" t="str">
        <f t="shared" si="10"/>
        <v/>
      </c>
    </row>
    <row r="374" spans="1:13" ht="17.25" customHeight="1" x14ac:dyDescent="0.25">
      <c r="A374">
        <v>372</v>
      </c>
      <c r="B374" s="77" t="s">
        <v>931</v>
      </c>
      <c r="C374" s="77" t="s">
        <v>14102</v>
      </c>
      <c r="D374" s="77" t="s">
        <v>14103</v>
      </c>
      <c r="E374" s="112"/>
      <c r="F374" s="77"/>
      <c r="G374" s="77" t="s">
        <v>7951</v>
      </c>
      <c r="H374" s="77"/>
      <c r="I374" s="103">
        <v>0</v>
      </c>
      <c r="J374" s="103"/>
      <c r="K374" s="103"/>
      <c r="L374" s="77" t="s">
        <v>931</v>
      </c>
      <c r="M374" s="112" t="str">
        <f t="shared" si="10"/>
        <v/>
      </c>
    </row>
    <row r="375" spans="1:13" ht="17.25" customHeight="1" x14ac:dyDescent="0.25">
      <c r="A375">
        <v>373</v>
      </c>
      <c r="B375" s="77" t="s">
        <v>931</v>
      </c>
      <c r="C375" s="77" t="s">
        <v>16206</v>
      </c>
      <c r="D375" s="77" t="s">
        <v>16208</v>
      </c>
      <c r="E375" s="112"/>
      <c r="F375" s="77"/>
      <c r="G375" s="77" t="s">
        <v>16207</v>
      </c>
      <c r="H375" s="77"/>
      <c r="I375" s="103">
        <v>12</v>
      </c>
      <c r="J375" s="103"/>
      <c r="K375" s="103"/>
      <c r="L375" s="77" t="s">
        <v>931</v>
      </c>
      <c r="M375" s="112" t="str">
        <f t="shared" si="10"/>
        <v/>
      </c>
    </row>
    <row r="376" spans="1:13" ht="17.25" customHeight="1" x14ac:dyDescent="0.25">
      <c r="A376">
        <v>374</v>
      </c>
      <c r="B376" s="77" t="s">
        <v>931</v>
      </c>
      <c r="C376" s="77" t="s">
        <v>16212</v>
      </c>
      <c r="D376" s="77" t="s">
        <v>16213</v>
      </c>
      <c r="E376" s="112"/>
      <c r="F376" s="77"/>
      <c r="G376" s="77" t="s">
        <v>16213</v>
      </c>
      <c r="H376" s="77"/>
      <c r="I376" s="103">
        <v>0</v>
      </c>
      <c r="J376" s="103"/>
      <c r="K376" s="103"/>
      <c r="L376" s="77" t="s">
        <v>931</v>
      </c>
      <c r="M376" s="112" t="str">
        <f t="shared" si="10"/>
        <v/>
      </c>
    </row>
    <row r="377" spans="1:13" ht="17.25" customHeight="1" x14ac:dyDescent="0.25">
      <c r="A377">
        <v>375</v>
      </c>
      <c r="B377" s="77" t="s">
        <v>931</v>
      </c>
      <c r="C377" s="77" t="s">
        <v>16220</v>
      </c>
      <c r="D377" s="77" t="s">
        <v>16217</v>
      </c>
      <c r="E377" s="112"/>
      <c r="F377" s="77"/>
      <c r="G377" s="77" t="s">
        <v>16214</v>
      </c>
      <c r="H377" s="77"/>
      <c r="I377" s="103">
        <v>12</v>
      </c>
      <c r="J377" s="103"/>
      <c r="K377" s="103"/>
      <c r="L377" s="77" t="s">
        <v>931</v>
      </c>
      <c r="M377" s="112" t="str">
        <f t="shared" si="10"/>
        <v/>
      </c>
    </row>
    <row r="378" spans="1:13" ht="17.25" customHeight="1" x14ac:dyDescent="0.25">
      <c r="A378">
        <v>376</v>
      </c>
      <c r="B378" s="77" t="s">
        <v>931</v>
      </c>
      <c r="C378" s="77" t="s">
        <v>16221</v>
      </c>
      <c r="D378" s="77" t="s">
        <v>16218</v>
      </c>
      <c r="E378" s="112"/>
      <c r="F378" s="77"/>
      <c r="G378" s="77" t="s">
        <v>16215</v>
      </c>
      <c r="H378" s="77"/>
      <c r="I378" s="103">
        <v>12</v>
      </c>
      <c r="J378" s="103"/>
      <c r="K378" s="103"/>
      <c r="L378" s="77" t="s">
        <v>931</v>
      </c>
      <c r="M378" s="112" t="str">
        <f t="shared" si="10"/>
        <v/>
      </c>
    </row>
    <row r="379" spans="1:13" ht="17.25" customHeight="1" x14ac:dyDescent="0.25">
      <c r="A379">
        <v>377</v>
      </c>
      <c r="B379" s="77" t="s">
        <v>931</v>
      </c>
      <c r="C379" s="77" t="s">
        <v>16220</v>
      </c>
      <c r="D379" s="77" t="s">
        <v>16217</v>
      </c>
      <c r="E379" s="112"/>
      <c r="F379" s="77"/>
      <c r="G379" s="77" t="s">
        <v>16214</v>
      </c>
      <c r="H379" s="77"/>
      <c r="I379" s="103">
        <v>12</v>
      </c>
      <c r="J379" s="103"/>
      <c r="K379" s="103"/>
      <c r="L379" s="77" t="s">
        <v>931</v>
      </c>
      <c r="M379" s="112" t="str">
        <f t="shared" si="10"/>
        <v/>
      </c>
    </row>
    <row r="380" spans="1:13" ht="17.25" customHeight="1" x14ac:dyDescent="0.25">
      <c r="A380">
        <v>378</v>
      </c>
      <c r="B380" s="77" t="s">
        <v>931</v>
      </c>
      <c r="C380" s="77" t="s">
        <v>16222</v>
      </c>
      <c r="D380" s="77" t="s">
        <v>16219</v>
      </c>
      <c r="E380" s="112"/>
      <c r="F380" s="77"/>
      <c r="G380" s="77" t="s">
        <v>16216</v>
      </c>
      <c r="H380" s="77"/>
      <c r="I380" s="103">
        <v>12</v>
      </c>
      <c r="J380" s="103"/>
      <c r="K380" s="103"/>
      <c r="L380" s="77" t="s">
        <v>931</v>
      </c>
      <c r="M380" s="112" t="str">
        <f t="shared" si="10"/>
        <v/>
      </c>
    </row>
  </sheetData>
  <autoFilter ref="A2:M371" xr:uid="{D6D5BE92-BF51-41D5-A1FB-0C15ADD5A11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0548B-724E-4D71-9753-0D1987174613}">
  <sheetPr>
    <tabColor rgb="FFC00000"/>
  </sheetPr>
  <dimension ref="A1:H285"/>
  <sheetViews>
    <sheetView tabSelected="1" zoomScale="115" zoomScaleNormal="115" workbookViewId="0">
      <pane xSplit="2" ySplit="15" topLeftCell="C212" activePane="bottomRight" state="frozen"/>
      <selection pane="topRight" activeCell="C1" sqref="C1"/>
      <selection pane="bottomLeft" activeCell="A4" sqref="A4"/>
      <selection pane="bottomRight" activeCell="C214" sqref="C214"/>
    </sheetView>
  </sheetViews>
  <sheetFormatPr defaultRowHeight="15" x14ac:dyDescent="0.25"/>
  <cols>
    <col min="1" max="1" width="34.5703125" style="9" customWidth="1"/>
    <col min="2" max="2" width="47.42578125" style="9" customWidth="1"/>
    <col min="3" max="3" width="79.28515625" style="9" customWidth="1"/>
    <col min="4" max="4" width="11.5703125" style="9" hidden="1" customWidth="1"/>
    <col min="5" max="5" width="15.28515625" style="9" hidden="1" customWidth="1"/>
    <col min="6" max="6" width="28.28515625" style="9" customWidth="1"/>
    <col min="7" max="7" width="121.28515625" style="9" customWidth="1"/>
    <col min="8" max="16384" width="9.140625" style="9"/>
  </cols>
  <sheetData>
    <row r="1" spans="1:7" ht="21" x14ac:dyDescent="0.25">
      <c r="A1" s="82" t="s">
        <v>905</v>
      </c>
      <c r="B1" s="108" t="s">
        <v>906</v>
      </c>
      <c r="C1" s="84" t="s">
        <v>806</v>
      </c>
      <c r="D1" s="83"/>
      <c r="E1" s="85" t="s">
        <v>61</v>
      </c>
      <c r="F1" s="86" t="s">
        <v>92</v>
      </c>
      <c r="G1" s="85" t="s">
        <v>57</v>
      </c>
    </row>
    <row r="2" spans="1:7" x14ac:dyDescent="0.25">
      <c r="A2" s="80" t="s">
        <v>16200</v>
      </c>
    </row>
    <row r="3" spans="1:7" x14ac:dyDescent="0.25">
      <c r="A3" s="9" t="s">
        <v>434</v>
      </c>
      <c r="B3" s="109" t="s">
        <v>16196</v>
      </c>
      <c r="C3" s="9" t="s">
        <v>1929</v>
      </c>
      <c r="G3" s="9" t="s">
        <v>436</v>
      </c>
    </row>
    <row r="4" spans="1:7" x14ac:dyDescent="0.25">
      <c r="A4" s="9" t="s">
        <v>430</v>
      </c>
      <c r="B4" s="109" t="s">
        <v>16197</v>
      </c>
      <c r="C4" s="9" t="s">
        <v>1929</v>
      </c>
      <c r="G4" s="9" t="s">
        <v>433</v>
      </c>
    </row>
    <row r="5" spans="1:7" x14ac:dyDescent="0.25">
      <c r="A5" s="81" t="s">
        <v>409</v>
      </c>
      <c r="B5" s="9" t="s">
        <v>1931</v>
      </c>
      <c r="C5" s="9" t="s">
        <v>1930</v>
      </c>
      <c r="G5" s="72" t="s">
        <v>413</v>
      </c>
    </row>
    <row r="6" spans="1:7" x14ac:dyDescent="0.25">
      <c r="A6" s="9" t="s">
        <v>440</v>
      </c>
      <c r="B6" s="9" t="s">
        <v>1945</v>
      </c>
      <c r="C6" s="9" t="s">
        <v>1930</v>
      </c>
      <c r="G6" s="9" t="s">
        <v>443</v>
      </c>
    </row>
    <row r="7" spans="1:7" ht="6" customHeight="1" x14ac:dyDescent="0.25"/>
    <row r="8" spans="1:7" x14ac:dyDescent="0.25">
      <c r="A8" s="80" t="s">
        <v>16201</v>
      </c>
    </row>
    <row r="9" spans="1:7" x14ac:dyDescent="0.25">
      <c r="A9" s="9" t="s">
        <v>434</v>
      </c>
      <c r="B9" s="9" t="s">
        <v>1932</v>
      </c>
      <c r="C9" s="9" t="s">
        <v>1929</v>
      </c>
      <c r="G9" s="9" t="s">
        <v>436</v>
      </c>
    </row>
    <row r="10" spans="1:7" x14ac:dyDescent="0.25">
      <c r="A10" s="9" t="s">
        <v>430</v>
      </c>
      <c r="B10" s="9" t="s">
        <v>1946</v>
      </c>
      <c r="C10" s="9" t="s">
        <v>1929</v>
      </c>
      <c r="G10" s="9" t="s">
        <v>433</v>
      </c>
    </row>
    <row r="11" spans="1:7" x14ac:dyDescent="0.25">
      <c r="A11" s="81" t="s">
        <v>409</v>
      </c>
      <c r="B11" s="9" t="s">
        <v>1933</v>
      </c>
      <c r="C11" s="9" t="s">
        <v>1930</v>
      </c>
      <c r="G11" s="72" t="s">
        <v>413</v>
      </c>
    </row>
    <row r="12" spans="1:7" x14ac:dyDescent="0.25">
      <c r="A12" s="9" t="s">
        <v>440</v>
      </c>
      <c r="B12" s="9" t="s">
        <v>1947</v>
      </c>
      <c r="C12" s="9" t="s">
        <v>1930</v>
      </c>
      <c r="G12" s="9" t="s">
        <v>443</v>
      </c>
    </row>
    <row r="13" spans="1:7" ht="5.25" customHeight="1" x14ac:dyDescent="0.25"/>
    <row r="14" spans="1:7" x14ac:dyDescent="0.25">
      <c r="A14" s="80" t="s">
        <v>0</v>
      </c>
    </row>
    <row r="15" spans="1:7" ht="21" x14ac:dyDescent="0.25">
      <c r="A15" s="82" t="s">
        <v>905</v>
      </c>
      <c r="B15" s="108" t="s">
        <v>906</v>
      </c>
      <c r="C15" s="84" t="s">
        <v>806</v>
      </c>
      <c r="D15" s="83"/>
      <c r="E15" s="85" t="s">
        <v>61</v>
      </c>
      <c r="F15" s="86" t="s">
        <v>92</v>
      </c>
      <c r="G15" s="85" t="s">
        <v>57</v>
      </c>
    </row>
    <row r="16" spans="1:7" ht="15.75" x14ac:dyDescent="0.25">
      <c r="A16" s="81" t="s">
        <v>244</v>
      </c>
      <c r="B16" s="87" t="s">
        <v>837</v>
      </c>
      <c r="C16" s="87" t="s">
        <v>811</v>
      </c>
      <c r="D16" s="88" t="str">
        <f t="shared" ref="D16:D48" si="0">IF(COUNTIF($A$15:$A$1428, A16)&gt;1, "Trùng Đại Lý", "")</f>
        <v/>
      </c>
      <c r="E16" s="72" t="s">
        <v>838</v>
      </c>
      <c r="F16" s="72" t="s">
        <v>107</v>
      </c>
      <c r="G16" s="72" t="s">
        <v>243</v>
      </c>
    </row>
    <row r="17" spans="1:8" ht="15.75" x14ac:dyDescent="0.25">
      <c r="A17" s="81" t="s">
        <v>671</v>
      </c>
      <c r="B17" s="87" t="s">
        <v>583</v>
      </c>
      <c r="C17" s="87" t="s">
        <v>900</v>
      </c>
      <c r="D17" s="88" t="str">
        <f t="shared" si="0"/>
        <v/>
      </c>
      <c r="E17" s="72" t="s">
        <v>532</v>
      </c>
      <c r="F17" s="72" t="s">
        <v>672</v>
      </c>
      <c r="G17" s="72" t="s">
        <v>673</v>
      </c>
      <c r="H17" s="72"/>
    </row>
    <row r="18" spans="1:8" ht="15.75" x14ac:dyDescent="0.25">
      <c r="A18" s="81" t="s">
        <v>797</v>
      </c>
      <c r="B18" s="87" t="s">
        <v>831</v>
      </c>
      <c r="C18" s="87" t="s">
        <v>812</v>
      </c>
      <c r="D18" s="88" t="str">
        <f t="shared" si="0"/>
        <v/>
      </c>
      <c r="E18" s="72" t="s">
        <v>799</v>
      </c>
      <c r="F18" s="72" t="s">
        <v>800</v>
      </c>
      <c r="G18" s="72" t="s">
        <v>801</v>
      </c>
    </row>
    <row r="19" spans="1:8" ht="15.75" x14ac:dyDescent="0.25">
      <c r="A19" s="81" t="s">
        <v>393</v>
      </c>
      <c r="B19" s="87" t="s">
        <v>394</v>
      </c>
      <c r="C19" s="87" t="s">
        <v>811</v>
      </c>
      <c r="D19" s="88" t="str">
        <f t="shared" si="0"/>
        <v/>
      </c>
      <c r="E19" s="72" t="s">
        <v>313</v>
      </c>
      <c r="F19" s="72" t="s">
        <v>395</v>
      </c>
      <c r="G19" s="72" t="s">
        <v>396</v>
      </c>
    </row>
    <row r="20" spans="1:8" ht="15.75" x14ac:dyDescent="0.25">
      <c r="A20" s="81" t="s">
        <v>17</v>
      </c>
      <c r="B20" s="87" t="s">
        <v>815</v>
      </c>
      <c r="C20" s="87" t="s">
        <v>811</v>
      </c>
      <c r="D20" s="88" t="str">
        <f t="shared" si="0"/>
        <v/>
      </c>
      <c r="E20" s="72" t="s">
        <v>838</v>
      </c>
      <c r="F20" s="72" t="s">
        <v>98</v>
      </c>
      <c r="G20" s="72" t="s">
        <v>146</v>
      </c>
    </row>
    <row r="21" spans="1:8" ht="15.75" x14ac:dyDescent="0.25">
      <c r="A21" s="81" t="s">
        <v>4</v>
      </c>
      <c r="B21" s="87" t="s">
        <v>839</v>
      </c>
      <c r="C21" s="87" t="s">
        <v>811</v>
      </c>
      <c r="D21" s="88" t="str">
        <f t="shared" si="0"/>
        <v/>
      </c>
      <c r="E21" s="72" t="s">
        <v>838</v>
      </c>
      <c r="F21" s="72" t="s">
        <v>98</v>
      </c>
      <c r="G21" s="72" t="s">
        <v>64</v>
      </c>
    </row>
    <row r="22" spans="1:8" ht="15.75" x14ac:dyDescent="0.25">
      <c r="A22" s="81" t="s">
        <v>383</v>
      </c>
      <c r="B22" s="87" t="s">
        <v>840</v>
      </c>
      <c r="C22" s="87" t="s">
        <v>811</v>
      </c>
      <c r="D22" s="88" t="str">
        <f t="shared" si="0"/>
        <v/>
      </c>
      <c r="E22" s="72" t="s">
        <v>838</v>
      </c>
      <c r="F22" s="72" t="s">
        <v>115</v>
      </c>
      <c r="G22" s="72" t="s">
        <v>87</v>
      </c>
    </row>
    <row r="23" spans="1:8" ht="15.75" x14ac:dyDescent="0.25">
      <c r="A23" s="81" t="s">
        <v>1990</v>
      </c>
      <c r="B23" s="87" t="s">
        <v>316</v>
      </c>
      <c r="C23" s="87" t="s">
        <v>1957</v>
      </c>
      <c r="D23" s="88" t="str">
        <f t="shared" si="0"/>
        <v/>
      </c>
      <c r="F23" s="72" t="s">
        <v>1991</v>
      </c>
      <c r="G23" s="72" t="s">
        <v>1992</v>
      </c>
    </row>
    <row r="24" spans="1:8" ht="15.75" x14ac:dyDescent="0.25">
      <c r="A24" s="81" t="s">
        <v>405</v>
      </c>
      <c r="B24" s="87" t="s">
        <v>406</v>
      </c>
      <c r="C24" s="87" t="s">
        <v>406</v>
      </c>
      <c r="D24" s="88" t="str">
        <f t="shared" si="0"/>
        <v/>
      </c>
      <c r="E24" s="89" t="s">
        <v>46</v>
      </c>
      <c r="F24" s="72" t="s">
        <v>407</v>
      </c>
      <c r="G24" s="72" t="s">
        <v>408</v>
      </c>
    </row>
    <row r="25" spans="1:8" ht="15.75" x14ac:dyDescent="0.25">
      <c r="A25" s="81" t="s">
        <v>326</v>
      </c>
      <c r="B25" s="87" t="s">
        <v>841</v>
      </c>
      <c r="C25" s="87" t="s">
        <v>811</v>
      </c>
      <c r="D25" s="88" t="str">
        <f t="shared" si="0"/>
        <v/>
      </c>
      <c r="E25" s="72" t="s">
        <v>838</v>
      </c>
      <c r="F25" s="72" t="s">
        <v>125</v>
      </c>
      <c r="G25" s="9" t="s">
        <v>327</v>
      </c>
    </row>
    <row r="26" spans="1:8" ht="15.75" x14ac:dyDescent="0.25">
      <c r="A26" s="81" t="s">
        <v>3</v>
      </c>
      <c r="B26" s="87" t="s">
        <v>842</v>
      </c>
      <c r="C26" s="87" t="s">
        <v>811</v>
      </c>
      <c r="D26" s="88" t="str">
        <f t="shared" si="0"/>
        <v/>
      </c>
      <c r="E26" s="72" t="s">
        <v>838</v>
      </c>
      <c r="F26" s="72" t="s">
        <v>108</v>
      </c>
      <c r="G26" s="72" t="s">
        <v>109</v>
      </c>
    </row>
    <row r="27" spans="1:8" ht="15.75" x14ac:dyDescent="0.25">
      <c r="A27" s="81" t="s">
        <v>409</v>
      </c>
      <c r="B27" s="87" t="s">
        <v>821</v>
      </c>
      <c r="C27" s="87" t="s">
        <v>807</v>
      </c>
      <c r="D27" s="88" t="str">
        <f t="shared" si="0"/>
        <v/>
      </c>
      <c r="E27" s="72" t="s">
        <v>411</v>
      </c>
      <c r="F27" s="72" t="s">
        <v>412</v>
      </c>
      <c r="G27" s="72" t="s">
        <v>413</v>
      </c>
    </row>
    <row r="28" spans="1:8" ht="15.75" x14ac:dyDescent="0.25">
      <c r="A28" s="81" t="s">
        <v>247</v>
      </c>
      <c r="B28" s="87" t="s">
        <v>843</v>
      </c>
      <c r="C28" s="87" t="s">
        <v>811</v>
      </c>
      <c r="D28" s="88" t="str">
        <f t="shared" si="0"/>
        <v/>
      </c>
      <c r="E28" s="72" t="s">
        <v>838</v>
      </c>
      <c r="F28" s="72" t="s">
        <v>246</v>
      </c>
      <c r="G28" s="72" t="s">
        <v>245</v>
      </c>
    </row>
    <row r="29" spans="1:8" ht="15.75" x14ac:dyDescent="0.25">
      <c r="A29" s="90" t="s">
        <v>36</v>
      </c>
      <c r="B29" s="87" t="s">
        <v>152</v>
      </c>
      <c r="C29" s="87" t="s">
        <v>810</v>
      </c>
      <c r="D29" s="88" t="str">
        <f t="shared" si="0"/>
        <v/>
      </c>
      <c r="E29" s="9" t="s">
        <v>7</v>
      </c>
      <c r="F29" s="9" t="s">
        <v>96</v>
      </c>
      <c r="G29" s="9" t="s">
        <v>63</v>
      </c>
    </row>
    <row r="30" spans="1:8" ht="15.75" x14ac:dyDescent="0.25">
      <c r="A30" s="91" t="s">
        <v>452</v>
      </c>
      <c r="B30" s="81" t="s">
        <v>787</v>
      </c>
      <c r="C30" s="87" t="s">
        <v>889</v>
      </c>
      <c r="D30" s="88" t="str">
        <f t="shared" si="0"/>
        <v/>
      </c>
      <c r="E30" s="91" t="s">
        <v>453</v>
      </c>
      <c r="F30" s="91" t="s">
        <v>96</v>
      </c>
      <c r="G30" s="91" t="s">
        <v>454</v>
      </c>
    </row>
    <row r="31" spans="1:8" ht="15.75" x14ac:dyDescent="0.25">
      <c r="A31" s="81" t="s">
        <v>274</v>
      </c>
      <c r="B31" s="87" t="s">
        <v>149</v>
      </c>
      <c r="C31" s="87" t="s">
        <v>809</v>
      </c>
      <c r="D31" s="88" t="str">
        <f t="shared" si="0"/>
        <v/>
      </c>
      <c r="E31" s="72" t="s">
        <v>46</v>
      </c>
      <c r="F31" s="72" t="s">
        <v>96</v>
      </c>
      <c r="G31" s="72" t="s">
        <v>275</v>
      </c>
    </row>
    <row r="32" spans="1:8" ht="15.75" x14ac:dyDescent="0.25">
      <c r="A32" s="81" t="s">
        <v>32</v>
      </c>
      <c r="B32" s="87" t="s">
        <v>916</v>
      </c>
      <c r="C32" s="87" t="s">
        <v>811</v>
      </c>
      <c r="D32" s="88" t="str">
        <f t="shared" si="0"/>
        <v/>
      </c>
      <c r="E32" s="72" t="s">
        <v>51</v>
      </c>
      <c r="F32" s="72" t="s">
        <v>96</v>
      </c>
      <c r="G32" s="72" t="s">
        <v>68</v>
      </c>
    </row>
    <row r="33" spans="1:8" ht="15.75" x14ac:dyDescent="0.25">
      <c r="A33" s="81" t="s">
        <v>654</v>
      </c>
      <c r="B33" s="87" t="s">
        <v>833</v>
      </c>
      <c r="C33" s="87" t="s">
        <v>812</v>
      </c>
      <c r="D33" s="88" t="str">
        <f t="shared" si="0"/>
        <v/>
      </c>
      <c r="E33" s="72" t="s">
        <v>293</v>
      </c>
      <c r="F33" s="72" t="s">
        <v>96</v>
      </c>
      <c r="G33" s="72" t="s">
        <v>656</v>
      </c>
    </row>
    <row r="34" spans="1:8" ht="15.75" x14ac:dyDescent="0.25">
      <c r="A34" s="81" t="s">
        <v>301</v>
      </c>
      <c r="B34" s="87" t="s">
        <v>844</v>
      </c>
      <c r="C34" s="87" t="s">
        <v>811</v>
      </c>
      <c r="D34" s="88" t="str">
        <f t="shared" si="0"/>
        <v/>
      </c>
      <c r="E34" s="72" t="s">
        <v>838</v>
      </c>
      <c r="F34" s="72" t="s">
        <v>96</v>
      </c>
      <c r="G34" s="72" t="s">
        <v>302</v>
      </c>
    </row>
    <row r="35" spans="1:8" ht="15.75" x14ac:dyDescent="0.25">
      <c r="A35" s="81" t="s">
        <v>281</v>
      </c>
      <c r="B35" s="87" t="s">
        <v>845</v>
      </c>
      <c r="C35" s="87" t="s">
        <v>811</v>
      </c>
      <c r="D35" s="88" t="str">
        <f t="shared" si="0"/>
        <v/>
      </c>
      <c r="E35" s="72" t="s">
        <v>838</v>
      </c>
      <c r="F35" s="72" t="s">
        <v>96</v>
      </c>
      <c r="G35" s="72" t="s">
        <v>282</v>
      </c>
    </row>
    <row r="36" spans="1:8" ht="15.75" x14ac:dyDescent="0.25">
      <c r="A36" s="81" t="s">
        <v>37</v>
      </c>
      <c r="B36" s="87" t="s">
        <v>151</v>
      </c>
      <c r="C36" s="87" t="s">
        <v>810</v>
      </c>
      <c r="D36" s="88" t="str">
        <f t="shared" si="0"/>
        <v/>
      </c>
      <c r="E36" s="72" t="s">
        <v>7</v>
      </c>
      <c r="F36" s="72" t="s">
        <v>96</v>
      </c>
      <c r="G36" s="72" t="s">
        <v>80</v>
      </c>
      <c r="H36" s="72"/>
    </row>
    <row r="37" spans="1:8" ht="15.75" x14ac:dyDescent="0.25">
      <c r="A37" s="81" t="s">
        <v>455</v>
      </c>
      <c r="B37" s="87" t="s">
        <v>456</v>
      </c>
      <c r="C37" s="87" t="s">
        <v>456</v>
      </c>
      <c r="D37" s="88" t="str">
        <f t="shared" si="0"/>
        <v/>
      </c>
      <c r="E37" s="81" t="s">
        <v>456</v>
      </c>
      <c r="F37" s="81" t="s">
        <v>457</v>
      </c>
      <c r="G37" s="81" t="s">
        <v>458</v>
      </c>
      <c r="H37" s="92"/>
    </row>
    <row r="38" spans="1:8" ht="15.75" x14ac:dyDescent="0.25">
      <c r="A38" s="81" t="s">
        <v>790</v>
      </c>
      <c r="B38" s="87" t="s">
        <v>394</v>
      </c>
      <c r="C38" s="87" t="s">
        <v>811</v>
      </c>
      <c r="D38" s="88" t="str">
        <f t="shared" si="0"/>
        <v/>
      </c>
      <c r="E38" s="72" t="s">
        <v>838</v>
      </c>
      <c r="F38" s="72" t="s">
        <v>791</v>
      </c>
      <c r="G38" s="72" t="s">
        <v>792</v>
      </c>
    </row>
    <row r="39" spans="1:8" ht="15.75" x14ac:dyDescent="0.25">
      <c r="A39" s="90" t="s">
        <v>459</v>
      </c>
      <c r="B39" s="87" t="s">
        <v>460</v>
      </c>
      <c r="C39" s="87" t="s">
        <v>889</v>
      </c>
      <c r="D39" s="88" t="str">
        <f t="shared" si="0"/>
        <v/>
      </c>
      <c r="E39" s="90" t="s">
        <v>453</v>
      </c>
      <c r="F39" s="90" t="s">
        <v>461</v>
      </c>
      <c r="G39" s="90" t="s">
        <v>462</v>
      </c>
      <c r="H39" s="38" t="s">
        <v>717</v>
      </c>
    </row>
    <row r="40" spans="1:8" ht="15.75" x14ac:dyDescent="0.25">
      <c r="A40" s="81" t="s">
        <v>54</v>
      </c>
      <c r="B40" s="87" t="s">
        <v>823</v>
      </c>
      <c r="C40" s="87" t="s">
        <v>823</v>
      </c>
      <c r="D40" s="88" t="str">
        <f t="shared" si="0"/>
        <v/>
      </c>
      <c r="E40" s="72" t="s">
        <v>51</v>
      </c>
      <c r="F40" s="72" t="s">
        <v>127</v>
      </c>
      <c r="G40" s="72" t="s">
        <v>76</v>
      </c>
    </row>
    <row r="41" spans="1:8" ht="15.75" x14ac:dyDescent="0.25">
      <c r="A41" s="81" t="s">
        <v>1956</v>
      </c>
      <c r="B41" s="87" t="s">
        <v>360</v>
      </c>
      <c r="C41" s="87" t="s">
        <v>1957</v>
      </c>
      <c r="D41" s="88" t="str">
        <f t="shared" si="0"/>
        <v/>
      </c>
      <c r="E41" s="72"/>
      <c r="F41" s="72" t="s">
        <v>16164</v>
      </c>
      <c r="G41" s="72" t="s">
        <v>16165</v>
      </c>
    </row>
    <row r="42" spans="1:8" ht="15.75" x14ac:dyDescent="0.25">
      <c r="A42" s="81" t="s">
        <v>571</v>
      </c>
      <c r="B42" s="87" t="s">
        <v>826</v>
      </c>
      <c r="C42" s="87" t="s">
        <v>812</v>
      </c>
      <c r="D42" s="88" t="str">
        <f t="shared" si="0"/>
        <v/>
      </c>
      <c r="E42" s="72" t="s">
        <v>573</v>
      </c>
      <c r="F42" s="72" t="s">
        <v>574</v>
      </c>
      <c r="G42" s="72" t="s">
        <v>575</v>
      </c>
    </row>
    <row r="43" spans="1:8" ht="15.75" x14ac:dyDescent="0.25">
      <c r="A43" s="81" t="s">
        <v>155</v>
      </c>
      <c r="B43" s="87" t="s">
        <v>218</v>
      </c>
      <c r="C43" s="87" t="s">
        <v>810</v>
      </c>
      <c r="D43" s="88" t="str">
        <f t="shared" si="0"/>
        <v/>
      </c>
      <c r="E43" s="72" t="s">
        <v>7</v>
      </c>
      <c r="F43" s="72" t="s">
        <v>156</v>
      </c>
      <c r="G43" s="72" t="s">
        <v>157</v>
      </c>
    </row>
    <row r="44" spans="1:8" ht="15.75" x14ac:dyDescent="0.25">
      <c r="A44" s="81" t="s">
        <v>158</v>
      </c>
      <c r="B44" s="87" t="s">
        <v>845</v>
      </c>
      <c r="C44" s="87" t="s">
        <v>811</v>
      </c>
      <c r="D44" s="88" t="str">
        <f t="shared" si="0"/>
        <v/>
      </c>
      <c r="E44" s="72" t="s">
        <v>838</v>
      </c>
      <c r="F44" s="72" t="s">
        <v>159</v>
      </c>
      <c r="G44" s="72" t="s">
        <v>170</v>
      </c>
    </row>
    <row r="45" spans="1:8" ht="15.75" x14ac:dyDescent="0.25">
      <c r="A45" s="81" t="s">
        <v>737</v>
      </c>
      <c r="B45" s="87" t="s">
        <v>875</v>
      </c>
      <c r="C45" s="87" t="s">
        <v>811</v>
      </c>
      <c r="D45" s="88" t="str">
        <f t="shared" si="0"/>
        <v/>
      </c>
      <c r="E45" s="72" t="s">
        <v>838</v>
      </c>
      <c r="F45" s="72" t="s">
        <v>738</v>
      </c>
      <c r="G45" s="72" t="s">
        <v>739</v>
      </c>
    </row>
    <row r="46" spans="1:8" ht="15.75" x14ac:dyDescent="0.25">
      <c r="A46" s="81" t="s">
        <v>33</v>
      </c>
      <c r="B46" s="87" t="s">
        <v>95</v>
      </c>
      <c r="C46" s="87" t="s">
        <v>95</v>
      </c>
      <c r="D46" s="88" t="str">
        <f t="shared" si="0"/>
        <v/>
      </c>
      <c r="E46" s="72" t="s">
        <v>52</v>
      </c>
      <c r="F46" s="72" t="s">
        <v>123</v>
      </c>
      <c r="G46" s="72" t="s">
        <v>83</v>
      </c>
    </row>
    <row r="47" spans="1:8" ht="15.75" x14ac:dyDescent="0.25">
      <c r="A47" s="81" t="s">
        <v>16190</v>
      </c>
      <c r="B47" s="87" t="s">
        <v>827</v>
      </c>
      <c r="C47" s="87" t="s">
        <v>812</v>
      </c>
      <c r="D47" s="88"/>
      <c r="E47" s="72"/>
      <c r="F47" s="9" t="s">
        <v>648</v>
      </c>
      <c r="G47" s="9" t="s">
        <v>16191</v>
      </c>
    </row>
    <row r="48" spans="1:8" ht="15.75" x14ac:dyDescent="0.25">
      <c r="A48" s="81" t="s">
        <v>189</v>
      </c>
      <c r="B48" s="87" t="s">
        <v>846</v>
      </c>
      <c r="C48" s="87" t="s">
        <v>811</v>
      </c>
      <c r="D48" s="88" t="str">
        <f t="shared" si="0"/>
        <v/>
      </c>
      <c r="E48" s="72" t="s">
        <v>838</v>
      </c>
      <c r="F48" s="72" t="s">
        <v>190</v>
      </c>
      <c r="G48" s="72" t="s">
        <v>206</v>
      </c>
    </row>
    <row r="49" spans="1:7" ht="15.75" x14ac:dyDescent="0.25">
      <c r="A49" s="81" t="s">
        <v>600</v>
      </c>
      <c r="B49" s="87" t="s">
        <v>583</v>
      </c>
      <c r="C49" s="87" t="s">
        <v>900</v>
      </c>
      <c r="D49" s="88" t="str">
        <f t="shared" ref="D49:D82" si="1">IF(COUNTIF($A$15:$A$1428, A49)&gt;1, "Trùng Đại Lý", "")</f>
        <v/>
      </c>
      <c r="E49" s="93" t="s">
        <v>532</v>
      </c>
      <c r="F49" s="93" t="s">
        <v>601</v>
      </c>
      <c r="G49" s="93" t="s">
        <v>602</v>
      </c>
    </row>
    <row r="50" spans="1:7" ht="15.75" x14ac:dyDescent="0.25">
      <c r="A50" s="81" t="s">
        <v>207</v>
      </c>
      <c r="B50" s="87" t="s">
        <v>824</v>
      </c>
      <c r="C50" s="87" t="s">
        <v>814</v>
      </c>
      <c r="D50" s="88" t="str">
        <f t="shared" si="1"/>
        <v/>
      </c>
      <c r="E50" s="72" t="s">
        <v>50</v>
      </c>
      <c r="F50" s="72" t="s">
        <v>208</v>
      </c>
      <c r="G50" s="72" t="s">
        <v>209</v>
      </c>
    </row>
    <row r="51" spans="1:7" ht="15.75" x14ac:dyDescent="0.25">
      <c r="A51" s="94" t="s">
        <v>769</v>
      </c>
      <c r="B51" s="87" t="s">
        <v>770</v>
      </c>
      <c r="C51" s="87" t="s">
        <v>918</v>
      </c>
      <c r="D51" s="88" t="str">
        <f t="shared" si="1"/>
        <v/>
      </c>
      <c r="E51" s="89" t="s">
        <v>770</v>
      </c>
      <c r="F51" s="72" t="s">
        <v>771</v>
      </c>
      <c r="G51" s="72" t="s">
        <v>772</v>
      </c>
    </row>
    <row r="52" spans="1:7" ht="15.75" x14ac:dyDescent="0.25">
      <c r="A52" s="90" t="s">
        <v>1985</v>
      </c>
      <c r="B52" s="87" t="s">
        <v>360</v>
      </c>
      <c r="C52" s="87" t="s">
        <v>1957</v>
      </c>
      <c r="D52" s="88" t="str">
        <f t="shared" si="1"/>
        <v/>
      </c>
      <c r="F52" s="9" t="s">
        <v>1986</v>
      </c>
      <c r="G52" s="9" t="s">
        <v>1987</v>
      </c>
    </row>
    <row r="53" spans="1:7" ht="15.75" x14ac:dyDescent="0.25">
      <c r="A53" s="81" t="s">
        <v>463</v>
      </c>
      <c r="B53" s="87" t="s">
        <v>464</v>
      </c>
      <c r="C53" s="87" t="s">
        <v>890</v>
      </c>
      <c r="D53" s="88" t="str">
        <f t="shared" si="1"/>
        <v/>
      </c>
      <c r="E53" s="81" t="s">
        <v>465</v>
      </c>
      <c r="F53" s="90" t="s">
        <v>466</v>
      </c>
      <c r="G53" s="90" t="s">
        <v>467</v>
      </c>
    </row>
    <row r="54" spans="1:7" ht="15.75" x14ac:dyDescent="0.25">
      <c r="A54" s="81" t="s">
        <v>603</v>
      </c>
      <c r="B54" s="87" t="s">
        <v>586</v>
      </c>
      <c r="C54" s="87" t="s">
        <v>904</v>
      </c>
      <c r="D54" s="88" t="str">
        <f t="shared" si="1"/>
        <v/>
      </c>
      <c r="E54" s="95" t="s">
        <v>587</v>
      </c>
      <c r="F54" s="95" t="s">
        <v>604</v>
      </c>
      <c r="G54" s="95" t="s">
        <v>605</v>
      </c>
    </row>
    <row r="55" spans="1:7" ht="15.75" x14ac:dyDescent="0.25">
      <c r="A55" s="81" t="s">
        <v>709</v>
      </c>
      <c r="B55" s="87" t="s">
        <v>710</v>
      </c>
      <c r="C55" s="87" t="s">
        <v>809</v>
      </c>
      <c r="D55" s="88" t="str">
        <f t="shared" si="1"/>
        <v/>
      </c>
      <c r="E55" s="72" t="s">
        <v>711</v>
      </c>
      <c r="F55" s="72" t="s">
        <v>712</v>
      </c>
      <c r="G55" s="72" t="s">
        <v>713</v>
      </c>
    </row>
    <row r="56" spans="1:7" ht="15.75" x14ac:dyDescent="0.25">
      <c r="A56" s="81" t="s">
        <v>53</v>
      </c>
      <c r="B56" s="87" t="s">
        <v>820</v>
      </c>
      <c r="C56" s="87" t="s">
        <v>811</v>
      </c>
      <c r="D56" s="88" t="str">
        <f t="shared" si="1"/>
        <v/>
      </c>
      <c r="E56" s="9" t="s">
        <v>838</v>
      </c>
      <c r="F56" s="9" t="s">
        <v>143</v>
      </c>
      <c r="G56" s="9" t="s">
        <v>79</v>
      </c>
    </row>
    <row r="57" spans="1:7" ht="15.75" x14ac:dyDescent="0.25">
      <c r="A57" s="81" t="s">
        <v>468</v>
      </c>
      <c r="B57" s="87" t="s">
        <v>469</v>
      </c>
      <c r="C57" s="87" t="s">
        <v>891</v>
      </c>
      <c r="D57" s="88" t="str">
        <f t="shared" si="1"/>
        <v/>
      </c>
      <c r="E57" s="81" t="s">
        <v>470</v>
      </c>
      <c r="F57" s="81" t="s">
        <v>471</v>
      </c>
      <c r="G57" s="81" t="s">
        <v>472</v>
      </c>
    </row>
    <row r="58" spans="1:7" ht="15.75" x14ac:dyDescent="0.25">
      <c r="A58" s="81" t="s">
        <v>755</v>
      </c>
      <c r="B58" s="87" t="s">
        <v>734</v>
      </c>
      <c r="C58" s="87" t="s">
        <v>809</v>
      </c>
      <c r="D58" s="88" t="str">
        <f t="shared" si="1"/>
        <v/>
      </c>
      <c r="E58" s="72" t="s">
        <v>711</v>
      </c>
      <c r="F58" s="72" t="s">
        <v>756</v>
      </c>
      <c r="G58" s="72" t="s">
        <v>757</v>
      </c>
    </row>
    <row r="59" spans="1:7" ht="15.75" x14ac:dyDescent="0.25">
      <c r="A59" s="81" t="s">
        <v>289</v>
      </c>
      <c r="B59" s="87" t="s">
        <v>847</v>
      </c>
      <c r="C59" s="87" t="s">
        <v>811</v>
      </c>
      <c r="D59" s="88" t="str">
        <f t="shared" si="1"/>
        <v/>
      </c>
      <c r="E59" s="72" t="s">
        <v>838</v>
      </c>
      <c r="F59" s="72" t="s">
        <v>211</v>
      </c>
      <c r="G59" s="72" t="s">
        <v>276</v>
      </c>
    </row>
    <row r="60" spans="1:7" ht="15.75" x14ac:dyDescent="0.25">
      <c r="A60" s="81" t="s">
        <v>91</v>
      </c>
      <c r="B60" s="87" t="s">
        <v>820</v>
      </c>
      <c r="C60" s="87" t="s">
        <v>811</v>
      </c>
      <c r="D60" s="88" t="str">
        <f t="shared" si="1"/>
        <v/>
      </c>
      <c r="E60" s="89" t="s">
        <v>838</v>
      </c>
      <c r="F60" s="72" t="s">
        <v>216</v>
      </c>
      <c r="G60" s="72" t="s">
        <v>217</v>
      </c>
    </row>
    <row r="61" spans="1:7" ht="15.75" x14ac:dyDescent="0.25">
      <c r="A61" s="81" t="s">
        <v>16194</v>
      </c>
      <c r="B61" s="87" t="s">
        <v>16195</v>
      </c>
      <c r="C61" s="87" t="s">
        <v>814</v>
      </c>
      <c r="D61" s="88"/>
      <c r="F61" s="72" t="s">
        <v>16192</v>
      </c>
      <c r="G61" s="72" t="s">
        <v>16193</v>
      </c>
    </row>
    <row r="62" spans="1:7" ht="15.75" x14ac:dyDescent="0.25">
      <c r="A62" s="81" t="s">
        <v>323</v>
      </c>
      <c r="B62" s="87" t="s">
        <v>368</v>
      </c>
      <c r="C62" s="87" t="s">
        <v>811</v>
      </c>
      <c r="D62" s="88" t="str">
        <f t="shared" si="1"/>
        <v/>
      </c>
      <c r="E62" s="72" t="s">
        <v>838</v>
      </c>
      <c r="F62" s="72" t="s">
        <v>324</v>
      </c>
      <c r="G62" s="72" t="s">
        <v>325</v>
      </c>
    </row>
    <row r="63" spans="1:7" ht="15.75" x14ac:dyDescent="0.25">
      <c r="A63" s="81" t="s">
        <v>238</v>
      </c>
      <c r="B63" s="87" t="s">
        <v>368</v>
      </c>
      <c r="C63" s="87" t="s">
        <v>811</v>
      </c>
      <c r="D63" s="88" t="str">
        <f t="shared" si="1"/>
        <v/>
      </c>
      <c r="E63" s="9" t="s">
        <v>838</v>
      </c>
      <c r="F63" s="9" t="s">
        <v>230</v>
      </c>
      <c r="G63" s="9" t="s">
        <v>237</v>
      </c>
    </row>
    <row r="64" spans="1:7" ht="15.75" x14ac:dyDescent="0.25">
      <c r="A64" s="81" t="s">
        <v>28</v>
      </c>
      <c r="B64" s="87" t="s">
        <v>848</v>
      </c>
      <c r="C64" s="87" t="s">
        <v>811</v>
      </c>
      <c r="D64" s="88" t="str">
        <f t="shared" si="1"/>
        <v/>
      </c>
      <c r="E64" s="9" t="s">
        <v>838</v>
      </c>
      <c r="F64" s="9" t="s">
        <v>129</v>
      </c>
      <c r="G64" s="9" t="s">
        <v>89</v>
      </c>
    </row>
    <row r="65" spans="1:7" ht="15.75" x14ac:dyDescent="0.25">
      <c r="A65" s="81" t="s">
        <v>761</v>
      </c>
      <c r="B65" s="87" t="s">
        <v>762</v>
      </c>
      <c r="C65" s="87" t="s">
        <v>809</v>
      </c>
      <c r="D65" s="88" t="str">
        <f t="shared" si="1"/>
        <v/>
      </c>
      <c r="E65" s="9" t="s">
        <v>46</v>
      </c>
      <c r="F65" s="9" t="s">
        <v>763</v>
      </c>
      <c r="G65" s="9" t="s">
        <v>764</v>
      </c>
    </row>
    <row r="66" spans="1:7" ht="15.75" x14ac:dyDescent="0.25">
      <c r="A66" s="81" t="s">
        <v>594</v>
      </c>
      <c r="B66" s="87" t="s">
        <v>842</v>
      </c>
      <c r="C66" s="87" t="s">
        <v>811</v>
      </c>
      <c r="D66" s="88" t="str">
        <f t="shared" si="1"/>
        <v/>
      </c>
      <c r="E66" s="9" t="s">
        <v>838</v>
      </c>
      <c r="F66" s="9" t="s">
        <v>595</v>
      </c>
      <c r="G66" s="9" t="s">
        <v>596</v>
      </c>
    </row>
    <row r="67" spans="1:7" ht="15.75" x14ac:dyDescent="0.25">
      <c r="A67" s="81" t="s">
        <v>625</v>
      </c>
      <c r="B67" s="87" t="s">
        <v>882</v>
      </c>
      <c r="C67" s="87" t="s">
        <v>811</v>
      </c>
      <c r="D67" s="88" t="str">
        <f t="shared" si="1"/>
        <v/>
      </c>
      <c r="E67" s="9" t="s">
        <v>838</v>
      </c>
      <c r="F67" s="9" t="s">
        <v>627</v>
      </c>
      <c r="G67" s="9" t="s">
        <v>628</v>
      </c>
    </row>
    <row r="68" spans="1:7" ht="15.75" x14ac:dyDescent="0.25">
      <c r="A68" s="81" t="s">
        <v>161</v>
      </c>
      <c r="B68" s="87" t="s">
        <v>825</v>
      </c>
      <c r="C68" s="87" t="s">
        <v>814</v>
      </c>
      <c r="D68" s="88" t="str">
        <f t="shared" si="1"/>
        <v/>
      </c>
      <c r="E68" s="9" t="s">
        <v>50</v>
      </c>
      <c r="F68" s="9" t="s">
        <v>162</v>
      </c>
      <c r="G68" s="9" t="s">
        <v>163</v>
      </c>
    </row>
    <row r="69" spans="1:7" ht="15.75" x14ac:dyDescent="0.25">
      <c r="A69" s="81" t="s">
        <v>168</v>
      </c>
      <c r="B69" s="87" t="s">
        <v>846</v>
      </c>
      <c r="C69" s="87" t="s">
        <v>811</v>
      </c>
      <c r="D69" s="88" t="str">
        <f t="shared" si="1"/>
        <v/>
      </c>
      <c r="E69" s="9" t="s">
        <v>838</v>
      </c>
      <c r="F69" s="9" t="s">
        <v>110</v>
      </c>
      <c r="G69" s="9" t="s">
        <v>81</v>
      </c>
    </row>
    <row r="70" spans="1:7" ht="15.75" x14ac:dyDescent="0.25">
      <c r="A70" s="81" t="s">
        <v>277</v>
      </c>
      <c r="B70" s="87" t="s">
        <v>394</v>
      </c>
      <c r="C70" s="87" t="s">
        <v>811</v>
      </c>
      <c r="D70" s="88" t="str">
        <f t="shared" si="1"/>
        <v/>
      </c>
      <c r="E70" s="9" t="s">
        <v>838</v>
      </c>
      <c r="F70" s="9" t="s">
        <v>94</v>
      </c>
      <c r="G70" s="9" t="s">
        <v>278</v>
      </c>
    </row>
    <row r="71" spans="1:7" ht="15.75" x14ac:dyDescent="0.25">
      <c r="A71" s="81" t="s">
        <v>15</v>
      </c>
      <c r="B71" s="87" t="s">
        <v>849</v>
      </c>
      <c r="C71" s="87" t="s">
        <v>811</v>
      </c>
      <c r="D71" s="88" t="str">
        <f t="shared" si="1"/>
        <v/>
      </c>
      <c r="E71" s="9" t="s">
        <v>838</v>
      </c>
      <c r="F71" s="9" t="s">
        <v>94</v>
      </c>
      <c r="G71" s="9" t="s">
        <v>142</v>
      </c>
    </row>
    <row r="72" spans="1:7" ht="15.75" x14ac:dyDescent="0.25">
      <c r="A72" s="81" t="s">
        <v>615</v>
      </c>
      <c r="B72" s="87" t="s">
        <v>850</v>
      </c>
      <c r="C72" s="87" t="s">
        <v>811</v>
      </c>
      <c r="D72" s="88" t="str">
        <f t="shared" si="1"/>
        <v/>
      </c>
      <c r="E72" s="9" t="s">
        <v>838</v>
      </c>
      <c r="F72" s="9" t="s">
        <v>94</v>
      </c>
      <c r="G72" s="9" t="s">
        <v>618</v>
      </c>
    </row>
    <row r="73" spans="1:7" ht="15.75" x14ac:dyDescent="0.25">
      <c r="A73" s="72" t="s">
        <v>698</v>
      </c>
      <c r="B73" s="87" t="s">
        <v>583</v>
      </c>
      <c r="C73" s="87" t="s">
        <v>900</v>
      </c>
      <c r="D73" s="88" t="str">
        <f t="shared" si="1"/>
        <v/>
      </c>
      <c r="E73" s="9" t="s">
        <v>532</v>
      </c>
      <c r="F73" s="9" t="s">
        <v>94</v>
      </c>
      <c r="G73" s="9" t="s">
        <v>584</v>
      </c>
    </row>
    <row r="74" spans="1:7" ht="15.75" x14ac:dyDescent="0.25">
      <c r="A74" s="81" t="s">
        <v>332</v>
      </c>
      <c r="B74" s="87" t="s">
        <v>333</v>
      </c>
      <c r="C74" s="87" t="s">
        <v>809</v>
      </c>
      <c r="D74" s="88" t="str">
        <f t="shared" si="1"/>
        <v/>
      </c>
      <c r="E74" s="9" t="s">
        <v>46</v>
      </c>
      <c r="F74" s="9" t="s">
        <v>94</v>
      </c>
      <c r="G74" s="9" t="s">
        <v>334</v>
      </c>
    </row>
    <row r="75" spans="1:7" ht="15.75" x14ac:dyDescent="0.25">
      <c r="A75" s="81" t="s">
        <v>16188</v>
      </c>
      <c r="B75" s="87" t="s">
        <v>835</v>
      </c>
      <c r="C75" s="87" t="s">
        <v>812</v>
      </c>
      <c r="D75" s="88" t="str">
        <f t="shared" si="1"/>
        <v/>
      </c>
      <c r="F75" s="9" t="s">
        <v>94</v>
      </c>
      <c r="G75" s="9" t="s">
        <v>16189</v>
      </c>
    </row>
    <row r="76" spans="1:7" ht="15.75" x14ac:dyDescent="0.25">
      <c r="A76" s="96" t="s">
        <v>473</v>
      </c>
      <c r="B76" s="87" t="s">
        <v>474</v>
      </c>
      <c r="C76" s="87" t="s">
        <v>892</v>
      </c>
      <c r="D76" s="88" t="str">
        <f t="shared" si="1"/>
        <v/>
      </c>
      <c r="E76" s="90" t="s">
        <v>475</v>
      </c>
      <c r="F76" s="90" t="s">
        <v>94</v>
      </c>
      <c r="G76" s="90" t="s">
        <v>476</v>
      </c>
    </row>
    <row r="77" spans="1:7" ht="15.75" x14ac:dyDescent="0.25">
      <c r="A77" s="81" t="s">
        <v>597</v>
      </c>
      <c r="B77" s="87" t="s">
        <v>880</v>
      </c>
      <c r="C77" s="87" t="s">
        <v>811</v>
      </c>
      <c r="D77" s="88" t="str">
        <f t="shared" si="1"/>
        <v/>
      </c>
      <c r="E77" s="9" t="s">
        <v>838</v>
      </c>
      <c r="F77" s="9" t="s">
        <v>94</v>
      </c>
      <c r="G77" s="9" t="s">
        <v>599</v>
      </c>
    </row>
    <row r="78" spans="1:7" ht="15.75" x14ac:dyDescent="0.25">
      <c r="A78" s="81" t="s">
        <v>328</v>
      </c>
      <c r="B78" s="87" t="s">
        <v>851</v>
      </c>
      <c r="C78" s="87" t="s">
        <v>811</v>
      </c>
      <c r="D78" s="88" t="str">
        <f t="shared" si="1"/>
        <v/>
      </c>
      <c r="E78" s="9" t="s">
        <v>838</v>
      </c>
      <c r="F78" s="9" t="s">
        <v>94</v>
      </c>
      <c r="G78" s="9" t="s">
        <v>329</v>
      </c>
    </row>
    <row r="79" spans="1:7" ht="15.75" x14ac:dyDescent="0.25">
      <c r="A79" s="81" t="s">
        <v>10</v>
      </c>
      <c r="B79" s="87" t="s">
        <v>852</v>
      </c>
      <c r="C79" s="87" t="s">
        <v>811</v>
      </c>
      <c r="D79" s="88" t="str">
        <f t="shared" si="1"/>
        <v/>
      </c>
      <c r="E79" s="9" t="s">
        <v>838</v>
      </c>
      <c r="F79" s="9" t="s">
        <v>94</v>
      </c>
      <c r="G79" s="9" t="s">
        <v>86</v>
      </c>
    </row>
    <row r="80" spans="1:7" ht="15.75" x14ac:dyDescent="0.25">
      <c r="A80" s="81" t="s">
        <v>477</v>
      </c>
      <c r="B80" s="87" t="s">
        <v>478</v>
      </c>
      <c r="C80" s="87" t="s">
        <v>889</v>
      </c>
      <c r="D80" s="88" t="str">
        <f t="shared" si="1"/>
        <v/>
      </c>
      <c r="E80" s="90" t="s">
        <v>453</v>
      </c>
      <c r="F80" s="90" t="s">
        <v>94</v>
      </c>
      <c r="G80" s="90" t="s">
        <v>479</v>
      </c>
    </row>
    <row r="81" spans="1:8" ht="15.75" x14ac:dyDescent="0.25">
      <c r="A81" s="81" t="s">
        <v>399</v>
      </c>
      <c r="B81" s="87" t="s">
        <v>853</v>
      </c>
      <c r="C81" s="87" t="s">
        <v>811</v>
      </c>
      <c r="D81" s="88" t="str">
        <f t="shared" si="1"/>
        <v/>
      </c>
      <c r="E81" s="9" t="s">
        <v>838</v>
      </c>
      <c r="F81" s="9" t="s">
        <v>94</v>
      </c>
      <c r="G81" s="9" t="s">
        <v>400</v>
      </c>
    </row>
    <row r="82" spans="1:8" ht="15.75" x14ac:dyDescent="0.25">
      <c r="A82" s="81" t="s">
        <v>1915</v>
      </c>
      <c r="B82" s="87" t="s">
        <v>1917</v>
      </c>
      <c r="C82" s="87" t="s">
        <v>809</v>
      </c>
      <c r="D82" s="88" t="str">
        <f t="shared" si="1"/>
        <v/>
      </c>
      <c r="E82" s="9" t="s">
        <v>46</v>
      </c>
      <c r="F82" s="9" t="s">
        <v>94</v>
      </c>
      <c r="G82" s="9" t="s">
        <v>1916</v>
      </c>
    </row>
    <row r="83" spans="1:8" ht="15.75" x14ac:dyDescent="0.25">
      <c r="A83" s="81" t="s">
        <v>616</v>
      </c>
      <c r="B83" s="87" t="s">
        <v>849</v>
      </c>
      <c r="C83" s="87" t="s">
        <v>811</v>
      </c>
      <c r="D83" s="88" t="str">
        <f t="shared" ref="D83:D114" si="2">IF(COUNTIF($A$15:$A$1428, A83)&gt;1, "Trùng Đại Lý", "")</f>
        <v/>
      </c>
      <c r="E83" s="9" t="s">
        <v>838</v>
      </c>
      <c r="F83" s="9" t="s">
        <v>94</v>
      </c>
      <c r="G83" s="9" t="s">
        <v>617</v>
      </c>
    </row>
    <row r="84" spans="1:8" ht="15.75" x14ac:dyDescent="0.25">
      <c r="A84" s="81" t="s">
        <v>14</v>
      </c>
      <c r="B84" s="87" t="s">
        <v>837</v>
      </c>
      <c r="C84" s="87" t="s">
        <v>811</v>
      </c>
      <c r="D84" s="88" t="str">
        <f t="shared" si="2"/>
        <v/>
      </c>
      <c r="E84" s="9" t="s">
        <v>838</v>
      </c>
      <c r="F84" s="9" t="s">
        <v>94</v>
      </c>
      <c r="G84" s="9" t="s">
        <v>173</v>
      </c>
    </row>
    <row r="85" spans="1:8" ht="15.75" x14ac:dyDescent="0.25">
      <c r="A85" s="81" t="s">
        <v>351</v>
      </c>
      <c r="B85" s="87" t="s">
        <v>854</v>
      </c>
      <c r="C85" s="87" t="s">
        <v>811</v>
      </c>
      <c r="D85" s="88" t="str">
        <f t="shared" si="2"/>
        <v/>
      </c>
      <c r="E85" s="9" t="s">
        <v>313</v>
      </c>
      <c r="F85" s="9" t="s">
        <v>349</v>
      </c>
      <c r="G85" s="9" t="s">
        <v>352</v>
      </c>
    </row>
    <row r="86" spans="1:8" ht="15.75" x14ac:dyDescent="0.25">
      <c r="A86" s="81" t="s">
        <v>397</v>
      </c>
      <c r="B86" s="87" t="s">
        <v>855</v>
      </c>
      <c r="C86" s="87" t="s">
        <v>811</v>
      </c>
      <c r="D86" s="88" t="str">
        <f t="shared" si="2"/>
        <v/>
      </c>
      <c r="E86" s="9" t="s">
        <v>313</v>
      </c>
      <c r="F86" s="9" t="s">
        <v>349</v>
      </c>
      <c r="G86" s="9" t="s">
        <v>398</v>
      </c>
    </row>
    <row r="87" spans="1:8" ht="15.75" x14ac:dyDescent="0.25">
      <c r="A87" s="81" t="s">
        <v>348</v>
      </c>
      <c r="B87" s="87" t="s">
        <v>849</v>
      </c>
      <c r="C87" s="87" t="s">
        <v>811</v>
      </c>
      <c r="D87" s="88" t="str">
        <f t="shared" si="2"/>
        <v/>
      </c>
      <c r="E87" s="9" t="s">
        <v>313</v>
      </c>
      <c r="F87" s="9" t="s">
        <v>349</v>
      </c>
      <c r="G87" s="9" t="s">
        <v>350</v>
      </c>
    </row>
    <row r="88" spans="1:8" ht="15.75" x14ac:dyDescent="0.25">
      <c r="A88" s="81" t="s">
        <v>480</v>
      </c>
      <c r="B88" s="87" t="s">
        <v>474</v>
      </c>
      <c r="C88" s="87" t="s">
        <v>892</v>
      </c>
      <c r="D88" s="88" t="str">
        <f t="shared" si="2"/>
        <v/>
      </c>
      <c r="E88" s="90" t="s">
        <v>475</v>
      </c>
      <c r="F88" s="90" t="s">
        <v>481</v>
      </c>
      <c r="G88" s="90" t="s">
        <v>482</v>
      </c>
    </row>
    <row r="89" spans="1:8" ht="15.75" x14ac:dyDescent="0.25">
      <c r="A89" s="81" t="s">
        <v>705</v>
      </c>
      <c r="B89" s="87" t="s">
        <v>884</v>
      </c>
      <c r="C89" s="87" t="s">
        <v>811</v>
      </c>
      <c r="D89" s="88" t="str">
        <f t="shared" si="2"/>
        <v/>
      </c>
      <c r="E89" s="9" t="s">
        <v>838</v>
      </c>
      <c r="F89" s="9" t="s">
        <v>707</v>
      </c>
      <c r="G89" s="9" t="s">
        <v>708</v>
      </c>
    </row>
    <row r="90" spans="1:8" ht="15.75" x14ac:dyDescent="0.25">
      <c r="A90" s="81" t="s">
        <v>650</v>
      </c>
      <c r="B90" s="87" t="s">
        <v>583</v>
      </c>
      <c r="C90" s="87" t="s">
        <v>900</v>
      </c>
      <c r="D90" s="88" t="str">
        <f t="shared" si="2"/>
        <v/>
      </c>
      <c r="E90" s="95" t="s">
        <v>532</v>
      </c>
      <c r="F90" s="9" t="s">
        <v>94</v>
      </c>
      <c r="G90" s="9" t="s">
        <v>584</v>
      </c>
      <c r="H90" s="95" t="s">
        <v>444</v>
      </c>
    </row>
    <row r="91" spans="1:8" ht="15.75" x14ac:dyDescent="0.25">
      <c r="A91" s="81" t="s">
        <v>657</v>
      </c>
      <c r="B91" s="87" t="s">
        <v>881</v>
      </c>
      <c r="C91" s="87" t="s">
        <v>811</v>
      </c>
      <c r="D91" s="88" t="str">
        <f t="shared" si="2"/>
        <v/>
      </c>
      <c r="E91" s="9" t="s">
        <v>838</v>
      </c>
      <c r="F91" s="9" t="s">
        <v>658</v>
      </c>
      <c r="G91" s="9" t="s">
        <v>659</v>
      </c>
    </row>
    <row r="92" spans="1:8" ht="15.75" x14ac:dyDescent="0.25">
      <c r="A92" s="81" t="s">
        <v>483</v>
      </c>
      <c r="B92" s="87" t="s">
        <v>484</v>
      </c>
      <c r="C92" s="87" t="s">
        <v>889</v>
      </c>
      <c r="D92" s="88" t="str">
        <f t="shared" si="2"/>
        <v/>
      </c>
      <c r="E92" s="90" t="s">
        <v>453</v>
      </c>
      <c r="F92" s="90" t="s">
        <v>485</v>
      </c>
      <c r="G92" s="90" t="s">
        <v>486</v>
      </c>
    </row>
    <row r="93" spans="1:8" ht="15.75" x14ac:dyDescent="0.25">
      <c r="A93" s="81" t="s">
        <v>660</v>
      </c>
      <c r="B93" s="87" t="s">
        <v>823</v>
      </c>
      <c r="C93" s="87" t="s">
        <v>823</v>
      </c>
      <c r="D93" s="88" t="str">
        <f t="shared" si="2"/>
        <v/>
      </c>
      <c r="E93" s="9" t="s">
        <v>51</v>
      </c>
      <c r="F93" s="9" t="s">
        <v>661</v>
      </c>
      <c r="G93" s="9" t="s">
        <v>662</v>
      </c>
    </row>
    <row r="94" spans="1:8" ht="15.75" x14ac:dyDescent="0.25">
      <c r="A94" s="81" t="s">
        <v>221</v>
      </c>
      <c r="B94" s="87" t="s">
        <v>857</v>
      </c>
      <c r="C94" s="87" t="s">
        <v>811</v>
      </c>
      <c r="D94" s="88" t="str">
        <f t="shared" si="2"/>
        <v/>
      </c>
      <c r="E94" s="9" t="s">
        <v>838</v>
      </c>
      <c r="F94" s="9" t="s">
        <v>222</v>
      </c>
      <c r="G94" s="9" t="s">
        <v>223</v>
      </c>
    </row>
    <row r="95" spans="1:8" ht="15.75" x14ac:dyDescent="0.25">
      <c r="A95" s="81" t="s">
        <v>290</v>
      </c>
      <c r="B95" s="87" t="s">
        <v>856</v>
      </c>
      <c r="C95" s="87" t="s">
        <v>811</v>
      </c>
      <c r="D95" s="88" t="str">
        <f t="shared" si="2"/>
        <v/>
      </c>
      <c r="E95" s="9" t="s">
        <v>838</v>
      </c>
      <c r="F95" s="9" t="s">
        <v>104</v>
      </c>
      <c r="G95" s="9" t="s">
        <v>291</v>
      </c>
    </row>
    <row r="96" spans="1:8" ht="15.75" x14ac:dyDescent="0.25">
      <c r="A96" s="81" t="s">
        <v>1952</v>
      </c>
      <c r="B96" s="87" t="s">
        <v>1953</v>
      </c>
      <c r="C96" s="87" t="s">
        <v>902</v>
      </c>
      <c r="D96" s="88" t="str">
        <f t="shared" si="2"/>
        <v/>
      </c>
      <c r="F96" s="9" t="s">
        <v>16166</v>
      </c>
      <c r="G96" s="9" t="s">
        <v>16167</v>
      </c>
    </row>
    <row r="97" spans="1:7" ht="15.75" x14ac:dyDescent="0.25">
      <c r="A97" s="81" t="s">
        <v>589</v>
      </c>
      <c r="B97" s="87" t="s">
        <v>590</v>
      </c>
      <c r="C97" s="87" t="s">
        <v>903</v>
      </c>
      <c r="D97" s="88" t="str">
        <f t="shared" si="2"/>
        <v/>
      </c>
      <c r="E97" s="95" t="s">
        <v>590</v>
      </c>
      <c r="F97" s="9" t="s">
        <v>591</v>
      </c>
      <c r="G97" s="9" t="s">
        <v>592</v>
      </c>
    </row>
    <row r="98" spans="1:7" ht="15.75" x14ac:dyDescent="0.25">
      <c r="A98" s="81" t="s">
        <v>309</v>
      </c>
      <c r="B98" s="87" t="s">
        <v>310</v>
      </c>
      <c r="C98" s="87" t="s">
        <v>808</v>
      </c>
      <c r="D98" s="88" t="str">
        <f t="shared" si="2"/>
        <v/>
      </c>
      <c r="E98" s="9" t="s">
        <v>288</v>
      </c>
      <c r="F98" s="9" t="s">
        <v>311</v>
      </c>
      <c r="G98" s="9" t="s">
        <v>312</v>
      </c>
    </row>
    <row r="99" spans="1:7" ht="15.75" x14ac:dyDescent="0.25">
      <c r="A99" s="81" t="s">
        <v>426</v>
      </c>
      <c r="B99" s="87" t="s">
        <v>819</v>
      </c>
      <c r="C99" s="87" t="s">
        <v>811</v>
      </c>
      <c r="D99" s="88" t="str">
        <f t="shared" si="2"/>
        <v/>
      </c>
      <c r="E99" s="9" t="s">
        <v>48</v>
      </c>
      <c r="F99" s="9" t="s">
        <v>428</v>
      </c>
      <c r="G99" s="9" t="s">
        <v>429</v>
      </c>
    </row>
    <row r="100" spans="1:7" ht="15.75" x14ac:dyDescent="0.25">
      <c r="A100" s="81" t="s">
        <v>608</v>
      </c>
      <c r="B100" s="87" t="s">
        <v>842</v>
      </c>
      <c r="C100" s="87" t="s">
        <v>811</v>
      </c>
      <c r="D100" s="88" t="str">
        <f t="shared" si="2"/>
        <v/>
      </c>
      <c r="E100" s="9" t="s">
        <v>838</v>
      </c>
      <c r="F100" s="9" t="s">
        <v>609</v>
      </c>
      <c r="G100" s="9" t="s">
        <v>610</v>
      </c>
    </row>
    <row r="101" spans="1:7" ht="15.75" x14ac:dyDescent="0.25">
      <c r="A101" s="81" t="s">
        <v>1998</v>
      </c>
      <c r="B101" s="87" t="s">
        <v>16199</v>
      </c>
      <c r="C101" s="87" t="s">
        <v>2001</v>
      </c>
      <c r="D101" s="88" t="str">
        <f t="shared" si="2"/>
        <v/>
      </c>
      <c r="F101" s="9" t="s">
        <v>1999</v>
      </c>
      <c r="G101" s="9" t="s">
        <v>2000</v>
      </c>
    </row>
    <row r="102" spans="1:7" ht="15.75" x14ac:dyDescent="0.25">
      <c r="A102" s="81" t="s">
        <v>487</v>
      </c>
      <c r="B102" s="87" t="s">
        <v>488</v>
      </c>
      <c r="C102" s="87" t="s">
        <v>488</v>
      </c>
      <c r="D102" s="88" t="str">
        <f t="shared" si="2"/>
        <v/>
      </c>
      <c r="E102" s="90" t="s">
        <v>489</v>
      </c>
      <c r="F102" s="90" t="s">
        <v>490</v>
      </c>
    </row>
    <row r="103" spans="1:7" ht="15.75" x14ac:dyDescent="0.25">
      <c r="A103" s="81" t="s">
        <v>423</v>
      </c>
      <c r="B103" s="87" t="s">
        <v>820</v>
      </c>
      <c r="C103" s="87" t="s">
        <v>811</v>
      </c>
      <c r="D103" s="88" t="str">
        <f t="shared" si="2"/>
        <v/>
      </c>
      <c r="E103" s="9" t="s">
        <v>48</v>
      </c>
      <c r="F103" s="9" t="s">
        <v>424</v>
      </c>
      <c r="G103" s="9" t="s">
        <v>425</v>
      </c>
    </row>
    <row r="104" spans="1:7" ht="15.75" x14ac:dyDescent="0.25">
      <c r="A104" s="81" t="s">
        <v>23</v>
      </c>
      <c r="B104" s="87" t="s">
        <v>841</v>
      </c>
      <c r="C104" s="87" t="s">
        <v>811</v>
      </c>
      <c r="D104" s="88" t="str">
        <f t="shared" si="2"/>
        <v/>
      </c>
      <c r="E104" s="9" t="s">
        <v>838</v>
      </c>
      <c r="F104" s="9" t="s">
        <v>105</v>
      </c>
      <c r="G104" s="9" t="s">
        <v>74</v>
      </c>
    </row>
    <row r="105" spans="1:7" ht="15.75" x14ac:dyDescent="0.25">
      <c r="A105" s="81" t="s">
        <v>232</v>
      </c>
      <c r="B105" s="87" t="s">
        <v>394</v>
      </c>
      <c r="C105" s="87" t="s">
        <v>811</v>
      </c>
      <c r="D105" s="88" t="str">
        <f t="shared" si="2"/>
        <v/>
      </c>
      <c r="E105" s="9" t="s">
        <v>838</v>
      </c>
      <c r="F105" s="9" t="s">
        <v>166</v>
      </c>
      <c r="G105" s="9" t="s">
        <v>167</v>
      </c>
    </row>
    <row r="106" spans="1:7" ht="15.75" x14ac:dyDescent="0.25">
      <c r="A106" s="81" t="s">
        <v>911</v>
      </c>
      <c r="B106" s="87" t="s">
        <v>915</v>
      </c>
      <c r="C106" s="87" t="s">
        <v>914</v>
      </c>
      <c r="D106" s="88" t="str">
        <f t="shared" si="2"/>
        <v/>
      </c>
      <c r="F106" s="9" t="s">
        <v>912</v>
      </c>
      <c r="G106" s="9" t="s">
        <v>913</v>
      </c>
    </row>
    <row r="107" spans="1:7" ht="15.75" x14ac:dyDescent="0.25">
      <c r="A107" s="81" t="s">
        <v>29</v>
      </c>
      <c r="B107" s="87" t="s">
        <v>846</v>
      </c>
      <c r="C107" s="87" t="s">
        <v>811</v>
      </c>
      <c r="D107" s="88" t="str">
        <f t="shared" si="2"/>
        <v/>
      </c>
      <c r="E107" s="9" t="s">
        <v>838</v>
      </c>
      <c r="F107" s="9" t="s">
        <v>147</v>
      </c>
      <c r="G107" s="9" t="s">
        <v>75</v>
      </c>
    </row>
    <row r="108" spans="1:7" ht="15.75" x14ac:dyDescent="0.25">
      <c r="A108" s="81" t="s">
        <v>283</v>
      </c>
      <c r="B108" s="87" t="s">
        <v>856</v>
      </c>
      <c r="C108" s="87" t="s">
        <v>811</v>
      </c>
      <c r="D108" s="88" t="str">
        <f t="shared" si="2"/>
        <v/>
      </c>
      <c r="E108" s="9" t="s">
        <v>838</v>
      </c>
      <c r="F108" s="9" t="s">
        <v>185</v>
      </c>
      <c r="G108" s="9" t="s">
        <v>186</v>
      </c>
    </row>
    <row r="109" spans="1:7" ht="15.75" x14ac:dyDescent="0.25">
      <c r="A109" s="33" t="s">
        <v>491</v>
      </c>
      <c r="B109" s="87" t="s">
        <v>492</v>
      </c>
      <c r="C109" s="87" t="s">
        <v>895</v>
      </c>
      <c r="D109" s="88" t="str">
        <f t="shared" si="2"/>
        <v>Trùng Đại Lý</v>
      </c>
      <c r="E109" s="38" t="s">
        <v>493</v>
      </c>
      <c r="F109" s="90" t="s">
        <v>494</v>
      </c>
      <c r="G109" s="90" t="s">
        <v>495</v>
      </c>
    </row>
    <row r="110" spans="1:7" ht="15.75" x14ac:dyDescent="0.25">
      <c r="A110" s="97" t="s">
        <v>491</v>
      </c>
      <c r="B110" s="87" t="s">
        <v>894</v>
      </c>
      <c r="C110" s="87" t="s">
        <v>893</v>
      </c>
      <c r="D110" s="88" t="str">
        <f t="shared" si="2"/>
        <v>Trùng Đại Lý</v>
      </c>
      <c r="E110" s="98" t="s">
        <v>785</v>
      </c>
      <c r="F110" s="99" t="s">
        <v>494</v>
      </c>
      <c r="G110" s="90" t="s">
        <v>786</v>
      </c>
    </row>
    <row r="111" spans="1:7" ht="15.75" x14ac:dyDescent="0.25">
      <c r="A111" s="81" t="s">
        <v>496</v>
      </c>
      <c r="B111" s="87" t="s">
        <v>497</v>
      </c>
      <c r="C111" s="87" t="s">
        <v>896</v>
      </c>
      <c r="D111" s="88" t="str">
        <f t="shared" si="2"/>
        <v/>
      </c>
      <c r="E111" s="90" t="s">
        <v>497</v>
      </c>
      <c r="F111" s="90" t="s">
        <v>498</v>
      </c>
      <c r="G111" s="90" t="s">
        <v>499</v>
      </c>
    </row>
    <row r="112" spans="1:7" ht="15.75" x14ac:dyDescent="0.25">
      <c r="A112" s="81" t="s">
        <v>680</v>
      </c>
      <c r="B112" s="87" t="s">
        <v>837</v>
      </c>
      <c r="C112" s="87" t="s">
        <v>811</v>
      </c>
      <c r="D112" s="88" t="str">
        <f t="shared" si="2"/>
        <v/>
      </c>
      <c r="E112" s="9" t="s">
        <v>838</v>
      </c>
      <c r="F112" s="9" t="s">
        <v>681</v>
      </c>
      <c r="G112" s="9" t="s">
        <v>682</v>
      </c>
    </row>
    <row r="113" spans="1:7" ht="15.75" x14ac:dyDescent="0.25">
      <c r="A113" s="81" t="s">
        <v>219</v>
      </c>
      <c r="B113" s="87" t="s">
        <v>95</v>
      </c>
      <c r="C113" s="87" t="s">
        <v>95</v>
      </c>
      <c r="D113" s="88" t="str">
        <f t="shared" si="2"/>
        <v/>
      </c>
      <c r="E113" s="9" t="s">
        <v>52</v>
      </c>
      <c r="F113" s="9" t="s">
        <v>204</v>
      </c>
      <c r="G113" s="9" t="s">
        <v>205</v>
      </c>
    </row>
    <row r="114" spans="1:7" ht="15.75" x14ac:dyDescent="0.25">
      <c r="A114" s="81" t="s">
        <v>623</v>
      </c>
      <c r="B114" s="87" t="s">
        <v>95</v>
      </c>
      <c r="C114" s="87" t="s">
        <v>95</v>
      </c>
      <c r="D114" s="88" t="str">
        <f t="shared" si="2"/>
        <v/>
      </c>
      <c r="E114" s="9" t="s">
        <v>52</v>
      </c>
      <c r="F114" s="9" t="s">
        <v>204</v>
      </c>
      <c r="G114" s="9" t="s">
        <v>624</v>
      </c>
    </row>
    <row r="115" spans="1:7" ht="15.75" x14ac:dyDescent="0.25">
      <c r="A115" s="81" t="s">
        <v>220</v>
      </c>
      <c r="B115" s="87" t="s">
        <v>855</v>
      </c>
      <c r="C115" s="87" t="s">
        <v>811</v>
      </c>
      <c r="D115" s="88" t="str">
        <f t="shared" ref="D115:D147" si="3">IF(COUNTIF($A$15:$A$1428, A115)&gt;1, "Trùng Đại Lý", "")</f>
        <v>Trùng Đại Lý</v>
      </c>
      <c r="E115" s="9" t="s">
        <v>838</v>
      </c>
      <c r="F115" s="9" t="s">
        <v>103</v>
      </c>
      <c r="G115" s="9" t="s">
        <v>183</v>
      </c>
    </row>
    <row r="116" spans="1:7" ht="15.75" x14ac:dyDescent="0.25">
      <c r="A116" s="81" t="s">
        <v>220</v>
      </c>
      <c r="B116" s="87" t="s">
        <v>862</v>
      </c>
      <c r="C116" s="87" t="s">
        <v>811</v>
      </c>
      <c r="D116" s="88" t="str">
        <f t="shared" si="3"/>
        <v>Trùng Đại Lý</v>
      </c>
      <c r="E116" s="9" t="s">
        <v>838</v>
      </c>
      <c r="F116" s="9" t="s">
        <v>103</v>
      </c>
      <c r="G116" s="9" t="s">
        <v>917</v>
      </c>
    </row>
    <row r="117" spans="1:7" ht="15.75" x14ac:dyDescent="0.25">
      <c r="A117" s="81" t="s">
        <v>20</v>
      </c>
      <c r="B117" s="87" t="s">
        <v>394</v>
      </c>
      <c r="C117" s="87" t="s">
        <v>811</v>
      </c>
      <c r="D117" s="88" t="str">
        <f t="shared" si="3"/>
        <v/>
      </c>
      <c r="E117" s="9" t="s">
        <v>838</v>
      </c>
      <c r="F117" s="9" t="s">
        <v>138</v>
      </c>
      <c r="G117" s="9" t="s">
        <v>139</v>
      </c>
    </row>
    <row r="118" spans="1:7" ht="15.75" x14ac:dyDescent="0.25">
      <c r="A118" s="72" t="s">
        <v>500</v>
      </c>
      <c r="B118" s="87" t="s">
        <v>501</v>
      </c>
      <c r="C118" s="87" t="s">
        <v>897</v>
      </c>
      <c r="D118" s="88" t="str">
        <f t="shared" si="3"/>
        <v/>
      </c>
      <c r="E118" s="9" t="s">
        <v>502</v>
      </c>
      <c r="F118" s="9" t="s">
        <v>503</v>
      </c>
      <c r="G118" s="9" t="s">
        <v>504</v>
      </c>
    </row>
    <row r="119" spans="1:7" ht="15.75" x14ac:dyDescent="0.25">
      <c r="A119" s="81" t="s">
        <v>269</v>
      </c>
      <c r="B119" s="87" t="s">
        <v>368</v>
      </c>
      <c r="C119" s="87" t="s">
        <v>811</v>
      </c>
      <c r="D119" s="88" t="str">
        <f t="shared" si="3"/>
        <v/>
      </c>
      <c r="E119" s="9" t="s">
        <v>838</v>
      </c>
      <c r="F119" s="9" t="s">
        <v>270</v>
      </c>
      <c r="G119" s="9" t="s">
        <v>271</v>
      </c>
    </row>
    <row r="120" spans="1:7" ht="15.75" x14ac:dyDescent="0.25">
      <c r="A120" s="81" t="s">
        <v>803</v>
      </c>
      <c r="B120" s="87" t="s">
        <v>665</v>
      </c>
      <c r="C120" s="87" t="s">
        <v>809</v>
      </c>
      <c r="D120" s="88" t="str">
        <f t="shared" si="3"/>
        <v/>
      </c>
      <c r="E120" s="9" t="s">
        <v>665</v>
      </c>
      <c r="F120" s="9" t="s">
        <v>804</v>
      </c>
      <c r="G120" s="9" t="s">
        <v>805</v>
      </c>
    </row>
    <row r="121" spans="1:7" ht="15.75" x14ac:dyDescent="0.25">
      <c r="A121" s="81" t="s">
        <v>744</v>
      </c>
      <c r="B121" s="87" t="s">
        <v>879</v>
      </c>
      <c r="C121" s="87" t="s">
        <v>811</v>
      </c>
      <c r="D121" s="88" t="str">
        <f t="shared" si="3"/>
        <v>Trùng Đại Lý</v>
      </c>
      <c r="E121" s="9" t="s">
        <v>838</v>
      </c>
      <c r="F121" s="9" t="s">
        <v>745</v>
      </c>
      <c r="G121" s="9" t="s">
        <v>746</v>
      </c>
    </row>
    <row r="122" spans="1:7" ht="15.75" x14ac:dyDescent="0.25">
      <c r="A122" s="81" t="s">
        <v>744</v>
      </c>
      <c r="B122" s="87" t="s">
        <v>887</v>
      </c>
      <c r="C122" s="87" t="s">
        <v>811</v>
      </c>
      <c r="D122" s="88" t="str">
        <f t="shared" si="3"/>
        <v>Trùng Đại Lý</v>
      </c>
      <c r="E122" s="9" t="s">
        <v>838</v>
      </c>
      <c r="F122" s="9" t="s">
        <v>745</v>
      </c>
      <c r="G122" s="9" t="s">
        <v>781</v>
      </c>
    </row>
    <row r="123" spans="1:7" ht="15.75" x14ac:dyDescent="0.25">
      <c r="A123" s="81" t="s">
        <v>722</v>
      </c>
      <c r="B123" s="87" t="s">
        <v>835</v>
      </c>
      <c r="C123" s="87" t="s">
        <v>812</v>
      </c>
      <c r="D123" s="88" t="str">
        <f t="shared" si="3"/>
        <v/>
      </c>
      <c r="E123" s="9" t="s">
        <v>49</v>
      </c>
      <c r="F123" s="9" t="s">
        <v>724</v>
      </c>
      <c r="G123" s="9" t="s">
        <v>725</v>
      </c>
    </row>
    <row r="124" spans="1:7" ht="15.75" x14ac:dyDescent="0.25">
      <c r="A124" s="81" t="s">
        <v>922</v>
      </c>
      <c r="B124" s="87" t="s">
        <v>1906</v>
      </c>
      <c r="C124" s="87" t="s">
        <v>828</v>
      </c>
      <c r="D124" s="88" t="str">
        <f t="shared" si="3"/>
        <v/>
      </c>
      <c r="F124" s="9" t="s">
        <v>923</v>
      </c>
      <c r="G124" s="9" t="s">
        <v>924</v>
      </c>
    </row>
    <row r="125" spans="1:7" ht="15.75" x14ac:dyDescent="0.25">
      <c r="A125" s="81" t="s">
        <v>919</v>
      </c>
      <c r="B125" s="87" t="s">
        <v>288</v>
      </c>
      <c r="C125" s="87" t="s">
        <v>808</v>
      </c>
      <c r="D125" s="88" t="str">
        <f t="shared" si="3"/>
        <v/>
      </c>
      <c r="F125" s="9" t="s">
        <v>920</v>
      </c>
      <c r="G125" s="9" t="s">
        <v>921</v>
      </c>
    </row>
    <row r="126" spans="1:7" ht="15.75" x14ac:dyDescent="0.25">
      <c r="A126" s="81" t="s">
        <v>5</v>
      </c>
      <c r="B126" s="87" t="s">
        <v>858</v>
      </c>
      <c r="C126" s="87" t="s">
        <v>811</v>
      </c>
      <c r="D126" s="88" t="str">
        <f t="shared" si="3"/>
        <v/>
      </c>
      <c r="E126" s="9" t="s">
        <v>838</v>
      </c>
      <c r="F126" s="9" t="s">
        <v>111</v>
      </c>
      <c r="G126" s="9" t="s">
        <v>72</v>
      </c>
    </row>
    <row r="127" spans="1:7" ht="15.75" x14ac:dyDescent="0.25">
      <c r="A127" s="81" t="s">
        <v>611</v>
      </c>
      <c r="B127" s="87" t="s">
        <v>830</v>
      </c>
      <c r="C127" s="87" t="s">
        <v>828</v>
      </c>
      <c r="D127" s="88" t="str">
        <f t="shared" si="3"/>
        <v/>
      </c>
      <c r="E127" s="9" t="s">
        <v>252</v>
      </c>
      <c r="F127" s="9" t="s">
        <v>613</v>
      </c>
      <c r="G127" s="9" t="s">
        <v>614</v>
      </c>
    </row>
    <row r="128" spans="1:7" ht="15.75" x14ac:dyDescent="0.25">
      <c r="A128" s="81" t="s">
        <v>8</v>
      </c>
      <c r="B128" s="87" t="s">
        <v>859</v>
      </c>
      <c r="C128" s="87" t="s">
        <v>811</v>
      </c>
      <c r="D128" s="88" t="str">
        <f t="shared" si="3"/>
        <v/>
      </c>
      <c r="E128" s="9" t="s">
        <v>838</v>
      </c>
      <c r="F128" s="9" t="s">
        <v>124</v>
      </c>
      <c r="G128" s="9" t="s">
        <v>145</v>
      </c>
    </row>
    <row r="129" spans="1:7" ht="15.75" x14ac:dyDescent="0.25">
      <c r="A129" s="81" t="s">
        <v>308</v>
      </c>
      <c r="B129" s="87" t="s">
        <v>817</v>
      </c>
      <c r="C129" s="87" t="s">
        <v>812</v>
      </c>
      <c r="D129" s="88" t="str">
        <f t="shared" si="3"/>
        <v/>
      </c>
      <c r="E129" s="9" t="s">
        <v>293</v>
      </c>
      <c r="F129" s="9" t="s">
        <v>294</v>
      </c>
      <c r="G129" s="9" t="s">
        <v>295</v>
      </c>
    </row>
    <row r="130" spans="1:7" ht="15.75" x14ac:dyDescent="0.25">
      <c r="A130" s="81" t="s">
        <v>279</v>
      </c>
      <c r="B130" s="87" t="s">
        <v>861</v>
      </c>
      <c r="C130" s="87" t="s">
        <v>811</v>
      </c>
      <c r="D130" s="88" t="str">
        <f t="shared" si="3"/>
        <v/>
      </c>
      <c r="E130" s="9" t="s">
        <v>838</v>
      </c>
      <c r="F130" s="9" t="s">
        <v>177</v>
      </c>
      <c r="G130" s="9" t="s">
        <v>280</v>
      </c>
    </row>
    <row r="131" spans="1:7" ht="15.75" x14ac:dyDescent="0.25">
      <c r="A131" s="81" t="s">
        <v>353</v>
      </c>
      <c r="B131" s="87" t="s">
        <v>862</v>
      </c>
      <c r="C131" s="87" t="s">
        <v>811</v>
      </c>
      <c r="D131" s="88" t="str">
        <f t="shared" si="3"/>
        <v/>
      </c>
      <c r="E131" s="9" t="s">
        <v>313</v>
      </c>
      <c r="F131" s="9" t="s">
        <v>354</v>
      </c>
      <c r="G131" s="9" t="s">
        <v>355</v>
      </c>
    </row>
    <row r="132" spans="1:7" ht="15.75" x14ac:dyDescent="0.25">
      <c r="A132" s="81" t="s">
        <v>505</v>
      </c>
      <c r="B132" s="87" t="s">
        <v>484</v>
      </c>
      <c r="C132" s="87" t="s">
        <v>889</v>
      </c>
      <c r="D132" s="88" t="str">
        <f t="shared" si="3"/>
        <v/>
      </c>
      <c r="E132" s="90" t="s">
        <v>453</v>
      </c>
      <c r="F132" s="90" t="s">
        <v>506</v>
      </c>
      <c r="G132" s="90" t="s">
        <v>507</v>
      </c>
    </row>
    <row r="133" spans="1:7" ht="15.75" x14ac:dyDescent="0.25">
      <c r="A133" s="81" t="s">
        <v>508</v>
      </c>
      <c r="B133" s="87" t="s">
        <v>478</v>
      </c>
      <c r="C133" s="87" t="s">
        <v>889</v>
      </c>
      <c r="D133" s="88" t="str">
        <f t="shared" si="3"/>
        <v/>
      </c>
      <c r="E133" s="90" t="s">
        <v>453</v>
      </c>
      <c r="F133" s="90" t="s">
        <v>506</v>
      </c>
      <c r="G133" s="90" t="s">
        <v>509</v>
      </c>
    </row>
    <row r="134" spans="1:7" ht="15.75" x14ac:dyDescent="0.25">
      <c r="A134" s="81" t="s">
        <v>340</v>
      </c>
      <c r="B134" s="87" t="s">
        <v>841</v>
      </c>
      <c r="C134" s="87" t="s">
        <v>811</v>
      </c>
      <c r="D134" s="88" t="str">
        <f t="shared" si="3"/>
        <v/>
      </c>
      <c r="E134" s="9" t="s">
        <v>313</v>
      </c>
      <c r="F134" s="9" t="s">
        <v>341</v>
      </c>
      <c r="G134" s="9" t="s">
        <v>342</v>
      </c>
    </row>
    <row r="135" spans="1:7" ht="15.75" x14ac:dyDescent="0.25">
      <c r="A135" s="81" t="s">
        <v>1911</v>
      </c>
      <c r="B135" s="87" t="s">
        <v>863</v>
      </c>
      <c r="C135" s="87" t="s">
        <v>811</v>
      </c>
      <c r="D135" s="88" t="str">
        <f t="shared" si="3"/>
        <v/>
      </c>
      <c r="E135" s="9" t="s">
        <v>313</v>
      </c>
      <c r="F135" s="9" t="s">
        <v>341</v>
      </c>
      <c r="G135" s="9" t="s">
        <v>344</v>
      </c>
    </row>
    <row r="136" spans="1:7" ht="15.75" x14ac:dyDescent="0.25">
      <c r="A136" s="81" t="s">
        <v>345</v>
      </c>
      <c r="B136" s="87" t="s">
        <v>864</v>
      </c>
      <c r="C136" s="87" t="s">
        <v>811</v>
      </c>
      <c r="D136" s="88" t="str">
        <f t="shared" si="3"/>
        <v/>
      </c>
      <c r="E136" s="9" t="s">
        <v>313</v>
      </c>
      <c r="F136" s="9" t="s">
        <v>346</v>
      </c>
      <c r="G136" s="9" t="s">
        <v>347</v>
      </c>
    </row>
    <row r="137" spans="1:7" ht="15.75" x14ac:dyDescent="0.25">
      <c r="A137" s="81" t="s">
        <v>16225</v>
      </c>
      <c r="B137" s="87" t="s">
        <v>418</v>
      </c>
      <c r="C137" s="87" t="s">
        <v>809</v>
      </c>
      <c r="D137" s="88" t="str">
        <f t="shared" si="3"/>
        <v/>
      </c>
      <c r="F137" s="9" t="s">
        <v>16223</v>
      </c>
      <c r="G137" s="9" t="s">
        <v>16224</v>
      </c>
    </row>
    <row r="138" spans="1:7" ht="15.75" x14ac:dyDescent="0.25">
      <c r="A138" s="81" t="s">
        <v>24</v>
      </c>
      <c r="B138" s="87" t="s">
        <v>860</v>
      </c>
      <c r="C138" s="87" t="s">
        <v>811</v>
      </c>
      <c r="D138" s="88" t="str">
        <f t="shared" si="3"/>
        <v/>
      </c>
      <c r="E138" s="9" t="s">
        <v>838</v>
      </c>
      <c r="F138" s="9" t="s">
        <v>132</v>
      </c>
      <c r="G138" s="9" t="s">
        <v>133</v>
      </c>
    </row>
    <row r="139" spans="1:7" ht="15.75" x14ac:dyDescent="0.25">
      <c r="A139" s="81" t="s">
        <v>510</v>
      </c>
      <c r="B139" s="87" t="s">
        <v>511</v>
      </c>
      <c r="C139" s="87" t="s">
        <v>898</v>
      </c>
      <c r="D139" s="88" t="str">
        <f t="shared" si="3"/>
        <v/>
      </c>
      <c r="E139" s="90" t="s">
        <v>511</v>
      </c>
      <c r="F139" s="90" t="s">
        <v>512</v>
      </c>
      <c r="G139" s="90" t="s">
        <v>513</v>
      </c>
    </row>
    <row r="140" spans="1:7" ht="15.75" x14ac:dyDescent="0.25">
      <c r="A140" s="81" t="s">
        <v>514</v>
      </c>
      <c r="B140" s="87" t="s">
        <v>515</v>
      </c>
      <c r="C140" s="87" t="s">
        <v>899</v>
      </c>
      <c r="D140" s="88" t="str">
        <f t="shared" si="3"/>
        <v/>
      </c>
      <c r="E140" s="90" t="s">
        <v>515</v>
      </c>
      <c r="F140" s="90" t="s">
        <v>516</v>
      </c>
      <c r="G140" s="90" t="s">
        <v>517</v>
      </c>
    </row>
    <row r="141" spans="1:7" ht="15.75" x14ac:dyDescent="0.25">
      <c r="A141" s="81" t="s">
        <v>702</v>
      </c>
      <c r="B141" s="87" t="s">
        <v>870</v>
      </c>
      <c r="C141" s="87" t="s">
        <v>811</v>
      </c>
      <c r="D141" s="88" t="str">
        <f t="shared" si="3"/>
        <v/>
      </c>
      <c r="E141" s="9" t="s">
        <v>838</v>
      </c>
      <c r="F141" s="9" t="s">
        <v>703</v>
      </c>
      <c r="G141" s="9" t="s">
        <v>704</v>
      </c>
    </row>
    <row r="142" spans="1:7" ht="15.75" x14ac:dyDescent="0.25">
      <c r="A142" s="81" t="s">
        <v>22</v>
      </c>
      <c r="B142" s="87" t="s">
        <v>865</v>
      </c>
      <c r="C142" s="87" t="s">
        <v>811</v>
      </c>
      <c r="D142" s="88" t="str">
        <f t="shared" si="3"/>
        <v/>
      </c>
      <c r="E142" s="9" t="s">
        <v>838</v>
      </c>
      <c r="F142" s="9" t="s">
        <v>93</v>
      </c>
      <c r="G142" s="9" t="s">
        <v>141</v>
      </c>
    </row>
    <row r="143" spans="1:7" ht="15.75" x14ac:dyDescent="0.25">
      <c r="A143" s="81" t="s">
        <v>45</v>
      </c>
      <c r="B143" s="87" t="s">
        <v>181</v>
      </c>
      <c r="C143" s="87" t="s">
        <v>809</v>
      </c>
      <c r="D143" s="88" t="str">
        <f t="shared" si="3"/>
        <v/>
      </c>
      <c r="E143" s="9" t="s">
        <v>46</v>
      </c>
      <c r="F143" s="9" t="s">
        <v>93</v>
      </c>
      <c r="G143" s="9" t="s">
        <v>66</v>
      </c>
    </row>
    <row r="144" spans="1:7" ht="15.75" x14ac:dyDescent="0.25">
      <c r="A144" s="81" t="s">
        <v>11</v>
      </c>
      <c r="B144" s="87" t="s">
        <v>861</v>
      </c>
      <c r="C144" s="87" t="s">
        <v>811</v>
      </c>
      <c r="D144" s="88" t="str">
        <f t="shared" si="3"/>
        <v/>
      </c>
      <c r="E144" s="9" t="s">
        <v>838</v>
      </c>
      <c r="F144" s="9" t="s">
        <v>93</v>
      </c>
      <c r="G144" s="9" t="s">
        <v>65</v>
      </c>
    </row>
    <row r="145" spans="1:8" ht="15.75" x14ac:dyDescent="0.25">
      <c r="A145" s="81" t="s">
        <v>13</v>
      </c>
      <c r="B145" s="87" t="s">
        <v>843</v>
      </c>
      <c r="C145" s="87" t="s">
        <v>811</v>
      </c>
      <c r="D145" s="88" t="str">
        <f t="shared" si="3"/>
        <v/>
      </c>
      <c r="E145" s="9" t="s">
        <v>838</v>
      </c>
      <c r="F145" s="9" t="s">
        <v>93</v>
      </c>
      <c r="G145" s="9" t="s">
        <v>82</v>
      </c>
    </row>
    <row r="146" spans="1:8" ht="15.75" x14ac:dyDescent="0.25">
      <c r="A146" s="81" t="s">
        <v>267</v>
      </c>
      <c r="B146" s="87" t="s">
        <v>1951</v>
      </c>
      <c r="C146" s="87" t="s">
        <v>811</v>
      </c>
      <c r="D146" s="88" t="str">
        <f t="shared" si="3"/>
        <v/>
      </c>
      <c r="E146" s="9" t="s">
        <v>838</v>
      </c>
      <c r="F146" s="9" t="s">
        <v>93</v>
      </c>
      <c r="G146" s="9" t="s">
        <v>268</v>
      </c>
    </row>
    <row r="147" spans="1:8" ht="15.75" x14ac:dyDescent="0.25">
      <c r="A147" s="81" t="s">
        <v>263</v>
      </c>
      <c r="B147" s="87" t="s">
        <v>843</v>
      </c>
      <c r="C147" s="87" t="s">
        <v>811</v>
      </c>
      <c r="D147" s="88" t="str">
        <f t="shared" si="3"/>
        <v/>
      </c>
      <c r="E147" s="9" t="s">
        <v>838</v>
      </c>
      <c r="F147" s="9" t="s">
        <v>93</v>
      </c>
      <c r="G147" s="9" t="s">
        <v>262</v>
      </c>
    </row>
    <row r="148" spans="1:8" ht="15.75" x14ac:dyDescent="0.25">
      <c r="A148" s="81" t="s">
        <v>585</v>
      </c>
      <c r="B148" s="87" t="s">
        <v>586</v>
      </c>
      <c r="C148" s="87" t="s">
        <v>904</v>
      </c>
      <c r="D148" s="88" t="str">
        <f t="shared" ref="D148:D179" si="4">IF(COUNTIF($A$15:$A$1428, A148)&gt;1, "Trùng Đại Lý", "")</f>
        <v/>
      </c>
      <c r="E148" s="9" t="s">
        <v>587</v>
      </c>
      <c r="F148" s="9" t="s">
        <v>93</v>
      </c>
      <c r="G148" s="9" t="s">
        <v>588</v>
      </c>
    </row>
    <row r="149" spans="1:8" ht="15.75" x14ac:dyDescent="0.25">
      <c r="A149" s="81" t="s">
        <v>518</v>
      </c>
      <c r="B149" s="87" t="s">
        <v>478</v>
      </c>
      <c r="C149" s="87" t="s">
        <v>889</v>
      </c>
      <c r="D149" s="88" t="str">
        <f t="shared" si="4"/>
        <v/>
      </c>
      <c r="E149" s="90" t="s">
        <v>453</v>
      </c>
      <c r="F149" s="90" t="s">
        <v>93</v>
      </c>
      <c r="G149" s="90" t="s">
        <v>519</v>
      </c>
    </row>
    <row r="150" spans="1:8" ht="15.75" x14ac:dyDescent="0.25">
      <c r="A150" s="81" t="s">
        <v>520</v>
      </c>
      <c r="B150" s="87" t="s">
        <v>488</v>
      </c>
      <c r="C150" s="87" t="s">
        <v>488</v>
      </c>
      <c r="D150" s="88" t="str">
        <f t="shared" si="4"/>
        <v/>
      </c>
      <c r="E150" s="90" t="s">
        <v>489</v>
      </c>
      <c r="F150" s="90" t="s">
        <v>93</v>
      </c>
      <c r="G150" s="90" t="s">
        <v>521</v>
      </c>
    </row>
    <row r="151" spans="1:8" ht="15.75" x14ac:dyDescent="0.25">
      <c r="A151" s="81" t="s">
        <v>56</v>
      </c>
      <c r="B151" s="87" t="s">
        <v>95</v>
      </c>
      <c r="C151" s="87" t="s">
        <v>95</v>
      </c>
      <c r="D151" s="88" t="str">
        <f t="shared" si="4"/>
        <v/>
      </c>
      <c r="E151" s="9" t="s">
        <v>52</v>
      </c>
      <c r="F151" s="9" t="s">
        <v>171</v>
      </c>
      <c r="G151" s="9" t="s">
        <v>172</v>
      </c>
    </row>
    <row r="152" spans="1:8" ht="15.75" x14ac:dyDescent="0.25">
      <c r="A152" s="81" t="s">
        <v>437</v>
      </c>
      <c r="B152" s="87" t="s">
        <v>368</v>
      </c>
      <c r="C152" s="87" t="s">
        <v>811</v>
      </c>
      <c r="D152" s="88" t="str">
        <f t="shared" si="4"/>
        <v>Trùng Đại Lý</v>
      </c>
      <c r="E152" s="9" t="s">
        <v>838</v>
      </c>
      <c r="F152" s="9" t="s">
        <v>438</v>
      </c>
      <c r="G152" s="9" t="s">
        <v>439</v>
      </c>
    </row>
    <row r="153" spans="1:8" ht="15.75" x14ac:dyDescent="0.25">
      <c r="A153" s="81" t="s">
        <v>437</v>
      </c>
      <c r="B153" s="87" t="s">
        <v>182</v>
      </c>
      <c r="C153" s="87" t="s">
        <v>810</v>
      </c>
      <c r="D153" s="88" t="str">
        <f t="shared" si="4"/>
        <v>Trùng Đại Lý</v>
      </c>
      <c r="E153" s="9" t="s">
        <v>7</v>
      </c>
      <c r="F153" s="9" t="s">
        <v>438</v>
      </c>
      <c r="G153" s="9" t="s">
        <v>796</v>
      </c>
    </row>
    <row r="154" spans="1:8" ht="15.75" x14ac:dyDescent="0.25">
      <c r="A154" s="81" t="s">
        <v>522</v>
      </c>
      <c r="B154" s="87" t="s">
        <v>460</v>
      </c>
      <c r="C154" s="87" t="s">
        <v>889</v>
      </c>
      <c r="D154" s="88" t="str">
        <f t="shared" si="4"/>
        <v/>
      </c>
      <c r="E154" s="90" t="s">
        <v>453</v>
      </c>
      <c r="F154" s="90" t="s">
        <v>523</v>
      </c>
      <c r="G154" s="90" t="s">
        <v>524</v>
      </c>
      <c r="H154" s="38" t="s">
        <v>675</v>
      </c>
    </row>
    <row r="155" spans="1:8" ht="15.75" x14ac:dyDescent="0.25">
      <c r="A155" s="81" t="s">
        <v>112</v>
      </c>
      <c r="B155" s="87" t="s">
        <v>845</v>
      </c>
      <c r="C155" s="87" t="s">
        <v>811</v>
      </c>
      <c r="D155" s="88" t="str">
        <f t="shared" si="4"/>
        <v>Trùng Đại Lý</v>
      </c>
      <c r="E155" s="9" t="s">
        <v>838</v>
      </c>
      <c r="F155" s="9" t="s">
        <v>113</v>
      </c>
      <c r="G155" s="9" t="s">
        <v>228</v>
      </c>
    </row>
    <row r="156" spans="1:8" ht="15.75" x14ac:dyDescent="0.25">
      <c r="A156" s="81" t="s">
        <v>112</v>
      </c>
      <c r="B156" s="87" t="s">
        <v>875</v>
      </c>
      <c r="C156" s="87" t="s">
        <v>811</v>
      </c>
      <c r="D156" s="88" t="str">
        <f t="shared" si="4"/>
        <v>Trùng Đại Lý</v>
      </c>
      <c r="E156" s="9" t="s">
        <v>838</v>
      </c>
      <c r="F156" s="9" t="s">
        <v>113</v>
      </c>
      <c r="G156" s="9" t="s">
        <v>633</v>
      </c>
    </row>
    <row r="157" spans="1:8" ht="15.75" x14ac:dyDescent="0.25">
      <c r="A157" s="81" t="s">
        <v>525</v>
      </c>
      <c r="B157" s="87" t="s">
        <v>526</v>
      </c>
      <c r="C157" s="87" t="s">
        <v>526</v>
      </c>
      <c r="D157" s="88" t="str">
        <f t="shared" si="4"/>
        <v/>
      </c>
      <c r="E157" s="90" t="s">
        <v>527</v>
      </c>
      <c r="F157" s="90" t="s">
        <v>528</v>
      </c>
      <c r="G157" s="90" t="s">
        <v>529</v>
      </c>
    </row>
    <row r="158" spans="1:8" ht="15.75" x14ac:dyDescent="0.25">
      <c r="A158" s="81" t="s">
        <v>664</v>
      </c>
      <c r="B158" s="87" t="s">
        <v>665</v>
      </c>
      <c r="C158" s="87" t="s">
        <v>809</v>
      </c>
      <c r="D158" s="88" t="str">
        <f t="shared" si="4"/>
        <v/>
      </c>
      <c r="E158" s="9" t="s">
        <v>665</v>
      </c>
      <c r="F158" s="9" t="s">
        <v>666</v>
      </c>
      <c r="G158" s="9" t="s">
        <v>667</v>
      </c>
    </row>
    <row r="159" spans="1:8" ht="15.75" x14ac:dyDescent="0.25">
      <c r="A159" s="81" t="s">
        <v>683</v>
      </c>
      <c r="B159" s="87" t="s">
        <v>879</v>
      </c>
      <c r="C159" s="87" t="s">
        <v>811</v>
      </c>
      <c r="D159" s="88" t="str">
        <f t="shared" si="4"/>
        <v/>
      </c>
      <c r="E159" s="9" t="s">
        <v>838</v>
      </c>
      <c r="F159" s="9" t="s">
        <v>684</v>
      </c>
      <c r="G159" s="9" t="s">
        <v>685</v>
      </c>
    </row>
    <row r="160" spans="1:8" ht="15.75" x14ac:dyDescent="0.25">
      <c r="A160" s="81" t="s">
        <v>193</v>
      </c>
      <c r="B160" s="87" t="s">
        <v>868</v>
      </c>
      <c r="C160" s="87" t="s">
        <v>811</v>
      </c>
      <c r="D160" s="88" t="str">
        <f t="shared" si="4"/>
        <v/>
      </c>
      <c r="E160" s="9" t="s">
        <v>838</v>
      </c>
      <c r="F160" s="9" t="s">
        <v>194</v>
      </c>
      <c r="G160" s="9" t="s">
        <v>195</v>
      </c>
    </row>
    <row r="161" spans="1:7" ht="15.75" x14ac:dyDescent="0.25">
      <c r="A161" s="81" t="s">
        <v>782</v>
      </c>
      <c r="B161" s="87" t="s">
        <v>879</v>
      </c>
      <c r="C161" s="87" t="s">
        <v>811</v>
      </c>
      <c r="D161" s="88" t="str">
        <f t="shared" si="4"/>
        <v/>
      </c>
      <c r="E161" s="9" t="s">
        <v>838</v>
      </c>
      <c r="F161" s="9" t="s">
        <v>783</v>
      </c>
      <c r="G161" s="9" t="s">
        <v>784</v>
      </c>
    </row>
    <row r="162" spans="1:7" ht="15.75" x14ac:dyDescent="0.25">
      <c r="A162" s="81" t="s">
        <v>19</v>
      </c>
      <c r="B162" s="87" t="s">
        <v>820</v>
      </c>
      <c r="C162" s="87" t="s">
        <v>811</v>
      </c>
      <c r="D162" s="88" t="str">
        <f t="shared" si="4"/>
        <v>Trùng Đại Lý</v>
      </c>
      <c r="E162" s="9" t="s">
        <v>838</v>
      </c>
      <c r="F162" s="9" t="s">
        <v>117</v>
      </c>
      <c r="G162" s="9" t="s">
        <v>1912</v>
      </c>
    </row>
    <row r="163" spans="1:7" ht="15.75" x14ac:dyDescent="0.25">
      <c r="A163" s="81" t="s">
        <v>19</v>
      </c>
      <c r="B163" s="87" t="s">
        <v>867</v>
      </c>
      <c r="C163" s="87" t="s">
        <v>811</v>
      </c>
      <c r="D163" s="88" t="str">
        <f t="shared" si="4"/>
        <v>Trùng Đại Lý</v>
      </c>
      <c r="E163" s="9" t="s">
        <v>838</v>
      </c>
      <c r="F163" s="9" t="s">
        <v>117</v>
      </c>
      <c r="G163" s="9" t="s">
        <v>78</v>
      </c>
    </row>
    <row r="164" spans="1:7" ht="15.75" x14ac:dyDescent="0.25">
      <c r="A164" s="81" t="s">
        <v>445</v>
      </c>
      <c r="B164" s="87" t="s">
        <v>406</v>
      </c>
      <c r="C164" s="87" t="s">
        <v>406</v>
      </c>
      <c r="D164" s="88" t="str">
        <f t="shared" si="4"/>
        <v/>
      </c>
      <c r="E164" s="9" t="s">
        <v>46</v>
      </c>
      <c r="F164" s="9" t="s">
        <v>446</v>
      </c>
      <c r="G164" s="9" t="s">
        <v>447</v>
      </c>
    </row>
    <row r="165" spans="1:7" ht="15.75" x14ac:dyDescent="0.25">
      <c r="A165" s="81" t="s">
        <v>307</v>
      </c>
      <c r="B165" s="87" t="s">
        <v>387</v>
      </c>
      <c r="C165" s="87" t="s">
        <v>811</v>
      </c>
      <c r="D165" s="88" t="str">
        <f t="shared" si="4"/>
        <v/>
      </c>
      <c r="E165" s="9" t="s">
        <v>838</v>
      </c>
      <c r="F165" s="9" t="s">
        <v>120</v>
      </c>
      <c r="G165" s="9" t="s">
        <v>121</v>
      </c>
    </row>
    <row r="166" spans="1:7" ht="15.75" x14ac:dyDescent="0.25">
      <c r="A166" s="81" t="s">
        <v>530</v>
      </c>
      <c r="B166" s="87" t="s">
        <v>531</v>
      </c>
      <c r="C166" s="87" t="s">
        <v>900</v>
      </c>
      <c r="D166" s="88" t="str">
        <f t="shared" si="4"/>
        <v/>
      </c>
      <c r="E166" s="90" t="s">
        <v>532</v>
      </c>
      <c r="F166" s="90" t="s">
        <v>533</v>
      </c>
      <c r="G166" s="90" t="s">
        <v>534</v>
      </c>
    </row>
    <row r="167" spans="1:7" ht="15.75" x14ac:dyDescent="0.25">
      <c r="A167" s="81" t="s">
        <v>339</v>
      </c>
      <c r="B167" s="87" t="s">
        <v>869</v>
      </c>
      <c r="C167" s="87" t="s">
        <v>811</v>
      </c>
      <c r="D167" s="88" t="str">
        <f t="shared" si="4"/>
        <v/>
      </c>
      <c r="E167" s="9" t="s">
        <v>50</v>
      </c>
      <c r="F167" s="9" t="s">
        <v>337</v>
      </c>
      <c r="G167" s="9" t="s">
        <v>338</v>
      </c>
    </row>
    <row r="168" spans="1:7" ht="15.75" x14ac:dyDescent="0.25">
      <c r="A168" s="81" t="s">
        <v>391</v>
      </c>
      <c r="B168" s="87" t="s">
        <v>815</v>
      </c>
      <c r="C168" s="87" t="s">
        <v>811</v>
      </c>
      <c r="D168" s="88" t="str">
        <f t="shared" si="4"/>
        <v/>
      </c>
      <c r="E168" s="9" t="s">
        <v>838</v>
      </c>
      <c r="F168" s="9" t="s">
        <v>330</v>
      </c>
      <c r="G168" s="9" t="s">
        <v>331</v>
      </c>
    </row>
    <row r="169" spans="1:7" ht="15.75" x14ac:dyDescent="0.25">
      <c r="A169" s="81" t="s">
        <v>1954</v>
      </c>
      <c r="B169" s="87" t="s">
        <v>182</v>
      </c>
      <c r="C169" s="87" t="s">
        <v>1955</v>
      </c>
      <c r="D169" s="88" t="str">
        <f t="shared" si="4"/>
        <v/>
      </c>
      <c r="F169" s="9" t="s">
        <v>16168</v>
      </c>
      <c r="G169" s="9" t="s">
        <v>16169</v>
      </c>
    </row>
    <row r="170" spans="1:7" ht="15.75" x14ac:dyDescent="0.25">
      <c r="A170" s="81" t="s">
        <v>695</v>
      </c>
      <c r="B170" s="87" t="s">
        <v>484</v>
      </c>
      <c r="C170" s="87" t="s">
        <v>889</v>
      </c>
      <c r="D170" s="88" t="str">
        <f t="shared" si="4"/>
        <v/>
      </c>
      <c r="E170" s="95" t="s">
        <v>453</v>
      </c>
      <c r="F170" s="95" t="s">
        <v>696</v>
      </c>
      <c r="G170" s="95" t="s">
        <v>697</v>
      </c>
    </row>
    <row r="171" spans="1:7" ht="15.75" x14ac:dyDescent="0.25">
      <c r="A171" s="81" t="s">
        <v>640</v>
      </c>
      <c r="B171" s="87" t="s">
        <v>641</v>
      </c>
      <c r="C171" s="87" t="s">
        <v>810</v>
      </c>
      <c r="D171" s="88" t="str">
        <f t="shared" si="4"/>
        <v/>
      </c>
      <c r="E171" s="9" t="s">
        <v>7</v>
      </c>
      <c r="F171" s="9" t="s">
        <v>642</v>
      </c>
      <c r="G171" s="9" t="s">
        <v>643</v>
      </c>
    </row>
    <row r="172" spans="1:7" ht="15.75" x14ac:dyDescent="0.25">
      <c r="A172" s="81" t="s">
        <v>35</v>
      </c>
      <c r="B172" s="87" t="s">
        <v>827</v>
      </c>
      <c r="C172" s="87" t="s">
        <v>812</v>
      </c>
      <c r="D172" s="88" t="str">
        <f t="shared" si="4"/>
        <v/>
      </c>
      <c r="E172" s="9" t="s">
        <v>49</v>
      </c>
      <c r="F172" s="9" t="s">
        <v>128</v>
      </c>
      <c r="G172" s="9" t="s">
        <v>254</v>
      </c>
    </row>
    <row r="173" spans="1:7" ht="15.75" x14ac:dyDescent="0.25">
      <c r="A173" s="81" t="s">
        <v>1</v>
      </c>
      <c r="B173" s="87" t="s">
        <v>847</v>
      </c>
      <c r="C173" s="87" t="s">
        <v>811</v>
      </c>
      <c r="D173" s="88" t="str">
        <f t="shared" si="4"/>
        <v/>
      </c>
      <c r="E173" s="9" t="s">
        <v>838</v>
      </c>
      <c r="F173" s="9" t="s">
        <v>116</v>
      </c>
      <c r="G173" s="9" t="s">
        <v>71</v>
      </c>
    </row>
    <row r="174" spans="1:7" ht="15.75" x14ac:dyDescent="0.25">
      <c r="A174" s="81" t="s">
        <v>448</v>
      </c>
      <c r="B174" s="87" t="s">
        <v>449</v>
      </c>
      <c r="C174" s="87" t="s">
        <v>808</v>
      </c>
      <c r="D174" s="88" t="str">
        <f t="shared" si="4"/>
        <v/>
      </c>
      <c r="E174" s="9" t="s">
        <v>288</v>
      </c>
      <c r="F174" s="9" t="s">
        <v>450</v>
      </c>
      <c r="G174" s="9" t="s">
        <v>451</v>
      </c>
    </row>
    <row r="175" spans="1:7" ht="15.75" x14ac:dyDescent="0.25">
      <c r="A175" s="81" t="s">
        <v>651</v>
      </c>
      <c r="B175" s="87" t="s">
        <v>817</v>
      </c>
      <c r="C175" s="87" t="s">
        <v>812</v>
      </c>
      <c r="D175" s="88" t="str">
        <f t="shared" si="4"/>
        <v/>
      </c>
      <c r="E175" s="9" t="s">
        <v>292</v>
      </c>
      <c r="F175" s="9" t="s">
        <v>652</v>
      </c>
      <c r="G175" s="9" t="s">
        <v>653</v>
      </c>
    </row>
    <row r="176" spans="1:7" ht="15.75" x14ac:dyDescent="0.25">
      <c r="A176" s="81" t="s">
        <v>729</v>
      </c>
      <c r="B176" s="87" t="s">
        <v>730</v>
      </c>
      <c r="C176" s="87" t="s">
        <v>809</v>
      </c>
      <c r="D176" s="88" t="str">
        <f t="shared" si="4"/>
        <v>Trùng Đại Lý</v>
      </c>
      <c r="E176" s="9" t="s">
        <v>181</v>
      </c>
      <c r="F176" s="9" t="s">
        <v>731</v>
      </c>
      <c r="G176" s="100" t="s">
        <v>732</v>
      </c>
    </row>
    <row r="177" spans="1:7" ht="15.75" x14ac:dyDescent="0.25">
      <c r="A177" s="81" t="s">
        <v>729</v>
      </c>
      <c r="B177" s="87" t="s">
        <v>181</v>
      </c>
      <c r="C177" s="87" t="s">
        <v>809</v>
      </c>
      <c r="D177" s="88" t="str">
        <f t="shared" si="4"/>
        <v>Trùng Đại Lý</v>
      </c>
      <c r="E177" s="9" t="s">
        <v>181</v>
      </c>
      <c r="F177" s="9" t="s">
        <v>731</v>
      </c>
      <c r="G177" s="100" t="s">
        <v>732</v>
      </c>
    </row>
    <row r="178" spans="1:7" ht="15.75" x14ac:dyDescent="0.25">
      <c r="A178" s="81" t="s">
        <v>773</v>
      </c>
      <c r="B178" s="87" t="s">
        <v>888</v>
      </c>
      <c r="C178" s="87" t="s">
        <v>811</v>
      </c>
      <c r="D178" s="88" t="str">
        <f t="shared" si="4"/>
        <v/>
      </c>
      <c r="E178" s="9" t="s">
        <v>838</v>
      </c>
      <c r="F178" s="9" t="s">
        <v>775</v>
      </c>
      <c r="G178" s="9" t="s">
        <v>776</v>
      </c>
    </row>
    <row r="179" spans="1:7" ht="15.75" x14ac:dyDescent="0.25">
      <c r="A179" s="81" t="s">
        <v>765</v>
      </c>
      <c r="B179" s="87" t="s">
        <v>766</v>
      </c>
      <c r="C179" s="101" t="s">
        <v>1914</v>
      </c>
      <c r="D179" s="88" t="str">
        <f t="shared" si="4"/>
        <v/>
      </c>
      <c r="E179" s="9" t="s">
        <v>549</v>
      </c>
      <c r="F179" s="9" t="s">
        <v>767</v>
      </c>
      <c r="G179" s="9" t="s">
        <v>768</v>
      </c>
    </row>
    <row r="180" spans="1:7" ht="15.75" x14ac:dyDescent="0.25">
      <c r="A180" s="81" t="s">
        <v>27</v>
      </c>
      <c r="B180" s="87" t="s">
        <v>839</v>
      </c>
      <c r="C180" s="87" t="s">
        <v>811</v>
      </c>
      <c r="D180" s="88" t="str">
        <f t="shared" ref="D180:D189" si="5">IF(COUNTIF($A$15:$A$1428, A180)&gt;1, "Trùng Đại Lý", "")</f>
        <v/>
      </c>
      <c r="E180" s="9" t="s">
        <v>838</v>
      </c>
      <c r="F180" s="9" t="s">
        <v>122</v>
      </c>
      <c r="G180" s="9" t="s">
        <v>77</v>
      </c>
    </row>
    <row r="181" spans="1:7" ht="15.75" x14ac:dyDescent="0.25">
      <c r="A181" s="81" t="s">
        <v>434</v>
      </c>
      <c r="B181" s="87" t="s">
        <v>368</v>
      </c>
      <c r="C181" s="87" t="s">
        <v>811</v>
      </c>
      <c r="D181" s="88" t="str">
        <f t="shared" si="5"/>
        <v>Trùng Đại Lý</v>
      </c>
      <c r="E181" s="9" t="s">
        <v>48</v>
      </c>
      <c r="F181" s="9" t="s">
        <v>435</v>
      </c>
      <c r="G181" s="9" t="s">
        <v>436</v>
      </c>
    </row>
    <row r="182" spans="1:7" ht="15.75" x14ac:dyDescent="0.25">
      <c r="A182" s="81" t="s">
        <v>434</v>
      </c>
      <c r="B182" s="87" t="s">
        <v>856</v>
      </c>
      <c r="C182" s="87" t="s">
        <v>811</v>
      </c>
      <c r="D182" s="88" t="str">
        <f t="shared" si="5"/>
        <v>Trùng Đại Lý</v>
      </c>
      <c r="F182" s="9" t="s">
        <v>435</v>
      </c>
      <c r="G182" s="9" t="s">
        <v>1907</v>
      </c>
    </row>
    <row r="183" spans="1:7" ht="15.75" x14ac:dyDescent="0.25">
      <c r="A183" s="81" t="s">
        <v>434</v>
      </c>
      <c r="B183" s="87" t="s">
        <v>848</v>
      </c>
      <c r="C183" s="87" t="s">
        <v>811</v>
      </c>
      <c r="D183" s="88"/>
      <c r="F183" s="9" t="s">
        <v>435</v>
      </c>
      <c r="G183" s="9" t="s">
        <v>16198</v>
      </c>
    </row>
    <row r="184" spans="1:7" ht="15.75" x14ac:dyDescent="0.25">
      <c r="A184" s="81" t="s">
        <v>6</v>
      </c>
      <c r="B184" s="87" t="s">
        <v>182</v>
      </c>
      <c r="C184" s="87" t="s">
        <v>810</v>
      </c>
      <c r="D184" s="88" t="str">
        <f t="shared" si="5"/>
        <v>Trùng Đại Lý</v>
      </c>
      <c r="E184" s="9" t="s">
        <v>7</v>
      </c>
      <c r="F184" s="9" t="s">
        <v>114</v>
      </c>
      <c r="G184" s="9" t="s">
        <v>261</v>
      </c>
    </row>
    <row r="185" spans="1:7" ht="15.75" x14ac:dyDescent="0.25">
      <c r="A185" s="81" t="s">
        <v>6</v>
      </c>
      <c r="B185" s="87" t="s">
        <v>870</v>
      </c>
      <c r="C185" s="87" t="s">
        <v>811</v>
      </c>
      <c r="D185" s="88" t="str">
        <f t="shared" si="5"/>
        <v>Trùng Đại Lý</v>
      </c>
      <c r="E185" s="9" t="s">
        <v>838</v>
      </c>
      <c r="F185" s="9" t="s">
        <v>114</v>
      </c>
      <c r="G185" s="9" t="s">
        <v>154</v>
      </c>
    </row>
    <row r="186" spans="1:7" ht="15.75" x14ac:dyDescent="0.25">
      <c r="A186" s="81" t="s">
        <v>304</v>
      </c>
      <c r="B186" s="87" t="s">
        <v>824</v>
      </c>
      <c r="C186" s="87" t="s">
        <v>814</v>
      </c>
      <c r="D186" s="88" t="str">
        <f t="shared" si="5"/>
        <v/>
      </c>
      <c r="E186" s="9" t="s">
        <v>50</v>
      </c>
      <c r="F186" s="9" t="s">
        <v>305</v>
      </c>
      <c r="G186" s="9" t="s">
        <v>306</v>
      </c>
    </row>
    <row r="187" spans="1:7" ht="15.75" x14ac:dyDescent="0.25">
      <c r="A187" s="81" t="s">
        <v>335</v>
      </c>
      <c r="B187" s="87" t="s">
        <v>845</v>
      </c>
      <c r="C187" s="87" t="s">
        <v>811</v>
      </c>
      <c r="D187" s="88" t="str">
        <f t="shared" si="5"/>
        <v/>
      </c>
      <c r="E187" s="9" t="s">
        <v>838</v>
      </c>
      <c r="F187" s="9" t="s">
        <v>191</v>
      </c>
      <c r="G187" s="9" t="s">
        <v>192</v>
      </c>
    </row>
    <row r="188" spans="1:7" ht="15.75" x14ac:dyDescent="0.25">
      <c r="A188" s="81" t="s">
        <v>414</v>
      </c>
      <c r="B188" s="87" t="s">
        <v>415</v>
      </c>
      <c r="C188" s="87" t="s">
        <v>808</v>
      </c>
      <c r="D188" s="88" t="str">
        <f t="shared" si="5"/>
        <v>Trùng Đại Lý</v>
      </c>
      <c r="E188" s="9" t="s">
        <v>416</v>
      </c>
      <c r="F188" s="9" t="s">
        <v>417</v>
      </c>
      <c r="G188" s="9" t="s">
        <v>1913</v>
      </c>
    </row>
    <row r="189" spans="1:7" ht="15.75" x14ac:dyDescent="0.25">
      <c r="A189" s="81" t="s">
        <v>414</v>
      </c>
      <c r="B189" s="87" t="s">
        <v>418</v>
      </c>
      <c r="C189" s="87" t="s">
        <v>809</v>
      </c>
      <c r="D189" s="88" t="str">
        <f t="shared" si="5"/>
        <v>Trùng Đại Lý</v>
      </c>
      <c r="E189" s="9" t="s">
        <v>46</v>
      </c>
      <c r="F189" s="9" t="s">
        <v>417</v>
      </c>
      <c r="G189" s="9" t="s">
        <v>419</v>
      </c>
    </row>
    <row r="190" spans="1:7" ht="15.75" x14ac:dyDescent="0.25">
      <c r="A190" s="81" t="s">
        <v>1978</v>
      </c>
      <c r="B190" s="87" t="s">
        <v>380</v>
      </c>
      <c r="C190" s="87" t="s">
        <v>1957</v>
      </c>
      <c r="D190" s="88"/>
      <c r="F190" s="9" t="s">
        <v>1979</v>
      </c>
      <c r="G190" s="9" t="s">
        <v>1980</v>
      </c>
    </row>
    <row r="191" spans="1:7" ht="15.75" x14ac:dyDescent="0.25">
      <c r="A191" s="81" t="s">
        <v>644</v>
      </c>
      <c r="B191" s="87" t="s">
        <v>883</v>
      </c>
      <c r="C191" s="87" t="s">
        <v>811</v>
      </c>
      <c r="D191" s="88" t="str">
        <f t="shared" ref="D191:D222" si="6">IF(COUNTIF($A$15:$A$1428, A191)&gt;1, "Trùng Đại Lý", "")</f>
        <v/>
      </c>
      <c r="E191" s="9" t="s">
        <v>838</v>
      </c>
      <c r="F191" s="9" t="s">
        <v>645</v>
      </c>
      <c r="G191" s="9" t="s">
        <v>646</v>
      </c>
    </row>
    <row r="192" spans="1:7" ht="15.75" x14ac:dyDescent="0.25">
      <c r="A192" s="81" t="s">
        <v>2</v>
      </c>
      <c r="B192" s="87" t="s">
        <v>870</v>
      </c>
      <c r="C192" s="87" t="s">
        <v>811</v>
      </c>
      <c r="D192" s="88" t="str">
        <f t="shared" si="6"/>
        <v>Trùng Đại Lý</v>
      </c>
      <c r="E192" s="9" t="s">
        <v>838</v>
      </c>
      <c r="F192" s="9" t="s">
        <v>101</v>
      </c>
      <c r="G192" s="9" t="s">
        <v>240</v>
      </c>
    </row>
    <row r="193" spans="1:7" ht="15.75" x14ac:dyDescent="0.25">
      <c r="A193" s="81" t="s">
        <v>2</v>
      </c>
      <c r="B193" s="87" t="s">
        <v>862</v>
      </c>
      <c r="C193" s="87" t="s">
        <v>811</v>
      </c>
      <c r="D193" s="88" t="str">
        <f t="shared" si="6"/>
        <v>Trùng Đại Lý</v>
      </c>
      <c r="E193" s="9" t="s">
        <v>838</v>
      </c>
      <c r="F193" s="9" t="s">
        <v>101</v>
      </c>
      <c r="G193" s="9" t="s">
        <v>248</v>
      </c>
    </row>
    <row r="194" spans="1:7" ht="15.75" x14ac:dyDescent="0.25">
      <c r="A194" s="81" t="s">
        <v>1958</v>
      </c>
      <c r="B194" s="87" t="s">
        <v>288</v>
      </c>
      <c r="C194" s="87" t="s">
        <v>808</v>
      </c>
      <c r="D194" s="88" t="str">
        <f t="shared" si="6"/>
        <v/>
      </c>
      <c r="F194" s="9" t="s">
        <v>1959</v>
      </c>
      <c r="G194" s="9" t="s">
        <v>1960</v>
      </c>
    </row>
    <row r="195" spans="1:7" ht="15.75" x14ac:dyDescent="0.25">
      <c r="A195" s="81" t="s">
        <v>1941</v>
      </c>
      <c r="B195" s="87" t="s">
        <v>1943</v>
      </c>
      <c r="C195" s="87" t="s">
        <v>812</v>
      </c>
      <c r="D195" s="88" t="str">
        <f t="shared" si="6"/>
        <v/>
      </c>
      <c r="E195" s="9" t="s">
        <v>49</v>
      </c>
      <c r="F195" s="9" t="s">
        <v>1944</v>
      </c>
      <c r="G195" s="9" t="s">
        <v>1942</v>
      </c>
    </row>
    <row r="196" spans="1:7" ht="15.75" x14ac:dyDescent="0.25">
      <c r="A196" s="81" t="s">
        <v>430</v>
      </c>
      <c r="B196" s="87" t="s">
        <v>818</v>
      </c>
      <c r="C196" s="87" t="s">
        <v>811</v>
      </c>
      <c r="D196" s="88" t="str">
        <f t="shared" si="6"/>
        <v/>
      </c>
      <c r="E196" s="9" t="s">
        <v>48</v>
      </c>
      <c r="F196" s="9" t="s">
        <v>432</v>
      </c>
      <c r="G196" s="9" t="s">
        <v>433</v>
      </c>
    </row>
    <row r="197" spans="1:7" ht="15.75" x14ac:dyDescent="0.25">
      <c r="A197" s="81" t="s">
        <v>231</v>
      </c>
      <c r="B197" s="87" t="s">
        <v>815</v>
      </c>
      <c r="C197" s="87" t="s">
        <v>811</v>
      </c>
      <c r="D197" s="88" t="str">
        <f t="shared" si="6"/>
        <v>Trùng Đại Lý</v>
      </c>
      <c r="E197" s="9" t="s">
        <v>838</v>
      </c>
      <c r="F197" s="9" t="s">
        <v>224</v>
      </c>
      <c r="G197" s="9" t="s">
        <v>225</v>
      </c>
    </row>
    <row r="198" spans="1:7" ht="15.75" x14ac:dyDescent="0.25">
      <c r="A198" s="81" t="s">
        <v>231</v>
      </c>
      <c r="B198" s="87" t="s">
        <v>871</v>
      </c>
      <c r="C198" s="87" t="s">
        <v>811</v>
      </c>
      <c r="D198" s="88" t="str">
        <f t="shared" si="6"/>
        <v>Trùng Đại Lý</v>
      </c>
      <c r="E198" s="9" t="s">
        <v>838</v>
      </c>
      <c r="F198" s="9" t="s">
        <v>224</v>
      </c>
      <c r="G198" s="9" t="s">
        <v>567</v>
      </c>
    </row>
    <row r="199" spans="1:7" ht="15.75" x14ac:dyDescent="0.25">
      <c r="A199" s="81" t="s">
        <v>535</v>
      </c>
      <c r="B199" s="87" t="s">
        <v>536</v>
      </c>
      <c r="C199" s="87" t="s">
        <v>901</v>
      </c>
      <c r="D199" s="88" t="str">
        <f t="shared" si="6"/>
        <v/>
      </c>
      <c r="E199" s="90" t="s">
        <v>537</v>
      </c>
      <c r="F199" s="90" t="s">
        <v>538</v>
      </c>
      <c r="G199" s="90" t="s">
        <v>539</v>
      </c>
    </row>
    <row r="200" spans="1:7" ht="15.75" x14ac:dyDescent="0.25">
      <c r="A200" s="81" t="s">
        <v>264</v>
      </c>
      <c r="B200" s="87" t="s">
        <v>872</v>
      </c>
      <c r="C200" s="87" t="s">
        <v>811</v>
      </c>
      <c r="D200" s="88" t="str">
        <f t="shared" si="6"/>
        <v>Trùng Đại Lý</v>
      </c>
      <c r="E200" s="9" t="s">
        <v>838</v>
      </c>
      <c r="F200" s="9" t="s">
        <v>184</v>
      </c>
      <c r="G200" s="9" t="s">
        <v>260</v>
      </c>
    </row>
    <row r="201" spans="1:7" ht="15.75" x14ac:dyDescent="0.25">
      <c r="A201" s="81" t="s">
        <v>264</v>
      </c>
      <c r="B201" s="87" t="s">
        <v>845</v>
      </c>
      <c r="C201" s="87" t="s">
        <v>811</v>
      </c>
      <c r="D201" s="88" t="str">
        <f t="shared" si="6"/>
        <v>Trùng Đại Lý</v>
      </c>
      <c r="E201" s="9" t="s">
        <v>838</v>
      </c>
      <c r="F201" s="9" t="s">
        <v>184</v>
      </c>
      <c r="G201" s="9" t="s">
        <v>715</v>
      </c>
    </row>
    <row r="202" spans="1:7" ht="15.75" x14ac:dyDescent="0.25">
      <c r="A202" s="81" t="s">
        <v>1993</v>
      </c>
      <c r="B202" s="87" t="s">
        <v>1996</v>
      </c>
      <c r="C202" s="87" t="s">
        <v>1997</v>
      </c>
      <c r="D202" s="88" t="str">
        <f t="shared" si="6"/>
        <v/>
      </c>
      <c r="F202" s="9" t="s">
        <v>1994</v>
      </c>
      <c r="G202" s="9" t="s">
        <v>1995</v>
      </c>
    </row>
    <row r="203" spans="1:7" ht="15.75" x14ac:dyDescent="0.25">
      <c r="A203" s="81" t="s">
        <v>540</v>
      </c>
      <c r="B203" s="87" t="s">
        <v>541</v>
      </c>
      <c r="C203" s="87" t="s">
        <v>889</v>
      </c>
      <c r="D203" s="88" t="str">
        <f t="shared" si="6"/>
        <v>Trùng Đại Lý</v>
      </c>
      <c r="E203" s="90" t="s">
        <v>453</v>
      </c>
      <c r="F203" s="90" t="s">
        <v>542</v>
      </c>
      <c r="G203" s="90" t="s">
        <v>543</v>
      </c>
    </row>
    <row r="204" spans="1:7" ht="15.75" x14ac:dyDescent="0.25">
      <c r="A204" s="81" t="s">
        <v>540</v>
      </c>
      <c r="B204" s="87" t="s">
        <v>478</v>
      </c>
      <c r="C204" s="87" t="s">
        <v>889</v>
      </c>
      <c r="D204" s="88" t="str">
        <f t="shared" si="6"/>
        <v>Trùng Đại Lý</v>
      </c>
      <c r="E204" s="90" t="s">
        <v>453</v>
      </c>
      <c r="F204" s="90" t="s">
        <v>542</v>
      </c>
      <c r="G204" s="90" t="s">
        <v>593</v>
      </c>
    </row>
    <row r="205" spans="1:7" ht="15.75" x14ac:dyDescent="0.25">
      <c r="A205" s="81" t="s">
        <v>692</v>
      </c>
      <c r="B205" s="87" t="s">
        <v>815</v>
      </c>
      <c r="C205" s="87" t="s">
        <v>811</v>
      </c>
      <c r="D205" s="88" t="str">
        <f t="shared" si="6"/>
        <v/>
      </c>
      <c r="E205" s="9" t="s">
        <v>48</v>
      </c>
      <c r="F205" s="9" t="s">
        <v>693</v>
      </c>
      <c r="G205" s="9" t="s">
        <v>694</v>
      </c>
    </row>
    <row r="206" spans="1:7" ht="15.75" x14ac:dyDescent="0.25">
      <c r="A206" s="81" t="s">
        <v>634</v>
      </c>
      <c r="B206" s="87" t="s">
        <v>368</v>
      </c>
      <c r="C206" s="87" t="s">
        <v>811</v>
      </c>
      <c r="D206" s="88" t="str">
        <f t="shared" si="6"/>
        <v/>
      </c>
      <c r="E206" s="9" t="s">
        <v>838</v>
      </c>
      <c r="F206" s="9" t="s">
        <v>635</v>
      </c>
      <c r="G206" s="9" t="s">
        <v>636</v>
      </c>
    </row>
    <row r="207" spans="1:7" ht="15.75" x14ac:dyDescent="0.25">
      <c r="A207" s="81" t="s">
        <v>212</v>
      </c>
      <c r="B207" s="87" t="s">
        <v>152</v>
      </c>
      <c r="C207" s="87" t="s">
        <v>810</v>
      </c>
      <c r="D207" s="88" t="str">
        <f t="shared" si="6"/>
        <v/>
      </c>
      <c r="E207" s="9" t="s">
        <v>7</v>
      </c>
      <c r="F207" s="9" t="s">
        <v>213</v>
      </c>
      <c r="G207" s="9" t="s">
        <v>214</v>
      </c>
    </row>
    <row r="208" spans="1:7" ht="15.75" x14ac:dyDescent="0.25">
      <c r="A208" s="81" t="s">
        <v>579</v>
      </c>
      <c r="B208" s="87" t="s">
        <v>843</v>
      </c>
      <c r="C208" s="87" t="s">
        <v>811</v>
      </c>
      <c r="D208" s="88" t="str">
        <f t="shared" si="6"/>
        <v/>
      </c>
      <c r="E208" s="9" t="s">
        <v>838</v>
      </c>
      <c r="F208" s="9" t="s">
        <v>580</v>
      </c>
      <c r="G208" s="9" t="s">
        <v>581</v>
      </c>
    </row>
    <row r="209" spans="1:7" ht="15.75" x14ac:dyDescent="0.25">
      <c r="A209" s="81" t="s">
        <v>9</v>
      </c>
      <c r="B209" s="87" t="s">
        <v>816</v>
      </c>
      <c r="C209" s="87" t="s">
        <v>814</v>
      </c>
      <c r="D209" s="88" t="str">
        <f t="shared" si="6"/>
        <v/>
      </c>
      <c r="E209" s="9" t="s">
        <v>50</v>
      </c>
      <c r="F209" s="9" t="s">
        <v>169</v>
      </c>
      <c r="G209" s="9" t="s">
        <v>88</v>
      </c>
    </row>
    <row r="210" spans="1:7" ht="15.75" x14ac:dyDescent="0.25">
      <c r="A210" s="81" t="s">
        <v>176</v>
      </c>
      <c r="B210" s="87" t="s">
        <v>874</v>
      </c>
      <c r="C210" s="87" t="s">
        <v>811</v>
      </c>
      <c r="D210" s="88" t="str">
        <f t="shared" si="6"/>
        <v/>
      </c>
      <c r="E210" s="9" t="s">
        <v>838</v>
      </c>
      <c r="F210" s="9" t="s">
        <v>100</v>
      </c>
      <c r="G210" s="9" t="s">
        <v>67</v>
      </c>
    </row>
    <row r="211" spans="1:7" ht="15.75" x14ac:dyDescent="0.25">
      <c r="A211" s="81" t="s">
        <v>285</v>
      </c>
      <c r="B211" s="87" t="s">
        <v>871</v>
      </c>
      <c r="C211" s="87" t="s">
        <v>811</v>
      </c>
      <c r="D211" s="88" t="str">
        <f t="shared" si="6"/>
        <v/>
      </c>
      <c r="E211" s="9" t="s">
        <v>838</v>
      </c>
      <c r="F211" s="9" t="s">
        <v>286</v>
      </c>
      <c r="G211" s="9" t="s">
        <v>287</v>
      </c>
    </row>
    <row r="212" spans="1:7" ht="15.75" x14ac:dyDescent="0.25">
      <c r="A212" s="81" t="s">
        <v>266</v>
      </c>
      <c r="B212" s="87" t="s">
        <v>860</v>
      </c>
      <c r="C212" s="87" t="s">
        <v>811</v>
      </c>
      <c r="D212" s="88" t="str">
        <f t="shared" si="6"/>
        <v/>
      </c>
      <c r="E212" s="9" t="s">
        <v>838</v>
      </c>
      <c r="F212" s="9" t="s">
        <v>256</v>
      </c>
      <c r="G212" s="9" t="s">
        <v>255</v>
      </c>
    </row>
    <row r="213" spans="1:7" ht="15.75" x14ac:dyDescent="0.25">
      <c r="A213" s="81" t="s">
        <v>47</v>
      </c>
      <c r="B213" s="87" t="s">
        <v>815</v>
      </c>
      <c r="C213" s="87" t="s">
        <v>811</v>
      </c>
      <c r="D213" s="88" t="str">
        <f t="shared" si="6"/>
        <v/>
      </c>
      <c r="E213" s="9" t="s">
        <v>838</v>
      </c>
      <c r="F213" s="9" t="s">
        <v>97</v>
      </c>
      <c r="G213" s="9" t="s">
        <v>73</v>
      </c>
    </row>
    <row r="214" spans="1:7" ht="15.75" x14ac:dyDescent="0.25">
      <c r="A214" s="81" t="s">
        <v>647</v>
      </c>
      <c r="B214" s="87" t="s">
        <v>844</v>
      </c>
      <c r="C214" s="87" t="s">
        <v>811</v>
      </c>
      <c r="D214" s="88" t="str">
        <f t="shared" si="6"/>
        <v/>
      </c>
      <c r="E214" s="9" t="s">
        <v>838</v>
      </c>
      <c r="F214" s="9" t="s">
        <v>648</v>
      </c>
      <c r="G214" s="9" t="s">
        <v>649</v>
      </c>
    </row>
    <row r="215" spans="1:7" ht="15.75" x14ac:dyDescent="0.25">
      <c r="A215" s="81" t="s">
        <v>16</v>
      </c>
      <c r="B215" s="87" t="s">
        <v>851</v>
      </c>
      <c r="C215" s="87" t="s">
        <v>811</v>
      </c>
      <c r="D215" s="88" t="str">
        <f t="shared" si="6"/>
        <v/>
      </c>
      <c r="E215" s="9" t="s">
        <v>838</v>
      </c>
      <c r="F215" s="9" t="s">
        <v>99</v>
      </c>
      <c r="G215" s="9" t="s">
        <v>62</v>
      </c>
    </row>
    <row r="216" spans="1:7" ht="15.75" x14ac:dyDescent="0.25">
      <c r="A216" s="81" t="s">
        <v>1965</v>
      </c>
      <c r="B216" s="87" t="s">
        <v>182</v>
      </c>
      <c r="C216" s="87" t="s">
        <v>1955</v>
      </c>
      <c r="D216" s="88" t="str">
        <f t="shared" si="6"/>
        <v/>
      </c>
      <c r="F216" s="9" t="s">
        <v>1966</v>
      </c>
      <c r="G216" s="9" t="s">
        <v>1967</v>
      </c>
    </row>
    <row r="217" spans="1:7" ht="15.75" x14ac:dyDescent="0.25">
      <c r="A217" s="81" t="s">
        <v>236</v>
      </c>
      <c r="B217" s="87" t="s">
        <v>149</v>
      </c>
      <c r="C217" s="87" t="s">
        <v>809</v>
      </c>
      <c r="D217" s="88" t="str">
        <f t="shared" si="6"/>
        <v/>
      </c>
      <c r="E217" s="9" t="s">
        <v>46</v>
      </c>
      <c r="F217" s="9" t="s">
        <v>235</v>
      </c>
      <c r="G217" s="9" t="s">
        <v>234</v>
      </c>
    </row>
    <row r="218" spans="1:7" ht="15.75" x14ac:dyDescent="0.25">
      <c r="A218" s="81" t="s">
        <v>544</v>
      </c>
      <c r="B218" s="87" t="s">
        <v>545</v>
      </c>
      <c r="C218" s="87" t="s">
        <v>891</v>
      </c>
      <c r="D218" s="88" t="str">
        <f t="shared" si="6"/>
        <v/>
      </c>
      <c r="E218" s="90" t="s">
        <v>470</v>
      </c>
      <c r="F218" s="90" t="s">
        <v>546</v>
      </c>
      <c r="G218" s="90" t="s">
        <v>547</v>
      </c>
    </row>
    <row r="219" spans="1:7" ht="15.75" x14ac:dyDescent="0.25">
      <c r="A219" s="81" t="s">
        <v>178</v>
      </c>
      <c r="B219" s="87" t="s">
        <v>875</v>
      </c>
      <c r="C219" s="87" t="s">
        <v>811</v>
      </c>
      <c r="D219" s="88" t="str">
        <f t="shared" si="6"/>
        <v/>
      </c>
      <c r="E219" s="9" t="s">
        <v>838</v>
      </c>
      <c r="F219" s="9" t="s">
        <v>164</v>
      </c>
      <c r="G219" s="9" t="s">
        <v>165</v>
      </c>
    </row>
    <row r="220" spans="1:7" ht="15.75" x14ac:dyDescent="0.25">
      <c r="A220" s="81" t="s">
        <v>548</v>
      </c>
      <c r="B220" s="87" t="s">
        <v>545</v>
      </c>
      <c r="C220" s="87" t="s">
        <v>891</v>
      </c>
      <c r="D220" s="88" t="str">
        <f t="shared" si="6"/>
        <v/>
      </c>
      <c r="E220" s="90" t="s">
        <v>549</v>
      </c>
      <c r="F220" s="90" t="s">
        <v>550</v>
      </c>
      <c r="G220" s="90" t="s">
        <v>551</v>
      </c>
    </row>
    <row r="221" spans="1:7" ht="15.75" x14ac:dyDescent="0.25">
      <c r="A221" s="81" t="s">
        <v>420</v>
      </c>
      <c r="B221" s="87" t="s">
        <v>182</v>
      </c>
      <c r="C221" s="87" t="s">
        <v>810</v>
      </c>
      <c r="D221" s="88" t="str">
        <f t="shared" si="6"/>
        <v/>
      </c>
      <c r="E221" s="9" t="s">
        <v>7</v>
      </c>
      <c r="F221" s="9" t="s">
        <v>421</v>
      </c>
      <c r="G221" s="9" t="s">
        <v>422</v>
      </c>
    </row>
    <row r="222" spans="1:7" ht="15.75" x14ac:dyDescent="0.25">
      <c r="A222" s="81" t="s">
        <v>676</v>
      </c>
      <c r="B222" s="87" t="s">
        <v>885</v>
      </c>
      <c r="C222" s="87" t="s">
        <v>811</v>
      </c>
      <c r="D222" s="88" t="str">
        <f t="shared" si="6"/>
        <v/>
      </c>
      <c r="E222" s="9" t="s">
        <v>838</v>
      </c>
      <c r="F222" s="9" t="s">
        <v>677</v>
      </c>
      <c r="G222" s="9" t="s">
        <v>678</v>
      </c>
    </row>
    <row r="223" spans="1:7" ht="15.75" x14ac:dyDescent="0.25">
      <c r="A223" s="81" t="s">
        <v>716</v>
      </c>
      <c r="B223" s="87" t="s">
        <v>886</v>
      </c>
      <c r="C223" s="87" t="s">
        <v>811</v>
      </c>
      <c r="D223" s="88" t="str">
        <f t="shared" ref="D223:D255" si="7">IF(COUNTIF($A$15:$A$1428, A223)&gt;1, "Trùng Đại Lý", "")</f>
        <v/>
      </c>
      <c r="E223" s="9" t="s">
        <v>838</v>
      </c>
      <c r="F223" s="9" t="s">
        <v>687</v>
      </c>
      <c r="G223" s="9" t="s">
        <v>688</v>
      </c>
    </row>
    <row r="224" spans="1:7" ht="15.75" x14ac:dyDescent="0.25">
      <c r="A224" s="81" t="s">
        <v>552</v>
      </c>
      <c r="B224" s="87" t="s">
        <v>553</v>
      </c>
      <c r="C224" s="87" t="s">
        <v>553</v>
      </c>
      <c r="D224" s="88" t="str">
        <f t="shared" si="7"/>
        <v/>
      </c>
      <c r="E224" s="90" t="s">
        <v>554</v>
      </c>
      <c r="F224" s="90" t="s">
        <v>555</v>
      </c>
      <c r="G224" s="90" t="s">
        <v>556</v>
      </c>
    </row>
    <row r="225" spans="1:7" ht="15.75" x14ac:dyDescent="0.25">
      <c r="A225" s="81" t="s">
        <v>1910</v>
      </c>
      <c r="B225" s="87" t="s">
        <v>847</v>
      </c>
      <c r="C225" s="87" t="s">
        <v>811</v>
      </c>
      <c r="D225" s="88" t="str">
        <f t="shared" si="7"/>
        <v/>
      </c>
      <c r="E225" s="90"/>
      <c r="F225" s="90" t="s">
        <v>1908</v>
      </c>
      <c r="G225" s="90" t="s">
        <v>1909</v>
      </c>
    </row>
    <row r="226" spans="1:7" ht="15.75" x14ac:dyDescent="0.25">
      <c r="A226" s="81" t="s">
        <v>251</v>
      </c>
      <c r="B226" s="87" t="s">
        <v>843</v>
      </c>
      <c r="C226" s="87" t="s">
        <v>811</v>
      </c>
      <c r="D226" s="88" t="str">
        <f t="shared" si="7"/>
        <v/>
      </c>
      <c r="E226" s="9" t="s">
        <v>838</v>
      </c>
      <c r="F226" s="9" t="s">
        <v>250</v>
      </c>
      <c r="G226" s="9" t="s">
        <v>249</v>
      </c>
    </row>
    <row r="227" spans="1:7" ht="15.75" x14ac:dyDescent="0.25">
      <c r="A227" s="81" t="s">
        <v>440</v>
      </c>
      <c r="B227" s="87" t="s">
        <v>822</v>
      </c>
      <c r="C227" s="87" t="s">
        <v>807</v>
      </c>
      <c r="D227" s="88" t="str">
        <f t="shared" si="7"/>
        <v/>
      </c>
      <c r="E227" s="9" t="s">
        <v>411</v>
      </c>
      <c r="F227" s="9" t="s">
        <v>442</v>
      </c>
      <c r="G227" s="9" t="s">
        <v>443</v>
      </c>
    </row>
    <row r="228" spans="1:7" ht="15.75" x14ac:dyDescent="0.25">
      <c r="A228" s="81" t="s">
        <v>557</v>
      </c>
      <c r="B228" s="87" t="s">
        <v>558</v>
      </c>
      <c r="C228" s="87" t="s">
        <v>902</v>
      </c>
      <c r="D228" s="88" t="str">
        <f t="shared" si="7"/>
        <v/>
      </c>
      <c r="E228" s="90" t="s">
        <v>558</v>
      </c>
      <c r="F228" s="90" t="s">
        <v>559</v>
      </c>
      <c r="G228" s="90" t="s">
        <v>560</v>
      </c>
    </row>
    <row r="229" spans="1:7" ht="15.75" x14ac:dyDescent="0.25">
      <c r="A229" s="81" t="s">
        <v>34</v>
      </c>
      <c r="B229" s="87" t="s">
        <v>846</v>
      </c>
      <c r="C229" s="87" t="s">
        <v>811</v>
      </c>
      <c r="D229" s="88" t="str">
        <f t="shared" si="7"/>
        <v/>
      </c>
      <c r="E229" s="9" t="s">
        <v>838</v>
      </c>
      <c r="F229" s="9" t="s">
        <v>119</v>
      </c>
      <c r="G229" s="9" t="s">
        <v>75</v>
      </c>
    </row>
    <row r="230" spans="1:7" ht="15.75" x14ac:dyDescent="0.25">
      <c r="A230" s="81" t="s">
        <v>733</v>
      </c>
      <c r="B230" s="87" t="s">
        <v>734</v>
      </c>
      <c r="C230" s="87" t="s">
        <v>809</v>
      </c>
      <c r="D230" s="88" t="str">
        <f t="shared" si="7"/>
        <v/>
      </c>
      <c r="E230" s="9" t="s">
        <v>711</v>
      </c>
      <c r="F230" s="9" t="s">
        <v>735</v>
      </c>
      <c r="G230" s="9" t="s">
        <v>736</v>
      </c>
    </row>
    <row r="231" spans="1:7" ht="15.75" x14ac:dyDescent="0.25">
      <c r="A231" s="81" t="s">
        <v>16211</v>
      </c>
      <c r="B231" s="87" t="s">
        <v>415</v>
      </c>
      <c r="C231" s="87" t="s">
        <v>808</v>
      </c>
      <c r="D231" s="88"/>
      <c r="F231" s="9" t="s">
        <v>16209</v>
      </c>
      <c r="G231" s="9" t="s">
        <v>16210</v>
      </c>
    </row>
    <row r="232" spans="1:7" ht="15.75" x14ac:dyDescent="0.25">
      <c r="A232" s="81" t="s">
        <v>18</v>
      </c>
      <c r="B232" s="87" t="s">
        <v>823</v>
      </c>
      <c r="C232" s="87" t="s">
        <v>823</v>
      </c>
      <c r="D232" s="88" t="str">
        <f t="shared" si="7"/>
        <v/>
      </c>
      <c r="E232" s="9" t="s">
        <v>51</v>
      </c>
      <c r="F232" s="9" t="s">
        <v>131</v>
      </c>
      <c r="G232" s="9" t="s">
        <v>69</v>
      </c>
    </row>
    <row r="233" spans="1:7" ht="15.75" x14ac:dyDescent="0.25">
      <c r="A233" s="81" t="s">
        <v>1988</v>
      </c>
      <c r="B233" s="87" t="s">
        <v>317</v>
      </c>
      <c r="C233" s="87" t="s">
        <v>1957</v>
      </c>
      <c r="D233" s="88" t="str">
        <f t="shared" si="7"/>
        <v/>
      </c>
      <c r="F233" s="9" t="s">
        <v>1988</v>
      </c>
      <c r="G233" s="9" t="s">
        <v>1989</v>
      </c>
    </row>
    <row r="234" spans="1:7" ht="15.75" x14ac:dyDescent="0.25">
      <c r="A234" s="81" t="s">
        <v>777</v>
      </c>
      <c r="B234" s="87" t="s">
        <v>840</v>
      </c>
      <c r="C234" s="87" t="s">
        <v>811</v>
      </c>
      <c r="D234" s="88" t="str">
        <f t="shared" si="7"/>
        <v/>
      </c>
      <c r="E234" s="9" t="s">
        <v>838</v>
      </c>
      <c r="F234" s="9" t="s">
        <v>778</v>
      </c>
      <c r="G234" s="9" t="s">
        <v>779</v>
      </c>
    </row>
    <row r="235" spans="1:7" ht="15.75" x14ac:dyDescent="0.25">
      <c r="A235" s="81" t="s">
        <v>239</v>
      </c>
      <c r="B235" s="87" t="s">
        <v>876</v>
      </c>
      <c r="C235" s="87" t="s">
        <v>811</v>
      </c>
      <c r="D235" s="88" t="str">
        <f t="shared" si="7"/>
        <v/>
      </c>
      <c r="E235" s="9" t="s">
        <v>838</v>
      </c>
      <c r="F235" s="9" t="s">
        <v>102</v>
      </c>
      <c r="G235" s="9" t="s">
        <v>84</v>
      </c>
    </row>
    <row r="236" spans="1:7" ht="15.75" x14ac:dyDescent="0.25">
      <c r="A236" s="81" t="s">
        <v>568</v>
      </c>
      <c r="B236" s="87" t="s">
        <v>823</v>
      </c>
      <c r="C236" s="87" t="s">
        <v>823</v>
      </c>
      <c r="D236" s="88" t="str">
        <f t="shared" si="7"/>
        <v/>
      </c>
      <c r="E236" s="9" t="s">
        <v>51</v>
      </c>
      <c r="F236" s="9" t="s">
        <v>569</v>
      </c>
      <c r="G236" s="9" t="s">
        <v>570</v>
      </c>
    </row>
    <row r="237" spans="1:7" ht="15.75" x14ac:dyDescent="0.25">
      <c r="A237" s="81" t="s">
        <v>637</v>
      </c>
      <c r="B237" s="87" t="s">
        <v>825</v>
      </c>
      <c r="C237" s="87" t="s">
        <v>814</v>
      </c>
      <c r="D237" s="88" t="str">
        <f t="shared" si="7"/>
        <v/>
      </c>
      <c r="E237" s="9" t="s">
        <v>50</v>
      </c>
      <c r="F237" s="9" t="s">
        <v>638</v>
      </c>
      <c r="G237" s="9" t="s">
        <v>639</v>
      </c>
    </row>
    <row r="238" spans="1:7" ht="15.75" x14ac:dyDescent="0.25">
      <c r="A238" s="81" t="s">
        <v>130</v>
      </c>
      <c r="B238" s="87" t="s">
        <v>95</v>
      </c>
      <c r="C238" s="87" t="s">
        <v>95</v>
      </c>
      <c r="D238" s="88" t="str">
        <f t="shared" si="7"/>
        <v/>
      </c>
      <c r="E238" s="9" t="s">
        <v>52</v>
      </c>
      <c r="F238" s="9" t="s">
        <v>179</v>
      </c>
      <c r="G238" s="9" t="s">
        <v>180</v>
      </c>
    </row>
    <row r="239" spans="1:7" ht="15.75" x14ac:dyDescent="0.25">
      <c r="A239" s="81" t="s">
        <v>793</v>
      </c>
      <c r="B239" s="87" t="s">
        <v>95</v>
      </c>
      <c r="C239" s="87" t="s">
        <v>95</v>
      </c>
      <c r="D239" s="88" t="str">
        <f t="shared" si="7"/>
        <v/>
      </c>
      <c r="E239" s="9" t="s">
        <v>52</v>
      </c>
      <c r="F239" s="9" t="s">
        <v>794</v>
      </c>
      <c r="G239" s="9" t="s">
        <v>795</v>
      </c>
    </row>
    <row r="240" spans="1:7" ht="15.75" x14ac:dyDescent="0.25">
      <c r="A240" s="81" t="s">
        <v>336</v>
      </c>
      <c r="B240" s="87" t="s">
        <v>848</v>
      </c>
      <c r="C240" s="87" t="s">
        <v>811</v>
      </c>
      <c r="D240" s="88" t="str">
        <f t="shared" si="7"/>
        <v/>
      </c>
      <c r="E240" s="9" t="s">
        <v>52</v>
      </c>
      <c r="F240" s="9" t="s">
        <v>226</v>
      </c>
      <c r="G240" s="9" t="s">
        <v>227</v>
      </c>
    </row>
    <row r="241" spans="1:7" ht="15.75" x14ac:dyDescent="0.25">
      <c r="A241" s="81" t="s">
        <v>1961</v>
      </c>
      <c r="B241" s="87" t="s">
        <v>751</v>
      </c>
      <c r="C241" s="87" t="s">
        <v>1962</v>
      </c>
      <c r="D241" s="88" t="str">
        <f t="shared" si="7"/>
        <v/>
      </c>
      <c r="F241" s="9" t="s">
        <v>1963</v>
      </c>
      <c r="G241" s="9" t="s">
        <v>1964</v>
      </c>
    </row>
    <row r="242" spans="1:7" ht="15.75" x14ac:dyDescent="0.25">
      <c r="A242" s="81" t="s">
        <v>16184</v>
      </c>
      <c r="B242" s="87" t="s">
        <v>854</v>
      </c>
      <c r="C242" s="87" t="s">
        <v>811</v>
      </c>
      <c r="D242" s="88" t="str">
        <f t="shared" si="7"/>
        <v/>
      </c>
      <c r="E242" s="9" t="s">
        <v>838</v>
      </c>
      <c r="F242" s="9" t="s">
        <v>16183</v>
      </c>
      <c r="G242" s="9" t="s">
        <v>16182</v>
      </c>
    </row>
    <row r="243" spans="1:7" ht="15.75" x14ac:dyDescent="0.25">
      <c r="A243" s="81" t="s">
        <v>31</v>
      </c>
      <c r="B243" s="87" t="s">
        <v>877</v>
      </c>
      <c r="C243" s="87" t="s">
        <v>811</v>
      </c>
      <c r="D243" s="88" t="str">
        <f t="shared" si="7"/>
        <v/>
      </c>
      <c r="E243" s="9" t="s">
        <v>838</v>
      </c>
      <c r="F243" s="9" t="s">
        <v>134</v>
      </c>
      <c r="G243" s="9" t="s">
        <v>135</v>
      </c>
    </row>
    <row r="244" spans="1:7" ht="15.75" x14ac:dyDescent="0.25">
      <c r="A244" s="81" t="s">
        <v>576</v>
      </c>
      <c r="B244" s="87" t="s">
        <v>870</v>
      </c>
      <c r="C244" s="87" t="s">
        <v>811</v>
      </c>
      <c r="D244" s="88" t="str">
        <f t="shared" si="7"/>
        <v/>
      </c>
      <c r="E244" s="9" t="s">
        <v>838</v>
      </c>
      <c r="F244" s="9" t="s">
        <v>577</v>
      </c>
      <c r="G244" s="9" t="s">
        <v>578</v>
      </c>
    </row>
    <row r="245" spans="1:7" ht="15.75" x14ac:dyDescent="0.25">
      <c r="A245" s="81" t="s">
        <v>1968</v>
      </c>
      <c r="B245" s="87" t="s">
        <v>182</v>
      </c>
      <c r="C245" s="87" t="s">
        <v>1955</v>
      </c>
      <c r="D245" s="88" t="str">
        <f t="shared" si="7"/>
        <v/>
      </c>
      <c r="F245" s="9" t="s">
        <v>1969</v>
      </c>
      <c r="G245" s="9" t="s">
        <v>1970</v>
      </c>
    </row>
    <row r="246" spans="1:7" ht="15.75" x14ac:dyDescent="0.25">
      <c r="A246" s="81" t="s">
        <v>300</v>
      </c>
      <c r="B246" s="87" t="s">
        <v>394</v>
      </c>
      <c r="C246" s="87" t="s">
        <v>811</v>
      </c>
      <c r="D246" s="88" t="str">
        <f t="shared" si="7"/>
        <v/>
      </c>
      <c r="E246" s="9" t="s">
        <v>838</v>
      </c>
      <c r="F246" s="9" t="s">
        <v>187</v>
      </c>
      <c r="G246" s="9" t="s">
        <v>188</v>
      </c>
    </row>
    <row r="247" spans="1:7" ht="15.75" x14ac:dyDescent="0.25">
      <c r="A247" s="81" t="s">
        <v>21</v>
      </c>
      <c r="B247" s="87" t="s">
        <v>846</v>
      </c>
      <c r="C247" s="87" t="s">
        <v>811</v>
      </c>
      <c r="D247" s="88" t="str">
        <f t="shared" si="7"/>
        <v/>
      </c>
      <c r="E247" s="9" t="s">
        <v>838</v>
      </c>
      <c r="F247" s="9" t="s">
        <v>126</v>
      </c>
      <c r="G247" s="9" t="s">
        <v>175</v>
      </c>
    </row>
    <row r="248" spans="1:7" ht="15.75" x14ac:dyDescent="0.25">
      <c r="A248" s="81" t="s">
        <v>699</v>
      </c>
      <c r="B248" s="87" t="s">
        <v>387</v>
      </c>
      <c r="C248" s="87" t="s">
        <v>811</v>
      </c>
      <c r="D248" s="88" t="str">
        <f t="shared" si="7"/>
        <v/>
      </c>
      <c r="E248" s="9" t="s">
        <v>838</v>
      </c>
      <c r="F248" s="9" t="s">
        <v>700</v>
      </c>
      <c r="G248" s="9" t="s">
        <v>701</v>
      </c>
    </row>
    <row r="249" spans="1:7" ht="15.75" x14ac:dyDescent="0.25">
      <c r="A249" s="81" t="s">
        <v>296</v>
      </c>
      <c r="B249" s="87" t="s">
        <v>297</v>
      </c>
      <c r="C249" s="87" t="s">
        <v>810</v>
      </c>
      <c r="D249" s="88" t="str">
        <f t="shared" si="7"/>
        <v/>
      </c>
      <c r="E249" s="9" t="s">
        <v>7</v>
      </c>
      <c r="F249" s="9" t="s">
        <v>298</v>
      </c>
      <c r="G249" s="9" t="s">
        <v>299</v>
      </c>
    </row>
    <row r="250" spans="1:7" ht="15.75" x14ac:dyDescent="0.25">
      <c r="A250" s="81" t="s">
        <v>259</v>
      </c>
      <c r="B250" s="87" t="s">
        <v>870</v>
      </c>
      <c r="C250" s="87" t="s">
        <v>811</v>
      </c>
      <c r="D250" s="88" t="str">
        <f t="shared" si="7"/>
        <v/>
      </c>
      <c r="E250" s="9" t="s">
        <v>838</v>
      </c>
      <c r="F250" s="9" t="s">
        <v>258</v>
      </c>
      <c r="G250" s="9" t="s">
        <v>257</v>
      </c>
    </row>
    <row r="251" spans="1:7" ht="15.75" x14ac:dyDescent="0.25">
      <c r="A251" s="81" t="s">
        <v>747</v>
      </c>
      <c r="B251" s="87" t="s">
        <v>151</v>
      </c>
      <c r="C251" s="87" t="s">
        <v>810</v>
      </c>
      <c r="D251" s="88" t="str">
        <f t="shared" si="7"/>
        <v/>
      </c>
      <c r="E251" s="9" t="s">
        <v>7</v>
      </c>
      <c r="F251" s="9" t="s">
        <v>748</v>
      </c>
      <c r="G251" s="9" t="s">
        <v>749</v>
      </c>
    </row>
    <row r="252" spans="1:7" ht="15.75" x14ac:dyDescent="0.25">
      <c r="A252" s="81" t="s">
        <v>561</v>
      </c>
      <c r="B252" s="87" t="s">
        <v>531</v>
      </c>
      <c r="C252" s="87" t="s">
        <v>900</v>
      </c>
      <c r="D252" s="88" t="str">
        <f t="shared" si="7"/>
        <v/>
      </c>
      <c r="E252" s="90" t="s">
        <v>532</v>
      </c>
      <c r="F252" s="90" t="s">
        <v>562</v>
      </c>
      <c r="G252" s="90" t="s">
        <v>563</v>
      </c>
    </row>
    <row r="253" spans="1:7" ht="15.75" x14ac:dyDescent="0.25">
      <c r="A253" s="81" t="s">
        <v>1971</v>
      </c>
      <c r="B253" s="87" t="s">
        <v>427</v>
      </c>
      <c r="C253" s="87" t="s">
        <v>1957</v>
      </c>
      <c r="D253" s="88" t="str">
        <f t="shared" si="7"/>
        <v/>
      </c>
      <c r="E253" s="90"/>
      <c r="F253" s="90" t="s">
        <v>1972</v>
      </c>
      <c r="G253" s="90" t="s">
        <v>1973</v>
      </c>
    </row>
    <row r="254" spans="1:7" ht="15.75" x14ac:dyDescent="0.25">
      <c r="A254" s="81" t="s">
        <v>630</v>
      </c>
      <c r="B254" s="87" t="s">
        <v>825</v>
      </c>
      <c r="C254" s="87" t="s">
        <v>814</v>
      </c>
      <c r="D254" s="88" t="str">
        <f t="shared" si="7"/>
        <v/>
      </c>
      <c r="E254" s="9" t="s">
        <v>50</v>
      </c>
      <c r="F254" s="9" t="s">
        <v>631</v>
      </c>
      <c r="G254" s="9" t="s">
        <v>632</v>
      </c>
    </row>
    <row r="255" spans="1:7" ht="15.75" x14ac:dyDescent="0.25">
      <c r="A255" s="81" t="s">
        <v>196</v>
      </c>
      <c r="B255" s="87" t="s">
        <v>197</v>
      </c>
      <c r="C255" s="87" t="s">
        <v>810</v>
      </c>
      <c r="D255" s="88" t="str">
        <f t="shared" si="7"/>
        <v/>
      </c>
      <c r="E255" s="90" t="s">
        <v>7</v>
      </c>
      <c r="F255" s="90" t="s">
        <v>198</v>
      </c>
      <c r="G255" s="90" t="s">
        <v>199</v>
      </c>
    </row>
    <row r="256" spans="1:7" ht="15.75" x14ac:dyDescent="0.25">
      <c r="A256" s="81" t="s">
        <v>30</v>
      </c>
      <c r="B256" s="87" t="s">
        <v>878</v>
      </c>
      <c r="C256" s="87" t="s">
        <v>811</v>
      </c>
      <c r="D256" s="88" t="str">
        <f t="shared" ref="D256:D283" si="8">IF(COUNTIF($A$15:$A$1428, A256)&gt;1, "Trùng Đại Lý", "")</f>
        <v/>
      </c>
      <c r="E256" s="9" t="s">
        <v>838</v>
      </c>
      <c r="F256" s="9" t="s">
        <v>242</v>
      </c>
      <c r="G256" s="9" t="s">
        <v>241</v>
      </c>
    </row>
    <row r="257" spans="1:8" ht="15.75" x14ac:dyDescent="0.25">
      <c r="A257" s="81" t="s">
        <v>265</v>
      </c>
      <c r="B257" s="87" t="s">
        <v>857</v>
      </c>
      <c r="C257" s="87" t="s">
        <v>811</v>
      </c>
      <c r="D257" s="88" t="str">
        <f t="shared" si="8"/>
        <v/>
      </c>
      <c r="E257" s="9" t="s">
        <v>838</v>
      </c>
      <c r="F257" s="9" t="s">
        <v>242</v>
      </c>
      <c r="G257" s="9" t="s">
        <v>241</v>
      </c>
    </row>
    <row r="258" spans="1:8" ht="15.75" x14ac:dyDescent="0.25">
      <c r="A258" s="81" t="s">
        <v>25</v>
      </c>
      <c r="B258" s="87" t="s">
        <v>149</v>
      </c>
      <c r="C258" s="87" t="s">
        <v>809</v>
      </c>
      <c r="D258" s="88" t="str">
        <f t="shared" si="8"/>
        <v>Trùng Đại Lý</v>
      </c>
      <c r="E258" s="9" t="s">
        <v>46</v>
      </c>
      <c r="F258" s="9" t="s">
        <v>106</v>
      </c>
      <c r="G258" s="100" t="s">
        <v>215</v>
      </c>
    </row>
    <row r="259" spans="1:8" ht="15.75" x14ac:dyDescent="0.25">
      <c r="A259" s="81" t="s">
        <v>25</v>
      </c>
      <c r="B259" s="87" t="s">
        <v>829</v>
      </c>
      <c r="C259" s="87" t="s">
        <v>828</v>
      </c>
      <c r="D259" s="88" t="str">
        <f t="shared" si="8"/>
        <v>Trùng Đại Lý</v>
      </c>
      <c r="E259" s="9" t="s">
        <v>252</v>
      </c>
      <c r="F259" s="9" t="s">
        <v>106</v>
      </c>
      <c r="G259" s="100" t="s">
        <v>215</v>
      </c>
    </row>
    <row r="260" spans="1:8" ht="15.75" x14ac:dyDescent="0.25">
      <c r="A260" s="81" t="s">
        <v>25</v>
      </c>
      <c r="B260" s="87" t="s">
        <v>856</v>
      </c>
      <c r="C260" s="87" t="s">
        <v>811</v>
      </c>
      <c r="D260" s="88" t="str">
        <f t="shared" si="8"/>
        <v>Trùng Đại Lý</v>
      </c>
      <c r="E260" s="9" t="s">
        <v>838</v>
      </c>
      <c r="F260" s="9" t="s">
        <v>106</v>
      </c>
      <c r="G260" s="100" t="s">
        <v>215</v>
      </c>
    </row>
    <row r="261" spans="1:8" ht="15.75" x14ac:dyDescent="0.25">
      <c r="A261" s="81" t="s">
        <v>25</v>
      </c>
      <c r="B261" s="87" t="s">
        <v>830</v>
      </c>
      <c r="C261" s="87" t="s">
        <v>828</v>
      </c>
      <c r="D261" s="88" t="str">
        <f t="shared" si="8"/>
        <v>Trùng Đại Lý</v>
      </c>
      <c r="E261" s="9" t="s">
        <v>252</v>
      </c>
      <c r="F261" s="9" t="s">
        <v>106</v>
      </c>
      <c r="G261" s="100" t="s">
        <v>1918</v>
      </c>
    </row>
    <row r="262" spans="1:8" ht="15.75" x14ac:dyDescent="0.25">
      <c r="A262" s="81" t="s">
        <v>750</v>
      </c>
      <c r="B262" s="87" t="s">
        <v>832</v>
      </c>
      <c r="C262" s="87" t="s">
        <v>828</v>
      </c>
      <c r="D262" s="88" t="str">
        <f t="shared" si="8"/>
        <v/>
      </c>
      <c r="E262" s="9" t="s">
        <v>752</v>
      </c>
      <c r="F262" s="9" t="s">
        <v>753</v>
      </c>
      <c r="G262" s="9" t="s">
        <v>754</v>
      </c>
    </row>
    <row r="263" spans="1:8" x14ac:dyDescent="0.25">
      <c r="A263" s="72" t="s">
        <v>907</v>
      </c>
      <c r="B263" s="72" t="s">
        <v>908</v>
      </c>
      <c r="C263" s="72" t="s">
        <v>812</v>
      </c>
      <c r="D263" s="88" t="str">
        <f t="shared" si="8"/>
        <v/>
      </c>
      <c r="E263" s="9" t="s">
        <v>49</v>
      </c>
      <c r="F263" s="72" t="s">
        <v>909</v>
      </c>
      <c r="G263" s="72" t="s">
        <v>910</v>
      </c>
    </row>
    <row r="264" spans="1:8" x14ac:dyDescent="0.25">
      <c r="A264" s="72" t="s">
        <v>1974</v>
      </c>
      <c r="B264" s="72" t="s">
        <v>1975</v>
      </c>
      <c r="C264" s="72" t="s">
        <v>1957</v>
      </c>
      <c r="D264" s="88" t="str">
        <f t="shared" si="8"/>
        <v/>
      </c>
      <c r="F264" s="9" t="s">
        <v>1976</v>
      </c>
      <c r="G264" s="9" t="s">
        <v>1977</v>
      </c>
    </row>
    <row r="265" spans="1:8" x14ac:dyDescent="0.25">
      <c r="A265" s="72" t="s">
        <v>16187</v>
      </c>
      <c r="B265" s="72" t="s">
        <v>360</v>
      </c>
      <c r="C265" s="72" t="s">
        <v>1957</v>
      </c>
      <c r="D265" s="88" t="str">
        <f t="shared" si="8"/>
        <v/>
      </c>
      <c r="F265" s="9" t="s">
        <v>16185</v>
      </c>
      <c r="G265" s="9" t="s">
        <v>16186</v>
      </c>
    </row>
    <row r="266" spans="1:8" ht="15.75" x14ac:dyDescent="0.25">
      <c r="A266" s="81" t="s">
        <v>758</v>
      </c>
      <c r="B266" s="87" t="s">
        <v>827</v>
      </c>
      <c r="C266" s="87" t="s">
        <v>812</v>
      </c>
      <c r="D266" s="88" t="str">
        <f t="shared" si="8"/>
        <v/>
      </c>
      <c r="E266" s="9" t="s">
        <v>49</v>
      </c>
      <c r="F266" s="9" t="s">
        <v>759</v>
      </c>
      <c r="G266" s="9" t="s">
        <v>760</v>
      </c>
    </row>
    <row r="267" spans="1:8" ht="15.75" x14ac:dyDescent="0.25">
      <c r="A267" s="81" t="s">
        <v>272</v>
      </c>
      <c r="B267" s="87" t="s">
        <v>845</v>
      </c>
      <c r="C267" s="87" t="s">
        <v>811</v>
      </c>
      <c r="D267" s="88" t="str">
        <f t="shared" si="8"/>
        <v/>
      </c>
      <c r="E267" s="9" t="s">
        <v>838</v>
      </c>
      <c r="F267" s="9" t="s">
        <v>229</v>
      </c>
      <c r="G267" s="9" t="s">
        <v>273</v>
      </c>
    </row>
    <row r="268" spans="1:8" ht="15.75" x14ac:dyDescent="0.25">
      <c r="A268" s="81" t="s">
        <v>668</v>
      </c>
      <c r="B268" s="87" t="s">
        <v>816</v>
      </c>
      <c r="C268" s="87" t="s">
        <v>814</v>
      </c>
      <c r="D268" s="88" t="str">
        <f t="shared" si="8"/>
        <v/>
      </c>
      <c r="E268" s="9" t="s">
        <v>50</v>
      </c>
      <c r="F268" s="9" t="s">
        <v>669</v>
      </c>
      <c r="G268" s="9" t="s">
        <v>670</v>
      </c>
    </row>
    <row r="269" spans="1:8" ht="15.75" x14ac:dyDescent="0.25">
      <c r="A269" s="81" t="s">
        <v>564</v>
      </c>
      <c r="B269" s="87" t="s">
        <v>484</v>
      </c>
      <c r="C269" s="87" t="s">
        <v>889</v>
      </c>
      <c r="D269" s="88" t="str">
        <f t="shared" si="8"/>
        <v>Trùng Đại Lý</v>
      </c>
      <c r="E269" s="90" t="s">
        <v>453</v>
      </c>
      <c r="F269" s="90" t="s">
        <v>565</v>
      </c>
      <c r="G269" s="90" t="s">
        <v>566</v>
      </c>
    </row>
    <row r="270" spans="1:8" ht="15.75" x14ac:dyDescent="0.25">
      <c r="A270" s="81" t="s">
        <v>564</v>
      </c>
      <c r="B270" s="87" t="s">
        <v>606</v>
      </c>
      <c r="C270" s="87" t="s">
        <v>889</v>
      </c>
      <c r="D270" s="88" t="str">
        <f t="shared" si="8"/>
        <v>Trùng Đại Lý</v>
      </c>
      <c r="E270" s="95" t="s">
        <v>453</v>
      </c>
      <c r="F270" s="90" t="s">
        <v>565</v>
      </c>
      <c r="G270" s="90" t="s">
        <v>607</v>
      </c>
      <c r="H270" s="102" t="s">
        <v>674</v>
      </c>
    </row>
    <row r="271" spans="1:8" ht="15.75" x14ac:dyDescent="0.25">
      <c r="A271" s="81" t="s">
        <v>726</v>
      </c>
      <c r="B271" s="87" t="s">
        <v>95</v>
      </c>
      <c r="C271" s="87" t="s">
        <v>95</v>
      </c>
      <c r="D271" s="88" t="str">
        <f t="shared" si="8"/>
        <v/>
      </c>
      <c r="E271" s="9" t="s">
        <v>52</v>
      </c>
      <c r="F271" s="9" t="s">
        <v>727</v>
      </c>
      <c r="G271" s="9" t="s">
        <v>728</v>
      </c>
    </row>
    <row r="272" spans="1:8" ht="15.75" x14ac:dyDescent="0.25">
      <c r="A272" s="81" t="s">
        <v>740</v>
      </c>
      <c r="B272" s="87" t="s">
        <v>836</v>
      </c>
      <c r="C272" s="87" t="s">
        <v>814</v>
      </c>
      <c r="D272" s="88" t="str">
        <f t="shared" si="8"/>
        <v/>
      </c>
      <c r="E272" s="9" t="s">
        <v>50</v>
      </c>
      <c r="F272" s="9" t="s">
        <v>742</v>
      </c>
      <c r="G272" s="9" t="s">
        <v>743</v>
      </c>
    </row>
    <row r="273" spans="1:7" ht="15.75" x14ac:dyDescent="0.25">
      <c r="A273" s="81" t="s">
        <v>303</v>
      </c>
      <c r="B273" s="87" t="s">
        <v>368</v>
      </c>
      <c r="C273" s="87" t="s">
        <v>811</v>
      </c>
      <c r="D273" s="88" t="str">
        <f t="shared" si="8"/>
        <v/>
      </c>
      <c r="E273" s="9" t="s">
        <v>838</v>
      </c>
      <c r="F273" s="9" t="s">
        <v>136</v>
      </c>
      <c r="G273" s="9" t="s">
        <v>137</v>
      </c>
    </row>
    <row r="274" spans="1:7" ht="15.75" x14ac:dyDescent="0.25">
      <c r="A274" s="81" t="s">
        <v>26</v>
      </c>
      <c r="B274" s="87" t="s">
        <v>820</v>
      </c>
      <c r="C274" s="87" t="s">
        <v>811</v>
      </c>
      <c r="D274" s="88" t="str">
        <f t="shared" si="8"/>
        <v>Trùng Đại Lý</v>
      </c>
      <c r="E274" s="9" t="s">
        <v>838</v>
      </c>
      <c r="F274" s="9" t="s">
        <v>144</v>
      </c>
      <c r="G274" s="9" t="s">
        <v>90</v>
      </c>
    </row>
    <row r="275" spans="1:7" ht="15.75" x14ac:dyDescent="0.25">
      <c r="A275" s="81" t="s">
        <v>26</v>
      </c>
      <c r="B275" s="87" t="s">
        <v>870</v>
      </c>
      <c r="C275" s="87" t="s">
        <v>811</v>
      </c>
      <c r="D275" s="88" t="str">
        <f t="shared" si="8"/>
        <v>Trùng Đại Lý</v>
      </c>
      <c r="E275" s="9" t="s">
        <v>838</v>
      </c>
      <c r="F275" s="9" t="s">
        <v>144</v>
      </c>
      <c r="G275" s="9" t="s">
        <v>160</v>
      </c>
    </row>
    <row r="276" spans="1:7" ht="15.75" x14ac:dyDescent="0.25">
      <c r="A276" s="81" t="s">
        <v>26</v>
      </c>
      <c r="B276" s="87" t="s">
        <v>853</v>
      </c>
      <c r="C276" s="87" t="s">
        <v>811</v>
      </c>
      <c r="D276" s="88" t="str">
        <f t="shared" si="8"/>
        <v>Trùng Đại Lý</v>
      </c>
      <c r="E276" s="9" t="s">
        <v>838</v>
      </c>
      <c r="F276" s="9" t="s">
        <v>144</v>
      </c>
      <c r="G276" s="9" t="s">
        <v>85</v>
      </c>
    </row>
    <row r="277" spans="1:7" ht="15.75" x14ac:dyDescent="0.25">
      <c r="A277" s="81" t="s">
        <v>718</v>
      </c>
      <c r="B277" s="87" t="s">
        <v>863</v>
      </c>
      <c r="C277" s="87" t="s">
        <v>811</v>
      </c>
      <c r="D277" s="88" t="str">
        <f t="shared" si="8"/>
        <v>Trùng Đại Lý</v>
      </c>
      <c r="E277" s="9" t="s">
        <v>838</v>
      </c>
      <c r="F277" s="9" t="s">
        <v>720</v>
      </c>
      <c r="G277" s="9" t="s">
        <v>802</v>
      </c>
    </row>
    <row r="278" spans="1:7" ht="15.75" x14ac:dyDescent="0.25">
      <c r="A278" s="81" t="s">
        <v>718</v>
      </c>
      <c r="B278" s="87" t="s">
        <v>834</v>
      </c>
      <c r="C278" s="87" t="s">
        <v>828</v>
      </c>
      <c r="D278" s="88" t="str">
        <f t="shared" si="8"/>
        <v>Trùng Đại Lý</v>
      </c>
      <c r="E278" s="9" t="s">
        <v>252</v>
      </c>
      <c r="F278" s="9" t="s">
        <v>720</v>
      </c>
      <c r="G278" s="9" t="s">
        <v>721</v>
      </c>
    </row>
    <row r="279" spans="1:7" ht="15.75" x14ac:dyDescent="0.25">
      <c r="A279" s="81" t="s">
        <v>1981</v>
      </c>
      <c r="B279" s="87" t="s">
        <v>1982</v>
      </c>
      <c r="C279" s="87" t="s">
        <v>1957</v>
      </c>
      <c r="D279" s="88" t="str">
        <f t="shared" si="8"/>
        <v/>
      </c>
      <c r="F279" s="9" t="s">
        <v>1983</v>
      </c>
      <c r="G279" s="9" t="s">
        <v>1984</v>
      </c>
    </row>
    <row r="280" spans="1:7" ht="15.75" x14ac:dyDescent="0.25">
      <c r="A280" s="81" t="s">
        <v>619</v>
      </c>
      <c r="B280" s="87" t="s">
        <v>881</v>
      </c>
      <c r="C280" s="87" t="s">
        <v>811</v>
      </c>
      <c r="D280" s="88" t="str">
        <f t="shared" si="8"/>
        <v/>
      </c>
      <c r="E280" s="9" t="s">
        <v>838</v>
      </c>
      <c r="F280" s="9" t="s">
        <v>621</v>
      </c>
      <c r="G280" s="9" t="s">
        <v>622</v>
      </c>
    </row>
    <row r="281" spans="1:7" ht="15.75" x14ac:dyDescent="0.25">
      <c r="A281" s="81" t="s">
        <v>12</v>
      </c>
      <c r="B281" s="87" t="s">
        <v>879</v>
      </c>
      <c r="C281" s="87" t="s">
        <v>811</v>
      </c>
      <c r="D281" s="88" t="str">
        <f t="shared" si="8"/>
        <v/>
      </c>
      <c r="E281" s="9" t="s">
        <v>838</v>
      </c>
      <c r="F281" s="9" t="s">
        <v>118</v>
      </c>
      <c r="G281" s="9" t="s">
        <v>70</v>
      </c>
    </row>
    <row r="282" spans="1:7" ht="15.75" x14ac:dyDescent="0.25">
      <c r="A282" s="81" t="s">
        <v>320</v>
      </c>
      <c r="B282" s="87" t="s">
        <v>827</v>
      </c>
      <c r="C282" s="87" t="s">
        <v>812</v>
      </c>
      <c r="D282" s="88" t="str">
        <f t="shared" si="8"/>
        <v/>
      </c>
      <c r="E282" s="9" t="s">
        <v>49</v>
      </c>
      <c r="F282" s="9" t="s">
        <v>321</v>
      </c>
      <c r="G282" s="9" t="s">
        <v>322</v>
      </c>
    </row>
    <row r="283" spans="1:7" ht="15.75" x14ac:dyDescent="0.25">
      <c r="A283" s="81" t="s">
        <v>689</v>
      </c>
      <c r="B283" s="87" t="s">
        <v>844</v>
      </c>
      <c r="C283" s="87" t="s">
        <v>811</v>
      </c>
      <c r="D283" s="88" t="str">
        <f t="shared" si="8"/>
        <v/>
      </c>
      <c r="E283" s="9" t="s">
        <v>838</v>
      </c>
      <c r="F283" s="9" t="s">
        <v>690</v>
      </c>
      <c r="G283" s="9" t="s">
        <v>691</v>
      </c>
    </row>
    <row r="284" spans="1:7" ht="15.75" x14ac:dyDescent="0.25">
      <c r="C284" s="87"/>
    </row>
    <row r="285" spans="1:7" ht="15.75" x14ac:dyDescent="0.25">
      <c r="C285" s="87"/>
    </row>
  </sheetData>
  <autoFilter ref="A15:H283" xr:uid="{8B00548B-724E-4D71-9753-0D1987174613}">
    <sortState xmlns:xlrd2="http://schemas.microsoft.com/office/spreadsheetml/2017/richdata2" ref="A16:H287">
      <sortCondition ref="A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B8A5-FB31-4171-94AF-7F85C15C258E}">
  <dimension ref="A2:J5503"/>
  <sheetViews>
    <sheetView zoomScale="130" zoomScaleNormal="130" workbookViewId="0">
      <pane xSplit="2" ySplit="2" topLeftCell="C4257" activePane="bottomRight" state="frozen"/>
      <selection pane="topRight" activeCell="C1" sqref="C1"/>
      <selection pane="bottomLeft" activeCell="A3" sqref="A3"/>
      <selection pane="bottomRight" activeCell="A4247" sqref="A4247"/>
    </sheetView>
  </sheetViews>
  <sheetFormatPr defaultRowHeight="15" x14ac:dyDescent="0.25"/>
  <cols>
    <col min="1" max="1" width="17.7109375" customWidth="1"/>
    <col min="2" max="2" width="25.42578125" customWidth="1"/>
    <col min="3" max="3" width="57.85546875" customWidth="1"/>
    <col min="4" max="4" width="13.85546875" customWidth="1"/>
    <col min="5" max="5" width="13.7109375" customWidth="1"/>
    <col min="7" max="7" width="12.5703125" customWidth="1"/>
    <col min="8" max="8" width="19.7109375" customWidth="1"/>
    <col min="9" max="9" width="14.7109375" customWidth="1"/>
    <col min="10" max="10" width="10.42578125" customWidth="1"/>
  </cols>
  <sheetData>
    <row r="2" spans="1:10" ht="12.75" customHeight="1" x14ac:dyDescent="0.25">
      <c r="A2" s="74"/>
      <c r="B2" s="74" t="s">
        <v>2005</v>
      </c>
      <c r="C2" s="74" t="s">
        <v>2006</v>
      </c>
      <c r="D2" s="74" t="s">
        <v>2007</v>
      </c>
      <c r="E2" s="74" t="s">
        <v>2008</v>
      </c>
      <c r="F2" s="74" t="s">
        <v>2009</v>
      </c>
      <c r="G2" s="74" t="s">
        <v>2010</v>
      </c>
      <c r="H2" s="74" t="s">
        <v>2011</v>
      </c>
      <c r="I2" s="74" t="s">
        <v>2012</v>
      </c>
      <c r="J2" s="74" t="s">
        <v>2013</v>
      </c>
    </row>
    <row r="3" spans="1:10" ht="16.5" customHeight="1" x14ac:dyDescent="0.25">
      <c r="A3" s="8" t="s">
        <v>2014</v>
      </c>
      <c r="B3" s="8" t="s">
        <v>2015</v>
      </c>
      <c r="C3" s="8" t="s">
        <v>2016</v>
      </c>
      <c r="D3" s="8" t="s">
        <v>2017</v>
      </c>
      <c r="E3" s="105">
        <v>1</v>
      </c>
      <c r="F3" s="106" t="s">
        <v>2018</v>
      </c>
      <c r="G3" s="8"/>
      <c r="H3" s="8"/>
      <c r="I3" s="107">
        <v>0</v>
      </c>
      <c r="J3" s="8" t="s">
        <v>2019</v>
      </c>
    </row>
    <row r="4" spans="1:10" ht="16.5" customHeight="1" x14ac:dyDescent="0.25">
      <c r="A4" s="8" t="s">
        <v>2020</v>
      </c>
      <c r="B4" s="8" t="s">
        <v>2021</v>
      </c>
      <c r="C4" s="8" t="s">
        <v>2022</v>
      </c>
      <c r="D4" s="8" t="s">
        <v>2023</v>
      </c>
      <c r="E4" s="105">
        <v>1</v>
      </c>
      <c r="F4" s="106" t="s">
        <v>2024</v>
      </c>
      <c r="G4" s="8"/>
      <c r="H4" s="8"/>
      <c r="I4" s="107">
        <v>0</v>
      </c>
      <c r="J4" s="8" t="s">
        <v>2019</v>
      </c>
    </row>
    <row r="5" spans="1:10" ht="16.5" customHeight="1" x14ac:dyDescent="0.25">
      <c r="A5" s="8" t="s">
        <v>2025</v>
      </c>
      <c r="B5" s="8" t="s">
        <v>2026</v>
      </c>
      <c r="C5" s="8" t="s">
        <v>2022</v>
      </c>
      <c r="D5" s="8" t="s">
        <v>2027</v>
      </c>
      <c r="E5" s="105">
        <v>1</v>
      </c>
      <c r="F5" s="106" t="s">
        <v>2024</v>
      </c>
      <c r="G5" s="8"/>
      <c r="H5" s="8"/>
      <c r="I5" s="107">
        <v>0</v>
      </c>
      <c r="J5" s="8" t="s">
        <v>2019</v>
      </c>
    </row>
    <row r="6" spans="1:10" ht="16.5" customHeight="1" x14ac:dyDescent="0.25">
      <c r="A6" s="8" t="s">
        <v>2028</v>
      </c>
      <c r="B6" s="8" t="s">
        <v>2029</v>
      </c>
      <c r="C6" s="8" t="s">
        <v>2030</v>
      </c>
      <c r="D6" s="8" t="s">
        <v>2031</v>
      </c>
      <c r="E6" s="105">
        <v>1</v>
      </c>
      <c r="F6" s="106" t="s">
        <v>2018</v>
      </c>
      <c r="G6" s="8"/>
      <c r="H6" s="8"/>
      <c r="I6" s="107">
        <v>0</v>
      </c>
      <c r="J6" s="8" t="s">
        <v>2019</v>
      </c>
    </row>
    <row r="7" spans="1:10" ht="16.5" customHeight="1" x14ac:dyDescent="0.25">
      <c r="A7" s="8" t="s">
        <v>2032</v>
      </c>
      <c r="B7" s="8" t="s">
        <v>2033</v>
      </c>
      <c r="C7" s="8" t="s">
        <v>2034</v>
      </c>
      <c r="D7" s="8" t="s">
        <v>2035</v>
      </c>
      <c r="E7" s="105">
        <v>1</v>
      </c>
      <c r="F7" s="106" t="s">
        <v>2018</v>
      </c>
      <c r="G7" s="8"/>
      <c r="H7" s="8"/>
      <c r="I7" s="107">
        <v>0</v>
      </c>
      <c r="J7" s="8" t="s">
        <v>2019</v>
      </c>
    </row>
    <row r="8" spans="1:10" ht="16.5" customHeight="1" x14ac:dyDescent="0.25">
      <c r="A8" s="8" t="s">
        <v>2036</v>
      </c>
      <c r="B8" s="8" t="s">
        <v>2037</v>
      </c>
      <c r="C8" s="8" t="s">
        <v>2038</v>
      </c>
      <c r="D8" s="8" t="s">
        <v>2039</v>
      </c>
      <c r="E8" s="105">
        <v>1</v>
      </c>
      <c r="F8" s="106" t="s">
        <v>2024</v>
      </c>
      <c r="G8" s="8"/>
      <c r="H8" s="8"/>
      <c r="I8" s="107">
        <v>0</v>
      </c>
      <c r="J8" s="8" t="s">
        <v>2019</v>
      </c>
    </row>
    <row r="9" spans="1:10" ht="16.5" customHeight="1" x14ac:dyDescent="0.25">
      <c r="A9" s="8" t="s">
        <v>2040</v>
      </c>
      <c r="B9" s="8" t="s">
        <v>2041</v>
      </c>
      <c r="C9" s="8" t="s">
        <v>2034</v>
      </c>
      <c r="D9" s="8" t="s">
        <v>2042</v>
      </c>
      <c r="E9" s="105">
        <v>1</v>
      </c>
      <c r="F9" s="106" t="s">
        <v>2018</v>
      </c>
      <c r="G9" s="8"/>
      <c r="H9" s="8"/>
      <c r="I9" s="107">
        <v>0</v>
      </c>
      <c r="J9" s="8" t="s">
        <v>2019</v>
      </c>
    </row>
    <row r="10" spans="1:10" ht="16.5" customHeight="1" x14ac:dyDescent="0.25">
      <c r="A10" s="8" t="s">
        <v>2043</v>
      </c>
      <c r="B10" s="8" t="s">
        <v>2044</v>
      </c>
      <c r="C10" s="8" t="s">
        <v>2034</v>
      </c>
      <c r="D10" s="8" t="s">
        <v>2045</v>
      </c>
      <c r="E10" s="105">
        <v>1</v>
      </c>
      <c r="F10" s="106" t="s">
        <v>2018</v>
      </c>
      <c r="G10" s="8"/>
      <c r="H10" s="8"/>
      <c r="I10" s="107">
        <v>0</v>
      </c>
      <c r="J10" s="8" t="s">
        <v>2019</v>
      </c>
    </row>
    <row r="11" spans="1:10" ht="16.5" customHeight="1" x14ac:dyDescent="0.25">
      <c r="A11" s="8" t="s">
        <v>2046</v>
      </c>
      <c r="B11" s="8" t="s">
        <v>2047</v>
      </c>
      <c r="C11" s="8" t="s">
        <v>2030</v>
      </c>
      <c r="D11" s="8" t="s">
        <v>2048</v>
      </c>
      <c r="E11" s="105">
        <v>1</v>
      </c>
      <c r="F11" s="106" t="s">
        <v>2024</v>
      </c>
      <c r="G11" s="8"/>
      <c r="H11" s="8"/>
      <c r="I11" s="107">
        <v>0</v>
      </c>
      <c r="J11" s="8" t="s">
        <v>2019</v>
      </c>
    </row>
    <row r="12" spans="1:10" ht="16.5" customHeight="1" x14ac:dyDescent="0.25">
      <c r="A12" s="8" t="s">
        <v>2049</v>
      </c>
      <c r="B12" s="8" t="s">
        <v>2050</v>
      </c>
      <c r="C12" s="8" t="s">
        <v>2030</v>
      </c>
      <c r="D12" s="8" t="s">
        <v>2051</v>
      </c>
      <c r="E12" s="105">
        <v>1</v>
      </c>
      <c r="F12" s="106" t="s">
        <v>2024</v>
      </c>
      <c r="G12" s="8"/>
      <c r="H12" s="8"/>
      <c r="I12" s="107">
        <v>0</v>
      </c>
      <c r="J12" s="8" t="s">
        <v>2019</v>
      </c>
    </row>
    <row r="13" spans="1:10" ht="16.5" customHeight="1" x14ac:dyDescent="0.25">
      <c r="A13" s="8" t="s">
        <v>2052</v>
      </c>
      <c r="B13" s="8" t="s">
        <v>2053</v>
      </c>
      <c r="C13" s="8" t="s">
        <v>2030</v>
      </c>
      <c r="D13" s="8" t="s">
        <v>2054</v>
      </c>
      <c r="E13" s="105">
        <v>1</v>
      </c>
      <c r="F13" s="106" t="s">
        <v>2018</v>
      </c>
      <c r="G13" s="8"/>
      <c r="H13" s="8"/>
      <c r="I13" s="107">
        <v>0</v>
      </c>
      <c r="J13" s="8" t="s">
        <v>2019</v>
      </c>
    </row>
    <row r="14" spans="1:10" ht="16.5" customHeight="1" x14ac:dyDescent="0.25">
      <c r="A14" s="8" t="s">
        <v>2055</v>
      </c>
      <c r="B14" s="8" t="s">
        <v>2056</v>
      </c>
      <c r="C14" s="8" t="s">
        <v>2030</v>
      </c>
      <c r="D14" s="8" t="s">
        <v>2057</v>
      </c>
      <c r="E14" s="105">
        <v>1</v>
      </c>
      <c r="F14" s="106" t="s">
        <v>2024</v>
      </c>
      <c r="G14" s="8"/>
      <c r="H14" s="8"/>
      <c r="I14" s="107">
        <v>0</v>
      </c>
      <c r="J14" s="8" t="s">
        <v>2019</v>
      </c>
    </row>
    <row r="15" spans="1:10" ht="16.5" customHeight="1" x14ac:dyDescent="0.25">
      <c r="A15" s="8" t="s">
        <v>2058</v>
      </c>
      <c r="B15" s="8" t="s">
        <v>2059</v>
      </c>
      <c r="C15" s="8" t="s">
        <v>2034</v>
      </c>
      <c r="D15" s="8" t="s">
        <v>2060</v>
      </c>
      <c r="E15" s="105">
        <v>1</v>
      </c>
      <c r="F15" s="106" t="s">
        <v>2018</v>
      </c>
      <c r="G15" s="8"/>
      <c r="H15" s="8"/>
      <c r="I15" s="107">
        <v>0</v>
      </c>
      <c r="J15" s="8" t="s">
        <v>2019</v>
      </c>
    </row>
    <row r="16" spans="1:10" ht="16.5" customHeight="1" x14ac:dyDescent="0.25">
      <c r="A16" s="8" t="s">
        <v>2061</v>
      </c>
      <c r="B16" s="8" t="s">
        <v>2062</v>
      </c>
      <c r="C16" s="8" t="s">
        <v>2063</v>
      </c>
      <c r="D16" s="8" t="s">
        <v>2064</v>
      </c>
      <c r="E16" s="105">
        <v>1</v>
      </c>
      <c r="F16" s="106" t="s">
        <v>2018</v>
      </c>
      <c r="G16" s="8"/>
      <c r="H16" s="8"/>
      <c r="I16" s="107">
        <v>0</v>
      </c>
      <c r="J16" s="8" t="s">
        <v>2019</v>
      </c>
    </row>
    <row r="17" spans="1:10" ht="16.5" customHeight="1" x14ac:dyDescent="0.25">
      <c r="A17" s="8" t="s">
        <v>2065</v>
      </c>
      <c r="B17" s="8" t="s">
        <v>2066</v>
      </c>
      <c r="C17" s="8" t="s">
        <v>2067</v>
      </c>
      <c r="D17" s="8" t="s">
        <v>2068</v>
      </c>
      <c r="E17" s="105">
        <v>1</v>
      </c>
      <c r="F17" s="106" t="s">
        <v>2024</v>
      </c>
      <c r="G17" s="8"/>
      <c r="H17" s="8"/>
      <c r="I17" s="107">
        <v>0</v>
      </c>
      <c r="J17" s="8" t="s">
        <v>2019</v>
      </c>
    </row>
    <row r="18" spans="1:10" ht="16.5" customHeight="1" x14ac:dyDescent="0.25">
      <c r="A18" s="8" t="s">
        <v>2069</v>
      </c>
      <c r="B18" s="8" t="s">
        <v>2070</v>
      </c>
      <c r="C18" s="8" t="s">
        <v>2071</v>
      </c>
      <c r="D18" s="8" t="s">
        <v>2072</v>
      </c>
      <c r="E18" s="105">
        <v>1</v>
      </c>
      <c r="F18" s="106" t="s">
        <v>2024</v>
      </c>
      <c r="G18" s="8"/>
      <c r="H18" s="8"/>
      <c r="I18" s="107">
        <v>0</v>
      </c>
      <c r="J18" s="8" t="s">
        <v>2019</v>
      </c>
    </row>
    <row r="19" spans="1:10" ht="16.5" customHeight="1" x14ac:dyDescent="0.25">
      <c r="A19" s="8" t="s">
        <v>2073</v>
      </c>
      <c r="B19" s="8" t="s">
        <v>2074</v>
      </c>
      <c r="C19" s="8" t="s">
        <v>2063</v>
      </c>
      <c r="D19" s="8" t="s">
        <v>2075</v>
      </c>
      <c r="E19" s="105">
        <v>1</v>
      </c>
      <c r="F19" s="106" t="s">
        <v>2018</v>
      </c>
      <c r="G19" s="8"/>
      <c r="H19" s="8"/>
      <c r="I19" s="107">
        <v>0</v>
      </c>
      <c r="J19" s="8" t="s">
        <v>2019</v>
      </c>
    </row>
    <row r="20" spans="1:10" ht="16.5" customHeight="1" x14ac:dyDescent="0.25">
      <c r="A20" s="8" t="s">
        <v>2076</v>
      </c>
      <c r="B20" s="8" t="s">
        <v>2077</v>
      </c>
      <c r="C20" s="8" t="s">
        <v>2078</v>
      </c>
      <c r="D20" s="8" t="s">
        <v>2079</v>
      </c>
      <c r="E20" s="105">
        <v>1</v>
      </c>
      <c r="F20" s="106" t="s">
        <v>2018</v>
      </c>
      <c r="G20" s="8"/>
      <c r="H20" s="8"/>
      <c r="I20" s="107">
        <v>0</v>
      </c>
      <c r="J20" s="8" t="s">
        <v>2019</v>
      </c>
    </row>
    <row r="21" spans="1:10" ht="16.5" customHeight="1" x14ac:dyDescent="0.25">
      <c r="A21" s="8" t="s">
        <v>2080</v>
      </c>
      <c r="B21" s="8" t="s">
        <v>2081</v>
      </c>
      <c r="C21" s="8" t="s">
        <v>2082</v>
      </c>
      <c r="D21" s="8" t="s">
        <v>2083</v>
      </c>
      <c r="E21" s="105">
        <v>1</v>
      </c>
      <c r="F21" s="106" t="s">
        <v>2018</v>
      </c>
      <c r="G21" s="8"/>
      <c r="H21" s="8"/>
      <c r="I21" s="107">
        <v>0</v>
      </c>
      <c r="J21" s="8" t="s">
        <v>2019</v>
      </c>
    </row>
    <row r="22" spans="1:10" ht="16.5" customHeight="1" x14ac:dyDescent="0.25">
      <c r="A22" s="8" t="s">
        <v>2084</v>
      </c>
      <c r="B22" s="8" t="s">
        <v>2085</v>
      </c>
      <c r="C22" s="8" t="s">
        <v>2086</v>
      </c>
      <c r="D22" s="8" t="s">
        <v>2087</v>
      </c>
      <c r="E22" s="105">
        <v>1</v>
      </c>
      <c r="F22" s="106" t="s">
        <v>2024</v>
      </c>
      <c r="G22" s="8"/>
      <c r="H22" s="8"/>
      <c r="I22" s="107">
        <v>0</v>
      </c>
      <c r="J22" s="8" t="s">
        <v>2019</v>
      </c>
    </row>
    <row r="23" spans="1:10" ht="16.5" customHeight="1" x14ac:dyDescent="0.25">
      <c r="A23" s="8" t="s">
        <v>2088</v>
      </c>
      <c r="B23" s="8" t="s">
        <v>2089</v>
      </c>
      <c r="C23" s="8" t="s">
        <v>2090</v>
      </c>
      <c r="D23" s="8" t="s">
        <v>2091</v>
      </c>
      <c r="E23" s="105">
        <v>1</v>
      </c>
      <c r="F23" s="106" t="s">
        <v>2024</v>
      </c>
      <c r="G23" s="8"/>
      <c r="H23" s="8"/>
      <c r="I23" s="107">
        <v>0</v>
      </c>
      <c r="J23" s="8" t="s">
        <v>2019</v>
      </c>
    </row>
    <row r="24" spans="1:10" ht="16.5" customHeight="1" x14ac:dyDescent="0.25">
      <c r="A24" s="8" t="s">
        <v>2092</v>
      </c>
      <c r="B24" s="8" t="s">
        <v>2093</v>
      </c>
      <c r="C24" s="8" t="s">
        <v>2094</v>
      </c>
      <c r="D24" s="8" t="s">
        <v>2095</v>
      </c>
      <c r="E24" s="105">
        <v>1</v>
      </c>
      <c r="F24" s="106" t="s">
        <v>2024</v>
      </c>
      <c r="G24" s="8"/>
      <c r="H24" s="8"/>
      <c r="I24" s="107">
        <v>0</v>
      </c>
      <c r="J24" s="8" t="s">
        <v>2019</v>
      </c>
    </row>
    <row r="25" spans="1:10" ht="16.5" customHeight="1" x14ac:dyDescent="0.25">
      <c r="A25" s="8" t="s">
        <v>2096</v>
      </c>
      <c r="B25" s="8" t="s">
        <v>2097</v>
      </c>
      <c r="C25" s="8" t="s">
        <v>2098</v>
      </c>
      <c r="D25" s="8" t="s">
        <v>2099</v>
      </c>
      <c r="E25" s="105">
        <v>1</v>
      </c>
      <c r="F25" s="106" t="s">
        <v>2024</v>
      </c>
      <c r="G25" s="8"/>
      <c r="H25" s="8"/>
      <c r="I25" s="107">
        <v>0</v>
      </c>
      <c r="J25" s="8" t="s">
        <v>2019</v>
      </c>
    </row>
    <row r="26" spans="1:10" ht="16.5" customHeight="1" x14ac:dyDescent="0.25">
      <c r="A26" s="8" t="s">
        <v>2100</v>
      </c>
      <c r="B26" s="8" t="s">
        <v>2101</v>
      </c>
      <c r="C26" s="8" t="s">
        <v>2102</v>
      </c>
      <c r="D26" s="8" t="s">
        <v>2103</v>
      </c>
      <c r="E26" s="105">
        <v>1</v>
      </c>
      <c r="F26" s="106" t="s">
        <v>2024</v>
      </c>
      <c r="G26" s="8"/>
      <c r="H26" s="8"/>
      <c r="I26" s="107">
        <v>0</v>
      </c>
      <c r="J26" s="8" t="s">
        <v>2019</v>
      </c>
    </row>
    <row r="27" spans="1:10" ht="16.5" customHeight="1" x14ac:dyDescent="0.25">
      <c r="A27" s="8" t="s">
        <v>2104</v>
      </c>
      <c r="B27" s="8" t="s">
        <v>2105</v>
      </c>
      <c r="C27" s="8" t="s">
        <v>2106</v>
      </c>
      <c r="D27" s="8" t="s">
        <v>2107</v>
      </c>
      <c r="E27" s="105">
        <v>1</v>
      </c>
      <c r="F27" s="106" t="s">
        <v>2018</v>
      </c>
      <c r="G27" s="8"/>
      <c r="H27" s="8"/>
      <c r="I27" s="107">
        <v>0</v>
      </c>
      <c r="J27" s="8" t="s">
        <v>2019</v>
      </c>
    </row>
    <row r="28" spans="1:10" ht="16.5" customHeight="1" x14ac:dyDescent="0.25">
      <c r="A28" s="8" t="s">
        <v>2108</v>
      </c>
      <c r="B28" s="8" t="s">
        <v>2109</v>
      </c>
      <c r="C28" s="8" t="s">
        <v>2110</v>
      </c>
      <c r="D28" s="8" t="s">
        <v>2111</v>
      </c>
      <c r="E28" s="105">
        <v>1</v>
      </c>
      <c r="F28" s="106" t="s">
        <v>2024</v>
      </c>
      <c r="G28" s="8"/>
      <c r="H28" s="8"/>
      <c r="I28" s="107">
        <v>0</v>
      </c>
      <c r="J28" s="8" t="s">
        <v>2019</v>
      </c>
    </row>
    <row r="29" spans="1:10" ht="16.5" customHeight="1" x14ac:dyDescent="0.25">
      <c r="A29" s="8" t="s">
        <v>2112</v>
      </c>
      <c r="B29" s="8" t="s">
        <v>2113</v>
      </c>
      <c r="C29" s="8" t="s">
        <v>2114</v>
      </c>
      <c r="D29" s="8" t="s">
        <v>2115</v>
      </c>
      <c r="E29" s="105">
        <v>1</v>
      </c>
      <c r="F29" s="106" t="s">
        <v>2024</v>
      </c>
      <c r="G29" s="8"/>
      <c r="H29" s="8"/>
      <c r="I29" s="107">
        <v>0</v>
      </c>
      <c r="J29" s="8" t="s">
        <v>2019</v>
      </c>
    </row>
    <row r="30" spans="1:10" ht="16.5" customHeight="1" x14ac:dyDescent="0.25">
      <c r="A30" s="8" t="s">
        <v>2116</v>
      </c>
      <c r="B30" s="8" t="s">
        <v>2117</v>
      </c>
      <c r="C30" s="8" t="s">
        <v>2118</v>
      </c>
      <c r="D30" s="8" t="s">
        <v>2119</v>
      </c>
      <c r="E30" s="105">
        <v>1</v>
      </c>
      <c r="F30" s="106" t="s">
        <v>2024</v>
      </c>
      <c r="G30" s="8"/>
      <c r="H30" s="8"/>
      <c r="I30" s="107">
        <v>0</v>
      </c>
      <c r="J30" s="8" t="s">
        <v>2019</v>
      </c>
    </row>
    <row r="31" spans="1:10" ht="16.5" customHeight="1" x14ac:dyDescent="0.25">
      <c r="A31" s="8" t="s">
        <v>2120</v>
      </c>
      <c r="B31" s="8" t="s">
        <v>2121</v>
      </c>
      <c r="C31" s="8" t="s">
        <v>2122</v>
      </c>
      <c r="D31" s="8" t="s">
        <v>2123</v>
      </c>
      <c r="E31" s="105">
        <v>1</v>
      </c>
      <c r="F31" s="106" t="s">
        <v>2018</v>
      </c>
      <c r="G31" s="8"/>
      <c r="H31" s="8"/>
      <c r="I31" s="107">
        <v>0</v>
      </c>
      <c r="J31" s="8" t="s">
        <v>2019</v>
      </c>
    </row>
    <row r="32" spans="1:10" ht="16.5" customHeight="1" x14ac:dyDescent="0.25">
      <c r="A32" s="8" t="s">
        <v>1379</v>
      </c>
      <c r="B32" s="8" t="s">
        <v>1381</v>
      </c>
      <c r="C32" s="8" t="s">
        <v>1380</v>
      </c>
      <c r="D32" s="8" t="s">
        <v>2124</v>
      </c>
      <c r="E32" s="105">
        <v>1</v>
      </c>
      <c r="F32" s="106" t="s">
        <v>2018</v>
      </c>
      <c r="G32" s="8"/>
      <c r="H32" s="8"/>
      <c r="I32" s="107">
        <v>0</v>
      </c>
      <c r="J32" s="8" t="s">
        <v>2019</v>
      </c>
    </row>
    <row r="33" spans="1:10" ht="16.5" customHeight="1" x14ac:dyDescent="0.25">
      <c r="A33" s="8" t="s">
        <v>2125</v>
      </c>
      <c r="B33" s="8" t="s">
        <v>2126</v>
      </c>
      <c r="C33" s="8" t="s">
        <v>2127</v>
      </c>
      <c r="D33" s="8" t="s">
        <v>2128</v>
      </c>
      <c r="E33" s="105">
        <v>1</v>
      </c>
      <c r="F33" s="106" t="s">
        <v>2024</v>
      </c>
      <c r="G33" s="8"/>
      <c r="H33" s="8"/>
      <c r="I33" s="107">
        <v>0</v>
      </c>
      <c r="J33" s="8" t="s">
        <v>2019</v>
      </c>
    </row>
    <row r="34" spans="1:10" ht="16.5" customHeight="1" x14ac:dyDescent="0.25">
      <c r="A34" s="8" t="s">
        <v>2129</v>
      </c>
      <c r="B34" s="8" t="s">
        <v>2130</v>
      </c>
      <c r="C34" s="8" t="s">
        <v>2131</v>
      </c>
      <c r="D34" s="8" t="s">
        <v>2132</v>
      </c>
      <c r="E34" s="105">
        <v>1</v>
      </c>
      <c r="F34" s="106" t="s">
        <v>2024</v>
      </c>
      <c r="G34" s="8"/>
      <c r="H34" s="8"/>
      <c r="I34" s="107">
        <v>0</v>
      </c>
      <c r="J34" s="8" t="s">
        <v>2019</v>
      </c>
    </row>
    <row r="35" spans="1:10" ht="16.5" customHeight="1" x14ac:dyDescent="0.25">
      <c r="A35" s="8" t="s">
        <v>2133</v>
      </c>
      <c r="B35" s="8" t="s">
        <v>2134</v>
      </c>
      <c r="C35" s="8" t="s">
        <v>2135</v>
      </c>
      <c r="D35" s="8" t="s">
        <v>2136</v>
      </c>
      <c r="E35" s="105">
        <v>1</v>
      </c>
      <c r="F35" s="106" t="s">
        <v>2018</v>
      </c>
      <c r="G35" s="8"/>
      <c r="H35" s="8"/>
      <c r="I35" s="107">
        <v>0</v>
      </c>
      <c r="J35" s="8" t="s">
        <v>2019</v>
      </c>
    </row>
    <row r="36" spans="1:10" ht="16.5" customHeight="1" x14ac:dyDescent="0.25">
      <c r="A36" s="8" t="s">
        <v>2137</v>
      </c>
      <c r="B36" s="8" t="s">
        <v>2138</v>
      </c>
      <c r="C36" s="8" t="s">
        <v>2139</v>
      </c>
      <c r="D36" s="8" t="s">
        <v>2140</v>
      </c>
      <c r="E36" s="105">
        <v>1</v>
      </c>
      <c r="F36" s="106" t="s">
        <v>2024</v>
      </c>
      <c r="G36" s="8"/>
      <c r="H36" s="8"/>
      <c r="I36" s="107">
        <v>0</v>
      </c>
      <c r="J36" s="8" t="s">
        <v>2019</v>
      </c>
    </row>
    <row r="37" spans="1:10" ht="16.5" customHeight="1" x14ac:dyDescent="0.25">
      <c r="A37" s="8" t="s">
        <v>2141</v>
      </c>
      <c r="B37" s="8" t="s">
        <v>2142</v>
      </c>
      <c r="C37" s="8" t="s">
        <v>2143</v>
      </c>
      <c r="D37" s="8" t="s">
        <v>2144</v>
      </c>
      <c r="E37" s="105">
        <v>1</v>
      </c>
      <c r="F37" s="106" t="s">
        <v>2024</v>
      </c>
      <c r="G37" s="8"/>
      <c r="H37" s="8"/>
      <c r="I37" s="107">
        <v>0</v>
      </c>
      <c r="J37" s="8" t="s">
        <v>2019</v>
      </c>
    </row>
    <row r="38" spans="1:10" ht="16.5" customHeight="1" x14ac:dyDescent="0.25">
      <c r="A38" s="8" t="s">
        <v>2145</v>
      </c>
      <c r="B38" s="8" t="s">
        <v>2146</v>
      </c>
      <c r="C38" s="8" t="s">
        <v>2147</v>
      </c>
      <c r="D38" s="8" t="s">
        <v>2148</v>
      </c>
      <c r="E38" s="105">
        <v>1</v>
      </c>
      <c r="F38" s="106" t="s">
        <v>2024</v>
      </c>
      <c r="G38" s="8"/>
      <c r="H38" s="8"/>
      <c r="I38" s="107">
        <v>0</v>
      </c>
      <c r="J38" s="8" t="s">
        <v>2019</v>
      </c>
    </row>
    <row r="39" spans="1:10" ht="16.5" customHeight="1" x14ac:dyDescent="0.25">
      <c r="A39" s="8" t="s">
        <v>2149</v>
      </c>
      <c r="B39" s="8" t="s">
        <v>2150</v>
      </c>
      <c r="C39" s="8" t="s">
        <v>2151</v>
      </c>
      <c r="D39" s="8" t="s">
        <v>2152</v>
      </c>
      <c r="E39" s="105">
        <v>1</v>
      </c>
      <c r="F39" s="106" t="s">
        <v>2024</v>
      </c>
      <c r="G39" s="8"/>
      <c r="H39" s="8"/>
      <c r="I39" s="107">
        <v>0</v>
      </c>
      <c r="J39" s="8" t="s">
        <v>2019</v>
      </c>
    </row>
    <row r="40" spans="1:10" ht="16.5" customHeight="1" x14ac:dyDescent="0.25">
      <c r="A40" s="8" t="s">
        <v>2153</v>
      </c>
      <c r="B40" s="8" t="s">
        <v>2154</v>
      </c>
      <c r="C40" s="8" t="s">
        <v>2155</v>
      </c>
      <c r="D40" s="8" t="s">
        <v>2156</v>
      </c>
      <c r="E40" s="105">
        <v>1</v>
      </c>
      <c r="F40" s="106" t="s">
        <v>2018</v>
      </c>
      <c r="G40" s="8"/>
      <c r="H40" s="8"/>
      <c r="I40" s="107">
        <v>0</v>
      </c>
      <c r="J40" s="8" t="s">
        <v>2019</v>
      </c>
    </row>
    <row r="41" spans="1:10" ht="16.5" customHeight="1" x14ac:dyDescent="0.25">
      <c r="A41" s="8" t="s">
        <v>2157</v>
      </c>
      <c r="B41" s="8" t="s">
        <v>2158</v>
      </c>
      <c r="C41" s="8" t="s">
        <v>2159</v>
      </c>
      <c r="D41" s="8" t="s">
        <v>2160</v>
      </c>
      <c r="E41" s="105">
        <v>1</v>
      </c>
      <c r="F41" s="106" t="s">
        <v>2024</v>
      </c>
      <c r="G41" s="8"/>
      <c r="H41" s="8"/>
      <c r="I41" s="107">
        <v>0</v>
      </c>
      <c r="J41" s="8" t="s">
        <v>2019</v>
      </c>
    </row>
    <row r="42" spans="1:10" ht="16.5" customHeight="1" x14ac:dyDescent="0.25">
      <c r="A42" s="8" t="s">
        <v>2161</v>
      </c>
      <c r="B42" s="8" t="s">
        <v>2162</v>
      </c>
      <c r="C42" s="8" t="s">
        <v>2163</v>
      </c>
      <c r="D42" s="8" t="s">
        <v>2164</v>
      </c>
      <c r="E42" s="105">
        <v>1</v>
      </c>
      <c r="F42" s="106" t="s">
        <v>2024</v>
      </c>
      <c r="G42" s="8"/>
      <c r="H42" s="8"/>
      <c r="I42" s="107">
        <v>0</v>
      </c>
      <c r="J42" s="8" t="s">
        <v>2019</v>
      </c>
    </row>
    <row r="43" spans="1:10" ht="16.5" customHeight="1" x14ac:dyDescent="0.25">
      <c r="A43" s="8" t="s">
        <v>2165</v>
      </c>
      <c r="B43" s="8" t="s">
        <v>2166</v>
      </c>
      <c r="C43" s="8" t="s">
        <v>2167</v>
      </c>
      <c r="D43" s="8" t="s">
        <v>2168</v>
      </c>
      <c r="E43" s="105">
        <v>1</v>
      </c>
      <c r="F43" s="106" t="s">
        <v>2024</v>
      </c>
      <c r="G43" s="8"/>
      <c r="H43" s="8"/>
      <c r="I43" s="107">
        <v>0</v>
      </c>
      <c r="J43" s="8" t="s">
        <v>2019</v>
      </c>
    </row>
    <row r="44" spans="1:10" ht="16.5" customHeight="1" x14ac:dyDescent="0.25">
      <c r="A44" s="8" t="s">
        <v>2169</v>
      </c>
      <c r="B44" s="8" t="s">
        <v>2170</v>
      </c>
      <c r="C44" s="8" t="s">
        <v>2171</v>
      </c>
      <c r="D44" s="8" t="s">
        <v>2172</v>
      </c>
      <c r="E44" s="105">
        <v>1</v>
      </c>
      <c r="F44" s="106" t="s">
        <v>2024</v>
      </c>
      <c r="G44" s="8"/>
      <c r="H44" s="8"/>
      <c r="I44" s="107">
        <v>0</v>
      </c>
      <c r="J44" s="8" t="s">
        <v>2019</v>
      </c>
    </row>
    <row r="45" spans="1:10" ht="16.5" customHeight="1" x14ac:dyDescent="0.25">
      <c r="A45" s="8" t="s">
        <v>2173</v>
      </c>
      <c r="B45" s="8" t="s">
        <v>2174</v>
      </c>
      <c r="C45" s="8" t="s">
        <v>2175</v>
      </c>
      <c r="D45" s="8" t="s">
        <v>2176</v>
      </c>
      <c r="E45" s="105">
        <v>1</v>
      </c>
      <c r="F45" s="106" t="s">
        <v>2024</v>
      </c>
      <c r="G45" s="8"/>
      <c r="H45" s="8"/>
      <c r="I45" s="107">
        <v>0</v>
      </c>
      <c r="J45" s="8" t="s">
        <v>2019</v>
      </c>
    </row>
    <row r="46" spans="1:10" ht="16.5" customHeight="1" x14ac:dyDescent="0.25">
      <c r="A46" s="8" t="s">
        <v>2177</v>
      </c>
      <c r="B46" s="8" t="s">
        <v>2178</v>
      </c>
      <c r="C46" s="8" t="s">
        <v>2179</v>
      </c>
      <c r="D46" s="8" t="s">
        <v>2180</v>
      </c>
      <c r="E46" s="105">
        <v>1</v>
      </c>
      <c r="F46" s="106" t="s">
        <v>2024</v>
      </c>
      <c r="G46" s="8"/>
      <c r="H46" s="8"/>
      <c r="I46" s="107">
        <v>0</v>
      </c>
      <c r="J46" s="8" t="s">
        <v>2019</v>
      </c>
    </row>
    <row r="47" spans="1:10" ht="16.5" customHeight="1" x14ac:dyDescent="0.25">
      <c r="A47" s="8" t="s">
        <v>2181</v>
      </c>
      <c r="B47" s="8" t="s">
        <v>2182</v>
      </c>
      <c r="C47" s="8" t="s">
        <v>2183</v>
      </c>
      <c r="D47" s="8" t="s">
        <v>2184</v>
      </c>
      <c r="E47" s="105">
        <v>1</v>
      </c>
      <c r="F47" s="106" t="s">
        <v>2018</v>
      </c>
      <c r="G47" s="8"/>
      <c r="H47" s="8"/>
      <c r="I47" s="107">
        <v>0</v>
      </c>
      <c r="J47" s="8" t="s">
        <v>2019</v>
      </c>
    </row>
    <row r="48" spans="1:10" ht="16.5" customHeight="1" x14ac:dyDescent="0.25">
      <c r="A48" s="8" t="s">
        <v>2185</v>
      </c>
      <c r="B48" s="8" t="s">
        <v>2186</v>
      </c>
      <c r="C48" s="8" t="s">
        <v>2187</v>
      </c>
      <c r="D48" s="8" t="s">
        <v>2188</v>
      </c>
      <c r="E48" s="105">
        <v>1</v>
      </c>
      <c r="F48" s="106" t="s">
        <v>2024</v>
      </c>
      <c r="G48" s="8"/>
      <c r="H48" s="8"/>
      <c r="I48" s="107">
        <v>0</v>
      </c>
      <c r="J48" s="8" t="s">
        <v>2019</v>
      </c>
    </row>
    <row r="49" spans="1:10" ht="16.5" customHeight="1" x14ac:dyDescent="0.25">
      <c r="A49" s="8" t="s">
        <v>2189</v>
      </c>
      <c r="B49" s="8" t="s">
        <v>2190</v>
      </c>
      <c r="C49" s="8" t="s">
        <v>2191</v>
      </c>
      <c r="D49" s="8" t="s">
        <v>2192</v>
      </c>
      <c r="E49" s="105">
        <v>190</v>
      </c>
      <c r="F49" s="106" t="s">
        <v>2024</v>
      </c>
      <c r="G49" s="8"/>
      <c r="H49" s="8"/>
      <c r="I49" s="107">
        <v>0</v>
      </c>
      <c r="J49" s="8" t="s">
        <v>2019</v>
      </c>
    </row>
    <row r="50" spans="1:10" ht="16.5" customHeight="1" x14ac:dyDescent="0.25">
      <c r="A50" s="8" t="s">
        <v>2193</v>
      </c>
      <c r="B50" s="8" t="s">
        <v>2194</v>
      </c>
      <c r="C50" s="8" t="s">
        <v>2195</v>
      </c>
      <c r="D50" s="8" t="s">
        <v>2196</v>
      </c>
      <c r="E50" s="105">
        <v>190</v>
      </c>
      <c r="F50" s="106" t="s">
        <v>2024</v>
      </c>
      <c r="G50" s="8"/>
      <c r="H50" s="8"/>
      <c r="I50" s="107">
        <v>0</v>
      </c>
      <c r="J50" s="8" t="s">
        <v>2019</v>
      </c>
    </row>
    <row r="51" spans="1:10" ht="16.5" customHeight="1" x14ac:dyDescent="0.25">
      <c r="A51" s="8" t="s">
        <v>2197</v>
      </c>
      <c r="B51" s="8" t="s">
        <v>2198</v>
      </c>
      <c r="C51" s="8" t="s">
        <v>2199</v>
      </c>
      <c r="D51" s="8" t="s">
        <v>2200</v>
      </c>
      <c r="E51" s="105">
        <v>190</v>
      </c>
      <c r="F51" s="106" t="s">
        <v>2024</v>
      </c>
      <c r="G51" s="8"/>
      <c r="H51" s="8"/>
      <c r="I51" s="107">
        <v>0</v>
      </c>
      <c r="J51" s="8" t="s">
        <v>2019</v>
      </c>
    </row>
    <row r="52" spans="1:10" ht="16.5" customHeight="1" x14ac:dyDescent="0.25">
      <c r="A52" s="8" t="s">
        <v>2201</v>
      </c>
      <c r="B52" s="8" t="s">
        <v>2202</v>
      </c>
      <c r="C52" s="8" t="s">
        <v>2203</v>
      </c>
      <c r="D52" s="8" t="s">
        <v>2204</v>
      </c>
      <c r="E52" s="105">
        <v>190</v>
      </c>
      <c r="F52" s="106" t="s">
        <v>2024</v>
      </c>
      <c r="G52" s="8"/>
      <c r="H52" s="8"/>
      <c r="I52" s="107">
        <v>0</v>
      </c>
      <c r="J52" s="8" t="s">
        <v>2019</v>
      </c>
    </row>
    <row r="53" spans="1:10" ht="16.5" customHeight="1" x14ac:dyDescent="0.25">
      <c r="A53" s="8" t="s">
        <v>2205</v>
      </c>
      <c r="B53" s="8" t="s">
        <v>2206</v>
      </c>
      <c r="C53" s="8" t="s">
        <v>2207</v>
      </c>
      <c r="D53" s="8" t="s">
        <v>2208</v>
      </c>
      <c r="E53" s="105">
        <v>25</v>
      </c>
      <c r="F53" s="106" t="s">
        <v>2024</v>
      </c>
      <c r="G53" s="8"/>
      <c r="H53" s="8"/>
      <c r="I53" s="107">
        <v>0</v>
      </c>
      <c r="J53" s="8" t="s">
        <v>2019</v>
      </c>
    </row>
    <row r="54" spans="1:10" ht="16.5" customHeight="1" x14ac:dyDescent="0.25">
      <c r="A54" s="8" t="s">
        <v>2209</v>
      </c>
      <c r="B54" s="8" t="s">
        <v>2210</v>
      </c>
      <c r="C54" s="8" t="s">
        <v>2211</v>
      </c>
      <c r="D54" s="8" t="s">
        <v>2212</v>
      </c>
      <c r="E54" s="105">
        <v>17</v>
      </c>
      <c r="F54" s="106" t="s">
        <v>2024</v>
      </c>
      <c r="G54" s="8"/>
      <c r="H54" s="8"/>
      <c r="I54" s="107">
        <v>0</v>
      </c>
      <c r="J54" s="8" t="s">
        <v>2019</v>
      </c>
    </row>
    <row r="55" spans="1:10" ht="16.5" customHeight="1" x14ac:dyDescent="0.25">
      <c r="A55" s="8" t="s">
        <v>1052</v>
      </c>
      <c r="B55" s="8" t="s">
        <v>1054</v>
      </c>
      <c r="C55" s="8" t="s">
        <v>1053</v>
      </c>
      <c r="D55" s="8" t="s">
        <v>2213</v>
      </c>
      <c r="E55" s="105">
        <v>18</v>
      </c>
      <c r="F55" s="106" t="s">
        <v>2018</v>
      </c>
      <c r="G55" s="8"/>
      <c r="H55" s="8"/>
      <c r="I55" s="107">
        <v>0</v>
      </c>
      <c r="J55" s="8" t="s">
        <v>2019</v>
      </c>
    </row>
    <row r="56" spans="1:10" ht="16.5" customHeight="1" x14ac:dyDescent="0.25">
      <c r="A56" s="8" t="s">
        <v>2214</v>
      </c>
      <c r="B56" s="8" t="s">
        <v>2215</v>
      </c>
      <c r="C56" s="8" t="s">
        <v>2216</v>
      </c>
      <c r="D56" s="8" t="s">
        <v>2217</v>
      </c>
      <c r="E56" s="105">
        <v>18</v>
      </c>
      <c r="F56" s="106" t="s">
        <v>2018</v>
      </c>
      <c r="G56" s="8"/>
      <c r="H56" s="8"/>
      <c r="I56" s="107">
        <v>0</v>
      </c>
      <c r="J56" s="8" t="s">
        <v>2019</v>
      </c>
    </row>
    <row r="57" spans="1:10" ht="16.5" customHeight="1" x14ac:dyDescent="0.25">
      <c r="A57" s="8" t="s">
        <v>2218</v>
      </c>
      <c r="B57" s="8" t="s">
        <v>2219</v>
      </c>
      <c r="C57" s="8" t="s">
        <v>2220</v>
      </c>
      <c r="D57" s="8" t="s">
        <v>2221</v>
      </c>
      <c r="E57" s="105">
        <v>18</v>
      </c>
      <c r="F57" s="106" t="s">
        <v>2024</v>
      </c>
      <c r="G57" s="8"/>
      <c r="H57" s="8"/>
      <c r="I57" s="107">
        <v>0</v>
      </c>
      <c r="J57" s="8" t="s">
        <v>2019</v>
      </c>
    </row>
    <row r="58" spans="1:10" ht="16.5" customHeight="1" x14ac:dyDescent="0.25">
      <c r="A58" s="8" t="s">
        <v>2222</v>
      </c>
      <c r="B58" s="8" t="s">
        <v>2223</v>
      </c>
      <c r="C58" s="8" t="s">
        <v>2224</v>
      </c>
      <c r="D58" s="8" t="s">
        <v>2225</v>
      </c>
      <c r="E58" s="105">
        <v>18</v>
      </c>
      <c r="F58" s="106" t="s">
        <v>2024</v>
      </c>
      <c r="G58" s="8"/>
      <c r="H58" s="8"/>
      <c r="I58" s="107">
        <v>0</v>
      </c>
      <c r="J58" s="8" t="s">
        <v>2019</v>
      </c>
    </row>
    <row r="59" spans="1:10" ht="16.5" customHeight="1" x14ac:dyDescent="0.25">
      <c r="A59" s="8" t="s">
        <v>2226</v>
      </c>
      <c r="B59" s="8" t="s">
        <v>2227</v>
      </c>
      <c r="C59" s="8" t="s">
        <v>2228</v>
      </c>
      <c r="D59" s="8" t="s">
        <v>2229</v>
      </c>
      <c r="E59" s="105">
        <v>18</v>
      </c>
      <c r="F59" s="106" t="s">
        <v>2024</v>
      </c>
      <c r="G59" s="8"/>
      <c r="H59" s="8"/>
      <c r="I59" s="107">
        <v>0</v>
      </c>
      <c r="J59" s="8" t="s">
        <v>2019</v>
      </c>
    </row>
    <row r="60" spans="1:10" ht="16.5" customHeight="1" x14ac:dyDescent="0.25">
      <c r="A60" s="8" t="s">
        <v>2230</v>
      </c>
      <c r="B60" s="8" t="s">
        <v>2231</v>
      </c>
      <c r="C60" s="8" t="s">
        <v>2232</v>
      </c>
      <c r="D60" s="8" t="s">
        <v>2233</v>
      </c>
      <c r="E60" s="105">
        <v>18</v>
      </c>
      <c r="F60" s="106" t="s">
        <v>2024</v>
      </c>
      <c r="G60" s="8"/>
      <c r="H60" s="8"/>
      <c r="I60" s="107">
        <v>0</v>
      </c>
      <c r="J60" s="8" t="s">
        <v>2019</v>
      </c>
    </row>
    <row r="61" spans="1:10" ht="16.5" customHeight="1" x14ac:dyDescent="0.25">
      <c r="A61" s="8" t="s">
        <v>2234</v>
      </c>
      <c r="B61" s="8" t="s">
        <v>2235</v>
      </c>
      <c r="C61" s="8" t="s">
        <v>2236</v>
      </c>
      <c r="D61" s="8" t="s">
        <v>2237</v>
      </c>
      <c r="E61" s="105">
        <v>18</v>
      </c>
      <c r="F61" s="106" t="s">
        <v>2024</v>
      </c>
      <c r="G61" s="8"/>
      <c r="H61" s="8"/>
      <c r="I61" s="107">
        <v>0</v>
      </c>
      <c r="J61" s="8" t="s">
        <v>2019</v>
      </c>
    </row>
    <row r="62" spans="1:10" ht="16.5" customHeight="1" x14ac:dyDescent="0.25">
      <c r="A62" s="8" t="s">
        <v>2238</v>
      </c>
      <c r="B62" s="8" t="s">
        <v>2239</v>
      </c>
      <c r="C62" s="8" t="s">
        <v>2240</v>
      </c>
      <c r="D62" s="8" t="s">
        <v>2241</v>
      </c>
      <c r="E62" s="105">
        <v>18</v>
      </c>
      <c r="F62" s="106" t="s">
        <v>2024</v>
      </c>
      <c r="G62" s="8"/>
      <c r="H62" s="8"/>
      <c r="I62" s="107">
        <v>0</v>
      </c>
      <c r="J62" s="8" t="s">
        <v>2019</v>
      </c>
    </row>
    <row r="63" spans="1:10" ht="16.5" customHeight="1" x14ac:dyDescent="0.25">
      <c r="A63" s="8" t="s">
        <v>2242</v>
      </c>
      <c r="B63" s="8" t="s">
        <v>2243</v>
      </c>
      <c r="C63" s="8" t="s">
        <v>2240</v>
      </c>
      <c r="D63" s="8" t="s">
        <v>2244</v>
      </c>
      <c r="E63" s="105">
        <v>18</v>
      </c>
      <c r="F63" s="106" t="s">
        <v>2024</v>
      </c>
      <c r="G63" s="8"/>
      <c r="H63" s="8"/>
      <c r="I63" s="107">
        <v>0</v>
      </c>
      <c r="J63" s="8" t="s">
        <v>2019</v>
      </c>
    </row>
    <row r="64" spans="1:10" ht="16.5" customHeight="1" x14ac:dyDescent="0.25">
      <c r="A64" s="8" t="s">
        <v>1085</v>
      </c>
      <c r="B64" s="8" t="s">
        <v>1087</v>
      </c>
      <c r="C64" s="8" t="s">
        <v>1086</v>
      </c>
      <c r="D64" s="8" t="s">
        <v>2245</v>
      </c>
      <c r="E64" s="105">
        <v>25</v>
      </c>
      <c r="F64" s="106" t="s">
        <v>2018</v>
      </c>
      <c r="G64" s="8"/>
      <c r="H64" s="8"/>
      <c r="I64" s="107">
        <v>0</v>
      </c>
      <c r="J64" s="8" t="s">
        <v>2019</v>
      </c>
    </row>
    <row r="65" spans="1:10" ht="16.5" customHeight="1" x14ac:dyDescent="0.25">
      <c r="A65" s="8" t="s">
        <v>2246</v>
      </c>
      <c r="B65" s="8" t="s">
        <v>2247</v>
      </c>
      <c r="C65" s="8" t="s">
        <v>2248</v>
      </c>
      <c r="D65" s="8" t="s">
        <v>2249</v>
      </c>
      <c r="E65" s="105">
        <v>25</v>
      </c>
      <c r="F65" s="106" t="s">
        <v>2018</v>
      </c>
      <c r="G65" s="8"/>
      <c r="H65" s="8"/>
      <c r="I65" s="107">
        <v>0</v>
      </c>
      <c r="J65" s="8" t="s">
        <v>2019</v>
      </c>
    </row>
    <row r="66" spans="1:10" ht="16.5" customHeight="1" x14ac:dyDescent="0.25">
      <c r="A66" s="8" t="s">
        <v>2250</v>
      </c>
      <c r="B66" s="8" t="s">
        <v>2251</v>
      </c>
      <c r="C66" s="8" t="s">
        <v>2252</v>
      </c>
      <c r="D66" s="8" t="s">
        <v>2253</v>
      </c>
      <c r="E66" s="105">
        <v>190</v>
      </c>
      <c r="F66" s="106" t="s">
        <v>2024</v>
      </c>
      <c r="G66" s="8"/>
      <c r="H66" s="8"/>
      <c r="I66" s="107">
        <v>0</v>
      </c>
      <c r="J66" s="8" t="s">
        <v>2019</v>
      </c>
    </row>
    <row r="67" spans="1:10" ht="16.5" customHeight="1" x14ac:dyDescent="0.25">
      <c r="A67" s="8" t="s">
        <v>2254</v>
      </c>
      <c r="B67" s="8" t="s">
        <v>2255</v>
      </c>
      <c r="C67" s="8" t="s">
        <v>2256</v>
      </c>
      <c r="D67" s="8" t="s">
        <v>2257</v>
      </c>
      <c r="E67" s="105">
        <v>190</v>
      </c>
      <c r="F67" s="106" t="s">
        <v>2024</v>
      </c>
      <c r="G67" s="8"/>
      <c r="H67" s="8"/>
      <c r="I67" s="107">
        <v>0</v>
      </c>
      <c r="J67" s="8" t="s">
        <v>2019</v>
      </c>
    </row>
    <row r="68" spans="1:10" ht="16.5" customHeight="1" x14ac:dyDescent="0.25">
      <c r="A68" s="8" t="s">
        <v>2258</v>
      </c>
      <c r="B68" s="8" t="s">
        <v>2259</v>
      </c>
      <c r="C68" s="8" t="s">
        <v>2260</v>
      </c>
      <c r="D68" s="8" t="s">
        <v>2261</v>
      </c>
      <c r="E68" s="105">
        <v>190</v>
      </c>
      <c r="F68" s="106" t="s">
        <v>2024</v>
      </c>
      <c r="G68" s="8"/>
      <c r="H68" s="8"/>
      <c r="I68" s="107">
        <v>0</v>
      </c>
      <c r="J68" s="8" t="s">
        <v>2019</v>
      </c>
    </row>
    <row r="69" spans="1:10" ht="16.5" customHeight="1" x14ac:dyDescent="0.25">
      <c r="A69" s="8" t="s">
        <v>2262</v>
      </c>
      <c r="B69" s="8" t="s">
        <v>2263</v>
      </c>
      <c r="C69" s="8" t="s">
        <v>2260</v>
      </c>
      <c r="D69" s="8" t="s">
        <v>2264</v>
      </c>
      <c r="E69" s="105">
        <v>190</v>
      </c>
      <c r="F69" s="106" t="s">
        <v>2024</v>
      </c>
      <c r="G69" s="8"/>
      <c r="H69" s="8"/>
      <c r="I69" s="107">
        <v>0</v>
      </c>
      <c r="J69" s="8" t="s">
        <v>2019</v>
      </c>
    </row>
    <row r="70" spans="1:10" ht="16.5" customHeight="1" x14ac:dyDescent="0.25">
      <c r="A70" s="8" t="s">
        <v>2265</v>
      </c>
      <c r="B70" s="8" t="s">
        <v>2266</v>
      </c>
      <c r="C70" s="8" t="s">
        <v>2267</v>
      </c>
      <c r="D70" s="8" t="s">
        <v>2268</v>
      </c>
      <c r="E70" s="105">
        <v>20</v>
      </c>
      <c r="F70" s="106" t="s">
        <v>2024</v>
      </c>
      <c r="G70" s="8"/>
      <c r="H70" s="8"/>
      <c r="I70" s="107">
        <v>0</v>
      </c>
      <c r="J70" s="8" t="s">
        <v>2019</v>
      </c>
    </row>
    <row r="71" spans="1:10" ht="16.5" customHeight="1" x14ac:dyDescent="0.25">
      <c r="A71" s="8" t="s">
        <v>2269</v>
      </c>
      <c r="B71" s="8" t="s">
        <v>2270</v>
      </c>
      <c r="C71" s="8" t="s">
        <v>2271</v>
      </c>
      <c r="D71" s="8" t="s">
        <v>2272</v>
      </c>
      <c r="E71" s="105">
        <v>1</v>
      </c>
      <c r="F71" s="106" t="s">
        <v>2024</v>
      </c>
      <c r="G71" s="8"/>
      <c r="H71" s="8"/>
      <c r="I71" s="107">
        <v>0</v>
      </c>
      <c r="J71" s="8" t="s">
        <v>2019</v>
      </c>
    </row>
    <row r="72" spans="1:10" ht="16.5" customHeight="1" x14ac:dyDescent="0.25">
      <c r="A72" s="8" t="s">
        <v>2273</v>
      </c>
      <c r="B72" s="8" t="s">
        <v>2274</v>
      </c>
      <c r="C72" s="8" t="s">
        <v>2275</v>
      </c>
      <c r="D72" s="8" t="s">
        <v>2276</v>
      </c>
      <c r="E72" s="105">
        <v>20</v>
      </c>
      <c r="F72" s="106" t="s">
        <v>2024</v>
      </c>
      <c r="G72" s="8"/>
      <c r="H72" s="8"/>
      <c r="I72" s="107">
        <v>0</v>
      </c>
      <c r="J72" s="8" t="s">
        <v>2019</v>
      </c>
    </row>
    <row r="73" spans="1:10" ht="16.5" customHeight="1" x14ac:dyDescent="0.25">
      <c r="A73" s="8" t="s">
        <v>2277</v>
      </c>
      <c r="B73" s="8" t="s">
        <v>2278</v>
      </c>
      <c r="C73" s="8" t="s">
        <v>2279</v>
      </c>
      <c r="D73" s="8" t="s">
        <v>2280</v>
      </c>
      <c r="E73" s="105">
        <v>15</v>
      </c>
      <c r="F73" s="106" t="s">
        <v>2024</v>
      </c>
      <c r="G73" s="8"/>
      <c r="H73" s="8"/>
      <c r="I73" s="107">
        <v>0</v>
      </c>
      <c r="J73" s="8" t="s">
        <v>2019</v>
      </c>
    </row>
    <row r="74" spans="1:10" ht="16.5" customHeight="1" x14ac:dyDescent="0.25">
      <c r="A74" s="8" t="s">
        <v>2281</v>
      </c>
      <c r="B74" s="8" t="s">
        <v>2282</v>
      </c>
      <c r="C74" s="8" t="s">
        <v>2283</v>
      </c>
      <c r="D74" s="8" t="s">
        <v>2284</v>
      </c>
      <c r="E74" s="105">
        <v>15</v>
      </c>
      <c r="F74" s="106" t="s">
        <v>2024</v>
      </c>
      <c r="G74" s="8"/>
      <c r="H74" s="8"/>
      <c r="I74" s="107">
        <v>0</v>
      </c>
      <c r="J74" s="8" t="s">
        <v>2019</v>
      </c>
    </row>
    <row r="75" spans="1:10" ht="16.5" customHeight="1" x14ac:dyDescent="0.25">
      <c r="A75" s="8" t="s">
        <v>2285</v>
      </c>
      <c r="B75" s="8" t="s">
        <v>2286</v>
      </c>
      <c r="C75" s="8" t="s">
        <v>2287</v>
      </c>
      <c r="D75" s="8" t="s">
        <v>2288</v>
      </c>
      <c r="E75" s="105">
        <v>25</v>
      </c>
      <c r="F75" s="106" t="s">
        <v>2018</v>
      </c>
      <c r="G75" s="8"/>
      <c r="H75" s="8"/>
      <c r="I75" s="107">
        <v>0</v>
      </c>
      <c r="J75" s="8" t="s">
        <v>2019</v>
      </c>
    </row>
    <row r="76" spans="1:10" ht="16.5" customHeight="1" x14ac:dyDescent="0.25">
      <c r="A76" s="8" t="s">
        <v>2289</v>
      </c>
      <c r="B76" s="8" t="s">
        <v>2290</v>
      </c>
      <c r="C76" s="8" t="s">
        <v>2291</v>
      </c>
      <c r="D76" s="8" t="s">
        <v>2292</v>
      </c>
      <c r="E76" s="105">
        <v>15</v>
      </c>
      <c r="F76" s="106" t="s">
        <v>2024</v>
      </c>
      <c r="G76" s="8"/>
      <c r="H76" s="8"/>
      <c r="I76" s="107">
        <v>0</v>
      </c>
      <c r="J76" s="8" t="s">
        <v>2019</v>
      </c>
    </row>
    <row r="77" spans="1:10" ht="16.5" customHeight="1" x14ac:dyDescent="0.25">
      <c r="A77" s="8" t="s">
        <v>1061</v>
      </c>
      <c r="B77" s="8" t="s">
        <v>1063</v>
      </c>
      <c r="C77" s="8" t="s">
        <v>1062</v>
      </c>
      <c r="D77" s="8" t="s">
        <v>2293</v>
      </c>
      <c r="E77" s="105">
        <v>25</v>
      </c>
      <c r="F77" s="106" t="s">
        <v>2018</v>
      </c>
      <c r="G77" s="8"/>
      <c r="H77" s="8"/>
      <c r="I77" s="107">
        <v>0</v>
      </c>
      <c r="J77" s="8" t="s">
        <v>2019</v>
      </c>
    </row>
    <row r="78" spans="1:10" ht="16.5" customHeight="1" x14ac:dyDescent="0.25">
      <c r="A78" s="8" t="s">
        <v>2294</v>
      </c>
      <c r="B78" s="8" t="s">
        <v>2295</v>
      </c>
      <c r="C78" s="8" t="s">
        <v>2296</v>
      </c>
      <c r="D78" s="8" t="s">
        <v>2297</v>
      </c>
      <c r="E78" s="105">
        <v>20</v>
      </c>
      <c r="F78" s="106" t="s">
        <v>2018</v>
      </c>
      <c r="G78" s="8"/>
      <c r="H78" s="8"/>
      <c r="I78" s="107">
        <v>0</v>
      </c>
      <c r="J78" s="8" t="s">
        <v>2019</v>
      </c>
    </row>
    <row r="79" spans="1:10" ht="16.5" customHeight="1" x14ac:dyDescent="0.25">
      <c r="A79" s="8" t="s">
        <v>2298</v>
      </c>
      <c r="B79" s="8" t="s">
        <v>2299</v>
      </c>
      <c r="C79" s="8" t="s">
        <v>2300</v>
      </c>
      <c r="D79" s="8" t="s">
        <v>2301</v>
      </c>
      <c r="E79" s="105">
        <v>1</v>
      </c>
      <c r="F79" s="106" t="s">
        <v>2018</v>
      </c>
      <c r="G79" s="8"/>
      <c r="H79" s="8"/>
      <c r="I79" s="107">
        <v>0</v>
      </c>
      <c r="J79" s="8" t="s">
        <v>2019</v>
      </c>
    </row>
    <row r="80" spans="1:10" ht="16.5" customHeight="1" x14ac:dyDescent="0.25">
      <c r="A80" s="8" t="s">
        <v>2302</v>
      </c>
      <c r="B80" s="8" t="s">
        <v>2303</v>
      </c>
      <c r="C80" s="8" t="s">
        <v>2304</v>
      </c>
      <c r="D80" s="8" t="s">
        <v>2305</v>
      </c>
      <c r="E80" s="105">
        <v>1</v>
      </c>
      <c r="F80" s="106" t="s">
        <v>2024</v>
      </c>
      <c r="G80" s="8"/>
      <c r="H80" s="8"/>
      <c r="I80" s="107">
        <v>0</v>
      </c>
      <c r="J80" s="8" t="s">
        <v>2019</v>
      </c>
    </row>
    <row r="81" spans="1:10" ht="16.5" customHeight="1" x14ac:dyDescent="0.25">
      <c r="A81" s="8" t="s">
        <v>2306</v>
      </c>
      <c r="B81" s="8" t="s">
        <v>2307</v>
      </c>
      <c r="C81" s="8" t="s">
        <v>2308</v>
      </c>
      <c r="D81" s="8" t="s">
        <v>2309</v>
      </c>
      <c r="E81" s="105">
        <v>1</v>
      </c>
      <c r="F81" s="106" t="s">
        <v>2018</v>
      </c>
      <c r="G81" s="8"/>
      <c r="H81" s="8"/>
      <c r="I81" s="107">
        <v>0</v>
      </c>
      <c r="J81" s="8" t="s">
        <v>2019</v>
      </c>
    </row>
    <row r="82" spans="1:10" ht="16.5" customHeight="1" x14ac:dyDescent="0.25">
      <c r="A82" s="8" t="s">
        <v>2310</v>
      </c>
      <c r="B82" s="8" t="s">
        <v>2311</v>
      </c>
      <c r="C82" s="8" t="s">
        <v>2312</v>
      </c>
      <c r="D82" s="8" t="s">
        <v>2313</v>
      </c>
      <c r="E82" s="105">
        <v>185</v>
      </c>
      <c r="F82" s="106" t="s">
        <v>2024</v>
      </c>
      <c r="G82" s="8"/>
      <c r="H82" s="8"/>
      <c r="I82" s="107">
        <v>0</v>
      </c>
      <c r="J82" s="8" t="s">
        <v>2019</v>
      </c>
    </row>
    <row r="83" spans="1:10" ht="16.5" customHeight="1" x14ac:dyDescent="0.25">
      <c r="A83" s="8" t="s">
        <v>2314</v>
      </c>
      <c r="B83" s="8" t="s">
        <v>2315</v>
      </c>
      <c r="C83" s="8" t="s">
        <v>2316</v>
      </c>
      <c r="D83" s="8" t="s">
        <v>2317</v>
      </c>
      <c r="E83" s="105">
        <v>185</v>
      </c>
      <c r="F83" s="106" t="s">
        <v>2018</v>
      </c>
      <c r="G83" s="8"/>
      <c r="H83" s="8"/>
      <c r="I83" s="107">
        <v>0</v>
      </c>
      <c r="J83" s="8" t="s">
        <v>2019</v>
      </c>
    </row>
    <row r="84" spans="1:10" ht="16.5" customHeight="1" x14ac:dyDescent="0.25">
      <c r="A84" s="8" t="s">
        <v>2318</v>
      </c>
      <c r="B84" s="8" t="s">
        <v>2319</v>
      </c>
      <c r="C84" s="8" t="s">
        <v>2320</v>
      </c>
      <c r="D84" s="8" t="s">
        <v>2317</v>
      </c>
      <c r="E84" s="105">
        <v>185</v>
      </c>
      <c r="F84" s="106" t="s">
        <v>2024</v>
      </c>
      <c r="G84" s="8"/>
      <c r="H84" s="8"/>
      <c r="I84" s="107">
        <v>0</v>
      </c>
      <c r="J84" s="8" t="s">
        <v>2019</v>
      </c>
    </row>
    <row r="85" spans="1:10" ht="16.5" customHeight="1" x14ac:dyDescent="0.25">
      <c r="A85" s="8" t="s">
        <v>2321</v>
      </c>
      <c r="B85" s="8" t="s">
        <v>2322</v>
      </c>
      <c r="C85" s="8" t="s">
        <v>2323</v>
      </c>
      <c r="D85" s="8" t="s">
        <v>2324</v>
      </c>
      <c r="E85" s="105">
        <v>40</v>
      </c>
      <c r="F85" s="106" t="s">
        <v>2024</v>
      </c>
      <c r="G85" s="8"/>
      <c r="H85" s="8"/>
      <c r="I85" s="107">
        <v>0</v>
      </c>
      <c r="J85" s="8" t="s">
        <v>2019</v>
      </c>
    </row>
    <row r="86" spans="1:10" ht="16.5" customHeight="1" x14ac:dyDescent="0.25">
      <c r="A86" s="8" t="s">
        <v>2325</v>
      </c>
      <c r="B86" s="8" t="s">
        <v>2326</v>
      </c>
      <c r="C86" s="8" t="s">
        <v>2327</v>
      </c>
      <c r="D86" s="8" t="s">
        <v>2328</v>
      </c>
      <c r="E86" s="105">
        <v>15</v>
      </c>
      <c r="F86" s="106" t="s">
        <v>2024</v>
      </c>
      <c r="G86" s="8"/>
      <c r="H86" s="8"/>
      <c r="I86" s="107">
        <v>0</v>
      </c>
      <c r="J86" s="8" t="s">
        <v>2019</v>
      </c>
    </row>
    <row r="87" spans="1:10" ht="16.5" customHeight="1" x14ac:dyDescent="0.25">
      <c r="A87" s="8" t="s">
        <v>2329</v>
      </c>
      <c r="B87" s="8" t="s">
        <v>2330</v>
      </c>
      <c r="C87" s="8" t="s">
        <v>2331</v>
      </c>
      <c r="D87" s="8" t="s">
        <v>2332</v>
      </c>
      <c r="E87" s="105">
        <v>1</v>
      </c>
      <c r="F87" s="106" t="s">
        <v>2024</v>
      </c>
      <c r="G87" s="8"/>
      <c r="H87" s="8"/>
      <c r="I87" s="107">
        <v>0</v>
      </c>
      <c r="J87" s="8" t="s">
        <v>2019</v>
      </c>
    </row>
    <row r="88" spans="1:10" ht="16.5" customHeight="1" x14ac:dyDescent="0.25">
      <c r="A88" s="8" t="s">
        <v>2333</v>
      </c>
      <c r="B88" s="8" t="s">
        <v>2334</v>
      </c>
      <c r="C88" s="8" t="s">
        <v>2335</v>
      </c>
      <c r="D88" s="8" t="s">
        <v>2336</v>
      </c>
      <c r="E88" s="105">
        <v>20</v>
      </c>
      <c r="F88" s="106" t="s">
        <v>2024</v>
      </c>
      <c r="G88" s="8"/>
      <c r="H88" s="8"/>
      <c r="I88" s="107">
        <v>0</v>
      </c>
      <c r="J88" s="8" t="s">
        <v>2019</v>
      </c>
    </row>
    <row r="89" spans="1:10" ht="16.5" customHeight="1" x14ac:dyDescent="0.25">
      <c r="A89" s="8" t="s">
        <v>2337</v>
      </c>
      <c r="B89" s="8" t="s">
        <v>2338</v>
      </c>
      <c r="C89" s="8" t="s">
        <v>2339</v>
      </c>
      <c r="D89" s="8" t="s">
        <v>2340</v>
      </c>
      <c r="E89" s="105">
        <v>20</v>
      </c>
      <c r="F89" s="106" t="s">
        <v>2024</v>
      </c>
      <c r="G89" s="8"/>
      <c r="H89" s="8"/>
      <c r="I89" s="107">
        <v>0</v>
      </c>
      <c r="J89" s="8" t="s">
        <v>2019</v>
      </c>
    </row>
    <row r="90" spans="1:10" ht="16.5" customHeight="1" x14ac:dyDescent="0.25">
      <c r="A90" s="8" t="s">
        <v>2341</v>
      </c>
      <c r="B90" s="8" t="s">
        <v>2342</v>
      </c>
      <c r="C90" s="8" t="s">
        <v>2343</v>
      </c>
      <c r="D90" s="8" t="s">
        <v>2344</v>
      </c>
      <c r="E90" s="105">
        <v>15</v>
      </c>
      <c r="F90" s="106" t="s">
        <v>2024</v>
      </c>
      <c r="G90" s="8"/>
      <c r="H90" s="8"/>
      <c r="I90" s="107">
        <v>0</v>
      </c>
      <c r="J90" s="8" t="s">
        <v>2019</v>
      </c>
    </row>
    <row r="91" spans="1:10" ht="16.5" customHeight="1" x14ac:dyDescent="0.25">
      <c r="A91" s="8" t="s">
        <v>2345</v>
      </c>
      <c r="B91" s="8" t="s">
        <v>2346</v>
      </c>
      <c r="C91" s="8" t="s">
        <v>2347</v>
      </c>
      <c r="D91" s="8" t="s">
        <v>2348</v>
      </c>
      <c r="E91" s="105">
        <v>15</v>
      </c>
      <c r="F91" s="106" t="s">
        <v>2024</v>
      </c>
      <c r="G91" s="8"/>
      <c r="H91" s="8"/>
      <c r="I91" s="107">
        <v>0</v>
      </c>
      <c r="J91" s="8" t="s">
        <v>2019</v>
      </c>
    </row>
    <row r="92" spans="1:10" ht="16.5" customHeight="1" x14ac:dyDescent="0.25">
      <c r="A92" s="8" t="s">
        <v>2349</v>
      </c>
      <c r="B92" s="8" t="s">
        <v>2350</v>
      </c>
      <c r="C92" s="8" t="s">
        <v>2351</v>
      </c>
      <c r="D92" s="8" t="s">
        <v>2352</v>
      </c>
      <c r="E92" s="105">
        <v>15</v>
      </c>
      <c r="F92" s="106" t="s">
        <v>2024</v>
      </c>
      <c r="G92" s="8"/>
      <c r="H92" s="8"/>
      <c r="I92" s="107">
        <v>0</v>
      </c>
      <c r="J92" s="8" t="s">
        <v>2019</v>
      </c>
    </row>
    <row r="93" spans="1:10" ht="16.5" customHeight="1" x14ac:dyDescent="0.25">
      <c r="A93" s="8" t="s">
        <v>2353</v>
      </c>
      <c r="B93" s="8" t="s">
        <v>2354</v>
      </c>
      <c r="C93" s="8" t="s">
        <v>2355</v>
      </c>
      <c r="D93" s="8" t="s">
        <v>2356</v>
      </c>
      <c r="E93" s="105">
        <v>15</v>
      </c>
      <c r="F93" s="106" t="s">
        <v>2024</v>
      </c>
      <c r="G93" s="8"/>
      <c r="H93" s="8"/>
      <c r="I93" s="107">
        <v>0</v>
      </c>
      <c r="J93" s="8" t="s">
        <v>2019</v>
      </c>
    </row>
    <row r="94" spans="1:10" ht="16.5" customHeight="1" x14ac:dyDescent="0.25">
      <c r="A94" s="8" t="s">
        <v>2357</v>
      </c>
      <c r="B94" s="8" t="s">
        <v>2358</v>
      </c>
      <c r="C94" s="8" t="s">
        <v>2359</v>
      </c>
      <c r="D94" s="8" t="s">
        <v>2360</v>
      </c>
      <c r="E94" s="105">
        <v>25</v>
      </c>
      <c r="F94" s="106" t="s">
        <v>2024</v>
      </c>
      <c r="G94" s="8"/>
      <c r="H94" s="8"/>
      <c r="I94" s="107">
        <v>0</v>
      </c>
      <c r="J94" s="8" t="s">
        <v>2019</v>
      </c>
    </row>
    <row r="95" spans="1:10" ht="16.5" customHeight="1" x14ac:dyDescent="0.25">
      <c r="A95" s="8" t="s">
        <v>2361</v>
      </c>
      <c r="B95" s="8" t="s">
        <v>2362</v>
      </c>
      <c r="C95" s="8" t="s">
        <v>2363</v>
      </c>
      <c r="D95" s="8" t="s">
        <v>2364</v>
      </c>
      <c r="E95" s="105">
        <v>15</v>
      </c>
      <c r="F95" s="106" t="s">
        <v>2024</v>
      </c>
      <c r="G95" s="8"/>
      <c r="H95" s="8"/>
      <c r="I95" s="107">
        <v>0</v>
      </c>
      <c r="J95" s="8" t="s">
        <v>2019</v>
      </c>
    </row>
    <row r="96" spans="1:10" ht="16.5" customHeight="1" x14ac:dyDescent="0.25">
      <c r="A96" s="8" t="s">
        <v>2365</v>
      </c>
      <c r="B96" s="8" t="s">
        <v>2366</v>
      </c>
      <c r="C96" s="8" t="s">
        <v>2367</v>
      </c>
      <c r="D96" s="8" t="s">
        <v>2368</v>
      </c>
      <c r="E96" s="105">
        <v>25</v>
      </c>
      <c r="F96" s="106" t="s">
        <v>2018</v>
      </c>
      <c r="G96" s="8"/>
      <c r="H96" s="8"/>
      <c r="I96" s="107">
        <v>0</v>
      </c>
      <c r="J96" s="8" t="s">
        <v>2019</v>
      </c>
    </row>
    <row r="97" spans="1:10" ht="16.5" customHeight="1" x14ac:dyDescent="0.25">
      <c r="A97" s="8" t="s">
        <v>2369</v>
      </c>
      <c r="B97" s="8" t="s">
        <v>2370</v>
      </c>
      <c r="C97" s="8" t="s">
        <v>2371</v>
      </c>
      <c r="D97" s="8" t="s">
        <v>2372</v>
      </c>
      <c r="E97" s="105">
        <v>25</v>
      </c>
      <c r="F97" s="106" t="s">
        <v>2024</v>
      </c>
      <c r="G97" s="8"/>
      <c r="H97" s="8"/>
      <c r="I97" s="107">
        <v>0</v>
      </c>
      <c r="J97" s="8" t="s">
        <v>2019</v>
      </c>
    </row>
    <row r="98" spans="1:10" ht="16.5" customHeight="1" x14ac:dyDescent="0.25">
      <c r="A98" s="8" t="s">
        <v>2373</v>
      </c>
      <c r="B98" s="8" t="s">
        <v>2374</v>
      </c>
      <c r="C98" s="8" t="s">
        <v>2375</v>
      </c>
      <c r="D98" s="8" t="s">
        <v>2376</v>
      </c>
      <c r="E98" s="105">
        <v>18</v>
      </c>
      <c r="F98" s="106" t="s">
        <v>2018</v>
      </c>
      <c r="G98" s="8"/>
      <c r="H98" s="8"/>
      <c r="I98" s="107">
        <v>0</v>
      </c>
      <c r="J98" s="8" t="s">
        <v>2019</v>
      </c>
    </row>
    <row r="99" spans="1:10" ht="16.5" customHeight="1" x14ac:dyDescent="0.25">
      <c r="A99" s="8" t="s">
        <v>2377</v>
      </c>
      <c r="B99" s="8" t="s">
        <v>2378</v>
      </c>
      <c r="C99" s="8" t="s">
        <v>2379</v>
      </c>
      <c r="D99" s="8" t="s">
        <v>2380</v>
      </c>
      <c r="E99" s="105">
        <v>18</v>
      </c>
      <c r="F99" s="106" t="s">
        <v>2018</v>
      </c>
      <c r="G99" s="8"/>
      <c r="H99" s="8"/>
      <c r="I99" s="107">
        <v>0</v>
      </c>
      <c r="J99" s="8" t="s">
        <v>2019</v>
      </c>
    </row>
    <row r="100" spans="1:10" ht="16.5" customHeight="1" x14ac:dyDescent="0.25">
      <c r="A100" s="8" t="s">
        <v>2381</v>
      </c>
      <c r="B100" s="8" t="s">
        <v>2382</v>
      </c>
      <c r="C100" s="8" t="s">
        <v>1002</v>
      </c>
      <c r="D100" s="8" t="s">
        <v>2383</v>
      </c>
      <c r="E100" s="105">
        <v>18</v>
      </c>
      <c r="F100" s="106" t="s">
        <v>2024</v>
      </c>
      <c r="G100" s="8"/>
      <c r="H100" s="8"/>
      <c r="I100" s="107">
        <v>0</v>
      </c>
      <c r="J100" s="8" t="s">
        <v>2019</v>
      </c>
    </row>
    <row r="101" spans="1:10" ht="16.5" customHeight="1" x14ac:dyDescent="0.25">
      <c r="A101" s="8" t="s">
        <v>2384</v>
      </c>
      <c r="B101" s="8" t="s">
        <v>2385</v>
      </c>
      <c r="C101" s="8" t="s">
        <v>2386</v>
      </c>
      <c r="D101" s="8" t="s">
        <v>2387</v>
      </c>
      <c r="E101" s="105">
        <v>1</v>
      </c>
      <c r="F101" s="106" t="s">
        <v>2024</v>
      </c>
      <c r="G101" s="8"/>
      <c r="H101" s="8"/>
      <c r="I101" s="107">
        <v>0</v>
      </c>
      <c r="J101" s="8" t="s">
        <v>2019</v>
      </c>
    </row>
    <row r="102" spans="1:10" ht="16.5" customHeight="1" x14ac:dyDescent="0.25">
      <c r="A102" s="8" t="s">
        <v>2388</v>
      </c>
      <c r="B102" s="8" t="s">
        <v>2389</v>
      </c>
      <c r="C102" s="8" t="s">
        <v>2390</v>
      </c>
      <c r="D102" s="8" t="s">
        <v>2391</v>
      </c>
      <c r="E102" s="105">
        <v>10</v>
      </c>
      <c r="F102" s="106" t="s">
        <v>2024</v>
      </c>
      <c r="G102" s="8"/>
      <c r="H102" s="8"/>
      <c r="I102" s="107">
        <v>0</v>
      </c>
      <c r="J102" s="8" t="s">
        <v>2019</v>
      </c>
    </row>
    <row r="103" spans="1:10" ht="16.5" customHeight="1" x14ac:dyDescent="0.25">
      <c r="A103" s="8" t="s">
        <v>2392</v>
      </c>
      <c r="B103" s="8" t="s">
        <v>2393</v>
      </c>
      <c r="C103" s="8" t="s">
        <v>2394</v>
      </c>
      <c r="D103" s="8" t="s">
        <v>2395</v>
      </c>
      <c r="E103" s="105">
        <v>15</v>
      </c>
      <c r="F103" s="106" t="s">
        <v>2024</v>
      </c>
      <c r="G103" s="8"/>
      <c r="H103" s="8"/>
      <c r="I103" s="107">
        <v>0</v>
      </c>
      <c r="J103" s="8" t="s">
        <v>2019</v>
      </c>
    </row>
    <row r="104" spans="1:10" ht="16.5" customHeight="1" x14ac:dyDescent="0.25">
      <c r="A104" s="8" t="s">
        <v>2396</v>
      </c>
      <c r="B104" s="8" t="s">
        <v>2397</v>
      </c>
      <c r="C104" s="8" t="s">
        <v>2398</v>
      </c>
      <c r="D104" s="8" t="s">
        <v>2399</v>
      </c>
      <c r="E104" s="105">
        <v>16</v>
      </c>
      <c r="F104" s="106" t="s">
        <v>2024</v>
      </c>
      <c r="G104" s="8"/>
      <c r="H104" s="8"/>
      <c r="I104" s="107">
        <v>0</v>
      </c>
      <c r="J104" s="8" t="s">
        <v>2019</v>
      </c>
    </row>
    <row r="105" spans="1:10" ht="16.5" customHeight="1" x14ac:dyDescent="0.25">
      <c r="A105" s="8" t="s">
        <v>2400</v>
      </c>
      <c r="B105" s="8" t="s">
        <v>2401</v>
      </c>
      <c r="C105" s="8" t="s">
        <v>2402</v>
      </c>
      <c r="D105" s="8" t="s">
        <v>2403</v>
      </c>
      <c r="E105" s="105">
        <v>16</v>
      </c>
      <c r="F105" s="106" t="s">
        <v>2024</v>
      </c>
      <c r="G105" s="8"/>
      <c r="H105" s="8"/>
      <c r="I105" s="107">
        <v>0</v>
      </c>
      <c r="J105" s="8" t="s">
        <v>2019</v>
      </c>
    </row>
    <row r="106" spans="1:10" ht="16.5" customHeight="1" x14ac:dyDescent="0.25">
      <c r="A106" s="8" t="s">
        <v>2404</v>
      </c>
      <c r="B106" s="8" t="s">
        <v>2405</v>
      </c>
      <c r="C106" s="8" t="s">
        <v>2406</v>
      </c>
      <c r="D106" s="8" t="s">
        <v>2407</v>
      </c>
      <c r="E106" s="105">
        <v>16</v>
      </c>
      <c r="F106" s="106" t="s">
        <v>2024</v>
      </c>
      <c r="G106" s="8"/>
      <c r="H106" s="8"/>
      <c r="I106" s="107">
        <v>0</v>
      </c>
      <c r="J106" s="8" t="s">
        <v>2019</v>
      </c>
    </row>
    <row r="107" spans="1:10" ht="16.5" customHeight="1" x14ac:dyDescent="0.25">
      <c r="A107" s="8" t="s">
        <v>1329</v>
      </c>
      <c r="B107" s="8" t="s">
        <v>1331</v>
      </c>
      <c r="C107" s="8" t="s">
        <v>1330</v>
      </c>
      <c r="D107" s="8" t="s">
        <v>2408</v>
      </c>
      <c r="E107" s="105">
        <v>18</v>
      </c>
      <c r="F107" s="106" t="s">
        <v>2018</v>
      </c>
      <c r="G107" s="8"/>
      <c r="H107" s="8"/>
      <c r="I107" s="107">
        <v>0</v>
      </c>
      <c r="J107" s="8" t="s">
        <v>2019</v>
      </c>
    </row>
    <row r="108" spans="1:10" ht="16.5" customHeight="1" x14ac:dyDescent="0.25">
      <c r="A108" s="8" t="s">
        <v>2409</v>
      </c>
      <c r="B108" s="8" t="s">
        <v>2410</v>
      </c>
      <c r="C108" s="8" t="s">
        <v>2411</v>
      </c>
      <c r="D108" s="8" t="s">
        <v>2412</v>
      </c>
      <c r="E108" s="105">
        <v>18</v>
      </c>
      <c r="F108" s="106" t="s">
        <v>2018</v>
      </c>
      <c r="G108" s="8"/>
      <c r="H108" s="8"/>
      <c r="I108" s="107">
        <v>0</v>
      </c>
      <c r="J108" s="8" t="s">
        <v>2019</v>
      </c>
    </row>
    <row r="109" spans="1:10" ht="16.5" customHeight="1" x14ac:dyDescent="0.25">
      <c r="A109" s="8" t="s">
        <v>2413</v>
      </c>
      <c r="B109" s="8" t="s">
        <v>2414</v>
      </c>
      <c r="C109" s="8" t="s">
        <v>2415</v>
      </c>
      <c r="D109" s="8" t="s">
        <v>2416</v>
      </c>
      <c r="E109" s="105">
        <v>18</v>
      </c>
      <c r="F109" s="106" t="s">
        <v>2024</v>
      </c>
      <c r="G109" s="8"/>
      <c r="H109" s="8"/>
      <c r="I109" s="107">
        <v>0</v>
      </c>
      <c r="J109" s="8" t="s">
        <v>2019</v>
      </c>
    </row>
    <row r="110" spans="1:10" ht="16.5" customHeight="1" x14ac:dyDescent="0.25">
      <c r="A110" s="8" t="s">
        <v>2417</v>
      </c>
      <c r="B110" s="8" t="s">
        <v>2418</v>
      </c>
      <c r="C110" s="8" t="s">
        <v>2419</v>
      </c>
      <c r="D110" s="8" t="s">
        <v>2420</v>
      </c>
      <c r="E110" s="105">
        <v>17</v>
      </c>
      <c r="F110" s="106" t="s">
        <v>2024</v>
      </c>
      <c r="G110" s="8"/>
      <c r="H110" s="8"/>
      <c r="I110" s="107">
        <v>0</v>
      </c>
      <c r="J110" s="8" t="s">
        <v>2019</v>
      </c>
    </row>
    <row r="111" spans="1:10" ht="16.5" customHeight="1" x14ac:dyDescent="0.25">
      <c r="A111" s="8" t="s">
        <v>2421</v>
      </c>
      <c r="B111" s="8" t="s">
        <v>2422</v>
      </c>
      <c r="C111" s="8" t="s">
        <v>2423</v>
      </c>
      <c r="D111" s="8" t="s">
        <v>2424</v>
      </c>
      <c r="E111" s="105">
        <v>17</v>
      </c>
      <c r="F111" s="106" t="s">
        <v>2024</v>
      </c>
      <c r="G111" s="8"/>
      <c r="H111" s="8"/>
      <c r="I111" s="107">
        <v>0</v>
      </c>
      <c r="J111" s="8" t="s">
        <v>2019</v>
      </c>
    </row>
    <row r="112" spans="1:10" ht="16.5" customHeight="1" x14ac:dyDescent="0.25">
      <c r="A112" s="8" t="s">
        <v>2425</v>
      </c>
      <c r="B112" s="8" t="s">
        <v>2426</v>
      </c>
      <c r="C112" s="8" t="s">
        <v>2427</v>
      </c>
      <c r="D112" s="8" t="s">
        <v>2428</v>
      </c>
      <c r="E112" s="105">
        <v>17</v>
      </c>
      <c r="F112" s="106" t="s">
        <v>2024</v>
      </c>
      <c r="G112" s="8"/>
      <c r="H112" s="8"/>
      <c r="I112" s="107">
        <v>0</v>
      </c>
      <c r="J112" s="8" t="s">
        <v>2019</v>
      </c>
    </row>
    <row r="113" spans="1:10" ht="16.5" customHeight="1" x14ac:dyDescent="0.25">
      <c r="A113" s="8" t="s">
        <v>2429</v>
      </c>
      <c r="B113" s="8" t="s">
        <v>2430</v>
      </c>
      <c r="C113" s="8" t="s">
        <v>2431</v>
      </c>
      <c r="D113" s="8" t="s">
        <v>2432</v>
      </c>
      <c r="E113" s="105">
        <v>4.8</v>
      </c>
      <c r="F113" s="106" t="s">
        <v>2024</v>
      </c>
      <c r="G113" s="8"/>
      <c r="H113" s="8"/>
      <c r="I113" s="107">
        <v>0</v>
      </c>
      <c r="J113" s="8" t="s">
        <v>2019</v>
      </c>
    </row>
    <row r="114" spans="1:10" ht="16.5" customHeight="1" x14ac:dyDescent="0.25">
      <c r="A114" s="8" t="s">
        <v>2433</v>
      </c>
      <c r="B114" s="8" t="s">
        <v>2434</v>
      </c>
      <c r="C114" s="8" t="s">
        <v>984</v>
      </c>
      <c r="D114" s="8" t="s">
        <v>2435</v>
      </c>
      <c r="E114" s="105">
        <v>0.08</v>
      </c>
      <c r="F114" s="106" t="s">
        <v>2018</v>
      </c>
      <c r="G114" s="8"/>
      <c r="H114" s="8"/>
      <c r="I114" s="107">
        <v>0</v>
      </c>
      <c r="J114" s="8" t="s">
        <v>2019</v>
      </c>
    </row>
    <row r="115" spans="1:10" ht="16.5" customHeight="1" x14ac:dyDescent="0.25">
      <c r="A115" s="8" t="s">
        <v>1377</v>
      </c>
      <c r="B115" s="8" t="s">
        <v>1378</v>
      </c>
      <c r="C115" s="8" t="s">
        <v>984</v>
      </c>
      <c r="D115" s="8" t="s">
        <v>2436</v>
      </c>
      <c r="E115" s="105">
        <v>4.8</v>
      </c>
      <c r="F115" s="106" t="s">
        <v>2018</v>
      </c>
      <c r="G115" s="8"/>
      <c r="H115" s="8" t="s">
        <v>2433</v>
      </c>
      <c r="I115" s="107">
        <v>60</v>
      </c>
      <c r="J115" s="8" t="s">
        <v>2019</v>
      </c>
    </row>
    <row r="116" spans="1:10" ht="16.5" customHeight="1" x14ac:dyDescent="0.25">
      <c r="A116" s="8" t="s">
        <v>2437</v>
      </c>
      <c r="B116" s="8" t="s">
        <v>2438</v>
      </c>
      <c r="C116" s="8" t="s">
        <v>2439</v>
      </c>
      <c r="D116" s="8" t="s">
        <v>2438</v>
      </c>
      <c r="E116" s="105">
        <v>4.8</v>
      </c>
      <c r="F116" s="106" t="s">
        <v>2018</v>
      </c>
      <c r="G116" s="8"/>
      <c r="H116" s="8"/>
      <c r="I116" s="107">
        <v>0</v>
      </c>
      <c r="J116" s="8" t="s">
        <v>2019</v>
      </c>
    </row>
    <row r="117" spans="1:10" ht="16.5" customHeight="1" x14ac:dyDescent="0.25">
      <c r="A117" s="8" t="s">
        <v>2440</v>
      </c>
      <c r="B117" s="8" t="s">
        <v>2441</v>
      </c>
      <c r="C117" s="8" t="s">
        <v>2431</v>
      </c>
      <c r="D117" s="8" t="s">
        <v>2442</v>
      </c>
      <c r="E117" s="105">
        <v>0.2</v>
      </c>
      <c r="F117" s="106" t="s">
        <v>2024</v>
      </c>
      <c r="G117" s="8"/>
      <c r="H117" s="8"/>
      <c r="I117" s="107">
        <v>0</v>
      </c>
      <c r="J117" s="8" t="s">
        <v>2019</v>
      </c>
    </row>
    <row r="118" spans="1:10" ht="16.5" customHeight="1" x14ac:dyDescent="0.25">
      <c r="A118" s="8" t="s">
        <v>2443</v>
      </c>
      <c r="B118" s="8" t="s">
        <v>2444</v>
      </c>
      <c r="C118" s="8" t="s">
        <v>2445</v>
      </c>
      <c r="D118" s="8" t="s">
        <v>2446</v>
      </c>
      <c r="E118" s="105">
        <v>6</v>
      </c>
      <c r="F118" s="106" t="s">
        <v>2024</v>
      </c>
      <c r="G118" s="8"/>
      <c r="H118" s="8"/>
      <c r="I118" s="107">
        <v>0</v>
      </c>
      <c r="J118" s="8" t="s">
        <v>2019</v>
      </c>
    </row>
    <row r="119" spans="1:10" ht="16.5" customHeight="1" x14ac:dyDescent="0.25">
      <c r="A119" s="8" t="s">
        <v>2447</v>
      </c>
      <c r="B119" s="8" t="s">
        <v>2448</v>
      </c>
      <c r="C119" s="8" t="s">
        <v>2445</v>
      </c>
      <c r="D119" s="8" t="s">
        <v>2449</v>
      </c>
      <c r="E119" s="105">
        <v>7.2</v>
      </c>
      <c r="F119" s="106" t="s">
        <v>2024</v>
      </c>
      <c r="G119" s="8"/>
      <c r="H119" s="8"/>
      <c r="I119" s="107">
        <v>0</v>
      </c>
      <c r="J119" s="8" t="s">
        <v>2019</v>
      </c>
    </row>
    <row r="120" spans="1:10" ht="16.5" customHeight="1" x14ac:dyDescent="0.25">
      <c r="A120" s="8" t="s">
        <v>2450</v>
      </c>
      <c r="B120" s="8" t="s">
        <v>2451</v>
      </c>
      <c r="C120" s="8" t="s">
        <v>981</v>
      </c>
      <c r="D120" s="8" t="s">
        <v>2452</v>
      </c>
      <c r="E120" s="105">
        <v>0.2</v>
      </c>
      <c r="F120" s="106" t="s">
        <v>2018</v>
      </c>
      <c r="G120" s="8"/>
      <c r="H120" s="8"/>
      <c r="I120" s="107">
        <v>0</v>
      </c>
      <c r="J120" s="8" t="s">
        <v>2019</v>
      </c>
    </row>
    <row r="121" spans="1:10" ht="16.5" customHeight="1" x14ac:dyDescent="0.25">
      <c r="A121" s="8" t="s">
        <v>2453</v>
      </c>
      <c r="B121" s="8" t="s">
        <v>2454</v>
      </c>
      <c r="C121" s="8" t="s">
        <v>981</v>
      </c>
      <c r="D121" s="8" t="s">
        <v>2449</v>
      </c>
      <c r="E121" s="105">
        <v>7.2</v>
      </c>
      <c r="F121" s="106" t="s">
        <v>2018</v>
      </c>
      <c r="G121" s="8"/>
      <c r="H121" s="8" t="s">
        <v>2450</v>
      </c>
      <c r="I121" s="107">
        <v>36</v>
      </c>
      <c r="J121" s="8" t="s">
        <v>2019</v>
      </c>
    </row>
    <row r="122" spans="1:10" ht="16.5" customHeight="1" x14ac:dyDescent="0.25">
      <c r="A122" s="8" t="s">
        <v>2455</v>
      </c>
      <c r="B122" s="8" t="s">
        <v>2456</v>
      </c>
      <c r="C122" s="8" t="s">
        <v>944</v>
      </c>
      <c r="D122" s="8" t="s">
        <v>2456</v>
      </c>
      <c r="E122" s="105">
        <v>0.8</v>
      </c>
      <c r="F122" s="106" t="s">
        <v>2024</v>
      </c>
      <c r="G122" s="8"/>
      <c r="H122" s="8"/>
      <c r="I122" s="107">
        <v>0</v>
      </c>
      <c r="J122" s="8" t="s">
        <v>2019</v>
      </c>
    </row>
    <row r="123" spans="1:10" ht="16.5" customHeight="1" x14ac:dyDescent="0.25">
      <c r="A123" s="8" t="s">
        <v>2457</v>
      </c>
      <c r="B123" s="8" t="s">
        <v>2458</v>
      </c>
      <c r="C123" s="8" t="s">
        <v>944</v>
      </c>
      <c r="D123" s="8" t="s">
        <v>2459</v>
      </c>
      <c r="E123" s="105">
        <v>9.6</v>
      </c>
      <c r="F123" s="106" t="s">
        <v>2018</v>
      </c>
      <c r="G123" s="8"/>
      <c r="H123" s="8" t="s">
        <v>2460</v>
      </c>
      <c r="I123" s="107">
        <v>12</v>
      </c>
      <c r="J123" s="8" t="s">
        <v>2019</v>
      </c>
    </row>
    <row r="124" spans="1:10" ht="16.5" customHeight="1" x14ac:dyDescent="0.25">
      <c r="A124" s="8" t="s">
        <v>2461</v>
      </c>
      <c r="B124" s="8" t="s">
        <v>2462</v>
      </c>
      <c r="C124" s="8" t="s">
        <v>2463</v>
      </c>
      <c r="D124" s="8" t="s">
        <v>2464</v>
      </c>
      <c r="E124" s="105">
        <v>15</v>
      </c>
      <c r="F124" s="106" t="s">
        <v>2024</v>
      </c>
      <c r="G124" s="8"/>
      <c r="H124" s="8"/>
      <c r="I124" s="107">
        <v>0</v>
      </c>
      <c r="J124" s="8" t="s">
        <v>2019</v>
      </c>
    </row>
    <row r="125" spans="1:10" ht="16.5" customHeight="1" x14ac:dyDescent="0.25">
      <c r="A125" s="8" t="s">
        <v>2465</v>
      </c>
      <c r="B125" s="8" t="s">
        <v>2466</v>
      </c>
      <c r="C125" s="8" t="s">
        <v>2467</v>
      </c>
      <c r="D125" s="8" t="s">
        <v>2468</v>
      </c>
      <c r="E125" s="105">
        <v>15</v>
      </c>
      <c r="F125" s="106" t="s">
        <v>2024</v>
      </c>
      <c r="G125" s="8"/>
      <c r="H125" s="8"/>
      <c r="I125" s="107">
        <v>0</v>
      </c>
      <c r="J125" s="8" t="s">
        <v>2019</v>
      </c>
    </row>
    <row r="126" spans="1:10" ht="16.5" customHeight="1" x14ac:dyDescent="0.25">
      <c r="A126" s="8" t="s">
        <v>2469</v>
      </c>
      <c r="B126" s="8" t="s">
        <v>2470</v>
      </c>
      <c r="C126" s="8" t="s">
        <v>2471</v>
      </c>
      <c r="D126" s="8" t="s">
        <v>2472</v>
      </c>
      <c r="E126" s="105">
        <v>16</v>
      </c>
      <c r="F126" s="106" t="s">
        <v>2024</v>
      </c>
      <c r="G126" s="8"/>
      <c r="H126" s="8"/>
      <c r="I126" s="107">
        <v>0</v>
      </c>
      <c r="J126" s="8" t="s">
        <v>2019</v>
      </c>
    </row>
    <row r="127" spans="1:10" ht="16.5" customHeight="1" x14ac:dyDescent="0.25">
      <c r="A127" s="8" t="s">
        <v>2473</v>
      </c>
      <c r="B127" s="8" t="s">
        <v>2474</v>
      </c>
      <c r="C127" s="8" t="s">
        <v>2475</v>
      </c>
      <c r="D127" s="8" t="s">
        <v>2476</v>
      </c>
      <c r="E127" s="105">
        <v>18</v>
      </c>
      <c r="F127" s="106" t="s">
        <v>2024</v>
      </c>
      <c r="G127" s="8"/>
      <c r="H127" s="8"/>
      <c r="I127" s="107">
        <v>0</v>
      </c>
      <c r="J127" s="8" t="s">
        <v>2019</v>
      </c>
    </row>
    <row r="128" spans="1:10" ht="16.5" customHeight="1" x14ac:dyDescent="0.25">
      <c r="A128" s="8" t="s">
        <v>1001</v>
      </c>
      <c r="B128" s="8" t="s">
        <v>1003</v>
      </c>
      <c r="C128" s="8" t="s">
        <v>1002</v>
      </c>
      <c r="D128" s="8" t="s">
        <v>2477</v>
      </c>
      <c r="E128" s="105">
        <v>18</v>
      </c>
      <c r="F128" s="106" t="s">
        <v>2018</v>
      </c>
      <c r="G128" s="8"/>
      <c r="H128" s="8"/>
      <c r="I128" s="107">
        <v>0</v>
      </c>
      <c r="J128" s="8" t="s">
        <v>2019</v>
      </c>
    </row>
    <row r="129" spans="1:10" ht="16.5" customHeight="1" x14ac:dyDescent="0.25">
      <c r="A129" s="8" t="s">
        <v>2478</v>
      </c>
      <c r="B129" s="8" t="s">
        <v>2479</v>
      </c>
      <c r="C129" s="8" t="s">
        <v>2480</v>
      </c>
      <c r="D129" s="8" t="s">
        <v>2481</v>
      </c>
      <c r="E129" s="105">
        <v>17</v>
      </c>
      <c r="F129" s="106" t="s">
        <v>2024</v>
      </c>
      <c r="G129" s="8"/>
      <c r="H129" s="8"/>
      <c r="I129" s="107">
        <v>0</v>
      </c>
      <c r="J129" s="8" t="s">
        <v>2019</v>
      </c>
    </row>
    <row r="130" spans="1:10" ht="16.5" customHeight="1" x14ac:dyDescent="0.25">
      <c r="A130" s="8" t="s">
        <v>2482</v>
      </c>
      <c r="B130" s="8" t="s">
        <v>2483</v>
      </c>
      <c r="C130" s="8" t="s">
        <v>2484</v>
      </c>
      <c r="D130" s="8" t="s">
        <v>2485</v>
      </c>
      <c r="E130" s="105">
        <v>17</v>
      </c>
      <c r="F130" s="106" t="s">
        <v>2024</v>
      </c>
      <c r="G130" s="8"/>
      <c r="H130" s="8"/>
      <c r="I130" s="107">
        <v>0</v>
      </c>
      <c r="J130" s="8" t="s">
        <v>2019</v>
      </c>
    </row>
    <row r="131" spans="1:10" ht="16.5" customHeight="1" x14ac:dyDescent="0.25">
      <c r="A131" s="8" t="s">
        <v>2486</v>
      </c>
      <c r="B131" s="8" t="s">
        <v>2487</v>
      </c>
      <c r="C131" s="8" t="s">
        <v>2488</v>
      </c>
      <c r="D131" s="8" t="s">
        <v>2489</v>
      </c>
      <c r="E131" s="105">
        <v>15</v>
      </c>
      <c r="F131" s="106" t="s">
        <v>2024</v>
      </c>
      <c r="G131" s="8"/>
      <c r="H131" s="8"/>
      <c r="I131" s="107">
        <v>0</v>
      </c>
      <c r="J131" s="8" t="s">
        <v>2019</v>
      </c>
    </row>
    <row r="132" spans="1:10" ht="16.5" customHeight="1" x14ac:dyDescent="0.25">
      <c r="A132" s="8" t="s">
        <v>1257</v>
      </c>
      <c r="B132" s="8" t="s">
        <v>1259</v>
      </c>
      <c r="C132" s="8" t="s">
        <v>1258</v>
      </c>
      <c r="D132" s="8" t="s">
        <v>2490</v>
      </c>
      <c r="E132" s="105">
        <v>18</v>
      </c>
      <c r="F132" s="106" t="s">
        <v>2018</v>
      </c>
      <c r="G132" s="8"/>
      <c r="H132" s="8"/>
      <c r="I132" s="107">
        <v>0</v>
      </c>
      <c r="J132" s="8" t="s">
        <v>2019</v>
      </c>
    </row>
    <row r="133" spans="1:10" ht="16.5" customHeight="1" x14ac:dyDescent="0.25">
      <c r="A133" s="8" t="s">
        <v>2491</v>
      </c>
      <c r="B133" s="8" t="s">
        <v>2492</v>
      </c>
      <c r="C133" s="8" t="s">
        <v>2493</v>
      </c>
      <c r="D133" s="8" t="s">
        <v>2494</v>
      </c>
      <c r="E133" s="105">
        <v>18</v>
      </c>
      <c r="F133" s="106" t="s">
        <v>2018</v>
      </c>
      <c r="G133" s="8"/>
      <c r="H133" s="8"/>
      <c r="I133" s="107">
        <v>0</v>
      </c>
      <c r="J133" s="8" t="s">
        <v>2019</v>
      </c>
    </row>
    <row r="134" spans="1:10" ht="16.5" customHeight="1" x14ac:dyDescent="0.25">
      <c r="A134" s="8" t="s">
        <v>2495</v>
      </c>
      <c r="B134" s="8" t="s">
        <v>2496</v>
      </c>
      <c r="C134" s="8" t="s">
        <v>2497</v>
      </c>
      <c r="D134" s="8" t="s">
        <v>2498</v>
      </c>
      <c r="E134" s="105">
        <v>17</v>
      </c>
      <c r="F134" s="106" t="s">
        <v>2024</v>
      </c>
      <c r="G134" s="8"/>
      <c r="H134" s="8"/>
      <c r="I134" s="107">
        <v>0</v>
      </c>
      <c r="J134" s="8" t="s">
        <v>2019</v>
      </c>
    </row>
    <row r="135" spans="1:10" ht="16.5" customHeight="1" x14ac:dyDescent="0.25">
      <c r="A135" s="8" t="s">
        <v>2499</v>
      </c>
      <c r="B135" s="8" t="s">
        <v>2500</v>
      </c>
      <c r="C135" s="8" t="s">
        <v>2501</v>
      </c>
      <c r="D135" s="8" t="s">
        <v>2502</v>
      </c>
      <c r="E135" s="105">
        <v>20</v>
      </c>
      <c r="F135" s="106" t="s">
        <v>2024</v>
      </c>
      <c r="G135" s="8"/>
      <c r="H135" s="8"/>
      <c r="I135" s="107">
        <v>0</v>
      </c>
      <c r="J135" s="8" t="s">
        <v>2019</v>
      </c>
    </row>
    <row r="136" spans="1:10" ht="16.5" customHeight="1" x14ac:dyDescent="0.25">
      <c r="A136" s="8" t="s">
        <v>2503</v>
      </c>
      <c r="B136" s="8" t="s">
        <v>2504</v>
      </c>
      <c r="C136" s="8" t="s">
        <v>2505</v>
      </c>
      <c r="D136" s="8" t="s">
        <v>2506</v>
      </c>
      <c r="E136" s="105">
        <v>0.2</v>
      </c>
      <c r="F136" s="106" t="s">
        <v>2024</v>
      </c>
      <c r="G136" s="8"/>
      <c r="H136" s="8"/>
      <c r="I136" s="107">
        <v>0</v>
      </c>
      <c r="J136" s="8" t="s">
        <v>2019</v>
      </c>
    </row>
    <row r="137" spans="1:10" ht="16.5" customHeight="1" x14ac:dyDescent="0.25">
      <c r="A137" s="8" t="s">
        <v>2507</v>
      </c>
      <c r="B137" s="8" t="s">
        <v>2508</v>
      </c>
      <c r="C137" s="8" t="s">
        <v>2509</v>
      </c>
      <c r="D137" s="8" t="s">
        <v>2506</v>
      </c>
      <c r="E137" s="105">
        <v>10</v>
      </c>
      <c r="F137" s="106" t="s">
        <v>2024</v>
      </c>
      <c r="G137" s="8"/>
      <c r="H137" s="8"/>
      <c r="I137" s="107">
        <v>0</v>
      </c>
      <c r="J137" s="8" t="s">
        <v>2019</v>
      </c>
    </row>
    <row r="138" spans="1:10" ht="16.5" customHeight="1" x14ac:dyDescent="0.25">
      <c r="A138" s="8" t="s">
        <v>2460</v>
      </c>
      <c r="B138" s="8" t="s">
        <v>2510</v>
      </c>
      <c r="C138" s="8" t="s">
        <v>944</v>
      </c>
      <c r="D138" s="8" t="s">
        <v>2511</v>
      </c>
      <c r="E138" s="105">
        <v>0.8</v>
      </c>
      <c r="F138" s="106" t="s">
        <v>2018</v>
      </c>
      <c r="G138" s="8"/>
      <c r="H138" s="8"/>
      <c r="I138" s="107">
        <v>0</v>
      </c>
      <c r="J138" s="8" t="s">
        <v>2019</v>
      </c>
    </row>
    <row r="139" spans="1:10" ht="16.5" customHeight="1" x14ac:dyDescent="0.25">
      <c r="A139" s="8" t="s">
        <v>2512</v>
      </c>
      <c r="B139" s="8" t="s">
        <v>2513</v>
      </c>
      <c r="C139" s="8" t="s">
        <v>2415</v>
      </c>
      <c r="D139" s="8" t="s">
        <v>2477</v>
      </c>
      <c r="E139" s="105">
        <v>18</v>
      </c>
      <c r="F139" s="106" t="s">
        <v>2024</v>
      </c>
      <c r="G139" s="8"/>
      <c r="H139" s="8"/>
      <c r="I139" s="107">
        <v>0</v>
      </c>
      <c r="J139" s="8" t="s">
        <v>2019</v>
      </c>
    </row>
    <row r="140" spans="1:10" ht="16.5" customHeight="1" x14ac:dyDescent="0.25">
      <c r="A140" s="8" t="s">
        <v>2514</v>
      </c>
      <c r="B140" s="8" t="s">
        <v>2515</v>
      </c>
      <c r="C140" s="8" t="s">
        <v>2516</v>
      </c>
      <c r="D140" s="8" t="s">
        <v>2268</v>
      </c>
      <c r="E140" s="105">
        <v>20</v>
      </c>
      <c r="F140" s="106" t="s">
        <v>2024</v>
      </c>
      <c r="G140" s="8"/>
      <c r="H140" s="8"/>
      <c r="I140" s="107">
        <v>0</v>
      </c>
      <c r="J140" s="8" t="s">
        <v>2019</v>
      </c>
    </row>
    <row r="141" spans="1:10" ht="16.5" customHeight="1" x14ac:dyDescent="0.25">
      <c r="A141" s="8" t="s">
        <v>2517</v>
      </c>
      <c r="B141" s="8" t="s">
        <v>2518</v>
      </c>
      <c r="C141" s="8" t="s">
        <v>2519</v>
      </c>
      <c r="D141" s="8" t="s">
        <v>2520</v>
      </c>
      <c r="E141" s="105">
        <v>20</v>
      </c>
      <c r="F141" s="106" t="s">
        <v>2024</v>
      </c>
      <c r="G141" s="8"/>
      <c r="H141" s="8"/>
      <c r="I141" s="107">
        <v>0</v>
      </c>
      <c r="J141" s="8" t="s">
        <v>2019</v>
      </c>
    </row>
    <row r="142" spans="1:10" ht="16.5" customHeight="1" x14ac:dyDescent="0.25">
      <c r="A142" s="8" t="s">
        <v>2521</v>
      </c>
      <c r="B142" s="8" t="s">
        <v>2522</v>
      </c>
      <c r="C142" s="8" t="s">
        <v>2523</v>
      </c>
      <c r="D142" s="8" t="s">
        <v>2524</v>
      </c>
      <c r="E142" s="105">
        <v>20</v>
      </c>
      <c r="F142" s="106" t="s">
        <v>2024</v>
      </c>
      <c r="G142" s="8"/>
      <c r="H142" s="8"/>
      <c r="I142" s="107">
        <v>0</v>
      </c>
      <c r="J142" s="8" t="s">
        <v>2019</v>
      </c>
    </row>
    <row r="143" spans="1:10" ht="16.5" customHeight="1" x14ac:dyDescent="0.25">
      <c r="A143" s="8" t="s">
        <v>2525</v>
      </c>
      <c r="B143" s="8" t="s">
        <v>2526</v>
      </c>
      <c r="C143" s="8" t="s">
        <v>2527</v>
      </c>
      <c r="D143" s="8" t="s">
        <v>2528</v>
      </c>
      <c r="E143" s="105">
        <v>7.28</v>
      </c>
      <c r="F143" s="106" t="s">
        <v>2024</v>
      </c>
      <c r="G143" s="8"/>
      <c r="H143" s="8"/>
      <c r="I143" s="107">
        <v>0</v>
      </c>
      <c r="J143" s="8" t="s">
        <v>2019</v>
      </c>
    </row>
    <row r="144" spans="1:10" ht="16.5" customHeight="1" x14ac:dyDescent="0.25">
      <c r="A144" s="8" t="s">
        <v>2529</v>
      </c>
      <c r="B144" s="8" t="s">
        <v>2530</v>
      </c>
      <c r="C144" s="8" t="s">
        <v>2531</v>
      </c>
      <c r="D144" s="8" t="s">
        <v>2532</v>
      </c>
      <c r="E144" s="105">
        <v>10.92</v>
      </c>
      <c r="F144" s="106" t="s">
        <v>2024</v>
      </c>
      <c r="G144" s="8"/>
      <c r="H144" s="8"/>
      <c r="I144" s="107">
        <v>0</v>
      </c>
      <c r="J144" s="8" t="s">
        <v>2019</v>
      </c>
    </row>
    <row r="145" spans="1:10" ht="16.5" customHeight="1" x14ac:dyDescent="0.25">
      <c r="A145" s="8" t="s">
        <v>2533</v>
      </c>
      <c r="B145" s="8" t="s">
        <v>2534</v>
      </c>
      <c r="C145" s="8" t="s">
        <v>2531</v>
      </c>
      <c r="D145" s="8" t="s">
        <v>2535</v>
      </c>
      <c r="E145" s="105">
        <v>0.22800000000000001</v>
      </c>
      <c r="F145" s="106" t="s">
        <v>2024</v>
      </c>
      <c r="G145" s="8"/>
      <c r="H145" s="8"/>
      <c r="I145" s="107">
        <v>0</v>
      </c>
      <c r="J145" s="8" t="s">
        <v>2019</v>
      </c>
    </row>
    <row r="146" spans="1:10" ht="16.5" customHeight="1" x14ac:dyDescent="0.25">
      <c r="A146" s="8" t="s">
        <v>2536</v>
      </c>
      <c r="B146" s="8" t="s">
        <v>2537</v>
      </c>
      <c r="C146" s="8" t="s">
        <v>2538</v>
      </c>
      <c r="D146" s="8" t="s">
        <v>2539</v>
      </c>
      <c r="E146" s="105">
        <v>10.92</v>
      </c>
      <c r="F146" s="106" t="s">
        <v>2024</v>
      </c>
      <c r="G146" s="8"/>
      <c r="H146" s="8"/>
      <c r="I146" s="107">
        <v>0</v>
      </c>
      <c r="J146" s="8" t="s">
        <v>2019</v>
      </c>
    </row>
    <row r="147" spans="1:10" ht="16.5" customHeight="1" x14ac:dyDescent="0.25">
      <c r="A147" s="8" t="s">
        <v>2540</v>
      </c>
      <c r="B147" s="8" t="s">
        <v>2541</v>
      </c>
      <c r="C147" s="8" t="s">
        <v>2538</v>
      </c>
      <c r="D147" s="8" t="s">
        <v>2542</v>
      </c>
      <c r="E147" s="105">
        <v>0.91</v>
      </c>
      <c r="F147" s="106" t="s">
        <v>2024</v>
      </c>
      <c r="G147" s="8"/>
      <c r="H147" s="8"/>
      <c r="I147" s="107">
        <v>0</v>
      </c>
      <c r="J147" s="8" t="s">
        <v>2019</v>
      </c>
    </row>
    <row r="148" spans="1:10" ht="16.5" customHeight="1" x14ac:dyDescent="0.25">
      <c r="A148" s="8" t="s">
        <v>2543</v>
      </c>
      <c r="B148" s="8" t="s">
        <v>2544</v>
      </c>
      <c r="C148" s="8" t="s">
        <v>2545</v>
      </c>
      <c r="D148" s="8" t="s">
        <v>2546</v>
      </c>
      <c r="E148" s="105">
        <v>10.92</v>
      </c>
      <c r="F148" s="106" t="s">
        <v>2024</v>
      </c>
      <c r="G148" s="8"/>
      <c r="H148" s="8"/>
      <c r="I148" s="107">
        <v>0</v>
      </c>
      <c r="J148" s="8" t="s">
        <v>2019</v>
      </c>
    </row>
    <row r="149" spans="1:10" ht="16.5" customHeight="1" x14ac:dyDescent="0.25">
      <c r="A149" s="8" t="s">
        <v>2547</v>
      </c>
      <c r="B149" s="8" t="s">
        <v>2548</v>
      </c>
      <c r="C149" s="8" t="s">
        <v>2545</v>
      </c>
      <c r="D149" s="8" t="s">
        <v>2549</v>
      </c>
      <c r="E149" s="105">
        <v>1.82</v>
      </c>
      <c r="F149" s="106" t="s">
        <v>2024</v>
      </c>
      <c r="G149" s="8"/>
      <c r="H149" s="8"/>
      <c r="I149" s="107">
        <v>0</v>
      </c>
      <c r="J149" s="8" t="s">
        <v>2019</v>
      </c>
    </row>
    <row r="150" spans="1:10" ht="16.5" customHeight="1" x14ac:dyDescent="0.25">
      <c r="A150" s="8" t="s">
        <v>2550</v>
      </c>
      <c r="B150" s="8" t="s">
        <v>2551</v>
      </c>
      <c r="C150" s="8" t="s">
        <v>2552</v>
      </c>
      <c r="D150" s="8" t="s">
        <v>2553</v>
      </c>
      <c r="E150" s="105">
        <v>18.2</v>
      </c>
      <c r="F150" s="106" t="s">
        <v>2024</v>
      </c>
      <c r="G150" s="8"/>
      <c r="H150" s="8"/>
      <c r="I150" s="107">
        <v>0</v>
      </c>
      <c r="J150" s="8" t="s">
        <v>2019</v>
      </c>
    </row>
    <row r="151" spans="1:10" ht="16.5" customHeight="1" x14ac:dyDescent="0.25">
      <c r="A151" s="8" t="s">
        <v>2554</v>
      </c>
      <c r="B151" s="8" t="s">
        <v>2555</v>
      </c>
      <c r="C151" s="8" t="s">
        <v>2552</v>
      </c>
      <c r="D151" s="8" t="s">
        <v>2556</v>
      </c>
      <c r="E151" s="105">
        <v>4.55</v>
      </c>
      <c r="F151" s="106" t="s">
        <v>2024</v>
      </c>
      <c r="G151" s="8"/>
      <c r="H151" s="8"/>
      <c r="I151" s="107">
        <v>0</v>
      </c>
      <c r="J151" s="8" t="s">
        <v>2019</v>
      </c>
    </row>
    <row r="152" spans="1:10" ht="16.5" customHeight="1" x14ac:dyDescent="0.25">
      <c r="A152" s="8" t="s">
        <v>2557</v>
      </c>
      <c r="B152" s="8" t="s">
        <v>2558</v>
      </c>
      <c r="C152" s="8" t="s">
        <v>2527</v>
      </c>
      <c r="D152" s="8" t="s">
        <v>2559</v>
      </c>
      <c r="E152" s="105">
        <v>7.28</v>
      </c>
      <c r="F152" s="106" t="s">
        <v>2024</v>
      </c>
      <c r="G152" s="8"/>
      <c r="H152" s="8"/>
      <c r="I152" s="107">
        <v>0</v>
      </c>
      <c r="J152" s="8" t="s">
        <v>2019</v>
      </c>
    </row>
    <row r="153" spans="1:10" ht="16.5" customHeight="1" x14ac:dyDescent="0.25">
      <c r="A153" s="8" t="s">
        <v>2560</v>
      </c>
      <c r="B153" s="8" t="s">
        <v>2561</v>
      </c>
      <c r="C153" s="8" t="s">
        <v>2562</v>
      </c>
      <c r="D153" s="8" t="s">
        <v>2563</v>
      </c>
      <c r="E153" s="105">
        <v>10.92</v>
      </c>
      <c r="F153" s="106" t="s">
        <v>2024</v>
      </c>
      <c r="G153" s="8"/>
      <c r="H153" s="8"/>
      <c r="I153" s="107">
        <v>0</v>
      </c>
      <c r="J153" s="8" t="s">
        <v>2019</v>
      </c>
    </row>
    <row r="154" spans="1:10" ht="16.5" customHeight="1" x14ac:dyDescent="0.25">
      <c r="A154" s="8" t="s">
        <v>2564</v>
      </c>
      <c r="B154" s="8" t="s">
        <v>2565</v>
      </c>
      <c r="C154" s="8" t="s">
        <v>2562</v>
      </c>
      <c r="D154" s="8" t="s">
        <v>2566</v>
      </c>
      <c r="E154" s="105">
        <v>0.36399999999999999</v>
      </c>
      <c r="F154" s="106" t="s">
        <v>2024</v>
      </c>
      <c r="G154" s="8"/>
      <c r="H154" s="8"/>
      <c r="I154" s="107">
        <v>0</v>
      </c>
      <c r="J154" s="8" t="s">
        <v>2019</v>
      </c>
    </row>
    <row r="155" spans="1:10" ht="16.5" customHeight="1" x14ac:dyDescent="0.25">
      <c r="A155" s="8" t="s">
        <v>2567</v>
      </c>
      <c r="B155" s="8" t="s">
        <v>2568</v>
      </c>
      <c r="C155" s="8" t="s">
        <v>2531</v>
      </c>
      <c r="D155" s="8" t="s">
        <v>2569</v>
      </c>
      <c r="E155" s="105">
        <v>10.92</v>
      </c>
      <c r="F155" s="106" t="s">
        <v>2024</v>
      </c>
      <c r="G155" s="8"/>
      <c r="H155" s="8"/>
      <c r="I155" s="107">
        <v>0</v>
      </c>
      <c r="J155" s="8" t="s">
        <v>2019</v>
      </c>
    </row>
    <row r="156" spans="1:10" ht="16.5" customHeight="1" x14ac:dyDescent="0.25">
      <c r="A156" s="8" t="s">
        <v>2570</v>
      </c>
      <c r="B156" s="8" t="s">
        <v>2571</v>
      </c>
      <c r="C156" s="8" t="s">
        <v>2531</v>
      </c>
      <c r="D156" s="8" t="s">
        <v>2572</v>
      </c>
      <c r="E156" s="105">
        <v>0.22800000000000001</v>
      </c>
      <c r="F156" s="106" t="s">
        <v>2024</v>
      </c>
      <c r="G156" s="8"/>
      <c r="H156" s="8"/>
      <c r="I156" s="107">
        <v>0</v>
      </c>
      <c r="J156" s="8" t="s">
        <v>2019</v>
      </c>
    </row>
    <row r="157" spans="1:10" ht="16.5" customHeight="1" x14ac:dyDescent="0.25">
      <c r="A157" s="8" t="s">
        <v>2573</v>
      </c>
      <c r="B157" s="8" t="s">
        <v>2574</v>
      </c>
      <c r="C157" s="8" t="s">
        <v>2538</v>
      </c>
      <c r="D157" s="8" t="s">
        <v>2575</v>
      </c>
      <c r="E157" s="105">
        <v>10.92</v>
      </c>
      <c r="F157" s="106" t="s">
        <v>2024</v>
      </c>
      <c r="G157" s="8"/>
      <c r="H157" s="8"/>
      <c r="I157" s="107">
        <v>0</v>
      </c>
      <c r="J157" s="8" t="s">
        <v>2019</v>
      </c>
    </row>
    <row r="158" spans="1:10" ht="16.5" customHeight="1" x14ac:dyDescent="0.25">
      <c r="A158" s="8" t="s">
        <v>2576</v>
      </c>
      <c r="B158" s="8" t="s">
        <v>2577</v>
      </c>
      <c r="C158" s="8" t="s">
        <v>2538</v>
      </c>
      <c r="D158" s="8" t="s">
        <v>2578</v>
      </c>
      <c r="E158" s="105">
        <v>0.91</v>
      </c>
      <c r="F158" s="106" t="s">
        <v>2024</v>
      </c>
      <c r="G158" s="8"/>
      <c r="H158" s="8"/>
      <c r="I158" s="107">
        <v>0</v>
      </c>
      <c r="J158" s="8" t="s">
        <v>2019</v>
      </c>
    </row>
    <row r="159" spans="1:10" ht="16.5" customHeight="1" x14ac:dyDescent="0.25">
      <c r="A159" s="8" t="s">
        <v>2579</v>
      </c>
      <c r="B159" s="8" t="s">
        <v>2580</v>
      </c>
      <c r="C159" s="8" t="s">
        <v>2545</v>
      </c>
      <c r="D159" s="8" t="s">
        <v>2581</v>
      </c>
      <c r="E159" s="105">
        <v>10.92</v>
      </c>
      <c r="F159" s="106" t="s">
        <v>2024</v>
      </c>
      <c r="G159" s="8"/>
      <c r="H159" s="8"/>
      <c r="I159" s="107">
        <v>0</v>
      </c>
      <c r="J159" s="8" t="s">
        <v>2019</v>
      </c>
    </row>
    <row r="160" spans="1:10" ht="16.5" customHeight="1" x14ac:dyDescent="0.25">
      <c r="A160" s="8" t="s">
        <v>2582</v>
      </c>
      <c r="B160" s="8" t="s">
        <v>2583</v>
      </c>
      <c r="C160" s="8" t="s">
        <v>2545</v>
      </c>
      <c r="D160" s="8" t="s">
        <v>2584</v>
      </c>
      <c r="E160" s="105">
        <v>1.82</v>
      </c>
      <c r="F160" s="106" t="s">
        <v>2024</v>
      </c>
      <c r="G160" s="8"/>
      <c r="H160" s="8"/>
      <c r="I160" s="107">
        <v>0</v>
      </c>
      <c r="J160" s="8" t="s">
        <v>2019</v>
      </c>
    </row>
    <row r="161" spans="1:10" ht="16.5" customHeight="1" x14ac:dyDescent="0.25">
      <c r="A161" s="8" t="s">
        <v>2585</v>
      </c>
      <c r="B161" s="8" t="s">
        <v>2586</v>
      </c>
      <c r="C161" s="8" t="s">
        <v>2552</v>
      </c>
      <c r="D161" s="8" t="s">
        <v>2587</v>
      </c>
      <c r="E161" s="105">
        <v>18.2</v>
      </c>
      <c r="F161" s="106" t="s">
        <v>2024</v>
      </c>
      <c r="G161" s="8"/>
      <c r="H161" s="8"/>
      <c r="I161" s="107">
        <v>0</v>
      </c>
      <c r="J161" s="8" t="s">
        <v>2019</v>
      </c>
    </row>
    <row r="162" spans="1:10" ht="16.5" customHeight="1" x14ac:dyDescent="0.25">
      <c r="A162" s="8" t="s">
        <v>2588</v>
      </c>
      <c r="B162" s="8" t="s">
        <v>2589</v>
      </c>
      <c r="C162" s="8" t="s">
        <v>2552</v>
      </c>
      <c r="D162" s="8" t="s">
        <v>2590</v>
      </c>
      <c r="E162" s="105">
        <v>4.55</v>
      </c>
      <c r="F162" s="106" t="s">
        <v>2024</v>
      </c>
      <c r="G162" s="8"/>
      <c r="H162" s="8"/>
      <c r="I162" s="107">
        <v>0</v>
      </c>
      <c r="J162" s="8" t="s">
        <v>2019</v>
      </c>
    </row>
    <row r="163" spans="1:10" ht="16.5" customHeight="1" x14ac:dyDescent="0.25">
      <c r="A163" s="8" t="s">
        <v>2591</v>
      </c>
      <c r="B163" s="8" t="s">
        <v>2592</v>
      </c>
      <c r="C163" s="8" t="s">
        <v>2527</v>
      </c>
      <c r="D163" s="8" t="s">
        <v>2593</v>
      </c>
      <c r="E163" s="105">
        <v>7.28</v>
      </c>
      <c r="F163" s="106" t="s">
        <v>2024</v>
      </c>
      <c r="G163" s="8"/>
      <c r="H163" s="8"/>
      <c r="I163" s="107">
        <v>0</v>
      </c>
      <c r="J163" s="8" t="s">
        <v>2019</v>
      </c>
    </row>
    <row r="164" spans="1:10" ht="16.5" customHeight="1" x14ac:dyDescent="0.25">
      <c r="A164" s="8" t="s">
        <v>2594</v>
      </c>
      <c r="B164" s="8" t="s">
        <v>2595</v>
      </c>
      <c r="C164" s="8" t="s">
        <v>2562</v>
      </c>
      <c r="D164" s="8" t="s">
        <v>2596</v>
      </c>
      <c r="E164" s="105">
        <v>10.92</v>
      </c>
      <c r="F164" s="106" t="s">
        <v>2024</v>
      </c>
      <c r="G164" s="8"/>
      <c r="H164" s="8"/>
      <c r="I164" s="107">
        <v>0</v>
      </c>
      <c r="J164" s="8" t="s">
        <v>2019</v>
      </c>
    </row>
    <row r="165" spans="1:10" ht="16.5" customHeight="1" x14ac:dyDescent="0.25">
      <c r="A165" s="8" t="s">
        <v>2597</v>
      </c>
      <c r="B165" s="8" t="s">
        <v>2598</v>
      </c>
      <c r="C165" s="8" t="s">
        <v>2562</v>
      </c>
      <c r="D165" s="8" t="s">
        <v>2599</v>
      </c>
      <c r="E165" s="105">
        <v>0.36399999999999999</v>
      </c>
      <c r="F165" s="106" t="s">
        <v>2024</v>
      </c>
      <c r="G165" s="8"/>
      <c r="H165" s="8"/>
      <c r="I165" s="107">
        <v>0</v>
      </c>
      <c r="J165" s="8" t="s">
        <v>2019</v>
      </c>
    </row>
    <row r="166" spans="1:10" ht="16.5" customHeight="1" x14ac:dyDescent="0.25">
      <c r="A166" s="8" t="s">
        <v>2600</v>
      </c>
      <c r="B166" s="8" t="s">
        <v>2601</v>
      </c>
      <c r="C166" s="8" t="s">
        <v>2538</v>
      </c>
      <c r="D166" s="8" t="s">
        <v>2602</v>
      </c>
      <c r="E166" s="105">
        <v>10.92</v>
      </c>
      <c r="F166" s="106" t="s">
        <v>2024</v>
      </c>
      <c r="G166" s="8"/>
      <c r="H166" s="8"/>
      <c r="I166" s="107">
        <v>0</v>
      </c>
      <c r="J166" s="8" t="s">
        <v>2019</v>
      </c>
    </row>
    <row r="167" spans="1:10" ht="16.5" customHeight="1" x14ac:dyDescent="0.25">
      <c r="A167" s="8" t="s">
        <v>2603</v>
      </c>
      <c r="B167" s="8" t="s">
        <v>2604</v>
      </c>
      <c r="C167" s="8" t="s">
        <v>2538</v>
      </c>
      <c r="D167" s="8" t="s">
        <v>2605</v>
      </c>
      <c r="E167" s="105">
        <v>0.91</v>
      </c>
      <c r="F167" s="106" t="s">
        <v>2024</v>
      </c>
      <c r="G167" s="8"/>
      <c r="H167" s="8"/>
      <c r="I167" s="107">
        <v>0</v>
      </c>
      <c r="J167" s="8" t="s">
        <v>2019</v>
      </c>
    </row>
    <row r="168" spans="1:10" ht="16.5" customHeight="1" x14ac:dyDescent="0.25">
      <c r="A168" s="8" t="s">
        <v>2606</v>
      </c>
      <c r="B168" s="8" t="s">
        <v>2607</v>
      </c>
      <c r="C168" s="8" t="s">
        <v>2545</v>
      </c>
      <c r="D168" s="8" t="s">
        <v>2608</v>
      </c>
      <c r="E168" s="105">
        <v>10.92</v>
      </c>
      <c r="F168" s="106" t="s">
        <v>2024</v>
      </c>
      <c r="G168" s="8"/>
      <c r="H168" s="8"/>
      <c r="I168" s="107">
        <v>0</v>
      </c>
      <c r="J168" s="8" t="s">
        <v>2019</v>
      </c>
    </row>
    <row r="169" spans="1:10" ht="16.5" customHeight="1" x14ac:dyDescent="0.25">
      <c r="A169" s="8" t="s">
        <v>2609</v>
      </c>
      <c r="B169" s="8" t="s">
        <v>2610</v>
      </c>
      <c r="C169" s="8" t="s">
        <v>2545</v>
      </c>
      <c r="D169" s="8" t="s">
        <v>2611</v>
      </c>
      <c r="E169" s="105">
        <v>1.82</v>
      </c>
      <c r="F169" s="106" t="s">
        <v>2024</v>
      </c>
      <c r="G169" s="8"/>
      <c r="H169" s="8"/>
      <c r="I169" s="107">
        <v>0</v>
      </c>
      <c r="J169" s="8" t="s">
        <v>2019</v>
      </c>
    </row>
    <row r="170" spans="1:10" ht="16.5" customHeight="1" x14ac:dyDescent="0.25">
      <c r="A170" s="8" t="s">
        <v>2612</v>
      </c>
      <c r="B170" s="8" t="s">
        <v>2613</v>
      </c>
      <c r="C170" s="8" t="s">
        <v>2562</v>
      </c>
      <c r="D170" s="8" t="s">
        <v>2614</v>
      </c>
      <c r="E170" s="105">
        <v>10.92</v>
      </c>
      <c r="F170" s="106" t="s">
        <v>2024</v>
      </c>
      <c r="G170" s="8"/>
      <c r="H170" s="8"/>
      <c r="I170" s="107">
        <v>0</v>
      </c>
      <c r="J170" s="8" t="s">
        <v>2019</v>
      </c>
    </row>
    <row r="171" spans="1:10" ht="16.5" customHeight="1" x14ac:dyDescent="0.25">
      <c r="A171" s="8" t="s">
        <v>2615</v>
      </c>
      <c r="B171" s="8" t="s">
        <v>2616</v>
      </c>
      <c r="C171" s="8" t="s">
        <v>2617</v>
      </c>
      <c r="D171" s="8" t="s">
        <v>2618</v>
      </c>
      <c r="E171" s="105">
        <v>10.92</v>
      </c>
      <c r="F171" s="106" t="s">
        <v>2024</v>
      </c>
      <c r="G171" s="8"/>
      <c r="H171" s="8"/>
      <c r="I171" s="107">
        <v>0</v>
      </c>
      <c r="J171" s="8" t="s">
        <v>2019</v>
      </c>
    </row>
    <row r="172" spans="1:10" ht="16.5" customHeight="1" x14ac:dyDescent="0.25">
      <c r="A172" s="8" t="s">
        <v>2619</v>
      </c>
      <c r="B172" s="8" t="s">
        <v>2620</v>
      </c>
      <c r="C172" s="8" t="s">
        <v>2617</v>
      </c>
      <c r="D172" s="8" t="s">
        <v>2621</v>
      </c>
      <c r="E172" s="105">
        <v>0.22800000000000001</v>
      </c>
      <c r="F172" s="106" t="s">
        <v>2024</v>
      </c>
      <c r="G172" s="8"/>
      <c r="H172" s="8"/>
      <c r="I172" s="107">
        <v>0</v>
      </c>
      <c r="J172" s="8" t="s">
        <v>2019</v>
      </c>
    </row>
    <row r="173" spans="1:10" ht="16.5" customHeight="1" x14ac:dyDescent="0.25">
      <c r="A173" s="8" t="s">
        <v>2622</v>
      </c>
      <c r="B173" s="8" t="s">
        <v>2623</v>
      </c>
      <c r="C173" s="8" t="s">
        <v>2624</v>
      </c>
      <c r="D173" s="8" t="s">
        <v>2625</v>
      </c>
      <c r="E173" s="105">
        <v>10.92</v>
      </c>
      <c r="F173" s="106" t="s">
        <v>2024</v>
      </c>
      <c r="G173" s="8"/>
      <c r="H173" s="8"/>
      <c r="I173" s="107">
        <v>0</v>
      </c>
      <c r="J173" s="8" t="s">
        <v>2019</v>
      </c>
    </row>
    <row r="174" spans="1:10" ht="16.5" customHeight="1" x14ac:dyDescent="0.25">
      <c r="A174" s="8" t="s">
        <v>2626</v>
      </c>
      <c r="B174" s="8" t="s">
        <v>2627</v>
      </c>
      <c r="C174" s="8" t="s">
        <v>2624</v>
      </c>
      <c r="D174" s="8" t="s">
        <v>2628</v>
      </c>
      <c r="E174" s="105">
        <v>0.91</v>
      </c>
      <c r="F174" s="106" t="s">
        <v>2024</v>
      </c>
      <c r="G174" s="8"/>
      <c r="H174" s="8"/>
      <c r="I174" s="107">
        <v>0</v>
      </c>
      <c r="J174" s="8" t="s">
        <v>2019</v>
      </c>
    </row>
    <row r="175" spans="1:10" ht="16.5" customHeight="1" x14ac:dyDescent="0.25">
      <c r="A175" s="8" t="s">
        <v>2629</v>
      </c>
      <c r="B175" s="8" t="s">
        <v>2630</v>
      </c>
      <c r="C175" s="8" t="s">
        <v>2631</v>
      </c>
      <c r="D175" s="8" t="s">
        <v>2632</v>
      </c>
      <c r="E175" s="105">
        <v>10.92</v>
      </c>
      <c r="F175" s="106" t="s">
        <v>2024</v>
      </c>
      <c r="G175" s="8"/>
      <c r="H175" s="8"/>
      <c r="I175" s="107">
        <v>0</v>
      </c>
      <c r="J175" s="8" t="s">
        <v>2019</v>
      </c>
    </row>
    <row r="176" spans="1:10" ht="16.5" customHeight="1" x14ac:dyDescent="0.25">
      <c r="A176" s="8" t="s">
        <v>2633</v>
      </c>
      <c r="B176" s="8" t="s">
        <v>2634</v>
      </c>
      <c r="C176" s="8" t="s">
        <v>2631</v>
      </c>
      <c r="D176" s="8" t="s">
        <v>2635</v>
      </c>
      <c r="E176" s="105">
        <v>1.82</v>
      </c>
      <c r="F176" s="106" t="s">
        <v>2024</v>
      </c>
      <c r="G176" s="8"/>
      <c r="H176" s="8"/>
      <c r="I176" s="107">
        <v>0</v>
      </c>
      <c r="J176" s="8" t="s">
        <v>2019</v>
      </c>
    </row>
    <row r="177" spans="1:10" ht="16.5" customHeight="1" x14ac:dyDescent="0.25">
      <c r="A177" s="8" t="s">
        <v>2636</v>
      </c>
      <c r="B177" s="8" t="s">
        <v>2637</v>
      </c>
      <c r="C177" s="8" t="s">
        <v>2638</v>
      </c>
      <c r="D177" s="8" t="s">
        <v>2639</v>
      </c>
      <c r="E177" s="105">
        <v>18.2</v>
      </c>
      <c r="F177" s="106" t="s">
        <v>2024</v>
      </c>
      <c r="G177" s="8"/>
      <c r="H177" s="8"/>
      <c r="I177" s="107">
        <v>0</v>
      </c>
      <c r="J177" s="8" t="s">
        <v>2019</v>
      </c>
    </row>
    <row r="178" spans="1:10" ht="16.5" customHeight="1" x14ac:dyDescent="0.25">
      <c r="A178" s="8" t="s">
        <v>2640</v>
      </c>
      <c r="B178" s="8" t="s">
        <v>2641</v>
      </c>
      <c r="C178" s="8" t="s">
        <v>2642</v>
      </c>
      <c r="D178" s="8" t="s">
        <v>2643</v>
      </c>
      <c r="E178" s="105">
        <v>18.2</v>
      </c>
      <c r="F178" s="106" t="s">
        <v>2024</v>
      </c>
      <c r="G178" s="8"/>
      <c r="H178" s="8"/>
      <c r="I178" s="107">
        <v>0</v>
      </c>
      <c r="J178" s="8" t="s">
        <v>2019</v>
      </c>
    </row>
    <row r="179" spans="1:10" ht="16.5" customHeight="1" x14ac:dyDescent="0.25">
      <c r="A179" s="8" t="s">
        <v>2644</v>
      </c>
      <c r="B179" s="8" t="s">
        <v>2645</v>
      </c>
      <c r="C179" s="8" t="s">
        <v>2638</v>
      </c>
      <c r="D179" s="8" t="s">
        <v>2646</v>
      </c>
      <c r="E179" s="105">
        <v>4.55</v>
      </c>
      <c r="F179" s="106" t="s">
        <v>2024</v>
      </c>
      <c r="G179" s="8"/>
      <c r="H179" s="8"/>
      <c r="I179" s="107">
        <v>0</v>
      </c>
      <c r="J179" s="8" t="s">
        <v>2019</v>
      </c>
    </row>
    <row r="180" spans="1:10" ht="16.5" customHeight="1" x14ac:dyDescent="0.25">
      <c r="A180" s="8" t="s">
        <v>2647</v>
      </c>
      <c r="B180" s="8" t="s">
        <v>2648</v>
      </c>
      <c r="C180" s="8" t="s">
        <v>2642</v>
      </c>
      <c r="D180" s="8" t="s">
        <v>2649</v>
      </c>
      <c r="E180" s="105">
        <v>4.55</v>
      </c>
      <c r="F180" s="106" t="s">
        <v>2024</v>
      </c>
      <c r="G180" s="8"/>
      <c r="H180" s="8"/>
      <c r="I180" s="107">
        <v>0</v>
      </c>
      <c r="J180" s="8" t="s">
        <v>2019</v>
      </c>
    </row>
    <row r="181" spans="1:10" ht="16.5" customHeight="1" x14ac:dyDescent="0.25">
      <c r="A181" s="8" t="s">
        <v>2650</v>
      </c>
      <c r="B181" s="8" t="s">
        <v>2651</v>
      </c>
      <c r="C181" s="8" t="s">
        <v>2652</v>
      </c>
      <c r="D181" s="8" t="s">
        <v>2653</v>
      </c>
      <c r="E181" s="105">
        <v>9.1</v>
      </c>
      <c r="F181" s="106" t="s">
        <v>2024</v>
      </c>
      <c r="G181" s="8"/>
      <c r="H181" s="8"/>
      <c r="I181" s="107">
        <v>0</v>
      </c>
      <c r="J181" s="8" t="s">
        <v>2019</v>
      </c>
    </row>
    <row r="182" spans="1:10" ht="16.5" customHeight="1" x14ac:dyDescent="0.25">
      <c r="A182" s="8" t="s">
        <v>2654</v>
      </c>
      <c r="B182" s="8" t="s">
        <v>2655</v>
      </c>
      <c r="C182" s="8" t="s">
        <v>2652</v>
      </c>
      <c r="D182" s="8" t="s">
        <v>2656</v>
      </c>
      <c r="E182" s="105">
        <v>18.2</v>
      </c>
      <c r="F182" s="106" t="s">
        <v>2024</v>
      </c>
      <c r="G182" s="8"/>
      <c r="H182" s="8"/>
      <c r="I182" s="107">
        <v>0</v>
      </c>
      <c r="J182" s="8" t="s">
        <v>2019</v>
      </c>
    </row>
    <row r="183" spans="1:10" ht="16.5" customHeight="1" x14ac:dyDescent="0.25">
      <c r="A183" s="8" t="s">
        <v>2657</v>
      </c>
      <c r="B183" s="8" t="s">
        <v>2658</v>
      </c>
      <c r="C183" s="8" t="s">
        <v>2659</v>
      </c>
      <c r="D183" s="8" t="s">
        <v>2660</v>
      </c>
      <c r="E183" s="105">
        <v>7.28</v>
      </c>
      <c r="F183" s="106" t="s">
        <v>2024</v>
      </c>
      <c r="G183" s="8"/>
      <c r="H183" s="8"/>
      <c r="I183" s="107">
        <v>0</v>
      </c>
      <c r="J183" s="8" t="s">
        <v>2019</v>
      </c>
    </row>
    <row r="184" spans="1:10" ht="16.5" customHeight="1" x14ac:dyDescent="0.25">
      <c r="A184" s="8" t="s">
        <v>2661</v>
      </c>
      <c r="B184" s="8" t="s">
        <v>2662</v>
      </c>
      <c r="C184" s="8" t="s">
        <v>2663</v>
      </c>
      <c r="D184" s="8" t="s">
        <v>2664</v>
      </c>
      <c r="E184" s="105">
        <v>10.92</v>
      </c>
      <c r="F184" s="106" t="s">
        <v>2024</v>
      </c>
      <c r="G184" s="8"/>
      <c r="H184" s="8"/>
      <c r="I184" s="107">
        <v>0</v>
      </c>
      <c r="J184" s="8" t="s">
        <v>2019</v>
      </c>
    </row>
    <row r="185" spans="1:10" ht="16.5" customHeight="1" x14ac:dyDescent="0.25">
      <c r="A185" s="8" t="s">
        <v>2665</v>
      </c>
      <c r="B185" s="8" t="s">
        <v>2666</v>
      </c>
      <c r="C185" s="8" t="s">
        <v>2663</v>
      </c>
      <c r="D185" s="8" t="s">
        <v>2667</v>
      </c>
      <c r="E185" s="105">
        <v>0.36399999999999999</v>
      </c>
      <c r="F185" s="106" t="s">
        <v>2024</v>
      </c>
      <c r="G185" s="8"/>
      <c r="H185" s="8"/>
      <c r="I185" s="107">
        <v>0</v>
      </c>
      <c r="J185" s="8" t="s">
        <v>2019</v>
      </c>
    </row>
    <row r="186" spans="1:10" ht="16.5" customHeight="1" x14ac:dyDescent="0.25">
      <c r="A186" s="8" t="s">
        <v>2668</v>
      </c>
      <c r="B186" s="8" t="s">
        <v>2669</v>
      </c>
      <c r="C186" s="8" t="s">
        <v>2670</v>
      </c>
      <c r="D186" s="8" t="s">
        <v>2671</v>
      </c>
      <c r="E186" s="105">
        <v>14.56</v>
      </c>
      <c r="F186" s="106" t="s">
        <v>2024</v>
      </c>
      <c r="G186" s="8"/>
      <c r="H186" s="8"/>
      <c r="I186" s="107">
        <v>0</v>
      </c>
      <c r="J186" s="8" t="s">
        <v>2019</v>
      </c>
    </row>
    <row r="187" spans="1:10" ht="16.5" customHeight="1" x14ac:dyDescent="0.25">
      <c r="A187" s="8" t="s">
        <v>2672</v>
      </c>
      <c r="B187" s="8" t="s">
        <v>2673</v>
      </c>
      <c r="C187" s="8" t="s">
        <v>2283</v>
      </c>
      <c r="D187" s="8" t="s">
        <v>2674</v>
      </c>
      <c r="E187" s="105">
        <v>15</v>
      </c>
      <c r="F187" s="106" t="s">
        <v>2024</v>
      </c>
      <c r="G187" s="8"/>
      <c r="H187" s="8"/>
      <c r="I187" s="107">
        <v>0</v>
      </c>
      <c r="J187" s="8" t="s">
        <v>2019</v>
      </c>
    </row>
    <row r="188" spans="1:10" ht="16.5" customHeight="1" x14ac:dyDescent="0.25">
      <c r="A188" s="8" t="s">
        <v>2675</v>
      </c>
      <c r="B188" s="8" t="s">
        <v>2676</v>
      </c>
      <c r="C188" s="8" t="s">
        <v>2677</v>
      </c>
      <c r="D188" s="8" t="s">
        <v>2678</v>
      </c>
      <c r="E188" s="105">
        <v>18</v>
      </c>
      <c r="F188" s="106" t="s">
        <v>2024</v>
      </c>
      <c r="G188" s="8"/>
      <c r="H188" s="8"/>
      <c r="I188" s="107">
        <v>0</v>
      </c>
      <c r="J188" s="8" t="s">
        <v>2019</v>
      </c>
    </row>
    <row r="189" spans="1:10" ht="16.5" customHeight="1" x14ac:dyDescent="0.25">
      <c r="A189" s="8" t="s">
        <v>2679</v>
      </c>
      <c r="B189" s="8" t="s">
        <v>2680</v>
      </c>
      <c r="C189" s="8" t="s">
        <v>2681</v>
      </c>
      <c r="D189" s="8" t="s">
        <v>2682</v>
      </c>
      <c r="E189" s="105">
        <v>18</v>
      </c>
      <c r="F189" s="106" t="s">
        <v>2024</v>
      </c>
      <c r="G189" s="8"/>
      <c r="H189" s="8"/>
      <c r="I189" s="107">
        <v>0</v>
      </c>
      <c r="J189" s="8" t="s">
        <v>2019</v>
      </c>
    </row>
    <row r="190" spans="1:10" ht="16.5" customHeight="1" x14ac:dyDescent="0.25">
      <c r="A190" s="8" t="s">
        <v>2683</v>
      </c>
      <c r="B190" s="8" t="s">
        <v>2684</v>
      </c>
      <c r="C190" s="8" t="s">
        <v>2617</v>
      </c>
      <c r="D190" s="8" t="s">
        <v>2685</v>
      </c>
      <c r="E190" s="105">
        <v>10.92</v>
      </c>
      <c r="F190" s="106" t="s">
        <v>2024</v>
      </c>
      <c r="G190" s="8"/>
      <c r="H190" s="8"/>
      <c r="I190" s="107">
        <v>0</v>
      </c>
      <c r="J190" s="8" t="s">
        <v>2019</v>
      </c>
    </row>
    <row r="191" spans="1:10" ht="16.5" customHeight="1" x14ac:dyDescent="0.25">
      <c r="A191" s="8" t="s">
        <v>2686</v>
      </c>
      <c r="B191" s="8" t="s">
        <v>2687</v>
      </c>
      <c r="C191" s="8" t="s">
        <v>2617</v>
      </c>
      <c r="D191" s="8" t="s">
        <v>2688</v>
      </c>
      <c r="E191" s="105">
        <v>0.22800000000000001</v>
      </c>
      <c r="F191" s="106" t="s">
        <v>2024</v>
      </c>
      <c r="G191" s="8"/>
      <c r="H191" s="8"/>
      <c r="I191" s="107">
        <v>0</v>
      </c>
      <c r="J191" s="8" t="s">
        <v>2019</v>
      </c>
    </row>
    <row r="192" spans="1:10" ht="16.5" customHeight="1" x14ac:dyDescent="0.25">
      <c r="A192" s="8" t="s">
        <v>2689</v>
      </c>
      <c r="B192" s="8" t="s">
        <v>2690</v>
      </c>
      <c r="C192" s="8" t="s">
        <v>2624</v>
      </c>
      <c r="D192" s="8" t="s">
        <v>2691</v>
      </c>
      <c r="E192" s="105">
        <v>10.92</v>
      </c>
      <c r="F192" s="106" t="s">
        <v>2024</v>
      </c>
      <c r="G192" s="8"/>
      <c r="H192" s="8"/>
      <c r="I192" s="107">
        <v>0</v>
      </c>
      <c r="J192" s="8" t="s">
        <v>2019</v>
      </c>
    </row>
    <row r="193" spans="1:10" ht="16.5" customHeight="1" x14ac:dyDescent="0.25">
      <c r="A193" s="8" t="s">
        <v>2692</v>
      </c>
      <c r="B193" s="8" t="s">
        <v>2693</v>
      </c>
      <c r="C193" s="8" t="s">
        <v>2624</v>
      </c>
      <c r="D193" s="8" t="s">
        <v>2694</v>
      </c>
      <c r="E193" s="105">
        <v>0.91</v>
      </c>
      <c r="F193" s="106" t="s">
        <v>2024</v>
      </c>
      <c r="G193" s="8"/>
      <c r="H193" s="8"/>
      <c r="I193" s="107">
        <v>0</v>
      </c>
      <c r="J193" s="8" t="s">
        <v>2019</v>
      </c>
    </row>
    <row r="194" spans="1:10" ht="16.5" customHeight="1" x14ac:dyDescent="0.25">
      <c r="A194" s="8" t="s">
        <v>2695</v>
      </c>
      <c r="B194" s="8" t="s">
        <v>2696</v>
      </c>
      <c r="C194" s="8" t="s">
        <v>2631</v>
      </c>
      <c r="D194" s="8" t="s">
        <v>2697</v>
      </c>
      <c r="E194" s="105">
        <v>10.92</v>
      </c>
      <c r="F194" s="106" t="s">
        <v>2024</v>
      </c>
      <c r="G194" s="8"/>
      <c r="H194" s="8"/>
      <c r="I194" s="107">
        <v>0</v>
      </c>
      <c r="J194" s="8" t="s">
        <v>2019</v>
      </c>
    </row>
    <row r="195" spans="1:10" ht="16.5" customHeight="1" x14ac:dyDescent="0.25">
      <c r="A195" s="8" t="s">
        <v>2698</v>
      </c>
      <c r="B195" s="8" t="s">
        <v>2699</v>
      </c>
      <c r="C195" s="8" t="s">
        <v>2631</v>
      </c>
      <c r="D195" s="8" t="s">
        <v>2700</v>
      </c>
      <c r="E195" s="105">
        <v>1.82</v>
      </c>
      <c r="F195" s="106" t="s">
        <v>2024</v>
      </c>
      <c r="G195" s="8"/>
      <c r="H195" s="8"/>
      <c r="I195" s="107">
        <v>0</v>
      </c>
      <c r="J195" s="8" t="s">
        <v>2019</v>
      </c>
    </row>
    <row r="196" spans="1:10" ht="16.5" customHeight="1" x14ac:dyDescent="0.25">
      <c r="A196" s="8" t="s">
        <v>2701</v>
      </c>
      <c r="B196" s="8" t="s">
        <v>2702</v>
      </c>
      <c r="C196" s="8" t="s">
        <v>2638</v>
      </c>
      <c r="D196" s="8" t="s">
        <v>2703</v>
      </c>
      <c r="E196" s="105">
        <v>18.2</v>
      </c>
      <c r="F196" s="106" t="s">
        <v>2024</v>
      </c>
      <c r="G196" s="8"/>
      <c r="H196" s="8"/>
      <c r="I196" s="107">
        <v>0</v>
      </c>
      <c r="J196" s="8" t="s">
        <v>2019</v>
      </c>
    </row>
    <row r="197" spans="1:10" ht="16.5" customHeight="1" x14ac:dyDescent="0.25">
      <c r="A197" s="8" t="s">
        <v>2704</v>
      </c>
      <c r="B197" s="8" t="s">
        <v>2705</v>
      </c>
      <c r="C197" s="8" t="s">
        <v>2638</v>
      </c>
      <c r="D197" s="8" t="s">
        <v>2706</v>
      </c>
      <c r="E197" s="105">
        <v>4.55</v>
      </c>
      <c r="F197" s="106" t="s">
        <v>2024</v>
      </c>
      <c r="G197" s="8"/>
      <c r="H197" s="8"/>
      <c r="I197" s="107">
        <v>0</v>
      </c>
      <c r="J197" s="8" t="s">
        <v>2019</v>
      </c>
    </row>
    <row r="198" spans="1:10" ht="16.5" customHeight="1" x14ac:dyDescent="0.25">
      <c r="A198" s="8" t="s">
        <v>2707</v>
      </c>
      <c r="B198" s="8" t="s">
        <v>2708</v>
      </c>
      <c r="C198" s="8" t="s">
        <v>2659</v>
      </c>
      <c r="D198" s="8" t="s">
        <v>2709</v>
      </c>
      <c r="E198" s="105">
        <v>7.28</v>
      </c>
      <c r="F198" s="106" t="s">
        <v>2024</v>
      </c>
      <c r="G198" s="8"/>
      <c r="H198" s="8"/>
      <c r="I198" s="107">
        <v>0</v>
      </c>
      <c r="J198" s="8" t="s">
        <v>2019</v>
      </c>
    </row>
    <row r="199" spans="1:10" ht="16.5" customHeight="1" x14ac:dyDescent="0.25">
      <c r="A199" s="8" t="s">
        <v>2710</v>
      </c>
      <c r="B199" s="8" t="s">
        <v>2711</v>
      </c>
      <c r="C199" s="8" t="s">
        <v>2663</v>
      </c>
      <c r="D199" s="8" t="s">
        <v>2712</v>
      </c>
      <c r="E199" s="105">
        <v>10.92</v>
      </c>
      <c r="F199" s="106" t="s">
        <v>2024</v>
      </c>
      <c r="G199" s="8"/>
      <c r="H199" s="8"/>
      <c r="I199" s="107">
        <v>0</v>
      </c>
      <c r="J199" s="8" t="s">
        <v>2019</v>
      </c>
    </row>
    <row r="200" spans="1:10" ht="16.5" customHeight="1" x14ac:dyDescent="0.25">
      <c r="A200" s="8" t="s">
        <v>2713</v>
      </c>
      <c r="B200" s="8" t="s">
        <v>2714</v>
      </c>
      <c r="C200" s="8" t="s">
        <v>2663</v>
      </c>
      <c r="D200" s="8" t="s">
        <v>2715</v>
      </c>
      <c r="E200" s="105">
        <v>0.36399999999999999</v>
      </c>
      <c r="F200" s="106" t="s">
        <v>2024</v>
      </c>
      <c r="G200" s="8"/>
      <c r="H200" s="8"/>
      <c r="I200" s="107">
        <v>0</v>
      </c>
      <c r="J200" s="8" t="s">
        <v>2019</v>
      </c>
    </row>
    <row r="201" spans="1:10" ht="16.5" customHeight="1" x14ac:dyDescent="0.25">
      <c r="A201" s="8" t="s">
        <v>2716</v>
      </c>
      <c r="B201" s="8" t="s">
        <v>2717</v>
      </c>
      <c r="C201" s="8" t="s">
        <v>2670</v>
      </c>
      <c r="D201" s="8" t="s">
        <v>2718</v>
      </c>
      <c r="E201" s="105">
        <v>14.56</v>
      </c>
      <c r="F201" s="106" t="s">
        <v>2024</v>
      </c>
      <c r="G201" s="8"/>
      <c r="H201" s="8"/>
      <c r="I201" s="107">
        <v>0</v>
      </c>
      <c r="J201" s="8" t="s">
        <v>2019</v>
      </c>
    </row>
    <row r="202" spans="1:10" ht="16.5" customHeight="1" x14ac:dyDescent="0.25">
      <c r="A202" s="8" t="s">
        <v>2719</v>
      </c>
      <c r="B202" s="8" t="s">
        <v>2720</v>
      </c>
      <c r="C202" s="8" t="s">
        <v>2617</v>
      </c>
      <c r="D202" s="8" t="s">
        <v>2721</v>
      </c>
      <c r="E202" s="105">
        <v>10.92</v>
      </c>
      <c r="F202" s="106" t="s">
        <v>2024</v>
      </c>
      <c r="G202" s="8"/>
      <c r="H202" s="8"/>
      <c r="I202" s="107">
        <v>0</v>
      </c>
      <c r="J202" s="8" t="s">
        <v>2019</v>
      </c>
    </row>
    <row r="203" spans="1:10" ht="16.5" customHeight="1" x14ac:dyDescent="0.25">
      <c r="A203" s="8" t="s">
        <v>2722</v>
      </c>
      <c r="B203" s="8" t="s">
        <v>2723</v>
      </c>
      <c r="C203" s="8" t="s">
        <v>2617</v>
      </c>
      <c r="D203" s="8" t="s">
        <v>2724</v>
      </c>
      <c r="E203" s="105">
        <v>0.22800000000000001</v>
      </c>
      <c r="F203" s="106" t="s">
        <v>2024</v>
      </c>
      <c r="G203" s="8"/>
      <c r="H203" s="8"/>
      <c r="I203" s="107">
        <v>0</v>
      </c>
      <c r="J203" s="8" t="s">
        <v>2019</v>
      </c>
    </row>
    <row r="204" spans="1:10" ht="16.5" customHeight="1" x14ac:dyDescent="0.25">
      <c r="A204" s="8" t="s">
        <v>2725</v>
      </c>
      <c r="B204" s="8" t="s">
        <v>2726</v>
      </c>
      <c r="C204" s="8" t="s">
        <v>2624</v>
      </c>
      <c r="D204" s="8" t="s">
        <v>2727</v>
      </c>
      <c r="E204" s="105">
        <v>10.92</v>
      </c>
      <c r="F204" s="106" t="s">
        <v>2024</v>
      </c>
      <c r="G204" s="8"/>
      <c r="H204" s="8"/>
      <c r="I204" s="107">
        <v>0</v>
      </c>
      <c r="J204" s="8" t="s">
        <v>2019</v>
      </c>
    </row>
    <row r="205" spans="1:10" ht="16.5" customHeight="1" x14ac:dyDescent="0.25">
      <c r="A205" s="8" t="s">
        <v>2728</v>
      </c>
      <c r="B205" s="8" t="s">
        <v>2729</v>
      </c>
      <c r="C205" s="8" t="s">
        <v>2624</v>
      </c>
      <c r="D205" s="8" t="s">
        <v>2730</v>
      </c>
      <c r="E205" s="105">
        <v>0.91</v>
      </c>
      <c r="F205" s="106" t="s">
        <v>2024</v>
      </c>
      <c r="G205" s="8"/>
      <c r="H205" s="8"/>
      <c r="I205" s="107">
        <v>0</v>
      </c>
      <c r="J205" s="8" t="s">
        <v>2019</v>
      </c>
    </row>
    <row r="206" spans="1:10" ht="16.5" customHeight="1" x14ac:dyDescent="0.25">
      <c r="A206" s="8" t="s">
        <v>2731</v>
      </c>
      <c r="B206" s="8" t="s">
        <v>2732</v>
      </c>
      <c r="C206" s="8" t="s">
        <v>2631</v>
      </c>
      <c r="D206" s="8" t="s">
        <v>2733</v>
      </c>
      <c r="E206" s="105">
        <v>10.92</v>
      </c>
      <c r="F206" s="106" t="s">
        <v>2024</v>
      </c>
      <c r="G206" s="8"/>
      <c r="H206" s="8"/>
      <c r="I206" s="107">
        <v>0</v>
      </c>
      <c r="J206" s="8" t="s">
        <v>2019</v>
      </c>
    </row>
    <row r="207" spans="1:10" ht="16.5" customHeight="1" x14ac:dyDescent="0.25">
      <c r="A207" s="8" t="s">
        <v>2734</v>
      </c>
      <c r="B207" s="8" t="s">
        <v>2735</v>
      </c>
      <c r="C207" s="8" t="s">
        <v>2631</v>
      </c>
      <c r="D207" s="8" t="s">
        <v>2736</v>
      </c>
      <c r="E207" s="105">
        <v>1.82</v>
      </c>
      <c r="F207" s="106" t="s">
        <v>2024</v>
      </c>
      <c r="G207" s="8"/>
      <c r="H207" s="8"/>
      <c r="I207" s="107">
        <v>0</v>
      </c>
      <c r="J207" s="8" t="s">
        <v>2019</v>
      </c>
    </row>
    <row r="208" spans="1:10" ht="16.5" customHeight="1" x14ac:dyDescent="0.25">
      <c r="A208" s="8" t="s">
        <v>2737</v>
      </c>
      <c r="B208" s="8" t="s">
        <v>2738</v>
      </c>
      <c r="C208" s="8" t="s">
        <v>2638</v>
      </c>
      <c r="D208" s="8" t="s">
        <v>2739</v>
      </c>
      <c r="E208" s="105">
        <v>18.2</v>
      </c>
      <c r="F208" s="106" t="s">
        <v>2024</v>
      </c>
      <c r="G208" s="8"/>
      <c r="H208" s="8"/>
      <c r="I208" s="107">
        <v>0</v>
      </c>
      <c r="J208" s="8" t="s">
        <v>2019</v>
      </c>
    </row>
    <row r="209" spans="1:10" ht="16.5" customHeight="1" x14ac:dyDescent="0.25">
      <c r="A209" s="8" t="s">
        <v>2740</v>
      </c>
      <c r="B209" s="8" t="s">
        <v>2741</v>
      </c>
      <c r="C209" s="8" t="s">
        <v>2638</v>
      </c>
      <c r="D209" s="8" t="s">
        <v>2742</v>
      </c>
      <c r="E209" s="105">
        <v>4.55</v>
      </c>
      <c r="F209" s="106" t="s">
        <v>2024</v>
      </c>
      <c r="G209" s="8"/>
      <c r="H209" s="8"/>
      <c r="I209" s="107">
        <v>0</v>
      </c>
      <c r="J209" s="8" t="s">
        <v>2019</v>
      </c>
    </row>
    <row r="210" spans="1:10" ht="16.5" customHeight="1" x14ac:dyDescent="0.25">
      <c r="A210" s="8" t="s">
        <v>2743</v>
      </c>
      <c r="B210" s="8" t="s">
        <v>2744</v>
      </c>
      <c r="C210" s="8" t="s">
        <v>2659</v>
      </c>
      <c r="D210" s="8" t="s">
        <v>2745</v>
      </c>
      <c r="E210" s="105">
        <v>7.28</v>
      </c>
      <c r="F210" s="106" t="s">
        <v>2024</v>
      </c>
      <c r="G210" s="8"/>
      <c r="H210" s="8"/>
      <c r="I210" s="107">
        <v>0</v>
      </c>
      <c r="J210" s="8" t="s">
        <v>2019</v>
      </c>
    </row>
    <row r="211" spans="1:10" ht="16.5" customHeight="1" x14ac:dyDescent="0.25">
      <c r="A211" s="8" t="s">
        <v>2746</v>
      </c>
      <c r="B211" s="8" t="s">
        <v>2747</v>
      </c>
      <c r="C211" s="8" t="s">
        <v>2663</v>
      </c>
      <c r="D211" s="8" t="s">
        <v>2748</v>
      </c>
      <c r="E211" s="105">
        <v>10.92</v>
      </c>
      <c r="F211" s="106" t="s">
        <v>2024</v>
      </c>
      <c r="G211" s="8"/>
      <c r="H211" s="8"/>
      <c r="I211" s="107">
        <v>0</v>
      </c>
      <c r="J211" s="8" t="s">
        <v>2019</v>
      </c>
    </row>
    <row r="212" spans="1:10" ht="16.5" customHeight="1" x14ac:dyDescent="0.25">
      <c r="A212" s="8" t="s">
        <v>2749</v>
      </c>
      <c r="B212" s="8" t="s">
        <v>2750</v>
      </c>
      <c r="C212" s="8" t="s">
        <v>2663</v>
      </c>
      <c r="D212" s="8" t="s">
        <v>2751</v>
      </c>
      <c r="E212" s="105">
        <v>0.36399999999999999</v>
      </c>
      <c r="F212" s="106" t="s">
        <v>2024</v>
      </c>
      <c r="G212" s="8"/>
      <c r="H212" s="8"/>
      <c r="I212" s="107">
        <v>0</v>
      </c>
      <c r="J212" s="8" t="s">
        <v>2019</v>
      </c>
    </row>
    <row r="213" spans="1:10" ht="16.5" customHeight="1" x14ac:dyDescent="0.25">
      <c r="A213" s="8" t="s">
        <v>2752</v>
      </c>
      <c r="B213" s="8" t="s">
        <v>2753</v>
      </c>
      <c r="C213" s="8" t="s">
        <v>2670</v>
      </c>
      <c r="D213" s="8" t="s">
        <v>2754</v>
      </c>
      <c r="E213" s="105">
        <v>14.56</v>
      </c>
      <c r="F213" s="106" t="s">
        <v>2024</v>
      </c>
      <c r="G213" s="8"/>
      <c r="H213" s="8"/>
      <c r="I213" s="107">
        <v>0</v>
      </c>
      <c r="J213" s="8" t="s">
        <v>2019</v>
      </c>
    </row>
    <row r="214" spans="1:10" ht="16.5" customHeight="1" x14ac:dyDescent="0.25">
      <c r="A214" s="8" t="s">
        <v>2755</v>
      </c>
      <c r="B214" s="8" t="s">
        <v>2756</v>
      </c>
      <c r="C214" s="8" t="s">
        <v>2757</v>
      </c>
      <c r="D214" s="8" t="s">
        <v>2758</v>
      </c>
      <c r="E214" s="105">
        <v>6.8250000000000002</v>
      </c>
      <c r="F214" s="106" t="s">
        <v>2024</v>
      </c>
      <c r="G214" s="8"/>
      <c r="H214" s="8"/>
      <c r="I214" s="107">
        <v>0</v>
      </c>
      <c r="J214" s="8" t="s">
        <v>2019</v>
      </c>
    </row>
    <row r="215" spans="1:10" ht="16.5" customHeight="1" x14ac:dyDescent="0.25">
      <c r="A215" s="8" t="s">
        <v>2759</v>
      </c>
      <c r="B215" s="8" t="s">
        <v>2760</v>
      </c>
      <c r="C215" s="8" t="s">
        <v>2617</v>
      </c>
      <c r="D215" s="8" t="s">
        <v>2761</v>
      </c>
      <c r="E215" s="105">
        <v>0.22800000000000001</v>
      </c>
      <c r="F215" s="106" t="s">
        <v>2024</v>
      </c>
      <c r="G215" s="8"/>
      <c r="H215" s="8"/>
      <c r="I215" s="107">
        <v>0</v>
      </c>
      <c r="J215" s="8" t="s">
        <v>2019</v>
      </c>
    </row>
    <row r="216" spans="1:10" ht="16.5" customHeight="1" x14ac:dyDescent="0.25">
      <c r="A216" s="8" t="s">
        <v>2762</v>
      </c>
      <c r="B216" s="8" t="s">
        <v>2763</v>
      </c>
      <c r="C216" s="8" t="s">
        <v>2638</v>
      </c>
      <c r="D216" s="8" t="s">
        <v>2764</v>
      </c>
      <c r="E216" s="105">
        <v>4.55</v>
      </c>
      <c r="F216" s="106" t="s">
        <v>2024</v>
      </c>
      <c r="G216" s="8"/>
      <c r="H216" s="8"/>
      <c r="I216" s="107">
        <v>0</v>
      </c>
      <c r="J216" s="8" t="s">
        <v>2019</v>
      </c>
    </row>
    <row r="217" spans="1:10" ht="16.5" customHeight="1" x14ac:dyDescent="0.25">
      <c r="A217" s="8" t="s">
        <v>2765</v>
      </c>
      <c r="B217" s="8" t="s">
        <v>2766</v>
      </c>
      <c r="C217" s="8" t="s">
        <v>2767</v>
      </c>
      <c r="D217" s="8" t="s">
        <v>2768</v>
      </c>
      <c r="E217" s="105">
        <v>10.92</v>
      </c>
      <c r="F217" s="106" t="s">
        <v>2024</v>
      </c>
      <c r="G217" s="8"/>
      <c r="H217" s="8"/>
      <c r="I217" s="107">
        <v>0</v>
      </c>
      <c r="J217" s="8" t="s">
        <v>2019</v>
      </c>
    </row>
    <row r="218" spans="1:10" ht="16.5" customHeight="1" x14ac:dyDescent="0.25">
      <c r="A218" s="8" t="s">
        <v>2769</v>
      </c>
      <c r="B218" s="8" t="s">
        <v>2770</v>
      </c>
      <c r="C218" s="8" t="s">
        <v>2767</v>
      </c>
      <c r="D218" s="8" t="s">
        <v>2771</v>
      </c>
      <c r="E218" s="105">
        <v>0.22800000000000001</v>
      </c>
      <c r="F218" s="106" t="s">
        <v>2024</v>
      </c>
      <c r="G218" s="8"/>
      <c r="H218" s="8"/>
      <c r="I218" s="107">
        <v>0</v>
      </c>
      <c r="J218" s="8" t="s">
        <v>2019</v>
      </c>
    </row>
    <row r="219" spans="1:10" ht="16.5" customHeight="1" x14ac:dyDescent="0.25">
      <c r="A219" s="8" t="s">
        <v>2772</v>
      </c>
      <c r="B219" s="8" t="s">
        <v>2773</v>
      </c>
      <c r="C219" s="8" t="s">
        <v>990</v>
      </c>
      <c r="D219" s="8" t="s">
        <v>2774</v>
      </c>
      <c r="E219" s="105">
        <v>10.92</v>
      </c>
      <c r="F219" s="106" t="s">
        <v>2018</v>
      </c>
      <c r="G219" s="8"/>
      <c r="H219" s="8" t="s">
        <v>2775</v>
      </c>
      <c r="I219" s="107">
        <v>12</v>
      </c>
      <c r="J219" s="8" t="s">
        <v>2019</v>
      </c>
    </row>
    <row r="220" spans="1:10" ht="16.5" customHeight="1" x14ac:dyDescent="0.25">
      <c r="A220" s="8" t="s">
        <v>2775</v>
      </c>
      <c r="B220" s="8" t="s">
        <v>2776</v>
      </c>
      <c r="C220" s="8" t="s">
        <v>990</v>
      </c>
      <c r="D220" s="8" t="s">
        <v>2777</v>
      </c>
      <c r="E220" s="105">
        <v>0.91</v>
      </c>
      <c r="F220" s="106" t="s">
        <v>2018</v>
      </c>
      <c r="G220" s="8"/>
      <c r="H220" s="8"/>
      <c r="I220" s="107">
        <v>0</v>
      </c>
      <c r="J220" s="8" t="s">
        <v>2019</v>
      </c>
    </row>
    <row r="221" spans="1:10" ht="16.5" customHeight="1" x14ac:dyDescent="0.25">
      <c r="A221" s="8" t="s">
        <v>2778</v>
      </c>
      <c r="B221" s="8" t="s">
        <v>2779</v>
      </c>
      <c r="C221" s="8" t="s">
        <v>2780</v>
      </c>
      <c r="D221" s="8" t="s">
        <v>2781</v>
      </c>
      <c r="E221" s="105">
        <v>10.92</v>
      </c>
      <c r="F221" s="106" t="s">
        <v>2018</v>
      </c>
      <c r="G221" s="8"/>
      <c r="H221" s="8" t="s">
        <v>2782</v>
      </c>
      <c r="I221" s="107">
        <v>6</v>
      </c>
      <c r="J221" s="8" t="s">
        <v>2019</v>
      </c>
    </row>
    <row r="222" spans="1:10" ht="16.5" customHeight="1" x14ac:dyDescent="0.25">
      <c r="A222" s="8" t="s">
        <v>2782</v>
      </c>
      <c r="B222" s="8" t="s">
        <v>2783</v>
      </c>
      <c r="C222" s="8" t="s">
        <v>2780</v>
      </c>
      <c r="D222" s="8" t="s">
        <v>2784</v>
      </c>
      <c r="E222" s="105">
        <v>1.82</v>
      </c>
      <c r="F222" s="106" t="s">
        <v>2018</v>
      </c>
      <c r="G222" s="8"/>
      <c r="H222" s="8"/>
      <c r="I222" s="107">
        <v>0</v>
      </c>
      <c r="J222" s="8" t="s">
        <v>2019</v>
      </c>
    </row>
    <row r="223" spans="1:10" ht="16.5" customHeight="1" x14ac:dyDescent="0.25">
      <c r="A223" s="8" t="s">
        <v>2785</v>
      </c>
      <c r="B223" s="8" t="s">
        <v>2786</v>
      </c>
      <c r="C223" s="8" t="s">
        <v>2787</v>
      </c>
      <c r="D223" s="8" t="s">
        <v>2788</v>
      </c>
      <c r="E223" s="105">
        <v>18.2</v>
      </c>
      <c r="F223" s="106" t="s">
        <v>2018</v>
      </c>
      <c r="G223" s="8"/>
      <c r="H223" s="8" t="s">
        <v>2789</v>
      </c>
      <c r="I223" s="107">
        <v>4</v>
      </c>
      <c r="J223" s="8" t="s">
        <v>2019</v>
      </c>
    </row>
    <row r="224" spans="1:10" ht="16.5" customHeight="1" x14ac:dyDescent="0.25">
      <c r="A224" s="8" t="s">
        <v>2789</v>
      </c>
      <c r="B224" s="8" t="s">
        <v>2790</v>
      </c>
      <c r="C224" s="8" t="s">
        <v>2787</v>
      </c>
      <c r="D224" s="8" t="s">
        <v>2791</v>
      </c>
      <c r="E224" s="105">
        <v>4.55</v>
      </c>
      <c r="F224" s="106" t="s">
        <v>2018</v>
      </c>
      <c r="G224" s="8"/>
      <c r="H224" s="8"/>
      <c r="I224" s="107">
        <v>0</v>
      </c>
      <c r="J224" s="8" t="s">
        <v>2019</v>
      </c>
    </row>
    <row r="225" spans="1:10" ht="16.5" customHeight="1" x14ac:dyDescent="0.25">
      <c r="A225" s="8" t="s">
        <v>2792</v>
      </c>
      <c r="B225" s="8" t="s">
        <v>2793</v>
      </c>
      <c r="C225" s="8" t="s">
        <v>2794</v>
      </c>
      <c r="D225" s="8" t="s">
        <v>2795</v>
      </c>
      <c r="E225" s="105">
        <v>7.28</v>
      </c>
      <c r="F225" s="106" t="s">
        <v>2024</v>
      </c>
      <c r="G225" s="8"/>
      <c r="H225" s="8"/>
      <c r="I225" s="107">
        <v>0</v>
      </c>
      <c r="J225" s="8" t="s">
        <v>2019</v>
      </c>
    </row>
    <row r="226" spans="1:10" ht="16.5" customHeight="1" x14ac:dyDescent="0.25">
      <c r="A226" s="8" t="s">
        <v>2796</v>
      </c>
      <c r="B226" s="8" t="s">
        <v>2797</v>
      </c>
      <c r="C226" s="8" t="s">
        <v>2798</v>
      </c>
      <c r="D226" s="8" t="s">
        <v>2799</v>
      </c>
      <c r="E226" s="105">
        <v>10.92</v>
      </c>
      <c r="F226" s="106" t="s">
        <v>2024</v>
      </c>
      <c r="G226" s="8"/>
      <c r="H226" s="8"/>
      <c r="I226" s="107">
        <v>0</v>
      </c>
      <c r="J226" s="8" t="s">
        <v>2019</v>
      </c>
    </row>
    <row r="227" spans="1:10" ht="16.5" customHeight="1" x14ac:dyDescent="0.25">
      <c r="A227" s="8" t="s">
        <v>2800</v>
      </c>
      <c r="B227" s="8" t="s">
        <v>2801</v>
      </c>
      <c r="C227" s="8" t="s">
        <v>2802</v>
      </c>
      <c r="D227" s="8" t="s">
        <v>2801</v>
      </c>
      <c r="E227" s="105">
        <v>0.36399999999999999</v>
      </c>
      <c r="F227" s="106" t="s">
        <v>2024</v>
      </c>
      <c r="G227" s="8"/>
      <c r="H227" s="8"/>
      <c r="I227" s="107">
        <v>0</v>
      </c>
      <c r="J227" s="8" t="s">
        <v>2019</v>
      </c>
    </row>
    <row r="228" spans="1:10" ht="16.5" customHeight="1" x14ac:dyDescent="0.25">
      <c r="A228" s="8" t="s">
        <v>2803</v>
      </c>
      <c r="B228" s="8" t="s">
        <v>2804</v>
      </c>
      <c r="C228" s="8" t="s">
        <v>2805</v>
      </c>
      <c r="D228" s="8" t="s">
        <v>2806</v>
      </c>
      <c r="E228" s="105">
        <v>14.56</v>
      </c>
      <c r="F228" s="106" t="s">
        <v>2024</v>
      </c>
      <c r="G228" s="8"/>
      <c r="H228" s="8"/>
      <c r="I228" s="107">
        <v>0</v>
      </c>
      <c r="J228" s="8" t="s">
        <v>2019</v>
      </c>
    </row>
    <row r="229" spans="1:10" ht="16.5" customHeight="1" x14ac:dyDescent="0.25">
      <c r="A229" s="8" t="s">
        <v>2807</v>
      </c>
      <c r="B229" s="8" t="s">
        <v>2808</v>
      </c>
      <c r="C229" s="8" t="s">
        <v>2809</v>
      </c>
      <c r="D229" s="8" t="s">
        <v>2810</v>
      </c>
      <c r="E229" s="105">
        <v>10.92</v>
      </c>
      <c r="F229" s="106" t="s">
        <v>2024</v>
      </c>
      <c r="G229" s="8"/>
      <c r="H229" s="8"/>
      <c r="I229" s="107">
        <v>0</v>
      </c>
      <c r="J229" s="8" t="s">
        <v>2019</v>
      </c>
    </row>
    <row r="230" spans="1:10" ht="16.5" customHeight="1" x14ac:dyDescent="0.25">
      <c r="A230" s="8" t="s">
        <v>2811</v>
      </c>
      <c r="B230" s="8" t="s">
        <v>2812</v>
      </c>
      <c r="C230" s="8" t="s">
        <v>2813</v>
      </c>
      <c r="D230" s="8" t="s">
        <v>2814</v>
      </c>
      <c r="E230" s="105">
        <v>18</v>
      </c>
      <c r="F230" s="106" t="s">
        <v>2018</v>
      </c>
      <c r="G230" s="8"/>
      <c r="H230" s="8"/>
      <c r="I230" s="107">
        <v>0</v>
      </c>
      <c r="J230" s="8" t="s">
        <v>2019</v>
      </c>
    </row>
    <row r="231" spans="1:10" ht="16.5" customHeight="1" x14ac:dyDescent="0.25">
      <c r="A231" s="8" t="s">
        <v>2815</v>
      </c>
      <c r="B231" s="8" t="s">
        <v>2816</v>
      </c>
      <c r="C231" s="8" t="s">
        <v>2817</v>
      </c>
      <c r="D231" s="8" t="s">
        <v>2818</v>
      </c>
      <c r="E231" s="105">
        <v>25</v>
      </c>
      <c r="F231" s="106" t="s">
        <v>2018</v>
      </c>
      <c r="G231" s="8"/>
      <c r="H231" s="8"/>
      <c r="I231" s="107">
        <v>0</v>
      </c>
      <c r="J231" s="8" t="s">
        <v>2019</v>
      </c>
    </row>
    <row r="232" spans="1:10" ht="16.5" customHeight="1" x14ac:dyDescent="0.25">
      <c r="A232" s="8" t="s">
        <v>2819</v>
      </c>
      <c r="B232" s="8" t="s">
        <v>2820</v>
      </c>
      <c r="C232" s="8" t="s">
        <v>2821</v>
      </c>
      <c r="D232" s="8" t="s">
        <v>2822</v>
      </c>
      <c r="E232" s="105">
        <v>18</v>
      </c>
      <c r="F232" s="106" t="s">
        <v>2024</v>
      </c>
      <c r="G232" s="8"/>
      <c r="H232" s="8"/>
      <c r="I232" s="107">
        <v>0</v>
      </c>
      <c r="J232" s="8" t="s">
        <v>2019</v>
      </c>
    </row>
    <row r="233" spans="1:10" ht="16.5" customHeight="1" x14ac:dyDescent="0.25">
      <c r="A233" s="8" t="s">
        <v>2823</v>
      </c>
      <c r="B233" s="8" t="s">
        <v>2824</v>
      </c>
      <c r="C233" s="8" t="s">
        <v>2767</v>
      </c>
      <c r="D233" s="8" t="s">
        <v>2825</v>
      </c>
      <c r="E233" s="105">
        <v>10.92</v>
      </c>
      <c r="F233" s="106" t="s">
        <v>2024</v>
      </c>
      <c r="G233" s="8"/>
      <c r="H233" s="8"/>
      <c r="I233" s="107">
        <v>0</v>
      </c>
      <c r="J233" s="8" t="s">
        <v>2019</v>
      </c>
    </row>
    <row r="234" spans="1:10" ht="16.5" customHeight="1" x14ac:dyDescent="0.25">
      <c r="A234" s="8" t="s">
        <v>2826</v>
      </c>
      <c r="B234" s="8" t="s">
        <v>2827</v>
      </c>
      <c r="C234" s="8" t="s">
        <v>2767</v>
      </c>
      <c r="D234" s="8" t="s">
        <v>2828</v>
      </c>
      <c r="E234" s="105">
        <v>0.22800000000000001</v>
      </c>
      <c r="F234" s="106" t="s">
        <v>2024</v>
      </c>
      <c r="G234" s="8"/>
      <c r="H234" s="8"/>
      <c r="I234" s="107">
        <v>0</v>
      </c>
      <c r="J234" s="8" t="s">
        <v>2019</v>
      </c>
    </row>
    <row r="235" spans="1:10" ht="16.5" customHeight="1" x14ac:dyDescent="0.25">
      <c r="A235" s="8" t="s">
        <v>2829</v>
      </c>
      <c r="B235" s="8" t="s">
        <v>2830</v>
      </c>
      <c r="C235" s="8" t="s">
        <v>990</v>
      </c>
      <c r="D235" s="8" t="s">
        <v>2831</v>
      </c>
      <c r="E235" s="105">
        <v>10.92</v>
      </c>
      <c r="F235" s="106" t="s">
        <v>2018</v>
      </c>
      <c r="G235" s="8"/>
      <c r="H235" s="8" t="s">
        <v>2832</v>
      </c>
      <c r="I235" s="107">
        <v>12</v>
      </c>
      <c r="J235" s="8" t="s">
        <v>2019</v>
      </c>
    </row>
    <row r="236" spans="1:10" ht="16.5" customHeight="1" x14ac:dyDescent="0.25">
      <c r="A236" s="8" t="s">
        <v>2832</v>
      </c>
      <c r="B236" s="8" t="s">
        <v>2833</v>
      </c>
      <c r="C236" s="8" t="s">
        <v>990</v>
      </c>
      <c r="D236" s="8" t="s">
        <v>2834</v>
      </c>
      <c r="E236" s="105">
        <v>0.91</v>
      </c>
      <c r="F236" s="106" t="s">
        <v>2018</v>
      </c>
      <c r="G236" s="8"/>
      <c r="H236" s="8"/>
      <c r="I236" s="107">
        <v>0</v>
      </c>
      <c r="J236" s="8" t="s">
        <v>2019</v>
      </c>
    </row>
    <row r="237" spans="1:10" ht="16.5" customHeight="1" x14ac:dyDescent="0.25">
      <c r="A237" s="8" t="s">
        <v>2835</v>
      </c>
      <c r="B237" s="8" t="s">
        <v>2836</v>
      </c>
      <c r="C237" s="8" t="s">
        <v>2780</v>
      </c>
      <c r="D237" s="8" t="s">
        <v>2837</v>
      </c>
      <c r="E237" s="105">
        <v>10.92</v>
      </c>
      <c r="F237" s="106" t="s">
        <v>2018</v>
      </c>
      <c r="G237" s="8"/>
      <c r="H237" s="8" t="s">
        <v>2838</v>
      </c>
      <c r="I237" s="107">
        <v>6</v>
      </c>
      <c r="J237" s="8" t="s">
        <v>2019</v>
      </c>
    </row>
    <row r="238" spans="1:10" ht="16.5" customHeight="1" x14ac:dyDescent="0.25">
      <c r="A238" s="8" t="s">
        <v>2838</v>
      </c>
      <c r="B238" s="8" t="s">
        <v>2839</v>
      </c>
      <c r="C238" s="8" t="s">
        <v>2780</v>
      </c>
      <c r="D238" s="8" t="s">
        <v>2840</v>
      </c>
      <c r="E238" s="105">
        <v>1.82</v>
      </c>
      <c r="F238" s="106" t="s">
        <v>2018</v>
      </c>
      <c r="G238" s="8"/>
      <c r="H238" s="8"/>
      <c r="I238" s="107">
        <v>0</v>
      </c>
      <c r="J238" s="8" t="s">
        <v>2019</v>
      </c>
    </row>
    <row r="239" spans="1:10" ht="16.5" customHeight="1" x14ac:dyDescent="0.25">
      <c r="A239" s="8" t="s">
        <v>2841</v>
      </c>
      <c r="B239" s="8" t="s">
        <v>2842</v>
      </c>
      <c r="C239" s="8" t="s">
        <v>2787</v>
      </c>
      <c r="D239" s="8" t="s">
        <v>2843</v>
      </c>
      <c r="E239" s="105">
        <v>18.2</v>
      </c>
      <c r="F239" s="106" t="s">
        <v>2018</v>
      </c>
      <c r="G239" s="8"/>
      <c r="H239" s="8" t="s">
        <v>2844</v>
      </c>
      <c r="I239" s="107">
        <v>4</v>
      </c>
      <c r="J239" s="8" t="s">
        <v>2019</v>
      </c>
    </row>
    <row r="240" spans="1:10" ht="16.5" customHeight="1" x14ac:dyDescent="0.25">
      <c r="A240" s="8" t="s">
        <v>2844</v>
      </c>
      <c r="B240" s="8" t="s">
        <v>2845</v>
      </c>
      <c r="C240" s="8" t="s">
        <v>2787</v>
      </c>
      <c r="D240" s="8" t="s">
        <v>2846</v>
      </c>
      <c r="E240" s="105">
        <v>4.55</v>
      </c>
      <c r="F240" s="106" t="s">
        <v>2018</v>
      </c>
      <c r="G240" s="8"/>
      <c r="H240" s="8"/>
      <c r="I240" s="107">
        <v>0</v>
      </c>
      <c r="J240" s="8" t="s">
        <v>2019</v>
      </c>
    </row>
    <row r="241" spans="1:10" ht="16.5" customHeight="1" x14ac:dyDescent="0.25">
      <c r="A241" s="8" t="s">
        <v>2847</v>
      </c>
      <c r="B241" s="8" t="s">
        <v>2848</v>
      </c>
      <c r="C241" s="8" t="s">
        <v>2802</v>
      </c>
      <c r="D241" s="8" t="s">
        <v>2849</v>
      </c>
      <c r="E241" s="105">
        <v>7.28</v>
      </c>
      <c r="F241" s="106" t="s">
        <v>2024</v>
      </c>
      <c r="G241" s="8"/>
      <c r="H241" s="8"/>
      <c r="I241" s="107">
        <v>0</v>
      </c>
      <c r="J241" s="8" t="s">
        <v>2019</v>
      </c>
    </row>
    <row r="242" spans="1:10" ht="16.5" customHeight="1" x14ac:dyDescent="0.25">
      <c r="A242" s="8" t="s">
        <v>2850</v>
      </c>
      <c r="B242" s="8" t="s">
        <v>2851</v>
      </c>
      <c r="C242" s="8" t="s">
        <v>2798</v>
      </c>
      <c r="D242" s="8" t="s">
        <v>2852</v>
      </c>
      <c r="E242" s="105">
        <v>10.92</v>
      </c>
      <c r="F242" s="106" t="s">
        <v>2024</v>
      </c>
      <c r="G242" s="8"/>
      <c r="H242" s="8"/>
      <c r="I242" s="107">
        <v>0</v>
      </c>
      <c r="J242" s="8" t="s">
        <v>2019</v>
      </c>
    </row>
    <row r="243" spans="1:10" ht="16.5" customHeight="1" x14ac:dyDescent="0.25">
      <c r="A243" s="8" t="s">
        <v>2853</v>
      </c>
      <c r="B243" s="8" t="s">
        <v>2854</v>
      </c>
      <c r="C243" s="8" t="s">
        <v>2802</v>
      </c>
      <c r="D243" s="8" t="s">
        <v>2855</v>
      </c>
      <c r="E243" s="105">
        <v>0.36399999999999999</v>
      </c>
      <c r="F243" s="106" t="s">
        <v>2024</v>
      </c>
      <c r="G243" s="8"/>
      <c r="H243" s="8"/>
      <c r="I243" s="107">
        <v>0</v>
      </c>
      <c r="J243" s="8" t="s">
        <v>2019</v>
      </c>
    </row>
    <row r="244" spans="1:10" ht="16.5" customHeight="1" x14ac:dyDescent="0.25">
      <c r="A244" s="8" t="s">
        <v>2856</v>
      </c>
      <c r="B244" s="8" t="s">
        <v>2857</v>
      </c>
      <c r="C244" s="8" t="s">
        <v>2805</v>
      </c>
      <c r="D244" s="8" t="s">
        <v>2858</v>
      </c>
      <c r="E244" s="105">
        <v>14.56</v>
      </c>
      <c r="F244" s="106" t="s">
        <v>2024</v>
      </c>
      <c r="G244" s="8"/>
      <c r="H244" s="8"/>
      <c r="I244" s="107">
        <v>0</v>
      </c>
      <c r="J244" s="8" t="s">
        <v>2019</v>
      </c>
    </row>
    <row r="245" spans="1:10" ht="16.5" customHeight="1" x14ac:dyDescent="0.25">
      <c r="A245" s="8" t="s">
        <v>2859</v>
      </c>
      <c r="B245" s="8" t="s">
        <v>2860</v>
      </c>
      <c r="C245" s="8" t="s">
        <v>2861</v>
      </c>
      <c r="D245" s="8" t="s">
        <v>2862</v>
      </c>
      <c r="E245" s="105">
        <v>18</v>
      </c>
      <c r="F245" s="106" t="s">
        <v>2018</v>
      </c>
      <c r="G245" s="8"/>
      <c r="H245" s="8"/>
      <c r="I245" s="107">
        <v>0</v>
      </c>
      <c r="J245" s="8" t="s">
        <v>2019</v>
      </c>
    </row>
    <row r="246" spans="1:10" ht="16.5" customHeight="1" x14ac:dyDescent="0.25">
      <c r="A246" s="8" t="s">
        <v>2863</v>
      </c>
      <c r="B246" s="8" t="s">
        <v>2864</v>
      </c>
      <c r="C246" s="8" t="s">
        <v>2821</v>
      </c>
      <c r="D246" s="8" t="s">
        <v>2865</v>
      </c>
      <c r="E246" s="105">
        <v>18</v>
      </c>
      <c r="F246" s="106" t="s">
        <v>2024</v>
      </c>
      <c r="G246" s="8"/>
      <c r="H246" s="8"/>
      <c r="I246" s="107">
        <v>0</v>
      </c>
      <c r="J246" s="8" t="s">
        <v>2019</v>
      </c>
    </row>
    <row r="247" spans="1:10" ht="16.5" customHeight="1" x14ac:dyDescent="0.25">
      <c r="A247" s="8" t="s">
        <v>2866</v>
      </c>
      <c r="B247" s="8" t="s">
        <v>2867</v>
      </c>
      <c r="C247" s="8" t="s">
        <v>2767</v>
      </c>
      <c r="D247" s="8" t="s">
        <v>2868</v>
      </c>
      <c r="E247" s="105">
        <v>10.92</v>
      </c>
      <c r="F247" s="106" t="s">
        <v>2024</v>
      </c>
      <c r="G247" s="8"/>
      <c r="H247" s="8"/>
      <c r="I247" s="107">
        <v>0</v>
      </c>
      <c r="J247" s="8" t="s">
        <v>2019</v>
      </c>
    </row>
    <row r="248" spans="1:10" ht="16.5" customHeight="1" x14ac:dyDescent="0.25">
      <c r="A248" s="8" t="s">
        <v>2869</v>
      </c>
      <c r="B248" s="8" t="s">
        <v>2870</v>
      </c>
      <c r="C248" s="8" t="s">
        <v>2767</v>
      </c>
      <c r="D248" s="8" t="s">
        <v>2871</v>
      </c>
      <c r="E248" s="105">
        <v>0.22800000000000001</v>
      </c>
      <c r="F248" s="106" t="s">
        <v>2024</v>
      </c>
      <c r="G248" s="8"/>
      <c r="H248" s="8"/>
      <c r="I248" s="107">
        <v>0</v>
      </c>
      <c r="J248" s="8" t="s">
        <v>2019</v>
      </c>
    </row>
    <row r="249" spans="1:10" ht="16.5" customHeight="1" x14ac:dyDescent="0.25">
      <c r="A249" s="8" t="s">
        <v>2872</v>
      </c>
      <c r="B249" s="8" t="s">
        <v>2873</v>
      </c>
      <c r="C249" s="8" t="s">
        <v>990</v>
      </c>
      <c r="D249" s="8" t="s">
        <v>2874</v>
      </c>
      <c r="E249" s="105">
        <v>10.92</v>
      </c>
      <c r="F249" s="106" t="s">
        <v>2018</v>
      </c>
      <c r="G249" s="8"/>
      <c r="H249" s="8" t="s">
        <v>2875</v>
      </c>
      <c r="I249" s="107">
        <v>12</v>
      </c>
      <c r="J249" s="8" t="s">
        <v>2019</v>
      </c>
    </row>
    <row r="250" spans="1:10" ht="16.5" customHeight="1" x14ac:dyDescent="0.25">
      <c r="A250" s="8" t="s">
        <v>2875</v>
      </c>
      <c r="B250" s="8" t="s">
        <v>2876</v>
      </c>
      <c r="C250" s="8" t="s">
        <v>990</v>
      </c>
      <c r="D250" s="8" t="s">
        <v>2877</v>
      </c>
      <c r="E250" s="105">
        <v>0.91</v>
      </c>
      <c r="F250" s="106" t="s">
        <v>2018</v>
      </c>
      <c r="G250" s="8"/>
      <c r="H250" s="8"/>
      <c r="I250" s="107">
        <v>0</v>
      </c>
      <c r="J250" s="8" t="s">
        <v>2019</v>
      </c>
    </row>
    <row r="251" spans="1:10" ht="16.5" customHeight="1" x14ac:dyDescent="0.25">
      <c r="A251" s="8" t="s">
        <v>2878</v>
      </c>
      <c r="B251" s="8" t="s">
        <v>2879</v>
      </c>
      <c r="C251" s="8" t="s">
        <v>2780</v>
      </c>
      <c r="D251" s="8" t="s">
        <v>2880</v>
      </c>
      <c r="E251" s="105">
        <v>10.92</v>
      </c>
      <c r="F251" s="106" t="s">
        <v>2018</v>
      </c>
      <c r="G251" s="8"/>
      <c r="H251" s="8" t="s">
        <v>2881</v>
      </c>
      <c r="I251" s="107">
        <v>6</v>
      </c>
      <c r="J251" s="8" t="s">
        <v>2019</v>
      </c>
    </row>
    <row r="252" spans="1:10" ht="16.5" customHeight="1" x14ac:dyDescent="0.25">
      <c r="A252" s="8" t="s">
        <v>2881</v>
      </c>
      <c r="B252" s="8" t="s">
        <v>2882</v>
      </c>
      <c r="C252" s="8" t="s">
        <v>2780</v>
      </c>
      <c r="D252" s="8" t="s">
        <v>2883</v>
      </c>
      <c r="E252" s="105">
        <v>1.82</v>
      </c>
      <c r="F252" s="106" t="s">
        <v>2018</v>
      </c>
      <c r="G252" s="8"/>
      <c r="H252" s="8"/>
      <c r="I252" s="107">
        <v>0</v>
      </c>
      <c r="J252" s="8" t="s">
        <v>2019</v>
      </c>
    </row>
    <row r="253" spans="1:10" ht="16.5" customHeight="1" x14ac:dyDescent="0.25">
      <c r="A253" s="8" t="s">
        <v>2884</v>
      </c>
      <c r="B253" s="8" t="s">
        <v>2885</v>
      </c>
      <c r="C253" s="8" t="s">
        <v>2787</v>
      </c>
      <c r="D253" s="8" t="s">
        <v>2886</v>
      </c>
      <c r="E253" s="105">
        <v>18.2</v>
      </c>
      <c r="F253" s="106" t="s">
        <v>2018</v>
      </c>
      <c r="G253" s="8"/>
      <c r="H253" s="8" t="s">
        <v>2887</v>
      </c>
      <c r="I253" s="107">
        <v>4</v>
      </c>
      <c r="J253" s="8" t="s">
        <v>2019</v>
      </c>
    </row>
    <row r="254" spans="1:10" ht="16.5" customHeight="1" x14ac:dyDescent="0.25">
      <c r="A254" s="8" t="s">
        <v>2887</v>
      </c>
      <c r="B254" s="8" t="s">
        <v>2888</v>
      </c>
      <c r="C254" s="8" t="s">
        <v>2787</v>
      </c>
      <c r="D254" s="8" t="s">
        <v>2889</v>
      </c>
      <c r="E254" s="105">
        <v>4.55</v>
      </c>
      <c r="F254" s="106" t="s">
        <v>2018</v>
      </c>
      <c r="G254" s="8"/>
      <c r="H254" s="8"/>
      <c r="I254" s="107">
        <v>0</v>
      </c>
      <c r="J254" s="8" t="s">
        <v>2019</v>
      </c>
    </row>
    <row r="255" spans="1:10" ht="16.5" customHeight="1" x14ac:dyDescent="0.25">
      <c r="A255" s="8" t="s">
        <v>2890</v>
      </c>
      <c r="B255" s="8" t="s">
        <v>2891</v>
      </c>
      <c r="C255" s="8" t="s">
        <v>2802</v>
      </c>
      <c r="D255" s="8" t="s">
        <v>2892</v>
      </c>
      <c r="E255" s="105">
        <v>7.28</v>
      </c>
      <c r="F255" s="106" t="s">
        <v>2024</v>
      </c>
      <c r="G255" s="8"/>
      <c r="H255" s="8"/>
      <c r="I255" s="107">
        <v>0</v>
      </c>
      <c r="J255" s="8" t="s">
        <v>2019</v>
      </c>
    </row>
    <row r="256" spans="1:10" ht="16.5" customHeight="1" x14ac:dyDescent="0.25">
      <c r="A256" s="8" t="s">
        <v>2893</v>
      </c>
      <c r="B256" s="8" t="s">
        <v>2894</v>
      </c>
      <c r="C256" s="8" t="s">
        <v>2798</v>
      </c>
      <c r="D256" s="8" t="s">
        <v>2895</v>
      </c>
      <c r="E256" s="105">
        <v>10.92</v>
      </c>
      <c r="F256" s="106" t="s">
        <v>2024</v>
      </c>
      <c r="G256" s="8"/>
      <c r="H256" s="8"/>
      <c r="I256" s="107">
        <v>0</v>
      </c>
      <c r="J256" s="8" t="s">
        <v>2019</v>
      </c>
    </row>
    <row r="257" spans="1:10" ht="16.5" customHeight="1" x14ac:dyDescent="0.25">
      <c r="A257" s="8" t="s">
        <v>2896</v>
      </c>
      <c r="B257" s="8" t="s">
        <v>2897</v>
      </c>
      <c r="C257" s="8" t="s">
        <v>2802</v>
      </c>
      <c r="D257" s="8" t="s">
        <v>2898</v>
      </c>
      <c r="E257" s="105">
        <v>0.36399999999999999</v>
      </c>
      <c r="F257" s="106" t="s">
        <v>2024</v>
      </c>
      <c r="G257" s="8"/>
      <c r="H257" s="8"/>
      <c r="I257" s="107">
        <v>0</v>
      </c>
      <c r="J257" s="8" t="s">
        <v>2019</v>
      </c>
    </row>
    <row r="258" spans="1:10" ht="16.5" customHeight="1" x14ac:dyDescent="0.25">
      <c r="A258" s="8" t="s">
        <v>2899</v>
      </c>
      <c r="B258" s="8" t="s">
        <v>2900</v>
      </c>
      <c r="C258" s="8" t="s">
        <v>2805</v>
      </c>
      <c r="D258" s="8" t="s">
        <v>2901</v>
      </c>
      <c r="E258" s="105">
        <v>14.56</v>
      </c>
      <c r="F258" s="106" t="s">
        <v>2024</v>
      </c>
      <c r="G258" s="8"/>
      <c r="H258" s="8"/>
      <c r="I258" s="107">
        <v>0</v>
      </c>
      <c r="J258" s="8" t="s">
        <v>2019</v>
      </c>
    </row>
    <row r="259" spans="1:10" ht="16.5" customHeight="1" x14ac:dyDescent="0.25">
      <c r="A259" s="8" t="s">
        <v>2902</v>
      </c>
      <c r="B259" s="8" t="s">
        <v>2903</v>
      </c>
      <c r="C259" s="8" t="s">
        <v>2861</v>
      </c>
      <c r="D259" s="8" t="s">
        <v>2904</v>
      </c>
      <c r="E259" s="105">
        <v>18</v>
      </c>
      <c r="F259" s="106" t="s">
        <v>2024</v>
      </c>
      <c r="G259" s="8"/>
      <c r="H259" s="8"/>
      <c r="I259" s="107">
        <v>0</v>
      </c>
      <c r="J259" s="8" t="s">
        <v>2019</v>
      </c>
    </row>
    <row r="260" spans="1:10" ht="16.5" customHeight="1" x14ac:dyDescent="0.25">
      <c r="A260" s="8" t="s">
        <v>2905</v>
      </c>
      <c r="B260" s="8" t="s">
        <v>2906</v>
      </c>
      <c r="C260" s="8" t="s">
        <v>2907</v>
      </c>
      <c r="D260" s="8" t="s">
        <v>2908</v>
      </c>
      <c r="E260" s="105">
        <v>18</v>
      </c>
      <c r="F260" s="106" t="s">
        <v>2024</v>
      </c>
      <c r="G260" s="8"/>
      <c r="H260" s="8"/>
      <c r="I260" s="107">
        <v>0</v>
      </c>
      <c r="J260" s="8" t="s">
        <v>2019</v>
      </c>
    </row>
    <row r="261" spans="1:10" ht="16.5" customHeight="1" x14ac:dyDescent="0.25">
      <c r="A261" s="8" t="s">
        <v>2909</v>
      </c>
      <c r="B261" s="8" t="s">
        <v>2910</v>
      </c>
      <c r="C261" s="8" t="s">
        <v>2821</v>
      </c>
      <c r="D261" s="8" t="s">
        <v>2911</v>
      </c>
      <c r="E261" s="105">
        <v>18</v>
      </c>
      <c r="F261" s="106" t="s">
        <v>2024</v>
      </c>
      <c r="G261" s="8"/>
      <c r="H261" s="8"/>
      <c r="I261" s="107">
        <v>0</v>
      </c>
      <c r="J261" s="8" t="s">
        <v>2019</v>
      </c>
    </row>
    <row r="262" spans="1:10" ht="16.5" customHeight="1" x14ac:dyDescent="0.25">
      <c r="A262" s="8" t="s">
        <v>2912</v>
      </c>
      <c r="B262" s="8" t="s">
        <v>2913</v>
      </c>
      <c r="C262" s="8" t="s">
        <v>2914</v>
      </c>
      <c r="D262" s="8" t="s">
        <v>2915</v>
      </c>
      <c r="E262" s="105">
        <v>0.91</v>
      </c>
      <c r="F262" s="106" t="s">
        <v>2024</v>
      </c>
      <c r="G262" s="8"/>
      <c r="H262" s="8"/>
      <c r="I262" s="107">
        <v>0</v>
      </c>
      <c r="J262" s="8" t="s">
        <v>2019</v>
      </c>
    </row>
    <row r="263" spans="1:10" ht="16.5" customHeight="1" x14ac:dyDescent="0.25">
      <c r="A263" s="8" t="s">
        <v>2916</v>
      </c>
      <c r="B263" s="8" t="s">
        <v>2917</v>
      </c>
      <c r="C263" s="8" t="s">
        <v>2918</v>
      </c>
      <c r="D263" s="8" t="s">
        <v>2919</v>
      </c>
      <c r="E263" s="105">
        <v>4.55</v>
      </c>
      <c r="F263" s="106" t="s">
        <v>2024</v>
      </c>
      <c r="G263" s="8"/>
      <c r="H263" s="8"/>
      <c r="I263" s="107">
        <v>0</v>
      </c>
      <c r="J263" s="8" t="s">
        <v>2019</v>
      </c>
    </row>
    <row r="264" spans="1:10" ht="16.5" customHeight="1" x14ac:dyDescent="0.25">
      <c r="A264" s="8" t="s">
        <v>2920</v>
      </c>
      <c r="B264" s="8" t="s">
        <v>2921</v>
      </c>
      <c r="C264" s="8" t="s">
        <v>2922</v>
      </c>
      <c r="D264" s="8" t="s">
        <v>2923</v>
      </c>
      <c r="E264" s="105">
        <v>15</v>
      </c>
      <c r="F264" s="106" t="s">
        <v>2024</v>
      </c>
      <c r="G264" s="8"/>
      <c r="H264" s="8"/>
      <c r="I264" s="107">
        <v>0</v>
      </c>
      <c r="J264" s="8" t="s">
        <v>2019</v>
      </c>
    </row>
    <row r="265" spans="1:10" ht="16.5" customHeight="1" x14ac:dyDescent="0.25">
      <c r="A265" s="8" t="s">
        <v>2924</v>
      </c>
      <c r="B265" s="8" t="s">
        <v>2925</v>
      </c>
      <c r="C265" s="8" t="s">
        <v>2926</v>
      </c>
      <c r="D265" s="8" t="s">
        <v>2927</v>
      </c>
      <c r="E265" s="105">
        <v>18</v>
      </c>
      <c r="F265" s="106" t="s">
        <v>2024</v>
      </c>
      <c r="G265" s="8"/>
      <c r="H265" s="8"/>
      <c r="I265" s="107">
        <v>0</v>
      </c>
      <c r="J265" s="8" t="s">
        <v>2019</v>
      </c>
    </row>
    <row r="266" spans="1:10" ht="16.5" customHeight="1" x14ac:dyDescent="0.25">
      <c r="A266" s="8" t="s">
        <v>2928</v>
      </c>
      <c r="B266" s="8" t="s">
        <v>2929</v>
      </c>
      <c r="C266" s="8" t="s">
        <v>2930</v>
      </c>
      <c r="D266" s="8" t="s">
        <v>2931</v>
      </c>
      <c r="E266" s="105">
        <v>18</v>
      </c>
      <c r="F266" s="106" t="s">
        <v>2024</v>
      </c>
      <c r="G266" s="8"/>
      <c r="H266" s="8"/>
      <c r="I266" s="107">
        <v>0</v>
      </c>
      <c r="J266" s="8" t="s">
        <v>2019</v>
      </c>
    </row>
    <row r="267" spans="1:10" ht="16.5" customHeight="1" x14ac:dyDescent="0.25">
      <c r="A267" s="8" t="s">
        <v>2932</v>
      </c>
      <c r="B267" s="8" t="s">
        <v>2933</v>
      </c>
      <c r="C267" s="8" t="s">
        <v>2934</v>
      </c>
      <c r="D267" s="8" t="s">
        <v>2935</v>
      </c>
      <c r="E267" s="105">
        <v>18</v>
      </c>
      <c r="F267" s="106" t="s">
        <v>2024</v>
      </c>
      <c r="G267" s="8"/>
      <c r="H267" s="8"/>
      <c r="I267" s="107">
        <v>0</v>
      </c>
      <c r="J267" s="8" t="s">
        <v>2019</v>
      </c>
    </row>
    <row r="268" spans="1:10" ht="16.5" customHeight="1" x14ac:dyDescent="0.25">
      <c r="A268" s="8" t="s">
        <v>2936</v>
      </c>
      <c r="B268" s="8" t="s">
        <v>2937</v>
      </c>
      <c r="C268" s="8" t="s">
        <v>2938</v>
      </c>
      <c r="D268" s="8" t="s">
        <v>2939</v>
      </c>
      <c r="E268" s="105">
        <v>18</v>
      </c>
      <c r="F268" s="106" t="s">
        <v>2024</v>
      </c>
      <c r="G268" s="8"/>
      <c r="H268" s="8"/>
      <c r="I268" s="107">
        <v>0</v>
      </c>
      <c r="J268" s="8" t="s">
        <v>2019</v>
      </c>
    </row>
    <row r="269" spans="1:10" ht="16.5" customHeight="1" x14ac:dyDescent="0.25">
      <c r="A269" s="8" t="s">
        <v>2940</v>
      </c>
      <c r="B269" s="8" t="s">
        <v>2941</v>
      </c>
      <c r="C269" s="8" t="s">
        <v>2942</v>
      </c>
      <c r="D269" s="8" t="s">
        <v>2943</v>
      </c>
      <c r="E269" s="105">
        <v>25</v>
      </c>
      <c r="F269" s="106" t="s">
        <v>2024</v>
      </c>
      <c r="G269" s="8"/>
      <c r="H269" s="8"/>
      <c r="I269" s="107">
        <v>0</v>
      </c>
      <c r="J269" s="8" t="s">
        <v>2019</v>
      </c>
    </row>
    <row r="270" spans="1:10" ht="16.5" customHeight="1" x14ac:dyDescent="0.25">
      <c r="A270" s="8" t="s">
        <v>2944</v>
      </c>
      <c r="B270" s="8" t="s">
        <v>2945</v>
      </c>
      <c r="C270" s="8" t="s">
        <v>2946</v>
      </c>
      <c r="D270" s="8" t="s">
        <v>2947</v>
      </c>
      <c r="E270" s="105">
        <v>18</v>
      </c>
      <c r="F270" s="106" t="s">
        <v>2024</v>
      </c>
      <c r="G270" s="8"/>
      <c r="H270" s="8"/>
      <c r="I270" s="107">
        <v>0</v>
      </c>
      <c r="J270" s="8" t="s">
        <v>2019</v>
      </c>
    </row>
    <row r="271" spans="1:10" ht="16.5" customHeight="1" x14ac:dyDescent="0.25">
      <c r="A271" s="8" t="s">
        <v>2948</v>
      </c>
      <c r="B271" s="8" t="s">
        <v>2949</v>
      </c>
      <c r="C271" s="8" t="s">
        <v>2861</v>
      </c>
      <c r="D271" s="8" t="s">
        <v>2950</v>
      </c>
      <c r="E271" s="105">
        <v>18</v>
      </c>
      <c r="F271" s="106" t="s">
        <v>2024</v>
      </c>
      <c r="G271" s="8"/>
      <c r="H271" s="8"/>
      <c r="I271" s="107">
        <v>0</v>
      </c>
      <c r="J271" s="8" t="s">
        <v>2019</v>
      </c>
    </row>
    <row r="272" spans="1:10" ht="16.5" customHeight="1" x14ac:dyDescent="0.25">
      <c r="A272" s="8" t="s">
        <v>2951</v>
      </c>
      <c r="B272" s="8" t="s">
        <v>2952</v>
      </c>
      <c r="C272" s="8" t="s">
        <v>2821</v>
      </c>
      <c r="D272" s="8" t="s">
        <v>2953</v>
      </c>
      <c r="E272" s="105">
        <v>18</v>
      </c>
      <c r="F272" s="106" t="s">
        <v>2024</v>
      </c>
      <c r="G272" s="8"/>
      <c r="H272" s="8"/>
      <c r="I272" s="107">
        <v>0</v>
      </c>
      <c r="J272" s="8" t="s">
        <v>2019</v>
      </c>
    </row>
    <row r="273" spans="1:10" ht="16.5" customHeight="1" x14ac:dyDescent="0.25">
      <c r="A273" s="8" t="s">
        <v>2954</v>
      </c>
      <c r="B273" s="8" t="s">
        <v>2955</v>
      </c>
      <c r="C273" s="8" t="s">
        <v>2956</v>
      </c>
      <c r="D273" s="8" t="s">
        <v>2957</v>
      </c>
      <c r="E273" s="105">
        <v>0.22800000000000001</v>
      </c>
      <c r="F273" s="106" t="s">
        <v>2024</v>
      </c>
      <c r="G273" s="8"/>
      <c r="H273" s="8"/>
      <c r="I273" s="107">
        <v>0</v>
      </c>
      <c r="J273" s="8" t="s">
        <v>2019</v>
      </c>
    </row>
    <row r="274" spans="1:10" ht="16.5" customHeight="1" x14ac:dyDescent="0.25">
      <c r="A274" s="8" t="s">
        <v>2958</v>
      </c>
      <c r="B274" s="8" t="s">
        <v>2959</v>
      </c>
      <c r="C274" s="8" t="s">
        <v>2960</v>
      </c>
      <c r="D274" s="8" t="s">
        <v>2961</v>
      </c>
      <c r="E274" s="105">
        <v>6.8250000000000002</v>
      </c>
      <c r="F274" s="106" t="s">
        <v>2024</v>
      </c>
      <c r="G274" s="8"/>
      <c r="H274" s="8"/>
      <c r="I274" s="107">
        <v>0</v>
      </c>
      <c r="J274" s="8" t="s">
        <v>2019</v>
      </c>
    </row>
    <row r="275" spans="1:10" ht="16.5" customHeight="1" x14ac:dyDescent="0.25">
      <c r="A275" s="8" t="s">
        <v>2962</v>
      </c>
      <c r="B275" s="8" t="s">
        <v>2963</v>
      </c>
      <c r="C275" s="8" t="s">
        <v>2538</v>
      </c>
      <c r="D275" s="8" t="s">
        <v>2964</v>
      </c>
      <c r="E275" s="105">
        <v>10.92</v>
      </c>
      <c r="F275" s="106" t="s">
        <v>2024</v>
      </c>
      <c r="G275" s="8"/>
      <c r="H275" s="8"/>
      <c r="I275" s="107">
        <v>0</v>
      </c>
      <c r="J275" s="8" t="s">
        <v>2019</v>
      </c>
    </row>
    <row r="276" spans="1:10" ht="16.5" customHeight="1" x14ac:dyDescent="0.25">
      <c r="A276" s="8" t="s">
        <v>2965</v>
      </c>
      <c r="B276" s="8" t="s">
        <v>2966</v>
      </c>
      <c r="C276" s="8" t="s">
        <v>2967</v>
      </c>
      <c r="D276" s="8" t="s">
        <v>2968</v>
      </c>
      <c r="E276" s="105">
        <v>0.91</v>
      </c>
      <c r="F276" s="106" t="s">
        <v>2024</v>
      </c>
      <c r="G276" s="8"/>
      <c r="H276" s="8"/>
      <c r="I276" s="107">
        <v>0</v>
      </c>
      <c r="J276" s="8" t="s">
        <v>2019</v>
      </c>
    </row>
    <row r="277" spans="1:10" ht="16.5" customHeight="1" x14ac:dyDescent="0.25">
      <c r="A277" s="8" t="s">
        <v>2969</v>
      </c>
      <c r="B277" s="8" t="s">
        <v>2970</v>
      </c>
      <c r="C277" s="8" t="s">
        <v>2971</v>
      </c>
      <c r="D277" s="8" t="s">
        <v>2972</v>
      </c>
      <c r="E277" s="105">
        <v>10.92</v>
      </c>
      <c r="F277" s="106" t="s">
        <v>2024</v>
      </c>
      <c r="G277" s="8"/>
      <c r="H277" s="8"/>
      <c r="I277" s="107">
        <v>0</v>
      </c>
      <c r="J277" s="8" t="s">
        <v>2019</v>
      </c>
    </row>
    <row r="278" spans="1:10" ht="16.5" customHeight="1" x14ac:dyDescent="0.25">
      <c r="A278" s="8" t="s">
        <v>2973</v>
      </c>
      <c r="B278" s="8" t="s">
        <v>2974</v>
      </c>
      <c r="C278" s="8" t="s">
        <v>2975</v>
      </c>
      <c r="D278" s="8" t="s">
        <v>2976</v>
      </c>
      <c r="E278" s="105">
        <v>10.92</v>
      </c>
      <c r="F278" s="106" t="s">
        <v>2024</v>
      </c>
      <c r="G278" s="8"/>
      <c r="H278" s="8"/>
      <c r="I278" s="107">
        <v>0</v>
      </c>
      <c r="J278" s="8" t="s">
        <v>2019</v>
      </c>
    </row>
    <row r="279" spans="1:10" ht="16.5" customHeight="1" x14ac:dyDescent="0.25">
      <c r="A279" s="8" t="s">
        <v>2977</v>
      </c>
      <c r="B279" s="8" t="s">
        <v>2978</v>
      </c>
      <c r="C279" s="8" t="s">
        <v>2979</v>
      </c>
      <c r="D279" s="8" t="s">
        <v>2980</v>
      </c>
      <c r="E279" s="105">
        <v>1.82</v>
      </c>
      <c r="F279" s="106" t="s">
        <v>2024</v>
      </c>
      <c r="G279" s="8"/>
      <c r="H279" s="8"/>
      <c r="I279" s="107">
        <v>0</v>
      </c>
      <c r="J279" s="8" t="s">
        <v>2019</v>
      </c>
    </row>
    <row r="280" spans="1:10" ht="16.5" customHeight="1" x14ac:dyDescent="0.25">
      <c r="A280" s="8" t="s">
        <v>2981</v>
      </c>
      <c r="B280" s="8" t="s">
        <v>2982</v>
      </c>
      <c r="C280" s="8" t="s">
        <v>2552</v>
      </c>
      <c r="D280" s="8" t="s">
        <v>2983</v>
      </c>
      <c r="E280" s="105">
        <v>18.2</v>
      </c>
      <c r="F280" s="106" t="s">
        <v>2024</v>
      </c>
      <c r="G280" s="8"/>
      <c r="H280" s="8"/>
      <c r="I280" s="107">
        <v>0</v>
      </c>
      <c r="J280" s="8" t="s">
        <v>2019</v>
      </c>
    </row>
    <row r="281" spans="1:10" ht="16.5" customHeight="1" x14ac:dyDescent="0.25">
      <c r="A281" s="8" t="s">
        <v>2984</v>
      </c>
      <c r="B281" s="8" t="s">
        <v>2985</v>
      </c>
      <c r="C281" s="8" t="s">
        <v>2986</v>
      </c>
      <c r="D281" s="8" t="s">
        <v>2987</v>
      </c>
      <c r="E281" s="105">
        <v>4.55</v>
      </c>
      <c r="F281" s="106" t="s">
        <v>2024</v>
      </c>
      <c r="G281" s="8"/>
      <c r="H281" s="8"/>
      <c r="I281" s="107">
        <v>0</v>
      </c>
      <c r="J281" s="8" t="s">
        <v>2019</v>
      </c>
    </row>
    <row r="282" spans="1:10" ht="16.5" customHeight="1" x14ac:dyDescent="0.25">
      <c r="A282" s="8" t="s">
        <v>2988</v>
      </c>
      <c r="B282" s="8" t="s">
        <v>2989</v>
      </c>
      <c r="C282" s="8" t="s">
        <v>2990</v>
      </c>
      <c r="D282" s="8" t="s">
        <v>2991</v>
      </c>
      <c r="E282" s="105">
        <v>7.28</v>
      </c>
      <c r="F282" s="106" t="s">
        <v>2024</v>
      </c>
      <c r="G282" s="8"/>
      <c r="H282" s="8"/>
      <c r="I282" s="107">
        <v>0</v>
      </c>
      <c r="J282" s="8" t="s">
        <v>2019</v>
      </c>
    </row>
    <row r="283" spans="1:10" ht="16.5" customHeight="1" x14ac:dyDescent="0.25">
      <c r="A283" s="8" t="s">
        <v>2992</v>
      </c>
      <c r="B283" s="8" t="s">
        <v>2993</v>
      </c>
      <c r="C283" s="8" t="s">
        <v>2994</v>
      </c>
      <c r="D283" s="8" t="s">
        <v>2995</v>
      </c>
      <c r="E283" s="105">
        <v>10.92</v>
      </c>
      <c r="F283" s="106" t="s">
        <v>2024</v>
      </c>
      <c r="G283" s="8"/>
      <c r="H283" s="8"/>
      <c r="I283" s="107">
        <v>0</v>
      </c>
      <c r="J283" s="8" t="s">
        <v>2019</v>
      </c>
    </row>
    <row r="284" spans="1:10" ht="16.5" customHeight="1" x14ac:dyDescent="0.25">
      <c r="A284" s="8" t="s">
        <v>2996</v>
      </c>
      <c r="B284" s="8" t="s">
        <v>2997</v>
      </c>
      <c r="C284" s="8" t="s">
        <v>2998</v>
      </c>
      <c r="D284" s="8" t="s">
        <v>2999</v>
      </c>
      <c r="E284" s="105">
        <v>0.36399999999999999</v>
      </c>
      <c r="F284" s="106" t="s">
        <v>2024</v>
      </c>
      <c r="G284" s="8"/>
      <c r="H284" s="8"/>
      <c r="I284" s="107">
        <v>0</v>
      </c>
      <c r="J284" s="8" t="s">
        <v>2019</v>
      </c>
    </row>
    <row r="285" spans="1:10" ht="16.5" customHeight="1" x14ac:dyDescent="0.25">
      <c r="A285" s="8" t="s">
        <v>3000</v>
      </c>
      <c r="B285" s="8" t="s">
        <v>3001</v>
      </c>
      <c r="C285" s="8" t="s">
        <v>3002</v>
      </c>
      <c r="D285" s="8" t="s">
        <v>3003</v>
      </c>
      <c r="E285" s="105">
        <v>14.56</v>
      </c>
      <c r="F285" s="106" t="s">
        <v>2024</v>
      </c>
      <c r="G285" s="8"/>
      <c r="H285" s="8"/>
      <c r="I285" s="107">
        <v>0</v>
      </c>
      <c r="J285" s="8" t="s">
        <v>2019</v>
      </c>
    </row>
    <row r="286" spans="1:10" ht="16.5" customHeight="1" x14ac:dyDescent="0.25">
      <c r="A286" s="8" t="s">
        <v>3004</v>
      </c>
      <c r="B286" s="8" t="s">
        <v>3005</v>
      </c>
      <c r="C286" s="8" t="s">
        <v>3006</v>
      </c>
      <c r="D286" s="8" t="s">
        <v>3007</v>
      </c>
      <c r="E286" s="105">
        <v>7.28</v>
      </c>
      <c r="F286" s="106" t="s">
        <v>2024</v>
      </c>
      <c r="G286" s="8"/>
      <c r="H286" s="8"/>
      <c r="I286" s="107">
        <v>0</v>
      </c>
      <c r="J286" s="8" t="s">
        <v>2019</v>
      </c>
    </row>
    <row r="287" spans="1:10" ht="16.5" customHeight="1" x14ac:dyDescent="0.25">
      <c r="A287" s="8" t="s">
        <v>3008</v>
      </c>
      <c r="B287" s="8" t="s">
        <v>3009</v>
      </c>
      <c r="C287" s="8" t="s">
        <v>3010</v>
      </c>
      <c r="D287" s="8" t="s">
        <v>3011</v>
      </c>
      <c r="E287" s="105">
        <v>14.56</v>
      </c>
      <c r="F287" s="106" t="s">
        <v>2024</v>
      </c>
      <c r="G287" s="8"/>
      <c r="H287" s="8"/>
      <c r="I287" s="107">
        <v>0</v>
      </c>
      <c r="J287" s="8" t="s">
        <v>2019</v>
      </c>
    </row>
    <row r="288" spans="1:10" ht="16.5" customHeight="1" x14ac:dyDescent="0.25">
      <c r="A288" s="8" t="s">
        <v>3012</v>
      </c>
      <c r="B288" s="8" t="s">
        <v>3013</v>
      </c>
      <c r="C288" s="8" t="s">
        <v>3014</v>
      </c>
      <c r="D288" s="8" t="s">
        <v>3015</v>
      </c>
      <c r="E288" s="105">
        <v>14.56</v>
      </c>
      <c r="F288" s="106" t="s">
        <v>2024</v>
      </c>
      <c r="G288" s="8"/>
      <c r="H288" s="8"/>
      <c r="I288" s="107">
        <v>0</v>
      </c>
      <c r="J288" s="8" t="s">
        <v>2019</v>
      </c>
    </row>
    <row r="289" spans="1:10" ht="16.5" customHeight="1" x14ac:dyDescent="0.25">
      <c r="A289" s="8" t="s">
        <v>3016</v>
      </c>
      <c r="B289" s="8" t="s">
        <v>3017</v>
      </c>
      <c r="C289" s="8" t="s">
        <v>3014</v>
      </c>
      <c r="D289" s="8" t="s">
        <v>3018</v>
      </c>
      <c r="E289" s="105">
        <v>7.28</v>
      </c>
      <c r="F289" s="106" t="s">
        <v>2024</v>
      </c>
      <c r="G289" s="8"/>
      <c r="H289" s="8"/>
      <c r="I289" s="107">
        <v>0</v>
      </c>
      <c r="J289" s="8" t="s">
        <v>2019</v>
      </c>
    </row>
    <row r="290" spans="1:10" ht="16.5" customHeight="1" x14ac:dyDescent="0.25">
      <c r="A290" s="8" t="s">
        <v>3019</v>
      </c>
      <c r="B290" s="8" t="s">
        <v>3020</v>
      </c>
      <c r="C290" s="8" t="s">
        <v>3021</v>
      </c>
      <c r="D290" s="8" t="s">
        <v>3022</v>
      </c>
      <c r="E290" s="105">
        <v>9.8279999999999994</v>
      </c>
      <c r="F290" s="106" t="s">
        <v>2024</v>
      </c>
      <c r="G290" s="8"/>
      <c r="H290" s="8"/>
      <c r="I290" s="107">
        <v>0</v>
      </c>
      <c r="J290" s="8" t="s">
        <v>2019</v>
      </c>
    </row>
    <row r="291" spans="1:10" ht="16.5" customHeight="1" x14ac:dyDescent="0.25">
      <c r="A291" s="8" t="s">
        <v>3023</v>
      </c>
      <c r="B291" s="8" t="s">
        <v>3024</v>
      </c>
      <c r="C291" s="8" t="s">
        <v>3021</v>
      </c>
      <c r="D291" s="8" t="s">
        <v>3025</v>
      </c>
      <c r="E291" s="105">
        <v>1.6379999999999999</v>
      </c>
      <c r="F291" s="106" t="s">
        <v>2024</v>
      </c>
      <c r="G291" s="8"/>
      <c r="H291" s="8"/>
      <c r="I291" s="107">
        <v>0</v>
      </c>
      <c r="J291" s="8" t="s">
        <v>2019</v>
      </c>
    </row>
    <row r="292" spans="1:10" ht="16.5" customHeight="1" x14ac:dyDescent="0.25">
      <c r="A292" s="8" t="s">
        <v>3026</v>
      </c>
      <c r="B292" s="8" t="s">
        <v>3027</v>
      </c>
      <c r="C292" s="8" t="s">
        <v>3028</v>
      </c>
      <c r="D292" s="8" t="s">
        <v>3029</v>
      </c>
      <c r="E292" s="105">
        <v>2.73</v>
      </c>
      <c r="F292" s="106" t="s">
        <v>2018</v>
      </c>
      <c r="G292" s="8"/>
      <c r="H292" s="8" t="s">
        <v>3030</v>
      </c>
      <c r="I292" s="107">
        <v>12</v>
      </c>
      <c r="J292" s="8" t="s">
        <v>2019</v>
      </c>
    </row>
    <row r="293" spans="1:10" ht="16.5" customHeight="1" x14ac:dyDescent="0.25">
      <c r="A293" s="8" t="s">
        <v>3030</v>
      </c>
      <c r="B293" s="8" t="s">
        <v>3031</v>
      </c>
      <c r="C293" s="8" t="s">
        <v>3028</v>
      </c>
      <c r="D293" s="8" t="s">
        <v>3032</v>
      </c>
      <c r="E293" s="105">
        <v>0.22800000000000001</v>
      </c>
      <c r="F293" s="106" t="s">
        <v>2018</v>
      </c>
      <c r="G293" s="8"/>
      <c r="H293" s="8"/>
      <c r="I293" s="107">
        <v>0</v>
      </c>
      <c r="J293" s="8" t="s">
        <v>2019</v>
      </c>
    </row>
    <row r="294" spans="1:10" ht="16.5" customHeight="1" x14ac:dyDescent="0.25">
      <c r="A294" s="8" t="s">
        <v>3033</v>
      </c>
      <c r="B294" s="8" t="s">
        <v>3034</v>
      </c>
      <c r="C294" s="8" t="s">
        <v>993</v>
      </c>
      <c r="D294" s="8" t="s">
        <v>3035</v>
      </c>
      <c r="E294" s="105">
        <v>0.22700000000000001</v>
      </c>
      <c r="F294" s="106" t="s">
        <v>2018</v>
      </c>
      <c r="G294" s="8"/>
      <c r="H294" s="8"/>
      <c r="I294" s="107">
        <v>0</v>
      </c>
      <c r="J294" s="8" t="s">
        <v>2019</v>
      </c>
    </row>
    <row r="295" spans="1:10" ht="16.5" customHeight="1" x14ac:dyDescent="0.25">
      <c r="A295" s="8" t="s">
        <v>992</v>
      </c>
      <c r="B295" s="8" t="s">
        <v>994</v>
      </c>
      <c r="C295" s="8" t="s">
        <v>993</v>
      </c>
      <c r="D295" s="8" t="s">
        <v>3036</v>
      </c>
      <c r="E295" s="105">
        <v>2.73</v>
      </c>
      <c r="F295" s="106" t="s">
        <v>2018</v>
      </c>
      <c r="G295" s="8"/>
      <c r="H295" s="8" t="s">
        <v>3033</v>
      </c>
      <c r="I295" s="107">
        <v>12</v>
      </c>
      <c r="J295" s="8" t="s">
        <v>2019</v>
      </c>
    </row>
    <row r="296" spans="1:10" ht="16.5" customHeight="1" x14ac:dyDescent="0.25">
      <c r="A296" s="8" t="s">
        <v>3037</v>
      </c>
      <c r="B296" s="8" t="s">
        <v>3038</v>
      </c>
      <c r="C296" s="8" t="s">
        <v>3039</v>
      </c>
      <c r="D296" s="8" t="s">
        <v>3040</v>
      </c>
      <c r="E296" s="105">
        <v>6.8250000000000002</v>
      </c>
      <c r="F296" s="106" t="s">
        <v>2024</v>
      </c>
      <c r="G296" s="8"/>
      <c r="H296" s="8"/>
      <c r="I296" s="107">
        <v>0</v>
      </c>
      <c r="J296" s="8" t="s">
        <v>2019</v>
      </c>
    </row>
    <row r="297" spans="1:10" ht="16.5" customHeight="1" x14ac:dyDescent="0.25">
      <c r="A297" s="8" t="s">
        <v>3041</v>
      </c>
      <c r="B297" s="8" t="s">
        <v>3042</v>
      </c>
      <c r="C297" s="8" t="s">
        <v>2757</v>
      </c>
      <c r="D297" s="8" t="s">
        <v>3043</v>
      </c>
      <c r="E297" s="105">
        <v>0.22800000000000001</v>
      </c>
      <c r="F297" s="106" t="s">
        <v>2024</v>
      </c>
      <c r="G297" s="8"/>
      <c r="H297" s="8"/>
      <c r="I297" s="107">
        <v>0</v>
      </c>
      <c r="J297" s="8" t="s">
        <v>2019</v>
      </c>
    </row>
    <row r="298" spans="1:10" ht="16.5" customHeight="1" x14ac:dyDescent="0.25">
      <c r="A298" s="8" t="s">
        <v>3044</v>
      </c>
      <c r="B298" s="8" t="s">
        <v>3045</v>
      </c>
      <c r="C298" s="8" t="s">
        <v>3046</v>
      </c>
      <c r="D298" s="8" t="s">
        <v>3047</v>
      </c>
      <c r="E298" s="105">
        <v>10.92</v>
      </c>
      <c r="F298" s="106" t="s">
        <v>2024</v>
      </c>
      <c r="G298" s="8"/>
      <c r="H298" s="8"/>
      <c r="I298" s="107">
        <v>0</v>
      </c>
      <c r="J298" s="8" t="s">
        <v>2019</v>
      </c>
    </row>
    <row r="299" spans="1:10" ht="16.5" customHeight="1" x14ac:dyDescent="0.25">
      <c r="A299" s="8" t="s">
        <v>3048</v>
      </c>
      <c r="B299" s="8" t="s">
        <v>3049</v>
      </c>
      <c r="C299" s="8" t="s">
        <v>2624</v>
      </c>
      <c r="D299" s="8" t="s">
        <v>3050</v>
      </c>
      <c r="E299" s="105">
        <v>0.91</v>
      </c>
      <c r="F299" s="106" t="s">
        <v>2024</v>
      </c>
      <c r="G299" s="8"/>
      <c r="H299" s="8"/>
      <c r="I299" s="107">
        <v>0</v>
      </c>
      <c r="J299" s="8" t="s">
        <v>2019</v>
      </c>
    </row>
    <row r="300" spans="1:10" ht="16.5" customHeight="1" x14ac:dyDescent="0.25">
      <c r="A300" s="8" t="s">
        <v>3051</v>
      </c>
      <c r="B300" s="8" t="s">
        <v>3052</v>
      </c>
      <c r="C300" s="8" t="s">
        <v>3053</v>
      </c>
      <c r="D300" s="8" t="s">
        <v>3054</v>
      </c>
      <c r="E300" s="105">
        <v>10.92</v>
      </c>
      <c r="F300" s="106" t="s">
        <v>2024</v>
      </c>
      <c r="G300" s="8"/>
      <c r="H300" s="8"/>
      <c r="I300" s="107">
        <v>0</v>
      </c>
      <c r="J300" s="8" t="s">
        <v>2019</v>
      </c>
    </row>
    <row r="301" spans="1:10" ht="16.5" customHeight="1" x14ac:dyDescent="0.25">
      <c r="A301" s="8" t="s">
        <v>3055</v>
      </c>
      <c r="B301" s="8" t="s">
        <v>3056</v>
      </c>
      <c r="C301" s="8" t="s">
        <v>2631</v>
      </c>
      <c r="D301" s="8" t="s">
        <v>3057</v>
      </c>
      <c r="E301" s="105">
        <v>1.82</v>
      </c>
      <c r="F301" s="106" t="s">
        <v>2024</v>
      </c>
      <c r="G301" s="8"/>
      <c r="H301" s="8"/>
      <c r="I301" s="107">
        <v>0</v>
      </c>
      <c r="J301" s="8" t="s">
        <v>2019</v>
      </c>
    </row>
    <row r="302" spans="1:10" ht="16.5" customHeight="1" x14ac:dyDescent="0.25">
      <c r="A302" s="8" t="s">
        <v>3058</v>
      </c>
      <c r="B302" s="8" t="s">
        <v>3059</v>
      </c>
      <c r="C302" s="8" t="s">
        <v>2638</v>
      </c>
      <c r="D302" s="8" t="s">
        <v>3060</v>
      </c>
      <c r="E302" s="105">
        <v>18.2</v>
      </c>
      <c r="F302" s="106" t="s">
        <v>2024</v>
      </c>
      <c r="G302" s="8"/>
      <c r="H302" s="8"/>
      <c r="I302" s="107">
        <v>0</v>
      </c>
      <c r="J302" s="8" t="s">
        <v>2019</v>
      </c>
    </row>
    <row r="303" spans="1:10" ht="16.5" customHeight="1" x14ac:dyDescent="0.25">
      <c r="A303" s="8" t="s">
        <v>3061</v>
      </c>
      <c r="B303" s="8" t="s">
        <v>3062</v>
      </c>
      <c r="C303" s="8" t="s">
        <v>2638</v>
      </c>
      <c r="D303" s="8" t="s">
        <v>3063</v>
      </c>
      <c r="E303" s="105">
        <v>4.55</v>
      </c>
      <c r="F303" s="106" t="s">
        <v>2024</v>
      </c>
      <c r="G303" s="8"/>
      <c r="H303" s="8"/>
      <c r="I303" s="107">
        <v>0</v>
      </c>
      <c r="J303" s="8" t="s">
        <v>2019</v>
      </c>
    </row>
    <row r="304" spans="1:10" ht="16.5" customHeight="1" x14ac:dyDescent="0.25">
      <c r="A304" s="8" t="s">
        <v>3064</v>
      </c>
      <c r="B304" s="8" t="s">
        <v>3065</v>
      </c>
      <c r="C304" s="8" t="s">
        <v>3066</v>
      </c>
      <c r="D304" s="8" t="s">
        <v>3067</v>
      </c>
      <c r="E304" s="105">
        <v>7.28</v>
      </c>
      <c r="F304" s="106" t="s">
        <v>2024</v>
      </c>
      <c r="G304" s="8"/>
      <c r="H304" s="8"/>
      <c r="I304" s="107">
        <v>0</v>
      </c>
      <c r="J304" s="8" t="s">
        <v>2019</v>
      </c>
    </row>
    <row r="305" spans="1:10" ht="16.5" customHeight="1" x14ac:dyDescent="0.25">
      <c r="A305" s="8" t="s">
        <v>3068</v>
      </c>
      <c r="B305" s="8" t="s">
        <v>3069</v>
      </c>
      <c r="C305" s="8" t="s">
        <v>2659</v>
      </c>
      <c r="D305" s="8" t="s">
        <v>3070</v>
      </c>
      <c r="E305" s="105">
        <v>0.36399999999999999</v>
      </c>
      <c r="F305" s="106" t="s">
        <v>2024</v>
      </c>
      <c r="G305" s="8"/>
      <c r="H305" s="8"/>
      <c r="I305" s="107">
        <v>0</v>
      </c>
      <c r="J305" s="8" t="s">
        <v>2019</v>
      </c>
    </row>
    <row r="306" spans="1:10" ht="16.5" customHeight="1" x14ac:dyDescent="0.25">
      <c r="A306" s="8" t="s">
        <v>3071</v>
      </c>
      <c r="B306" s="8" t="s">
        <v>3072</v>
      </c>
      <c r="C306" s="8" t="s">
        <v>2757</v>
      </c>
      <c r="D306" s="8" t="s">
        <v>3073</v>
      </c>
      <c r="E306" s="105">
        <v>10.92</v>
      </c>
      <c r="F306" s="106" t="s">
        <v>2024</v>
      </c>
      <c r="G306" s="8"/>
      <c r="H306" s="8"/>
      <c r="I306" s="107">
        <v>0</v>
      </c>
      <c r="J306" s="8" t="s">
        <v>2019</v>
      </c>
    </row>
    <row r="307" spans="1:10" ht="16.5" customHeight="1" x14ac:dyDescent="0.25">
      <c r="A307" s="8" t="s">
        <v>3074</v>
      </c>
      <c r="B307" s="8" t="s">
        <v>3075</v>
      </c>
      <c r="C307" s="8" t="s">
        <v>3076</v>
      </c>
      <c r="D307" s="8" t="s">
        <v>3077</v>
      </c>
      <c r="E307" s="105">
        <v>6.8250000000000002</v>
      </c>
      <c r="F307" s="106" t="s">
        <v>2024</v>
      </c>
      <c r="G307" s="8"/>
      <c r="H307" s="8"/>
      <c r="I307" s="107">
        <v>0</v>
      </c>
      <c r="J307" s="8" t="s">
        <v>2019</v>
      </c>
    </row>
    <row r="308" spans="1:10" ht="16.5" customHeight="1" x14ac:dyDescent="0.25">
      <c r="A308" s="8" t="s">
        <v>3078</v>
      </c>
      <c r="B308" s="8" t="s">
        <v>3079</v>
      </c>
      <c r="C308" s="8" t="s">
        <v>2757</v>
      </c>
      <c r="D308" s="8" t="s">
        <v>3080</v>
      </c>
      <c r="E308" s="105">
        <v>0.22800000000000001</v>
      </c>
      <c r="F308" s="106" t="s">
        <v>2024</v>
      </c>
      <c r="G308" s="8"/>
      <c r="H308" s="8"/>
      <c r="I308" s="107">
        <v>0</v>
      </c>
      <c r="J308" s="8" t="s">
        <v>2019</v>
      </c>
    </row>
    <row r="309" spans="1:10" ht="16.5" customHeight="1" x14ac:dyDescent="0.25">
      <c r="A309" s="8" t="s">
        <v>3081</v>
      </c>
      <c r="B309" s="8" t="s">
        <v>3082</v>
      </c>
      <c r="C309" s="8" t="s">
        <v>3083</v>
      </c>
      <c r="D309" s="8" t="s">
        <v>3084</v>
      </c>
      <c r="E309" s="105">
        <v>10.92</v>
      </c>
      <c r="F309" s="106" t="s">
        <v>2024</v>
      </c>
      <c r="G309" s="8"/>
      <c r="H309" s="8"/>
      <c r="I309" s="107">
        <v>0</v>
      </c>
      <c r="J309" s="8" t="s">
        <v>2019</v>
      </c>
    </row>
    <row r="310" spans="1:10" ht="16.5" customHeight="1" x14ac:dyDescent="0.25">
      <c r="A310" s="8" t="s">
        <v>3085</v>
      </c>
      <c r="B310" s="8" t="s">
        <v>3086</v>
      </c>
      <c r="C310" s="8" t="s">
        <v>2624</v>
      </c>
      <c r="D310" s="8" t="s">
        <v>3087</v>
      </c>
      <c r="E310" s="105">
        <v>0.91</v>
      </c>
      <c r="F310" s="106" t="s">
        <v>2024</v>
      </c>
      <c r="G310" s="8"/>
      <c r="H310" s="8"/>
      <c r="I310" s="107">
        <v>0</v>
      </c>
      <c r="J310" s="8" t="s">
        <v>2019</v>
      </c>
    </row>
    <row r="311" spans="1:10" ht="16.5" customHeight="1" x14ac:dyDescent="0.25">
      <c r="A311" s="8" t="s">
        <v>3088</v>
      </c>
      <c r="B311" s="8" t="s">
        <v>3089</v>
      </c>
      <c r="C311" s="8" t="s">
        <v>3053</v>
      </c>
      <c r="D311" s="8" t="s">
        <v>3090</v>
      </c>
      <c r="E311" s="105">
        <v>10.92</v>
      </c>
      <c r="F311" s="106" t="s">
        <v>2024</v>
      </c>
      <c r="G311" s="8"/>
      <c r="H311" s="8"/>
      <c r="I311" s="107">
        <v>0</v>
      </c>
      <c r="J311" s="8" t="s">
        <v>2019</v>
      </c>
    </row>
    <row r="312" spans="1:10" ht="16.5" customHeight="1" x14ac:dyDescent="0.25">
      <c r="A312" s="8" t="s">
        <v>3091</v>
      </c>
      <c r="B312" s="8" t="s">
        <v>3092</v>
      </c>
      <c r="C312" s="8" t="s">
        <v>2631</v>
      </c>
      <c r="D312" s="8" t="s">
        <v>3093</v>
      </c>
      <c r="E312" s="105">
        <v>1.82</v>
      </c>
      <c r="F312" s="106" t="s">
        <v>2024</v>
      </c>
      <c r="G312" s="8"/>
      <c r="H312" s="8"/>
      <c r="I312" s="107">
        <v>0</v>
      </c>
      <c r="J312" s="8" t="s">
        <v>2019</v>
      </c>
    </row>
    <row r="313" spans="1:10" ht="16.5" customHeight="1" x14ac:dyDescent="0.25">
      <c r="A313" s="8" t="s">
        <v>3094</v>
      </c>
      <c r="B313" s="8" t="s">
        <v>3095</v>
      </c>
      <c r="C313" s="8" t="s">
        <v>3096</v>
      </c>
      <c r="D313" s="8" t="s">
        <v>3097</v>
      </c>
      <c r="E313" s="105">
        <v>18.2</v>
      </c>
      <c r="F313" s="106" t="s">
        <v>2024</v>
      </c>
      <c r="G313" s="8"/>
      <c r="H313" s="8"/>
      <c r="I313" s="107">
        <v>0</v>
      </c>
      <c r="J313" s="8" t="s">
        <v>2019</v>
      </c>
    </row>
    <row r="314" spans="1:10" ht="16.5" customHeight="1" x14ac:dyDescent="0.25">
      <c r="A314" s="8" t="s">
        <v>3098</v>
      </c>
      <c r="B314" s="8" t="s">
        <v>3099</v>
      </c>
      <c r="C314" s="8" t="s">
        <v>2638</v>
      </c>
      <c r="D314" s="8" t="s">
        <v>3100</v>
      </c>
      <c r="E314" s="105">
        <v>4.55</v>
      </c>
      <c r="F314" s="106" t="s">
        <v>2024</v>
      </c>
      <c r="G314" s="8"/>
      <c r="H314" s="8"/>
      <c r="I314" s="107">
        <v>0</v>
      </c>
      <c r="J314" s="8" t="s">
        <v>2019</v>
      </c>
    </row>
    <row r="315" spans="1:10" ht="16.5" customHeight="1" x14ac:dyDescent="0.25">
      <c r="A315" s="8" t="s">
        <v>3101</v>
      </c>
      <c r="B315" s="8" t="s">
        <v>3102</v>
      </c>
      <c r="C315" s="8" t="s">
        <v>2659</v>
      </c>
      <c r="D315" s="8" t="s">
        <v>3103</v>
      </c>
      <c r="E315" s="105">
        <v>7.28</v>
      </c>
      <c r="F315" s="106" t="s">
        <v>2024</v>
      </c>
      <c r="G315" s="8"/>
      <c r="H315" s="8"/>
      <c r="I315" s="107">
        <v>0</v>
      </c>
      <c r="J315" s="8" t="s">
        <v>2019</v>
      </c>
    </row>
    <row r="316" spans="1:10" ht="16.5" customHeight="1" x14ac:dyDescent="0.25">
      <c r="A316" s="8" t="s">
        <v>3104</v>
      </c>
      <c r="B316" s="8" t="s">
        <v>3105</v>
      </c>
      <c r="C316" s="8" t="s">
        <v>2659</v>
      </c>
      <c r="D316" s="8" t="s">
        <v>3106</v>
      </c>
      <c r="E316" s="105">
        <v>0.36399999999999999</v>
      </c>
      <c r="F316" s="106" t="s">
        <v>2024</v>
      </c>
      <c r="G316" s="8"/>
      <c r="H316" s="8"/>
      <c r="I316" s="107">
        <v>0</v>
      </c>
      <c r="J316" s="8" t="s">
        <v>2019</v>
      </c>
    </row>
    <row r="317" spans="1:10" ht="16.5" customHeight="1" x14ac:dyDescent="0.25">
      <c r="A317" s="8" t="s">
        <v>3107</v>
      </c>
      <c r="B317" s="8" t="s">
        <v>3108</v>
      </c>
      <c r="C317" s="8" t="s">
        <v>3109</v>
      </c>
      <c r="D317" s="8" t="s">
        <v>3110</v>
      </c>
      <c r="E317" s="105">
        <v>14.56</v>
      </c>
      <c r="F317" s="106" t="s">
        <v>2024</v>
      </c>
      <c r="G317" s="8"/>
      <c r="H317" s="8"/>
      <c r="I317" s="107">
        <v>0</v>
      </c>
      <c r="J317" s="8" t="s">
        <v>2019</v>
      </c>
    </row>
    <row r="318" spans="1:10" ht="16.5" customHeight="1" x14ac:dyDescent="0.25">
      <c r="A318" s="8" t="s">
        <v>3111</v>
      </c>
      <c r="B318" s="8" t="s">
        <v>3112</v>
      </c>
      <c r="C318" s="8" t="s">
        <v>3113</v>
      </c>
      <c r="D318" s="8" t="s">
        <v>3114</v>
      </c>
      <c r="E318" s="105">
        <v>7.28</v>
      </c>
      <c r="F318" s="106" t="s">
        <v>2024</v>
      </c>
      <c r="G318" s="8"/>
      <c r="H318" s="8"/>
      <c r="I318" s="107">
        <v>0</v>
      </c>
      <c r="J318" s="8" t="s">
        <v>2019</v>
      </c>
    </row>
    <row r="319" spans="1:10" ht="16.5" customHeight="1" x14ac:dyDescent="0.25">
      <c r="A319" s="8" t="s">
        <v>3115</v>
      </c>
      <c r="B319" s="8" t="s">
        <v>3116</v>
      </c>
      <c r="C319" s="8" t="s">
        <v>2757</v>
      </c>
      <c r="D319" s="8" t="s">
        <v>3117</v>
      </c>
      <c r="E319" s="105">
        <v>6.8250000000000002</v>
      </c>
      <c r="F319" s="106" t="s">
        <v>2024</v>
      </c>
      <c r="G319" s="8"/>
      <c r="H319" s="8"/>
      <c r="I319" s="107">
        <v>0</v>
      </c>
      <c r="J319" s="8" t="s">
        <v>2019</v>
      </c>
    </row>
    <row r="320" spans="1:10" ht="16.5" customHeight="1" x14ac:dyDescent="0.25">
      <c r="A320" s="8" t="s">
        <v>3118</v>
      </c>
      <c r="B320" s="8" t="s">
        <v>3119</v>
      </c>
      <c r="C320" s="8" t="s">
        <v>2757</v>
      </c>
      <c r="D320" s="8" t="s">
        <v>3120</v>
      </c>
      <c r="E320" s="105">
        <v>0.22800000000000001</v>
      </c>
      <c r="F320" s="106" t="s">
        <v>2024</v>
      </c>
      <c r="G320" s="8"/>
      <c r="H320" s="8"/>
      <c r="I320" s="107">
        <v>0</v>
      </c>
      <c r="J320" s="8" t="s">
        <v>2019</v>
      </c>
    </row>
    <row r="321" spans="1:10" ht="16.5" customHeight="1" x14ac:dyDescent="0.25">
      <c r="A321" s="8" t="s">
        <v>3121</v>
      </c>
      <c r="B321" s="8" t="s">
        <v>3122</v>
      </c>
      <c r="C321" s="8" t="s">
        <v>2757</v>
      </c>
      <c r="D321" s="8" t="s">
        <v>3123</v>
      </c>
      <c r="E321" s="105">
        <v>10.92</v>
      </c>
      <c r="F321" s="106" t="s">
        <v>2024</v>
      </c>
      <c r="G321" s="8"/>
      <c r="H321" s="8"/>
      <c r="I321" s="107">
        <v>0</v>
      </c>
      <c r="J321" s="8" t="s">
        <v>2019</v>
      </c>
    </row>
    <row r="322" spans="1:10" ht="16.5" customHeight="1" x14ac:dyDescent="0.25">
      <c r="A322" s="8" t="s">
        <v>3124</v>
      </c>
      <c r="B322" s="8" t="s">
        <v>3125</v>
      </c>
      <c r="C322" s="8" t="s">
        <v>2757</v>
      </c>
      <c r="D322" s="8" t="s">
        <v>3126</v>
      </c>
      <c r="E322" s="105">
        <v>6.8250000000000002</v>
      </c>
      <c r="F322" s="106" t="s">
        <v>2024</v>
      </c>
      <c r="G322" s="8"/>
      <c r="H322" s="8"/>
      <c r="I322" s="107">
        <v>0</v>
      </c>
      <c r="J322" s="8" t="s">
        <v>2019</v>
      </c>
    </row>
    <row r="323" spans="1:10" ht="16.5" customHeight="1" x14ac:dyDescent="0.25">
      <c r="A323" s="8" t="s">
        <v>3127</v>
      </c>
      <c r="B323" s="8" t="s">
        <v>3128</v>
      </c>
      <c r="C323" s="8" t="s">
        <v>2757</v>
      </c>
      <c r="D323" s="8" t="s">
        <v>3129</v>
      </c>
      <c r="E323" s="105">
        <v>0.22800000000000001</v>
      </c>
      <c r="F323" s="106" t="s">
        <v>2024</v>
      </c>
      <c r="G323" s="8"/>
      <c r="H323" s="8"/>
      <c r="I323" s="107">
        <v>0</v>
      </c>
      <c r="J323" s="8" t="s">
        <v>2019</v>
      </c>
    </row>
    <row r="324" spans="1:10" ht="16.5" customHeight="1" x14ac:dyDescent="0.25">
      <c r="A324" s="8" t="s">
        <v>3130</v>
      </c>
      <c r="B324" s="8" t="s">
        <v>3131</v>
      </c>
      <c r="C324" s="8" t="s">
        <v>3083</v>
      </c>
      <c r="D324" s="8" t="s">
        <v>3132</v>
      </c>
      <c r="E324" s="105">
        <v>10.92</v>
      </c>
      <c r="F324" s="106" t="s">
        <v>2024</v>
      </c>
      <c r="G324" s="8"/>
      <c r="H324" s="8"/>
      <c r="I324" s="107">
        <v>0</v>
      </c>
      <c r="J324" s="8" t="s">
        <v>2019</v>
      </c>
    </row>
    <row r="325" spans="1:10" ht="16.5" customHeight="1" x14ac:dyDescent="0.25">
      <c r="A325" s="8" t="s">
        <v>3133</v>
      </c>
      <c r="B325" s="8" t="s">
        <v>3134</v>
      </c>
      <c r="C325" s="8" t="s">
        <v>2624</v>
      </c>
      <c r="D325" s="8" t="s">
        <v>3135</v>
      </c>
      <c r="E325" s="105">
        <v>0.91</v>
      </c>
      <c r="F325" s="106" t="s">
        <v>2024</v>
      </c>
      <c r="G325" s="8"/>
      <c r="H325" s="8"/>
      <c r="I325" s="107">
        <v>0</v>
      </c>
      <c r="J325" s="8" t="s">
        <v>2019</v>
      </c>
    </row>
    <row r="326" spans="1:10" ht="16.5" customHeight="1" x14ac:dyDescent="0.25">
      <c r="A326" s="8" t="s">
        <v>3136</v>
      </c>
      <c r="B326" s="8" t="s">
        <v>3137</v>
      </c>
      <c r="C326" s="8" t="s">
        <v>3053</v>
      </c>
      <c r="D326" s="8" t="s">
        <v>3138</v>
      </c>
      <c r="E326" s="105">
        <v>10.92</v>
      </c>
      <c r="F326" s="106" t="s">
        <v>2024</v>
      </c>
      <c r="G326" s="8"/>
      <c r="H326" s="8"/>
      <c r="I326" s="107">
        <v>0</v>
      </c>
      <c r="J326" s="8" t="s">
        <v>2019</v>
      </c>
    </row>
    <row r="327" spans="1:10" ht="16.5" customHeight="1" x14ac:dyDescent="0.25">
      <c r="A327" s="8" t="s">
        <v>3139</v>
      </c>
      <c r="B327" s="8" t="s">
        <v>3140</v>
      </c>
      <c r="C327" s="8" t="s">
        <v>2631</v>
      </c>
      <c r="D327" s="8" t="s">
        <v>3141</v>
      </c>
      <c r="E327" s="105">
        <v>1.82</v>
      </c>
      <c r="F327" s="106" t="s">
        <v>2024</v>
      </c>
      <c r="G327" s="8"/>
      <c r="H327" s="8"/>
      <c r="I327" s="107">
        <v>0</v>
      </c>
      <c r="J327" s="8" t="s">
        <v>2019</v>
      </c>
    </row>
    <row r="328" spans="1:10" ht="16.5" customHeight="1" x14ac:dyDescent="0.25">
      <c r="A328" s="8" t="s">
        <v>3142</v>
      </c>
      <c r="B328" s="8" t="s">
        <v>3143</v>
      </c>
      <c r="C328" s="8" t="s">
        <v>3096</v>
      </c>
      <c r="D328" s="8" t="s">
        <v>3144</v>
      </c>
      <c r="E328" s="105">
        <v>18.2</v>
      </c>
      <c r="F328" s="106" t="s">
        <v>2024</v>
      </c>
      <c r="G328" s="8"/>
      <c r="H328" s="8"/>
      <c r="I328" s="107">
        <v>0</v>
      </c>
      <c r="J328" s="8" t="s">
        <v>2019</v>
      </c>
    </row>
    <row r="329" spans="1:10" ht="16.5" customHeight="1" x14ac:dyDescent="0.25">
      <c r="A329" s="8" t="s">
        <v>3145</v>
      </c>
      <c r="B329" s="8" t="s">
        <v>3146</v>
      </c>
      <c r="C329" s="8" t="s">
        <v>2638</v>
      </c>
      <c r="D329" s="8" t="s">
        <v>3147</v>
      </c>
      <c r="E329" s="105">
        <v>4.55</v>
      </c>
      <c r="F329" s="106" t="s">
        <v>2024</v>
      </c>
      <c r="G329" s="8"/>
      <c r="H329" s="8"/>
      <c r="I329" s="107">
        <v>0</v>
      </c>
      <c r="J329" s="8" t="s">
        <v>2019</v>
      </c>
    </row>
    <row r="330" spans="1:10" ht="16.5" customHeight="1" x14ac:dyDescent="0.25">
      <c r="A330" s="8" t="s">
        <v>3148</v>
      </c>
      <c r="B330" s="8" t="s">
        <v>3149</v>
      </c>
      <c r="C330" s="8" t="s">
        <v>3150</v>
      </c>
      <c r="D330" s="8" t="s">
        <v>3151</v>
      </c>
      <c r="E330" s="105">
        <v>18.2</v>
      </c>
      <c r="F330" s="106" t="s">
        <v>2024</v>
      </c>
      <c r="G330" s="8"/>
      <c r="H330" s="8"/>
      <c r="I330" s="107">
        <v>0</v>
      </c>
      <c r="J330" s="8" t="s">
        <v>2019</v>
      </c>
    </row>
    <row r="331" spans="1:10" ht="16.5" customHeight="1" x14ac:dyDescent="0.25">
      <c r="A331" s="8" t="s">
        <v>3152</v>
      </c>
      <c r="B331" s="8" t="s">
        <v>3153</v>
      </c>
      <c r="C331" s="8" t="s">
        <v>3066</v>
      </c>
      <c r="D331" s="8" t="s">
        <v>3154</v>
      </c>
      <c r="E331" s="105">
        <v>7.28</v>
      </c>
      <c r="F331" s="106" t="s">
        <v>2024</v>
      </c>
      <c r="G331" s="8"/>
      <c r="H331" s="8"/>
      <c r="I331" s="107">
        <v>0</v>
      </c>
      <c r="J331" s="8" t="s">
        <v>2019</v>
      </c>
    </row>
    <row r="332" spans="1:10" ht="16.5" customHeight="1" x14ac:dyDescent="0.25">
      <c r="A332" s="8" t="s">
        <v>3155</v>
      </c>
      <c r="B332" s="8" t="s">
        <v>3156</v>
      </c>
      <c r="C332" s="8" t="s">
        <v>2659</v>
      </c>
      <c r="D332" s="8" t="s">
        <v>3157</v>
      </c>
      <c r="E332" s="105">
        <v>0.36399999999999999</v>
      </c>
      <c r="F332" s="106" t="s">
        <v>2024</v>
      </c>
      <c r="G332" s="8"/>
      <c r="H332" s="8"/>
      <c r="I332" s="107">
        <v>0</v>
      </c>
      <c r="J332" s="8" t="s">
        <v>2019</v>
      </c>
    </row>
    <row r="333" spans="1:10" ht="16.5" customHeight="1" x14ac:dyDescent="0.25">
      <c r="A333" s="8" t="s">
        <v>3158</v>
      </c>
      <c r="B333" s="8" t="s">
        <v>3159</v>
      </c>
      <c r="C333" s="8" t="s">
        <v>3160</v>
      </c>
      <c r="D333" s="8" t="s">
        <v>3161</v>
      </c>
      <c r="E333" s="105">
        <v>14.56</v>
      </c>
      <c r="F333" s="106" t="s">
        <v>2024</v>
      </c>
      <c r="G333" s="8"/>
      <c r="H333" s="8"/>
      <c r="I333" s="107">
        <v>0</v>
      </c>
      <c r="J333" s="8" t="s">
        <v>2019</v>
      </c>
    </row>
    <row r="334" spans="1:10" ht="16.5" customHeight="1" x14ac:dyDescent="0.25">
      <c r="A334" s="8" t="s">
        <v>3162</v>
      </c>
      <c r="B334" s="8" t="s">
        <v>3163</v>
      </c>
      <c r="C334" s="8" t="s">
        <v>3113</v>
      </c>
      <c r="D334" s="8" t="s">
        <v>3164</v>
      </c>
      <c r="E334" s="105">
        <v>7.28</v>
      </c>
      <c r="F334" s="106" t="s">
        <v>2024</v>
      </c>
      <c r="G334" s="8"/>
      <c r="H334" s="8"/>
      <c r="I334" s="107">
        <v>0</v>
      </c>
      <c r="J334" s="8" t="s">
        <v>2019</v>
      </c>
    </row>
    <row r="335" spans="1:10" ht="16.5" customHeight="1" x14ac:dyDescent="0.25">
      <c r="A335" s="8" t="s">
        <v>3165</v>
      </c>
      <c r="B335" s="8" t="s">
        <v>3166</v>
      </c>
      <c r="C335" s="8" t="s">
        <v>2757</v>
      </c>
      <c r="D335" s="8" t="s">
        <v>3167</v>
      </c>
      <c r="E335" s="105">
        <v>6.8250000000000002</v>
      </c>
      <c r="F335" s="106" t="s">
        <v>2024</v>
      </c>
      <c r="G335" s="8"/>
      <c r="H335" s="8"/>
      <c r="I335" s="107">
        <v>0</v>
      </c>
      <c r="J335" s="8" t="s">
        <v>2019</v>
      </c>
    </row>
    <row r="336" spans="1:10" ht="16.5" customHeight="1" x14ac:dyDescent="0.25">
      <c r="A336" s="8" t="s">
        <v>3168</v>
      </c>
      <c r="B336" s="8" t="s">
        <v>3169</v>
      </c>
      <c r="C336" s="8" t="s">
        <v>2757</v>
      </c>
      <c r="D336" s="8" t="s">
        <v>3170</v>
      </c>
      <c r="E336" s="105">
        <v>0.22800000000000001</v>
      </c>
      <c r="F336" s="106" t="s">
        <v>2024</v>
      </c>
      <c r="G336" s="8"/>
      <c r="H336" s="8"/>
      <c r="I336" s="107">
        <v>0</v>
      </c>
      <c r="J336" s="8" t="s">
        <v>2019</v>
      </c>
    </row>
    <row r="337" spans="1:10" ht="16.5" customHeight="1" x14ac:dyDescent="0.25">
      <c r="A337" s="8" t="s">
        <v>3171</v>
      </c>
      <c r="B337" s="8" t="s">
        <v>3172</v>
      </c>
      <c r="C337" s="8" t="s">
        <v>2757</v>
      </c>
      <c r="D337" s="8" t="s">
        <v>3173</v>
      </c>
      <c r="E337" s="105">
        <v>6.8250000000000002</v>
      </c>
      <c r="F337" s="106" t="s">
        <v>2024</v>
      </c>
      <c r="G337" s="8"/>
      <c r="H337" s="8"/>
      <c r="I337" s="107">
        <v>0</v>
      </c>
      <c r="J337" s="8" t="s">
        <v>2019</v>
      </c>
    </row>
    <row r="338" spans="1:10" ht="16.5" customHeight="1" x14ac:dyDescent="0.25">
      <c r="A338" s="8" t="s">
        <v>3174</v>
      </c>
      <c r="B338" s="8" t="s">
        <v>3175</v>
      </c>
      <c r="C338" s="8" t="s">
        <v>2757</v>
      </c>
      <c r="D338" s="8" t="s">
        <v>3176</v>
      </c>
      <c r="E338" s="105">
        <v>0.22800000000000001</v>
      </c>
      <c r="F338" s="106" t="s">
        <v>2024</v>
      </c>
      <c r="G338" s="8"/>
      <c r="H338" s="8"/>
      <c r="I338" s="107">
        <v>0</v>
      </c>
      <c r="J338" s="8" t="s">
        <v>2019</v>
      </c>
    </row>
    <row r="339" spans="1:10" ht="16.5" customHeight="1" x14ac:dyDescent="0.25">
      <c r="A339" s="8" t="s">
        <v>3177</v>
      </c>
      <c r="B339" s="8" t="s">
        <v>3178</v>
      </c>
      <c r="C339" s="8" t="s">
        <v>3179</v>
      </c>
      <c r="D339" s="8" t="s">
        <v>3180</v>
      </c>
      <c r="E339" s="105">
        <v>1.82</v>
      </c>
      <c r="F339" s="106" t="s">
        <v>2024</v>
      </c>
      <c r="G339" s="8"/>
      <c r="H339" s="8"/>
      <c r="I339" s="107">
        <v>0</v>
      </c>
      <c r="J339" s="8" t="s">
        <v>2019</v>
      </c>
    </row>
    <row r="340" spans="1:10" ht="16.5" customHeight="1" x14ac:dyDescent="0.25">
      <c r="A340" s="8" t="s">
        <v>3181</v>
      </c>
      <c r="B340" s="8" t="s">
        <v>3182</v>
      </c>
      <c r="C340" s="8" t="s">
        <v>3183</v>
      </c>
      <c r="D340" s="8" t="s">
        <v>3184</v>
      </c>
      <c r="E340" s="105">
        <v>4.55</v>
      </c>
      <c r="F340" s="106" t="s">
        <v>2024</v>
      </c>
      <c r="G340" s="8"/>
      <c r="H340" s="8"/>
      <c r="I340" s="107">
        <v>0</v>
      </c>
      <c r="J340" s="8" t="s">
        <v>2019</v>
      </c>
    </row>
    <row r="341" spans="1:10" ht="16.5" customHeight="1" x14ac:dyDescent="0.25">
      <c r="A341" s="8" t="s">
        <v>3185</v>
      </c>
      <c r="B341" s="8" t="s">
        <v>3186</v>
      </c>
      <c r="C341" s="8" t="s">
        <v>3187</v>
      </c>
      <c r="D341" s="8" t="s">
        <v>3188</v>
      </c>
      <c r="E341" s="105">
        <v>14.56</v>
      </c>
      <c r="F341" s="106" t="s">
        <v>2024</v>
      </c>
      <c r="G341" s="8"/>
      <c r="H341" s="8"/>
      <c r="I341" s="107">
        <v>0</v>
      </c>
      <c r="J341" s="8" t="s">
        <v>2019</v>
      </c>
    </row>
    <row r="342" spans="1:10" ht="16.5" customHeight="1" x14ac:dyDescent="0.25">
      <c r="A342" s="8" t="s">
        <v>3189</v>
      </c>
      <c r="B342" s="8" t="s">
        <v>3190</v>
      </c>
      <c r="C342" s="8" t="s">
        <v>3191</v>
      </c>
      <c r="D342" s="8" t="s">
        <v>3192</v>
      </c>
      <c r="E342" s="105">
        <v>7.28</v>
      </c>
      <c r="F342" s="106" t="s">
        <v>2024</v>
      </c>
      <c r="G342" s="8"/>
      <c r="H342" s="8"/>
      <c r="I342" s="107">
        <v>0</v>
      </c>
      <c r="J342" s="8" t="s">
        <v>2019</v>
      </c>
    </row>
    <row r="343" spans="1:10" ht="16.5" customHeight="1" x14ac:dyDescent="0.25">
      <c r="A343" s="8" t="s">
        <v>3193</v>
      </c>
      <c r="B343" s="8" t="s">
        <v>3194</v>
      </c>
      <c r="C343" s="8" t="s">
        <v>3195</v>
      </c>
      <c r="D343" s="8" t="s">
        <v>3196</v>
      </c>
      <c r="E343" s="105">
        <v>9.8279999999999994</v>
      </c>
      <c r="F343" s="106" t="s">
        <v>2024</v>
      </c>
      <c r="G343" s="8"/>
      <c r="H343" s="8"/>
      <c r="I343" s="107">
        <v>0</v>
      </c>
      <c r="J343" s="8" t="s">
        <v>2019</v>
      </c>
    </row>
    <row r="344" spans="1:10" ht="16.5" customHeight="1" x14ac:dyDescent="0.25">
      <c r="A344" s="8" t="s">
        <v>3197</v>
      </c>
      <c r="B344" s="8" t="s">
        <v>3198</v>
      </c>
      <c r="C344" s="8" t="s">
        <v>3199</v>
      </c>
      <c r="D344" s="8" t="s">
        <v>3200</v>
      </c>
      <c r="E344" s="105">
        <v>1.6379999999999999</v>
      </c>
      <c r="F344" s="106" t="s">
        <v>2024</v>
      </c>
      <c r="G344" s="8"/>
      <c r="H344" s="8"/>
      <c r="I344" s="107">
        <v>0</v>
      </c>
      <c r="J344" s="8" t="s">
        <v>2019</v>
      </c>
    </row>
    <row r="345" spans="1:10" ht="16.5" customHeight="1" x14ac:dyDescent="0.25">
      <c r="A345" s="8" t="s">
        <v>3201</v>
      </c>
      <c r="B345" s="8" t="s">
        <v>3202</v>
      </c>
      <c r="C345" s="8" t="s">
        <v>3203</v>
      </c>
      <c r="D345" s="8" t="s">
        <v>3204</v>
      </c>
      <c r="E345" s="105">
        <v>10.92</v>
      </c>
      <c r="F345" s="106" t="s">
        <v>2024</v>
      </c>
      <c r="G345" s="8"/>
      <c r="H345" s="8"/>
      <c r="I345" s="107">
        <v>0</v>
      </c>
      <c r="J345" s="8" t="s">
        <v>2019</v>
      </c>
    </row>
    <row r="346" spans="1:10" ht="16.5" customHeight="1" x14ac:dyDescent="0.25">
      <c r="A346" s="8" t="s">
        <v>3205</v>
      </c>
      <c r="B346" s="8" t="s">
        <v>3206</v>
      </c>
      <c r="C346" s="8" t="s">
        <v>3203</v>
      </c>
      <c r="D346" s="8" t="s">
        <v>3207</v>
      </c>
      <c r="E346" s="105">
        <v>0.91</v>
      </c>
      <c r="F346" s="106" t="s">
        <v>2024</v>
      </c>
      <c r="G346" s="8"/>
      <c r="H346" s="8"/>
      <c r="I346" s="107">
        <v>0</v>
      </c>
      <c r="J346" s="8" t="s">
        <v>2019</v>
      </c>
    </row>
    <row r="347" spans="1:10" ht="16.5" customHeight="1" x14ac:dyDescent="0.25">
      <c r="A347" s="8" t="s">
        <v>3208</v>
      </c>
      <c r="B347" s="8" t="s">
        <v>3209</v>
      </c>
      <c r="C347" s="8" t="s">
        <v>2975</v>
      </c>
      <c r="D347" s="8" t="s">
        <v>3210</v>
      </c>
      <c r="E347" s="105">
        <v>10.92</v>
      </c>
      <c r="F347" s="106" t="s">
        <v>2024</v>
      </c>
      <c r="G347" s="8"/>
      <c r="H347" s="8"/>
      <c r="I347" s="107">
        <v>0</v>
      </c>
      <c r="J347" s="8" t="s">
        <v>2019</v>
      </c>
    </row>
    <row r="348" spans="1:10" ht="16.5" customHeight="1" x14ac:dyDescent="0.25">
      <c r="A348" s="8" t="s">
        <v>3211</v>
      </c>
      <c r="B348" s="8" t="s">
        <v>3212</v>
      </c>
      <c r="C348" s="8" t="s">
        <v>2975</v>
      </c>
      <c r="D348" s="8" t="s">
        <v>3213</v>
      </c>
      <c r="E348" s="105">
        <v>1.82</v>
      </c>
      <c r="F348" s="106" t="s">
        <v>2024</v>
      </c>
      <c r="G348" s="8"/>
      <c r="H348" s="8"/>
      <c r="I348" s="107">
        <v>0</v>
      </c>
      <c r="J348" s="8" t="s">
        <v>2019</v>
      </c>
    </row>
    <row r="349" spans="1:10" ht="16.5" customHeight="1" x14ac:dyDescent="0.25">
      <c r="A349" s="8" t="s">
        <v>3214</v>
      </c>
      <c r="B349" s="8" t="s">
        <v>3215</v>
      </c>
      <c r="C349" s="8" t="s">
        <v>2986</v>
      </c>
      <c r="D349" s="8" t="s">
        <v>3216</v>
      </c>
      <c r="E349" s="105">
        <v>18.2</v>
      </c>
      <c r="F349" s="106" t="s">
        <v>2024</v>
      </c>
      <c r="G349" s="8"/>
      <c r="H349" s="8"/>
      <c r="I349" s="107">
        <v>0</v>
      </c>
      <c r="J349" s="8" t="s">
        <v>2019</v>
      </c>
    </row>
    <row r="350" spans="1:10" ht="16.5" customHeight="1" x14ac:dyDescent="0.25">
      <c r="A350" s="8" t="s">
        <v>3217</v>
      </c>
      <c r="B350" s="8" t="s">
        <v>3218</v>
      </c>
      <c r="C350" s="8" t="s">
        <v>2986</v>
      </c>
      <c r="D350" s="8" t="s">
        <v>3219</v>
      </c>
      <c r="E350" s="105">
        <v>4.55</v>
      </c>
      <c r="F350" s="106" t="s">
        <v>2024</v>
      </c>
      <c r="G350" s="8"/>
      <c r="H350" s="8"/>
      <c r="I350" s="107">
        <v>0</v>
      </c>
      <c r="J350" s="8" t="s">
        <v>2019</v>
      </c>
    </row>
    <row r="351" spans="1:10" ht="16.5" customHeight="1" x14ac:dyDescent="0.25">
      <c r="A351" s="8" t="s">
        <v>3220</v>
      </c>
      <c r="B351" s="8" t="s">
        <v>3221</v>
      </c>
      <c r="C351" s="8" t="s">
        <v>3222</v>
      </c>
      <c r="D351" s="8" t="s">
        <v>3223</v>
      </c>
      <c r="E351" s="105">
        <v>7.28</v>
      </c>
      <c r="F351" s="106" t="s">
        <v>2024</v>
      </c>
      <c r="G351" s="8"/>
      <c r="H351" s="8"/>
      <c r="I351" s="107">
        <v>0</v>
      </c>
      <c r="J351" s="8" t="s">
        <v>2019</v>
      </c>
    </row>
    <row r="352" spans="1:10" ht="16.5" customHeight="1" x14ac:dyDescent="0.25">
      <c r="A352" s="8" t="s">
        <v>3224</v>
      </c>
      <c r="B352" s="8" t="s">
        <v>3225</v>
      </c>
      <c r="C352" s="8" t="s">
        <v>3222</v>
      </c>
      <c r="D352" s="8" t="s">
        <v>3226</v>
      </c>
      <c r="E352" s="105">
        <v>0.36399999999999999</v>
      </c>
      <c r="F352" s="106" t="s">
        <v>2024</v>
      </c>
      <c r="G352" s="8"/>
      <c r="H352" s="8"/>
      <c r="I352" s="107">
        <v>0</v>
      </c>
      <c r="J352" s="8" t="s">
        <v>2019</v>
      </c>
    </row>
    <row r="353" spans="1:10" ht="16.5" customHeight="1" x14ac:dyDescent="0.25">
      <c r="A353" s="8" t="s">
        <v>3227</v>
      </c>
      <c r="B353" s="8" t="s">
        <v>3228</v>
      </c>
      <c r="C353" s="8" t="s">
        <v>3002</v>
      </c>
      <c r="D353" s="8" t="s">
        <v>3229</v>
      </c>
      <c r="E353" s="105">
        <v>14.56</v>
      </c>
      <c r="F353" s="106" t="s">
        <v>2024</v>
      </c>
      <c r="G353" s="8"/>
      <c r="H353" s="8"/>
      <c r="I353" s="107">
        <v>0</v>
      </c>
      <c r="J353" s="8" t="s">
        <v>2019</v>
      </c>
    </row>
    <row r="354" spans="1:10" ht="16.5" customHeight="1" x14ac:dyDescent="0.25">
      <c r="A354" s="8" t="s">
        <v>3230</v>
      </c>
      <c r="B354" s="8" t="s">
        <v>3231</v>
      </c>
      <c r="C354" s="8" t="s">
        <v>3232</v>
      </c>
      <c r="D354" s="8" t="s">
        <v>3233</v>
      </c>
      <c r="E354" s="105">
        <v>0.91</v>
      </c>
      <c r="F354" s="106" t="s">
        <v>2024</v>
      </c>
      <c r="G354" s="8"/>
      <c r="H354" s="8"/>
      <c r="I354" s="107">
        <v>0</v>
      </c>
      <c r="J354" s="8" t="s">
        <v>2019</v>
      </c>
    </row>
    <row r="355" spans="1:10" ht="16.5" customHeight="1" x14ac:dyDescent="0.25">
      <c r="A355" s="8" t="s">
        <v>3234</v>
      </c>
      <c r="B355" s="8" t="s">
        <v>3235</v>
      </c>
      <c r="C355" s="8" t="s">
        <v>3236</v>
      </c>
      <c r="D355" s="8" t="s">
        <v>3237</v>
      </c>
      <c r="E355" s="105">
        <v>1.82</v>
      </c>
      <c r="F355" s="106" t="s">
        <v>2024</v>
      </c>
      <c r="G355" s="8"/>
      <c r="H355" s="8"/>
      <c r="I355" s="107">
        <v>0</v>
      </c>
      <c r="J355" s="8" t="s">
        <v>2019</v>
      </c>
    </row>
    <row r="356" spans="1:10" ht="16.5" customHeight="1" x14ac:dyDescent="0.25">
      <c r="A356" s="8" t="s">
        <v>3238</v>
      </c>
      <c r="B356" s="8" t="s">
        <v>3239</v>
      </c>
      <c r="C356" s="8" t="s">
        <v>3240</v>
      </c>
      <c r="D356" s="8" t="s">
        <v>3241</v>
      </c>
      <c r="E356" s="105">
        <v>4.55</v>
      </c>
      <c r="F356" s="106" t="s">
        <v>2024</v>
      </c>
      <c r="G356" s="8"/>
      <c r="H356" s="8"/>
      <c r="I356" s="107">
        <v>0</v>
      </c>
      <c r="J356" s="8" t="s">
        <v>2019</v>
      </c>
    </row>
    <row r="357" spans="1:10" ht="16.5" customHeight="1" x14ac:dyDescent="0.25">
      <c r="A357" s="8" t="s">
        <v>3242</v>
      </c>
      <c r="B357" s="8" t="s">
        <v>3243</v>
      </c>
      <c r="C357" s="8" t="s">
        <v>3244</v>
      </c>
      <c r="D357" s="8" t="s">
        <v>3245</v>
      </c>
      <c r="E357" s="105">
        <v>10.92</v>
      </c>
      <c r="F357" s="106" t="s">
        <v>2018</v>
      </c>
      <c r="G357" s="8"/>
      <c r="H357" s="8" t="s">
        <v>3246</v>
      </c>
      <c r="I357" s="107">
        <v>12</v>
      </c>
      <c r="J357" s="8" t="s">
        <v>2019</v>
      </c>
    </row>
    <row r="358" spans="1:10" ht="16.5" customHeight="1" x14ac:dyDescent="0.25">
      <c r="A358" s="8" t="s">
        <v>3246</v>
      </c>
      <c r="B358" s="8" t="s">
        <v>3247</v>
      </c>
      <c r="C358" s="8" t="s">
        <v>3244</v>
      </c>
      <c r="D358" s="8" t="s">
        <v>3248</v>
      </c>
      <c r="E358" s="105">
        <v>0.91</v>
      </c>
      <c r="F358" s="106" t="s">
        <v>2018</v>
      </c>
      <c r="G358" s="8"/>
      <c r="H358" s="8"/>
      <c r="I358" s="107">
        <v>0</v>
      </c>
      <c r="J358" s="8" t="s">
        <v>2019</v>
      </c>
    </row>
    <row r="359" spans="1:10" ht="16.5" customHeight="1" x14ac:dyDescent="0.25">
      <c r="A359" s="8" t="s">
        <v>3249</v>
      </c>
      <c r="B359" s="8" t="s">
        <v>3250</v>
      </c>
      <c r="C359" s="8" t="s">
        <v>3251</v>
      </c>
      <c r="D359" s="8" t="s">
        <v>3252</v>
      </c>
      <c r="E359" s="105">
        <v>10.92</v>
      </c>
      <c r="F359" s="106" t="s">
        <v>2018</v>
      </c>
      <c r="G359" s="8"/>
      <c r="H359" s="8" t="s">
        <v>3253</v>
      </c>
      <c r="I359" s="107">
        <v>6</v>
      </c>
      <c r="J359" s="8" t="s">
        <v>2019</v>
      </c>
    </row>
    <row r="360" spans="1:10" ht="16.5" customHeight="1" x14ac:dyDescent="0.25">
      <c r="A360" s="8" t="s">
        <v>3253</v>
      </c>
      <c r="B360" s="8" t="s">
        <v>3254</v>
      </c>
      <c r="C360" s="8" t="s">
        <v>3251</v>
      </c>
      <c r="D360" s="8" t="s">
        <v>3255</v>
      </c>
      <c r="E360" s="105">
        <v>1.82</v>
      </c>
      <c r="F360" s="106" t="s">
        <v>2018</v>
      </c>
      <c r="G360" s="8"/>
      <c r="H360" s="8"/>
      <c r="I360" s="107">
        <v>0</v>
      </c>
      <c r="J360" s="8" t="s">
        <v>2019</v>
      </c>
    </row>
    <row r="361" spans="1:10" ht="16.5" customHeight="1" x14ac:dyDescent="0.25">
      <c r="A361" s="8" t="s">
        <v>3256</v>
      </c>
      <c r="B361" s="8" t="s">
        <v>3257</v>
      </c>
      <c r="C361" s="8" t="s">
        <v>3258</v>
      </c>
      <c r="D361" s="8" t="s">
        <v>3259</v>
      </c>
      <c r="E361" s="105">
        <v>18.2</v>
      </c>
      <c r="F361" s="106" t="s">
        <v>2018</v>
      </c>
      <c r="G361" s="8"/>
      <c r="H361" s="8" t="s">
        <v>3260</v>
      </c>
      <c r="I361" s="107">
        <v>4</v>
      </c>
      <c r="J361" s="8" t="s">
        <v>2019</v>
      </c>
    </row>
    <row r="362" spans="1:10" ht="16.5" customHeight="1" x14ac:dyDescent="0.25">
      <c r="A362" s="8" t="s">
        <v>3260</v>
      </c>
      <c r="B362" s="8" t="s">
        <v>3261</v>
      </c>
      <c r="C362" s="8" t="s">
        <v>3262</v>
      </c>
      <c r="D362" s="8" t="s">
        <v>3263</v>
      </c>
      <c r="E362" s="105">
        <v>4.55</v>
      </c>
      <c r="F362" s="106" t="s">
        <v>2018</v>
      </c>
      <c r="G362" s="8"/>
      <c r="H362" s="8"/>
      <c r="I362" s="107">
        <v>0</v>
      </c>
      <c r="J362" s="8" t="s">
        <v>2019</v>
      </c>
    </row>
    <row r="363" spans="1:10" ht="16.5" customHeight="1" x14ac:dyDescent="0.25">
      <c r="A363" s="8" t="s">
        <v>3264</v>
      </c>
      <c r="B363" s="8" t="s">
        <v>3265</v>
      </c>
      <c r="C363" s="8" t="s">
        <v>3266</v>
      </c>
      <c r="D363" s="8" t="s">
        <v>3267</v>
      </c>
      <c r="E363" s="105">
        <v>9.1</v>
      </c>
      <c r="F363" s="106" t="s">
        <v>2024</v>
      </c>
      <c r="G363" s="8"/>
      <c r="H363" s="8"/>
      <c r="I363" s="107">
        <v>0</v>
      </c>
      <c r="J363" s="8" t="s">
        <v>2019</v>
      </c>
    </row>
    <row r="364" spans="1:10" ht="16.5" customHeight="1" x14ac:dyDescent="0.25">
      <c r="A364" s="8" t="s">
        <v>3268</v>
      </c>
      <c r="B364" s="8" t="s">
        <v>3269</v>
      </c>
      <c r="C364" s="8" t="s">
        <v>3266</v>
      </c>
      <c r="D364" s="8" t="s">
        <v>3270</v>
      </c>
      <c r="E364" s="105">
        <v>18.2</v>
      </c>
      <c r="F364" s="106" t="s">
        <v>2024</v>
      </c>
      <c r="G364" s="8"/>
      <c r="H364" s="8"/>
      <c r="I364" s="107">
        <v>0</v>
      </c>
      <c r="J364" s="8" t="s">
        <v>2019</v>
      </c>
    </row>
    <row r="365" spans="1:10" ht="16.5" customHeight="1" x14ac:dyDescent="0.25">
      <c r="A365" s="8" t="s">
        <v>3271</v>
      </c>
      <c r="B365" s="8" t="s">
        <v>3272</v>
      </c>
      <c r="C365" s="8" t="s">
        <v>3273</v>
      </c>
      <c r="D365" s="8" t="s">
        <v>3274</v>
      </c>
      <c r="E365" s="105">
        <v>0.36399999999999999</v>
      </c>
      <c r="F365" s="106" t="s">
        <v>2024</v>
      </c>
      <c r="G365" s="8"/>
      <c r="H365" s="8"/>
      <c r="I365" s="107">
        <v>0</v>
      </c>
      <c r="J365" s="8" t="s">
        <v>2019</v>
      </c>
    </row>
    <row r="366" spans="1:10" ht="16.5" customHeight="1" x14ac:dyDescent="0.25">
      <c r="A366" s="8" t="s">
        <v>3275</v>
      </c>
      <c r="B366" s="8" t="s">
        <v>3276</v>
      </c>
      <c r="C366" s="8" t="s">
        <v>3277</v>
      </c>
      <c r="D366" s="8" t="s">
        <v>3278</v>
      </c>
      <c r="E366" s="105">
        <v>7.28</v>
      </c>
      <c r="F366" s="106" t="s">
        <v>2024</v>
      </c>
      <c r="G366" s="8"/>
      <c r="H366" s="8"/>
      <c r="I366" s="107">
        <v>0</v>
      </c>
      <c r="J366" s="8" t="s">
        <v>2019</v>
      </c>
    </row>
    <row r="367" spans="1:10" ht="16.5" customHeight="1" x14ac:dyDescent="0.25">
      <c r="A367" s="8" t="s">
        <v>3279</v>
      </c>
      <c r="B367" s="8" t="s">
        <v>3280</v>
      </c>
      <c r="C367" s="8" t="s">
        <v>3281</v>
      </c>
      <c r="D367" s="8" t="s">
        <v>3282</v>
      </c>
      <c r="E367" s="105">
        <v>15</v>
      </c>
      <c r="F367" s="106" t="s">
        <v>2024</v>
      </c>
      <c r="G367" s="8"/>
      <c r="H367" s="8"/>
      <c r="I367" s="107">
        <v>0</v>
      </c>
      <c r="J367" s="8" t="s">
        <v>2019</v>
      </c>
    </row>
    <row r="368" spans="1:10" ht="16.5" customHeight="1" x14ac:dyDescent="0.25">
      <c r="A368" s="8" t="s">
        <v>3283</v>
      </c>
      <c r="B368" s="8" t="s">
        <v>3284</v>
      </c>
      <c r="C368" s="8" t="s">
        <v>3285</v>
      </c>
      <c r="D368" s="8" t="s">
        <v>3286</v>
      </c>
      <c r="E368" s="105">
        <v>18</v>
      </c>
      <c r="F368" s="106" t="s">
        <v>2024</v>
      </c>
      <c r="G368" s="8"/>
      <c r="H368" s="8"/>
      <c r="I368" s="107">
        <v>0</v>
      </c>
      <c r="J368" s="8" t="s">
        <v>2019</v>
      </c>
    </row>
    <row r="369" spans="1:10" ht="16.5" customHeight="1" x14ac:dyDescent="0.25">
      <c r="A369" s="8" t="s">
        <v>3287</v>
      </c>
      <c r="B369" s="8" t="s">
        <v>3288</v>
      </c>
      <c r="C369" s="8" t="s">
        <v>2624</v>
      </c>
      <c r="D369" s="8" t="s">
        <v>3289</v>
      </c>
      <c r="E369" s="105">
        <v>0.91</v>
      </c>
      <c r="F369" s="106" t="s">
        <v>2024</v>
      </c>
      <c r="G369" s="8"/>
      <c r="H369" s="8"/>
      <c r="I369" s="107">
        <v>0</v>
      </c>
      <c r="J369" s="8" t="s">
        <v>2019</v>
      </c>
    </row>
    <row r="370" spans="1:10" ht="16.5" customHeight="1" x14ac:dyDescent="0.25">
      <c r="A370" s="8" t="s">
        <v>3290</v>
      </c>
      <c r="B370" s="8" t="s">
        <v>3291</v>
      </c>
      <c r="C370" s="8" t="s">
        <v>2659</v>
      </c>
      <c r="D370" s="8" t="s">
        <v>3292</v>
      </c>
      <c r="E370" s="105">
        <v>7.28</v>
      </c>
      <c r="F370" s="106" t="s">
        <v>2024</v>
      </c>
      <c r="G370" s="8"/>
      <c r="H370" s="8"/>
      <c r="I370" s="107">
        <v>0</v>
      </c>
      <c r="J370" s="8" t="s">
        <v>2019</v>
      </c>
    </row>
    <row r="371" spans="1:10" ht="16.5" customHeight="1" x14ac:dyDescent="0.25">
      <c r="A371" s="8" t="s">
        <v>3293</v>
      </c>
      <c r="B371" s="8" t="s">
        <v>3294</v>
      </c>
      <c r="C371" s="8" t="s">
        <v>2757</v>
      </c>
      <c r="D371" s="8" t="s">
        <v>3295</v>
      </c>
      <c r="E371" s="105">
        <v>6.8250000000000002</v>
      </c>
      <c r="F371" s="106" t="s">
        <v>2024</v>
      </c>
      <c r="G371" s="8"/>
      <c r="H371" s="8"/>
      <c r="I371" s="107">
        <v>0</v>
      </c>
      <c r="J371" s="8" t="s">
        <v>2019</v>
      </c>
    </row>
    <row r="372" spans="1:10" ht="16.5" customHeight="1" x14ac:dyDescent="0.25">
      <c r="A372" s="8" t="s">
        <v>3296</v>
      </c>
      <c r="B372" s="8" t="s">
        <v>3297</v>
      </c>
      <c r="C372" s="8" t="s">
        <v>2757</v>
      </c>
      <c r="D372" s="8" t="s">
        <v>3298</v>
      </c>
      <c r="E372" s="105">
        <v>0.22700000000000001</v>
      </c>
      <c r="F372" s="106" t="s">
        <v>2024</v>
      </c>
      <c r="G372" s="8"/>
      <c r="H372" s="8"/>
      <c r="I372" s="107">
        <v>0</v>
      </c>
      <c r="J372" s="8" t="s">
        <v>2019</v>
      </c>
    </row>
    <row r="373" spans="1:10" ht="16.5" customHeight="1" x14ac:dyDescent="0.25">
      <c r="A373" s="8" t="s">
        <v>3299</v>
      </c>
      <c r="B373" s="8" t="s">
        <v>3300</v>
      </c>
      <c r="C373" s="8" t="s">
        <v>2757</v>
      </c>
      <c r="D373" s="8" t="s">
        <v>3301</v>
      </c>
      <c r="E373" s="105">
        <v>6.8250000000000002</v>
      </c>
      <c r="F373" s="106" t="s">
        <v>2024</v>
      </c>
      <c r="G373" s="8"/>
      <c r="H373" s="8"/>
      <c r="I373" s="107">
        <v>0</v>
      </c>
      <c r="J373" s="8" t="s">
        <v>2019</v>
      </c>
    </row>
    <row r="374" spans="1:10" ht="16.5" customHeight="1" x14ac:dyDescent="0.25">
      <c r="A374" s="8" t="s">
        <v>3302</v>
      </c>
      <c r="B374" s="8" t="s">
        <v>3303</v>
      </c>
      <c r="C374" s="8" t="s">
        <v>2624</v>
      </c>
      <c r="D374" s="8" t="s">
        <v>3304</v>
      </c>
      <c r="E374" s="105">
        <v>10.92</v>
      </c>
      <c r="F374" s="106" t="s">
        <v>2024</v>
      </c>
      <c r="G374" s="8"/>
      <c r="H374" s="8"/>
      <c r="I374" s="107">
        <v>0</v>
      </c>
      <c r="J374" s="8" t="s">
        <v>2019</v>
      </c>
    </row>
    <row r="375" spans="1:10" ht="16.5" customHeight="1" x14ac:dyDescent="0.25">
      <c r="A375" s="8" t="s">
        <v>3305</v>
      </c>
      <c r="B375" s="8" t="s">
        <v>3306</v>
      </c>
      <c r="C375" s="8" t="s">
        <v>3307</v>
      </c>
      <c r="D375" s="8" t="s">
        <v>3308</v>
      </c>
      <c r="E375" s="105">
        <v>0.91</v>
      </c>
      <c r="F375" s="106" t="s">
        <v>2024</v>
      </c>
      <c r="G375" s="8"/>
      <c r="H375" s="8"/>
      <c r="I375" s="107">
        <v>0</v>
      </c>
      <c r="J375" s="8" t="s">
        <v>2019</v>
      </c>
    </row>
    <row r="376" spans="1:10" ht="16.5" customHeight="1" x14ac:dyDescent="0.25">
      <c r="A376" s="8" t="s">
        <v>3309</v>
      </c>
      <c r="B376" s="8" t="s">
        <v>3310</v>
      </c>
      <c r="C376" s="8" t="s">
        <v>3311</v>
      </c>
      <c r="D376" s="8" t="s">
        <v>3312</v>
      </c>
      <c r="E376" s="105">
        <v>1.82</v>
      </c>
      <c r="F376" s="106" t="s">
        <v>2024</v>
      </c>
      <c r="G376" s="8"/>
      <c r="H376" s="8"/>
      <c r="I376" s="107">
        <v>0</v>
      </c>
      <c r="J376" s="8" t="s">
        <v>2019</v>
      </c>
    </row>
    <row r="377" spans="1:10" ht="16.5" customHeight="1" x14ac:dyDescent="0.25">
      <c r="A377" s="8" t="s">
        <v>3313</v>
      </c>
      <c r="B377" s="8" t="s">
        <v>3314</v>
      </c>
      <c r="C377" s="8" t="s">
        <v>3315</v>
      </c>
      <c r="D377" s="8" t="s">
        <v>3316</v>
      </c>
      <c r="E377" s="105">
        <v>4.55</v>
      </c>
      <c r="F377" s="106" t="s">
        <v>2024</v>
      </c>
      <c r="G377" s="8"/>
      <c r="H377" s="8"/>
      <c r="I377" s="107">
        <v>0</v>
      </c>
      <c r="J377" s="8" t="s">
        <v>2019</v>
      </c>
    </row>
    <row r="378" spans="1:10" ht="16.5" customHeight="1" x14ac:dyDescent="0.25">
      <c r="A378" s="8" t="s">
        <v>3317</v>
      </c>
      <c r="B378" s="8" t="s">
        <v>3318</v>
      </c>
      <c r="C378" s="8" t="s">
        <v>3319</v>
      </c>
      <c r="D378" s="8" t="s">
        <v>3320</v>
      </c>
      <c r="E378" s="105">
        <v>19.600000000000001</v>
      </c>
      <c r="F378" s="106" t="s">
        <v>2024</v>
      </c>
      <c r="G378" s="8"/>
      <c r="H378" s="8"/>
      <c r="I378" s="107">
        <v>0</v>
      </c>
      <c r="J378" s="8" t="s">
        <v>2019</v>
      </c>
    </row>
    <row r="379" spans="1:10" ht="16.5" customHeight="1" x14ac:dyDescent="0.25">
      <c r="A379" s="8" t="s">
        <v>3321</v>
      </c>
      <c r="B379" s="8" t="s">
        <v>3322</v>
      </c>
      <c r="C379" s="8" t="s">
        <v>3323</v>
      </c>
      <c r="D379" s="8" t="s">
        <v>3324</v>
      </c>
      <c r="E379" s="105">
        <v>19.600000000000001</v>
      </c>
      <c r="F379" s="106" t="s">
        <v>2024</v>
      </c>
      <c r="G379" s="8"/>
      <c r="H379" s="8"/>
      <c r="I379" s="107">
        <v>0</v>
      </c>
      <c r="J379" s="8" t="s">
        <v>2019</v>
      </c>
    </row>
    <row r="380" spans="1:10" ht="16.5" customHeight="1" x14ac:dyDescent="0.25">
      <c r="A380" s="8" t="s">
        <v>3325</v>
      </c>
      <c r="B380" s="8" t="s">
        <v>3326</v>
      </c>
      <c r="C380" s="8" t="s">
        <v>1212</v>
      </c>
      <c r="D380" s="8" t="s">
        <v>3327</v>
      </c>
      <c r="E380" s="105">
        <v>19.600000000000001</v>
      </c>
      <c r="F380" s="106" t="s">
        <v>2024</v>
      </c>
      <c r="G380" s="8"/>
      <c r="H380" s="8"/>
      <c r="I380" s="107">
        <v>0</v>
      </c>
      <c r="J380" s="8" t="s">
        <v>2019</v>
      </c>
    </row>
    <row r="381" spans="1:10" ht="16.5" customHeight="1" x14ac:dyDescent="0.25">
      <c r="A381" s="8" t="s">
        <v>3328</v>
      </c>
      <c r="B381" s="8" t="s">
        <v>3329</v>
      </c>
      <c r="C381" s="8" t="s">
        <v>3330</v>
      </c>
      <c r="D381" s="8" t="s">
        <v>3331</v>
      </c>
      <c r="E381" s="105">
        <v>2.73</v>
      </c>
      <c r="F381" s="106" t="s">
        <v>2024</v>
      </c>
      <c r="G381" s="8"/>
      <c r="H381" s="8"/>
      <c r="I381" s="107">
        <v>0</v>
      </c>
      <c r="J381" s="8" t="s">
        <v>2019</v>
      </c>
    </row>
    <row r="382" spans="1:10" ht="16.5" customHeight="1" x14ac:dyDescent="0.25">
      <c r="A382" s="8" t="s">
        <v>3332</v>
      </c>
      <c r="B382" s="8" t="s">
        <v>3333</v>
      </c>
      <c r="C382" s="8" t="s">
        <v>3334</v>
      </c>
      <c r="D382" s="8" t="s">
        <v>3335</v>
      </c>
      <c r="E382" s="105">
        <v>19.655999999999999</v>
      </c>
      <c r="F382" s="106" t="s">
        <v>2024</v>
      </c>
      <c r="G382" s="8"/>
      <c r="H382" s="8"/>
      <c r="I382" s="107">
        <v>0</v>
      </c>
      <c r="J382" s="8" t="s">
        <v>2019</v>
      </c>
    </row>
    <row r="383" spans="1:10" ht="16.5" customHeight="1" x14ac:dyDescent="0.25">
      <c r="A383" s="8" t="s">
        <v>3336</v>
      </c>
      <c r="B383" s="8" t="s">
        <v>3337</v>
      </c>
      <c r="C383" s="8" t="s">
        <v>2552</v>
      </c>
      <c r="D383" s="8" t="s">
        <v>3338</v>
      </c>
      <c r="E383" s="105">
        <v>19.100000000000001</v>
      </c>
      <c r="F383" s="106" t="s">
        <v>2024</v>
      </c>
      <c r="G383" s="8"/>
      <c r="H383" s="8"/>
      <c r="I383" s="107">
        <v>0</v>
      </c>
      <c r="J383" s="8" t="s">
        <v>2019</v>
      </c>
    </row>
    <row r="384" spans="1:10" ht="16.5" customHeight="1" x14ac:dyDescent="0.25">
      <c r="A384" s="8" t="s">
        <v>3339</v>
      </c>
      <c r="B384" s="8" t="s">
        <v>3340</v>
      </c>
      <c r="C384" s="8" t="s">
        <v>3341</v>
      </c>
      <c r="D384" s="8" t="s">
        <v>3342</v>
      </c>
      <c r="E384" s="105">
        <v>19.600000000000001</v>
      </c>
      <c r="F384" s="106" t="s">
        <v>2024</v>
      </c>
      <c r="G384" s="8"/>
      <c r="H384" s="8"/>
      <c r="I384" s="107">
        <v>0</v>
      </c>
      <c r="J384" s="8" t="s">
        <v>2019</v>
      </c>
    </row>
    <row r="385" spans="1:10" ht="16.5" customHeight="1" x14ac:dyDescent="0.25">
      <c r="A385" s="8" t="s">
        <v>3343</v>
      </c>
      <c r="B385" s="8" t="s">
        <v>3344</v>
      </c>
      <c r="C385" s="8" t="s">
        <v>1101</v>
      </c>
      <c r="D385" s="8" t="s">
        <v>3345</v>
      </c>
      <c r="E385" s="105">
        <v>19.11</v>
      </c>
      <c r="F385" s="106" t="s">
        <v>2024</v>
      </c>
      <c r="G385" s="8"/>
      <c r="H385" s="8"/>
      <c r="I385" s="107">
        <v>0</v>
      </c>
      <c r="J385" s="8" t="s">
        <v>2019</v>
      </c>
    </row>
    <row r="386" spans="1:10" ht="16.5" customHeight="1" x14ac:dyDescent="0.25">
      <c r="A386" s="8" t="s">
        <v>3346</v>
      </c>
      <c r="B386" s="8" t="s">
        <v>3347</v>
      </c>
      <c r="C386" s="8" t="s">
        <v>3348</v>
      </c>
      <c r="D386" s="8" t="s">
        <v>3349</v>
      </c>
      <c r="E386" s="105">
        <v>190</v>
      </c>
      <c r="F386" s="106" t="s">
        <v>2024</v>
      </c>
      <c r="G386" s="8"/>
      <c r="H386" s="8"/>
      <c r="I386" s="107">
        <v>0</v>
      </c>
      <c r="J386" s="8" t="s">
        <v>2019</v>
      </c>
    </row>
    <row r="387" spans="1:10" ht="16.5" customHeight="1" x14ac:dyDescent="0.25">
      <c r="A387" s="8" t="s">
        <v>3350</v>
      </c>
      <c r="B387" s="8" t="s">
        <v>3351</v>
      </c>
      <c r="C387" s="8" t="s">
        <v>3352</v>
      </c>
      <c r="D387" s="8" t="s">
        <v>3353</v>
      </c>
      <c r="E387" s="105">
        <v>190</v>
      </c>
      <c r="F387" s="106" t="s">
        <v>2024</v>
      </c>
      <c r="G387" s="8"/>
      <c r="H387" s="8"/>
      <c r="I387" s="107">
        <v>0</v>
      </c>
      <c r="J387" s="8" t="s">
        <v>2019</v>
      </c>
    </row>
    <row r="388" spans="1:10" ht="16.5" customHeight="1" x14ac:dyDescent="0.25">
      <c r="A388" s="8" t="s">
        <v>3354</v>
      </c>
      <c r="B388" s="8" t="s">
        <v>3355</v>
      </c>
      <c r="C388" s="8" t="s">
        <v>3356</v>
      </c>
      <c r="D388" s="8" t="s">
        <v>3357</v>
      </c>
      <c r="E388" s="105">
        <v>18</v>
      </c>
      <c r="F388" s="106" t="s">
        <v>2024</v>
      </c>
      <c r="G388" s="8"/>
      <c r="H388" s="8"/>
      <c r="I388" s="107">
        <v>0</v>
      </c>
      <c r="J388" s="8" t="s">
        <v>2019</v>
      </c>
    </row>
    <row r="389" spans="1:10" ht="16.5" customHeight="1" x14ac:dyDescent="0.25">
      <c r="A389" s="8" t="s">
        <v>3358</v>
      </c>
      <c r="B389" s="8" t="s">
        <v>3359</v>
      </c>
      <c r="C389" s="8" t="s">
        <v>3360</v>
      </c>
      <c r="D389" s="8" t="s">
        <v>3361</v>
      </c>
      <c r="E389" s="105">
        <v>18</v>
      </c>
      <c r="F389" s="106" t="s">
        <v>2024</v>
      </c>
      <c r="G389" s="8"/>
      <c r="H389" s="8"/>
      <c r="I389" s="107">
        <v>0</v>
      </c>
      <c r="J389" s="8" t="s">
        <v>2019</v>
      </c>
    </row>
    <row r="390" spans="1:10" ht="16.5" customHeight="1" x14ac:dyDescent="0.25">
      <c r="A390" s="8" t="s">
        <v>3362</v>
      </c>
      <c r="B390" s="8" t="s">
        <v>3363</v>
      </c>
      <c r="C390" s="8" t="s">
        <v>3364</v>
      </c>
      <c r="D390" s="8" t="s">
        <v>3365</v>
      </c>
      <c r="E390" s="105">
        <v>185</v>
      </c>
      <c r="F390" s="106" t="s">
        <v>2024</v>
      </c>
      <c r="G390" s="8"/>
      <c r="H390" s="8"/>
      <c r="I390" s="107">
        <v>0</v>
      </c>
      <c r="J390" s="8" t="s">
        <v>2019</v>
      </c>
    </row>
    <row r="391" spans="1:10" ht="16.5" customHeight="1" x14ac:dyDescent="0.25">
      <c r="A391" s="8" t="s">
        <v>3366</v>
      </c>
      <c r="B391" s="8" t="s">
        <v>3367</v>
      </c>
      <c r="C391" s="8" t="s">
        <v>3368</v>
      </c>
      <c r="D391" s="8" t="s">
        <v>3369</v>
      </c>
      <c r="E391" s="105">
        <v>185</v>
      </c>
      <c r="F391" s="106" t="s">
        <v>2024</v>
      </c>
      <c r="G391" s="8"/>
      <c r="H391" s="8"/>
      <c r="I391" s="107">
        <v>0</v>
      </c>
      <c r="J391" s="8" t="s">
        <v>2019</v>
      </c>
    </row>
    <row r="392" spans="1:10" ht="16.5" customHeight="1" x14ac:dyDescent="0.25">
      <c r="A392" s="8" t="s">
        <v>3370</v>
      </c>
      <c r="B392" s="8" t="s">
        <v>3371</v>
      </c>
      <c r="C392" s="8" t="s">
        <v>3372</v>
      </c>
      <c r="D392" s="8" t="s">
        <v>3373</v>
      </c>
      <c r="E392" s="105">
        <v>1</v>
      </c>
      <c r="F392" s="106" t="s">
        <v>2024</v>
      </c>
      <c r="G392" s="8"/>
      <c r="H392" s="8"/>
      <c r="I392" s="107">
        <v>0</v>
      </c>
      <c r="J392" s="8" t="s">
        <v>2019</v>
      </c>
    </row>
    <row r="393" spans="1:10" ht="16.5" customHeight="1" x14ac:dyDescent="0.25">
      <c r="A393" s="8" t="s">
        <v>3374</v>
      </c>
      <c r="B393" s="8" t="s">
        <v>3375</v>
      </c>
      <c r="C393" s="8" t="s">
        <v>3376</v>
      </c>
      <c r="D393" s="8" t="s">
        <v>2309</v>
      </c>
      <c r="E393" s="105">
        <v>1</v>
      </c>
      <c r="F393" s="106" t="s">
        <v>2024</v>
      </c>
      <c r="G393" s="8"/>
      <c r="H393" s="8"/>
      <c r="I393" s="107">
        <v>0</v>
      </c>
      <c r="J393" s="8" t="s">
        <v>2019</v>
      </c>
    </row>
    <row r="394" spans="1:10" ht="16.5" customHeight="1" x14ac:dyDescent="0.25">
      <c r="A394" s="8" t="s">
        <v>3377</v>
      </c>
      <c r="B394" s="8" t="s">
        <v>3378</v>
      </c>
      <c r="C394" s="8" t="s">
        <v>3379</v>
      </c>
      <c r="D394" s="8" t="s">
        <v>3380</v>
      </c>
      <c r="E394" s="105">
        <v>10.92</v>
      </c>
      <c r="F394" s="106" t="s">
        <v>2024</v>
      </c>
      <c r="G394" s="8"/>
      <c r="H394" s="8"/>
      <c r="I394" s="107">
        <v>0</v>
      </c>
      <c r="J394" s="8" t="s">
        <v>2019</v>
      </c>
    </row>
    <row r="395" spans="1:10" ht="16.5" customHeight="1" x14ac:dyDescent="0.25">
      <c r="A395" s="8" t="s">
        <v>3381</v>
      </c>
      <c r="B395" s="8" t="s">
        <v>3382</v>
      </c>
      <c r="C395" s="8" t="s">
        <v>3379</v>
      </c>
      <c r="D395" s="8" t="s">
        <v>3383</v>
      </c>
      <c r="E395" s="105">
        <v>0.22800000000000001</v>
      </c>
      <c r="F395" s="106" t="s">
        <v>2024</v>
      </c>
      <c r="G395" s="8"/>
      <c r="H395" s="8"/>
      <c r="I395" s="107">
        <v>0</v>
      </c>
      <c r="J395" s="8" t="s">
        <v>2019</v>
      </c>
    </row>
    <row r="396" spans="1:10" ht="16.5" customHeight="1" x14ac:dyDescent="0.25">
      <c r="A396" s="8" t="s">
        <v>1088</v>
      </c>
      <c r="B396" s="8" t="s">
        <v>1090</v>
      </c>
      <c r="C396" s="8" t="s">
        <v>1089</v>
      </c>
      <c r="D396" s="8" t="s">
        <v>3384</v>
      </c>
      <c r="E396" s="105">
        <v>10.92</v>
      </c>
      <c r="F396" s="106" t="s">
        <v>2018</v>
      </c>
      <c r="G396" s="8"/>
      <c r="H396" s="8" t="s">
        <v>1314</v>
      </c>
      <c r="I396" s="107">
        <v>12</v>
      </c>
      <c r="J396" s="8" t="s">
        <v>2019</v>
      </c>
    </row>
    <row r="397" spans="1:10" ht="16.5" customHeight="1" x14ac:dyDescent="0.25">
      <c r="A397" s="8" t="s">
        <v>1314</v>
      </c>
      <c r="B397" s="8" t="s">
        <v>3385</v>
      </c>
      <c r="C397" s="8" t="s">
        <v>1089</v>
      </c>
      <c r="D397" s="8" t="s">
        <v>3386</v>
      </c>
      <c r="E397" s="105">
        <v>0.91</v>
      </c>
      <c r="F397" s="106" t="s">
        <v>2018</v>
      </c>
      <c r="G397" s="8"/>
      <c r="H397" s="8"/>
      <c r="I397" s="107">
        <v>0</v>
      </c>
      <c r="J397" s="8" t="s">
        <v>2019</v>
      </c>
    </row>
    <row r="398" spans="1:10" ht="16.5" customHeight="1" x14ac:dyDescent="0.25">
      <c r="A398" s="8" t="s">
        <v>3387</v>
      </c>
      <c r="B398" s="8" t="s">
        <v>3388</v>
      </c>
      <c r="C398" s="8" t="s">
        <v>3389</v>
      </c>
      <c r="D398" s="8" t="s">
        <v>3390</v>
      </c>
      <c r="E398" s="105">
        <v>10.92</v>
      </c>
      <c r="F398" s="106" t="s">
        <v>2024</v>
      </c>
      <c r="G398" s="8"/>
      <c r="H398" s="8"/>
      <c r="I398" s="107">
        <v>0</v>
      </c>
      <c r="J398" s="8" t="s">
        <v>2019</v>
      </c>
    </row>
    <row r="399" spans="1:10" ht="16.5" customHeight="1" x14ac:dyDescent="0.25">
      <c r="A399" s="8" t="s">
        <v>1158</v>
      </c>
      <c r="B399" s="8" t="s">
        <v>1160</v>
      </c>
      <c r="C399" s="8" t="s">
        <v>1159</v>
      </c>
      <c r="D399" s="8" t="s">
        <v>3391</v>
      </c>
      <c r="E399" s="105">
        <v>10.92</v>
      </c>
      <c r="F399" s="106" t="s">
        <v>2018</v>
      </c>
      <c r="G399" s="8"/>
      <c r="H399" s="8" t="s">
        <v>1925</v>
      </c>
      <c r="I399" s="107">
        <v>6</v>
      </c>
      <c r="J399" s="8" t="s">
        <v>2019</v>
      </c>
    </row>
    <row r="400" spans="1:10" ht="16.5" customHeight="1" x14ac:dyDescent="0.25">
      <c r="A400" s="8" t="s">
        <v>1925</v>
      </c>
      <c r="B400" s="8" t="s">
        <v>3392</v>
      </c>
      <c r="C400" s="8" t="s">
        <v>1159</v>
      </c>
      <c r="D400" s="8" t="s">
        <v>3393</v>
      </c>
      <c r="E400" s="105">
        <v>1.82</v>
      </c>
      <c r="F400" s="106" t="s">
        <v>2018</v>
      </c>
      <c r="G400" s="8"/>
      <c r="H400" s="8"/>
      <c r="I400" s="107">
        <v>0</v>
      </c>
      <c r="J400" s="8" t="s">
        <v>2019</v>
      </c>
    </row>
    <row r="401" spans="1:10" ht="16.5" customHeight="1" x14ac:dyDescent="0.25">
      <c r="A401" s="8" t="s">
        <v>1100</v>
      </c>
      <c r="B401" s="8" t="s">
        <v>1102</v>
      </c>
      <c r="C401" s="8" t="s">
        <v>1101</v>
      </c>
      <c r="D401" s="8" t="s">
        <v>3394</v>
      </c>
      <c r="E401" s="105">
        <v>18.2</v>
      </c>
      <c r="F401" s="106" t="s">
        <v>2018</v>
      </c>
      <c r="G401" s="8"/>
      <c r="H401" s="8" t="s">
        <v>1334</v>
      </c>
      <c r="I401" s="107">
        <v>4</v>
      </c>
      <c r="J401" s="8" t="s">
        <v>2019</v>
      </c>
    </row>
    <row r="402" spans="1:10" ht="16.5" customHeight="1" x14ac:dyDescent="0.25">
      <c r="A402" s="8" t="s">
        <v>1334</v>
      </c>
      <c r="B402" s="8" t="s">
        <v>1335</v>
      </c>
      <c r="C402" s="8" t="s">
        <v>1101</v>
      </c>
      <c r="D402" s="8" t="s">
        <v>3395</v>
      </c>
      <c r="E402" s="105">
        <v>4.55</v>
      </c>
      <c r="F402" s="106" t="s">
        <v>2018</v>
      </c>
      <c r="G402" s="8"/>
      <c r="H402" s="8"/>
      <c r="I402" s="107">
        <v>0</v>
      </c>
      <c r="J402" s="8" t="s">
        <v>2019</v>
      </c>
    </row>
    <row r="403" spans="1:10" ht="16.5" customHeight="1" x14ac:dyDescent="0.25">
      <c r="A403" s="8" t="s">
        <v>3396</v>
      </c>
      <c r="B403" s="8" t="s">
        <v>3397</v>
      </c>
      <c r="C403" s="8" t="s">
        <v>3398</v>
      </c>
      <c r="D403" s="8" t="s">
        <v>3399</v>
      </c>
      <c r="E403" s="105">
        <v>18.2</v>
      </c>
      <c r="F403" s="106" t="s">
        <v>2024</v>
      </c>
      <c r="G403" s="8"/>
      <c r="H403" s="8"/>
      <c r="I403" s="107">
        <v>0</v>
      </c>
      <c r="J403" s="8" t="s">
        <v>2019</v>
      </c>
    </row>
    <row r="404" spans="1:10" ht="16.5" customHeight="1" x14ac:dyDescent="0.25">
      <c r="A404" s="8" t="s">
        <v>3400</v>
      </c>
      <c r="B404" s="8" t="s">
        <v>3401</v>
      </c>
      <c r="C404" s="8" t="s">
        <v>1215</v>
      </c>
      <c r="D404" s="8" t="s">
        <v>3402</v>
      </c>
      <c r="E404" s="105">
        <v>7.28</v>
      </c>
      <c r="F404" s="106" t="s">
        <v>2024</v>
      </c>
      <c r="G404" s="8"/>
      <c r="H404" s="8"/>
      <c r="I404" s="107">
        <v>0</v>
      </c>
      <c r="J404" s="8" t="s">
        <v>2019</v>
      </c>
    </row>
    <row r="405" spans="1:10" ht="16.5" customHeight="1" x14ac:dyDescent="0.25">
      <c r="A405" s="8" t="s">
        <v>3403</v>
      </c>
      <c r="B405" s="8" t="s">
        <v>3404</v>
      </c>
      <c r="C405" s="8" t="s">
        <v>1215</v>
      </c>
      <c r="D405" s="8" t="s">
        <v>3405</v>
      </c>
      <c r="E405" s="105">
        <v>10.92</v>
      </c>
      <c r="F405" s="106" t="s">
        <v>2024</v>
      </c>
      <c r="G405" s="8"/>
      <c r="H405" s="8"/>
      <c r="I405" s="107">
        <v>0</v>
      </c>
      <c r="J405" s="8" t="s">
        <v>2019</v>
      </c>
    </row>
    <row r="406" spans="1:10" ht="16.5" customHeight="1" x14ac:dyDescent="0.25">
      <c r="A406" s="8" t="s">
        <v>1332</v>
      </c>
      <c r="B406" s="8" t="s">
        <v>1333</v>
      </c>
      <c r="C406" s="8" t="s">
        <v>1215</v>
      </c>
      <c r="D406" s="8" t="s">
        <v>3406</v>
      </c>
      <c r="E406" s="105">
        <v>0.36399999999999999</v>
      </c>
      <c r="F406" s="106" t="s">
        <v>2018</v>
      </c>
      <c r="G406" s="8"/>
      <c r="H406" s="8"/>
      <c r="I406" s="107">
        <v>0</v>
      </c>
      <c r="J406" s="8" t="s">
        <v>2019</v>
      </c>
    </row>
    <row r="407" spans="1:10" ht="16.5" customHeight="1" x14ac:dyDescent="0.25">
      <c r="A407" s="8" t="s">
        <v>986</v>
      </c>
      <c r="B407" s="8" t="s">
        <v>988</v>
      </c>
      <c r="C407" s="8" t="s">
        <v>987</v>
      </c>
      <c r="D407" s="8" t="s">
        <v>3407</v>
      </c>
      <c r="E407" s="105">
        <v>10.92</v>
      </c>
      <c r="F407" s="106" t="s">
        <v>2018</v>
      </c>
      <c r="G407" s="8"/>
      <c r="H407" s="8" t="s">
        <v>3408</v>
      </c>
      <c r="I407" s="107">
        <v>12</v>
      </c>
      <c r="J407" s="8" t="s">
        <v>2019</v>
      </c>
    </row>
    <row r="408" spans="1:10" ht="16.5" customHeight="1" x14ac:dyDescent="0.25">
      <c r="A408" s="8" t="s">
        <v>3408</v>
      </c>
      <c r="B408" s="8" t="s">
        <v>3409</v>
      </c>
      <c r="C408" s="8" t="s">
        <v>987</v>
      </c>
      <c r="D408" s="8" t="s">
        <v>3410</v>
      </c>
      <c r="E408" s="105">
        <v>0.91</v>
      </c>
      <c r="F408" s="106" t="s">
        <v>2018</v>
      </c>
      <c r="G408" s="8"/>
      <c r="H408" s="8"/>
      <c r="I408" s="107">
        <v>0</v>
      </c>
      <c r="J408" s="8" t="s">
        <v>2019</v>
      </c>
    </row>
    <row r="409" spans="1:10" ht="16.5" customHeight="1" x14ac:dyDescent="0.25">
      <c r="A409" s="8" t="s">
        <v>1208</v>
      </c>
      <c r="B409" s="8" t="s">
        <v>1210</v>
      </c>
      <c r="C409" s="8" t="s">
        <v>1209</v>
      </c>
      <c r="D409" s="8" t="s">
        <v>3411</v>
      </c>
      <c r="E409" s="105">
        <v>10.92</v>
      </c>
      <c r="F409" s="106" t="s">
        <v>2018</v>
      </c>
      <c r="G409" s="8"/>
      <c r="H409" s="8" t="s">
        <v>3412</v>
      </c>
      <c r="I409" s="107">
        <v>6</v>
      </c>
      <c r="J409" s="8" t="s">
        <v>2019</v>
      </c>
    </row>
    <row r="410" spans="1:10" ht="16.5" customHeight="1" x14ac:dyDescent="0.25">
      <c r="A410" s="8" t="s">
        <v>3412</v>
      </c>
      <c r="B410" s="8" t="s">
        <v>3413</v>
      </c>
      <c r="C410" s="8" t="s">
        <v>1209</v>
      </c>
      <c r="D410" s="8" t="s">
        <v>3414</v>
      </c>
      <c r="E410" s="105">
        <v>1.82</v>
      </c>
      <c r="F410" s="106" t="s">
        <v>2018</v>
      </c>
      <c r="G410" s="8"/>
      <c r="H410" s="8"/>
      <c r="I410" s="107">
        <v>0</v>
      </c>
      <c r="J410" s="8" t="s">
        <v>2019</v>
      </c>
    </row>
    <row r="411" spans="1:10" ht="16.5" customHeight="1" x14ac:dyDescent="0.25">
      <c r="A411" s="8" t="s">
        <v>1211</v>
      </c>
      <c r="B411" s="8" t="s">
        <v>1213</v>
      </c>
      <c r="C411" s="8" t="s">
        <v>1212</v>
      </c>
      <c r="D411" s="8" t="s">
        <v>3415</v>
      </c>
      <c r="E411" s="105">
        <v>18.2</v>
      </c>
      <c r="F411" s="106" t="s">
        <v>2018</v>
      </c>
      <c r="G411" s="8"/>
      <c r="H411" s="8" t="s">
        <v>3416</v>
      </c>
      <c r="I411" s="107">
        <v>4</v>
      </c>
      <c r="J411" s="8" t="s">
        <v>2019</v>
      </c>
    </row>
    <row r="412" spans="1:10" ht="16.5" customHeight="1" x14ac:dyDescent="0.25">
      <c r="A412" s="8" t="s">
        <v>3416</v>
      </c>
      <c r="B412" s="8" t="s">
        <v>3417</v>
      </c>
      <c r="C412" s="8" t="s">
        <v>1212</v>
      </c>
      <c r="D412" s="8" t="s">
        <v>3418</v>
      </c>
      <c r="E412" s="105">
        <v>4.55</v>
      </c>
      <c r="F412" s="106" t="s">
        <v>2018</v>
      </c>
      <c r="G412" s="8"/>
      <c r="H412" s="8"/>
      <c r="I412" s="107">
        <v>0</v>
      </c>
      <c r="J412" s="8" t="s">
        <v>2019</v>
      </c>
    </row>
    <row r="413" spans="1:10" ht="16.5" customHeight="1" x14ac:dyDescent="0.25">
      <c r="A413" s="8" t="s">
        <v>3419</v>
      </c>
      <c r="B413" s="8" t="s">
        <v>3420</v>
      </c>
      <c r="C413" s="8" t="s">
        <v>3421</v>
      </c>
      <c r="D413" s="8" t="s">
        <v>3422</v>
      </c>
      <c r="E413" s="105">
        <v>7.28</v>
      </c>
      <c r="F413" s="106" t="s">
        <v>2024</v>
      </c>
      <c r="G413" s="8"/>
      <c r="H413" s="8"/>
      <c r="I413" s="107">
        <v>0</v>
      </c>
      <c r="J413" s="8" t="s">
        <v>2019</v>
      </c>
    </row>
    <row r="414" spans="1:10" ht="16.5" customHeight="1" x14ac:dyDescent="0.25">
      <c r="A414" s="8" t="s">
        <v>3423</v>
      </c>
      <c r="B414" s="8" t="s">
        <v>3424</v>
      </c>
      <c r="C414" s="8" t="s">
        <v>3425</v>
      </c>
      <c r="D414" s="8" t="s">
        <v>3426</v>
      </c>
      <c r="E414" s="105">
        <v>0.36399999999999999</v>
      </c>
      <c r="F414" s="106" t="s">
        <v>2024</v>
      </c>
      <c r="G414" s="8"/>
      <c r="H414" s="8"/>
      <c r="I414" s="107">
        <v>0</v>
      </c>
      <c r="J414" s="8" t="s">
        <v>2019</v>
      </c>
    </row>
    <row r="415" spans="1:10" ht="16.5" customHeight="1" x14ac:dyDescent="0.25">
      <c r="A415" s="8" t="s">
        <v>3427</v>
      </c>
      <c r="B415" s="8" t="s">
        <v>3428</v>
      </c>
      <c r="C415" s="8" t="s">
        <v>3429</v>
      </c>
      <c r="D415" s="8" t="s">
        <v>3430</v>
      </c>
      <c r="E415" s="105">
        <v>14.56</v>
      </c>
      <c r="F415" s="106" t="s">
        <v>2024</v>
      </c>
      <c r="G415" s="8"/>
      <c r="H415" s="8"/>
      <c r="I415" s="107">
        <v>0</v>
      </c>
      <c r="J415" s="8" t="s">
        <v>2019</v>
      </c>
    </row>
    <row r="416" spans="1:10" ht="16.5" customHeight="1" x14ac:dyDescent="0.25">
      <c r="A416" s="8" t="s">
        <v>1094</v>
      </c>
      <c r="B416" s="8" t="s">
        <v>1096</v>
      </c>
      <c r="C416" s="8" t="s">
        <v>1095</v>
      </c>
      <c r="D416" s="8" t="s">
        <v>3431</v>
      </c>
      <c r="E416" s="105">
        <v>25</v>
      </c>
      <c r="F416" s="106" t="s">
        <v>2018</v>
      </c>
      <c r="G416" s="8"/>
      <c r="H416" s="8"/>
      <c r="I416" s="107">
        <v>0</v>
      </c>
      <c r="J416" s="8" t="s">
        <v>2019</v>
      </c>
    </row>
    <row r="417" spans="1:10" ht="16.5" customHeight="1" x14ac:dyDescent="0.25">
      <c r="A417" s="8" t="s">
        <v>3432</v>
      </c>
      <c r="B417" s="8" t="s">
        <v>3433</v>
      </c>
      <c r="C417" s="8" t="s">
        <v>3434</v>
      </c>
      <c r="D417" s="8" t="s">
        <v>3435</v>
      </c>
      <c r="E417" s="105">
        <v>25</v>
      </c>
      <c r="F417" s="106" t="s">
        <v>2024</v>
      </c>
      <c r="G417" s="8"/>
      <c r="H417" s="8"/>
      <c r="I417" s="107">
        <v>0</v>
      </c>
      <c r="J417" s="8" t="s">
        <v>2019</v>
      </c>
    </row>
    <row r="418" spans="1:10" ht="16.5" customHeight="1" x14ac:dyDescent="0.25">
      <c r="A418" s="8" t="s">
        <v>3436</v>
      </c>
      <c r="B418" s="8" t="s">
        <v>3437</v>
      </c>
      <c r="C418" s="8" t="s">
        <v>3438</v>
      </c>
      <c r="D418" s="8" t="s">
        <v>3439</v>
      </c>
      <c r="E418" s="105">
        <v>190</v>
      </c>
      <c r="F418" s="106" t="s">
        <v>2024</v>
      </c>
      <c r="G418" s="8"/>
      <c r="H418" s="8"/>
      <c r="I418" s="107">
        <v>0</v>
      </c>
      <c r="J418" s="8" t="s">
        <v>2019</v>
      </c>
    </row>
    <row r="419" spans="1:10" ht="16.5" customHeight="1" x14ac:dyDescent="0.25">
      <c r="A419" s="8" t="s">
        <v>3440</v>
      </c>
      <c r="B419" s="8" t="s">
        <v>3441</v>
      </c>
      <c r="C419" s="8" t="s">
        <v>3442</v>
      </c>
      <c r="D419" s="8" t="s">
        <v>3443</v>
      </c>
      <c r="E419" s="105">
        <v>190</v>
      </c>
      <c r="F419" s="106" t="s">
        <v>2024</v>
      </c>
      <c r="G419" s="8"/>
      <c r="H419" s="8"/>
      <c r="I419" s="107">
        <v>0</v>
      </c>
      <c r="J419" s="8" t="s">
        <v>2019</v>
      </c>
    </row>
    <row r="420" spans="1:10" ht="16.5" customHeight="1" x14ac:dyDescent="0.25">
      <c r="A420" s="8" t="s">
        <v>1221</v>
      </c>
      <c r="B420" s="8" t="s">
        <v>1223</v>
      </c>
      <c r="C420" s="8" t="s">
        <v>1222</v>
      </c>
      <c r="D420" s="8" t="s">
        <v>3444</v>
      </c>
      <c r="E420" s="105">
        <v>18</v>
      </c>
      <c r="F420" s="106" t="s">
        <v>2018</v>
      </c>
      <c r="G420" s="8"/>
      <c r="H420" s="8"/>
      <c r="I420" s="107">
        <v>0</v>
      </c>
      <c r="J420" s="8" t="s">
        <v>2019</v>
      </c>
    </row>
    <row r="421" spans="1:10" ht="16.5" customHeight="1" x14ac:dyDescent="0.25">
      <c r="A421" s="8" t="s">
        <v>3445</v>
      </c>
      <c r="B421" s="8" t="s">
        <v>3446</v>
      </c>
      <c r="C421" s="8" t="s">
        <v>3447</v>
      </c>
      <c r="D421" s="8" t="s">
        <v>3448</v>
      </c>
      <c r="E421" s="105">
        <v>18</v>
      </c>
      <c r="F421" s="106" t="s">
        <v>2024</v>
      </c>
      <c r="G421" s="8"/>
      <c r="H421" s="8"/>
      <c r="I421" s="107">
        <v>0</v>
      </c>
      <c r="J421" s="8" t="s">
        <v>2019</v>
      </c>
    </row>
    <row r="422" spans="1:10" ht="16.5" customHeight="1" x14ac:dyDescent="0.25">
      <c r="A422" s="8" t="s">
        <v>3449</v>
      </c>
      <c r="B422" s="8" t="s">
        <v>3450</v>
      </c>
      <c r="C422" s="8" t="s">
        <v>3451</v>
      </c>
      <c r="D422" s="8" t="s">
        <v>3452</v>
      </c>
      <c r="E422" s="105">
        <v>0.91</v>
      </c>
      <c r="F422" s="106" t="s">
        <v>2024</v>
      </c>
      <c r="G422" s="8"/>
      <c r="H422" s="8"/>
      <c r="I422" s="107">
        <v>0</v>
      </c>
      <c r="J422" s="8" t="s">
        <v>2019</v>
      </c>
    </row>
    <row r="423" spans="1:10" ht="16.5" customHeight="1" x14ac:dyDescent="0.25">
      <c r="A423" s="8" t="s">
        <v>3453</v>
      </c>
      <c r="B423" s="8" t="s">
        <v>3454</v>
      </c>
      <c r="C423" s="8" t="s">
        <v>3455</v>
      </c>
      <c r="D423" s="8" t="s">
        <v>3456</v>
      </c>
      <c r="E423" s="105">
        <v>1.82</v>
      </c>
      <c r="F423" s="106" t="s">
        <v>2024</v>
      </c>
      <c r="G423" s="8"/>
      <c r="H423" s="8"/>
      <c r="I423" s="107">
        <v>0</v>
      </c>
      <c r="J423" s="8" t="s">
        <v>2019</v>
      </c>
    </row>
    <row r="424" spans="1:10" ht="16.5" customHeight="1" x14ac:dyDescent="0.25">
      <c r="A424" s="8" t="s">
        <v>3457</v>
      </c>
      <c r="B424" s="8" t="s">
        <v>3458</v>
      </c>
      <c r="C424" s="8" t="s">
        <v>3459</v>
      </c>
      <c r="D424" s="8" t="s">
        <v>3460</v>
      </c>
      <c r="E424" s="105">
        <v>4.55</v>
      </c>
      <c r="F424" s="106" t="s">
        <v>2024</v>
      </c>
      <c r="G424" s="8"/>
      <c r="H424" s="8"/>
      <c r="I424" s="107">
        <v>0</v>
      </c>
      <c r="J424" s="8" t="s">
        <v>2019</v>
      </c>
    </row>
    <row r="425" spans="1:10" ht="16.5" customHeight="1" x14ac:dyDescent="0.25">
      <c r="A425" s="8" t="s">
        <v>3461</v>
      </c>
      <c r="B425" s="8" t="s">
        <v>3462</v>
      </c>
      <c r="C425" s="8" t="s">
        <v>3463</v>
      </c>
      <c r="D425" s="8" t="s">
        <v>3464</v>
      </c>
      <c r="E425" s="105">
        <v>190</v>
      </c>
      <c r="F425" s="106" t="s">
        <v>2024</v>
      </c>
      <c r="G425" s="8"/>
      <c r="H425" s="8"/>
      <c r="I425" s="107">
        <v>0</v>
      </c>
      <c r="J425" s="8" t="s">
        <v>2019</v>
      </c>
    </row>
    <row r="426" spans="1:10" ht="16.5" customHeight="1" x14ac:dyDescent="0.25">
      <c r="A426" s="8" t="s">
        <v>977</v>
      </c>
      <c r="B426" s="8" t="s">
        <v>979</v>
      </c>
      <c r="C426" s="8" t="s">
        <v>978</v>
      </c>
      <c r="D426" s="8" t="s">
        <v>3465</v>
      </c>
      <c r="E426" s="105">
        <v>2.73</v>
      </c>
      <c r="F426" s="106" t="s">
        <v>2018</v>
      </c>
      <c r="G426" s="8"/>
      <c r="H426" s="8" t="s">
        <v>3466</v>
      </c>
      <c r="I426" s="107">
        <v>12</v>
      </c>
      <c r="J426" s="8" t="s">
        <v>2019</v>
      </c>
    </row>
    <row r="427" spans="1:10" ht="16.5" customHeight="1" x14ac:dyDescent="0.25">
      <c r="A427" s="8" t="s">
        <v>3466</v>
      </c>
      <c r="B427" s="8" t="s">
        <v>3467</v>
      </c>
      <c r="C427" s="8" t="s">
        <v>978</v>
      </c>
      <c r="D427" s="8" t="s">
        <v>3468</v>
      </c>
      <c r="E427" s="105">
        <v>0.22800000000000001</v>
      </c>
      <c r="F427" s="106" t="s">
        <v>2018</v>
      </c>
      <c r="G427" s="8"/>
      <c r="H427" s="8"/>
      <c r="I427" s="107">
        <v>0</v>
      </c>
      <c r="J427" s="8" t="s">
        <v>2019</v>
      </c>
    </row>
    <row r="428" spans="1:10" ht="16.5" customHeight="1" x14ac:dyDescent="0.25">
      <c r="A428" s="8" t="s">
        <v>968</v>
      </c>
      <c r="B428" s="8" t="s">
        <v>970</v>
      </c>
      <c r="C428" s="8" t="s">
        <v>969</v>
      </c>
      <c r="D428" s="8" t="s">
        <v>3469</v>
      </c>
      <c r="E428" s="105">
        <v>10.92</v>
      </c>
      <c r="F428" s="106" t="s">
        <v>2018</v>
      </c>
      <c r="G428" s="8"/>
      <c r="H428" s="8" t="s">
        <v>1340</v>
      </c>
      <c r="I428" s="107">
        <v>12</v>
      </c>
      <c r="J428" s="8" t="s">
        <v>2019</v>
      </c>
    </row>
    <row r="429" spans="1:10" ht="16.5" customHeight="1" x14ac:dyDescent="0.25">
      <c r="A429" s="8" t="s">
        <v>1340</v>
      </c>
      <c r="B429" s="8" t="s">
        <v>1341</v>
      </c>
      <c r="C429" s="8" t="s">
        <v>969</v>
      </c>
      <c r="D429" s="8" t="s">
        <v>3470</v>
      </c>
      <c r="E429" s="105">
        <v>0.91</v>
      </c>
      <c r="F429" s="106" t="s">
        <v>2018</v>
      </c>
      <c r="G429" s="8"/>
      <c r="H429" s="8"/>
      <c r="I429" s="107">
        <v>0</v>
      </c>
      <c r="J429" s="8" t="s">
        <v>2019</v>
      </c>
    </row>
    <row r="430" spans="1:10" ht="16.5" customHeight="1" x14ac:dyDescent="0.25">
      <c r="A430" s="8" t="s">
        <v>932</v>
      </c>
      <c r="B430" s="8" t="s">
        <v>934</v>
      </c>
      <c r="C430" s="8" t="s">
        <v>933</v>
      </c>
      <c r="D430" s="8" t="s">
        <v>3471</v>
      </c>
      <c r="E430" s="105">
        <v>18</v>
      </c>
      <c r="F430" s="106" t="s">
        <v>2018</v>
      </c>
      <c r="G430" s="8"/>
      <c r="H430" s="8"/>
      <c r="I430" s="107">
        <v>0</v>
      </c>
      <c r="J430" s="8" t="s">
        <v>2019</v>
      </c>
    </row>
    <row r="431" spans="1:10" ht="16.5" customHeight="1" x14ac:dyDescent="0.25">
      <c r="A431" s="8" t="s">
        <v>3472</v>
      </c>
      <c r="B431" s="8" t="s">
        <v>3473</v>
      </c>
      <c r="C431" s="8" t="s">
        <v>3474</v>
      </c>
      <c r="D431" s="8" t="s">
        <v>3471</v>
      </c>
      <c r="E431" s="105">
        <v>18</v>
      </c>
      <c r="F431" s="106" t="s">
        <v>2024</v>
      </c>
      <c r="G431" s="8"/>
      <c r="H431" s="8"/>
      <c r="I431" s="107">
        <v>0</v>
      </c>
      <c r="J431" s="8" t="s">
        <v>2019</v>
      </c>
    </row>
    <row r="432" spans="1:10" ht="16.5" customHeight="1" x14ac:dyDescent="0.25">
      <c r="A432" s="8" t="s">
        <v>1205</v>
      </c>
      <c r="B432" s="8" t="s">
        <v>1207</v>
      </c>
      <c r="C432" s="8" t="s">
        <v>1206</v>
      </c>
      <c r="D432" s="8" t="s">
        <v>3475</v>
      </c>
      <c r="E432" s="105">
        <v>10.92</v>
      </c>
      <c r="F432" s="106" t="s">
        <v>2018</v>
      </c>
      <c r="G432" s="8"/>
      <c r="H432" s="8" t="s">
        <v>1336</v>
      </c>
      <c r="I432" s="107">
        <v>12</v>
      </c>
      <c r="J432" s="8" t="s">
        <v>2019</v>
      </c>
    </row>
    <row r="433" spans="1:10" ht="16.5" customHeight="1" x14ac:dyDescent="0.25">
      <c r="A433" s="8" t="s">
        <v>1336</v>
      </c>
      <c r="B433" s="8" t="s">
        <v>1337</v>
      </c>
      <c r="C433" s="8" t="s">
        <v>1206</v>
      </c>
      <c r="D433" s="8" t="s">
        <v>3476</v>
      </c>
      <c r="E433" s="105">
        <v>0.91</v>
      </c>
      <c r="F433" s="106" t="s">
        <v>2018</v>
      </c>
      <c r="G433" s="8"/>
      <c r="H433" s="8"/>
      <c r="I433" s="107">
        <v>0</v>
      </c>
      <c r="J433" s="8" t="s">
        <v>2019</v>
      </c>
    </row>
    <row r="434" spans="1:10" ht="16.5" customHeight="1" x14ac:dyDescent="0.25">
      <c r="A434" s="8" t="s">
        <v>3477</v>
      </c>
      <c r="B434" s="8" t="s">
        <v>3478</v>
      </c>
      <c r="C434" s="8" t="s">
        <v>3479</v>
      </c>
      <c r="D434" s="8" t="s">
        <v>3480</v>
      </c>
      <c r="E434" s="105">
        <v>18</v>
      </c>
      <c r="F434" s="106" t="s">
        <v>2018</v>
      </c>
      <c r="G434" s="8"/>
      <c r="H434" s="8"/>
      <c r="I434" s="107">
        <v>0</v>
      </c>
      <c r="J434" s="8" t="s">
        <v>2019</v>
      </c>
    </row>
    <row r="435" spans="1:10" ht="16.5" customHeight="1" x14ac:dyDescent="0.25">
      <c r="A435" s="8" t="s">
        <v>3481</v>
      </c>
      <c r="B435" s="8" t="s">
        <v>3482</v>
      </c>
      <c r="C435" s="8" t="s">
        <v>3483</v>
      </c>
      <c r="D435" s="8" t="s">
        <v>3484</v>
      </c>
      <c r="E435" s="105">
        <v>18</v>
      </c>
      <c r="F435" s="106" t="s">
        <v>2024</v>
      </c>
      <c r="G435" s="8"/>
      <c r="H435" s="8"/>
      <c r="I435" s="107">
        <v>0</v>
      </c>
      <c r="J435" s="8" t="s">
        <v>2019</v>
      </c>
    </row>
    <row r="436" spans="1:10" ht="16.5" customHeight="1" x14ac:dyDescent="0.25">
      <c r="A436" s="8" t="s">
        <v>3485</v>
      </c>
      <c r="B436" s="8" t="s">
        <v>3486</v>
      </c>
      <c r="C436" s="8" t="s">
        <v>3487</v>
      </c>
      <c r="D436" s="8" t="s">
        <v>3488</v>
      </c>
      <c r="E436" s="105">
        <v>1</v>
      </c>
      <c r="F436" s="106" t="s">
        <v>2024</v>
      </c>
      <c r="G436" s="8"/>
      <c r="H436" s="8"/>
      <c r="I436" s="107">
        <v>0</v>
      </c>
      <c r="J436" s="8" t="s">
        <v>2019</v>
      </c>
    </row>
    <row r="437" spans="1:10" ht="16.5" customHeight="1" x14ac:dyDescent="0.25">
      <c r="A437" s="8" t="s">
        <v>3489</v>
      </c>
      <c r="B437" s="8" t="s">
        <v>3490</v>
      </c>
      <c r="C437" s="8" t="s">
        <v>3491</v>
      </c>
      <c r="D437" s="8" t="s">
        <v>3492</v>
      </c>
      <c r="E437" s="105">
        <v>1</v>
      </c>
      <c r="F437" s="106" t="s">
        <v>2024</v>
      </c>
      <c r="G437" s="8"/>
      <c r="H437" s="8"/>
      <c r="I437" s="107">
        <v>0</v>
      </c>
      <c r="J437" s="8" t="s">
        <v>2019</v>
      </c>
    </row>
    <row r="438" spans="1:10" ht="16.5" customHeight="1" x14ac:dyDescent="0.25">
      <c r="A438" s="8" t="s">
        <v>3493</v>
      </c>
      <c r="B438" s="8" t="s">
        <v>3494</v>
      </c>
      <c r="C438" s="8" t="s">
        <v>3495</v>
      </c>
      <c r="D438" s="8" t="s">
        <v>3496</v>
      </c>
      <c r="E438" s="105">
        <v>1</v>
      </c>
      <c r="F438" s="106" t="s">
        <v>2024</v>
      </c>
      <c r="G438" s="8"/>
      <c r="H438" s="8"/>
      <c r="I438" s="107">
        <v>0</v>
      </c>
      <c r="J438" s="8" t="s">
        <v>2019</v>
      </c>
    </row>
    <row r="439" spans="1:10" ht="16.5" customHeight="1" x14ac:dyDescent="0.25">
      <c r="A439" s="8" t="s">
        <v>3497</v>
      </c>
      <c r="B439" s="8" t="s">
        <v>3498</v>
      </c>
      <c r="C439" s="8" t="s">
        <v>3499</v>
      </c>
      <c r="D439" s="8" t="s">
        <v>3500</v>
      </c>
      <c r="E439" s="105">
        <v>1</v>
      </c>
      <c r="F439" s="106" t="s">
        <v>2024</v>
      </c>
      <c r="G439" s="8"/>
      <c r="H439" s="8"/>
      <c r="I439" s="107">
        <v>0</v>
      </c>
      <c r="J439" s="8" t="s">
        <v>2019</v>
      </c>
    </row>
    <row r="440" spans="1:10" ht="16.5" customHeight="1" x14ac:dyDescent="0.25">
      <c r="A440" s="8" t="s">
        <v>3501</v>
      </c>
      <c r="B440" s="8" t="s">
        <v>3502</v>
      </c>
      <c r="C440" s="8" t="s">
        <v>3503</v>
      </c>
      <c r="D440" s="8" t="s">
        <v>3504</v>
      </c>
      <c r="E440" s="105">
        <v>1</v>
      </c>
      <c r="F440" s="106" t="s">
        <v>2024</v>
      </c>
      <c r="G440" s="8"/>
      <c r="H440" s="8"/>
      <c r="I440" s="107">
        <v>0</v>
      </c>
      <c r="J440" s="8" t="s">
        <v>2019</v>
      </c>
    </row>
    <row r="441" spans="1:10" ht="16.5" customHeight="1" x14ac:dyDescent="0.25">
      <c r="A441" s="8" t="s">
        <v>3505</v>
      </c>
      <c r="B441" s="8" t="s">
        <v>3506</v>
      </c>
      <c r="C441" s="8" t="s">
        <v>3507</v>
      </c>
      <c r="D441" s="8" t="s">
        <v>3508</v>
      </c>
      <c r="E441" s="105">
        <v>5.46</v>
      </c>
      <c r="F441" s="106" t="s">
        <v>2024</v>
      </c>
      <c r="G441" s="8"/>
      <c r="H441" s="8"/>
      <c r="I441" s="107">
        <v>0</v>
      </c>
      <c r="J441" s="8" t="s">
        <v>2019</v>
      </c>
    </row>
    <row r="442" spans="1:10" ht="16.5" customHeight="1" x14ac:dyDescent="0.25">
      <c r="A442" s="8" t="s">
        <v>3509</v>
      </c>
      <c r="B442" s="8" t="s">
        <v>3510</v>
      </c>
      <c r="C442" s="8" t="s">
        <v>3511</v>
      </c>
      <c r="D442" s="8" t="s">
        <v>3512</v>
      </c>
      <c r="E442" s="105">
        <v>2.73</v>
      </c>
      <c r="F442" s="106" t="s">
        <v>2024</v>
      </c>
      <c r="G442" s="8"/>
      <c r="H442" s="8"/>
      <c r="I442" s="107">
        <v>0</v>
      </c>
      <c r="J442" s="8" t="s">
        <v>2019</v>
      </c>
    </row>
    <row r="443" spans="1:10" ht="16.5" customHeight="1" x14ac:dyDescent="0.25">
      <c r="A443" s="8" t="s">
        <v>3513</v>
      </c>
      <c r="B443" s="8" t="s">
        <v>3514</v>
      </c>
      <c r="C443" s="8" t="s">
        <v>3515</v>
      </c>
      <c r="D443" s="8" t="s">
        <v>3516</v>
      </c>
      <c r="E443" s="105">
        <v>0.68300000000000005</v>
      </c>
      <c r="F443" s="106" t="s">
        <v>2024</v>
      </c>
      <c r="G443" s="8"/>
      <c r="H443" s="8"/>
      <c r="I443" s="107">
        <v>0</v>
      </c>
      <c r="J443" s="8" t="s">
        <v>2019</v>
      </c>
    </row>
    <row r="444" spans="1:10" ht="16.5" customHeight="1" x14ac:dyDescent="0.25">
      <c r="A444" s="8" t="s">
        <v>3517</v>
      </c>
      <c r="B444" s="8" t="s">
        <v>3518</v>
      </c>
      <c r="C444" s="8" t="s">
        <v>3519</v>
      </c>
      <c r="D444" s="8" t="s">
        <v>3520</v>
      </c>
      <c r="E444" s="105">
        <v>4.0949999999999998</v>
      </c>
      <c r="F444" s="106" t="s">
        <v>2024</v>
      </c>
      <c r="G444" s="8"/>
      <c r="H444" s="8"/>
      <c r="I444" s="107">
        <v>0</v>
      </c>
      <c r="J444" s="8" t="s">
        <v>2019</v>
      </c>
    </row>
    <row r="445" spans="1:10" ht="16.5" customHeight="1" x14ac:dyDescent="0.25">
      <c r="A445" s="8" t="s">
        <v>3521</v>
      </c>
      <c r="B445" s="8" t="s">
        <v>3522</v>
      </c>
      <c r="C445" s="8" t="s">
        <v>3515</v>
      </c>
      <c r="D445" s="8" t="s">
        <v>3523</v>
      </c>
      <c r="E445" s="105">
        <v>6.14</v>
      </c>
      <c r="F445" s="106" t="s">
        <v>2024</v>
      </c>
      <c r="G445" s="8"/>
      <c r="H445" s="8"/>
      <c r="I445" s="107">
        <v>0</v>
      </c>
      <c r="J445" s="8" t="s">
        <v>2019</v>
      </c>
    </row>
    <row r="446" spans="1:10" ht="16.5" customHeight="1" x14ac:dyDescent="0.25">
      <c r="A446" s="8" t="s">
        <v>3524</v>
      </c>
      <c r="B446" s="8" t="s">
        <v>3525</v>
      </c>
      <c r="C446" s="8" t="s">
        <v>3526</v>
      </c>
      <c r="D446" s="8" t="s">
        <v>3527</v>
      </c>
      <c r="E446" s="105">
        <v>0.68</v>
      </c>
      <c r="F446" s="106" t="s">
        <v>2024</v>
      </c>
      <c r="G446" s="8"/>
      <c r="H446" s="8"/>
      <c r="I446" s="107">
        <v>0</v>
      </c>
      <c r="J446" s="8" t="s">
        <v>2019</v>
      </c>
    </row>
    <row r="447" spans="1:10" ht="16.5" customHeight="1" x14ac:dyDescent="0.25">
      <c r="A447" s="8" t="s">
        <v>995</v>
      </c>
      <c r="B447" s="8" t="s">
        <v>997</v>
      </c>
      <c r="C447" s="8" t="s">
        <v>996</v>
      </c>
      <c r="D447" s="8" t="s">
        <v>3528</v>
      </c>
      <c r="E447" s="105">
        <v>2.73</v>
      </c>
      <c r="F447" s="106" t="s">
        <v>2018</v>
      </c>
      <c r="G447" s="8"/>
      <c r="H447" s="8" t="s">
        <v>3529</v>
      </c>
      <c r="I447" s="107">
        <v>12</v>
      </c>
      <c r="J447" s="8" t="s">
        <v>2019</v>
      </c>
    </row>
    <row r="448" spans="1:10" ht="16.5" customHeight="1" x14ac:dyDescent="0.25">
      <c r="A448" s="8" t="s">
        <v>3529</v>
      </c>
      <c r="B448" s="8" t="s">
        <v>3530</v>
      </c>
      <c r="C448" s="8" t="s">
        <v>996</v>
      </c>
      <c r="D448" s="8" t="s">
        <v>3531</v>
      </c>
      <c r="E448" s="105">
        <v>0.22800000000000001</v>
      </c>
      <c r="F448" s="106" t="s">
        <v>2018</v>
      </c>
      <c r="G448" s="8"/>
      <c r="H448" s="8"/>
      <c r="I448" s="107">
        <v>0</v>
      </c>
      <c r="J448" s="8" t="s">
        <v>2019</v>
      </c>
    </row>
    <row r="449" spans="1:10" ht="16.5" customHeight="1" x14ac:dyDescent="0.25">
      <c r="A449" s="8" t="s">
        <v>3532</v>
      </c>
      <c r="B449" s="8" t="s">
        <v>3533</v>
      </c>
      <c r="C449" s="8" t="s">
        <v>3534</v>
      </c>
      <c r="D449" s="8" t="s">
        <v>3535</v>
      </c>
      <c r="E449" s="105">
        <v>0.22800000000000001</v>
      </c>
      <c r="F449" s="106" t="s">
        <v>2024</v>
      </c>
      <c r="G449" s="8"/>
      <c r="H449" s="8"/>
      <c r="I449" s="107">
        <v>0</v>
      </c>
      <c r="J449" s="8" t="s">
        <v>2019</v>
      </c>
    </row>
    <row r="450" spans="1:10" ht="16.5" customHeight="1" x14ac:dyDescent="0.25">
      <c r="A450" s="8" t="s">
        <v>3536</v>
      </c>
      <c r="B450" s="8" t="s">
        <v>3537</v>
      </c>
      <c r="C450" s="8" t="s">
        <v>3534</v>
      </c>
      <c r="D450" s="8" t="s">
        <v>3538</v>
      </c>
      <c r="E450" s="105">
        <v>2.73</v>
      </c>
      <c r="F450" s="106" t="s">
        <v>2024</v>
      </c>
      <c r="G450" s="8"/>
      <c r="H450" s="8"/>
      <c r="I450" s="107">
        <v>0</v>
      </c>
      <c r="J450" s="8" t="s">
        <v>2019</v>
      </c>
    </row>
    <row r="451" spans="1:10" ht="16.5" customHeight="1" x14ac:dyDescent="0.25">
      <c r="A451" s="8" t="s">
        <v>3539</v>
      </c>
      <c r="B451" s="8" t="s">
        <v>3540</v>
      </c>
      <c r="C451" s="8" t="s">
        <v>3541</v>
      </c>
      <c r="D451" s="8" t="s">
        <v>3542</v>
      </c>
      <c r="E451" s="105">
        <v>0.91</v>
      </c>
      <c r="F451" s="106" t="s">
        <v>2018</v>
      </c>
      <c r="G451" s="8"/>
      <c r="H451" s="8"/>
      <c r="I451" s="107">
        <v>0</v>
      </c>
      <c r="J451" s="8" t="s">
        <v>2019</v>
      </c>
    </row>
    <row r="452" spans="1:10" ht="16.5" customHeight="1" x14ac:dyDescent="0.25">
      <c r="A452" s="8" t="s">
        <v>3543</v>
      </c>
      <c r="B452" s="8" t="s">
        <v>3544</v>
      </c>
      <c r="C452" s="8" t="s">
        <v>3541</v>
      </c>
      <c r="D452" s="8" t="s">
        <v>3545</v>
      </c>
      <c r="E452" s="105">
        <v>10.92</v>
      </c>
      <c r="F452" s="106" t="s">
        <v>2018</v>
      </c>
      <c r="G452" s="8"/>
      <c r="H452" s="8" t="s">
        <v>3539</v>
      </c>
      <c r="I452" s="107">
        <v>12</v>
      </c>
      <c r="J452" s="8" t="s">
        <v>2019</v>
      </c>
    </row>
    <row r="453" spans="1:10" ht="16.5" customHeight="1" x14ac:dyDescent="0.25">
      <c r="A453" s="8" t="s">
        <v>998</v>
      </c>
      <c r="B453" s="8" t="s">
        <v>1000</v>
      </c>
      <c r="C453" s="8" t="s">
        <v>999</v>
      </c>
      <c r="D453" s="8" t="s">
        <v>3546</v>
      </c>
      <c r="E453" s="105">
        <v>4.0949999999999998</v>
      </c>
      <c r="F453" s="106" t="s">
        <v>2018</v>
      </c>
      <c r="G453" s="8"/>
      <c r="H453" s="8" t="s">
        <v>3547</v>
      </c>
      <c r="I453" s="107">
        <v>6</v>
      </c>
      <c r="J453" s="8" t="s">
        <v>2019</v>
      </c>
    </row>
    <row r="454" spans="1:10" ht="16.5" customHeight="1" x14ac:dyDescent="0.25">
      <c r="A454" s="8" t="s">
        <v>3547</v>
      </c>
      <c r="B454" s="8" t="s">
        <v>3548</v>
      </c>
      <c r="C454" s="8" t="s">
        <v>999</v>
      </c>
      <c r="D454" s="8" t="s">
        <v>3549</v>
      </c>
      <c r="E454" s="105">
        <v>0.68200000000000005</v>
      </c>
      <c r="F454" s="106" t="s">
        <v>2018</v>
      </c>
      <c r="G454" s="8"/>
      <c r="H454" s="8"/>
      <c r="I454" s="107">
        <v>0</v>
      </c>
      <c r="J454" s="8" t="s">
        <v>2019</v>
      </c>
    </row>
    <row r="455" spans="1:10" ht="16.5" customHeight="1" x14ac:dyDescent="0.25">
      <c r="A455" s="8" t="s">
        <v>3550</v>
      </c>
      <c r="B455" s="8" t="s">
        <v>3551</v>
      </c>
      <c r="C455" s="8" t="s">
        <v>2956</v>
      </c>
      <c r="D455" s="8" t="s">
        <v>3552</v>
      </c>
      <c r="E455" s="105">
        <v>0.22800000000000001</v>
      </c>
      <c r="F455" s="106" t="s">
        <v>2024</v>
      </c>
      <c r="G455" s="8"/>
      <c r="H455" s="8"/>
      <c r="I455" s="107">
        <v>0</v>
      </c>
      <c r="J455" s="8" t="s">
        <v>2019</v>
      </c>
    </row>
    <row r="456" spans="1:10" ht="16.5" customHeight="1" x14ac:dyDescent="0.25">
      <c r="A456" s="8" t="s">
        <v>3553</v>
      </c>
      <c r="B456" s="8" t="s">
        <v>2959</v>
      </c>
      <c r="C456" s="8" t="s">
        <v>2956</v>
      </c>
      <c r="D456" s="8" t="s">
        <v>3554</v>
      </c>
      <c r="E456" s="105">
        <v>6.8250000000000002</v>
      </c>
      <c r="F456" s="106" t="s">
        <v>2024</v>
      </c>
      <c r="G456" s="8"/>
      <c r="H456" s="8"/>
      <c r="I456" s="107">
        <v>0</v>
      </c>
      <c r="J456" s="8" t="s">
        <v>2019</v>
      </c>
    </row>
    <row r="457" spans="1:10" ht="16.5" customHeight="1" x14ac:dyDescent="0.25">
      <c r="A457" s="8" t="s">
        <v>3555</v>
      </c>
      <c r="B457" s="8" t="s">
        <v>2963</v>
      </c>
      <c r="C457" s="8" t="s">
        <v>3556</v>
      </c>
      <c r="D457" s="8" t="s">
        <v>3557</v>
      </c>
      <c r="E457" s="105">
        <v>10.92</v>
      </c>
      <c r="F457" s="106" t="s">
        <v>2024</v>
      </c>
      <c r="G457" s="8"/>
      <c r="H457" s="8"/>
      <c r="I457" s="107">
        <v>0</v>
      </c>
      <c r="J457" s="8" t="s">
        <v>2019</v>
      </c>
    </row>
    <row r="458" spans="1:10" ht="16.5" customHeight="1" x14ac:dyDescent="0.25">
      <c r="A458" s="8" t="s">
        <v>3558</v>
      </c>
      <c r="B458" s="8" t="s">
        <v>3027</v>
      </c>
      <c r="C458" s="8" t="s">
        <v>3559</v>
      </c>
      <c r="D458" s="8" t="s">
        <v>3560</v>
      </c>
      <c r="E458" s="105">
        <v>2.73</v>
      </c>
      <c r="F458" s="106" t="s">
        <v>2024</v>
      </c>
      <c r="G458" s="8"/>
      <c r="H458" s="8"/>
      <c r="I458" s="107">
        <v>0</v>
      </c>
      <c r="J458" s="8" t="s">
        <v>2019</v>
      </c>
    </row>
    <row r="459" spans="1:10" ht="16.5" customHeight="1" x14ac:dyDescent="0.25">
      <c r="A459" s="8" t="s">
        <v>3561</v>
      </c>
      <c r="B459" s="8" t="s">
        <v>3562</v>
      </c>
      <c r="C459" s="8" t="s">
        <v>3563</v>
      </c>
      <c r="D459" s="8" t="s">
        <v>3564</v>
      </c>
      <c r="E459" s="105">
        <v>10.92</v>
      </c>
      <c r="F459" s="106" t="s">
        <v>2024</v>
      </c>
      <c r="G459" s="8"/>
      <c r="H459" s="8"/>
      <c r="I459" s="107">
        <v>0</v>
      </c>
      <c r="J459" s="8" t="s">
        <v>2019</v>
      </c>
    </row>
    <row r="460" spans="1:10" ht="16.5" customHeight="1" x14ac:dyDescent="0.25">
      <c r="A460" s="8" t="s">
        <v>3565</v>
      </c>
      <c r="B460" s="8" t="s">
        <v>1090</v>
      </c>
      <c r="C460" s="8" t="s">
        <v>3566</v>
      </c>
      <c r="D460" s="8" t="s">
        <v>3567</v>
      </c>
      <c r="E460" s="105">
        <v>10.92</v>
      </c>
      <c r="F460" s="106" t="s">
        <v>2018</v>
      </c>
      <c r="G460" s="8"/>
      <c r="H460" s="8"/>
      <c r="I460" s="107">
        <v>0</v>
      </c>
      <c r="J460" s="8" t="s">
        <v>2019</v>
      </c>
    </row>
    <row r="461" spans="1:10" ht="16.5" customHeight="1" x14ac:dyDescent="0.25">
      <c r="A461" s="8" t="s">
        <v>3568</v>
      </c>
      <c r="B461" s="8" t="s">
        <v>979</v>
      </c>
      <c r="C461" s="8" t="s">
        <v>3569</v>
      </c>
      <c r="D461" s="8" t="s">
        <v>3570</v>
      </c>
      <c r="E461" s="105">
        <v>2.73</v>
      </c>
      <c r="F461" s="106" t="s">
        <v>2024</v>
      </c>
      <c r="G461" s="8"/>
      <c r="H461" s="8"/>
      <c r="I461" s="107">
        <v>0</v>
      </c>
      <c r="J461" s="8" t="s">
        <v>2019</v>
      </c>
    </row>
    <row r="462" spans="1:10" ht="16.5" customHeight="1" x14ac:dyDescent="0.25">
      <c r="A462" s="8" t="s">
        <v>3571</v>
      </c>
      <c r="B462" s="8" t="s">
        <v>1207</v>
      </c>
      <c r="C462" s="8" t="s">
        <v>3572</v>
      </c>
      <c r="D462" s="8" t="s">
        <v>3573</v>
      </c>
      <c r="E462" s="105">
        <v>10.92</v>
      </c>
      <c r="F462" s="106" t="s">
        <v>2024</v>
      </c>
      <c r="G462" s="8"/>
      <c r="H462" s="8"/>
      <c r="I462" s="107">
        <v>0</v>
      </c>
      <c r="J462" s="8" t="s">
        <v>2019</v>
      </c>
    </row>
    <row r="463" spans="1:10" ht="16.5" customHeight="1" x14ac:dyDescent="0.25">
      <c r="A463" s="8" t="s">
        <v>3574</v>
      </c>
      <c r="B463" s="8" t="s">
        <v>1000</v>
      </c>
      <c r="C463" s="8" t="s">
        <v>3575</v>
      </c>
      <c r="D463" s="8" t="s">
        <v>3576</v>
      </c>
      <c r="E463" s="105">
        <v>4.0949999999999998</v>
      </c>
      <c r="F463" s="106" t="s">
        <v>2024</v>
      </c>
      <c r="G463" s="8"/>
      <c r="H463" s="8"/>
      <c r="I463" s="107">
        <v>0</v>
      </c>
      <c r="J463" s="8" t="s">
        <v>2019</v>
      </c>
    </row>
    <row r="464" spans="1:10" ht="16.5" customHeight="1" x14ac:dyDescent="0.25">
      <c r="A464" s="8" t="s">
        <v>3577</v>
      </c>
      <c r="B464" s="8" t="s">
        <v>3578</v>
      </c>
      <c r="C464" s="8" t="s">
        <v>3579</v>
      </c>
      <c r="D464" s="8" t="s">
        <v>3578</v>
      </c>
      <c r="E464" s="105">
        <v>1</v>
      </c>
      <c r="F464" s="106" t="s">
        <v>2024</v>
      </c>
      <c r="G464" s="8"/>
      <c r="H464" s="8"/>
      <c r="I464" s="107">
        <v>0</v>
      </c>
      <c r="J464" s="8" t="s">
        <v>3580</v>
      </c>
    </row>
    <row r="465" spans="1:10" ht="16.5" customHeight="1" x14ac:dyDescent="0.25">
      <c r="A465" s="8" t="s">
        <v>3581</v>
      </c>
      <c r="B465" s="8" t="s">
        <v>3582</v>
      </c>
      <c r="C465" s="8" t="s">
        <v>3583</v>
      </c>
      <c r="D465" s="8" t="s">
        <v>3582</v>
      </c>
      <c r="E465" s="105">
        <v>1</v>
      </c>
      <c r="F465" s="106" t="s">
        <v>2024</v>
      </c>
      <c r="G465" s="8"/>
      <c r="H465" s="8"/>
      <c r="I465" s="107">
        <v>0</v>
      </c>
      <c r="J465" s="8" t="s">
        <v>3580</v>
      </c>
    </row>
    <row r="466" spans="1:10" ht="16.5" customHeight="1" x14ac:dyDescent="0.25">
      <c r="A466" s="8" t="s">
        <v>3584</v>
      </c>
      <c r="B466" s="8" t="s">
        <v>3585</v>
      </c>
      <c r="C466" s="8" t="s">
        <v>3586</v>
      </c>
      <c r="D466" s="8" t="s">
        <v>3585</v>
      </c>
      <c r="E466" s="105">
        <v>1</v>
      </c>
      <c r="F466" s="106" t="s">
        <v>2024</v>
      </c>
      <c r="G466" s="8"/>
      <c r="H466" s="8"/>
      <c r="I466" s="107">
        <v>0</v>
      </c>
      <c r="J466" s="8" t="s">
        <v>3580</v>
      </c>
    </row>
    <row r="467" spans="1:10" ht="16.5" customHeight="1" x14ac:dyDescent="0.25">
      <c r="A467" s="8" t="s">
        <v>3587</v>
      </c>
      <c r="B467" s="8" t="s">
        <v>3588</v>
      </c>
      <c r="C467" s="8" t="s">
        <v>3589</v>
      </c>
      <c r="D467" s="8" t="s">
        <v>3588</v>
      </c>
      <c r="E467" s="105">
        <v>1</v>
      </c>
      <c r="F467" s="106" t="s">
        <v>2024</v>
      </c>
      <c r="G467" s="8"/>
      <c r="H467" s="8"/>
      <c r="I467" s="107">
        <v>0</v>
      </c>
      <c r="J467" s="8" t="s">
        <v>3580</v>
      </c>
    </row>
    <row r="468" spans="1:10" ht="16.5" customHeight="1" x14ac:dyDescent="0.25">
      <c r="A468" s="8" t="s">
        <v>3590</v>
      </c>
      <c r="B468" s="8" t="s">
        <v>3591</v>
      </c>
      <c r="C468" s="8" t="s">
        <v>3592</v>
      </c>
      <c r="D468" s="8" t="s">
        <v>3591</v>
      </c>
      <c r="E468" s="105">
        <v>1</v>
      </c>
      <c r="F468" s="106" t="s">
        <v>2024</v>
      </c>
      <c r="G468" s="8"/>
      <c r="H468" s="8"/>
      <c r="I468" s="107">
        <v>0</v>
      </c>
      <c r="J468" s="8" t="s">
        <v>3580</v>
      </c>
    </row>
    <row r="469" spans="1:10" ht="16.5" customHeight="1" x14ac:dyDescent="0.25">
      <c r="A469" s="8" t="s">
        <v>3593</v>
      </c>
      <c r="B469" s="8" t="s">
        <v>3594</v>
      </c>
      <c r="C469" s="8" t="s">
        <v>3595</v>
      </c>
      <c r="D469" s="8" t="s">
        <v>3594</v>
      </c>
      <c r="E469" s="105">
        <v>1</v>
      </c>
      <c r="F469" s="106" t="s">
        <v>2024</v>
      </c>
      <c r="G469" s="8"/>
      <c r="H469" s="8"/>
      <c r="I469" s="107">
        <v>0</v>
      </c>
      <c r="J469" s="8" t="s">
        <v>3580</v>
      </c>
    </row>
    <row r="470" spans="1:10" ht="16.5" customHeight="1" x14ac:dyDescent="0.25">
      <c r="A470" s="8" t="s">
        <v>3596</v>
      </c>
      <c r="B470" s="8" t="s">
        <v>3597</v>
      </c>
      <c r="C470" s="8" t="s">
        <v>3598</v>
      </c>
      <c r="D470" s="8" t="s">
        <v>3597</v>
      </c>
      <c r="E470" s="105">
        <v>1</v>
      </c>
      <c r="F470" s="106" t="s">
        <v>2024</v>
      </c>
      <c r="G470" s="8"/>
      <c r="H470" s="8"/>
      <c r="I470" s="107">
        <v>0</v>
      </c>
      <c r="J470" s="8" t="s">
        <v>3580</v>
      </c>
    </row>
    <row r="471" spans="1:10" ht="16.5" customHeight="1" x14ac:dyDescent="0.25">
      <c r="A471" s="8" t="s">
        <v>3599</v>
      </c>
      <c r="B471" s="8" t="s">
        <v>3600</v>
      </c>
      <c r="C471" s="8" t="s">
        <v>3601</v>
      </c>
      <c r="D471" s="8" t="s">
        <v>3600</v>
      </c>
      <c r="E471" s="105">
        <v>10</v>
      </c>
      <c r="F471" s="106" t="s">
        <v>2024</v>
      </c>
      <c r="G471" s="8"/>
      <c r="H471" s="8"/>
      <c r="I471" s="107">
        <v>0</v>
      </c>
      <c r="J471" s="8" t="s">
        <v>3580</v>
      </c>
    </row>
    <row r="472" spans="1:10" ht="16.5" customHeight="1" x14ac:dyDescent="0.25">
      <c r="A472" s="8" t="s">
        <v>3602</v>
      </c>
      <c r="B472" s="8" t="s">
        <v>3603</v>
      </c>
      <c r="C472" s="8" t="s">
        <v>3604</v>
      </c>
      <c r="D472" s="8" t="s">
        <v>3603</v>
      </c>
      <c r="E472" s="105">
        <v>10</v>
      </c>
      <c r="F472" s="106" t="s">
        <v>2024</v>
      </c>
      <c r="G472" s="8"/>
      <c r="H472" s="8"/>
      <c r="I472" s="107">
        <v>0</v>
      </c>
      <c r="J472" s="8" t="s">
        <v>3580</v>
      </c>
    </row>
    <row r="473" spans="1:10" ht="16.5" customHeight="1" x14ac:dyDescent="0.25">
      <c r="A473" s="8" t="s">
        <v>3605</v>
      </c>
      <c r="B473" s="8" t="s">
        <v>3606</v>
      </c>
      <c r="C473" s="8" t="s">
        <v>3607</v>
      </c>
      <c r="D473" s="8" t="s">
        <v>3606</v>
      </c>
      <c r="E473" s="105">
        <v>30</v>
      </c>
      <c r="F473" s="106" t="s">
        <v>2024</v>
      </c>
      <c r="G473" s="8"/>
      <c r="H473" s="8"/>
      <c r="I473" s="107">
        <v>0</v>
      </c>
      <c r="J473" s="8" t="s">
        <v>3580</v>
      </c>
    </row>
    <row r="474" spans="1:10" ht="16.5" customHeight="1" x14ac:dyDescent="0.25">
      <c r="A474" s="8" t="s">
        <v>3608</v>
      </c>
      <c r="B474" s="8" t="s">
        <v>3609</v>
      </c>
      <c r="C474" s="8" t="s">
        <v>3610</v>
      </c>
      <c r="D474" s="8" t="s">
        <v>3609</v>
      </c>
      <c r="E474" s="105">
        <v>30</v>
      </c>
      <c r="F474" s="106" t="s">
        <v>2024</v>
      </c>
      <c r="G474" s="8"/>
      <c r="H474" s="8"/>
      <c r="I474" s="107">
        <v>0</v>
      </c>
      <c r="J474" s="8" t="s">
        <v>3580</v>
      </c>
    </row>
    <row r="475" spans="1:10" ht="16.5" customHeight="1" x14ac:dyDescent="0.25">
      <c r="A475" s="8" t="s">
        <v>3611</v>
      </c>
      <c r="B475" s="8" t="s">
        <v>3612</v>
      </c>
      <c r="C475" s="8" t="s">
        <v>3613</v>
      </c>
      <c r="D475" s="8" t="s">
        <v>3612</v>
      </c>
      <c r="E475" s="105">
        <v>1</v>
      </c>
      <c r="F475" s="106" t="s">
        <v>2024</v>
      </c>
      <c r="G475" s="8"/>
      <c r="H475" s="8"/>
      <c r="I475" s="107">
        <v>0</v>
      </c>
      <c r="J475" s="8" t="s">
        <v>3580</v>
      </c>
    </row>
    <row r="476" spans="1:10" ht="16.5" customHeight="1" x14ac:dyDescent="0.25">
      <c r="A476" s="8" t="s">
        <v>3614</v>
      </c>
      <c r="B476" s="8" t="s">
        <v>3615</v>
      </c>
      <c r="C476" s="8" t="s">
        <v>3616</v>
      </c>
      <c r="D476" s="8" t="s">
        <v>3615</v>
      </c>
      <c r="E476" s="105">
        <v>1</v>
      </c>
      <c r="F476" s="106" t="s">
        <v>2024</v>
      </c>
      <c r="G476" s="8"/>
      <c r="H476" s="8"/>
      <c r="I476" s="107">
        <v>0</v>
      </c>
      <c r="J476" s="8" t="s">
        <v>3580</v>
      </c>
    </row>
    <row r="477" spans="1:10" ht="16.5" customHeight="1" x14ac:dyDescent="0.25">
      <c r="A477" s="8" t="s">
        <v>3617</v>
      </c>
      <c r="B477" s="8" t="s">
        <v>3618</v>
      </c>
      <c r="C477" s="8" t="s">
        <v>3619</v>
      </c>
      <c r="D477" s="8" t="s">
        <v>3618</v>
      </c>
      <c r="E477" s="105">
        <v>1</v>
      </c>
      <c r="F477" s="106" t="s">
        <v>2024</v>
      </c>
      <c r="G477" s="8"/>
      <c r="H477" s="8"/>
      <c r="I477" s="107">
        <v>0</v>
      </c>
      <c r="J477" s="8" t="s">
        <v>3580</v>
      </c>
    </row>
    <row r="478" spans="1:10" ht="16.5" customHeight="1" x14ac:dyDescent="0.25">
      <c r="A478" s="8" t="s">
        <v>3620</v>
      </c>
      <c r="B478" s="8" t="s">
        <v>3621</v>
      </c>
      <c r="C478" s="8" t="s">
        <v>3589</v>
      </c>
      <c r="D478" s="8" t="s">
        <v>3621</v>
      </c>
      <c r="E478" s="105">
        <v>1</v>
      </c>
      <c r="F478" s="106" t="s">
        <v>2024</v>
      </c>
      <c r="G478" s="8"/>
      <c r="H478" s="8"/>
      <c r="I478" s="107">
        <v>0</v>
      </c>
      <c r="J478" s="8" t="s">
        <v>3580</v>
      </c>
    </row>
    <row r="479" spans="1:10" ht="16.5" customHeight="1" x14ac:dyDescent="0.25">
      <c r="A479" s="8" t="s">
        <v>3622</v>
      </c>
      <c r="B479" s="8" t="s">
        <v>3623</v>
      </c>
      <c r="C479" s="8" t="s">
        <v>3592</v>
      </c>
      <c r="D479" s="8" t="s">
        <v>3623</v>
      </c>
      <c r="E479" s="105">
        <v>1</v>
      </c>
      <c r="F479" s="106" t="s">
        <v>2024</v>
      </c>
      <c r="G479" s="8"/>
      <c r="H479" s="8"/>
      <c r="I479" s="107">
        <v>0</v>
      </c>
      <c r="J479" s="8" t="s">
        <v>3580</v>
      </c>
    </row>
    <row r="480" spans="1:10" ht="16.5" customHeight="1" x14ac:dyDescent="0.25">
      <c r="A480" s="8" t="s">
        <v>3624</v>
      </c>
      <c r="B480" s="8" t="s">
        <v>3625</v>
      </c>
      <c r="C480" s="8" t="s">
        <v>3592</v>
      </c>
      <c r="D480" s="8" t="s">
        <v>3625</v>
      </c>
      <c r="E480" s="105">
        <v>1</v>
      </c>
      <c r="F480" s="106" t="s">
        <v>2024</v>
      </c>
      <c r="G480" s="8"/>
      <c r="H480" s="8"/>
      <c r="I480" s="107">
        <v>0</v>
      </c>
      <c r="J480" s="8" t="s">
        <v>3580</v>
      </c>
    </row>
    <row r="481" spans="1:10" ht="16.5" customHeight="1" x14ac:dyDescent="0.25">
      <c r="A481" s="8" t="s">
        <v>3626</v>
      </c>
      <c r="B481" s="8" t="s">
        <v>3627</v>
      </c>
      <c r="C481" s="8" t="s">
        <v>3628</v>
      </c>
      <c r="D481" s="8" t="s">
        <v>3627</v>
      </c>
      <c r="E481" s="105">
        <v>1</v>
      </c>
      <c r="F481" s="106" t="s">
        <v>2024</v>
      </c>
      <c r="G481" s="8"/>
      <c r="H481" s="8"/>
      <c r="I481" s="107">
        <v>0</v>
      </c>
      <c r="J481" s="8" t="s">
        <v>3580</v>
      </c>
    </row>
    <row r="482" spans="1:10" ht="16.5" customHeight="1" x14ac:dyDescent="0.25">
      <c r="A482" s="8" t="s">
        <v>3629</v>
      </c>
      <c r="B482" s="8" t="s">
        <v>3630</v>
      </c>
      <c r="C482" s="8" t="s">
        <v>3631</v>
      </c>
      <c r="D482" s="8" t="s">
        <v>3630</v>
      </c>
      <c r="E482" s="105">
        <v>1</v>
      </c>
      <c r="F482" s="106" t="s">
        <v>2024</v>
      </c>
      <c r="G482" s="8"/>
      <c r="H482" s="8"/>
      <c r="I482" s="107">
        <v>0</v>
      </c>
      <c r="J482" s="8" t="s">
        <v>3580</v>
      </c>
    </row>
    <row r="483" spans="1:10" ht="16.5" customHeight="1" x14ac:dyDescent="0.25">
      <c r="A483" s="8" t="s">
        <v>3632</v>
      </c>
      <c r="B483" s="8" t="s">
        <v>3633</v>
      </c>
      <c r="C483" s="8" t="s">
        <v>3592</v>
      </c>
      <c r="D483" s="8" t="s">
        <v>3633</v>
      </c>
      <c r="E483" s="105">
        <v>1</v>
      </c>
      <c r="F483" s="106" t="s">
        <v>2024</v>
      </c>
      <c r="G483" s="8"/>
      <c r="H483" s="8"/>
      <c r="I483" s="107">
        <v>0</v>
      </c>
      <c r="J483" s="8" t="s">
        <v>3580</v>
      </c>
    </row>
    <row r="484" spans="1:10" ht="16.5" customHeight="1" x14ac:dyDescent="0.25">
      <c r="A484" s="8" t="s">
        <v>3634</v>
      </c>
      <c r="B484" s="8" t="s">
        <v>3635</v>
      </c>
      <c r="C484" s="8" t="s">
        <v>3636</v>
      </c>
      <c r="D484" s="8" t="s">
        <v>3635</v>
      </c>
      <c r="E484" s="105">
        <v>1</v>
      </c>
      <c r="F484" s="106" t="s">
        <v>2024</v>
      </c>
      <c r="G484" s="8"/>
      <c r="H484" s="8"/>
      <c r="I484" s="107">
        <v>0</v>
      </c>
      <c r="J484" s="8" t="s">
        <v>3580</v>
      </c>
    </row>
    <row r="485" spans="1:10" ht="16.5" customHeight="1" x14ac:dyDescent="0.25">
      <c r="A485" s="8" t="s">
        <v>3637</v>
      </c>
      <c r="B485" s="8" t="s">
        <v>3638</v>
      </c>
      <c r="C485" s="8" t="s">
        <v>3592</v>
      </c>
      <c r="D485" s="8" t="s">
        <v>3638</v>
      </c>
      <c r="E485" s="105">
        <v>1</v>
      </c>
      <c r="F485" s="106" t="s">
        <v>2024</v>
      </c>
      <c r="G485" s="8"/>
      <c r="H485" s="8"/>
      <c r="I485" s="107">
        <v>0</v>
      </c>
      <c r="J485" s="8" t="s">
        <v>3580</v>
      </c>
    </row>
    <row r="486" spans="1:10" ht="16.5" customHeight="1" x14ac:dyDescent="0.25">
      <c r="A486" s="8" t="s">
        <v>3639</v>
      </c>
      <c r="B486" s="8" t="s">
        <v>3640</v>
      </c>
      <c r="C486" s="8" t="s">
        <v>3641</v>
      </c>
      <c r="D486" s="8" t="s">
        <v>3640</v>
      </c>
      <c r="E486" s="105">
        <v>1</v>
      </c>
      <c r="F486" s="106" t="s">
        <v>2024</v>
      </c>
      <c r="G486" s="8"/>
      <c r="H486" s="8"/>
      <c r="I486" s="107">
        <v>0</v>
      </c>
      <c r="J486" s="8" t="s">
        <v>3580</v>
      </c>
    </row>
    <row r="487" spans="1:10" ht="16.5" customHeight="1" x14ac:dyDescent="0.25">
      <c r="A487" s="8" t="s">
        <v>3642</v>
      </c>
      <c r="B487" s="8" t="s">
        <v>3643</v>
      </c>
      <c r="C487" s="8" t="s">
        <v>3644</v>
      </c>
      <c r="D487" s="8" t="s">
        <v>3643</v>
      </c>
      <c r="E487" s="105">
        <v>1</v>
      </c>
      <c r="F487" s="106" t="s">
        <v>2024</v>
      </c>
      <c r="G487" s="8"/>
      <c r="H487" s="8"/>
      <c r="I487" s="107">
        <v>0</v>
      </c>
      <c r="J487" s="8" t="s">
        <v>3580</v>
      </c>
    </row>
    <row r="488" spans="1:10" ht="16.5" customHeight="1" x14ac:dyDescent="0.25">
      <c r="A488" s="8" t="s">
        <v>3645</v>
      </c>
      <c r="B488" s="8" t="s">
        <v>3646</v>
      </c>
      <c r="C488" s="8" t="s">
        <v>3589</v>
      </c>
      <c r="D488" s="8" t="s">
        <v>3646</v>
      </c>
      <c r="E488" s="105">
        <v>1</v>
      </c>
      <c r="F488" s="106" t="s">
        <v>2024</v>
      </c>
      <c r="G488" s="8"/>
      <c r="H488" s="8"/>
      <c r="I488" s="107">
        <v>0</v>
      </c>
      <c r="J488" s="8" t="s">
        <v>3580</v>
      </c>
    </row>
    <row r="489" spans="1:10" ht="16.5" customHeight="1" x14ac:dyDescent="0.25">
      <c r="A489" s="8" t="s">
        <v>3647</v>
      </c>
      <c r="B489" s="8" t="s">
        <v>3648</v>
      </c>
      <c r="C489" s="8" t="s">
        <v>3592</v>
      </c>
      <c r="D489" s="8" t="s">
        <v>3648</v>
      </c>
      <c r="E489" s="105">
        <v>1</v>
      </c>
      <c r="F489" s="106" t="s">
        <v>2024</v>
      </c>
      <c r="G489" s="8"/>
      <c r="H489" s="8"/>
      <c r="I489" s="107">
        <v>0</v>
      </c>
      <c r="J489" s="8" t="s">
        <v>3580</v>
      </c>
    </row>
    <row r="490" spans="1:10" ht="16.5" customHeight="1" x14ac:dyDescent="0.25">
      <c r="A490" s="8" t="s">
        <v>3649</v>
      </c>
      <c r="B490" s="8" t="s">
        <v>3650</v>
      </c>
      <c r="C490" s="8" t="s">
        <v>3592</v>
      </c>
      <c r="D490" s="8" t="s">
        <v>3650</v>
      </c>
      <c r="E490" s="105">
        <v>1</v>
      </c>
      <c r="F490" s="106" t="s">
        <v>2024</v>
      </c>
      <c r="G490" s="8"/>
      <c r="H490" s="8"/>
      <c r="I490" s="107">
        <v>0</v>
      </c>
      <c r="J490" s="8" t="s">
        <v>3580</v>
      </c>
    </row>
    <row r="491" spans="1:10" ht="16.5" customHeight="1" x14ac:dyDescent="0.25">
      <c r="A491" s="8" t="s">
        <v>3651</v>
      </c>
      <c r="B491" s="8" t="s">
        <v>3652</v>
      </c>
      <c r="C491" s="8" t="s">
        <v>3641</v>
      </c>
      <c r="D491" s="8" t="s">
        <v>3652</v>
      </c>
      <c r="E491" s="105">
        <v>1</v>
      </c>
      <c r="F491" s="106" t="s">
        <v>2024</v>
      </c>
      <c r="G491" s="8"/>
      <c r="H491" s="8"/>
      <c r="I491" s="107">
        <v>0</v>
      </c>
      <c r="J491" s="8" t="s">
        <v>3580</v>
      </c>
    </row>
    <row r="492" spans="1:10" ht="16.5" customHeight="1" x14ac:dyDescent="0.25">
      <c r="A492" s="8" t="s">
        <v>3653</v>
      </c>
      <c r="B492" s="8" t="s">
        <v>3654</v>
      </c>
      <c r="C492" s="8" t="s">
        <v>3641</v>
      </c>
      <c r="D492" s="8" t="s">
        <v>3654</v>
      </c>
      <c r="E492" s="105">
        <v>1</v>
      </c>
      <c r="F492" s="106" t="s">
        <v>2024</v>
      </c>
      <c r="G492" s="8"/>
      <c r="H492" s="8"/>
      <c r="I492" s="107">
        <v>0</v>
      </c>
      <c r="J492" s="8" t="s">
        <v>3580</v>
      </c>
    </row>
    <row r="493" spans="1:10" ht="16.5" customHeight="1" x14ac:dyDescent="0.25">
      <c r="A493" s="8" t="s">
        <v>3655</v>
      </c>
      <c r="B493" s="8" t="s">
        <v>3656</v>
      </c>
      <c r="C493" s="8" t="s">
        <v>3595</v>
      </c>
      <c r="D493" s="8" t="s">
        <v>3656</v>
      </c>
      <c r="E493" s="105">
        <v>1</v>
      </c>
      <c r="F493" s="106" t="s">
        <v>2024</v>
      </c>
      <c r="G493" s="8"/>
      <c r="H493" s="8"/>
      <c r="I493" s="107">
        <v>0</v>
      </c>
      <c r="J493" s="8" t="s">
        <v>3580</v>
      </c>
    </row>
    <row r="494" spans="1:10" ht="16.5" customHeight="1" x14ac:dyDescent="0.25">
      <c r="A494" s="8" t="s">
        <v>3657</v>
      </c>
      <c r="B494" s="8" t="s">
        <v>3658</v>
      </c>
      <c r="C494" s="8" t="s">
        <v>3579</v>
      </c>
      <c r="D494" s="8" t="s">
        <v>3658</v>
      </c>
      <c r="E494" s="105">
        <v>1</v>
      </c>
      <c r="F494" s="106" t="s">
        <v>2024</v>
      </c>
      <c r="G494" s="8"/>
      <c r="H494" s="8"/>
      <c r="I494" s="107">
        <v>0</v>
      </c>
      <c r="J494" s="8" t="s">
        <v>3580</v>
      </c>
    </row>
    <row r="495" spans="1:10" ht="16.5" customHeight="1" x14ac:dyDescent="0.25">
      <c r="A495" s="8" t="s">
        <v>3659</v>
      </c>
      <c r="B495" s="8" t="s">
        <v>3660</v>
      </c>
      <c r="C495" s="8" t="s">
        <v>3661</v>
      </c>
      <c r="D495" s="8" t="s">
        <v>3660</v>
      </c>
      <c r="E495" s="105">
        <v>1</v>
      </c>
      <c r="F495" s="106" t="s">
        <v>2024</v>
      </c>
      <c r="G495" s="8"/>
      <c r="H495" s="8"/>
      <c r="I495" s="107">
        <v>0</v>
      </c>
      <c r="J495" s="8" t="s">
        <v>3580</v>
      </c>
    </row>
    <row r="496" spans="1:10" ht="16.5" customHeight="1" x14ac:dyDescent="0.25">
      <c r="A496" s="8" t="s">
        <v>3662</v>
      </c>
      <c r="B496" s="8" t="s">
        <v>3663</v>
      </c>
      <c r="C496" s="8" t="s">
        <v>3616</v>
      </c>
      <c r="D496" s="8" t="s">
        <v>3663</v>
      </c>
      <c r="E496" s="105">
        <v>1</v>
      </c>
      <c r="F496" s="106" t="s">
        <v>2024</v>
      </c>
      <c r="G496" s="8"/>
      <c r="H496" s="8"/>
      <c r="I496" s="107">
        <v>0</v>
      </c>
      <c r="J496" s="8" t="s">
        <v>3580</v>
      </c>
    </row>
    <row r="497" spans="1:10" ht="16.5" customHeight="1" x14ac:dyDescent="0.25">
      <c r="A497" s="8" t="s">
        <v>3664</v>
      </c>
      <c r="B497" s="8" t="s">
        <v>3665</v>
      </c>
      <c r="C497" s="8" t="s">
        <v>3666</v>
      </c>
      <c r="D497" s="8" t="s">
        <v>3665</v>
      </c>
      <c r="E497" s="105">
        <v>1</v>
      </c>
      <c r="F497" s="106" t="s">
        <v>2024</v>
      </c>
      <c r="G497" s="8"/>
      <c r="H497" s="8"/>
      <c r="I497" s="107">
        <v>0</v>
      </c>
      <c r="J497" s="8" t="s">
        <v>3580</v>
      </c>
    </row>
    <row r="498" spans="1:10" ht="16.5" customHeight="1" x14ac:dyDescent="0.25">
      <c r="A498" s="8" t="s">
        <v>3667</v>
      </c>
      <c r="B498" s="8" t="s">
        <v>3668</v>
      </c>
      <c r="C498" s="8" t="s">
        <v>3669</v>
      </c>
      <c r="D498" s="8" t="s">
        <v>3668</v>
      </c>
      <c r="E498" s="105">
        <v>1</v>
      </c>
      <c r="F498" s="106" t="s">
        <v>2024</v>
      </c>
      <c r="G498" s="8"/>
      <c r="H498" s="8"/>
      <c r="I498" s="107">
        <v>0</v>
      </c>
      <c r="J498" s="8" t="s">
        <v>3580</v>
      </c>
    </row>
    <row r="499" spans="1:10" ht="16.5" customHeight="1" x14ac:dyDescent="0.25">
      <c r="A499" s="8" t="s">
        <v>3670</v>
      </c>
      <c r="B499" s="8" t="s">
        <v>3671</v>
      </c>
      <c r="C499" s="8" t="s">
        <v>3672</v>
      </c>
      <c r="D499" s="8" t="s">
        <v>3671</v>
      </c>
      <c r="E499" s="105">
        <v>1</v>
      </c>
      <c r="F499" s="106" t="s">
        <v>2024</v>
      </c>
      <c r="G499" s="8"/>
      <c r="H499" s="8"/>
      <c r="I499" s="107">
        <v>0</v>
      </c>
      <c r="J499" s="8" t="s">
        <v>3580</v>
      </c>
    </row>
    <row r="500" spans="1:10" ht="16.5" customHeight="1" x14ac:dyDescent="0.25">
      <c r="A500" s="8" t="s">
        <v>3673</v>
      </c>
      <c r="B500" s="8" t="s">
        <v>3674</v>
      </c>
      <c r="C500" s="8" t="s">
        <v>3675</v>
      </c>
      <c r="D500" s="8" t="s">
        <v>3674</v>
      </c>
      <c r="E500" s="105">
        <v>1</v>
      </c>
      <c r="F500" s="106" t="s">
        <v>2024</v>
      </c>
      <c r="G500" s="8"/>
      <c r="H500" s="8"/>
      <c r="I500" s="107">
        <v>0</v>
      </c>
      <c r="J500" s="8" t="s">
        <v>3580</v>
      </c>
    </row>
    <row r="501" spans="1:10" ht="16.5" customHeight="1" x14ac:dyDescent="0.25">
      <c r="A501" s="8" t="s">
        <v>3676</v>
      </c>
      <c r="B501" s="8" t="s">
        <v>3677</v>
      </c>
      <c r="C501" s="8" t="s">
        <v>3678</v>
      </c>
      <c r="D501" s="8" t="s">
        <v>3677</v>
      </c>
      <c r="E501" s="105">
        <v>1</v>
      </c>
      <c r="F501" s="106" t="s">
        <v>2024</v>
      </c>
      <c r="G501" s="8"/>
      <c r="H501" s="8"/>
      <c r="I501" s="107">
        <v>0</v>
      </c>
      <c r="J501" s="8" t="s">
        <v>3580</v>
      </c>
    </row>
    <row r="502" spans="1:10" ht="16.5" customHeight="1" x14ac:dyDescent="0.25">
      <c r="A502" s="8" t="s">
        <v>3679</v>
      </c>
      <c r="B502" s="8" t="s">
        <v>3680</v>
      </c>
      <c r="C502" s="8" t="s">
        <v>3681</v>
      </c>
      <c r="D502" s="8" t="s">
        <v>3680</v>
      </c>
      <c r="E502" s="105">
        <v>1</v>
      </c>
      <c r="F502" s="106" t="s">
        <v>2024</v>
      </c>
      <c r="G502" s="8"/>
      <c r="H502" s="8"/>
      <c r="I502" s="107">
        <v>0</v>
      </c>
      <c r="J502" s="8" t="s">
        <v>3580</v>
      </c>
    </row>
    <row r="503" spans="1:10" ht="16.5" customHeight="1" x14ac:dyDescent="0.25">
      <c r="A503" s="8" t="s">
        <v>3682</v>
      </c>
      <c r="B503" s="8" t="s">
        <v>3683</v>
      </c>
      <c r="C503" s="8" t="s">
        <v>3684</v>
      </c>
      <c r="D503" s="8" t="s">
        <v>3683</v>
      </c>
      <c r="E503" s="105">
        <v>1</v>
      </c>
      <c r="F503" s="106" t="s">
        <v>2024</v>
      </c>
      <c r="G503" s="8"/>
      <c r="H503" s="8"/>
      <c r="I503" s="107">
        <v>0</v>
      </c>
      <c r="J503" s="8" t="s">
        <v>3580</v>
      </c>
    </row>
    <row r="504" spans="1:10" ht="16.5" customHeight="1" x14ac:dyDescent="0.25">
      <c r="A504" s="8" t="s">
        <v>3685</v>
      </c>
      <c r="B504" s="8" t="s">
        <v>3686</v>
      </c>
      <c r="C504" s="8" t="s">
        <v>3687</v>
      </c>
      <c r="D504" s="8" t="s">
        <v>3686</v>
      </c>
      <c r="E504" s="105">
        <v>1</v>
      </c>
      <c r="F504" s="106" t="s">
        <v>2024</v>
      </c>
      <c r="G504" s="8"/>
      <c r="H504" s="8"/>
      <c r="I504" s="107">
        <v>0</v>
      </c>
      <c r="J504" s="8" t="s">
        <v>3580</v>
      </c>
    </row>
    <row r="505" spans="1:10" ht="16.5" customHeight="1" x14ac:dyDescent="0.25">
      <c r="A505" s="8" t="s">
        <v>3688</v>
      </c>
      <c r="B505" s="8" t="s">
        <v>3689</v>
      </c>
      <c r="C505" s="8" t="s">
        <v>3690</v>
      </c>
      <c r="D505" s="8" t="s">
        <v>3689</v>
      </c>
      <c r="E505" s="105">
        <v>1</v>
      </c>
      <c r="F505" s="106" t="s">
        <v>2024</v>
      </c>
      <c r="G505" s="8"/>
      <c r="H505" s="8"/>
      <c r="I505" s="107">
        <v>0</v>
      </c>
      <c r="J505" s="8" t="s">
        <v>3580</v>
      </c>
    </row>
    <row r="506" spans="1:10" ht="16.5" customHeight="1" x14ac:dyDescent="0.25">
      <c r="A506" s="8" t="s">
        <v>3691</v>
      </c>
      <c r="B506" s="8" t="s">
        <v>3692</v>
      </c>
      <c r="C506" s="8" t="s">
        <v>3693</v>
      </c>
      <c r="D506" s="8" t="s">
        <v>3694</v>
      </c>
      <c r="E506" s="105">
        <v>1</v>
      </c>
      <c r="F506" s="106" t="s">
        <v>2024</v>
      </c>
      <c r="G506" s="8"/>
      <c r="H506" s="8"/>
      <c r="I506" s="107">
        <v>0</v>
      </c>
      <c r="J506" s="8" t="s">
        <v>3695</v>
      </c>
    </row>
    <row r="507" spans="1:10" ht="16.5" customHeight="1" x14ac:dyDescent="0.25">
      <c r="A507" s="8" t="s">
        <v>3696</v>
      </c>
      <c r="B507" s="8" t="s">
        <v>3697</v>
      </c>
      <c r="C507" s="8" t="s">
        <v>3698</v>
      </c>
      <c r="D507" s="8" t="s">
        <v>3694</v>
      </c>
      <c r="E507" s="105">
        <v>1</v>
      </c>
      <c r="F507" s="106" t="s">
        <v>2024</v>
      </c>
      <c r="G507" s="8"/>
      <c r="H507" s="8"/>
      <c r="I507" s="107">
        <v>0</v>
      </c>
      <c r="J507" s="8" t="s">
        <v>3695</v>
      </c>
    </row>
    <row r="508" spans="1:10" ht="16.5" customHeight="1" x14ac:dyDescent="0.25">
      <c r="A508" s="8" t="s">
        <v>3699</v>
      </c>
      <c r="B508" s="8" t="s">
        <v>3700</v>
      </c>
      <c r="C508" s="8" t="s">
        <v>3701</v>
      </c>
      <c r="D508" s="8" t="s">
        <v>3702</v>
      </c>
      <c r="E508" s="105">
        <v>1</v>
      </c>
      <c r="F508" s="106" t="s">
        <v>2024</v>
      </c>
      <c r="G508" s="8"/>
      <c r="H508" s="8"/>
      <c r="I508" s="107">
        <v>0</v>
      </c>
      <c r="J508" s="8" t="s">
        <v>3695</v>
      </c>
    </row>
    <row r="509" spans="1:10" ht="16.5" customHeight="1" x14ac:dyDescent="0.25">
      <c r="A509" s="8" t="s">
        <v>3703</v>
      </c>
      <c r="B509" s="8" t="s">
        <v>3704</v>
      </c>
      <c r="C509" s="8" t="s">
        <v>3705</v>
      </c>
      <c r="D509" s="8" t="s">
        <v>3702</v>
      </c>
      <c r="E509" s="105">
        <v>1</v>
      </c>
      <c r="F509" s="106" t="s">
        <v>2024</v>
      </c>
      <c r="G509" s="8"/>
      <c r="H509" s="8"/>
      <c r="I509" s="107">
        <v>0</v>
      </c>
      <c r="J509" s="8" t="s">
        <v>3695</v>
      </c>
    </row>
    <row r="510" spans="1:10" ht="16.5" customHeight="1" x14ac:dyDescent="0.25">
      <c r="A510" s="8" t="s">
        <v>3706</v>
      </c>
      <c r="B510" s="8" t="s">
        <v>3707</v>
      </c>
      <c r="C510" s="8" t="s">
        <v>3708</v>
      </c>
      <c r="D510" s="8" t="s">
        <v>3709</v>
      </c>
      <c r="E510" s="105">
        <v>1</v>
      </c>
      <c r="F510" s="106" t="s">
        <v>2024</v>
      </c>
      <c r="G510" s="8"/>
      <c r="H510" s="8"/>
      <c r="I510" s="107">
        <v>0</v>
      </c>
      <c r="J510" s="8" t="s">
        <v>3695</v>
      </c>
    </row>
    <row r="511" spans="1:10" ht="16.5" customHeight="1" x14ac:dyDescent="0.25">
      <c r="A511" s="8" t="s">
        <v>3710</v>
      </c>
      <c r="B511" s="8" t="s">
        <v>3711</v>
      </c>
      <c r="C511" s="8" t="s">
        <v>3712</v>
      </c>
      <c r="D511" s="8" t="s">
        <v>3709</v>
      </c>
      <c r="E511" s="105">
        <v>1</v>
      </c>
      <c r="F511" s="106" t="s">
        <v>2024</v>
      </c>
      <c r="G511" s="8"/>
      <c r="H511" s="8"/>
      <c r="I511" s="107">
        <v>0</v>
      </c>
      <c r="J511" s="8" t="s">
        <v>3695</v>
      </c>
    </row>
    <row r="512" spans="1:10" ht="16.5" customHeight="1" x14ac:dyDescent="0.25">
      <c r="A512" s="8" t="s">
        <v>3713</v>
      </c>
      <c r="B512" s="8" t="s">
        <v>3714</v>
      </c>
      <c r="C512" s="8" t="s">
        <v>3715</v>
      </c>
      <c r="D512" s="8" t="s">
        <v>3716</v>
      </c>
      <c r="E512" s="105">
        <v>1</v>
      </c>
      <c r="F512" s="106" t="s">
        <v>2024</v>
      </c>
      <c r="G512" s="8"/>
      <c r="H512" s="8"/>
      <c r="I512" s="107">
        <v>0</v>
      </c>
      <c r="J512" s="8" t="s">
        <v>3695</v>
      </c>
    </row>
    <row r="513" spans="1:10" ht="16.5" customHeight="1" x14ac:dyDescent="0.25">
      <c r="A513" s="8" t="s">
        <v>3717</v>
      </c>
      <c r="B513" s="8" t="s">
        <v>3718</v>
      </c>
      <c r="C513" s="8" t="s">
        <v>3719</v>
      </c>
      <c r="D513" s="8" t="s">
        <v>3716</v>
      </c>
      <c r="E513" s="105">
        <v>1</v>
      </c>
      <c r="F513" s="106" t="s">
        <v>2024</v>
      </c>
      <c r="G513" s="8"/>
      <c r="H513" s="8"/>
      <c r="I513" s="107">
        <v>0</v>
      </c>
      <c r="J513" s="8" t="s">
        <v>3695</v>
      </c>
    </row>
    <row r="514" spans="1:10" ht="16.5" customHeight="1" x14ac:dyDescent="0.25">
      <c r="A514" s="8" t="s">
        <v>3720</v>
      </c>
      <c r="B514" s="8" t="s">
        <v>3721</v>
      </c>
      <c r="C514" s="8" t="s">
        <v>3722</v>
      </c>
      <c r="D514" s="8" t="s">
        <v>3723</v>
      </c>
      <c r="E514" s="105">
        <v>1</v>
      </c>
      <c r="F514" s="106" t="s">
        <v>2024</v>
      </c>
      <c r="G514" s="8"/>
      <c r="H514" s="8"/>
      <c r="I514" s="107">
        <v>0</v>
      </c>
      <c r="J514" s="8" t="s">
        <v>3695</v>
      </c>
    </row>
    <row r="515" spans="1:10" ht="16.5" customHeight="1" x14ac:dyDescent="0.25">
      <c r="A515" s="8" t="s">
        <v>3724</v>
      </c>
      <c r="B515" s="8" t="s">
        <v>3725</v>
      </c>
      <c r="C515" s="8" t="s">
        <v>3726</v>
      </c>
      <c r="D515" s="8" t="s">
        <v>3723</v>
      </c>
      <c r="E515" s="105">
        <v>1</v>
      </c>
      <c r="F515" s="106" t="s">
        <v>2024</v>
      </c>
      <c r="G515" s="8"/>
      <c r="H515" s="8"/>
      <c r="I515" s="107">
        <v>0</v>
      </c>
      <c r="J515" s="8" t="s">
        <v>3695</v>
      </c>
    </row>
    <row r="516" spans="1:10" ht="16.5" customHeight="1" x14ac:dyDescent="0.25">
      <c r="A516" s="8" t="s">
        <v>3727</v>
      </c>
      <c r="B516" s="8" t="s">
        <v>3728</v>
      </c>
      <c r="C516" s="8" t="s">
        <v>3729</v>
      </c>
      <c r="D516" s="8" t="s">
        <v>3730</v>
      </c>
      <c r="E516" s="105">
        <v>1</v>
      </c>
      <c r="F516" s="106" t="s">
        <v>2024</v>
      </c>
      <c r="G516" s="8"/>
      <c r="H516" s="8"/>
      <c r="I516" s="107">
        <v>0</v>
      </c>
      <c r="J516" s="8" t="s">
        <v>3695</v>
      </c>
    </row>
    <row r="517" spans="1:10" ht="16.5" customHeight="1" x14ac:dyDescent="0.25">
      <c r="A517" s="8" t="s">
        <v>3731</v>
      </c>
      <c r="B517" s="8" t="s">
        <v>3732</v>
      </c>
      <c r="C517" s="8" t="s">
        <v>3733</v>
      </c>
      <c r="D517" s="8" t="s">
        <v>3730</v>
      </c>
      <c r="E517" s="105">
        <v>1</v>
      </c>
      <c r="F517" s="106" t="s">
        <v>2024</v>
      </c>
      <c r="G517" s="8"/>
      <c r="H517" s="8"/>
      <c r="I517" s="107">
        <v>0</v>
      </c>
      <c r="J517" s="8" t="s">
        <v>3695</v>
      </c>
    </row>
    <row r="518" spans="1:10" ht="16.5" customHeight="1" x14ac:dyDescent="0.25">
      <c r="A518" s="8" t="s">
        <v>3734</v>
      </c>
      <c r="B518" s="8" t="s">
        <v>3735</v>
      </c>
      <c r="C518" s="8" t="s">
        <v>3736</v>
      </c>
      <c r="D518" s="8" t="s">
        <v>3737</v>
      </c>
      <c r="E518" s="105">
        <v>1</v>
      </c>
      <c r="F518" s="106" t="s">
        <v>2024</v>
      </c>
      <c r="G518" s="8"/>
      <c r="H518" s="8"/>
      <c r="I518" s="107">
        <v>0</v>
      </c>
      <c r="J518" s="8" t="s">
        <v>3695</v>
      </c>
    </row>
    <row r="519" spans="1:10" ht="16.5" customHeight="1" x14ac:dyDescent="0.25">
      <c r="A519" s="8" t="s">
        <v>3738</v>
      </c>
      <c r="B519" s="8" t="s">
        <v>3739</v>
      </c>
      <c r="C519" s="8" t="s">
        <v>3740</v>
      </c>
      <c r="D519" s="8" t="s">
        <v>3737</v>
      </c>
      <c r="E519" s="105">
        <v>1</v>
      </c>
      <c r="F519" s="106" t="s">
        <v>2024</v>
      </c>
      <c r="G519" s="8"/>
      <c r="H519" s="8"/>
      <c r="I519" s="107">
        <v>0</v>
      </c>
      <c r="J519" s="8" t="s">
        <v>3695</v>
      </c>
    </row>
    <row r="520" spans="1:10" ht="16.5" customHeight="1" x14ac:dyDescent="0.25">
      <c r="A520" s="8" t="s">
        <v>3741</v>
      </c>
      <c r="B520" s="8" t="s">
        <v>3742</v>
      </c>
      <c r="C520" s="8" t="s">
        <v>3743</v>
      </c>
      <c r="D520" s="8" t="s">
        <v>3737</v>
      </c>
      <c r="E520" s="105">
        <v>1</v>
      </c>
      <c r="F520" s="106" t="s">
        <v>2024</v>
      </c>
      <c r="G520" s="8"/>
      <c r="H520" s="8"/>
      <c r="I520" s="107">
        <v>0</v>
      </c>
      <c r="J520" s="8" t="s">
        <v>3695</v>
      </c>
    </row>
    <row r="521" spans="1:10" ht="16.5" customHeight="1" x14ac:dyDescent="0.25">
      <c r="A521" s="8" t="s">
        <v>3744</v>
      </c>
      <c r="B521" s="8" t="s">
        <v>3745</v>
      </c>
      <c r="C521" s="8" t="s">
        <v>3746</v>
      </c>
      <c r="D521" s="8" t="s">
        <v>3747</v>
      </c>
      <c r="E521" s="105">
        <v>1</v>
      </c>
      <c r="F521" s="106" t="s">
        <v>2024</v>
      </c>
      <c r="G521" s="8"/>
      <c r="H521" s="8"/>
      <c r="I521" s="107">
        <v>0</v>
      </c>
      <c r="J521" s="8" t="s">
        <v>3695</v>
      </c>
    </row>
    <row r="522" spans="1:10" ht="16.5" customHeight="1" x14ac:dyDescent="0.25">
      <c r="A522" s="8" t="s">
        <v>3748</v>
      </c>
      <c r="B522" s="8" t="s">
        <v>3749</v>
      </c>
      <c r="C522" s="8" t="s">
        <v>3750</v>
      </c>
      <c r="D522" s="8" t="s">
        <v>3747</v>
      </c>
      <c r="E522" s="105">
        <v>1</v>
      </c>
      <c r="F522" s="106" t="s">
        <v>2024</v>
      </c>
      <c r="G522" s="8"/>
      <c r="H522" s="8"/>
      <c r="I522" s="107">
        <v>0</v>
      </c>
      <c r="J522" s="8" t="s">
        <v>3695</v>
      </c>
    </row>
    <row r="523" spans="1:10" ht="16.5" customHeight="1" x14ac:dyDescent="0.25">
      <c r="A523" s="8" t="s">
        <v>3751</v>
      </c>
      <c r="B523" s="8" t="s">
        <v>3752</v>
      </c>
      <c r="C523" s="8" t="s">
        <v>3753</v>
      </c>
      <c r="D523" s="8" t="s">
        <v>3747</v>
      </c>
      <c r="E523" s="105">
        <v>1</v>
      </c>
      <c r="F523" s="106" t="s">
        <v>2024</v>
      </c>
      <c r="G523" s="8"/>
      <c r="H523" s="8"/>
      <c r="I523" s="107">
        <v>0</v>
      </c>
      <c r="J523" s="8" t="s">
        <v>3695</v>
      </c>
    </row>
    <row r="524" spans="1:10" ht="16.5" customHeight="1" x14ac:dyDescent="0.25">
      <c r="A524" s="8" t="s">
        <v>3754</v>
      </c>
      <c r="B524" s="8" t="s">
        <v>3755</v>
      </c>
      <c r="C524" s="8" t="s">
        <v>3756</v>
      </c>
      <c r="D524" s="8" t="s">
        <v>3757</v>
      </c>
      <c r="E524" s="105">
        <v>1</v>
      </c>
      <c r="F524" s="106" t="s">
        <v>2024</v>
      </c>
      <c r="G524" s="8"/>
      <c r="H524" s="8"/>
      <c r="I524" s="107">
        <v>0</v>
      </c>
      <c r="J524" s="8" t="s">
        <v>3695</v>
      </c>
    </row>
    <row r="525" spans="1:10" ht="16.5" customHeight="1" x14ac:dyDescent="0.25">
      <c r="A525" s="8" t="s">
        <v>3758</v>
      </c>
      <c r="B525" s="8" t="s">
        <v>3759</v>
      </c>
      <c r="C525" s="8" t="s">
        <v>3760</v>
      </c>
      <c r="D525" s="8" t="s">
        <v>3757</v>
      </c>
      <c r="E525" s="105">
        <v>1</v>
      </c>
      <c r="F525" s="106" t="s">
        <v>2024</v>
      </c>
      <c r="G525" s="8"/>
      <c r="H525" s="8"/>
      <c r="I525" s="107">
        <v>0</v>
      </c>
      <c r="J525" s="8" t="s">
        <v>3695</v>
      </c>
    </row>
    <row r="526" spans="1:10" ht="16.5" customHeight="1" x14ac:dyDescent="0.25">
      <c r="A526" s="8" t="s">
        <v>3761</v>
      </c>
      <c r="B526" s="8" t="s">
        <v>3762</v>
      </c>
      <c r="C526" s="8" t="s">
        <v>3763</v>
      </c>
      <c r="D526" s="8" t="s">
        <v>3757</v>
      </c>
      <c r="E526" s="105">
        <v>1</v>
      </c>
      <c r="F526" s="106" t="s">
        <v>2024</v>
      </c>
      <c r="G526" s="8"/>
      <c r="H526" s="8"/>
      <c r="I526" s="107">
        <v>0</v>
      </c>
      <c r="J526" s="8" t="s">
        <v>3695</v>
      </c>
    </row>
    <row r="527" spans="1:10" ht="16.5" customHeight="1" x14ac:dyDescent="0.25">
      <c r="A527" s="8" t="s">
        <v>3764</v>
      </c>
      <c r="B527" s="8" t="s">
        <v>3765</v>
      </c>
      <c r="C527" s="8" t="s">
        <v>3766</v>
      </c>
      <c r="D527" s="8" t="s">
        <v>3767</v>
      </c>
      <c r="E527" s="105">
        <v>1</v>
      </c>
      <c r="F527" s="106" t="s">
        <v>2024</v>
      </c>
      <c r="G527" s="8"/>
      <c r="H527" s="8"/>
      <c r="I527" s="107">
        <v>0</v>
      </c>
      <c r="J527" s="8" t="s">
        <v>3695</v>
      </c>
    </row>
    <row r="528" spans="1:10" ht="16.5" customHeight="1" x14ac:dyDescent="0.25">
      <c r="A528" s="8" t="s">
        <v>3768</v>
      </c>
      <c r="B528" s="8" t="s">
        <v>3769</v>
      </c>
      <c r="C528" s="8" t="s">
        <v>3770</v>
      </c>
      <c r="D528" s="8" t="s">
        <v>3767</v>
      </c>
      <c r="E528" s="105">
        <v>1</v>
      </c>
      <c r="F528" s="106" t="s">
        <v>2024</v>
      </c>
      <c r="G528" s="8"/>
      <c r="H528" s="8"/>
      <c r="I528" s="107">
        <v>0</v>
      </c>
      <c r="J528" s="8" t="s">
        <v>3695</v>
      </c>
    </row>
    <row r="529" spans="1:10" ht="16.5" customHeight="1" x14ac:dyDescent="0.25">
      <c r="A529" s="8" t="s">
        <v>3771</v>
      </c>
      <c r="B529" s="8" t="s">
        <v>3772</v>
      </c>
      <c r="C529" s="8" t="s">
        <v>3773</v>
      </c>
      <c r="D529" s="8" t="s">
        <v>3767</v>
      </c>
      <c r="E529" s="105">
        <v>1</v>
      </c>
      <c r="F529" s="106" t="s">
        <v>2024</v>
      </c>
      <c r="G529" s="8"/>
      <c r="H529" s="8"/>
      <c r="I529" s="107">
        <v>0</v>
      </c>
      <c r="J529" s="8" t="s">
        <v>3695</v>
      </c>
    </row>
    <row r="530" spans="1:10" ht="16.5" customHeight="1" x14ac:dyDescent="0.25">
      <c r="A530" s="8" t="s">
        <v>3774</v>
      </c>
      <c r="B530" s="8" t="s">
        <v>3775</v>
      </c>
      <c r="C530" s="8" t="s">
        <v>3776</v>
      </c>
      <c r="D530" s="8" t="s">
        <v>3777</v>
      </c>
      <c r="E530" s="105">
        <v>1</v>
      </c>
      <c r="F530" s="106" t="s">
        <v>2024</v>
      </c>
      <c r="G530" s="8"/>
      <c r="H530" s="8"/>
      <c r="I530" s="107">
        <v>0</v>
      </c>
      <c r="J530" s="8" t="s">
        <v>3695</v>
      </c>
    </row>
    <row r="531" spans="1:10" ht="16.5" customHeight="1" x14ac:dyDescent="0.25">
      <c r="A531" s="8" t="s">
        <v>3778</v>
      </c>
      <c r="B531" s="8" t="s">
        <v>3779</v>
      </c>
      <c r="C531" s="8" t="s">
        <v>3780</v>
      </c>
      <c r="D531" s="8" t="s">
        <v>3777</v>
      </c>
      <c r="E531" s="105">
        <v>1</v>
      </c>
      <c r="F531" s="106" t="s">
        <v>2024</v>
      </c>
      <c r="G531" s="8"/>
      <c r="H531" s="8"/>
      <c r="I531" s="107">
        <v>0</v>
      </c>
      <c r="J531" s="8" t="s">
        <v>3695</v>
      </c>
    </row>
    <row r="532" spans="1:10" ht="16.5" customHeight="1" x14ac:dyDescent="0.25">
      <c r="A532" s="8" t="s">
        <v>3781</v>
      </c>
      <c r="B532" s="8" t="s">
        <v>3782</v>
      </c>
      <c r="C532" s="8" t="s">
        <v>3783</v>
      </c>
      <c r="D532" s="8" t="s">
        <v>3777</v>
      </c>
      <c r="E532" s="105">
        <v>1</v>
      </c>
      <c r="F532" s="106" t="s">
        <v>2024</v>
      </c>
      <c r="G532" s="8"/>
      <c r="H532" s="8"/>
      <c r="I532" s="107">
        <v>0</v>
      </c>
      <c r="J532" s="8" t="s">
        <v>3695</v>
      </c>
    </row>
    <row r="533" spans="1:10" ht="16.5" customHeight="1" x14ac:dyDescent="0.25">
      <c r="A533" s="8" t="s">
        <v>3784</v>
      </c>
      <c r="B533" s="8" t="s">
        <v>3785</v>
      </c>
      <c r="C533" s="8" t="s">
        <v>3786</v>
      </c>
      <c r="D533" s="8" t="s">
        <v>3787</v>
      </c>
      <c r="E533" s="105">
        <v>1</v>
      </c>
      <c r="F533" s="106" t="s">
        <v>2024</v>
      </c>
      <c r="G533" s="8"/>
      <c r="H533" s="8"/>
      <c r="I533" s="107">
        <v>0</v>
      </c>
      <c r="J533" s="8" t="s">
        <v>3695</v>
      </c>
    </row>
    <row r="534" spans="1:10" ht="16.5" customHeight="1" x14ac:dyDescent="0.25">
      <c r="A534" s="8" t="s">
        <v>3788</v>
      </c>
      <c r="B534" s="8" t="s">
        <v>3789</v>
      </c>
      <c r="C534" s="8" t="s">
        <v>3790</v>
      </c>
      <c r="D534" s="8" t="s">
        <v>3787</v>
      </c>
      <c r="E534" s="105">
        <v>1</v>
      </c>
      <c r="F534" s="106" t="s">
        <v>2024</v>
      </c>
      <c r="G534" s="8"/>
      <c r="H534" s="8"/>
      <c r="I534" s="107">
        <v>0</v>
      </c>
      <c r="J534" s="8" t="s">
        <v>3695</v>
      </c>
    </row>
    <row r="535" spans="1:10" ht="16.5" customHeight="1" x14ac:dyDescent="0.25">
      <c r="A535" s="8" t="s">
        <v>3791</v>
      </c>
      <c r="B535" s="8" t="s">
        <v>3792</v>
      </c>
      <c r="C535" s="8" t="s">
        <v>3793</v>
      </c>
      <c r="D535" s="8" t="s">
        <v>3787</v>
      </c>
      <c r="E535" s="105">
        <v>1</v>
      </c>
      <c r="F535" s="106" t="s">
        <v>2024</v>
      </c>
      <c r="G535" s="8"/>
      <c r="H535" s="8"/>
      <c r="I535" s="107">
        <v>0</v>
      </c>
      <c r="J535" s="8" t="s">
        <v>3695</v>
      </c>
    </row>
    <row r="536" spans="1:10" ht="16.5" customHeight="1" x14ac:dyDescent="0.25">
      <c r="A536" s="8" t="s">
        <v>3794</v>
      </c>
      <c r="B536" s="8" t="s">
        <v>3795</v>
      </c>
      <c r="C536" s="8" t="s">
        <v>3796</v>
      </c>
      <c r="D536" s="8" t="s">
        <v>3797</v>
      </c>
      <c r="E536" s="105">
        <v>1</v>
      </c>
      <c r="F536" s="106" t="s">
        <v>2024</v>
      </c>
      <c r="G536" s="8"/>
      <c r="H536" s="8"/>
      <c r="I536" s="107">
        <v>0</v>
      </c>
      <c r="J536" s="8" t="s">
        <v>3695</v>
      </c>
    </row>
    <row r="537" spans="1:10" ht="16.5" customHeight="1" x14ac:dyDescent="0.25">
      <c r="A537" s="8" t="s">
        <v>3798</v>
      </c>
      <c r="B537" s="8" t="s">
        <v>3799</v>
      </c>
      <c r="C537" s="8" t="s">
        <v>3800</v>
      </c>
      <c r="D537" s="8" t="s">
        <v>3797</v>
      </c>
      <c r="E537" s="105">
        <v>1</v>
      </c>
      <c r="F537" s="106" t="s">
        <v>2024</v>
      </c>
      <c r="G537" s="8"/>
      <c r="H537" s="8"/>
      <c r="I537" s="107">
        <v>0</v>
      </c>
      <c r="J537" s="8" t="s">
        <v>3695</v>
      </c>
    </row>
    <row r="538" spans="1:10" ht="16.5" customHeight="1" x14ac:dyDescent="0.25">
      <c r="A538" s="8" t="s">
        <v>3801</v>
      </c>
      <c r="B538" s="8" t="s">
        <v>3802</v>
      </c>
      <c r="C538" s="8" t="s">
        <v>3803</v>
      </c>
      <c r="D538" s="8" t="s">
        <v>3797</v>
      </c>
      <c r="E538" s="105">
        <v>1</v>
      </c>
      <c r="F538" s="106" t="s">
        <v>2024</v>
      </c>
      <c r="G538" s="8"/>
      <c r="H538" s="8"/>
      <c r="I538" s="107">
        <v>0</v>
      </c>
      <c r="J538" s="8" t="s">
        <v>3695</v>
      </c>
    </row>
    <row r="539" spans="1:10" ht="16.5" customHeight="1" x14ac:dyDescent="0.25">
      <c r="A539" s="8" t="s">
        <v>3804</v>
      </c>
      <c r="B539" s="8" t="s">
        <v>3805</v>
      </c>
      <c r="C539" s="8" t="s">
        <v>3806</v>
      </c>
      <c r="D539" s="8" t="s">
        <v>3807</v>
      </c>
      <c r="E539" s="105">
        <v>1</v>
      </c>
      <c r="F539" s="106" t="s">
        <v>2024</v>
      </c>
      <c r="G539" s="8"/>
      <c r="H539" s="8"/>
      <c r="I539" s="107">
        <v>0</v>
      </c>
      <c r="J539" s="8" t="s">
        <v>3695</v>
      </c>
    </row>
    <row r="540" spans="1:10" ht="16.5" customHeight="1" x14ac:dyDescent="0.25">
      <c r="A540" s="8" t="s">
        <v>3808</v>
      </c>
      <c r="B540" s="8" t="s">
        <v>3809</v>
      </c>
      <c r="C540" s="8" t="s">
        <v>3810</v>
      </c>
      <c r="D540" s="8" t="s">
        <v>3807</v>
      </c>
      <c r="E540" s="105">
        <v>1</v>
      </c>
      <c r="F540" s="106" t="s">
        <v>2024</v>
      </c>
      <c r="G540" s="8"/>
      <c r="H540" s="8"/>
      <c r="I540" s="107">
        <v>0</v>
      </c>
      <c r="J540" s="8" t="s">
        <v>3695</v>
      </c>
    </row>
    <row r="541" spans="1:10" ht="16.5" customHeight="1" x14ac:dyDescent="0.25">
      <c r="A541" s="8" t="s">
        <v>3811</v>
      </c>
      <c r="B541" s="8" t="s">
        <v>3812</v>
      </c>
      <c r="C541" s="8" t="s">
        <v>3812</v>
      </c>
      <c r="D541" s="8" t="s">
        <v>3813</v>
      </c>
      <c r="E541" s="105">
        <v>1</v>
      </c>
      <c r="F541" s="106" t="s">
        <v>2024</v>
      </c>
      <c r="G541" s="8"/>
      <c r="H541" s="8"/>
      <c r="I541" s="107">
        <v>0</v>
      </c>
      <c r="J541" s="8" t="s">
        <v>3695</v>
      </c>
    </row>
    <row r="542" spans="1:10" ht="16.5" customHeight="1" x14ac:dyDescent="0.25">
      <c r="A542" s="8" t="s">
        <v>3814</v>
      </c>
      <c r="B542" s="8" t="s">
        <v>3815</v>
      </c>
      <c r="C542" s="8" t="s">
        <v>3815</v>
      </c>
      <c r="D542" s="8" t="s">
        <v>3813</v>
      </c>
      <c r="E542" s="105">
        <v>1</v>
      </c>
      <c r="F542" s="106" t="s">
        <v>2024</v>
      </c>
      <c r="G542" s="8"/>
      <c r="H542" s="8"/>
      <c r="I542" s="107">
        <v>0</v>
      </c>
      <c r="J542" s="8" t="s">
        <v>3695</v>
      </c>
    </row>
    <row r="543" spans="1:10" ht="16.5" customHeight="1" x14ac:dyDescent="0.25">
      <c r="A543" s="8" t="s">
        <v>3816</v>
      </c>
      <c r="B543" s="8" t="s">
        <v>3817</v>
      </c>
      <c r="C543" s="8" t="s">
        <v>3818</v>
      </c>
      <c r="D543" s="8" t="s">
        <v>3819</v>
      </c>
      <c r="E543" s="105">
        <v>1</v>
      </c>
      <c r="F543" s="106" t="s">
        <v>2024</v>
      </c>
      <c r="G543" s="8"/>
      <c r="H543" s="8"/>
      <c r="I543" s="107">
        <v>0</v>
      </c>
      <c r="J543" s="8" t="s">
        <v>3695</v>
      </c>
    </row>
    <row r="544" spans="1:10" ht="16.5" customHeight="1" x14ac:dyDescent="0.25">
      <c r="A544" s="8" t="s">
        <v>3820</v>
      </c>
      <c r="B544" s="8" t="s">
        <v>3821</v>
      </c>
      <c r="C544" s="8" t="s">
        <v>3822</v>
      </c>
      <c r="D544" s="8" t="s">
        <v>3819</v>
      </c>
      <c r="E544" s="105">
        <v>1</v>
      </c>
      <c r="F544" s="106" t="s">
        <v>2024</v>
      </c>
      <c r="G544" s="8"/>
      <c r="H544" s="8"/>
      <c r="I544" s="107">
        <v>0</v>
      </c>
      <c r="J544" s="8" t="s">
        <v>3695</v>
      </c>
    </row>
    <row r="545" spans="1:10" ht="16.5" customHeight="1" x14ac:dyDescent="0.25">
      <c r="A545" s="8" t="s">
        <v>3823</v>
      </c>
      <c r="B545" s="8" t="s">
        <v>3824</v>
      </c>
      <c r="C545" s="8" t="s">
        <v>3825</v>
      </c>
      <c r="D545" s="8" t="s">
        <v>3826</v>
      </c>
      <c r="E545" s="105">
        <v>1</v>
      </c>
      <c r="F545" s="106" t="s">
        <v>2024</v>
      </c>
      <c r="G545" s="8"/>
      <c r="H545" s="8"/>
      <c r="I545" s="107">
        <v>0</v>
      </c>
      <c r="J545" s="8" t="s">
        <v>3695</v>
      </c>
    </row>
    <row r="546" spans="1:10" ht="16.5" customHeight="1" x14ac:dyDescent="0.25">
      <c r="A546" s="8" t="s">
        <v>3827</v>
      </c>
      <c r="B546" s="8" t="s">
        <v>3828</v>
      </c>
      <c r="C546" s="8" t="s">
        <v>3829</v>
      </c>
      <c r="D546" s="8" t="s">
        <v>3826</v>
      </c>
      <c r="E546" s="105">
        <v>1</v>
      </c>
      <c r="F546" s="106" t="s">
        <v>2024</v>
      </c>
      <c r="G546" s="8"/>
      <c r="H546" s="8"/>
      <c r="I546" s="107">
        <v>0</v>
      </c>
      <c r="J546" s="8" t="s">
        <v>3695</v>
      </c>
    </row>
    <row r="547" spans="1:10" ht="16.5" customHeight="1" x14ac:dyDescent="0.25">
      <c r="A547" s="8" t="s">
        <v>3830</v>
      </c>
      <c r="B547" s="8" t="s">
        <v>3831</v>
      </c>
      <c r="C547" s="8" t="s">
        <v>3832</v>
      </c>
      <c r="D547" s="8" t="s">
        <v>3833</v>
      </c>
      <c r="E547" s="105">
        <v>1</v>
      </c>
      <c r="F547" s="106" t="s">
        <v>2018</v>
      </c>
      <c r="G547" s="8"/>
      <c r="H547" s="8"/>
      <c r="I547" s="107">
        <v>0</v>
      </c>
      <c r="J547" s="8" t="s">
        <v>3695</v>
      </c>
    </row>
    <row r="548" spans="1:10" ht="16.5" customHeight="1" x14ac:dyDescent="0.25">
      <c r="A548" s="8" t="s">
        <v>3834</v>
      </c>
      <c r="B548" s="8" t="s">
        <v>3835</v>
      </c>
      <c r="C548" s="8" t="s">
        <v>3836</v>
      </c>
      <c r="D548" s="8" t="s">
        <v>3833</v>
      </c>
      <c r="E548" s="105">
        <v>1</v>
      </c>
      <c r="F548" s="106" t="s">
        <v>2024</v>
      </c>
      <c r="G548" s="8"/>
      <c r="H548" s="8"/>
      <c r="I548" s="107">
        <v>0</v>
      </c>
      <c r="J548" s="8" t="s">
        <v>3695</v>
      </c>
    </row>
    <row r="549" spans="1:10" ht="16.5" customHeight="1" x14ac:dyDescent="0.25">
      <c r="A549" s="8" t="s">
        <v>3837</v>
      </c>
      <c r="B549" s="8" t="s">
        <v>3838</v>
      </c>
      <c r="C549" s="8" t="s">
        <v>3839</v>
      </c>
      <c r="D549" s="8" t="s">
        <v>3840</v>
      </c>
      <c r="E549" s="105">
        <v>1</v>
      </c>
      <c r="F549" s="106" t="s">
        <v>2024</v>
      </c>
      <c r="G549" s="8"/>
      <c r="H549" s="8"/>
      <c r="I549" s="107">
        <v>0</v>
      </c>
      <c r="J549" s="8" t="s">
        <v>3695</v>
      </c>
    </row>
    <row r="550" spans="1:10" ht="16.5" customHeight="1" x14ac:dyDescent="0.25">
      <c r="A550" s="8" t="s">
        <v>3841</v>
      </c>
      <c r="B550" s="8" t="s">
        <v>3842</v>
      </c>
      <c r="C550" s="8" t="s">
        <v>3839</v>
      </c>
      <c r="D550" s="8" t="s">
        <v>3840</v>
      </c>
      <c r="E550" s="105">
        <v>1</v>
      </c>
      <c r="F550" s="106" t="s">
        <v>2024</v>
      </c>
      <c r="G550" s="8"/>
      <c r="H550" s="8"/>
      <c r="I550" s="107">
        <v>0</v>
      </c>
      <c r="J550" s="8" t="s">
        <v>3695</v>
      </c>
    </row>
    <row r="551" spans="1:10" ht="16.5" customHeight="1" x14ac:dyDescent="0.25">
      <c r="A551" s="8" t="s">
        <v>3843</v>
      </c>
      <c r="B551" s="8" t="s">
        <v>3844</v>
      </c>
      <c r="C551" s="8" t="s">
        <v>3845</v>
      </c>
      <c r="D551" s="8" t="s">
        <v>3846</v>
      </c>
      <c r="E551" s="105">
        <v>1</v>
      </c>
      <c r="F551" s="106" t="s">
        <v>2024</v>
      </c>
      <c r="G551" s="8"/>
      <c r="H551" s="8"/>
      <c r="I551" s="107">
        <v>0</v>
      </c>
      <c r="J551" s="8" t="s">
        <v>3695</v>
      </c>
    </row>
    <row r="552" spans="1:10" ht="16.5" customHeight="1" x14ac:dyDescent="0.25">
      <c r="A552" s="8" t="s">
        <v>3847</v>
      </c>
      <c r="B552" s="8" t="s">
        <v>3848</v>
      </c>
      <c r="C552" s="8" t="s">
        <v>3845</v>
      </c>
      <c r="D552" s="8" t="s">
        <v>3846</v>
      </c>
      <c r="E552" s="105">
        <v>1</v>
      </c>
      <c r="F552" s="106" t="s">
        <v>2024</v>
      </c>
      <c r="G552" s="8"/>
      <c r="H552" s="8"/>
      <c r="I552" s="107">
        <v>0</v>
      </c>
      <c r="J552" s="8" t="s">
        <v>3695</v>
      </c>
    </row>
    <row r="553" spans="1:10" ht="16.5" customHeight="1" x14ac:dyDescent="0.25">
      <c r="A553" s="8" t="s">
        <v>3849</v>
      </c>
      <c r="B553" s="8" t="s">
        <v>3850</v>
      </c>
      <c r="C553" s="8" t="s">
        <v>3851</v>
      </c>
      <c r="D553" s="8" t="s">
        <v>3852</v>
      </c>
      <c r="E553" s="105">
        <v>1</v>
      </c>
      <c r="F553" s="106" t="s">
        <v>2018</v>
      </c>
      <c r="G553" s="8"/>
      <c r="H553" s="8"/>
      <c r="I553" s="107">
        <v>0</v>
      </c>
      <c r="J553" s="8" t="s">
        <v>3695</v>
      </c>
    </row>
    <row r="554" spans="1:10" ht="16.5" customHeight="1" x14ac:dyDescent="0.25">
      <c r="A554" s="8" t="s">
        <v>3853</v>
      </c>
      <c r="B554" s="8" t="s">
        <v>3854</v>
      </c>
      <c r="C554" s="8" t="s">
        <v>3855</v>
      </c>
      <c r="D554" s="8" t="s">
        <v>3852</v>
      </c>
      <c r="E554" s="105">
        <v>1</v>
      </c>
      <c r="F554" s="106" t="s">
        <v>2024</v>
      </c>
      <c r="G554" s="8"/>
      <c r="H554" s="8"/>
      <c r="I554" s="107">
        <v>0</v>
      </c>
      <c r="J554" s="8" t="s">
        <v>3695</v>
      </c>
    </row>
    <row r="555" spans="1:10" ht="16.5" customHeight="1" x14ac:dyDescent="0.25">
      <c r="A555" s="8" t="s">
        <v>3856</v>
      </c>
      <c r="B555" s="8" t="s">
        <v>3857</v>
      </c>
      <c r="C555" s="8" t="s">
        <v>3858</v>
      </c>
      <c r="D555" s="8" t="s">
        <v>3859</v>
      </c>
      <c r="E555" s="105">
        <v>1</v>
      </c>
      <c r="F555" s="106" t="s">
        <v>2024</v>
      </c>
      <c r="G555" s="8"/>
      <c r="H555" s="8"/>
      <c r="I555" s="107">
        <v>0</v>
      </c>
      <c r="J555" s="8" t="s">
        <v>3695</v>
      </c>
    </row>
    <row r="556" spans="1:10" ht="16.5" customHeight="1" x14ac:dyDescent="0.25">
      <c r="A556" s="8" t="s">
        <v>3860</v>
      </c>
      <c r="B556" s="8" t="s">
        <v>3861</v>
      </c>
      <c r="C556" s="8" t="s">
        <v>3858</v>
      </c>
      <c r="D556" s="8" t="s">
        <v>3859</v>
      </c>
      <c r="E556" s="105">
        <v>1</v>
      </c>
      <c r="F556" s="106" t="s">
        <v>2024</v>
      </c>
      <c r="G556" s="8"/>
      <c r="H556" s="8"/>
      <c r="I556" s="107">
        <v>0</v>
      </c>
      <c r="J556" s="8" t="s">
        <v>3695</v>
      </c>
    </row>
    <row r="557" spans="1:10" ht="16.5" customHeight="1" x14ac:dyDescent="0.25">
      <c r="A557" s="8" t="s">
        <v>3862</v>
      </c>
      <c r="B557" s="8" t="s">
        <v>3863</v>
      </c>
      <c r="C557" s="8" t="s">
        <v>3863</v>
      </c>
      <c r="D557" s="8" t="s">
        <v>3864</v>
      </c>
      <c r="E557" s="105">
        <v>1</v>
      </c>
      <c r="F557" s="106" t="s">
        <v>2024</v>
      </c>
      <c r="G557" s="8"/>
      <c r="H557" s="8"/>
      <c r="I557" s="107">
        <v>0</v>
      </c>
      <c r="J557" s="8" t="s">
        <v>3695</v>
      </c>
    </row>
    <row r="558" spans="1:10" ht="16.5" customHeight="1" x14ac:dyDescent="0.25">
      <c r="A558" s="8" t="s">
        <v>3865</v>
      </c>
      <c r="B558" s="8" t="s">
        <v>3866</v>
      </c>
      <c r="C558" s="8" t="s">
        <v>3867</v>
      </c>
      <c r="D558" s="8" t="s">
        <v>3864</v>
      </c>
      <c r="E558" s="105">
        <v>1</v>
      </c>
      <c r="F558" s="106" t="s">
        <v>2024</v>
      </c>
      <c r="G558" s="8"/>
      <c r="H558" s="8"/>
      <c r="I558" s="107">
        <v>0</v>
      </c>
      <c r="J558" s="8" t="s">
        <v>3695</v>
      </c>
    </row>
    <row r="559" spans="1:10" ht="16.5" customHeight="1" x14ac:dyDescent="0.25">
      <c r="A559" s="8" t="s">
        <v>3868</v>
      </c>
      <c r="B559" s="8" t="s">
        <v>3869</v>
      </c>
      <c r="C559" s="8" t="s">
        <v>3870</v>
      </c>
      <c r="D559" s="8" t="s">
        <v>3871</v>
      </c>
      <c r="E559" s="105">
        <v>1</v>
      </c>
      <c r="F559" s="106" t="s">
        <v>2024</v>
      </c>
      <c r="G559" s="8"/>
      <c r="H559" s="8"/>
      <c r="I559" s="107">
        <v>0</v>
      </c>
      <c r="J559" s="8" t="s">
        <v>3695</v>
      </c>
    </row>
    <row r="560" spans="1:10" ht="16.5" customHeight="1" x14ac:dyDescent="0.25">
      <c r="A560" s="8" t="s">
        <v>3872</v>
      </c>
      <c r="B560" s="8" t="s">
        <v>3873</v>
      </c>
      <c r="C560" s="8" t="s">
        <v>3874</v>
      </c>
      <c r="D560" s="8" t="s">
        <v>3871</v>
      </c>
      <c r="E560" s="105">
        <v>1</v>
      </c>
      <c r="F560" s="106" t="s">
        <v>2024</v>
      </c>
      <c r="G560" s="8"/>
      <c r="H560" s="8"/>
      <c r="I560" s="107">
        <v>0</v>
      </c>
      <c r="J560" s="8" t="s">
        <v>3695</v>
      </c>
    </row>
    <row r="561" spans="1:10" ht="16.5" customHeight="1" x14ac:dyDescent="0.25">
      <c r="A561" s="8" t="s">
        <v>3875</v>
      </c>
      <c r="B561" s="8" t="s">
        <v>3876</v>
      </c>
      <c r="C561" s="8" t="s">
        <v>3877</v>
      </c>
      <c r="D561" s="8" t="s">
        <v>3878</v>
      </c>
      <c r="E561" s="105">
        <v>1</v>
      </c>
      <c r="F561" s="106" t="s">
        <v>2024</v>
      </c>
      <c r="G561" s="8"/>
      <c r="H561" s="8"/>
      <c r="I561" s="107">
        <v>0</v>
      </c>
      <c r="J561" s="8" t="s">
        <v>3695</v>
      </c>
    </row>
    <row r="562" spans="1:10" ht="16.5" customHeight="1" x14ac:dyDescent="0.25">
      <c r="A562" s="8" t="s">
        <v>3879</v>
      </c>
      <c r="B562" s="8" t="s">
        <v>3880</v>
      </c>
      <c r="C562" s="8" t="s">
        <v>3881</v>
      </c>
      <c r="D562" s="8" t="s">
        <v>3878</v>
      </c>
      <c r="E562" s="105">
        <v>1</v>
      </c>
      <c r="F562" s="106" t="s">
        <v>2024</v>
      </c>
      <c r="G562" s="8"/>
      <c r="H562" s="8"/>
      <c r="I562" s="107">
        <v>0</v>
      </c>
      <c r="J562" s="8" t="s">
        <v>3695</v>
      </c>
    </row>
    <row r="563" spans="1:10" ht="16.5" customHeight="1" x14ac:dyDescent="0.25">
      <c r="A563" s="8" t="s">
        <v>3882</v>
      </c>
      <c r="B563" s="8" t="s">
        <v>3883</v>
      </c>
      <c r="C563" s="8" t="s">
        <v>3884</v>
      </c>
      <c r="D563" s="8" t="s">
        <v>3885</v>
      </c>
      <c r="E563" s="105">
        <v>1</v>
      </c>
      <c r="F563" s="106" t="s">
        <v>2024</v>
      </c>
      <c r="G563" s="8"/>
      <c r="H563" s="8"/>
      <c r="I563" s="107">
        <v>0</v>
      </c>
      <c r="J563" s="8" t="s">
        <v>3695</v>
      </c>
    </row>
    <row r="564" spans="1:10" ht="16.5" customHeight="1" x14ac:dyDescent="0.25">
      <c r="A564" s="8" t="s">
        <v>3886</v>
      </c>
      <c r="B564" s="8" t="s">
        <v>3887</v>
      </c>
      <c r="C564" s="8" t="s">
        <v>3884</v>
      </c>
      <c r="D564" s="8" t="s">
        <v>3885</v>
      </c>
      <c r="E564" s="105">
        <v>1</v>
      </c>
      <c r="F564" s="106" t="s">
        <v>2024</v>
      </c>
      <c r="G564" s="8"/>
      <c r="H564" s="8"/>
      <c r="I564" s="107">
        <v>0</v>
      </c>
      <c r="J564" s="8" t="s">
        <v>3695</v>
      </c>
    </row>
    <row r="565" spans="1:10" ht="16.5" customHeight="1" x14ac:dyDescent="0.25">
      <c r="A565" s="8" t="s">
        <v>3888</v>
      </c>
      <c r="B565" s="8" t="s">
        <v>3889</v>
      </c>
      <c r="C565" s="8" t="s">
        <v>3890</v>
      </c>
      <c r="D565" s="8" t="s">
        <v>3891</v>
      </c>
      <c r="E565" s="105">
        <v>1</v>
      </c>
      <c r="F565" s="106" t="s">
        <v>2024</v>
      </c>
      <c r="G565" s="8"/>
      <c r="H565" s="8"/>
      <c r="I565" s="107">
        <v>0</v>
      </c>
      <c r="J565" s="8" t="s">
        <v>3695</v>
      </c>
    </row>
    <row r="566" spans="1:10" ht="16.5" customHeight="1" x14ac:dyDescent="0.25">
      <c r="A566" s="8" t="s">
        <v>3892</v>
      </c>
      <c r="B566" s="8" t="s">
        <v>3893</v>
      </c>
      <c r="C566" s="8" t="s">
        <v>3894</v>
      </c>
      <c r="D566" s="8" t="s">
        <v>3891</v>
      </c>
      <c r="E566" s="105">
        <v>1</v>
      </c>
      <c r="F566" s="106" t="s">
        <v>2024</v>
      </c>
      <c r="G566" s="8"/>
      <c r="H566" s="8"/>
      <c r="I566" s="107">
        <v>0</v>
      </c>
      <c r="J566" s="8" t="s">
        <v>3695</v>
      </c>
    </row>
    <row r="567" spans="1:10" ht="16.5" customHeight="1" x14ac:dyDescent="0.25">
      <c r="A567" s="8" t="s">
        <v>3895</v>
      </c>
      <c r="B567" s="8" t="s">
        <v>3896</v>
      </c>
      <c r="C567" s="8" t="s">
        <v>3897</v>
      </c>
      <c r="D567" s="8" t="s">
        <v>3898</v>
      </c>
      <c r="E567" s="105">
        <v>1</v>
      </c>
      <c r="F567" s="106" t="s">
        <v>2024</v>
      </c>
      <c r="G567" s="8"/>
      <c r="H567" s="8"/>
      <c r="I567" s="107">
        <v>0</v>
      </c>
      <c r="J567" s="8" t="s">
        <v>3695</v>
      </c>
    </row>
    <row r="568" spans="1:10" ht="16.5" customHeight="1" x14ac:dyDescent="0.25">
      <c r="A568" s="8" t="s">
        <v>3899</v>
      </c>
      <c r="B568" s="8" t="s">
        <v>3900</v>
      </c>
      <c r="C568" s="8" t="s">
        <v>3901</v>
      </c>
      <c r="D568" s="8" t="s">
        <v>3898</v>
      </c>
      <c r="E568" s="105">
        <v>1</v>
      </c>
      <c r="F568" s="106" t="s">
        <v>2024</v>
      </c>
      <c r="G568" s="8"/>
      <c r="H568" s="8"/>
      <c r="I568" s="107">
        <v>0</v>
      </c>
      <c r="J568" s="8" t="s">
        <v>3695</v>
      </c>
    </row>
    <row r="569" spans="1:10" ht="16.5" customHeight="1" x14ac:dyDescent="0.25">
      <c r="A569" s="8" t="s">
        <v>3902</v>
      </c>
      <c r="B569" s="8" t="s">
        <v>3903</v>
      </c>
      <c r="C569" s="8" t="s">
        <v>3904</v>
      </c>
      <c r="D569" s="8" t="s">
        <v>3905</v>
      </c>
      <c r="E569" s="105">
        <v>1</v>
      </c>
      <c r="F569" s="106" t="s">
        <v>2024</v>
      </c>
      <c r="G569" s="8"/>
      <c r="H569" s="8"/>
      <c r="I569" s="107">
        <v>0</v>
      </c>
      <c r="J569" s="8" t="s">
        <v>3695</v>
      </c>
    </row>
    <row r="570" spans="1:10" ht="16.5" customHeight="1" x14ac:dyDescent="0.25">
      <c r="A570" s="8" t="s">
        <v>3906</v>
      </c>
      <c r="B570" s="8" t="s">
        <v>3907</v>
      </c>
      <c r="C570" s="8" t="s">
        <v>3908</v>
      </c>
      <c r="D570" s="8" t="s">
        <v>3905</v>
      </c>
      <c r="E570" s="105">
        <v>1</v>
      </c>
      <c r="F570" s="106" t="s">
        <v>2024</v>
      </c>
      <c r="G570" s="8"/>
      <c r="H570" s="8"/>
      <c r="I570" s="107">
        <v>0</v>
      </c>
      <c r="J570" s="8" t="s">
        <v>3695</v>
      </c>
    </row>
    <row r="571" spans="1:10" ht="16.5" customHeight="1" x14ac:dyDescent="0.25">
      <c r="A571" s="8" t="s">
        <v>3909</v>
      </c>
      <c r="B571" s="8" t="s">
        <v>3910</v>
      </c>
      <c r="C571" s="8" t="s">
        <v>3911</v>
      </c>
      <c r="D571" s="8" t="s">
        <v>3912</v>
      </c>
      <c r="E571" s="105">
        <v>1</v>
      </c>
      <c r="F571" s="106" t="s">
        <v>2024</v>
      </c>
      <c r="G571" s="8"/>
      <c r="H571" s="8"/>
      <c r="I571" s="107">
        <v>0</v>
      </c>
      <c r="J571" s="8" t="s">
        <v>3695</v>
      </c>
    </row>
    <row r="572" spans="1:10" ht="16.5" customHeight="1" x14ac:dyDescent="0.25">
      <c r="A572" s="8" t="s">
        <v>3913</v>
      </c>
      <c r="B572" s="8" t="s">
        <v>3914</v>
      </c>
      <c r="C572" s="8" t="s">
        <v>3915</v>
      </c>
      <c r="D572" s="8" t="s">
        <v>3912</v>
      </c>
      <c r="E572" s="105">
        <v>1</v>
      </c>
      <c r="F572" s="106" t="s">
        <v>2024</v>
      </c>
      <c r="G572" s="8"/>
      <c r="H572" s="8"/>
      <c r="I572" s="107">
        <v>0</v>
      </c>
      <c r="J572" s="8" t="s">
        <v>3695</v>
      </c>
    </row>
    <row r="573" spans="1:10" ht="16.5" customHeight="1" x14ac:dyDescent="0.25">
      <c r="A573" s="8" t="s">
        <v>3916</v>
      </c>
      <c r="B573" s="8" t="s">
        <v>3917</v>
      </c>
      <c r="C573" s="8" t="s">
        <v>3918</v>
      </c>
      <c r="D573" s="8" t="s">
        <v>3919</v>
      </c>
      <c r="E573" s="105">
        <v>1</v>
      </c>
      <c r="F573" s="106" t="s">
        <v>2024</v>
      </c>
      <c r="G573" s="8"/>
      <c r="H573" s="8"/>
      <c r="I573" s="107">
        <v>0</v>
      </c>
      <c r="J573" s="8" t="s">
        <v>3695</v>
      </c>
    </row>
    <row r="574" spans="1:10" ht="16.5" customHeight="1" x14ac:dyDescent="0.25">
      <c r="A574" s="8" t="s">
        <v>3920</v>
      </c>
      <c r="B574" s="8" t="s">
        <v>3921</v>
      </c>
      <c r="C574" s="8" t="s">
        <v>3922</v>
      </c>
      <c r="D574" s="8" t="s">
        <v>3919</v>
      </c>
      <c r="E574" s="105">
        <v>1</v>
      </c>
      <c r="F574" s="106" t="s">
        <v>2024</v>
      </c>
      <c r="G574" s="8"/>
      <c r="H574" s="8"/>
      <c r="I574" s="107">
        <v>0</v>
      </c>
      <c r="J574" s="8" t="s">
        <v>3695</v>
      </c>
    </row>
    <row r="575" spans="1:10" ht="16.5" customHeight="1" x14ac:dyDescent="0.25">
      <c r="A575" s="8" t="s">
        <v>3923</v>
      </c>
      <c r="B575" s="8" t="s">
        <v>3924</v>
      </c>
      <c r="C575" s="8" t="s">
        <v>3925</v>
      </c>
      <c r="D575" s="8" t="s">
        <v>3926</v>
      </c>
      <c r="E575" s="105">
        <v>1</v>
      </c>
      <c r="F575" s="106" t="s">
        <v>2024</v>
      </c>
      <c r="G575" s="8"/>
      <c r="H575" s="8"/>
      <c r="I575" s="107">
        <v>0</v>
      </c>
      <c r="J575" s="8" t="s">
        <v>3695</v>
      </c>
    </row>
    <row r="576" spans="1:10" ht="16.5" customHeight="1" x14ac:dyDescent="0.25">
      <c r="A576" s="8" t="s">
        <v>3927</v>
      </c>
      <c r="B576" s="8" t="s">
        <v>3928</v>
      </c>
      <c r="C576" s="8" t="s">
        <v>3929</v>
      </c>
      <c r="D576" s="8" t="s">
        <v>3926</v>
      </c>
      <c r="E576" s="105">
        <v>1</v>
      </c>
      <c r="F576" s="106" t="s">
        <v>2024</v>
      </c>
      <c r="G576" s="8"/>
      <c r="H576" s="8"/>
      <c r="I576" s="107">
        <v>0</v>
      </c>
      <c r="J576" s="8" t="s">
        <v>3695</v>
      </c>
    </row>
    <row r="577" spans="1:10" ht="16.5" customHeight="1" x14ac:dyDescent="0.25">
      <c r="A577" s="8" t="s">
        <v>3930</v>
      </c>
      <c r="B577" s="8" t="s">
        <v>3931</v>
      </c>
      <c r="C577" s="8" t="s">
        <v>3932</v>
      </c>
      <c r="D577" s="8" t="s">
        <v>3933</v>
      </c>
      <c r="E577" s="105">
        <v>1</v>
      </c>
      <c r="F577" s="106" t="s">
        <v>2024</v>
      </c>
      <c r="G577" s="8"/>
      <c r="H577" s="8"/>
      <c r="I577" s="107">
        <v>0</v>
      </c>
      <c r="J577" s="8" t="s">
        <v>3695</v>
      </c>
    </row>
    <row r="578" spans="1:10" ht="16.5" customHeight="1" x14ac:dyDescent="0.25">
      <c r="A578" s="8" t="s">
        <v>3934</v>
      </c>
      <c r="B578" s="8" t="s">
        <v>3935</v>
      </c>
      <c r="C578" s="8" t="s">
        <v>3936</v>
      </c>
      <c r="D578" s="8" t="s">
        <v>3933</v>
      </c>
      <c r="E578" s="105">
        <v>1</v>
      </c>
      <c r="F578" s="106" t="s">
        <v>2024</v>
      </c>
      <c r="G578" s="8"/>
      <c r="H578" s="8"/>
      <c r="I578" s="107">
        <v>0</v>
      </c>
      <c r="J578" s="8" t="s">
        <v>3695</v>
      </c>
    </row>
    <row r="579" spans="1:10" ht="16.5" customHeight="1" x14ac:dyDescent="0.25">
      <c r="A579" s="8" t="s">
        <v>3937</v>
      </c>
      <c r="B579" s="8" t="s">
        <v>3938</v>
      </c>
      <c r="C579" s="8" t="s">
        <v>3939</v>
      </c>
      <c r="D579" s="8" t="s">
        <v>3940</v>
      </c>
      <c r="E579" s="105">
        <v>1</v>
      </c>
      <c r="F579" s="106" t="s">
        <v>2024</v>
      </c>
      <c r="G579" s="8"/>
      <c r="H579" s="8"/>
      <c r="I579" s="107">
        <v>0</v>
      </c>
      <c r="J579" s="8" t="s">
        <v>3695</v>
      </c>
    </row>
    <row r="580" spans="1:10" ht="16.5" customHeight="1" x14ac:dyDescent="0.25">
      <c r="A580" s="8" t="s">
        <v>3941</v>
      </c>
      <c r="B580" s="8" t="s">
        <v>3942</v>
      </c>
      <c r="C580" s="8" t="s">
        <v>3943</v>
      </c>
      <c r="D580" s="8" t="s">
        <v>3944</v>
      </c>
      <c r="E580" s="105">
        <v>1</v>
      </c>
      <c r="F580" s="106" t="s">
        <v>2024</v>
      </c>
      <c r="G580" s="8"/>
      <c r="H580" s="8"/>
      <c r="I580" s="107">
        <v>0</v>
      </c>
      <c r="J580" s="8" t="s">
        <v>3695</v>
      </c>
    </row>
    <row r="581" spans="1:10" ht="16.5" customHeight="1" x14ac:dyDescent="0.25">
      <c r="A581" s="8" t="s">
        <v>3945</v>
      </c>
      <c r="B581" s="8" t="s">
        <v>3946</v>
      </c>
      <c r="C581" s="8" t="s">
        <v>3947</v>
      </c>
      <c r="D581" s="8" t="s">
        <v>3948</v>
      </c>
      <c r="E581" s="105">
        <v>1</v>
      </c>
      <c r="F581" s="106" t="s">
        <v>2024</v>
      </c>
      <c r="G581" s="8"/>
      <c r="H581" s="8"/>
      <c r="I581" s="107">
        <v>0</v>
      </c>
      <c r="J581" s="8" t="s">
        <v>3695</v>
      </c>
    </row>
    <row r="582" spans="1:10" ht="16.5" customHeight="1" x14ac:dyDescent="0.25">
      <c r="A582" s="8" t="s">
        <v>3949</v>
      </c>
      <c r="B582" s="8" t="s">
        <v>3950</v>
      </c>
      <c r="C582" s="8" t="s">
        <v>3950</v>
      </c>
      <c r="D582" s="8" t="s">
        <v>3951</v>
      </c>
      <c r="E582" s="105">
        <v>1</v>
      </c>
      <c r="F582" s="106" t="s">
        <v>2024</v>
      </c>
      <c r="G582" s="8"/>
      <c r="H582" s="8"/>
      <c r="I582" s="107">
        <v>0</v>
      </c>
      <c r="J582" s="8" t="s">
        <v>3695</v>
      </c>
    </row>
    <row r="583" spans="1:10" ht="16.5" customHeight="1" x14ac:dyDescent="0.25">
      <c r="A583" s="8" t="s">
        <v>3952</v>
      </c>
      <c r="B583" s="8" t="s">
        <v>3953</v>
      </c>
      <c r="C583" s="8" t="s">
        <v>3953</v>
      </c>
      <c r="D583" s="8" t="s">
        <v>3954</v>
      </c>
      <c r="E583" s="105">
        <v>1</v>
      </c>
      <c r="F583" s="106" t="s">
        <v>2024</v>
      </c>
      <c r="G583" s="8"/>
      <c r="H583" s="8"/>
      <c r="I583" s="107">
        <v>0</v>
      </c>
      <c r="J583" s="8" t="s">
        <v>3695</v>
      </c>
    </row>
    <row r="584" spans="1:10" ht="16.5" customHeight="1" x14ac:dyDescent="0.25">
      <c r="A584" s="8" t="s">
        <v>3955</v>
      </c>
      <c r="B584" s="8" t="s">
        <v>3956</v>
      </c>
      <c r="C584" s="8" t="s">
        <v>3956</v>
      </c>
      <c r="D584" s="8" t="s">
        <v>3954</v>
      </c>
      <c r="E584" s="105">
        <v>1</v>
      </c>
      <c r="F584" s="106" t="s">
        <v>2024</v>
      </c>
      <c r="G584" s="8"/>
      <c r="H584" s="8"/>
      <c r="I584" s="107">
        <v>0</v>
      </c>
      <c r="J584" s="8" t="s">
        <v>3695</v>
      </c>
    </row>
    <row r="585" spans="1:10" ht="16.5" customHeight="1" x14ac:dyDescent="0.25">
      <c r="A585" s="8" t="s">
        <v>3957</v>
      </c>
      <c r="B585" s="8" t="s">
        <v>3958</v>
      </c>
      <c r="C585" s="8" t="s">
        <v>3959</v>
      </c>
      <c r="D585" s="8" t="s">
        <v>3960</v>
      </c>
      <c r="E585" s="105">
        <v>1</v>
      </c>
      <c r="F585" s="106" t="s">
        <v>2024</v>
      </c>
      <c r="G585" s="8"/>
      <c r="H585" s="8"/>
      <c r="I585" s="107">
        <v>0</v>
      </c>
      <c r="J585" s="8" t="s">
        <v>3695</v>
      </c>
    </row>
    <row r="586" spans="1:10" ht="16.5" customHeight="1" x14ac:dyDescent="0.25">
      <c r="A586" s="8" t="s">
        <v>3961</v>
      </c>
      <c r="B586" s="8" t="s">
        <v>3962</v>
      </c>
      <c r="C586" s="8" t="s">
        <v>3963</v>
      </c>
      <c r="D586" s="8" t="s">
        <v>3964</v>
      </c>
      <c r="E586" s="105">
        <v>1</v>
      </c>
      <c r="F586" s="106" t="s">
        <v>2018</v>
      </c>
      <c r="G586" s="8"/>
      <c r="H586" s="8"/>
      <c r="I586" s="107">
        <v>0</v>
      </c>
      <c r="J586" s="8" t="s">
        <v>3695</v>
      </c>
    </row>
    <row r="587" spans="1:10" ht="16.5" customHeight="1" x14ac:dyDescent="0.25">
      <c r="A587" s="8" t="s">
        <v>3965</v>
      </c>
      <c r="B587" s="8" t="s">
        <v>3966</v>
      </c>
      <c r="C587" s="8" t="s">
        <v>3967</v>
      </c>
      <c r="D587" s="8" t="s">
        <v>3968</v>
      </c>
      <c r="E587" s="105">
        <v>1</v>
      </c>
      <c r="F587" s="106" t="s">
        <v>2024</v>
      </c>
      <c r="G587" s="8"/>
      <c r="H587" s="8"/>
      <c r="I587" s="107">
        <v>0</v>
      </c>
      <c r="J587" s="8" t="s">
        <v>3695</v>
      </c>
    </row>
    <row r="588" spans="1:10" ht="16.5" customHeight="1" x14ac:dyDescent="0.25">
      <c r="A588" s="8" t="s">
        <v>3969</v>
      </c>
      <c r="B588" s="8" t="s">
        <v>3970</v>
      </c>
      <c r="C588" s="8" t="s">
        <v>3971</v>
      </c>
      <c r="D588" s="8" t="s">
        <v>3972</v>
      </c>
      <c r="E588" s="105">
        <v>1</v>
      </c>
      <c r="F588" s="106" t="s">
        <v>2024</v>
      </c>
      <c r="G588" s="8"/>
      <c r="H588" s="8"/>
      <c r="I588" s="107">
        <v>0</v>
      </c>
      <c r="J588" s="8" t="s">
        <v>3695</v>
      </c>
    </row>
    <row r="589" spans="1:10" ht="16.5" customHeight="1" x14ac:dyDescent="0.25">
      <c r="A589" s="8" t="s">
        <v>3973</v>
      </c>
      <c r="B589" s="8" t="s">
        <v>3974</v>
      </c>
      <c r="C589" s="8" t="s">
        <v>3975</v>
      </c>
      <c r="D589" s="8" t="s">
        <v>3976</v>
      </c>
      <c r="E589" s="105">
        <v>1</v>
      </c>
      <c r="F589" s="106" t="s">
        <v>2024</v>
      </c>
      <c r="G589" s="8"/>
      <c r="H589" s="8"/>
      <c r="I589" s="107">
        <v>0</v>
      </c>
      <c r="J589" s="8" t="s">
        <v>3695</v>
      </c>
    </row>
    <row r="590" spans="1:10" ht="16.5" customHeight="1" x14ac:dyDescent="0.25">
      <c r="A590" s="8" t="s">
        <v>3977</v>
      </c>
      <c r="B590" s="8" t="s">
        <v>3978</v>
      </c>
      <c r="C590" s="8" t="s">
        <v>3979</v>
      </c>
      <c r="D590" s="8" t="s">
        <v>3980</v>
      </c>
      <c r="E590" s="105">
        <v>1</v>
      </c>
      <c r="F590" s="106" t="s">
        <v>2024</v>
      </c>
      <c r="G590" s="8"/>
      <c r="H590" s="8"/>
      <c r="I590" s="107">
        <v>0</v>
      </c>
      <c r="J590" s="8" t="s">
        <v>3695</v>
      </c>
    </row>
    <row r="591" spans="1:10" ht="16.5" customHeight="1" x14ac:dyDescent="0.25">
      <c r="A591" s="8" t="s">
        <v>3981</v>
      </c>
      <c r="B591" s="8" t="s">
        <v>3982</v>
      </c>
      <c r="C591" s="8" t="s">
        <v>3983</v>
      </c>
      <c r="D591" s="8" t="s">
        <v>3984</v>
      </c>
      <c r="E591" s="105">
        <v>1</v>
      </c>
      <c r="F591" s="106" t="s">
        <v>2024</v>
      </c>
      <c r="G591" s="8"/>
      <c r="H591" s="8"/>
      <c r="I591" s="107">
        <v>0</v>
      </c>
      <c r="J591" s="8" t="s">
        <v>3695</v>
      </c>
    </row>
    <row r="592" spans="1:10" ht="16.5" customHeight="1" x14ac:dyDescent="0.25">
      <c r="A592" s="8" t="s">
        <v>3985</v>
      </c>
      <c r="B592" s="8" t="s">
        <v>3986</v>
      </c>
      <c r="C592" s="8" t="s">
        <v>3987</v>
      </c>
      <c r="D592" s="8" t="s">
        <v>3988</v>
      </c>
      <c r="E592" s="105">
        <v>1</v>
      </c>
      <c r="F592" s="106" t="s">
        <v>2024</v>
      </c>
      <c r="G592" s="8"/>
      <c r="H592" s="8"/>
      <c r="I592" s="107">
        <v>0</v>
      </c>
      <c r="J592" s="8" t="s">
        <v>3695</v>
      </c>
    </row>
    <row r="593" spans="1:10" ht="16.5" customHeight="1" x14ac:dyDescent="0.25">
      <c r="A593" s="8" t="s">
        <v>3989</v>
      </c>
      <c r="B593" s="8" t="s">
        <v>3990</v>
      </c>
      <c r="C593" s="8" t="s">
        <v>3991</v>
      </c>
      <c r="D593" s="8" t="s">
        <v>3992</v>
      </c>
      <c r="E593" s="105">
        <v>1</v>
      </c>
      <c r="F593" s="106" t="s">
        <v>2024</v>
      </c>
      <c r="G593" s="8"/>
      <c r="H593" s="8"/>
      <c r="I593" s="107">
        <v>0</v>
      </c>
      <c r="J593" s="8" t="s">
        <v>3695</v>
      </c>
    </row>
    <row r="594" spans="1:10" ht="16.5" customHeight="1" x14ac:dyDescent="0.25">
      <c r="A594" s="8" t="s">
        <v>3993</v>
      </c>
      <c r="B594" s="8" t="s">
        <v>3994</v>
      </c>
      <c r="C594" s="8" t="s">
        <v>3995</v>
      </c>
      <c r="D594" s="8" t="s">
        <v>3996</v>
      </c>
      <c r="E594" s="105">
        <v>1</v>
      </c>
      <c r="F594" s="106" t="s">
        <v>2024</v>
      </c>
      <c r="G594" s="8"/>
      <c r="H594" s="8"/>
      <c r="I594" s="107">
        <v>0</v>
      </c>
      <c r="J594" s="8" t="s">
        <v>3695</v>
      </c>
    </row>
    <row r="595" spans="1:10" ht="16.5" customHeight="1" x14ac:dyDescent="0.25">
      <c r="A595" s="8" t="s">
        <v>3997</v>
      </c>
      <c r="B595" s="8" t="s">
        <v>3998</v>
      </c>
      <c r="C595" s="8" t="s">
        <v>3999</v>
      </c>
      <c r="D595" s="8" t="s">
        <v>4000</v>
      </c>
      <c r="E595" s="105">
        <v>1</v>
      </c>
      <c r="F595" s="106" t="s">
        <v>2024</v>
      </c>
      <c r="G595" s="8"/>
      <c r="H595" s="8"/>
      <c r="I595" s="107">
        <v>0</v>
      </c>
      <c r="J595" s="8" t="s">
        <v>3695</v>
      </c>
    </row>
    <row r="596" spans="1:10" ht="16.5" customHeight="1" x14ac:dyDescent="0.25">
      <c r="A596" s="8" t="s">
        <v>4001</v>
      </c>
      <c r="B596" s="8" t="s">
        <v>4002</v>
      </c>
      <c r="C596" s="8" t="s">
        <v>4003</v>
      </c>
      <c r="D596" s="8" t="s">
        <v>4004</v>
      </c>
      <c r="E596" s="105">
        <v>1</v>
      </c>
      <c r="F596" s="106" t="s">
        <v>2024</v>
      </c>
      <c r="G596" s="8"/>
      <c r="H596" s="8"/>
      <c r="I596" s="107">
        <v>0</v>
      </c>
      <c r="J596" s="8" t="s">
        <v>3695</v>
      </c>
    </row>
    <row r="597" spans="1:10" ht="16.5" customHeight="1" x14ac:dyDescent="0.25">
      <c r="A597" s="8" t="s">
        <v>4005</v>
      </c>
      <c r="B597" s="8" t="s">
        <v>4006</v>
      </c>
      <c r="C597" s="8" t="s">
        <v>4007</v>
      </c>
      <c r="D597" s="8" t="s">
        <v>4008</v>
      </c>
      <c r="E597" s="105">
        <v>1</v>
      </c>
      <c r="F597" s="106" t="s">
        <v>2024</v>
      </c>
      <c r="G597" s="8"/>
      <c r="H597" s="8"/>
      <c r="I597" s="107">
        <v>0</v>
      </c>
      <c r="J597" s="8" t="s">
        <v>3695</v>
      </c>
    </row>
    <row r="598" spans="1:10" ht="16.5" customHeight="1" x14ac:dyDescent="0.25">
      <c r="A598" s="8" t="s">
        <v>4009</v>
      </c>
      <c r="B598" s="8" t="s">
        <v>4010</v>
      </c>
      <c r="C598" s="8" t="s">
        <v>4011</v>
      </c>
      <c r="D598" s="8" t="s">
        <v>4012</v>
      </c>
      <c r="E598" s="105">
        <v>1</v>
      </c>
      <c r="F598" s="106" t="s">
        <v>2024</v>
      </c>
      <c r="G598" s="8"/>
      <c r="H598" s="8"/>
      <c r="I598" s="107">
        <v>0</v>
      </c>
      <c r="J598" s="8" t="s">
        <v>3695</v>
      </c>
    </row>
    <row r="599" spans="1:10" ht="16.5" customHeight="1" x14ac:dyDescent="0.25">
      <c r="A599" s="8" t="s">
        <v>4013</v>
      </c>
      <c r="B599" s="8" t="s">
        <v>4014</v>
      </c>
      <c r="C599" s="8" t="s">
        <v>4015</v>
      </c>
      <c r="D599" s="8" t="s">
        <v>4016</v>
      </c>
      <c r="E599" s="105">
        <v>1</v>
      </c>
      <c r="F599" s="106" t="s">
        <v>2018</v>
      </c>
      <c r="G599" s="8"/>
      <c r="H599" s="8"/>
      <c r="I599" s="107">
        <v>0</v>
      </c>
      <c r="J599" s="8" t="s">
        <v>3695</v>
      </c>
    </row>
    <row r="600" spans="1:10" ht="16.5" customHeight="1" x14ac:dyDescent="0.25">
      <c r="A600" s="8" t="s">
        <v>4017</v>
      </c>
      <c r="B600" s="8" t="s">
        <v>4018</v>
      </c>
      <c r="C600" s="8" t="s">
        <v>4019</v>
      </c>
      <c r="D600" s="8" t="s">
        <v>4020</v>
      </c>
      <c r="E600" s="105">
        <v>1</v>
      </c>
      <c r="F600" s="106" t="s">
        <v>2024</v>
      </c>
      <c r="G600" s="8"/>
      <c r="H600" s="8"/>
      <c r="I600" s="107">
        <v>0</v>
      </c>
      <c r="J600" s="8" t="s">
        <v>3695</v>
      </c>
    </row>
    <row r="601" spans="1:10" ht="16.5" customHeight="1" x14ac:dyDescent="0.25">
      <c r="A601" s="8" t="s">
        <v>4021</v>
      </c>
      <c r="B601" s="8" t="s">
        <v>4022</v>
      </c>
      <c r="C601" s="8" t="s">
        <v>4023</v>
      </c>
      <c r="D601" s="8" t="s">
        <v>4024</v>
      </c>
      <c r="E601" s="105">
        <v>1</v>
      </c>
      <c r="F601" s="106" t="s">
        <v>2024</v>
      </c>
      <c r="G601" s="8"/>
      <c r="H601" s="8"/>
      <c r="I601" s="107">
        <v>0</v>
      </c>
      <c r="J601" s="8" t="s">
        <v>3695</v>
      </c>
    </row>
    <row r="602" spans="1:10" ht="16.5" customHeight="1" x14ac:dyDescent="0.25">
      <c r="A602" s="8" t="s">
        <v>4025</v>
      </c>
      <c r="B602" s="8" t="s">
        <v>4026</v>
      </c>
      <c r="C602" s="8" t="s">
        <v>4027</v>
      </c>
      <c r="D602" s="8" t="s">
        <v>4028</v>
      </c>
      <c r="E602" s="105">
        <v>1</v>
      </c>
      <c r="F602" s="106" t="s">
        <v>2024</v>
      </c>
      <c r="G602" s="8"/>
      <c r="H602" s="8"/>
      <c r="I602" s="107">
        <v>0</v>
      </c>
      <c r="J602" s="8" t="s">
        <v>3695</v>
      </c>
    </row>
    <row r="603" spans="1:10" ht="16.5" customHeight="1" x14ac:dyDescent="0.25">
      <c r="A603" s="8" t="s">
        <v>4029</v>
      </c>
      <c r="B603" s="8" t="s">
        <v>4030</v>
      </c>
      <c r="C603" s="8" t="s">
        <v>4031</v>
      </c>
      <c r="D603" s="8" t="s">
        <v>4032</v>
      </c>
      <c r="E603" s="105">
        <v>1</v>
      </c>
      <c r="F603" s="106" t="s">
        <v>2024</v>
      </c>
      <c r="G603" s="8"/>
      <c r="H603" s="8"/>
      <c r="I603" s="107">
        <v>0</v>
      </c>
      <c r="J603" s="8" t="s">
        <v>3695</v>
      </c>
    </row>
    <row r="604" spans="1:10" ht="16.5" customHeight="1" x14ac:dyDescent="0.25">
      <c r="A604" s="8" t="s">
        <v>4033</v>
      </c>
      <c r="B604" s="8" t="s">
        <v>4034</v>
      </c>
      <c r="C604" s="8" t="s">
        <v>4035</v>
      </c>
      <c r="D604" s="8" t="s">
        <v>4036</v>
      </c>
      <c r="E604" s="105">
        <v>1</v>
      </c>
      <c r="F604" s="106" t="s">
        <v>2024</v>
      </c>
      <c r="G604" s="8"/>
      <c r="H604" s="8"/>
      <c r="I604" s="107">
        <v>0</v>
      </c>
      <c r="J604" s="8" t="s">
        <v>3695</v>
      </c>
    </row>
    <row r="605" spans="1:10" ht="16.5" customHeight="1" x14ac:dyDescent="0.25">
      <c r="A605" s="8" t="s">
        <v>4037</v>
      </c>
      <c r="B605" s="8" t="s">
        <v>4038</v>
      </c>
      <c r="C605" s="8" t="s">
        <v>4039</v>
      </c>
      <c r="D605" s="8" t="s">
        <v>4040</v>
      </c>
      <c r="E605" s="105">
        <v>1</v>
      </c>
      <c r="F605" s="106" t="s">
        <v>2024</v>
      </c>
      <c r="G605" s="8"/>
      <c r="H605" s="8"/>
      <c r="I605" s="107">
        <v>0</v>
      </c>
      <c r="J605" s="8" t="s">
        <v>3695</v>
      </c>
    </row>
    <row r="606" spans="1:10" ht="16.5" customHeight="1" x14ac:dyDescent="0.25">
      <c r="A606" s="8" t="s">
        <v>4041</v>
      </c>
      <c r="B606" s="8" t="s">
        <v>4042</v>
      </c>
      <c r="C606" s="8" t="s">
        <v>4043</v>
      </c>
      <c r="D606" s="8" t="s">
        <v>4044</v>
      </c>
      <c r="E606" s="105">
        <v>1</v>
      </c>
      <c r="F606" s="106" t="s">
        <v>2024</v>
      </c>
      <c r="G606" s="8"/>
      <c r="H606" s="8"/>
      <c r="I606" s="107">
        <v>0</v>
      </c>
      <c r="J606" s="8" t="s">
        <v>3695</v>
      </c>
    </row>
    <row r="607" spans="1:10" ht="16.5" customHeight="1" x14ac:dyDescent="0.25">
      <c r="A607" s="8" t="s">
        <v>4045</v>
      </c>
      <c r="B607" s="8" t="s">
        <v>4046</v>
      </c>
      <c r="C607" s="8" t="s">
        <v>4047</v>
      </c>
      <c r="D607" s="8" t="s">
        <v>4048</v>
      </c>
      <c r="E607" s="105">
        <v>1</v>
      </c>
      <c r="F607" s="106" t="s">
        <v>2024</v>
      </c>
      <c r="G607" s="8"/>
      <c r="H607" s="8"/>
      <c r="I607" s="107">
        <v>0</v>
      </c>
      <c r="J607" s="8" t="s">
        <v>3695</v>
      </c>
    </row>
    <row r="608" spans="1:10" ht="16.5" customHeight="1" x14ac:dyDescent="0.25">
      <c r="A608" s="8" t="s">
        <v>4049</v>
      </c>
      <c r="B608" s="8" t="s">
        <v>4050</v>
      </c>
      <c r="C608" s="8" t="s">
        <v>4051</v>
      </c>
      <c r="D608" s="8" t="s">
        <v>4052</v>
      </c>
      <c r="E608" s="105">
        <v>1</v>
      </c>
      <c r="F608" s="106" t="s">
        <v>2024</v>
      </c>
      <c r="G608" s="8"/>
      <c r="H608" s="8"/>
      <c r="I608" s="107">
        <v>0</v>
      </c>
      <c r="J608" s="8" t="s">
        <v>3695</v>
      </c>
    </row>
    <row r="609" spans="1:10" ht="16.5" customHeight="1" x14ac:dyDescent="0.25">
      <c r="A609" s="8" t="s">
        <v>4053</v>
      </c>
      <c r="B609" s="8" t="s">
        <v>4054</v>
      </c>
      <c r="C609" s="8" t="s">
        <v>4054</v>
      </c>
      <c r="D609" s="8" t="s">
        <v>4053</v>
      </c>
      <c r="E609" s="105">
        <v>1</v>
      </c>
      <c r="F609" s="106" t="s">
        <v>2024</v>
      </c>
      <c r="G609" s="8"/>
      <c r="H609" s="8"/>
      <c r="I609" s="107">
        <v>0</v>
      </c>
      <c r="J609" s="8" t="s">
        <v>4055</v>
      </c>
    </row>
    <row r="610" spans="1:10" ht="16.5" customHeight="1" x14ac:dyDescent="0.25">
      <c r="A610" s="8" t="s">
        <v>4056</v>
      </c>
      <c r="B610" s="8" t="s">
        <v>4057</v>
      </c>
      <c r="C610" s="8" t="s">
        <v>4058</v>
      </c>
      <c r="D610" s="8" t="s">
        <v>4056</v>
      </c>
      <c r="E610" s="105">
        <v>1</v>
      </c>
      <c r="F610" s="106" t="s">
        <v>2024</v>
      </c>
      <c r="G610" s="8"/>
      <c r="H610" s="8"/>
      <c r="I610" s="107">
        <v>0</v>
      </c>
      <c r="J610" s="8" t="s">
        <v>4055</v>
      </c>
    </row>
    <row r="611" spans="1:10" ht="16.5" customHeight="1" x14ac:dyDescent="0.25">
      <c r="A611" s="8" t="s">
        <v>4059</v>
      </c>
      <c r="B611" s="8" t="s">
        <v>4060</v>
      </c>
      <c r="C611" s="8" t="s">
        <v>4060</v>
      </c>
      <c r="D611" s="8" t="s">
        <v>4059</v>
      </c>
      <c r="E611" s="105">
        <v>1</v>
      </c>
      <c r="F611" s="106" t="s">
        <v>2024</v>
      </c>
      <c r="G611" s="8"/>
      <c r="H611" s="8"/>
      <c r="I611" s="107">
        <v>0</v>
      </c>
      <c r="J611" s="8" t="s">
        <v>4055</v>
      </c>
    </row>
    <row r="612" spans="1:10" ht="16.5" customHeight="1" x14ac:dyDescent="0.25">
      <c r="A612" s="8" t="s">
        <v>4061</v>
      </c>
      <c r="B612" s="8" t="s">
        <v>3600</v>
      </c>
      <c r="C612" s="8" t="s">
        <v>4062</v>
      </c>
      <c r="D612" s="8" t="s">
        <v>3600</v>
      </c>
      <c r="E612" s="105">
        <v>0.5</v>
      </c>
      <c r="F612" s="106" t="s">
        <v>2024</v>
      </c>
      <c r="G612" s="8"/>
      <c r="H612" s="8"/>
      <c r="I612" s="107">
        <v>0</v>
      </c>
      <c r="J612" s="8" t="s">
        <v>3580</v>
      </c>
    </row>
    <row r="613" spans="1:10" ht="16.5" customHeight="1" x14ac:dyDescent="0.25">
      <c r="A613" s="8" t="s">
        <v>4063</v>
      </c>
      <c r="B613" s="8" t="s">
        <v>3603</v>
      </c>
      <c r="C613" s="8" t="s">
        <v>4064</v>
      </c>
      <c r="D613" s="8" t="s">
        <v>3603</v>
      </c>
      <c r="E613" s="105">
        <v>1</v>
      </c>
      <c r="F613" s="106" t="s">
        <v>2024</v>
      </c>
      <c r="G613" s="8"/>
      <c r="H613" s="8"/>
      <c r="I613" s="107">
        <v>0</v>
      </c>
      <c r="J613" s="8" t="s">
        <v>3580</v>
      </c>
    </row>
    <row r="614" spans="1:10" ht="16.5" customHeight="1" x14ac:dyDescent="0.25">
      <c r="A614" s="8" t="s">
        <v>4065</v>
      </c>
      <c r="B614" s="8" t="s">
        <v>3606</v>
      </c>
      <c r="C614" s="8" t="s">
        <v>4066</v>
      </c>
      <c r="D614" s="8" t="s">
        <v>3606</v>
      </c>
      <c r="E614" s="105">
        <v>0.5</v>
      </c>
      <c r="F614" s="106" t="s">
        <v>2024</v>
      </c>
      <c r="G614" s="8"/>
      <c r="H614" s="8"/>
      <c r="I614" s="107">
        <v>0</v>
      </c>
      <c r="J614" s="8" t="s">
        <v>3580</v>
      </c>
    </row>
    <row r="615" spans="1:10" ht="16.5" customHeight="1" x14ac:dyDescent="0.25">
      <c r="A615" s="8" t="s">
        <v>4067</v>
      </c>
      <c r="B615" s="8" t="s">
        <v>3609</v>
      </c>
      <c r="C615" s="8" t="s">
        <v>4068</v>
      </c>
      <c r="D615" s="8" t="s">
        <v>3609</v>
      </c>
      <c r="E615" s="105">
        <v>1</v>
      </c>
      <c r="F615" s="106" t="s">
        <v>2024</v>
      </c>
      <c r="G615" s="8"/>
      <c r="H615" s="8"/>
      <c r="I615" s="107">
        <v>0</v>
      </c>
      <c r="J615" s="8" t="s">
        <v>3580</v>
      </c>
    </row>
    <row r="616" spans="1:10" ht="16.5" customHeight="1" x14ac:dyDescent="0.25">
      <c r="A616" s="8" t="s">
        <v>4069</v>
      </c>
      <c r="B616" s="8" t="s">
        <v>4070</v>
      </c>
      <c r="C616" s="8" t="s">
        <v>4071</v>
      </c>
      <c r="D616" s="8" t="s">
        <v>4070</v>
      </c>
      <c r="E616" s="105">
        <v>9</v>
      </c>
      <c r="F616" s="106" t="s">
        <v>2024</v>
      </c>
      <c r="G616" s="8"/>
      <c r="H616" s="8"/>
      <c r="I616" s="107">
        <v>0</v>
      </c>
      <c r="J616" s="8" t="s">
        <v>3580</v>
      </c>
    </row>
    <row r="617" spans="1:10" ht="16.5" customHeight="1" x14ac:dyDescent="0.25">
      <c r="A617" s="8" t="s">
        <v>4072</v>
      </c>
      <c r="B617" s="8" t="s">
        <v>4073</v>
      </c>
      <c r="C617" s="8" t="s">
        <v>4074</v>
      </c>
      <c r="D617" s="8" t="s">
        <v>4073</v>
      </c>
      <c r="E617" s="105">
        <v>1</v>
      </c>
      <c r="F617" s="106" t="s">
        <v>2024</v>
      </c>
      <c r="G617" s="8"/>
      <c r="H617" s="8"/>
      <c r="I617" s="107">
        <v>0</v>
      </c>
      <c r="J617" s="8" t="s">
        <v>3695</v>
      </c>
    </row>
    <row r="618" spans="1:10" ht="16.5" customHeight="1" x14ac:dyDescent="0.25">
      <c r="A618" s="8" t="s">
        <v>4075</v>
      </c>
      <c r="B618" s="8" t="s">
        <v>4076</v>
      </c>
      <c r="C618" s="8" t="s">
        <v>4077</v>
      </c>
      <c r="D618" s="8" t="s">
        <v>4076</v>
      </c>
      <c r="E618" s="105">
        <v>1</v>
      </c>
      <c r="F618" s="106" t="s">
        <v>2024</v>
      </c>
      <c r="G618" s="8"/>
      <c r="H618" s="8"/>
      <c r="I618" s="107">
        <v>0</v>
      </c>
      <c r="J618" s="8" t="s">
        <v>3695</v>
      </c>
    </row>
    <row r="619" spans="1:10" ht="16.5" customHeight="1" x14ac:dyDescent="0.25">
      <c r="A619" s="8" t="s">
        <v>4078</v>
      </c>
      <c r="B619" s="8" t="s">
        <v>4079</v>
      </c>
      <c r="C619" s="8" t="s">
        <v>4080</v>
      </c>
      <c r="D619" s="8" t="s">
        <v>4079</v>
      </c>
      <c r="E619" s="105">
        <v>1</v>
      </c>
      <c r="F619" s="106" t="s">
        <v>2024</v>
      </c>
      <c r="G619" s="8"/>
      <c r="H619" s="8"/>
      <c r="I619" s="107">
        <v>0</v>
      </c>
      <c r="J619" s="8"/>
    </row>
    <row r="620" spans="1:10" ht="16.5" customHeight="1" x14ac:dyDescent="0.25">
      <c r="A620" s="8" t="s">
        <v>4081</v>
      </c>
      <c r="B620" s="8" t="s">
        <v>4082</v>
      </c>
      <c r="C620" s="8" t="s">
        <v>4083</v>
      </c>
      <c r="D620" s="8" t="s">
        <v>4082</v>
      </c>
      <c r="E620" s="105">
        <v>1</v>
      </c>
      <c r="F620" s="106" t="s">
        <v>2024</v>
      </c>
      <c r="G620" s="8"/>
      <c r="H620" s="8"/>
      <c r="I620" s="107">
        <v>0</v>
      </c>
      <c r="J620" s="8" t="s">
        <v>3695</v>
      </c>
    </row>
    <row r="621" spans="1:10" ht="16.5" customHeight="1" x14ac:dyDescent="0.25">
      <c r="A621" s="8" t="s">
        <v>4084</v>
      </c>
      <c r="B621" s="8" t="s">
        <v>4085</v>
      </c>
      <c r="C621" s="8" t="s">
        <v>4086</v>
      </c>
      <c r="D621" s="8" t="s">
        <v>4085</v>
      </c>
      <c r="E621" s="105">
        <v>1</v>
      </c>
      <c r="F621" s="106" t="s">
        <v>2024</v>
      </c>
      <c r="G621" s="8"/>
      <c r="H621" s="8"/>
      <c r="I621" s="107">
        <v>0</v>
      </c>
      <c r="J621" s="8" t="s">
        <v>3695</v>
      </c>
    </row>
    <row r="622" spans="1:10" ht="16.5" customHeight="1" x14ac:dyDescent="0.25">
      <c r="A622" s="8" t="s">
        <v>4087</v>
      </c>
      <c r="B622" s="8" t="s">
        <v>4088</v>
      </c>
      <c r="C622" s="8" t="s">
        <v>4088</v>
      </c>
      <c r="D622" s="8" t="s">
        <v>4088</v>
      </c>
      <c r="E622" s="105">
        <v>1</v>
      </c>
      <c r="F622" s="106" t="s">
        <v>2024</v>
      </c>
      <c r="G622" s="8"/>
      <c r="H622" s="8"/>
      <c r="I622" s="107">
        <v>0</v>
      </c>
      <c r="J622" s="8" t="s">
        <v>3695</v>
      </c>
    </row>
    <row r="623" spans="1:10" ht="16.5" customHeight="1" x14ac:dyDescent="0.25">
      <c r="A623" s="8" t="s">
        <v>4089</v>
      </c>
      <c r="B623" s="8" t="s">
        <v>4090</v>
      </c>
      <c r="C623" s="8" t="s">
        <v>4090</v>
      </c>
      <c r="D623" s="8" t="s">
        <v>4091</v>
      </c>
      <c r="E623" s="105">
        <v>1</v>
      </c>
      <c r="F623" s="106" t="s">
        <v>2024</v>
      </c>
      <c r="G623" s="8"/>
      <c r="H623" s="8"/>
      <c r="I623" s="107">
        <v>0</v>
      </c>
      <c r="J623" s="8" t="s">
        <v>3695</v>
      </c>
    </row>
    <row r="624" spans="1:10" ht="16.5" customHeight="1" x14ac:dyDescent="0.25">
      <c r="A624" s="8" t="s">
        <v>4092</v>
      </c>
      <c r="B624" s="8" t="s">
        <v>4093</v>
      </c>
      <c r="C624" s="8" t="s">
        <v>4093</v>
      </c>
      <c r="D624" s="8" t="s">
        <v>4093</v>
      </c>
      <c r="E624" s="105">
        <v>1</v>
      </c>
      <c r="F624" s="106" t="s">
        <v>2024</v>
      </c>
      <c r="G624" s="8"/>
      <c r="H624" s="8"/>
      <c r="I624" s="107">
        <v>0</v>
      </c>
      <c r="J624" s="8" t="s">
        <v>3695</v>
      </c>
    </row>
    <row r="625" spans="1:10" ht="16.5" customHeight="1" x14ac:dyDescent="0.25">
      <c r="A625" s="8" t="s">
        <v>4094</v>
      </c>
      <c r="B625" s="8" t="s">
        <v>4095</v>
      </c>
      <c r="C625" s="8" t="s">
        <v>4095</v>
      </c>
      <c r="D625" s="8" t="s">
        <v>4095</v>
      </c>
      <c r="E625" s="105">
        <v>1</v>
      </c>
      <c r="F625" s="106" t="s">
        <v>2024</v>
      </c>
      <c r="G625" s="8"/>
      <c r="H625" s="8"/>
      <c r="I625" s="107">
        <v>0</v>
      </c>
      <c r="J625" s="8"/>
    </row>
    <row r="626" spans="1:10" ht="16.5" customHeight="1" x14ac:dyDescent="0.25">
      <c r="A626" s="8" t="s">
        <v>4096</v>
      </c>
      <c r="B626" s="8" t="s">
        <v>4097</v>
      </c>
      <c r="C626" s="8" t="s">
        <v>4097</v>
      </c>
      <c r="D626" s="8" t="s">
        <v>4097</v>
      </c>
      <c r="E626" s="105">
        <v>1</v>
      </c>
      <c r="F626" s="106" t="s">
        <v>2024</v>
      </c>
      <c r="G626" s="8"/>
      <c r="H626" s="8"/>
      <c r="I626" s="107">
        <v>0</v>
      </c>
      <c r="J626" s="8"/>
    </row>
    <row r="627" spans="1:10" ht="16.5" customHeight="1" x14ac:dyDescent="0.25">
      <c r="A627" s="8" t="s">
        <v>4098</v>
      </c>
      <c r="B627" s="8" t="s">
        <v>4099</v>
      </c>
      <c r="C627" s="8" t="s">
        <v>4099</v>
      </c>
      <c r="D627" s="8" t="s">
        <v>4099</v>
      </c>
      <c r="E627" s="105">
        <v>1</v>
      </c>
      <c r="F627" s="106" t="s">
        <v>2024</v>
      </c>
      <c r="G627" s="8"/>
      <c r="H627" s="8"/>
      <c r="I627" s="107">
        <v>0</v>
      </c>
      <c r="J627" s="8"/>
    </row>
    <row r="628" spans="1:10" ht="16.5" customHeight="1" x14ac:dyDescent="0.25">
      <c r="A628" s="8" t="s">
        <v>4100</v>
      </c>
      <c r="B628" s="8" t="s">
        <v>4101</v>
      </c>
      <c r="C628" s="8" t="s">
        <v>4101</v>
      </c>
      <c r="D628" s="8" t="s">
        <v>4101</v>
      </c>
      <c r="E628" s="105">
        <v>1</v>
      </c>
      <c r="F628" s="106" t="s">
        <v>2024</v>
      </c>
      <c r="G628" s="8"/>
      <c r="H628" s="8"/>
      <c r="I628" s="107">
        <v>0</v>
      </c>
      <c r="J628" s="8"/>
    </row>
    <row r="629" spans="1:10" ht="16.5" customHeight="1" x14ac:dyDescent="0.25">
      <c r="A629" s="8" t="s">
        <v>4102</v>
      </c>
      <c r="B629" s="8" t="s">
        <v>4103</v>
      </c>
      <c r="C629" s="8" t="s">
        <v>4103</v>
      </c>
      <c r="D629" s="8" t="s">
        <v>4103</v>
      </c>
      <c r="E629" s="105">
        <v>1</v>
      </c>
      <c r="F629" s="106" t="s">
        <v>2024</v>
      </c>
      <c r="G629" s="8"/>
      <c r="H629" s="8"/>
      <c r="I629" s="107">
        <v>0</v>
      </c>
      <c r="J629" s="8"/>
    </row>
    <row r="630" spans="1:10" ht="16.5" customHeight="1" x14ac:dyDescent="0.25">
      <c r="A630" s="8" t="s">
        <v>4104</v>
      </c>
      <c r="B630" s="8" t="s">
        <v>4105</v>
      </c>
      <c r="C630" s="8" t="s">
        <v>4105</v>
      </c>
      <c r="D630" s="8" t="s">
        <v>4105</v>
      </c>
      <c r="E630" s="105">
        <v>1</v>
      </c>
      <c r="F630" s="106" t="s">
        <v>2024</v>
      </c>
      <c r="G630" s="8"/>
      <c r="H630" s="8"/>
      <c r="I630" s="107">
        <v>0</v>
      </c>
      <c r="J630" s="8"/>
    </row>
    <row r="631" spans="1:10" ht="16.5" customHeight="1" x14ac:dyDescent="0.25">
      <c r="A631" s="8" t="s">
        <v>4106</v>
      </c>
      <c r="B631" s="8" t="s">
        <v>4107</v>
      </c>
      <c r="C631" s="8" t="s">
        <v>4107</v>
      </c>
      <c r="D631" s="8" t="s">
        <v>4107</v>
      </c>
      <c r="E631" s="105">
        <v>1</v>
      </c>
      <c r="F631" s="106" t="s">
        <v>2024</v>
      </c>
      <c r="G631" s="8"/>
      <c r="H631" s="8"/>
      <c r="I631" s="107">
        <v>0</v>
      </c>
      <c r="J631" s="8"/>
    </row>
    <row r="632" spans="1:10" ht="16.5" customHeight="1" x14ac:dyDescent="0.25">
      <c r="A632" s="8" t="s">
        <v>4108</v>
      </c>
      <c r="B632" s="8" t="s">
        <v>4095</v>
      </c>
      <c r="C632" s="8" t="s">
        <v>4095</v>
      </c>
      <c r="D632" s="8" t="s">
        <v>4095</v>
      </c>
      <c r="E632" s="105">
        <v>1</v>
      </c>
      <c r="F632" s="106" t="s">
        <v>2024</v>
      </c>
      <c r="G632" s="8"/>
      <c r="H632" s="8"/>
      <c r="I632" s="107">
        <v>0</v>
      </c>
      <c r="J632" s="8"/>
    </row>
    <row r="633" spans="1:10" ht="16.5" customHeight="1" x14ac:dyDescent="0.25">
      <c r="A633" s="8" t="s">
        <v>4109</v>
      </c>
      <c r="B633" s="8" t="s">
        <v>4057</v>
      </c>
      <c r="C633" s="8" t="s">
        <v>4057</v>
      </c>
      <c r="D633" s="8" t="s">
        <v>4057</v>
      </c>
      <c r="E633" s="105">
        <v>1</v>
      </c>
      <c r="F633" s="106" t="s">
        <v>2024</v>
      </c>
      <c r="G633" s="8"/>
      <c r="H633" s="8"/>
      <c r="I633" s="107">
        <v>0</v>
      </c>
      <c r="J633" s="8"/>
    </row>
    <row r="634" spans="1:10" ht="16.5" customHeight="1" x14ac:dyDescent="0.25">
      <c r="A634" s="8" t="s">
        <v>4110</v>
      </c>
      <c r="B634" s="8" t="s">
        <v>4105</v>
      </c>
      <c r="C634" s="8" t="s">
        <v>4105</v>
      </c>
      <c r="D634" s="8" t="s">
        <v>4105</v>
      </c>
      <c r="E634" s="105">
        <v>1</v>
      </c>
      <c r="F634" s="106" t="s">
        <v>2024</v>
      </c>
      <c r="G634" s="8"/>
      <c r="H634" s="8"/>
      <c r="I634" s="107">
        <v>0</v>
      </c>
      <c r="J634" s="8"/>
    </row>
    <row r="635" spans="1:10" ht="16.5" customHeight="1" x14ac:dyDescent="0.25">
      <c r="A635" s="8" t="s">
        <v>4111</v>
      </c>
      <c r="B635" s="8" t="s">
        <v>4103</v>
      </c>
      <c r="C635" s="8" t="s">
        <v>4103</v>
      </c>
      <c r="D635" s="8" t="s">
        <v>4103</v>
      </c>
      <c r="E635" s="105">
        <v>1</v>
      </c>
      <c r="F635" s="106" t="s">
        <v>2024</v>
      </c>
      <c r="G635" s="8"/>
      <c r="H635" s="8"/>
      <c r="I635" s="107">
        <v>0</v>
      </c>
      <c r="J635" s="8"/>
    </row>
    <row r="636" spans="1:10" ht="16.5" customHeight="1" x14ac:dyDescent="0.25">
      <c r="A636" s="8" t="s">
        <v>4112</v>
      </c>
      <c r="B636" s="8" t="s">
        <v>4054</v>
      </c>
      <c r="C636" s="8" t="s">
        <v>4054</v>
      </c>
      <c r="D636" s="8" t="s">
        <v>4054</v>
      </c>
      <c r="E636" s="105">
        <v>1</v>
      </c>
      <c r="F636" s="106" t="s">
        <v>2024</v>
      </c>
      <c r="G636" s="8"/>
      <c r="H636" s="8"/>
      <c r="I636" s="107">
        <v>0</v>
      </c>
      <c r="J636" s="8"/>
    </row>
    <row r="637" spans="1:10" ht="16.5" customHeight="1" x14ac:dyDescent="0.25">
      <c r="A637" s="8" t="s">
        <v>4113</v>
      </c>
      <c r="B637" s="8" t="s">
        <v>4097</v>
      </c>
      <c r="C637" s="8" t="s">
        <v>4097</v>
      </c>
      <c r="D637" s="8" t="s">
        <v>4097</v>
      </c>
      <c r="E637" s="105">
        <v>1</v>
      </c>
      <c r="F637" s="106" t="s">
        <v>2024</v>
      </c>
      <c r="G637" s="8"/>
      <c r="H637" s="8"/>
      <c r="I637" s="107">
        <v>0</v>
      </c>
      <c r="J637" s="8"/>
    </row>
    <row r="638" spans="1:10" ht="16.5" customHeight="1" x14ac:dyDescent="0.25">
      <c r="A638" s="8" t="s">
        <v>4114</v>
      </c>
      <c r="B638" s="8" t="s">
        <v>4101</v>
      </c>
      <c r="C638" s="8" t="s">
        <v>4101</v>
      </c>
      <c r="D638" s="8" t="s">
        <v>4101</v>
      </c>
      <c r="E638" s="105">
        <v>1</v>
      </c>
      <c r="F638" s="106" t="s">
        <v>2024</v>
      </c>
      <c r="G638" s="8"/>
      <c r="H638" s="8"/>
      <c r="I638" s="107">
        <v>0</v>
      </c>
      <c r="J638" s="8"/>
    </row>
    <row r="639" spans="1:10" ht="16.5" customHeight="1" x14ac:dyDescent="0.25">
      <c r="A639" s="8" t="s">
        <v>4115</v>
      </c>
      <c r="B639" s="8" t="s">
        <v>4099</v>
      </c>
      <c r="C639" s="8" t="s">
        <v>4099</v>
      </c>
      <c r="D639" s="8" t="s">
        <v>4099</v>
      </c>
      <c r="E639" s="105">
        <v>1</v>
      </c>
      <c r="F639" s="106" t="s">
        <v>2024</v>
      </c>
      <c r="G639" s="8"/>
      <c r="H639" s="8"/>
      <c r="I639" s="107">
        <v>0</v>
      </c>
      <c r="J639" s="8"/>
    </row>
    <row r="640" spans="1:10" ht="16.5" customHeight="1" x14ac:dyDescent="0.25">
      <c r="A640" s="8" t="s">
        <v>4116</v>
      </c>
      <c r="B640" s="8" t="s">
        <v>4107</v>
      </c>
      <c r="C640" s="8" t="s">
        <v>4107</v>
      </c>
      <c r="D640" s="8" t="s">
        <v>4107</v>
      </c>
      <c r="E640" s="105">
        <v>1</v>
      </c>
      <c r="F640" s="106" t="s">
        <v>2024</v>
      </c>
      <c r="G640" s="8"/>
      <c r="H640" s="8"/>
      <c r="I640" s="107">
        <v>0</v>
      </c>
      <c r="J640" s="8"/>
    </row>
    <row r="641" spans="1:10" ht="16.5" customHeight="1" x14ac:dyDescent="0.25">
      <c r="A641" s="8" t="s">
        <v>4117</v>
      </c>
      <c r="B641" s="8" t="s">
        <v>4060</v>
      </c>
      <c r="C641" s="8" t="s">
        <v>4060</v>
      </c>
      <c r="D641" s="8" t="s">
        <v>4060</v>
      </c>
      <c r="E641" s="105">
        <v>1</v>
      </c>
      <c r="F641" s="106" t="s">
        <v>2024</v>
      </c>
      <c r="G641" s="8"/>
      <c r="H641" s="8"/>
      <c r="I641" s="107">
        <v>0</v>
      </c>
      <c r="J641" s="8"/>
    </row>
    <row r="642" spans="1:10" ht="16.5" customHeight="1" x14ac:dyDescent="0.25">
      <c r="A642" s="8" t="s">
        <v>4118</v>
      </c>
      <c r="B642" s="8" t="s">
        <v>4119</v>
      </c>
      <c r="C642" s="8" t="s">
        <v>4119</v>
      </c>
      <c r="D642" s="8" t="s">
        <v>4119</v>
      </c>
      <c r="E642" s="105">
        <v>1</v>
      </c>
      <c r="F642" s="106" t="s">
        <v>2024</v>
      </c>
      <c r="G642" s="8"/>
      <c r="H642" s="8"/>
      <c r="I642" s="107">
        <v>0</v>
      </c>
      <c r="J642" s="8" t="s">
        <v>2019</v>
      </c>
    </row>
    <row r="643" spans="1:10" ht="16.5" customHeight="1" x14ac:dyDescent="0.25">
      <c r="A643" s="8" t="s">
        <v>989</v>
      </c>
      <c r="B643" s="8" t="s">
        <v>991</v>
      </c>
      <c r="C643" s="8" t="s">
        <v>990</v>
      </c>
      <c r="D643" s="8" t="s">
        <v>991</v>
      </c>
      <c r="E643" s="105">
        <v>10.92</v>
      </c>
      <c r="F643" s="106" t="s">
        <v>2018</v>
      </c>
      <c r="G643" s="8"/>
      <c r="H643" s="8" t="s">
        <v>4120</v>
      </c>
      <c r="I643" s="107">
        <v>12</v>
      </c>
      <c r="J643" s="8" t="s">
        <v>2019</v>
      </c>
    </row>
    <row r="644" spans="1:10" ht="16.5" customHeight="1" x14ac:dyDescent="0.25">
      <c r="A644" s="8" t="s">
        <v>1005</v>
      </c>
      <c r="B644" s="8" t="s">
        <v>1007</v>
      </c>
      <c r="C644" s="8" t="s">
        <v>1006</v>
      </c>
      <c r="D644" s="8" t="s">
        <v>1007</v>
      </c>
      <c r="E644" s="105">
        <v>18</v>
      </c>
      <c r="F644" s="106" t="s">
        <v>2018</v>
      </c>
      <c r="G644" s="8"/>
      <c r="H644" s="8"/>
      <c r="I644" s="107">
        <v>0</v>
      </c>
      <c r="J644" s="8" t="s">
        <v>2019</v>
      </c>
    </row>
    <row r="645" spans="1:10" ht="16.5" customHeight="1" x14ac:dyDescent="0.25">
      <c r="A645" s="8" t="s">
        <v>4121</v>
      </c>
      <c r="B645" s="8" t="s">
        <v>4122</v>
      </c>
      <c r="C645" s="8" t="s">
        <v>4123</v>
      </c>
      <c r="D645" s="8" t="s">
        <v>4122</v>
      </c>
      <c r="E645" s="105">
        <v>10</v>
      </c>
      <c r="F645" s="106" t="s">
        <v>2024</v>
      </c>
      <c r="G645" s="8"/>
      <c r="H645" s="8"/>
      <c r="I645" s="107">
        <v>0</v>
      </c>
      <c r="J645" s="8" t="s">
        <v>2019</v>
      </c>
    </row>
    <row r="646" spans="1:10" ht="16.5" customHeight="1" x14ac:dyDescent="0.25">
      <c r="A646" s="8" t="s">
        <v>4124</v>
      </c>
      <c r="B646" s="8" t="s">
        <v>4125</v>
      </c>
      <c r="C646" s="8" t="s">
        <v>4125</v>
      </c>
      <c r="D646" s="8" t="s">
        <v>4125</v>
      </c>
      <c r="E646" s="105">
        <v>20</v>
      </c>
      <c r="F646" s="106" t="s">
        <v>2024</v>
      </c>
      <c r="G646" s="8"/>
      <c r="H646" s="8"/>
      <c r="I646" s="107">
        <v>0</v>
      </c>
      <c r="J646" s="8" t="s">
        <v>2019</v>
      </c>
    </row>
    <row r="647" spans="1:10" ht="16.5" customHeight="1" x14ac:dyDescent="0.25">
      <c r="A647" s="8" t="s">
        <v>4126</v>
      </c>
      <c r="B647" s="8" t="s">
        <v>4127</v>
      </c>
      <c r="C647" s="8" t="s">
        <v>4128</v>
      </c>
      <c r="D647" s="8" t="s">
        <v>4127</v>
      </c>
      <c r="E647" s="105">
        <v>20</v>
      </c>
      <c r="F647" s="106" t="s">
        <v>2024</v>
      </c>
      <c r="G647" s="8"/>
      <c r="H647" s="8"/>
      <c r="I647" s="107">
        <v>0</v>
      </c>
      <c r="J647" s="8" t="s">
        <v>2019</v>
      </c>
    </row>
    <row r="648" spans="1:10" ht="16.5" customHeight="1" x14ac:dyDescent="0.25">
      <c r="A648" s="8" t="s">
        <v>4129</v>
      </c>
      <c r="B648" s="8" t="s">
        <v>4130</v>
      </c>
      <c r="C648" s="8" t="s">
        <v>4131</v>
      </c>
      <c r="D648" s="8" t="s">
        <v>4130</v>
      </c>
      <c r="E648" s="105">
        <v>20</v>
      </c>
      <c r="F648" s="106" t="s">
        <v>2018</v>
      </c>
      <c r="G648" s="8"/>
      <c r="H648" s="8"/>
      <c r="I648" s="107">
        <v>0</v>
      </c>
      <c r="J648" s="8" t="s">
        <v>2019</v>
      </c>
    </row>
    <row r="649" spans="1:10" ht="16.5" customHeight="1" x14ac:dyDescent="0.25">
      <c r="A649" s="8" t="s">
        <v>4132</v>
      </c>
      <c r="B649" s="8" t="s">
        <v>4133</v>
      </c>
      <c r="C649" s="8" t="s">
        <v>4134</v>
      </c>
      <c r="D649" s="8" t="s">
        <v>4133</v>
      </c>
      <c r="E649" s="105">
        <v>20</v>
      </c>
      <c r="F649" s="106" t="s">
        <v>2024</v>
      </c>
      <c r="G649" s="8"/>
      <c r="H649" s="8"/>
      <c r="I649" s="107">
        <v>0</v>
      </c>
      <c r="J649" s="8" t="s">
        <v>2019</v>
      </c>
    </row>
    <row r="650" spans="1:10" ht="16.5" customHeight="1" x14ac:dyDescent="0.25">
      <c r="A650" s="8" t="s">
        <v>4135</v>
      </c>
      <c r="B650" s="8" t="s">
        <v>4136</v>
      </c>
      <c r="C650" s="8" t="s">
        <v>4137</v>
      </c>
      <c r="D650" s="8" t="s">
        <v>4136</v>
      </c>
      <c r="E650" s="105">
        <v>20</v>
      </c>
      <c r="F650" s="106" t="s">
        <v>2018</v>
      </c>
      <c r="G650" s="8"/>
      <c r="H650" s="8"/>
      <c r="I650" s="107">
        <v>0</v>
      </c>
      <c r="J650" s="8" t="s">
        <v>2019</v>
      </c>
    </row>
    <row r="651" spans="1:10" ht="16.5" customHeight="1" x14ac:dyDescent="0.25">
      <c r="A651" s="8" t="s">
        <v>4138</v>
      </c>
      <c r="B651" s="8" t="s">
        <v>4139</v>
      </c>
      <c r="C651" s="8" t="s">
        <v>4139</v>
      </c>
      <c r="D651" s="8" t="s">
        <v>4139</v>
      </c>
      <c r="E651" s="105">
        <v>20</v>
      </c>
      <c r="F651" s="106" t="s">
        <v>2024</v>
      </c>
      <c r="G651" s="8"/>
      <c r="H651" s="8"/>
      <c r="I651" s="107">
        <v>0</v>
      </c>
      <c r="J651" s="8" t="s">
        <v>2019</v>
      </c>
    </row>
    <row r="652" spans="1:10" ht="16.5" customHeight="1" x14ac:dyDescent="0.25">
      <c r="A652" s="8" t="s">
        <v>4140</v>
      </c>
      <c r="B652" s="8" t="s">
        <v>4141</v>
      </c>
      <c r="C652" s="8" t="s">
        <v>4142</v>
      </c>
      <c r="D652" s="8" t="s">
        <v>4141</v>
      </c>
      <c r="E652" s="105">
        <v>0.23</v>
      </c>
      <c r="F652" s="106" t="s">
        <v>2024</v>
      </c>
      <c r="G652" s="8"/>
      <c r="H652" s="8"/>
      <c r="I652" s="107">
        <v>0</v>
      </c>
      <c r="J652" s="8" t="s">
        <v>2019</v>
      </c>
    </row>
    <row r="653" spans="1:10" ht="16.5" customHeight="1" x14ac:dyDescent="0.25">
      <c r="A653" s="8" t="s">
        <v>4143</v>
      </c>
      <c r="B653" s="8" t="s">
        <v>4144</v>
      </c>
      <c r="C653" s="8" t="s">
        <v>4142</v>
      </c>
      <c r="D653" s="8" t="s">
        <v>4144</v>
      </c>
      <c r="E653" s="105">
        <v>6.83</v>
      </c>
      <c r="F653" s="106" t="s">
        <v>2024</v>
      </c>
      <c r="G653" s="8"/>
      <c r="H653" s="8"/>
      <c r="I653" s="107">
        <v>0</v>
      </c>
      <c r="J653" s="8" t="s">
        <v>2019</v>
      </c>
    </row>
    <row r="654" spans="1:10" ht="16.5" customHeight="1" x14ac:dyDescent="0.25">
      <c r="A654" s="8" t="s">
        <v>4145</v>
      </c>
      <c r="B654" s="8" t="s">
        <v>4146</v>
      </c>
      <c r="C654" s="8" t="s">
        <v>4147</v>
      </c>
      <c r="D654" s="8" t="s">
        <v>4146</v>
      </c>
      <c r="E654" s="105">
        <v>0.91</v>
      </c>
      <c r="F654" s="106" t="s">
        <v>2024</v>
      </c>
      <c r="G654" s="8"/>
      <c r="H654" s="8"/>
      <c r="I654" s="107">
        <v>0</v>
      </c>
      <c r="J654" s="8" t="s">
        <v>2019</v>
      </c>
    </row>
    <row r="655" spans="1:10" ht="16.5" customHeight="1" x14ac:dyDescent="0.25">
      <c r="A655" s="8" t="s">
        <v>4148</v>
      </c>
      <c r="B655" s="8" t="s">
        <v>4149</v>
      </c>
      <c r="C655" s="8" t="s">
        <v>4147</v>
      </c>
      <c r="D655" s="8" t="s">
        <v>4149</v>
      </c>
      <c r="E655" s="105">
        <v>10.92</v>
      </c>
      <c r="F655" s="106" t="s">
        <v>2024</v>
      </c>
      <c r="G655" s="8"/>
      <c r="H655" s="8"/>
      <c r="I655" s="107">
        <v>0</v>
      </c>
      <c r="J655" s="8" t="s">
        <v>2019</v>
      </c>
    </row>
    <row r="656" spans="1:10" ht="16.5" customHeight="1" x14ac:dyDescent="0.25">
      <c r="A656" s="8" t="s">
        <v>4150</v>
      </c>
      <c r="B656" s="8" t="s">
        <v>4151</v>
      </c>
      <c r="C656" s="8" t="s">
        <v>4152</v>
      </c>
      <c r="D656" s="8" t="s">
        <v>4151</v>
      </c>
      <c r="E656" s="105">
        <v>10.92</v>
      </c>
      <c r="F656" s="106" t="s">
        <v>2024</v>
      </c>
      <c r="G656" s="8"/>
      <c r="H656" s="8"/>
      <c r="I656" s="107">
        <v>0</v>
      </c>
      <c r="J656" s="8" t="s">
        <v>2019</v>
      </c>
    </row>
    <row r="657" spans="1:10" ht="16.5" customHeight="1" x14ac:dyDescent="0.25">
      <c r="A657" s="8" t="s">
        <v>4153</v>
      </c>
      <c r="B657" s="8" t="s">
        <v>4154</v>
      </c>
      <c r="C657" s="8" t="s">
        <v>4155</v>
      </c>
      <c r="D657" s="8" t="s">
        <v>4154</v>
      </c>
      <c r="E657" s="105">
        <v>18.2</v>
      </c>
      <c r="F657" s="106" t="s">
        <v>2024</v>
      </c>
      <c r="G657" s="8"/>
      <c r="H657" s="8"/>
      <c r="I657" s="107">
        <v>0</v>
      </c>
      <c r="J657" s="8" t="s">
        <v>2019</v>
      </c>
    </row>
    <row r="658" spans="1:10" ht="16.5" customHeight="1" x14ac:dyDescent="0.25">
      <c r="A658" s="8" t="s">
        <v>4156</v>
      </c>
      <c r="B658" s="8" t="s">
        <v>4157</v>
      </c>
      <c r="C658" s="8" t="s">
        <v>4158</v>
      </c>
      <c r="D658" s="8" t="s">
        <v>4157</v>
      </c>
      <c r="E658" s="105">
        <v>18.2</v>
      </c>
      <c r="F658" s="106" t="s">
        <v>2024</v>
      </c>
      <c r="G658" s="8"/>
      <c r="H658" s="8"/>
      <c r="I658" s="107">
        <v>0</v>
      </c>
      <c r="J658" s="8" t="s">
        <v>2019</v>
      </c>
    </row>
    <row r="659" spans="1:10" ht="16.5" customHeight="1" x14ac:dyDescent="0.25">
      <c r="A659" s="8" t="s">
        <v>4159</v>
      </c>
      <c r="B659" s="8" t="s">
        <v>4160</v>
      </c>
      <c r="C659" s="8" t="s">
        <v>4161</v>
      </c>
      <c r="D659" s="8" t="s">
        <v>4160</v>
      </c>
      <c r="E659" s="105">
        <v>0.36399999999999999</v>
      </c>
      <c r="F659" s="106" t="s">
        <v>2024</v>
      </c>
      <c r="G659" s="8"/>
      <c r="H659" s="8"/>
      <c r="I659" s="107">
        <v>0</v>
      </c>
      <c r="J659" s="8" t="s">
        <v>2019</v>
      </c>
    </row>
    <row r="660" spans="1:10" ht="16.5" customHeight="1" x14ac:dyDescent="0.25">
      <c r="A660" s="8" t="s">
        <v>4162</v>
      </c>
      <c r="B660" s="8" t="s">
        <v>4163</v>
      </c>
      <c r="C660" s="8" t="s">
        <v>4164</v>
      </c>
      <c r="D660" s="8" t="s">
        <v>4163</v>
      </c>
      <c r="E660" s="105">
        <v>7.28</v>
      </c>
      <c r="F660" s="106" t="s">
        <v>2024</v>
      </c>
      <c r="G660" s="8"/>
      <c r="H660" s="8"/>
      <c r="I660" s="107">
        <v>0</v>
      </c>
      <c r="J660" s="8" t="s">
        <v>2019</v>
      </c>
    </row>
    <row r="661" spans="1:10" ht="16.5" customHeight="1" x14ac:dyDescent="0.25">
      <c r="A661" s="8" t="s">
        <v>4165</v>
      </c>
      <c r="B661" s="8" t="s">
        <v>4166</v>
      </c>
      <c r="C661" s="8" t="s">
        <v>4167</v>
      </c>
      <c r="D661" s="8" t="s">
        <v>4166</v>
      </c>
      <c r="E661" s="105">
        <v>18.2</v>
      </c>
      <c r="F661" s="106" t="s">
        <v>2024</v>
      </c>
      <c r="G661" s="8"/>
      <c r="H661" s="8"/>
      <c r="I661" s="107">
        <v>0</v>
      </c>
      <c r="J661" s="8" t="s">
        <v>2019</v>
      </c>
    </row>
    <row r="662" spans="1:10" ht="16.5" customHeight="1" x14ac:dyDescent="0.25">
      <c r="A662" s="8" t="s">
        <v>4168</v>
      </c>
      <c r="B662" s="8" t="s">
        <v>4169</v>
      </c>
      <c r="C662" s="8" t="s">
        <v>4169</v>
      </c>
      <c r="D662" s="8" t="s">
        <v>4169</v>
      </c>
      <c r="E662" s="105">
        <v>185</v>
      </c>
      <c r="F662" s="106" t="s">
        <v>2024</v>
      </c>
      <c r="G662" s="8"/>
      <c r="H662" s="8"/>
      <c r="I662" s="107">
        <v>0</v>
      </c>
      <c r="J662" s="8" t="s">
        <v>2019</v>
      </c>
    </row>
    <row r="663" spans="1:10" ht="16.5" customHeight="1" x14ac:dyDescent="0.25">
      <c r="A663" s="8" t="s">
        <v>4170</v>
      </c>
      <c r="B663" s="8" t="s">
        <v>4171</v>
      </c>
      <c r="C663" s="8" t="s">
        <v>4172</v>
      </c>
      <c r="D663" s="8" t="s">
        <v>4171</v>
      </c>
      <c r="E663" s="105">
        <v>1</v>
      </c>
      <c r="F663" s="106" t="s">
        <v>2018</v>
      </c>
      <c r="G663" s="8"/>
      <c r="H663" s="8"/>
      <c r="I663" s="107">
        <v>0</v>
      </c>
      <c r="J663" s="8" t="s">
        <v>2019</v>
      </c>
    </row>
    <row r="664" spans="1:10" ht="16.5" customHeight="1" x14ac:dyDescent="0.25">
      <c r="A664" s="8" t="s">
        <v>4173</v>
      </c>
      <c r="B664" s="8" t="s">
        <v>4174</v>
      </c>
      <c r="C664" s="8" t="s">
        <v>4175</v>
      </c>
      <c r="D664" s="8" t="s">
        <v>4174</v>
      </c>
      <c r="E664" s="105">
        <v>0</v>
      </c>
      <c r="F664" s="106" t="s">
        <v>2024</v>
      </c>
      <c r="G664" s="8"/>
      <c r="H664" s="8"/>
      <c r="I664" s="107">
        <v>0</v>
      </c>
      <c r="J664" s="8" t="s">
        <v>2019</v>
      </c>
    </row>
    <row r="665" spans="1:10" ht="16.5" customHeight="1" x14ac:dyDescent="0.25">
      <c r="A665" s="8" t="s">
        <v>4176</v>
      </c>
      <c r="B665" s="8" t="s">
        <v>4177</v>
      </c>
      <c r="C665" s="8" t="s">
        <v>4177</v>
      </c>
      <c r="D665" s="8" t="s">
        <v>4177</v>
      </c>
      <c r="E665" s="105">
        <v>1</v>
      </c>
      <c r="F665" s="106" t="s">
        <v>2024</v>
      </c>
      <c r="G665" s="8"/>
      <c r="H665" s="8"/>
      <c r="I665" s="107">
        <v>0</v>
      </c>
      <c r="J665" s="8" t="s">
        <v>2019</v>
      </c>
    </row>
    <row r="666" spans="1:10" ht="16.5" customHeight="1" x14ac:dyDescent="0.25">
      <c r="A666" s="8" t="s">
        <v>4178</v>
      </c>
      <c r="B666" s="8" t="s">
        <v>4179</v>
      </c>
      <c r="C666" s="8" t="s">
        <v>4179</v>
      </c>
      <c r="D666" s="8" t="s">
        <v>4179</v>
      </c>
      <c r="E666" s="105">
        <v>1</v>
      </c>
      <c r="F666" s="106" t="s">
        <v>2024</v>
      </c>
      <c r="G666" s="8"/>
      <c r="H666" s="8"/>
      <c r="I666" s="107">
        <v>0</v>
      </c>
      <c r="J666" s="8" t="s">
        <v>2019</v>
      </c>
    </row>
    <row r="667" spans="1:10" ht="16.5" customHeight="1" x14ac:dyDescent="0.25">
      <c r="A667" s="8" t="s">
        <v>4180</v>
      </c>
      <c r="B667" s="8" t="s">
        <v>4181</v>
      </c>
      <c r="C667" s="8" t="s">
        <v>4181</v>
      </c>
      <c r="D667" s="8" t="s">
        <v>4181</v>
      </c>
      <c r="E667" s="105">
        <v>1</v>
      </c>
      <c r="F667" s="106" t="s">
        <v>2024</v>
      </c>
      <c r="G667" s="8"/>
      <c r="H667" s="8"/>
      <c r="I667" s="107">
        <v>0</v>
      </c>
      <c r="J667" s="8" t="s">
        <v>2019</v>
      </c>
    </row>
    <row r="668" spans="1:10" ht="16.5" customHeight="1" x14ac:dyDescent="0.25">
      <c r="A668" s="8" t="s">
        <v>4182</v>
      </c>
      <c r="B668" s="8" t="s">
        <v>4183</v>
      </c>
      <c r="C668" s="8" t="s">
        <v>4184</v>
      </c>
      <c r="D668" s="8" t="s">
        <v>4183</v>
      </c>
      <c r="E668" s="105">
        <v>1</v>
      </c>
      <c r="F668" s="106" t="s">
        <v>2024</v>
      </c>
      <c r="G668" s="8"/>
      <c r="H668" s="8"/>
      <c r="I668" s="107">
        <v>0</v>
      </c>
      <c r="J668" s="8" t="s">
        <v>2019</v>
      </c>
    </row>
    <row r="669" spans="1:10" ht="16.5" customHeight="1" x14ac:dyDescent="0.25">
      <c r="A669" s="8" t="s">
        <v>4185</v>
      </c>
      <c r="B669" s="8" t="s">
        <v>4186</v>
      </c>
      <c r="C669" s="8" t="s">
        <v>4186</v>
      </c>
      <c r="D669" s="8" t="s">
        <v>4186</v>
      </c>
      <c r="E669" s="105">
        <v>0</v>
      </c>
      <c r="F669" s="106" t="s">
        <v>2024</v>
      </c>
      <c r="G669" s="8"/>
      <c r="H669" s="8"/>
      <c r="I669" s="107">
        <v>0</v>
      </c>
      <c r="J669" s="8" t="s">
        <v>2019</v>
      </c>
    </row>
    <row r="670" spans="1:10" ht="16.5" customHeight="1" x14ac:dyDescent="0.25">
      <c r="A670" s="8" t="s">
        <v>4187</v>
      </c>
      <c r="B670" s="8" t="s">
        <v>4188</v>
      </c>
      <c r="C670" s="8" t="s">
        <v>4188</v>
      </c>
      <c r="D670" s="8" t="s">
        <v>4188</v>
      </c>
      <c r="E670" s="105">
        <v>1</v>
      </c>
      <c r="F670" s="106" t="s">
        <v>2024</v>
      </c>
      <c r="G670" s="8"/>
      <c r="H670" s="8"/>
      <c r="I670" s="107">
        <v>0</v>
      </c>
      <c r="J670" s="8" t="s">
        <v>2019</v>
      </c>
    </row>
    <row r="671" spans="1:10" ht="16.5" customHeight="1" x14ac:dyDescent="0.25">
      <c r="A671" s="8" t="s">
        <v>4189</v>
      </c>
      <c r="B671" s="8" t="s">
        <v>4190</v>
      </c>
      <c r="C671" s="8" t="s">
        <v>4190</v>
      </c>
      <c r="D671" s="8" t="s">
        <v>4190</v>
      </c>
      <c r="E671" s="105">
        <v>1</v>
      </c>
      <c r="F671" s="106" t="s">
        <v>2024</v>
      </c>
      <c r="G671" s="8"/>
      <c r="H671" s="8"/>
      <c r="I671" s="107">
        <v>0</v>
      </c>
      <c r="J671" s="8" t="s">
        <v>2019</v>
      </c>
    </row>
    <row r="672" spans="1:10" ht="16.5" customHeight="1" x14ac:dyDescent="0.25">
      <c r="A672" s="8" t="s">
        <v>4191</v>
      </c>
      <c r="B672" s="8" t="s">
        <v>4192</v>
      </c>
      <c r="C672" s="8" t="s">
        <v>4193</v>
      </c>
      <c r="D672" s="8" t="s">
        <v>4192</v>
      </c>
      <c r="E672" s="105">
        <v>1</v>
      </c>
      <c r="F672" s="106" t="s">
        <v>2024</v>
      </c>
      <c r="G672" s="8"/>
      <c r="H672" s="8"/>
      <c r="I672" s="107">
        <v>0</v>
      </c>
      <c r="J672" s="8" t="s">
        <v>2019</v>
      </c>
    </row>
    <row r="673" spans="1:10" ht="16.5" customHeight="1" x14ac:dyDescent="0.25">
      <c r="A673" s="8" t="s">
        <v>4194</v>
      </c>
      <c r="B673" s="8" t="s">
        <v>4195</v>
      </c>
      <c r="C673" s="8" t="s">
        <v>4196</v>
      </c>
      <c r="D673" s="8" t="s">
        <v>4195</v>
      </c>
      <c r="E673" s="105">
        <v>0</v>
      </c>
      <c r="F673" s="106" t="s">
        <v>2024</v>
      </c>
      <c r="G673" s="8"/>
      <c r="H673" s="8"/>
      <c r="I673" s="107">
        <v>0</v>
      </c>
      <c r="J673" s="8" t="s">
        <v>2019</v>
      </c>
    </row>
    <row r="674" spans="1:10" ht="16.5" customHeight="1" x14ac:dyDescent="0.25">
      <c r="A674" s="8" t="s">
        <v>4197</v>
      </c>
      <c r="B674" s="8" t="s">
        <v>4198</v>
      </c>
      <c r="C674" s="8" t="s">
        <v>4199</v>
      </c>
      <c r="D674" s="8" t="s">
        <v>4198</v>
      </c>
      <c r="E674" s="105">
        <v>0</v>
      </c>
      <c r="F674" s="106" t="s">
        <v>2024</v>
      </c>
      <c r="G674" s="8"/>
      <c r="H674" s="8"/>
      <c r="I674" s="107">
        <v>0</v>
      </c>
      <c r="J674" s="8" t="s">
        <v>2019</v>
      </c>
    </row>
    <row r="675" spans="1:10" ht="16.5" customHeight="1" x14ac:dyDescent="0.25">
      <c r="A675" s="8" t="s">
        <v>4200</v>
      </c>
      <c r="B675" s="8" t="s">
        <v>4201</v>
      </c>
      <c r="C675" s="8" t="s">
        <v>4202</v>
      </c>
      <c r="D675" s="8" t="s">
        <v>4201</v>
      </c>
      <c r="E675" s="105">
        <v>0</v>
      </c>
      <c r="F675" s="106" t="s">
        <v>2024</v>
      </c>
      <c r="G675" s="8"/>
      <c r="H675" s="8"/>
      <c r="I675" s="107">
        <v>0</v>
      </c>
      <c r="J675" s="8" t="s">
        <v>2019</v>
      </c>
    </row>
    <row r="676" spans="1:10" ht="16.5" customHeight="1" x14ac:dyDescent="0.25">
      <c r="A676" s="8" t="s">
        <v>4203</v>
      </c>
      <c r="B676" s="8" t="s">
        <v>4204</v>
      </c>
      <c r="C676" s="8" t="s">
        <v>4202</v>
      </c>
      <c r="D676" s="8" t="s">
        <v>4204</v>
      </c>
      <c r="E676" s="105">
        <v>0</v>
      </c>
      <c r="F676" s="106" t="s">
        <v>2024</v>
      </c>
      <c r="G676" s="8"/>
      <c r="H676" s="8"/>
      <c r="I676" s="107">
        <v>0</v>
      </c>
      <c r="J676" s="8" t="s">
        <v>2019</v>
      </c>
    </row>
    <row r="677" spans="1:10" ht="16.5" customHeight="1" x14ac:dyDescent="0.25">
      <c r="A677" s="8" t="s">
        <v>4205</v>
      </c>
      <c r="B677" s="8" t="s">
        <v>4206</v>
      </c>
      <c r="C677" s="8" t="s">
        <v>4207</v>
      </c>
      <c r="D677" s="8" t="s">
        <v>4206</v>
      </c>
      <c r="E677" s="105">
        <v>0</v>
      </c>
      <c r="F677" s="106" t="s">
        <v>2024</v>
      </c>
      <c r="G677" s="8"/>
      <c r="H677" s="8"/>
      <c r="I677" s="107">
        <v>0</v>
      </c>
      <c r="J677" s="8" t="s">
        <v>2019</v>
      </c>
    </row>
    <row r="678" spans="1:10" ht="16.5" customHeight="1" x14ac:dyDescent="0.25">
      <c r="A678" s="8" t="s">
        <v>4208</v>
      </c>
      <c r="B678" s="8" t="s">
        <v>4209</v>
      </c>
      <c r="C678" s="8" t="s">
        <v>4210</v>
      </c>
      <c r="D678" s="8" t="s">
        <v>4209</v>
      </c>
      <c r="E678" s="105">
        <v>0</v>
      </c>
      <c r="F678" s="106" t="s">
        <v>2024</v>
      </c>
      <c r="G678" s="8"/>
      <c r="H678" s="8"/>
      <c r="I678" s="107">
        <v>0</v>
      </c>
      <c r="J678" s="8" t="s">
        <v>2019</v>
      </c>
    </row>
    <row r="679" spans="1:10" ht="16.5" customHeight="1" x14ac:dyDescent="0.25">
      <c r="A679" s="8" t="s">
        <v>4211</v>
      </c>
      <c r="B679" s="8" t="s">
        <v>4212</v>
      </c>
      <c r="C679" s="8" t="s">
        <v>4213</v>
      </c>
      <c r="D679" s="8" t="s">
        <v>4212</v>
      </c>
      <c r="E679" s="105">
        <v>0</v>
      </c>
      <c r="F679" s="106" t="s">
        <v>2024</v>
      </c>
      <c r="G679" s="8"/>
      <c r="H679" s="8"/>
      <c r="I679" s="107">
        <v>0</v>
      </c>
      <c r="J679" s="8" t="s">
        <v>2019</v>
      </c>
    </row>
    <row r="680" spans="1:10" ht="16.5" customHeight="1" x14ac:dyDescent="0.25">
      <c r="A680" s="8" t="s">
        <v>4214</v>
      </c>
      <c r="B680" s="8" t="s">
        <v>4215</v>
      </c>
      <c r="C680" s="8" t="s">
        <v>4216</v>
      </c>
      <c r="D680" s="8" t="s">
        <v>4215</v>
      </c>
      <c r="E680" s="105">
        <v>0</v>
      </c>
      <c r="F680" s="106" t="s">
        <v>2024</v>
      </c>
      <c r="G680" s="8"/>
      <c r="H680" s="8"/>
      <c r="I680" s="107">
        <v>0</v>
      </c>
      <c r="J680" s="8" t="s">
        <v>2019</v>
      </c>
    </row>
    <row r="681" spans="1:10" ht="16.5" customHeight="1" x14ac:dyDescent="0.25">
      <c r="A681" s="8" t="s">
        <v>4217</v>
      </c>
      <c r="B681" s="8" t="s">
        <v>4218</v>
      </c>
      <c r="C681" s="8" t="s">
        <v>4219</v>
      </c>
      <c r="D681" s="8" t="s">
        <v>4218</v>
      </c>
      <c r="E681" s="105">
        <v>0</v>
      </c>
      <c r="F681" s="106" t="s">
        <v>2024</v>
      </c>
      <c r="G681" s="8"/>
      <c r="H681" s="8"/>
      <c r="I681" s="107">
        <v>0</v>
      </c>
      <c r="J681" s="8" t="s">
        <v>2019</v>
      </c>
    </row>
    <row r="682" spans="1:10" ht="16.5" customHeight="1" x14ac:dyDescent="0.25">
      <c r="A682" s="8" t="s">
        <v>4220</v>
      </c>
      <c r="B682" s="8" t="s">
        <v>4221</v>
      </c>
      <c r="C682" s="8" t="s">
        <v>4222</v>
      </c>
      <c r="D682" s="8" t="s">
        <v>4221</v>
      </c>
      <c r="E682" s="105">
        <v>0</v>
      </c>
      <c r="F682" s="106" t="s">
        <v>2024</v>
      </c>
      <c r="G682" s="8"/>
      <c r="H682" s="8"/>
      <c r="I682" s="107">
        <v>0</v>
      </c>
      <c r="J682" s="8" t="s">
        <v>2019</v>
      </c>
    </row>
    <row r="683" spans="1:10" ht="16.5" customHeight="1" x14ac:dyDescent="0.25">
      <c r="A683" s="8" t="s">
        <v>4223</v>
      </c>
      <c r="B683" s="8" t="s">
        <v>4224</v>
      </c>
      <c r="C683" s="8" t="s">
        <v>4225</v>
      </c>
      <c r="D683" s="8" t="s">
        <v>4224</v>
      </c>
      <c r="E683" s="105">
        <v>0</v>
      </c>
      <c r="F683" s="106" t="s">
        <v>2024</v>
      </c>
      <c r="G683" s="8"/>
      <c r="H683" s="8"/>
      <c r="I683" s="107">
        <v>0</v>
      </c>
      <c r="J683" s="8" t="s">
        <v>2019</v>
      </c>
    </row>
    <row r="684" spans="1:10" ht="16.5" customHeight="1" x14ac:dyDescent="0.25">
      <c r="A684" s="8" t="s">
        <v>4226</v>
      </c>
      <c r="B684" s="8" t="s">
        <v>4227</v>
      </c>
      <c r="C684" s="8" t="s">
        <v>4228</v>
      </c>
      <c r="D684" s="8" t="s">
        <v>4227</v>
      </c>
      <c r="E684" s="105">
        <v>0</v>
      </c>
      <c r="F684" s="106" t="s">
        <v>2024</v>
      </c>
      <c r="G684" s="8"/>
      <c r="H684" s="8"/>
      <c r="I684" s="107">
        <v>0</v>
      </c>
      <c r="J684" s="8" t="s">
        <v>2019</v>
      </c>
    </row>
    <row r="685" spans="1:10" ht="16.5" customHeight="1" x14ac:dyDescent="0.25">
      <c r="A685" s="8" t="s">
        <v>4229</v>
      </c>
      <c r="B685" s="8" t="s">
        <v>4230</v>
      </c>
      <c r="C685" s="8" t="s">
        <v>4231</v>
      </c>
      <c r="D685" s="8" t="s">
        <v>4230</v>
      </c>
      <c r="E685" s="105">
        <v>0</v>
      </c>
      <c r="F685" s="106" t="s">
        <v>2024</v>
      </c>
      <c r="G685" s="8"/>
      <c r="H685" s="8"/>
      <c r="I685" s="107">
        <v>0</v>
      </c>
      <c r="J685" s="8" t="s">
        <v>2019</v>
      </c>
    </row>
    <row r="686" spans="1:10" ht="16.5" customHeight="1" x14ac:dyDescent="0.25">
      <c r="A686" s="8" t="s">
        <v>4232</v>
      </c>
      <c r="B686" s="8" t="s">
        <v>4233</v>
      </c>
      <c r="C686" s="8" t="s">
        <v>4234</v>
      </c>
      <c r="D686" s="8" t="s">
        <v>4233</v>
      </c>
      <c r="E686" s="105">
        <v>0</v>
      </c>
      <c r="F686" s="106" t="s">
        <v>2024</v>
      </c>
      <c r="G686" s="8"/>
      <c r="H686" s="8"/>
      <c r="I686" s="107">
        <v>0</v>
      </c>
      <c r="J686" s="8" t="s">
        <v>2019</v>
      </c>
    </row>
    <row r="687" spans="1:10" ht="16.5" customHeight="1" x14ac:dyDescent="0.25">
      <c r="A687" s="8" t="s">
        <v>4235</v>
      </c>
      <c r="B687" s="8" t="s">
        <v>4236</v>
      </c>
      <c r="C687" s="8" t="s">
        <v>4237</v>
      </c>
      <c r="D687" s="8" t="s">
        <v>4236</v>
      </c>
      <c r="E687" s="105">
        <v>0</v>
      </c>
      <c r="F687" s="106" t="s">
        <v>2024</v>
      </c>
      <c r="G687" s="8"/>
      <c r="H687" s="8"/>
      <c r="I687" s="107">
        <v>0</v>
      </c>
      <c r="J687" s="8" t="s">
        <v>2019</v>
      </c>
    </row>
    <row r="688" spans="1:10" ht="16.5" customHeight="1" x14ac:dyDescent="0.25">
      <c r="A688" s="8" t="s">
        <v>4238</v>
      </c>
      <c r="B688" s="8" t="s">
        <v>4239</v>
      </c>
      <c r="C688" s="8" t="s">
        <v>4240</v>
      </c>
      <c r="D688" s="8" t="s">
        <v>4239</v>
      </c>
      <c r="E688" s="105">
        <v>0</v>
      </c>
      <c r="F688" s="106" t="s">
        <v>2024</v>
      </c>
      <c r="G688" s="8"/>
      <c r="H688" s="8"/>
      <c r="I688" s="107">
        <v>0</v>
      </c>
      <c r="J688" s="8" t="s">
        <v>2019</v>
      </c>
    </row>
    <row r="689" spans="1:10" ht="16.5" customHeight="1" x14ac:dyDescent="0.25">
      <c r="A689" s="8" t="s">
        <v>4241</v>
      </c>
      <c r="B689" s="8" t="s">
        <v>4242</v>
      </c>
      <c r="C689" s="8" t="s">
        <v>4243</v>
      </c>
      <c r="D689" s="8" t="s">
        <v>4242</v>
      </c>
      <c r="E689" s="105">
        <v>0.08</v>
      </c>
      <c r="F689" s="106" t="s">
        <v>2024</v>
      </c>
      <c r="G689" s="8"/>
      <c r="H689" s="8"/>
      <c r="I689" s="107">
        <v>0</v>
      </c>
      <c r="J689" s="8" t="s">
        <v>2019</v>
      </c>
    </row>
    <row r="690" spans="1:10" ht="16.5" customHeight="1" x14ac:dyDescent="0.25">
      <c r="A690" s="8" t="s">
        <v>4244</v>
      </c>
      <c r="B690" s="8" t="s">
        <v>4245</v>
      </c>
      <c r="C690" s="8" t="s">
        <v>4246</v>
      </c>
      <c r="D690" s="8" t="s">
        <v>4245</v>
      </c>
      <c r="E690" s="105">
        <v>0</v>
      </c>
      <c r="F690" s="106" t="s">
        <v>2024</v>
      </c>
      <c r="G690" s="8"/>
      <c r="H690" s="8"/>
      <c r="I690" s="107">
        <v>0</v>
      </c>
      <c r="J690" s="8" t="s">
        <v>2019</v>
      </c>
    </row>
    <row r="691" spans="1:10" ht="16.5" customHeight="1" x14ac:dyDescent="0.25">
      <c r="A691" s="8" t="s">
        <v>4247</v>
      </c>
      <c r="B691" s="8" t="s">
        <v>4248</v>
      </c>
      <c r="C691" s="8" t="s">
        <v>4249</v>
      </c>
      <c r="D691" s="8" t="s">
        <v>4248</v>
      </c>
      <c r="E691" s="105">
        <v>0</v>
      </c>
      <c r="F691" s="106" t="s">
        <v>2024</v>
      </c>
      <c r="G691" s="8"/>
      <c r="H691" s="8"/>
      <c r="I691" s="107">
        <v>0</v>
      </c>
      <c r="J691" s="8" t="s">
        <v>2019</v>
      </c>
    </row>
    <row r="692" spans="1:10" ht="16.5" customHeight="1" x14ac:dyDescent="0.25">
      <c r="A692" s="8" t="s">
        <v>4250</v>
      </c>
      <c r="B692" s="8" t="s">
        <v>4251</v>
      </c>
      <c r="C692" s="8" t="s">
        <v>4252</v>
      </c>
      <c r="D692" s="8" t="s">
        <v>4251</v>
      </c>
      <c r="E692" s="105">
        <v>0</v>
      </c>
      <c r="F692" s="106" t="s">
        <v>2024</v>
      </c>
      <c r="G692" s="8"/>
      <c r="H692" s="8"/>
      <c r="I692" s="107">
        <v>0</v>
      </c>
      <c r="J692" s="8" t="s">
        <v>2019</v>
      </c>
    </row>
    <row r="693" spans="1:10" ht="16.5" customHeight="1" x14ac:dyDescent="0.25">
      <c r="A693" s="8" t="s">
        <v>4253</v>
      </c>
      <c r="B693" s="8" t="s">
        <v>4254</v>
      </c>
      <c r="C693" s="8" t="s">
        <v>4255</v>
      </c>
      <c r="D693" s="8" t="s">
        <v>4254</v>
      </c>
      <c r="E693" s="105">
        <v>0</v>
      </c>
      <c r="F693" s="106" t="s">
        <v>2024</v>
      </c>
      <c r="G693" s="8"/>
      <c r="H693" s="8"/>
      <c r="I693" s="107">
        <v>0</v>
      </c>
      <c r="J693" s="8" t="s">
        <v>2019</v>
      </c>
    </row>
    <row r="694" spans="1:10" ht="16.5" customHeight="1" x14ac:dyDescent="0.25">
      <c r="A694" s="8" t="s">
        <v>4256</v>
      </c>
      <c r="B694" s="8" t="s">
        <v>4257</v>
      </c>
      <c r="C694" s="8" t="s">
        <v>4258</v>
      </c>
      <c r="D694" s="8" t="s">
        <v>4257</v>
      </c>
      <c r="E694" s="105">
        <v>0</v>
      </c>
      <c r="F694" s="106" t="s">
        <v>2024</v>
      </c>
      <c r="G694" s="8"/>
      <c r="H694" s="8"/>
      <c r="I694" s="107">
        <v>0</v>
      </c>
      <c r="J694" s="8" t="s">
        <v>2019</v>
      </c>
    </row>
    <row r="695" spans="1:10" ht="16.5" customHeight="1" x14ac:dyDescent="0.25">
      <c r="A695" s="8" t="s">
        <v>4259</v>
      </c>
      <c r="B695" s="8" t="s">
        <v>4260</v>
      </c>
      <c r="C695" s="8" t="s">
        <v>4261</v>
      </c>
      <c r="D695" s="8" t="s">
        <v>4260</v>
      </c>
      <c r="E695" s="105">
        <v>0</v>
      </c>
      <c r="F695" s="106" t="s">
        <v>2024</v>
      </c>
      <c r="G695" s="8"/>
      <c r="H695" s="8"/>
      <c r="I695" s="107">
        <v>0</v>
      </c>
      <c r="J695" s="8" t="s">
        <v>2019</v>
      </c>
    </row>
    <row r="696" spans="1:10" ht="16.5" customHeight="1" x14ac:dyDescent="0.25">
      <c r="A696" s="8" t="s">
        <v>4262</v>
      </c>
      <c r="B696" s="8" t="s">
        <v>4263</v>
      </c>
      <c r="C696" s="8" t="s">
        <v>4264</v>
      </c>
      <c r="D696" s="8" t="s">
        <v>4263</v>
      </c>
      <c r="E696" s="105">
        <v>0</v>
      </c>
      <c r="F696" s="106" t="s">
        <v>2024</v>
      </c>
      <c r="G696" s="8"/>
      <c r="H696" s="8"/>
      <c r="I696" s="107">
        <v>0</v>
      </c>
      <c r="J696" s="8" t="s">
        <v>2019</v>
      </c>
    </row>
    <row r="697" spans="1:10" ht="16.5" customHeight="1" x14ac:dyDescent="0.25">
      <c r="A697" s="8" t="s">
        <v>4265</v>
      </c>
      <c r="B697" s="8" t="s">
        <v>4266</v>
      </c>
      <c r="C697" s="8" t="s">
        <v>4267</v>
      </c>
      <c r="D697" s="8" t="s">
        <v>4266</v>
      </c>
      <c r="E697" s="105">
        <v>0</v>
      </c>
      <c r="F697" s="106" t="s">
        <v>2024</v>
      </c>
      <c r="G697" s="8"/>
      <c r="H697" s="8"/>
      <c r="I697" s="107">
        <v>0</v>
      </c>
      <c r="J697" s="8" t="s">
        <v>2019</v>
      </c>
    </row>
    <row r="698" spans="1:10" ht="16.5" customHeight="1" x14ac:dyDescent="0.25">
      <c r="A698" s="8" t="s">
        <v>4268</v>
      </c>
      <c r="B698" s="8" t="s">
        <v>4269</v>
      </c>
      <c r="C698" s="8" t="s">
        <v>4270</v>
      </c>
      <c r="D698" s="8" t="s">
        <v>4269</v>
      </c>
      <c r="E698" s="105">
        <v>0</v>
      </c>
      <c r="F698" s="106" t="s">
        <v>2024</v>
      </c>
      <c r="G698" s="8"/>
      <c r="H698" s="8"/>
      <c r="I698" s="107">
        <v>0</v>
      </c>
      <c r="J698" s="8" t="s">
        <v>2019</v>
      </c>
    </row>
    <row r="699" spans="1:10" ht="16.5" customHeight="1" x14ac:dyDescent="0.25">
      <c r="A699" s="8" t="s">
        <v>4271</v>
      </c>
      <c r="B699" s="8" t="s">
        <v>4272</v>
      </c>
      <c r="C699" s="8" t="s">
        <v>4273</v>
      </c>
      <c r="D699" s="8" t="s">
        <v>4272</v>
      </c>
      <c r="E699" s="105">
        <v>0</v>
      </c>
      <c r="F699" s="106" t="s">
        <v>2024</v>
      </c>
      <c r="G699" s="8"/>
      <c r="H699" s="8"/>
      <c r="I699" s="107">
        <v>0</v>
      </c>
      <c r="J699" s="8" t="s">
        <v>2019</v>
      </c>
    </row>
    <row r="700" spans="1:10" ht="16.5" customHeight="1" x14ac:dyDescent="0.25">
      <c r="A700" s="8" t="s">
        <v>4274</v>
      </c>
      <c r="B700" s="8" t="s">
        <v>4275</v>
      </c>
      <c r="C700" s="8" t="s">
        <v>4276</v>
      </c>
      <c r="D700" s="8" t="s">
        <v>4275</v>
      </c>
      <c r="E700" s="105">
        <v>0</v>
      </c>
      <c r="F700" s="106" t="s">
        <v>2024</v>
      </c>
      <c r="G700" s="8"/>
      <c r="H700" s="8"/>
      <c r="I700" s="107">
        <v>0</v>
      </c>
      <c r="J700" s="8" t="s">
        <v>2019</v>
      </c>
    </row>
    <row r="701" spans="1:10" ht="16.5" customHeight="1" x14ac:dyDescent="0.25">
      <c r="A701" s="8" t="s">
        <v>4277</v>
      </c>
      <c r="B701" s="8" t="s">
        <v>4278</v>
      </c>
      <c r="C701" s="8" t="s">
        <v>4279</v>
      </c>
      <c r="D701" s="8" t="s">
        <v>4278</v>
      </c>
      <c r="E701" s="105">
        <v>0.45</v>
      </c>
      <c r="F701" s="106" t="s">
        <v>2024</v>
      </c>
      <c r="G701" s="8"/>
      <c r="H701" s="8"/>
      <c r="I701" s="107">
        <v>0</v>
      </c>
      <c r="J701" s="8" t="s">
        <v>2019</v>
      </c>
    </row>
    <row r="702" spans="1:10" ht="16.5" customHeight="1" x14ac:dyDescent="0.25">
      <c r="A702" s="8" t="s">
        <v>4280</v>
      </c>
      <c r="B702" s="8" t="s">
        <v>4281</v>
      </c>
      <c r="C702" s="8" t="s">
        <v>4282</v>
      </c>
      <c r="D702" s="8" t="s">
        <v>4281</v>
      </c>
      <c r="E702" s="105">
        <v>0</v>
      </c>
      <c r="F702" s="106" t="s">
        <v>2024</v>
      </c>
      <c r="G702" s="8"/>
      <c r="H702" s="8"/>
      <c r="I702" s="107">
        <v>0</v>
      </c>
      <c r="J702" s="8" t="s">
        <v>2019</v>
      </c>
    </row>
    <row r="703" spans="1:10" ht="16.5" customHeight="1" x14ac:dyDescent="0.25">
      <c r="A703" s="8" t="s">
        <v>4283</v>
      </c>
      <c r="B703" s="8" t="s">
        <v>4284</v>
      </c>
      <c r="C703" s="8" t="s">
        <v>4284</v>
      </c>
      <c r="D703" s="8" t="s">
        <v>4284</v>
      </c>
      <c r="E703" s="105">
        <v>0</v>
      </c>
      <c r="F703" s="106" t="s">
        <v>2024</v>
      </c>
      <c r="G703" s="8"/>
      <c r="H703" s="8"/>
      <c r="I703" s="107">
        <v>0</v>
      </c>
      <c r="J703" s="8" t="s">
        <v>2019</v>
      </c>
    </row>
    <row r="704" spans="1:10" ht="16.5" customHeight="1" x14ac:dyDescent="0.25">
      <c r="A704" s="8" t="s">
        <v>4285</v>
      </c>
      <c r="B704" s="8" t="s">
        <v>4286</v>
      </c>
      <c r="C704" s="8" t="s">
        <v>4286</v>
      </c>
      <c r="D704" s="8" t="s">
        <v>4286</v>
      </c>
      <c r="E704" s="105">
        <v>0</v>
      </c>
      <c r="F704" s="106" t="s">
        <v>2024</v>
      </c>
      <c r="G704" s="8"/>
      <c r="H704" s="8"/>
      <c r="I704" s="107">
        <v>0</v>
      </c>
      <c r="J704" s="8" t="s">
        <v>2019</v>
      </c>
    </row>
    <row r="705" spans="1:10" ht="16.5" customHeight="1" x14ac:dyDescent="0.25">
      <c r="A705" s="8" t="s">
        <v>4287</v>
      </c>
      <c r="B705" s="8" t="s">
        <v>4288</v>
      </c>
      <c r="C705" s="8" t="s">
        <v>4289</v>
      </c>
      <c r="D705" s="8" t="s">
        <v>4288</v>
      </c>
      <c r="E705" s="105">
        <v>0</v>
      </c>
      <c r="F705" s="106" t="s">
        <v>2024</v>
      </c>
      <c r="G705" s="8"/>
      <c r="H705" s="8"/>
      <c r="I705" s="107">
        <v>0</v>
      </c>
      <c r="J705" s="8" t="s">
        <v>2019</v>
      </c>
    </row>
    <row r="706" spans="1:10" ht="16.5" customHeight="1" x14ac:dyDescent="0.25">
      <c r="A706" s="8" t="s">
        <v>4290</v>
      </c>
      <c r="B706" s="8" t="s">
        <v>4291</v>
      </c>
      <c r="C706" s="8" t="s">
        <v>4292</v>
      </c>
      <c r="D706" s="8" t="s">
        <v>4291</v>
      </c>
      <c r="E706" s="105">
        <v>0</v>
      </c>
      <c r="F706" s="106" t="s">
        <v>2024</v>
      </c>
      <c r="G706" s="8"/>
      <c r="H706" s="8"/>
      <c r="I706" s="107">
        <v>0</v>
      </c>
      <c r="J706" s="8" t="s">
        <v>2019</v>
      </c>
    </row>
    <row r="707" spans="1:10" ht="16.5" customHeight="1" x14ac:dyDescent="0.25">
      <c r="A707" s="8" t="s">
        <v>4293</v>
      </c>
      <c r="B707" s="8" t="s">
        <v>4294</v>
      </c>
      <c r="C707" s="8" t="s">
        <v>4294</v>
      </c>
      <c r="D707" s="8" t="s">
        <v>4294</v>
      </c>
      <c r="E707" s="105">
        <v>0</v>
      </c>
      <c r="F707" s="106" t="s">
        <v>2024</v>
      </c>
      <c r="G707" s="8"/>
      <c r="H707" s="8"/>
      <c r="I707" s="107">
        <v>0</v>
      </c>
      <c r="J707" s="8" t="s">
        <v>2019</v>
      </c>
    </row>
    <row r="708" spans="1:10" ht="16.5" customHeight="1" x14ac:dyDescent="0.25">
      <c r="A708" s="8" t="s">
        <v>4295</v>
      </c>
      <c r="B708" s="8" t="s">
        <v>4296</v>
      </c>
      <c r="C708" s="8" t="s">
        <v>2034</v>
      </c>
      <c r="D708" s="8" t="s">
        <v>4296</v>
      </c>
      <c r="E708" s="105">
        <v>1</v>
      </c>
      <c r="F708" s="106" t="s">
        <v>2018</v>
      </c>
      <c r="G708" s="8"/>
      <c r="H708" s="8"/>
      <c r="I708" s="107">
        <v>0</v>
      </c>
      <c r="J708" s="8" t="s">
        <v>2019</v>
      </c>
    </row>
    <row r="709" spans="1:10" ht="16.5" customHeight="1" x14ac:dyDescent="0.25">
      <c r="A709" s="8" t="s">
        <v>4297</v>
      </c>
      <c r="B709" s="8" t="s">
        <v>4298</v>
      </c>
      <c r="C709" s="8" t="s">
        <v>2034</v>
      </c>
      <c r="D709" s="8" t="s">
        <v>4298</v>
      </c>
      <c r="E709" s="105">
        <v>1</v>
      </c>
      <c r="F709" s="106" t="s">
        <v>2018</v>
      </c>
      <c r="G709" s="8"/>
      <c r="H709" s="8"/>
      <c r="I709" s="107">
        <v>0</v>
      </c>
      <c r="J709" s="8" t="s">
        <v>2019</v>
      </c>
    </row>
    <row r="710" spans="1:10" ht="16.5" customHeight="1" x14ac:dyDescent="0.25">
      <c r="A710" s="8" t="s">
        <v>4299</v>
      </c>
      <c r="B710" s="8" t="s">
        <v>4300</v>
      </c>
      <c r="C710" s="8" t="s">
        <v>4301</v>
      </c>
      <c r="D710" s="8" t="s">
        <v>4300</v>
      </c>
      <c r="E710" s="105">
        <v>1</v>
      </c>
      <c r="F710" s="106" t="s">
        <v>2018</v>
      </c>
      <c r="G710" s="8"/>
      <c r="H710" s="8"/>
      <c r="I710" s="107">
        <v>0</v>
      </c>
      <c r="J710" s="8" t="s">
        <v>2019</v>
      </c>
    </row>
    <row r="711" spans="1:10" ht="16.5" customHeight="1" x14ac:dyDescent="0.25">
      <c r="A711" s="8" t="s">
        <v>4302</v>
      </c>
      <c r="B711" s="8" t="s">
        <v>4303</v>
      </c>
      <c r="C711" s="8" t="s">
        <v>4304</v>
      </c>
      <c r="D711" s="8" t="s">
        <v>4303</v>
      </c>
      <c r="E711" s="105">
        <v>1</v>
      </c>
      <c r="F711" s="106" t="s">
        <v>2018</v>
      </c>
      <c r="G711" s="8"/>
      <c r="H711" s="8"/>
      <c r="I711" s="107">
        <v>0</v>
      </c>
      <c r="J711" s="8" t="s">
        <v>2019</v>
      </c>
    </row>
    <row r="712" spans="1:10" ht="16.5" customHeight="1" x14ac:dyDescent="0.25">
      <c r="A712" s="8" t="s">
        <v>4305</v>
      </c>
      <c r="B712" s="8" t="s">
        <v>4306</v>
      </c>
      <c r="C712" s="8" t="s">
        <v>4307</v>
      </c>
      <c r="D712" s="8" t="s">
        <v>4306</v>
      </c>
      <c r="E712" s="105">
        <v>1</v>
      </c>
      <c r="F712" s="106" t="s">
        <v>2018</v>
      </c>
      <c r="G712" s="8"/>
      <c r="H712" s="8"/>
      <c r="I712" s="107">
        <v>0</v>
      </c>
      <c r="J712" s="8" t="s">
        <v>2019</v>
      </c>
    </row>
    <row r="713" spans="1:10" ht="16.5" customHeight="1" x14ac:dyDescent="0.25">
      <c r="A713" s="8" t="s">
        <v>4308</v>
      </c>
      <c r="B713" s="8" t="s">
        <v>4309</v>
      </c>
      <c r="C713" s="8" t="s">
        <v>4309</v>
      </c>
      <c r="D713" s="8" t="s">
        <v>4309</v>
      </c>
      <c r="E713" s="105">
        <v>1</v>
      </c>
      <c r="F713" s="106" t="s">
        <v>2024</v>
      </c>
      <c r="G713" s="8"/>
      <c r="H713" s="8"/>
      <c r="I713" s="107">
        <v>0</v>
      </c>
      <c r="J713" s="8" t="s">
        <v>2019</v>
      </c>
    </row>
    <row r="714" spans="1:10" ht="16.5" customHeight="1" x14ac:dyDescent="0.25">
      <c r="A714" s="8" t="s">
        <v>4310</v>
      </c>
      <c r="B714" s="8" t="s">
        <v>4311</v>
      </c>
      <c r="C714" s="8" t="s">
        <v>1053</v>
      </c>
      <c r="D714" s="8" t="s">
        <v>4311</v>
      </c>
      <c r="E714" s="105">
        <v>18</v>
      </c>
      <c r="F714" s="106" t="s">
        <v>2018</v>
      </c>
      <c r="G714" s="8"/>
      <c r="H714" s="8"/>
      <c r="I714" s="107">
        <v>0</v>
      </c>
      <c r="J714" s="8" t="s">
        <v>2019</v>
      </c>
    </row>
    <row r="715" spans="1:10" ht="16.5" customHeight="1" x14ac:dyDescent="0.25">
      <c r="A715" s="8" t="s">
        <v>4312</v>
      </c>
      <c r="B715" s="8" t="s">
        <v>4313</v>
      </c>
      <c r="C715" s="8" t="s">
        <v>4314</v>
      </c>
      <c r="D715" s="8" t="s">
        <v>4313</v>
      </c>
      <c r="E715" s="105">
        <v>25</v>
      </c>
      <c r="F715" s="106" t="s">
        <v>2024</v>
      </c>
      <c r="G715" s="8"/>
      <c r="H715" s="8"/>
      <c r="I715" s="107">
        <v>0</v>
      </c>
      <c r="J715" s="8" t="s">
        <v>2019</v>
      </c>
    </row>
    <row r="716" spans="1:10" ht="16.5" customHeight="1" x14ac:dyDescent="0.25">
      <c r="A716" s="8" t="s">
        <v>4315</v>
      </c>
      <c r="B716" s="8" t="s">
        <v>4316</v>
      </c>
      <c r="C716" s="8" t="s">
        <v>4317</v>
      </c>
      <c r="D716" s="8" t="s">
        <v>4316</v>
      </c>
      <c r="E716" s="105">
        <v>16.02</v>
      </c>
      <c r="F716" s="106" t="s">
        <v>2024</v>
      </c>
      <c r="G716" s="8"/>
      <c r="H716" s="8"/>
      <c r="I716" s="107">
        <v>0</v>
      </c>
      <c r="J716" s="8" t="s">
        <v>2019</v>
      </c>
    </row>
    <row r="717" spans="1:10" ht="16.5" customHeight="1" x14ac:dyDescent="0.25">
      <c r="A717" s="8" t="s">
        <v>4318</v>
      </c>
      <c r="B717" s="8" t="s">
        <v>4319</v>
      </c>
      <c r="C717" s="8" t="s">
        <v>4320</v>
      </c>
      <c r="D717" s="8" t="s">
        <v>4319</v>
      </c>
      <c r="E717" s="105">
        <v>9.61</v>
      </c>
      <c r="F717" s="106" t="s">
        <v>2018</v>
      </c>
      <c r="G717" s="8"/>
      <c r="H717" s="8" t="s">
        <v>4321</v>
      </c>
      <c r="I717" s="107">
        <v>12</v>
      </c>
      <c r="J717" s="8" t="s">
        <v>2019</v>
      </c>
    </row>
    <row r="718" spans="1:10" ht="16.5" customHeight="1" x14ac:dyDescent="0.25">
      <c r="A718" s="8" t="s">
        <v>4322</v>
      </c>
      <c r="B718" s="8" t="s">
        <v>4323</v>
      </c>
      <c r="C718" s="8" t="s">
        <v>4324</v>
      </c>
      <c r="D718" s="8" t="s">
        <v>4323</v>
      </c>
      <c r="E718" s="105">
        <v>190</v>
      </c>
      <c r="F718" s="106" t="s">
        <v>2018</v>
      </c>
      <c r="G718" s="8"/>
      <c r="H718" s="8"/>
      <c r="I718" s="107">
        <v>0</v>
      </c>
      <c r="J718" s="8" t="s">
        <v>2019</v>
      </c>
    </row>
    <row r="719" spans="1:10" ht="16.5" customHeight="1" x14ac:dyDescent="0.25">
      <c r="A719" s="8" t="s">
        <v>4325</v>
      </c>
      <c r="B719" s="8" t="s">
        <v>4326</v>
      </c>
      <c r="C719" s="8" t="s">
        <v>4327</v>
      </c>
      <c r="D719" s="8" t="s">
        <v>4326</v>
      </c>
      <c r="E719" s="105">
        <v>15</v>
      </c>
      <c r="F719" s="106" t="s">
        <v>2024</v>
      </c>
      <c r="G719" s="8"/>
      <c r="H719" s="8"/>
      <c r="I719" s="107">
        <v>0</v>
      </c>
      <c r="J719" s="8" t="s">
        <v>2019</v>
      </c>
    </row>
    <row r="720" spans="1:10" ht="16.5" customHeight="1" x14ac:dyDescent="0.25">
      <c r="A720" s="8" t="s">
        <v>4328</v>
      </c>
      <c r="B720" s="8" t="s">
        <v>4329</v>
      </c>
      <c r="C720" s="8" t="s">
        <v>4330</v>
      </c>
      <c r="D720" s="8" t="s">
        <v>4329</v>
      </c>
      <c r="E720" s="105">
        <v>15</v>
      </c>
      <c r="F720" s="106" t="s">
        <v>2024</v>
      </c>
      <c r="G720" s="8"/>
      <c r="H720" s="8"/>
      <c r="I720" s="107">
        <v>0</v>
      </c>
      <c r="J720" s="8" t="s">
        <v>2019</v>
      </c>
    </row>
    <row r="721" spans="1:10" ht="16.5" customHeight="1" x14ac:dyDescent="0.25">
      <c r="A721" s="8" t="s">
        <v>4331</v>
      </c>
      <c r="B721" s="8" t="s">
        <v>4332</v>
      </c>
      <c r="C721" s="8" t="s">
        <v>4333</v>
      </c>
      <c r="D721" s="8" t="s">
        <v>4332</v>
      </c>
      <c r="E721" s="105">
        <v>15</v>
      </c>
      <c r="F721" s="106" t="s">
        <v>2018</v>
      </c>
      <c r="G721" s="8"/>
      <c r="H721" s="8"/>
      <c r="I721" s="107">
        <v>0</v>
      </c>
      <c r="J721" s="8" t="s">
        <v>2019</v>
      </c>
    </row>
    <row r="722" spans="1:10" ht="16.5" customHeight="1" x14ac:dyDescent="0.25">
      <c r="A722" s="8" t="s">
        <v>4334</v>
      </c>
      <c r="B722" s="8" t="s">
        <v>4335</v>
      </c>
      <c r="C722" s="8" t="s">
        <v>4335</v>
      </c>
      <c r="D722" s="8" t="s">
        <v>4335</v>
      </c>
      <c r="E722" s="105">
        <v>15</v>
      </c>
      <c r="F722" s="106" t="s">
        <v>2024</v>
      </c>
      <c r="G722" s="8"/>
      <c r="H722" s="8"/>
      <c r="I722" s="107">
        <v>0</v>
      </c>
      <c r="J722" s="8" t="s">
        <v>2019</v>
      </c>
    </row>
    <row r="723" spans="1:10" ht="16.5" customHeight="1" x14ac:dyDescent="0.25">
      <c r="A723" s="8" t="s">
        <v>4336</v>
      </c>
      <c r="B723" s="8" t="s">
        <v>4337</v>
      </c>
      <c r="C723" s="8" t="s">
        <v>4338</v>
      </c>
      <c r="D723" s="8" t="s">
        <v>4337</v>
      </c>
      <c r="E723" s="105">
        <v>18</v>
      </c>
      <c r="F723" s="106" t="s">
        <v>2018</v>
      </c>
      <c r="G723" s="8"/>
      <c r="H723" s="8"/>
      <c r="I723" s="107">
        <v>0</v>
      </c>
      <c r="J723" s="8" t="s">
        <v>2019</v>
      </c>
    </row>
    <row r="724" spans="1:10" ht="16.5" customHeight="1" x14ac:dyDescent="0.25">
      <c r="A724" s="8" t="s">
        <v>4339</v>
      </c>
      <c r="B724" s="8" t="s">
        <v>4340</v>
      </c>
      <c r="C724" s="8" t="s">
        <v>4341</v>
      </c>
      <c r="D724" s="8" t="s">
        <v>4340</v>
      </c>
      <c r="E724" s="105">
        <v>190</v>
      </c>
      <c r="F724" s="106" t="s">
        <v>2024</v>
      </c>
      <c r="G724" s="8"/>
      <c r="H724" s="8"/>
      <c r="I724" s="107">
        <v>0</v>
      </c>
      <c r="J724" s="8" t="s">
        <v>2019</v>
      </c>
    </row>
    <row r="725" spans="1:10" ht="16.5" customHeight="1" x14ac:dyDescent="0.25">
      <c r="A725" s="8" t="s">
        <v>4342</v>
      </c>
      <c r="B725" s="8" t="s">
        <v>4343</v>
      </c>
      <c r="C725" s="8" t="s">
        <v>4344</v>
      </c>
      <c r="D725" s="8" t="s">
        <v>4343</v>
      </c>
      <c r="E725" s="105">
        <v>20</v>
      </c>
      <c r="F725" s="106" t="s">
        <v>2024</v>
      </c>
      <c r="G725" s="8"/>
      <c r="H725" s="8"/>
      <c r="I725" s="107">
        <v>0</v>
      </c>
      <c r="J725" s="8" t="s">
        <v>2019</v>
      </c>
    </row>
    <row r="726" spans="1:10" ht="16.5" customHeight="1" x14ac:dyDescent="0.25">
      <c r="A726" s="8" t="s">
        <v>4345</v>
      </c>
      <c r="B726" s="8" t="s">
        <v>4346</v>
      </c>
      <c r="C726" s="8" t="s">
        <v>4347</v>
      </c>
      <c r="D726" s="8" t="s">
        <v>4346</v>
      </c>
      <c r="E726" s="105">
        <v>18.2</v>
      </c>
      <c r="F726" s="106" t="s">
        <v>2024</v>
      </c>
      <c r="G726" s="8"/>
      <c r="H726" s="8"/>
      <c r="I726" s="107">
        <v>0</v>
      </c>
      <c r="J726" s="8" t="s">
        <v>2019</v>
      </c>
    </row>
    <row r="727" spans="1:10" ht="16.5" customHeight="1" x14ac:dyDescent="0.25">
      <c r="A727" s="8" t="s">
        <v>4348</v>
      </c>
      <c r="B727" s="8" t="s">
        <v>4349</v>
      </c>
      <c r="C727" s="8" t="s">
        <v>4347</v>
      </c>
      <c r="D727" s="8" t="s">
        <v>4349</v>
      </c>
      <c r="E727" s="105">
        <v>18.2</v>
      </c>
      <c r="F727" s="106" t="s">
        <v>2024</v>
      </c>
      <c r="G727" s="8"/>
      <c r="H727" s="8"/>
      <c r="I727" s="107">
        <v>0</v>
      </c>
      <c r="J727" s="8" t="s">
        <v>2019</v>
      </c>
    </row>
    <row r="728" spans="1:10" ht="16.5" customHeight="1" x14ac:dyDescent="0.25">
      <c r="A728" s="8" t="s">
        <v>4350</v>
      </c>
      <c r="B728" s="8" t="s">
        <v>4351</v>
      </c>
      <c r="C728" s="8" t="s">
        <v>2914</v>
      </c>
      <c r="D728" s="8" t="s">
        <v>4351</v>
      </c>
      <c r="E728" s="105">
        <v>10.92</v>
      </c>
      <c r="F728" s="106" t="s">
        <v>2024</v>
      </c>
      <c r="G728" s="8"/>
      <c r="H728" s="8"/>
      <c r="I728" s="107">
        <v>0</v>
      </c>
      <c r="J728" s="8" t="s">
        <v>2019</v>
      </c>
    </row>
    <row r="729" spans="1:10" ht="16.5" customHeight="1" x14ac:dyDescent="0.25">
      <c r="A729" s="8" t="s">
        <v>4352</v>
      </c>
      <c r="B729" s="8" t="s">
        <v>4353</v>
      </c>
      <c r="C729" s="8" t="s">
        <v>4354</v>
      </c>
      <c r="D729" s="8" t="s">
        <v>4353</v>
      </c>
      <c r="E729" s="105">
        <v>10.92</v>
      </c>
      <c r="F729" s="106" t="s">
        <v>2024</v>
      </c>
      <c r="G729" s="8"/>
      <c r="H729" s="8"/>
      <c r="I729" s="107">
        <v>0</v>
      </c>
      <c r="J729" s="8" t="s">
        <v>2019</v>
      </c>
    </row>
    <row r="730" spans="1:10" ht="16.5" customHeight="1" x14ac:dyDescent="0.25">
      <c r="A730" s="8" t="s">
        <v>4355</v>
      </c>
      <c r="B730" s="8" t="s">
        <v>4356</v>
      </c>
      <c r="C730" s="8" t="s">
        <v>2918</v>
      </c>
      <c r="D730" s="8" t="s">
        <v>4356</v>
      </c>
      <c r="E730" s="105">
        <v>18.2</v>
      </c>
      <c r="F730" s="106" t="s">
        <v>2024</v>
      </c>
      <c r="G730" s="8"/>
      <c r="H730" s="8"/>
      <c r="I730" s="107">
        <v>0</v>
      </c>
      <c r="J730" s="8" t="s">
        <v>2019</v>
      </c>
    </row>
    <row r="731" spans="1:10" ht="16.5" customHeight="1" x14ac:dyDescent="0.25">
      <c r="A731" s="8" t="s">
        <v>4357</v>
      </c>
      <c r="B731" s="8" t="s">
        <v>4358</v>
      </c>
      <c r="C731" s="8" t="s">
        <v>2817</v>
      </c>
      <c r="D731" s="8" t="s">
        <v>4358</v>
      </c>
      <c r="E731" s="105">
        <v>25</v>
      </c>
      <c r="F731" s="106" t="s">
        <v>2018</v>
      </c>
      <c r="G731" s="8"/>
      <c r="H731" s="8"/>
      <c r="I731" s="107">
        <v>0</v>
      </c>
      <c r="J731" s="8" t="s">
        <v>2019</v>
      </c>
    </row>
    <row r="732" spans="1:10" ht="16.5" customHeight="1" x14ac:dyDescent="0.25">
      <c r="A732" s="8" t="s">
        <v>4359</v>
      </c>
      <c r="B732" s="8" t="s">
        <v>4360</v>
      </c>
      <c r="C732" s="8" t="s">
        <v>2817</v>
      </c>
      <c r="D732" s="8" t="s">
        <v>4360</v>
      </c>
      <c r="E732" s="105">
        <v>25</v>
      </c>
      <c r="F732" s="106" t="s">
        <v>2018</v>
      </c>
      <c r="G732" s="8"/>
      <c r="H732" s="8"/>
      <c r="I732" s="107">
        <v>0</v>
      </c>
      <c r="J732" s="8" t="s">
        <v>2019</v>
      </c>
    </row>
    <row r="733" spans="1:10" ht="16.5" customHeight="1" x14ac:dyDescent="0.25">
      <c r="A733" s="8" t="s">
        <v>4361</v>
      </c>
      <c r="B733" s="8" t="s">
        <v>4362</v>
      </c>
      <c r="C733" s="8" t="s">
        <v>4363</v>
      </c>
      <c r="D733" s="8" t="s">
        <v>4362</v>
      </c>
      <c r="E733" s="105">
        <v>10.944000000000001</v>
      </c>
      <c r="F733" s="106" t="s">
        <v>2024</v>
      </c>
      <c r="G733" s="8"/>
      <c r="H733" s="8"/>
      <c r="I733" s="107">
        <v>0</v>
      </c>
      <c r="J733" s="8" t="s">
        <v>2019</v>
      </c>
    </row>
    <row r="734" spans="1:10" ht="16.5" customHeight="1" x14ac:dyDescent="0.25">
      <c r="A734" s="8" t="s">
        <v>4364</v>
      </c>
      <c r="B734" s="8" t="s">
        <v>4365</v>
      </c>
      <c r="C734" s="8" t="s">
        <v>4366</v>
      </c>
      <c r="D734" s="8" t="s">
        <v>4365</v>
      </c>
      <c r="E734" s="105">
        <v>10.944000000000001</v>
      </c>
      <c r="F734" s="106" t="s">
        <v>2024</v>
      </c>
      <c r="G734" s="8"/>
      <c r="H734" s="8"/>
      <c r="I734" s="107">
        <v>0</v>
      </c>
      <c r="J734" s="8" t="s">
        <v>2019</v>
      </c>
    </row>
    <row r="735" spans="1:10" ht="16.5" customHeight="1" x14ac:dyDescent="0.25">
      <c r="A735" s="8" t="s">
        <v>4367</v>
      </c>
      <c r="B735" s="8" t="s">
        <v>4368</v>
      </c>
      <c r="C735" s="8" t="s">
        <v>4369</v>
      </c>
      <c r="D735" s="8" t="s">
        <v>4368</v>
      </c>
      <c r="E735" s="105">
        <v>18.239999999999998</v>
      </c>
      <c r="F735" s="106" t="s">
        <v>2024</v>
      </c>
      <c r="G735" s="8"/>
      <c r="H735" s="8"/>
      <c r="I735" s="107">
        <v>0</v>
      </c>
      <c r="J735" s="8" t="s">
        <v>2019</v>
      </c>
    </row>
    <row r="736" spans="1:10" ht="16.5" customHeight="1" x14ac:dyDescent="0.25">
      <c r="A736" s="8" t="s">
        <v>4370</v>
      </c>
      <c r="B736" s="8" t="s">
        <v>4371</v>
      </c>
      <c r="C736" s="8" t="s">
        <v>2757</v>
      </c>
      <c r="D736" s="8" t="s">
        <v>4371</v>
      </c>
      <c r="E736" s="105">
        <v>6.8250000000000002</v>
      </c>
      <c r="F736" s="106" t="s">
        <v>2024</v>
      </c>
      <c r="G736" s="8"/>
      <c r="H736" s="8"/>
      <c r="I736" s="107">
        <v>0</v>
      </c>
      <c r="J736" s="8" t="s">
        <v>2019</v>
      </c>
    </row>
    <row r="737" spans="1:10" ht="16.5" customHeight="1" x14ac:dyDescent="0.25">
      <c r="A737" s="8" t="s">
        <v>4372</v>
      </c>
      <c r="B737" s="8" t="s">
        <v>4373</v>
      </c>
      <c r="C737" s="8" t="s">
        <v>2624</v>
      </c>
      <c r="D737" s="8" t="s">
        <v>4373</v>
      </c>
      <c r="E737" s="105">
        <v>10.92</v>
      </c>
      <c r="F737" s="106" t="s">
        <v>2024</v>
      </c>
      <c r="G737" s="8"/>
      <c r="H737" s="8"/>
      <c r="I737" s="107">
        <v>0</v>
      </c>
      <c r="J737" s="8" t="s">
        <v>2019</v>
      </c>
    </row>
    <row r="738" spans="1:10" ht="16.5" customHeight="1" x14ac:dyDescent="0.25">
      <c r="A738" s="8" t="s">
        <v>4374</v>
      </c>
      <c r="B738" s="8" t="s">
        <v>4375</v>
      </c>
      <c r="C738" s="8" t="s">
        <v>2631</v>
      </c>
      <c r="D738" s="8" t="s">
        <v>4375</v>
      </c>
      <c r="E738" s="105">
        <v>10.92</v>
      </c>
      <c r="F738" s="106" t="s">
        <v>2024</v>
      </c>
      <c r="G738" s="8"/>
      <c r="H738" s="8"/>
      <c r="I738" s="107">
        <v>0</v>
      </c>
      <c r="J738" s="8" t="s">
        <v>2019</v>
      </c>
    </row>
    <row r="739" spans="1:10" ht="16.5" customHeight="1" x14ac:dyDescent="0.25">
      <c r="A739" s="8" t="s">
        <v>4376</v>
      </c>
      <c r="B739" s="8" t="s">
        <v>4377</v>
      </c>
      <c r="C739" s="8" t="s">
        <v>2638</v>
      </c>
      <c r="D739" s="8" t="s">
        <v>4377</v>
      </c>
      <c r="E739" s="105">
        <v>18.2</v>
      </c>
      <c r="F739" s="106" t="s">
        <v>2024</v>
      </c>
      <c r="G739" s="8"/>
      <c r="H739" s="8"/>
      <c r="I739" s="107">
        <v>0</v>
      </c>
      <c r="J739" s="8" t="s">
        <v>2019</v>
      </c>
    </row>
    <row r="740" spans="1:10" ht="16.5" customHeight="1" x14ac:dyDescent="0.25">
      <c r="A740" s="8" t="s">
        <v>4378</v>
      </c>
      <c r="B740" s="8" t="s">
        <v>4379</v>
      </c>
      <c r="C740" s="8" t="s">
        <v>2659</v>
      </c>
      <c r="D740" s="8" t="s">
        <v>4379</v>
      </c>
      <c r="E740" s="105">
        <v>0.36399999999999999</v>
      </c>
      <c r="F740" s="106" t="s">
        <v>2024</v>
      </c>
      <c r="G740" s="8"/>
      <c r="H740" s="8"/>
      <c r="I740" s="107">
        <v>0</v>
      </c>
      <c r="J740" s="8" t="s">
        <v>2019</v>
      </c>
    </row>
    <row r="741" spans="1:10" ht="16.5" customHeight="1" x14ac:dyDescent="0.25">
      <c r="A741" s="8" t="s">
        <v>4380</v>
      </c>
      <c r="B741" s="8" t="s">
        <v>4381</v>
      </c>
      <c r="C741" s="8" t="s">
        <v>2617</v>
      </c>
      <c r="D741" s="8" t="s">
        <v>4381</v>
      </c>
      <c r="E741" s="105">
        <v>0.22700000000000001</v>
      </c>
      <c r="F741" s="106" t="s">
        <v>2024</v>
      </c>
      <c r="G741" s="8"/>
      <c r="H741" s="8"/>
      <c r="I741" s="107">
        <v>0</v>
      </c>
      <c r="J741" s="8" t="s">
        <v>2019</v>
      </c>
    </row>
    <row r="742" spans="1:10" ht="16.5" customHeight="1" x14ac:dyDescent="0.25">
      <c r="A742" s="8" t="s">
        <v>4382</v>
      </c>
      <c r="B742" s="8" t="s">
        <v>4383</v>
      </c>
      <c r="C742" s="8" t="s">
        <v>2624</v>
      </c>
      <c r="D742" s="8" t="s">
        <v>4383</v>
      </c>
      <c r="E742" s="105">
        <v>0.91</v>
      </c>
      <c r="F742" s="106" t="s">
        <v>2024</v>
      </c>
      <c r="G742" s="8"/>
      <c r="H742" s="8"/>
      <c r="I742" s="107">
        <v>0</v>
      </c>
      <c r="J742" s="8" t="s">
        <v>2019</v>
      </c>
    </row>
    <row r="743" spans="1:10" ht="16.5" customHeight="1" x14ac:dyDescent="0.25">
      <c r="A743" s="8" t="s">
        <v>4384</v>
      </c>
      <c r="B743" s="8" t="s">
        <v>4385</v>
      </c>
      <c r="C743" s="8" t="s">
        <v>2624</v>
      </c>
      <c r="D743" s="8" t="s">
        <v>4385</v>
      </c>
      <c r="E743" s="105">
        <v>10.92</v>
      </c>
      <c r="F743" s="106" t="s">
        <v>2024</v>
      </c>
      <c r="G743" s="8"/>
      <c r="H743" s="8"/>
      <c r="I743" s="107">
        <v>0</v>
      </c>
      <c r="J743" s="8" t="s">
        <v>2019</v>
      </c>
    </row>
    <row r="744" spans="1:10" ht="16.5" customHeight="1" x14ac:dyDescent="0.25">
      <c r="A744" s="8" t="s">
        <v>4386</v>
      </c>
      <c r="B744" s="8" t="s">
        <v>4387</v>
      </c>
      <c r="C744" s="8" t="s">
        <v>2631</v>
      </c>
      <c r="D744" s="8" t="s">
        <v>4387</v>
      </c>
      <c r="E744" s="105">
        <v>10.92</v>
      </c>
      <c r="F744" s="106" t="s">
        <v>2024</v>
      </c>
      <c r="G744" s="8"/>
      <c r="H744" s="8"/>
      <c r="I744" s="107">
        <v>0</v>
      </c>
      <c r="J744" s="8" t="s">
        <v>2019</v>
      </c>
    </row>
    <row r="745" spans="1:10" ht="16.5" customHeight="1" x14ac:dyDescent="0.25">
      <c r="A745" s="8" t="s">
        <v>4388</v>
      </c>
      <c r="B745" s="8" t="s">
        <v>4389</v>
      </c>
      <c r="C745" s="8" t="s">
        <v>2638</v>
      </c>
      <c r="D745" s="8" t="s">
        <v>4389</v>
      </c>
      <c r="E745" s="105">
        <v>18.2</v>
      </c>
      <c r="F745" s="106" t="s">
        <v>2024</v>
      </c>
      <c r="G745" s="8"/>
      <c r="H745" s="8"/>
      <c r="I745" s="107">
        <v>0</v>
      </c>
      <c r="J745" s="8" t="s">
        <v>2019</v>
      </c>
    </row>
    <row r="746" spans="1:10" ht="16.5" customHeight="1" x14ac:dyDescent="0.25">
      <c r="A746" s="8" t="s">
        <v>4390</v>
      </c>
      <c r="B746" s="8" t="s">
        <v>4391</v>
      </c>
      <c r="C746" s="8" t="s">
        <v>2659</v>
      </c>
      <c r="D746" s="8" t="s">
        <v>4391</v>
      </c>
      <c r="E746" s="105">
        <v>0.36399999999999999</v>
      </c>
      <c r="F746" s="106" t="s">
        <v>2024</v>
      </c>
      <c r="G746" s="8"/>
      <c r="H746" s="8"/>
      <c r="I746" s="107">
        <v>0</v>
      </c>
      <c r="J746" s="8" t="s">
        <v>2019</v>
      </c>
    </row>
    <row r="747" spans="1:10" ht="16.5" customHeight="1" x14ac:dyDescent="0.25">
      <c r="A747" s="8" t="s">
        <v>4392</v>
      </c>
      <c r="B747" s="8" t="s">
        <v>4393</v>
      </c>
      <c r="C747" s="8" t="s">
        <v>2659</v>
      </c>
      <c r="D747" s="8" t="s">
        <v>4393</v>
      </c>
      <c r="E747" s="105">
        <v>7.28</v>
      </c>
      <c r="F747" s="106" t="s">
        <v>2024</v>
      </c>
      <c r="G747" s="8"/>
      <c r="H747" s="8"/>
      <c r="I747" s="107">
        <v>0</v>
      </c>
      <c r="J747" s="8" t="s">
        <v>2019</v>
      </c>
    </row>
    <row r="748" spans="1:10" ht="16.5" customHeight="1" x14ac:dyDescent="0.25">
      <c r="A748" s="8" t="s">
        <v>4394</v>
      </c>
      <c r="B748" s="8" t="s">
        <v>4395</v>
      </c>
      <c r="C748" s="8" t="s">
        <v>2624</v>
      </c>
      <c r="D748" s="8" t="s">
        <v>4395</v>
      </c>
      <c r="E748" s="105">
        <v>0.91</v>
      </c>
      <c r="F748" s="106" t="s">
        <v>2024</v>
      </c>
      <c r="G748" s="8"/>
      <c r="H748" s="8"/>
      <c r="I748" s="107">
        <v>0</v>
      </c>
      <c r="J748" s="8" t="s">
        <v>2019</v>
      </c>
    </row>
    <row r="749" spans="1:10" ht="16.5" customHeight="1" x14ac:dyDescent="0.25">
      <c r="A749" s="8" t="s">
        <v>4396</v>
      </c>
      <c r="B749" s="8" t="s">
        <v>4397</v>
      </c>
      <c r="C749" s="8" t="s">
        <v>2631</v>
      </c>
      <c r="D749" s="8" t="s">
        <v>4397</v>
      </c>
      <c r="E749" s="105">
        <v>10.92</v>
      </c>
      <c r="F749" s="106" t="s">
        <v>2024</v>
      </c>
      <c r="G749" s="8"/>
      <c r="H749" s="8"/>
      <c r="I749" s="107">
        <v>0</v>
      </c>
      <c r="J749" s="8" t="s">
        <v>2019</v>
      </c>
    </row>
    <row r="750" spans="1:10" ht="16.5" customHeight="1" x14ac:dyDescent="0.25">
      <c r="A750" s="8" t="s">
        <v>4398</v>
      </c>
      <c r="B750" s="8" t="s">
        <v>4399</v>
      </c>
      <c r="C750" s="8" t="s">
        <v>2638</v>
      </c>
      <c r="D750" s="8" t="s">
        <v>4399</v>
      </c>
      <c r="E750" s="105">
        <v>18.2</v>
      </c>
      <c r="F750" s="106" t="s">
        <v>2024</v>
      </c>
      <c r="G750" s="8"/>
      <c r="H750" s="8"/>
      <c r="I750" s="107">
        <v>0</v>
      </c>
      <c r="J750" s="8" t="s">
        <v>2019</v>
      </c>
    </row>
    <row r="751" spans="1:10" ht="16.5" customHeight="1" x14ac:dyDescent="0.25">
      <c r="A751" s="8" t="s">
        <v>4400</v>
      </c>
      <c r="B751" s="8" t="s">
        <v>4401</v>
      </c>
      <c r="C751" s="8" t="s">
        <v>2659</v>
      </c>
      <c r="D751" s="8" t="s">
        <v>4401</v>
      </c>
      <c r="E751" s="105">
        <v>0.36399999999999999</v>
      </c>
      <c r="F751" s="106" t="s">
        <v>2024</v>
      </c>
      <c r="G751" s="8"/>
      <c r="H751" s="8"/>
      <c r="I751" s="107">
        <v>0</v>
      </c>
      <c r="J751" s="8" t="s">
        <v>2019</v>
      </c>
    </row>
    <row r="752" spans="1:10" ht="16.5" customHeight="1" x14ac:dyDescent="0.25">
      <c r="A752" s="8" t="s">
        <v>4402</v>
      </c>
      <c r="B752" s="8" t="s">
        <v>4403</v>
      </c>
      <c r="C752" s="8" t="s">
        <v>2659</v>
      </c>
      <c r="D752" s="8" t="s">
        <v>4403</v>
      </c>
      <c r="E752" s="105">
        <v>7.28</v>
      </c>
      <c r="F752" s="106" t="s">
        <v>2024</v>
      </c>
      <c r="G752" s="8"/>
      <c r="H752" s="8"/>
      <c r="I752" s="107">
        <v>0</v>
      </c>
      <c r="J752" s="8" t="s">
        <v>2019</v>
      </c>
    </row>
    <row r="753" spans="1:10" ht="16.5" customHeight="1" x14ac:dyDescent="0.25">
      <c r="A753" s="8" t="s">
        <v>4404</v>
      </c>
      <c r="B753" s="8" t="s">
        <v>4405</v>
      </c>
      <c r="C753" s="8" t="s">
        <v>4406</v>
      </c>
      <c r="D753" s="8" t="s">
        <v>4405</v>
      </c>
      <c r="E753" s="105">
        <v>10.92</v>
      </c>
      <c r="F753" s="106" t="s">
        <v>2024</v>
      </c>
      <c r="G753" s="8"/>
      <c r="H753" s="8"/>
      <c r="I753" s="107">
        <v>0</v>
      </c>
      <c r="J753" s="8" t="s">
        <v>2019</v>
      </c>
    </row>
    <row r="754" spans="1:10" ht="16.5" customHeight="1" x14ac:dyDescent="0.25">
      <c r="A754" s="8" t="s">
        <v>4407</v>
      </c>
      <c r="B754" s="8" t="s">
        <v>4408</v>
      </c>
      <c r="C754" s="8" t="s">
        <v>4409</v>
      </c>
      <c r="D754" s="8" t="s">
        <v>4408</v>
      </c>
      <c r="E754" s="105">
        <v>10.92</v>
      </c>
      <c r="F754" s="106" t="s">
        <v>2024</v>
      </c>
      <c r="G754" s="8"/>
      <c r="H754" s="8"/>
      <c r="I754" s="107">
        <v>0</v>
      </c>
      <c r="J754" s="8" t="s">
        <v>2019</v>
      </c>
    </row>
    <row r="755" spans="1:10" ht="16.5" customHeight="1" x14ac:dyDescent="0.25">
      <c r="A755" s="8" t="s">
        <v>4410</v>
      </c>
      <c r="B755" s="8" t="s">
        <v>4411</v>
      </c>
      <c r="C755" s="8" t="s">
        <v>4412</v>
      </c>
      <c r="D755" s="8" t="s">
        <v>4411</v>
      </c>
      <c r="E755" s="105">
        <v>18.2</v>
      </c>
      <c r="F755" s="106" t="s">
        <v>2024</v>
      </c>
      <c r="G755" s="8"/>
      <c r="H755" s="8"/>
      <c r="I755" s="107">
        <v>0</v>
      </c>
      <c r="J755" s="8" t="s">
        <v>2019</v>
      </c>
    </row>
    <row r="756" spans="1:10" ht="16.5" customHeight="1" x14ac:dyDescent="0.25">
      <c r="A756" s="8" t="s">
        <v>4413</v>
      </c>
      <c r="B756" s="8" t="s">
        <v>4414</v>
      </c>
      <c r="C756" s="8" t="s">
        <v>4147</v>
      </c>
      <c r="D756" s="8" t="s">
        <v>4414</v>
      </c>
      <c r="E756" s="105">
        <v>0.91</v>
      </c>
      <c r="F756" s="106" t="s">
        <v>2024</v>
      </c>
      <c r="G756" s="8"/>
      <c r="H756" s="8"/>
      <c r="I756" s="107">
        <v>0</v>
      </c>
      <c r="J756" s="8" t="s">
        <v>2019</v>
      </c>
    </row>
    <row r="757" spans="1:10" ht="16.5" customHeight="1" x14ac:dyDescent="0.25">
      <c r="A757" s="8" t="s">
        <v>4415</v>
      </c>
      <c r="B757" s="8" t="s">
        <v>4416</v>
      </c>
      <c r="C757" s="8" t="s">
        <v>4147</v>
      </c>
      <c r="D757" s="8" t="s">
        <v>4416</v>
      </c>
      <c r="E757" s="105">
        <v>0.91</v>
      </c>
      <c r="F757" s="106" t="s">
        <v>2024</v>
      </c>
      <c r="G757" s="8"/>
      <c r="H757" s="8"/>
      <c r="I757" s="107">
        <v>0</v>
      </c>
      <c r="J757" s="8" t="s">
        <v>2019</v>
      </c>
    </row>
    <row r="758" spans="1:10" ht="16.5" customHeight="1" x14ac:dyDescent="0.25">
      <c r="A758" s="8" t="s">
        <v>4417</v>
      </c>
      <c r="B758" s="8" t="s">
        <v>4418</v>
      </c>
      <c r="C758" s="8" t="s">
        <v>4152</v>
      </c>
      <c r="D758" s="8" t="s">
        <v>4418</v>
      </c>
      <c r="E758" s="105">
        <v>1.82</v>
      </c>
      <c r="F758" s="106" t="s">
        <v>2024</v>
      </c>
      <c r="G758" s="8"/>
      <c r="H758" s="8"/>
      <c r="I758" s="107">
        <v>0</v>
      </c>
      <c r="J758" s="8" t="s">
        <v>2019</v>
      </c>
    </row>
    <row r="759" spans="1:10" ht="16.5" customHeight="1" x14ac:dyDescent="0.25">
      <c r="A759" s="8" t="s">
        <v>4419</v>
      </c>
      <c r="B759" s="8" t="s">
        <v>4420</v>
      </c>
      <c r="C759" s="8" t="s">
        <v>4155</v>
      </c>
      <c r="D759" s="8" t="s">
        <v>4420</v>
      </c>
      <c r="E759" s="105">
        <v>4.55</v>
      </c>
      <c r="F759" s="106" t="s">
        <v>2024</v>
      </c>
      <c r="G759" s="8"/>
      <c r="H759" s="8"/>
      <c r="I759" s="107">
        <v>0</v>
      </c>
      <c r="J759" s="8" t="s">
        <v>2019</v>
      </c>
    </row>
    <row r="760" spans="1:10" ht="16.5" customHeight="1" x14ac:dyDescent="0.25">
      <c r="A760" s="8" t="s">
        <v>4421</v>
      </c>
      <c r="B760" s="8" t="s">
        <v>4422</v>
      </c>
      <c r="C760" s="8" t="s">
        <v>4423</v>
      </c>
      <c r="D760" s="8" t="s">
        <v>4422</v>
      </c>
      <c r="E760" s="105">
        <v>10.92</v>
      </c>
      <c r="F760" s="106" t="s">
        <v>2024</v>
      </c>
      <c r="G760" s="8"/>
      <c r="H760" s="8"/>
      <c r="I760" s="107">
        <v>0</v>
      </c>
      <c r="J760" s="8" t="s">
        <v>2019</v>
      </c>
    </row>
    <row r="761" spans="1:10" ht="16.5" customHeight="1" x14ac:dyDescent="0.25">
      <c r="A761" s="8" t="s">
        <v>4424</v>
      </c>
      <c r="B761" s="8" t="s">
        <v>4425</v>
      </c>
      <c r="C761" s="8" t="s">
        <v>4426</v>
      </c>
      <c r="D761" s="8" t="s">
        <v>4425</v>
      </c>
      <c r="E761" s="105">
        <v>10.92</v>
      </c>
      <c r="F761" s="106" t="s">
        <v>2024</v>
      </c>
      <c r="G761" s="8"/>
      <c r="H761" s="8"/>
      <c r="I761" s="107">
        <v>0</v>
      </c>
      <c r="J761" s="8" t="s">
        <v>2019</v>
      </c>
    </row>
    <row r="762" spans="1:10" ht="16.5" customHeight="1" x14ac:dyDescent="0.25">
      <c r="A762" s="8" t="s">
        <v>4427</v>
      </c>
      <c r="B762" s="8" t="s">
        <v>4428</v>
      </c>
      <c r="C762" s="8" t="s">
        <v>4429</v>
      </c>
      <c r="D762" s="8" t="s">
        <v>4428</v>
      </c>
      <c r="E762" s="105">
        <v>18.2</v>
      </c>
      <c r="F762" s="106" t="s">
        <v>2024</v>
      </c>
      <c r="G762" s="8"/>
      <c r="H762" s="8"/>
      <c r="I762" s="107">
        <v>0</v>
      </c>
      <c r="J762" s="8" t="s">
        <v>2019</v>
      </c>
    </row>
    <row r="763" spans="1:10" ht="16.5" customHeight="1" x14ac:dyDescent="0.25">
      <c r="A763" s="8" t="s">
        <v>4430</v>
      </c>
      <c r="B763" s="8" t="s">
        <v>4431</v>
      </c>
      <c r="C763" s="8" t="s">
        <v>4432</v>
      </c>
      <c r="D763" s="8" t="s">
        <v>4431</v>
      </c>
      <c r="E763" s="105">
        <v>10.92</v>
      </c>
      <c r="F763" s="106" t="s">
        <v>2024</v>
      </c>
      <c r="G763" s="8"/>
      <c r="H763" s="8"/>
      <c r="I763" s="107">
        <v>0</v>
      </c>
      <c r="J763" s="8" t="s">
        <v>2019</v>
      </c>
    </row>
    <row r="764" spans="1:10" ht="16.5" customHeight="1" x14ac:dyDescent="0.25">
      <c r="A764" s="8" t="s">
        <v>4433</v>
      </c>
      <c r="B764" s="8" t="s">
        <v>4434</v>
      </c>
      <c r="C764" s="8" t="s">
        <v>4435</v>
      </c>
      <c r="D764" s="8" t="s">
        <v>4434</v>
      </c>
      <c r="E764" s="105">
        <v>10.92</v>
      </c>
      <c r="F764" s="106" t="s">
        <v>2024</v>
      </c>
      <c r="G764" s="8"/>
      <c r="H764" s="8"/>
      <c r="I764" s="107">
        <v>0</v>
      </c>
      <c r="J764" s="8" t="s">
        <v>2019</v>
      </c>
    </row>
    <row r="765" spans="1:10" ht="16.5" customHeight="1" x14ac:dyDescent="0.25">
      <c r="A765" s="8" t="s">
        <v>4436</v>
      </c>
      <c r="B765" s="8" t="s">
        <v>4437</v>
      </c>
      <c r="C765" s="8" t="s">
        <v>4438</v>
      </c>
      <c r="D765" s="8" t="s">
        <v>4437</v>
      </c>
      <c r="E765" s="105">
        <v>18.2</v>
      </c>
      <c r="F765" s="106" t="s">
        <v>2024</v>
      </c>
      <c r="G765" s="8"/>
      <c r="H765" s="8"/>
      <c r="I765" s="107">
        <v>0</v>
      </c>
      <c r="J765" s="8" t="s">
        <v>2019</v>
      </c>
    </row>
    <row r="766" spans="1:10" ht="16.5" customHeight="1" x14ac:dyDescent="0.25">
      <c r="A766" s="8" t="s">
        <v>4439</v>
      </c>
      <c r="B766" s="8" t="s">
        <v>4440</v>
      </c>
      <c r="C766" s="8" t="s">
        <v>4441</v>
      </c>
      <c r="D766" s="8" t="s">
        <v>4440</v>
      </c>
      <c r="E766" s="105">
        <v>11</v>
      </c>
      <c r="F766" s="106" t="s">
        <v>2024</v>
      </c>
      <c r="G766" s="8"/>
      <c r="H766" s="8"/>
      <c r="I766" s="107">
        <v>0</v>
      </c>
      <c r="J766" s="8" t="s">
        <v>2019</v>
      </c>
    </row>
    <row r="767" spans="1:10" ht="16.5" customHeight="1" x14ac:dyDescent="0.25">
      <c r="A767" s="8" t="s">
        <v>4442</v>
      </c>
      <c r="B767" s="8" t="s">
        <v>4443</v>
      </c>
      <c r="C767" s="8" t="s">
        <v>4444</v>
      </c>
      <c r="D767" s="8" t="s">
        <v>4443</v>
      </c>
      <c r="E767" s="105">
        <v>11</v>
      </c>
      <c r="F767" s="106" t="s">
        <v>2024</v>
      </c>
      <c r="G767" s="8"/>
      <c r="H767" s="8"/>
      <c r="I767" s="107">
        <v>0</v>
      </c>
      <c r="J767" s="8" t="s">
        <v>2019</v>
      </c>
    </row>
    <row r="768" spans="1:10" ht="16.5" customHeight="1" x14ac:dyDescent="0.25">
      <c r="A768" s="8" t="s">
        <v>4445</v>
      </c>
      <c r="B768" s="8" t="s">
        <v>4446</v>
      </c>
      <c r="C768" s="8" t="s">
        <v>4447</v>
      </c>
      <c r="D768" s="8" t="s">
        <v>4446</v>
      </c>
      <c r="E768" s="105">
        <v>18.399999999999999</v>
      </c>
      <c r="F768" s="106" t="s">
        <v>2024</v>
      </c>
      <c r="G768" s="8"/>
      <c r="H768" s="8"/>
      <c r="I768" s="107">
        <v>0</v>
      </c>
      <c r="J768" s="8" t="s">
        <v>2019</v>
      </c>
    </row>
    <row r="769" spans="1:10" ht="16.5" customHeight="1" x14ac:dyDescent="0.25">
      <c r="A769" s="8" t="s">
        <v>4448</v>
      </c>
      <c r="B769" s="8" t="s">
        <v>4449</v>
      </c>
      <c r="C769" s="8" t="s">
        <v>4450</v>
      </c>
      <c r="D769" s="8" t="s">
        <v>4449</v>
      </c>
      <c r="E769" s="105">
        <v>25</v>
      </c>
      <c r="F769" s="106" t="s">
        <v>2018</v>
      </c>
      <c r="G769" s="8"/>
      <c r="H769" s="8"/>
      <c r="I769" s="107">
        <v>0</v>
      </c>
      <c r="J769" s="8" t="s">
        <v>2019</v>
      </c>
    </row>
    <row r="770" spans="1:10" ht="16.5" customHeight="1" x14ac:dyDescent="0.25">
      <c r="A770" s="8" t="s">
        <v>4451</v>
      </c>
      <c r="B770" s="8" t="s">
        <v>4452</v>
      </c>
      <c r="C770" s="8" t="s">
        <v>4453</v>
      </c>
      <c r="D770" s="8" t="s">
        <v>4452</v>
      </c>
      <c r="E770" s="105">
        <v>0.45500000000000002</v>
      </c>
      <c r="F770" s="106" t="s">
        <v>2024</v>
      </c>
      <c r="G770" s="8"/>
      <c r="H770" s="8"/>
      <c r="I770" s="107">
        <v>0</v>
      </c>
      <c r="J770" s="8" t="s">
        <v>2019</v>
      </c>
    </row>
    <row r="771" spans="1:10" ht="16.5" customHeight="1" x14ac:dyDescent="0.25">
      <c r="A771" s="8" t="s">
        <v>4454</v>
      </c>
      <c r="B771" s="8" t="s">
        <v>4455</v>
      </c>
      <c r="C771" s="8" t="s">
        <v>4453</v>
      </c>
      <c r="D771" s="8" t="s">
        <v>4455</v>
      </c>
      <c r="E771" s="105">
        <v>5.46</v>
      </c>
      <c r="F771" s="106" t="s">
        <v>2024</v>
      </c>
      <c r="G771" s="8"/>
      <c r="H771" s="8"/>
      <c r="I771" s="107">
        <v>0</v>
      </c>
      <c r="J771" s="8" t="s">
        <v>2019</v>
      </c>
    </row>
    <row r="772" spans="1:10" ht="16.5" customHeight="1" x14ac:dyDescent="0.25">
      <c r="A772" s="8" t="s">
        <v>4456</v>
      </c>
      <c r="B772" s="8" t="s">
        <v>4457</v>
      </c>
      <c r="C772" s="8" t="s">
        <v>4458</v>
      </c>
      <c r="D772" s="8" t="s">
        <v>4457</v>
      </c>
      <c r="E772" s="105">
        <v>18</v>
      </c>
      <c r="F772" s="106" t="s">
        <v>2018</v>
      </c>
      <c r="G772" s="8"/>
      <c r="H772" s="8"/>
      <c r="I772" s="107">
        <v>0</v>
      </c>
      <c r="J772" s="8" t="s">
        <v>2019</v>
      </c>
    </row>
    <row r="773" spans="1:10" ht="16.5" customHeight="1" x14ac:dyDescent="0.25">
      <c r="A773" s="8" t="s">
        <v>4459</v>
      </c>
      <c r="B773" s="8" t="s">
        <v>4460</v>
      </c>
      <c r="C773" s="8" t="s">
        <v>4460</v>
      </c>
      <c r="D773" s="8" t="s">
        <v>4460</v>
      </c>
      <c r="E773" s="105">
        <v>25</v>
      </c>
      <c r="F773" s="106" t="s">
        <v>2024</v>
      </c>
      <c r="G773" s="8"/>
      <c r="H773" s="8"/>
      <c r="I773" s="107">
        <v>0</v>
      </c>
      <c r="J773" s="8" t="s">
        <v>2019</v>
      </c>
    </row>
    <row r="774" spans="1:10" ht="16.5" customHeight="1" x14ac:dyDescent="0.25">
      <c r="A774" s="8" t="s">
        <v>4461</v>
      </c>
      <c r="B774" s="8" t="s">
        <v>4462</v>
      </c>
      <c r="C774" s="8" t="s">
        <v>4462</v>
      </c>
      <c r="D774" s="8" t="s">
        <v>4462</v>
      </c>
      <c r="E774" s="105">
        <v>0</v>
      </c>
      <c r="F774" s="106" t="s">
        <v>2024</v>
      </c>
      <c r="G774" s="8"/>
      <c r="H774" s="8"/>
      <c r="I774" s="107">
        <v>0</v>
      </c>
      <c r="J774" s="8"/>
    </row>
    <row r="775" spans="1:10" ht="16.5" customHeight="1" x14ac:dyDescent="0.25">
      <c r="A775" s="8" t="s">
        <v>4463</v>
      </c>
      <c r="B775" s="8" t="s">
        <v>4464</v>
      </c>
      <c r="C775" s="8" t="s">
        <v>4464</v>
      </c>
      <c r="D775" s="8" t="s">
        <v>4464</v>
      </c>
      <c r="E775" s="105">
        <v>0</v>
      </c>
      <c r="F775" s="106" t="s">
        <v>2024</v>
      </c>
      <c r="G775" s="8"/>
      <c r="H775" s="8"/>
      <c r="I775" s="107">
        <v>0</v>
      </c>
      <c r="J775" s="8" t="s">
        <v>2019</v>
      </c>
    </row>
    <row r="776" spans="1:10" ht="16.5" customHeight="1" x14ac:dyDescent="0.25">
      <c r="A776" s="8" t="s">
        <v>4465</v>
      </c>
      <c r="B776" s="8" t="s">
        <v>4466</v>
      </c>
      <c r="C776" s="8" t="s">
        <v>4466</v>
      </c>
      <c r="D776" s="8" t="s">
        <v>4466</v>
      </c>
      <c r="E776" s="105">
        <v>0</v>
      </c>
      <c r="F776" s="106" t="s">
        <v>2024</v>
      </c>
      <c r="G776" s="8"/>
      <c r="H776" s="8"/>
      <c r="I776" s="107">
        <v>0</v>
      </c>
      <c r="J776" s="8" t="s">
        <v>2019</v>
      </c>
    </row>
    <row r="777" spans="1:10" ht="16.5" customHeight="1" x14ac:dyDescent="0.25">
      <c r="A777" s="8" t="s">
        <v>4467</v>
      </c>
      <c r="B777" s="8" t="s">
        <v>4468</v>
      </c>
      <c r="C777" s="8" t="s">
        <v>4468</v>
      </c>
      <c r="D777" s="8" t="s">
        <v>4468</v>
      </c>
      <c r="E777" s="105">
        <v>0</v>
      </c>
      <c r="F777" s="106" t="s">
        <v>2024</v>
      </c>
      <c r="G777" s="8"/>
      <c r="H777" s="8"/>
      <c r="I777" s="107">
        <v>0</v>
      </c>
      <c r="J777" s="8" t="s">
        <v>2019</v>
      </c>
    </row>
    <row r="778" spans="1:10" ht="16.5" customHeight="1" x14ac:dyDescent="0.25">
      <c r="A778" s="8" t="s">
        <v>4469</v>
      </c>
      <c r="B778" s="8" t="s">
        <v>4470</v>
      </c>
      <c r="C778" s="8" t="s">
        <v>4471</v>
      </c>
      <c r="D778" s="8" t="s">
        <v>4470</v>
      </c>
      <c r="E778" s="105">
        <v>0</v>
      </c>
      <c r="F778" s="106" t="s">
        <v>2024</v>
      </c>
      <c r="G778" s="8"/>
      <c r="H778" s="8"/>
      <c r="I778" s="107">
        <v>0</v>
      </c>
      <c r="J778" s="8" t="s">
        <v>2019</v>
      </c>
    </row>
    <row r="779" spans="1:10" ht="16.5" customHeight="1" x14ac:dyDescent="0.25">
      <c r="A779" s="8" t="s">
        <v>4472</v>
      </c>
      <c r="B779" s="8" t="s">
        <v>4174</v>
      </c>
      <c r="C779" s="8" t="s">
        <v>4175</v>
      </c>
      <c r="D779" s="8" t="s">
        <v>4174</v>
      </c>
      <c r="E779" s="105">
        <v>0</v>
      </c>
      <c r="F779" s="106" t="s">
        <v>2024</v>
      </c>
      <c r="G779" s="8"/>
      <c r="H779" s="8"/>
      <c r="I779" s="107">
        <v>0</v>
      </c>
      <c r="J779" s="8" t="s">
        <v>2019</v>
      </c>
    </row>
    <row r="780" spans="1:10" ht="16.5" customHeight="1" x14ac:dyDescent="0.25">
      <c r="A780" s="8" t="s">
        <v>4473</v>
      </c>
      <c r="B780" s="8" t="s">
        <v>4474</v>
      </c>
      <c r="C780" s="8" t="s">
        <v>4475</v>
      </c>
      <c r="D780" s="8" t="s">
        <v>4474</v>
      </c>
      <c r="E780" s="105">
        <v>0</v>
      </c>
      <c r="F780" s="106" t="s">
        <v>2024</v>
      </c>
      <c r="G780" s="8"/>
      <c r="H780" s="8"/>
      <c r="I780" s="107">
        <v>0</v>
      </c>
      <c r="J780" s="8" t="s">
        <v>2019</v>
      </c>
    </row>
    <row r="781" spans="1:10" ht="16.5" customHeight="1" x14ac:dyDescent="0.25">
      <c r="A781" s="8" t="s">
        <v>4476</v>
      </c>
      <c r="B781" s="8" t="s">
        <v>4477</v>
      </c>
      <c r="C781" s="8" t="s">
        <v>4478</v>
      </c>
      <c r="D781" s="8" t="s">
        <v>4477</v>
      </c>
      <c r="E781" s="105">
        <v>0.253</v>
      </c>
      <c r="F781" s="106" t="s">
        <v>2024</v>
      </c>
      <c r="G781" s="8"/>
      <c r="H781" s="8"/>
      <c r="I781" s="107">
        <v>0</v>
      </c>
      <c r="J781" s="8" t="s">
        <v>2019</v>
      </c>
    </row>
    <row r="782" spans="1:10" ht="16.5" customHeight="1" x14ac:dyDescent="0.25">
      <c r="A782" s="8" t="s">
        <v>4479</v>
      </c>
      <c r="B782" s="8" t="s">
        <v>4480</v>
      </c>
      <c r="C782" s="8" t="s">
        <v>4481</v>
      </c>
      <c r="D782" s="8" t="s">
        <v>4480</v>
      </c>
      <c r="E782" s="105">
        <v>0</v>
      </c>
      <c r="F782" s="106" t="s">
        <v>2024</v>
      </c>
      <c r="G782" s="8"/>
      <c r="H782" s="8"/>
      <c r="I782" s="107">
        <v>0</v>
      </c>
      <c r="J782" s="8" t="s">
        <v>2019</v>
      </c>
    </row>
    <row r="783" spans="1:10" ht="16.5" customHeight="1" x14ac:dyDescent="0.25">
      <c r="A783" s="8" t="s">
        <v>4482</v>
      </c>
      <c r="B783" s="8" t="s">
        <v>4483</v>
      </c>
      <c r="C783" s="8" t="s">
        <v>4484</v>
      </c>
      <c r="D783" s="8" t="s">
        <v>4483</v>
      </c>
      <c r="E783" s="105">
        <v>0</v>
      </c>
      <c r="F783" s="106" t="s">
        <v>2024</v>
      </c>
      <c r="G783" s="8"/>
      <c r="H783" s="8"/>
      <c r="I783" s="107">
        <v>0</v>
      </c>
      <c r="J783" s="8" t="s">
        <v>2019</v>
      </c>
    </row>
    <row r="784" spans="1:10" ht="16.5" customHeight="1" x14ac:dyDescent="0.25">
      <c r="A784" s="8" t="s">
        <v>4485</v>
      </c>
      <c r="B784" s="8" t="s">
        <v>4486</v>
      </c>
      <c r="C784" s="8" t="s">
        <v>4487</v>
      </c>
      <c r="D784" s="8" t="s">
        <v>4486</v>
      </c>
      <c r="E784" s="105">
        <v>0</v>
      </c>
      <c r="F784" s="106" t="s">
        <v>2024</v>
      </c>
      <c r="G784" s="8"/>
      <c r="H784" s="8"/>
      <c r="I784" s="107">
        <v>0</v>
      </c>
      <c r="J784" s="8" t="s">
        <v>2019</v>
      </c>
    </row>
    <row r="785" spans="1:10" ht="16.5" customHeight="1" x14ac:dyDescent="0.25">
      <c r="A785" s="8" t="s">
        <v>4488</v>
      </c>
      <c r="B785" s="8" t="s">
        <v>4489</v>
      </c>
      <c r="C785" s="8" t="s">
        <v>4490</v>
      </c>
      <c r="D785" s="8" t="s">
        <v>4489</v>
      </c>
      <c r="E785" s="105">
        <v>0</v>
      </c>
      <c r="F785" s="106" t="s">
        <v>2024</v>
      </c>
      <c r="G785" s="8"/>
      <c r="H785" s="8"/>
      <c r="I785" s="107">
        <v>0</v>
      </c>
      <c r="J785" s="8" t="s">
        <v>2019</v>
      </c>
    </row>
    <row r="786" spans="1:10" ht="16.5" customHeight="1" x14ac:dyDescent="0.25">
      <c r="A786" s="8" t="s">
        <v>4491</v>
      </c>
      <c r="B786" s="8" t="s">
        <v>4492</v>
      </c>
      <c r="C786" s="8" t="s">
        <v>4493</v>
      </c>
      <c r="D786" s="8" t="s">
        <v>4492</v>
      </c>
      <c r="E786" s="105">
        <v>0</v>
      </c>
      <c r="F786" s="106" t="s">
        <v>2024</v>
      </c>
      <c r="G786" s="8"/>
      <c r="H786" s="8"/>
      <c r="I786" s="107">
        <v>0</v>
      </c>
      <c r="J786" s="8" t="s">
        <v>2019</v>
      </c>
    </row>
    <row r="787" spans="1:10" ht="16.5" customHeight="1" x14ac:dyDescent="0.25">
      <c r="A787" s="8" t="s">
        <v>4494</v>
      </c>
      <c r="B787" s="8" t="s">
        <v>4495</v>
      </c>
      <c r="C787" s="8" t="s">
        <v>4496</v>
      </c>
      <c r="D787" s="8" t="s">
        <v>4495</v>
      </c>
      <c r="E787" s="105">
        <v>0</v>
      </c>
      <c r="F787" s="106" t="s">
        <v>2024</v>
      </c>
      <c r="G787" s="8"/>
      <c r="H787" s="8"/>
      <c r="I787" s="107">
        <v>0</v>
      </c>
      <c r="J787" s="8" t="s">
        <v>2019</v>
      </c>
    </row>
    <row r="788" spans="1:10" ht="16.5" customHeight="1" x14ac:dyDescent="0.25">
      <c r="A788" s="8" t="s">
        <v>4497</v>
      </c>
      <c r="B788" s="8" t="s">
        <v>4498</v>
      </c>
      <c r="C788" s="8" t="s">
        <v>4499</v>
      </c>
      <c r="D788" s="8" t="s">
        <v>4498</v>
      </c>
      <c r="E788" s="105">
        <v>0</v>
      </c>
      <c r="F788" s="106" t="s">
        <v>2024</v>
      </c>
      <c r="G788" s="8"/>
      <c r="H788" s="8"/>
      <c r="I788" s="107">
        <v>0</v>
      </c>
      <c r="J788" s="8" t="s">
        <v>2019</v>
      </c>
    </row>
    <row r="789" spans="1:10" ht="16.5" customHeight="1" x14ac:dyDescent="0.25">
      <c r="A789" s="8" t="s">
        <v>4500</v>
      </c>
      <c r="B789" s="8" t="s">
        <v>4501</v>
      </c>
      <c r="C789" s="8" t="s">
        <v>4502</v>
      </c>
      <c r="D789" s="8" t="s">
        <v>4501</v>
      </c>
      <c r="E789" s="105">
        <v>0</v>
      </c>
      <c r="F789" s="106" t="s">
        <v>2024</v>
      </c>
      <c r="G789" s="8"/>
      <c r="H789" s="8"/>
      <c r="I789" s="107">
        <v>0</v>
      </c>
      <c r="J789" s="8" t="s">
        <v>2019</v>
      </c>
    </row>
    <row r="790" spans="1:10" ht="16.5" customHeight="1" x14ac:dyDescent="0.25">
      <c r="A790" s="8" t="s">
        <v>4503</v>
      </c>
      <c r="B790" s="8" t="s">
        <v>4504</v>
      </c>
      <c r="C790" s="8" t="s">
        <v>4505</v>
      </c>
      <c r="D790" s="8" t="s">
        <v>4504</v>
      </c>
      <c r="E790" s="105">
        <v>0</v>
      </c>
      <c r="F790" s="106" t="s">
        <v>2024</v>
      </c>
      <c r="G790" s="8"/>
      <c r="H790" s="8"/>
      <c r="I790" s="107">
        <v>0</v>
      </c>
      <c r="J790" s="8" t="s">
        <v>2019</v>
      </c>
    </row>
    <row r="791" spans="1:10" ht="16.5" customHeight="1" x14ac:dyDescent="0.25">
      <c r="A791" s="8" t="s">
        <v>4506</v>
      </c>
      <c r="B791" s="8" t="s">
        <v>4507</v>
      </c>
      <c r="C791" s="8" t="s">
        <v>4508</v>
      </c>
      <c r="D791" s="8" t="s">
        <v>4507</v>
      </c>
      <c r="E791" s="105">
        <v>0</v>
      </c>
      <c r="F791" s="106" t="s">
        <v>2024</v>
      </c>
      <c r="G791" s="8"/>
      <c r="H791" s="8"/>
      <c r="I791" s="107">
        <v>0</v>
      </c>
      <c r="J791" s="8" t="s">
        <v>2019</v>
      </c>
    </row>
    <row r="792" spans="1:10" ht="16.5" customHeight="1" x14ac:dyDescent="0.25">
      <c r="A792" s="8" t="s">
        <v>4509</v>
      </c>
      <c r="B792" s="8" t="s">
        <v>4510</v>
      </c>
      <c r="C792" s="8" t="s">
        <v>4511</v>
      </c>
      <c r="D792" s="8" t="s">
        <v>4510</v>
      </c>
      <c r="E792" s="105">
        <v>0</v>
      </c>
      <c r="F792" s="106" t="s">
        <v>2024</v>
      </c>
      <c r="G792" s="8"/>
      <c r="H792" s="8"/>
      <c r="I792" s="107">
        <v>0</v>
      </c>
      <c r="J792" s="8" t="s">
        <v>2019</v>
      </c>
    </row>
    <row r="793" spans="1:10" ht="16.5" customHeight="1" x14ac:dyDescent="0.25">
      <c r="A793" s="8" t="s">
        <v>4512</v>
      </c>
      <c r="B793" s="8" t="s">
        <v>4513</v>
      </c>
      <c r="C793" s="8" t="s">
        <v>4514</v>
      </c>
      <c r="D793" s="8" t="s">
        <v>4513</v>
      </c>
      <c r="E793" s="105">
        <v>0</v>
      </c>
      <c r="F793" s="106" t="s">
        <v>2024</v>
      </c>
      <c r="G793" s="8"/>
      <c r="H793" s="8"/>
      <c r="I793" s="107">
        <v>0</v>
      </c>
      <c r="J793" s="8" t="s">
        <v>2019</v>
      </c>
    </row>
    <row r="794" spans="1:10" ht="16.5" customHeight="1" x14ac:dyDescent="0.25">
      <c r="A794" s="8" t="s">
        <v>4515</v>
      </c>
      <c r="B794" s="8" t="s">
        <v>4516</v>
      </c>
      <c r="C794" s="8" t="s">
        <v>4517</v>
      </c>
      <c r="D794" s="8" t="s">
        <v>4516</v>
      </c>
      <c r="E794" s="105">
        <v>0</v>
      </c>
      <c r="F794" s="106" t="s">
        <v>2024</v>
      </c>
      <c r="G794" s="8"/>
      <c r="H794" s="8"/>
      <c r="I794" s="107">
        <v>0</v>
      </c>
      <c r="J794" s="8" t="s">
        <v>2019</v>
      </c>
    </row>
    <row r="795" spans="1:10" ht="16.5" customHeight="1" x14ac:dyDescent="0.25">
      <c r="A795" s="8" t="s">
        <v>4518</v>
      </c>
      <c r="B795" s="8" t="s">
        <v>4519</v>
      </c>
      <c r="C795" s="8" t="s">
        <v>4520</v>
      </c>
      <c r="D795" s="8" t="s">
        <v>4519</v>
      </c>
      <c r="E795" s="105">
        <v>0</v>
      </c>
      <c r="F795" s="106" t="s">
        <v>2024</v>
      </c>
      <c r="G795" s="8"/>
      <c r="H795" s="8"/>
      <c r="I795" s="107">
        <v>0</v>
      </c>
      <c r="J795" s="8" t="s">
        <v>2019</v>
      </c>
    </row>
    <row r="796" spans="1:10" ht="16.5" customHeight="1" x14ac:dyDescent="0.25">
      <c r="A796" s="8" t="s">
        <v>4521</v>
      </c>
      <c r="B796" s="8" t="s">
        <v>4522</v>
      </c>
      <c r="C796" s="8" t="s">
        <v>4523</v>
      </c>
      <c r="D796" s="8" t="s">
        <v>4522</v>
      </c>
      <c r="E796" s="105">
        <v>0</v>
      </c>
      <c r="F796" s="106" t="s">
        <v>2024</v>
      </c>
      <c r="G796" s="8"/>
      <c r="H796" s="8"/>
      <c r="I796" s="107">
        <v>0</v>
      </c>
      <c r="J796" s="8" t="s">
        <v>2019</v>
      </c>
    </row>
    <row r="797" spans="1:10" ht="16.5" customHeight="1" x14ac:dyDescent="0.25">
      <c r="A797" s="8" t="s">
        <v>4524</v>
      </c>
      <c r="B797" s="8" t="s">
        <v>4275</v>
      </c>
      <c r="C797" s="8" t="s">
        <v>4525</v>
      </c>
      <c r="D797" s="8" t="s">
        <v>4275</v>
      </c>
      <c r="E797" s="105">
        <v>0</v>
      </c>
      <c r="F797" s="106" t="s">
        <v>2024</v>
      </c>
      <c r="G797" s="8"/>
      <c r="H797" s="8"/>
      <c r="I797" s="107">
        <v>0</v>
      </c>
      <c r="J797" s="8" t="s">
        <v>2019</v>
      </c>
    </row>
    <row r="798" spans="1:10" ht="16.5" customHeight="1" x14ac:dyDescent="0.25">
      <c r="A798" s="8" t="s">
        <v>4526</v>
      </c>
      <c r="B798" s="8" t="s">
        <v>4527</v>
      </c>
      <c r="C798" s="8" t="s">
        <v>4528</v>
      </c>
      <c r="D798" s="8" t="s">
        <v>4527</v>
      </c>
      <c r="E798" s="105">
        <v>0</v>
      </c>
      <c r="F798" s="106" t="s">
        <v>2024</v>
      </c>
      <c r="G798" s="8"/>
      <c r="H798" s="8"/>
      <c r="I798" s="107">
        <v>0</v>
      </c>
      <c r="J798" s="8" t="s">
        <v>2019</v>
      </c>
    </row>
    <row r="799" spans="1:10" ht="16.5" customHeight="1" x14ac:dyDescent="0.25">
      <c r="A799" s="8" t="s">
        <v>4529</v>
      </c>
      <c r="B799" s="8" t="s">
        <v>4530</v>
      </c>
      <c r="C799" s="8" t="s">
        <v>4531</v>
      </c>
      <c r="D799" s="8" t="s">
        <v>4530</v>
      </c>
      <c r="E799" s="105">
        <v>1</v>
      </c>
      <c r="F799" s="106" t="s">
        <v>2024</v>
      </c>
      <c r="G799" s="8"/>
      <c r="H799" s="8"/>
      <c r="I799" s="107">
        <v>0</v>
      </c>
      <c r="J799" s="8" t="s">
        <v>3695</v>
      </c>
    </row>
    <row r="800" spans="1:10" ht="16.5" customHeight="1" x14ac:dyDescent="0.25">
      <c r="A800" s="8" t="s">
        <v>4532</v>
      </c>
      <c r="B800" s="8" t="s">
        <v>4533</v>
      </c>
      <c r="C800" s="8" t="s">
        <v>4534</v>
      </c>
      <c r="D800" s="8" t="s">
        <v>4533</v>
      </c>
      <c r="E800" s="105">
        <v>0</v>
      </c>
      <c r="F800" s="106" t="s">
        <v>2024</v>
      </c>
      <c r="G800" s="8"/>
      <c r="H800" s="8"/>
      <c r="I800" s="107">
        <v>0</v>
      </c>
      <c r="J800" s="8" t="s">
        <v>2019</v>
      </c>
    </row>
    <row r="801" spans="1:10" ht="16.5" customHeight="1" x14ac:dyDescent="0.25">
      <c r="A801" s="8" t="s">
        <v>4535</v>
      </c>
      <c r="B801" s="8" t="s">
        <v>4536</v>
      </c>
      <c r="C801" s="8" t="s">
        <v>4537</v>
      </c>
      <c r="D801" s="8" t="s">
        <v>4536</v>
      </c>
      <c r="E801" s="105">
        <v>0</v>
      </c>
      <c r="F801" s="106" t="s">
        <v>2024</v>
      </c>
      <c r="G801" s="8"/>
      <c r="H801" s="8"/>
      <c r="I801" s="107">
        <v>0</v>
      </c>
      <c r="J801" s="8" t="s">
        <v>2019</v>
      </c>
    </row>
    <row r="802" spans="1:10" ht="16.5" customHeight="1" x14ac:dyDescent="0.25">
      <c r="A802" s="8" t="s">
        <v>4538</v>
      </c>
      <c r="B802" s="8" t="s">
        <v>4539</v>
      </c>
      <c r="C802" s="8" t="s">
        <v>4540</v>
      </c>
      <c r="D802" s="8" t="s">
        <v>4539</v>
      </c>
      <c r="E802" s="105">
        <v>0</v>
      </c>
      <c r="F802" s="106" t="s">
        <v>2024</v>
      </c>
      <c r="G802" s="8"/>
      <c r="H802" s="8"/>
      <c r="I802" s="107">
        <v>0</v>
      </c>
      <c r="J802" s="8" t="s">
        <v>2019</v>
      </c>
    </row>
    <row r="803" spans="1:10" ht="16.5" customHeight="1" x14ac:dyDescent="0.25">
      <c r="A803" s="8" t="s">
        <v>4541</v>
      </c>
      <c r="B803" s="8" t="s">
        <v>4542</v>
      </c>
      <c r="C803" s="8" t="s">
        <v>4543</v>
      </c>
      <c r="D803" s="8" t="s">
        <v>4542</v>
      </c>
      <c r="E803" s="105">
        <v>0</v>
      </c>
      <c r="F803" s="106" t="s">
        <v>2024</v>
      </c>
      <c r="G803" s="8"/>
      <c r="H803" s="8"/>
      <c r="I803" s="107">
        <v>0</v>
      </c>
      <c r="J803" s="8" t="s">
        <v>2019</v>
      </c>
    </row>
    <row r="804" spans="1:10" ht="16.5" customHeight="1" x14ac:dyDescent="0.25">
      <c r="A804" s="8" t="s">
        <v>4544</v>
      </c>
      <c r="B804" s="8" t="s">
        <v>4545</v>
      </c>
      <c r="C804" s="8" t="s">
        <v>4546</v>
      </c>
      <c r="D804" s="8" t="s">
        <v>4545</v>
      </c>
      <c r="E804" s="105">
        <v>0</v>
      </c>
      <c r="F804" s="106" t="s">
        <v>2024</v>
      </c>
      <c r="G804" s="8"/>
      <c r="H804" s="8"/>
      <c r="I804" s="107">
        <v>0</v>
      </c>
      <c r="J804" s="8" t="s">
        <v>2019</v>
      </c>
    </row>
    <row r="805" spans="1:10" ht="16.5" customHeight="1" x14ac:dyDescent="0.25">
      <c r="A805" s="8" t="s">
        <v>4547</v>
      </c>
      <c r="B805" s="8" t="s">
        <v>4548</v>
      </c>
      <c r="C805" s="8" t="s">
        <v>4549</v>
      </c>
      <c r="D805" s="8" t="s">
        <v>4548</v>
      </c>
      <c r="E805" s="105">
        <v>0</v>
      </c>
      <c r="F805" s="106" t="s">
        <v>2024</v>
      </c>
      <c r="G805" s="8"/>
      <c r="H805" s="8"/>
      <c r="I805" s="107">
        <v>0</v>
      </c>
      <c r="J805" s="8" t="s">
        <v>2019</v>
      </c>
    </row>
    <row r="806" spans="1:10" ht="16.5" customHeight="1" x14ac:dyDescent="0.25">
      <c r="A806" s="8" t="s">
        <v>4550</v>
      </c>
      <c r="B806" s="8" t="s">
        <v>4551</v>
      </c>
      <c r="C806" s="8" t="s">
        <v>4552</v>
      </c>
      <c r="D806" s="8" t="s">
        <v>4551</v>
      </c>
      <c r="E806" s="105">
        <v>0</v>
      </c>
      <c r="F806" s="106" t="s">
        <v>2024</v>
      </c>
      <c r="G806" s="8"/>
      <c r="H806" s="8"/>
      <c r="I806" s="107">
        <v>0</v>
      </c>
      <c r="J806" s="8" t="s">
        <v>2019</v>
      </c>
    </row>
    <row r="807" spans="1:10" ht="16.5" customHeight="1" x14ac:dyDescent="0.25">
      <c r="A807" s="8" t="s">
        <v>4553</v>
      </c>
      <c r="B807" s="8" t="s">
        <v>4554</v>
      </c>
      <c r="C807" s="8" t="s">
        <v>4555</v>
      </c>
      <c r="D807" s="8" t="s">
        <v>4554</v>
      </c>
      <c r="E807" s="105">
        <v>0</v>
      </c>
      <c r="F807" s="106" t="s">
        <v>2024</v>
      </c>
      <c r="G807" s="8"/>
      <c r="H807" s="8"/>
      <c r="I807" s="107">
        <v>0</v>
      </c>
      <c r="J807" s="8" t="s">
        <v>2019</v>
      </c>
    </row>
    <row r="808" spans="1:10" ht="16.5" customHeight="1" x14ac:dyDescent="0.25">
      <c r="A808" s="8" t="s">
        <v>4556</v>
      </c>
      <c r="B808" s="8" t="s">
        <v>4557</v>
      </c>
      <c r="C808" s="8" t="s">
        <v>4558</v>
      </c>
      <c r="D808" s="8" t="s">
        <v>4557</v>
      </c>
      <c r="E808" s="105">
        <v>0</v>
      </c>
      <c r="F808" s="106" t="s">
        <v>2024</v>
      </c>
      <c r="G808" s="8"/>
      <c r="H808" s="8"/>
      <c r="I808" s="107">
        <v>0</v>
      </c>
      <c r="J808" s="8" t="s">
        <v>2019</v>
      </c>
    </row>
    <row r="809" spans="1:10" ht="16.5" customHeight="1" x14ac:dyDescent="0.25">
      <c r="A809" s="8" t="s">
        <v>4559</v>
      </c>
      <c r="B809" s="8" t="s">
        <v>4560</v>
      </c>
      <c r="C809" s="8" t="s">
        <v>4561</v>
      </c>
      <c r="D809" s="8" t="s">
        <v>4560</v>
      </c>
      <c r="E809" s="105">
        <v>0</v>
      </c>
      <c r="F809" s="106" t="s">
        <v>2024</v>
      </c>
      <c r="G809" s="8"/>
      <c r="H809" s="8"/>
      <c r="I809" s="107">
        <v>0</v>
      </c>
      <c r="J809" s="8" t="s">
        <v>2019</v>
      </c>
    </row>
    <row r="810" spans="1:10" ht="16.5" customHeight="1" x14ac:dyDescent="0.25">
      <c r="A810" s="8" t="s">
        <v>4562</v>
      </c>
      <c r="B810" s="8" t="s">
        <v>4563</v>
      </c>
      <c r="C810" s="8" t="s">
        <v>4564</v>
      </c>
      <c r="D810" s="8" t="s">
        <v>4563</v>
      </c>
      <c r="E810" s="105">
        <v>0</v>
      </c>
      <c r="F810" s="106" t="s">
        <v>2024</v>
      </c>
      <c r="G810" s="8"/>
      <c r="H810" s="8"/>
      <c r="I810" s="107">
        <v>0</v>
      </c>
      <c r="J810" s="8" t="s">
        <v>2019</v>
      </c>
    </row>
    <row r="811" spans="1:10" ht="16.5" customHeight="1" x14ac:dyDescent="0.25">
      <c r="A811" s="8" t="s">
        <v>4565</v>
      </c>
      <c r="B811" s="8" t="s">
        <v>4566</v>
      </c>
      <c r="C811" s="8" t="s">
        <v>4567</v>
      </c>
      <c r="D811" s="8" t="s">
        <v>4566</v>
      </c>
      <c r="E811" s="105">
        <v>0</v>
      </c>
      <c r="F811" s="106" t="s">
        <v>2024</v>
      </c>
      <c r="G811" s="8"/>
      <c r="H811" s="8"/>
      <c r="I811" s="107">
        <v>0</v>
      </c>
      <c r="J811" s="8" t="s">
        <v>2019</v>
      </c>
    </row>
    <row r="812" spans="1:10" ht="16.5" customHeight="1" x14ac:dyDescent="0.25">
      <c r="A812" s="8" t="s">
        <v>4568</v>
      </c>
      <c r="B812" s="8" t="s">
        <v>4569</v>
      </c>
      <c r="C812" s="8" t="s">
        <v>4570</v>
      </c>
      <c r="D812" s="8" t="s">
        <v>4569</v>
      </c>
      <c r="E812" s="105">
        <v>0</v>
      </c>
      <c r="F812" s="106" t="s">
        <v>2024</v>
      </c>
      <c r="G812" s="8"/>
      <c r="H812" s="8"/>
      <c r="I812" s="107">
        <v>0</v>
      </c>
      <c r="J812" s="8" t="s">
        <v>2019</v>
      </c>
    </row>
    <row r="813" spans="1:10" ht="16.5" customHeight="1" x14ac:dyDescent="0.25">
      <c r="A813" s="8" t="s">
        <v>4571</v>
      </c>
      <c r="B813" s="8" t="s">
        <v>4572</v>
      </c>
      <c r="C813" s="8" t="s">
        <v>4573</v>
      </c>
      <c r="D813" s="8" t="s">
        <v>4572</v>
      </c>
      <c r="E813" s="105">
        <v>0</v>
      </c>
      <c r="F813" s="106" t="s">
        <v>2024</v>
      </c>
      <c r="G813" s="8"/>
      <c r="H813" s="8"/>
      <c r="I813" s="107">
        <v>0</v>
      </c>
      <c r="J813" s="8" t="s">
        <v>2019</v>
      </c>
    </row>
    <row r="814" spans="1:10" ht="16.5" customHeight="1" x14ac:dyDescent="0.25">
      <c r="A814" s="8" t="s">
        <v>4574</v>
      </c>
      <c r="B814" s="8" t="s">
        <v>4575</v>
      </c>
      <c r="C814" s="8" t="s">
        <v>4576</v>
      </c>
      <c r="D814" s="8" t="s">
        <v>4575</v>
      </c>
      <c r="E814" s="105">
        <v>0</v>
      </c>
      <c r="F814" s="106" t="s">
        <v>2024</v>
      </c>
      <c r="G814" s="8"/>
      <c r="H814" s="8"/>
      <c r="I814" s="107">
        <v>0</v>
      </c>
      <c r="J814" s="8" t="s">
        <v>2019</v>
      </c>
    </row>
    <row r="815" spans="1:10" ht="16.5" customHeight="1" x14ac:dyDescent="0.25">
      <c r="A815" s="8" t="s">
        <v>4577</v>
      </c>
      <c r="B815" s="8" t="s">
        <v>4578</v>
      </c>
      <c r="C815" s="8" t="s">
        <v>4579</v>
      </c>
      <c r="D815" s="8" t="s">
        <v>4578</v>
      </c>
      <c r="E815" s="105">
        <v>0</v>
      </c>
      <c r="F815" s="106" t="s">
        <v>2024</v>
      </c>
      <c r="G815" s="8"/>
      <c r="H815" s="8"/>
      <c r="I815" s="107">
        <v>0</v>
      </c>
      <c r="J815" s="8" t="s">
        <v>2019</v>
      </c>
    </row>
    <row r="816" spans="1:10" ht="16.5" customHeight="1" x14ac:dyDescent="0.25">
      <c r="A816" s="8" t="s">
        <v>4580</v>
      </c>
      <c r="B816" s="8" t="s">
        <v>4581</v>
      </c>
      <c r="C816" s="8" t="s">
        <v>4582</v>
      </c>
      <c r="D816" s="8" t="s">
        <v>4581</v>
      </c>
      <c r="E816" s="105">
        <v>0</v>
      </c>
      <c r="F816" s="106" t="s">
        <v>2024</v>
      </c>
      <c r="G816" s="8"/>
      <c r="H816" s="8"/>
      <c r="I816" s="107">
        <v>0</v>
      </c>
      <c r="J816" s="8" t="s">
        <v>2019</v>
      </c>
    </row>
    <row r="817" spans="1:10" ht="16.5" customHeight="1" x14ac:dyDescent="0.25">
      <c r="A817" s="8" t="s">
        <v>4583</v>
      </c>
      <c r="B817" s="8" t="s">
        <v>4584</v>
      </c>
      <c r="C817" s="8" t="s">
        <v>4585</v>
      </c>
      <c r="D817" s="8" t="s">
        <v>4584</v>
      </c>
      <c r="E817" s="105">
        <v>0</v>
      </c>
      <c r="F817" s="106" t="s">
        <v>2024</v>
      </c>
      <c r="G817" s="8"/>
      <c r="H817" s="8"/>
      <c r="I817" s="107">
        <v>0</v>
      </c>
      <c r="J817" s="8" t="s">
        <v>2019</v>
      </c>
    </row>
    <row r="818" spans="1:10" ht="16.5" customHeight="1" x14ac:dyDescent="0.25">
      <c r="A818" s="8" t="s">
        <v>4586</v>
      </c>
      <c r="B818" s="8" t="s">
        <v>4587</v>
      </c>
      <c r="C818" s="8" t="s">
        <v>4588</v>
      </c>
      <c r="D818" s="8" t="s">
        <v>4587</v>
      </c>
      <c r="E818" s="105">
        <v>0</v>
      </c>
      <c r="F818" s="106" t="s">
        <v>2024</v>
      </c>
      <c r="G818" s="8"/>
      <c r="H818" s="8"/>
      <c r="I818" s="107">
        <v>0</v>
      </c>
      <c r="J818" s="8" t="s">
        <v>2019</v>
      </c>
    </row>
    <row r="819" spans="1:10" ht="16.5" customHeight="1" x14ac:dyDescent="0.25">
      <c r="A819" s="8" t="s">
        <v>4589</v>
      </c>
      <c r="B819" s="8" t="s">
        <v>4590</v>
      </c>
      <c r="C819" s="8" t="s">
        <v>4591</v>
      </c>
      <c r="D819" s="8" t="s">
        <v>4590</v>
      </c>
      <c r="E819" s="105">
        <v>0</v>
      </c>
      <c r="F819" s="106" t="s">
        <v>2024</v>
      </c>
      <c r="G819" s="8"/>
      <c r="H819" s="8"/>
      <c r="I819" s="107">
        <v>0</v>
      </c>
      <c r="J819" s="8" t="s">
        <v>2019</v>
      </c>
    </row>
    <row r="820" spans="1:10" ht="16.5" customHeight="1" x14ac:dyDescent="0.25">
      <c r="A820" s="8" t="s">
        <v>4592</v>
      </c>
      <c r="B820" s="8" t="s">
        <v>4593</v>
      </c>
      <c r="C820" s="8" t="s">
        <v>4594</v>
      </c>
      <c r="D820" s="8" t="s">
        <v>4593</v>
      </c>
      <c r="E820" s="105">
        <v>0</v>
      </c>
      <c r="F820" s="106" t="s">
        <v>2024</v>
      </c>
      <c r="G820" s="8"/>
      <c r="H820" s="8"/>
      <c r="I820" s="107">
        <v>0</v>
      </c>
      <c r="J820" s="8" t="s">
        <v>2019</v>
      </c>
    </row>
    <row r="821" spans="1:10" ht="16.5" customHeight="1" x14ac:dyDescent="0.25">
      <c r="A821" s="8" t="s">
        <v>4595</v>
      </c>
      <c r="B821" s="8" t="s">
        <v>4596</v>
      </c>
      <c r="C821" s="8" t="s">
        <v>4594</v>
      </c>
      <c r="D821" s="8" t="s">
        <v>4596</v>
      </c>
      <c r="E821" s="105">
        <v>0</v>
      </c>
      <c r="F821" s="106" t="s">
        <v>2024</v>
      </c>
      <c r="G821" s="8"/>
      <c r="H821" s="8"/>
      <c r="I821" s="107">
        <v>0</v>
      </c>
      <c r="J821" s="8" t="s">
        <v>2019</v>
      </c>
    </row>
    <row r="822" spans="1:10" ht="16.5" customHeight="1" x14ac:dyDescent="0.25">
      <c r="A822" s="8" t="s">
        <v>4597</v>
      </c>
      <c r="B822" s="8" t="s">
        <v>4598</v>
      </c>
      <c r="C822" s="8" t="s">
        <v>4599</v>
      </c>
      <c r="D822" s="8" t="s">
        <v>4598</v>
      </c>
      <c r="E822" s="105">
        <v>0</v>
      </c>
      <c r="F822" s="106" t="s">
        <v>2024</v>
      </c>
      <c r="G822" s="8"/>
      <c r="H822" s="8"/>
      <c r="I822" s="107">
        <v>0</v>
      </c>
      <c r="J822" s="8" t="s">
        <v>2019</v>
      </c>
    </row>
    <row r="823" spans="1:10" ht="16.5" customHeight="1" x14ac:dyDescent="0.25">
      <c r="A823" s="8" t="s">
        <v>4600</v>
      </c>
      <c r="B823" s="8" t="s">
        <v>4601</v>
      </c>
      <c r="C823" s="8" t="s">
        <v>4602</v>
      </c>
      <c r="D823" s="8" t="s">
        <v>4601</v>
      </c>
      <c r="E823" s="105">
        <v>0</v>
      </c>
      <c r="F823" s="106" t="s">
        <v>2024</v>
      </c>
      <c r="G823" s="8"/>
      <c r="H823" s="8"/>
      <c r="I823" s="107">
        <v>0</v>
      </c>
      <c r="J823" s="8" t="s">
        <v>2019</v>
      </c>
    </row>
    <row r="824" spans="1:10" ht="16.5" customHeight="1" x14ac:dyDescent="0.25">
      <c r="A824" s="8" t="s">
        <v>4603</v>
      </c>
      <c r="B824" s="8" t="s">
        <v>4604</v>
      </c>
      <c r="C824" s="8" t="s">
        <v>4605</v>
      </c>
      <c r="D824" s="8" t="s">
        <v>4604</v>
      </c>
      <c r="E824" s="105">
        <v>0</v>
      </c>
      <c r="F824" s="106" t="s">
        <v>2024</v>
      </c>
      <c r="G824" s="8"/>
      <c r="H824" s="8"/>
      <c r="I824" s="107">
        <v>0</v>
      </c>
      <c r="J824" s="8" t="s">
        <v>2019</v>
      </c>
    </row>
    <row r="825" spans="1:10" ht="16.5" customHeight="1" x14ac:dyDescent="0.25">
      <c r="A825" s="8" t="s">
        <v>4606</v>
      </c>
      <c r="B825" s="8" t="s">
        <v>4607</v>
      </c>
      <c r="C825" s="8" t="s">
        <v>4608</v>
      </c>
      <c r="D825" s="8" t="s">
        <v>4607</v>
      </c>
      <c r="E825" s="105">
        <v>0</v>
      </c>
      <c r="F825" s="106" t="s">
        <v>2024</v>
      </c>
      <c r="G825" s="8"/>
      <c r="H825" s="8"/>
      <c r="I825" s="107">
        <v>0</v>
      </c>
      <c r="J825" s="8" t="s">
        <v>2019</v>
      </c>
    </row>
    <row r="826" spans="1:10" ht="16.5" customHeight="1" x14ac:dyDescent="0.25">
      <c r="A826" s="8" t="s">
        <v>4609</v>
      </c>
      <c r="B826" s="8" t="s">
        <v>4610</v>
      </c>
      <c r="C826" s="8" t="s">
        <v>4611</v>
      </c>
      <c r="D826" s="8" t="s">
        <v>4610</v>
      </c>
      <c r="E826" s="105">
        <v>0</v>
      </c>
      <c r="F826" s="106" t="s">
        <v>2024</v>
      </c>
      <c r="G826" s="8"/>
      <c r="H826" s="8"/>
      <c r="I826" s="107">
        <v>0</v>
      </c>
      <c r="J826" s="8" t="s">
        <v>2019</v>
      </c>
    </row>
    <row r="827" spans="1:10" ht="16.5" customHeight="1" x14ac:dyDescent="0.25">
      <c r="A827" s="8" t="s">
        <v>4612</v>
      </c>
      <c r="B827" s="8" t="s">
        <v>4613</v>
      </c>
      <c r="C827" s="8" t="s">
        <v>4614</v>
      </c>
      <c r="D827" s="8" t="s">
        <v>4613</v>
      </c>
      <c r="E827" s="105">
        <v>0</v>
      </c>
      <c r="F827" s="106" t="s">
        <v>2024</v>
      </c>
      <c r="G827" s="8"/>
      <c r="H827" s="8"/>
      <c r="I827" s="107">
        <v>0</v>
      </c>
      <c r="J827" s="8" t="s">
        <v>2019</v>
      </c>
    </row>
    <row r="828" spans="1:10" ht="16.5" customHeight="1" x14ac:dyDescent="0.25">
      <c r="A828" s="8" t="s">
        <v>4615</v>
      </c>
      <c r="B828" s="8" t="s">
        <v>4616</v>
      </c>
      <c r="C828" s="8" t="s">
        <v>4617</v>
      </c>
      <c r="D828" s="8" t="s">
        <v>4616</v>
      </c>
      <c r="E828" s="105">
        <v>0</v>
      </c>
      <c r="F828" s="106" t="s">
        <v>2024</v>
      </c>
      <c r="G828" s="8"/>
      <c r="H828" s="8"/>
      <c r="I828" s="107">
        <v>0</v>
      </c>
      <c r="J828" s="8" t="s">
        <v>2019</v>
      </c>
    </row>
    <row r="829" spans="1:10" ht="16.5" customHeight="1" x14ac:dyDescent="0.25">
      <c r="A829" s="8" t="s">
        <v>4618</v>
      </c>
      <c r="B829" s="8" t="s">
        <v>4619</v>
      </c>
      <c r="C829" s="8" t="s">
        <v>4620</v>
      </c>
      <c r="D829" s="8" t="s">
        <v>4619</v>
      </c>
      <c r="E829" s="105">
        <v>0</v>
      </c>
      <c r="F829" s="106" t="s">
        <v>2024</v>
      </c>
      <c r="G829" s="8"/>
      <c r="H829" s="8"/>
      <c r="I829" s="107">
        <v>0</v>
      </c>
      <c r="J829" s="8" t="s">
        <v>2019</v>
      </c>
    </row>
    <row r="830" spans="1:10" ht="16.5" customHeight="1" x14ac:dyDescent="0.25">
      <c r="A830" s="8" t="s">
        <v>4621</v>
      </c>
      <c r="B830" s="8" t="s">
        <v>4622</v>
      </c>
      <c r="C830" s="8" t="s">
        <v>4623</v>
      </c>
      <c r="D830" s="8" t="s">
        <v>4622</v>
      </c>
      <c r="E830" s="105">
        <v>0</v>
      </c>
      <c r="F830" s="106" t="s">
        <v>2024</v>
      </c>
      <c r="G830" s="8"/>
      <c r="H830" s="8"/>
      <c r="I830" s="107">
        <v>0</v>
      </c>
      <c r="J830" s="8" t="s">
        <v>2019</v>
      </c>
    </row>
    <row r="831" spans="1:10" ht="16.5" customHeight="1" x14ac:dyDescent="0.25">
      <c r="A831" s="8" t="s">
        <v>4624</v>
      </c>
      <c r="B831" s="8" t="s">
        <v>4625</v>
      </c>
      <c r="C831" s="8" t="s">
        <v>4626</v>
      </c>
      <c r="D831" s="8" t="s">
        <v>4625</v>
      </c>
      <c r="E831" s="105">
        <v>0</v>
      </c>
      <c r="F831" s="106" t="s">
        <v>2024</v>
      </c>
      <c r="G831" s="8"/>
      <c r="H831" s="8"/>
      <c r="I831" s="107">
        <v>0</v>
      </c>
      <c r="J831" s="8" t="s">
        <v>2019</v>
      </c>
    </row>
    <row r="832" spans="1:10" ht="16.5" customHeight="1" x14ac:dyDescent="0.25">
      <c r="A832" s="8" t="s">
        <v>4627</v>
      </c>
      <c r="B832" s="8" t="s">
        <v>4628</v>
      </c>
      <c r="C832" s="8" t="s">
        <v>4629</v>
      </c>
      <c r="D832" s="8" t="s">
        <v>4628</v>
      </c>
      <c r="E832" s="105">
        <v>0</v>
      </c>
      <c r="F832" s="106" t="s">
        <v>2024</v>
      </c>
      <c r="G832" s="8"/>
      <c r="H832" s="8"/>
      <c r="I832" s="107">
        <v>0</v>
      </c>
      <c r="J832" s="8" t="s">
        <v>2019</v>
      </c>
    </row>
    <row r="833" spans="1:10" ht="16.5" customHeight="1" x14ac:dyDescent="0.25">
      <c r="A833" s="8" t="s">
        <v>4630</v>
      </c>
      <c r="B833" s="8" t="s">
        <v>4631</v>
      </c>
      <c r="C833" s="8" t="s">
        <v>4632</v>
      </c>
      <c r="D833" s="8" t="s">
        <v>4631</v>
      </c>
      <c r="E833" s="105">
        <v>0</v>
      </c>
      <c r="F833" s="106" t="s">
        <v>2024</v>
      </c>
      <c r="G833" s="8"/>
      <c r="H833" s="8"/>
      <c r="I833" s="107">
        <v>0</v>
      </c>
      <c r="J833" s="8" t="s">
        <v>2019</v>
      </c>
    </row>
    <row r="834" spans="1:10" ht="16.5" customHeight="1" x14ac:dyDescent="0.25">
      <c r="A834" s="8" t="s">
        <v>4633</v>
      </c>
      <c r="B834" s="8" t="s">
        <v>4634</v>
      </c>
      <c r="C834" s="8" t="s">
        <v>4635</v>
      </c>
      <c r="D834" s="8" t="s">
        <v>4634</v>
      </c>
      <c r="E834" s="105">
        <v>0</v>
      </c>
      <c r="F834" s="106" t="s">
        <v>2024</v>
      </c>
      <c r="G834" s="8"/>
      <c r="H834" s="8"/>
      <c r="I834" s="107">
        <v>0</v>
      </c>
      <c r="J834" s="8" t="s">
        <v>2019</v>
      </c>
    </row>
    <row r="835" spans="1:10" ht="16.5" customHeight="1" x14ac:dyDescent="0.25">
      <c r="A835" s="8" t="s">
        <v>4636</v>
      </c>
      <c r="B835" s="8" t="s">
        <v>4637</v>
      </c>
      <c r="C835" s="8" t="s">
        <v>4237</v>
      </c>
      <c r="D835" s="8" t="s">
        <v>4637</v>
      </c>
      <c r="E835" s="105">
        <v>0</v>
      </c>
      <c r="F835" s="106" t="s">
        <v>2024</v>
      </c>
      <c r="G835" s="8"/>
      <c r="H835" s="8"/>
      <c r="I835" s="107">
        <v>0</v>
      </c>
      <c r="J835" s="8" t="s">
        <v>2019</v>
      </c>
    </row>
    <row r="836" spans="1:10" ht="16.5" customHeight="1" x14ac:dyDescent="0.25">
      <c r="A836" s="8" t="s">
        <v>4638</v>
      </c>
      <c r="B836" s="8" t="s">
        <v>4639</v>
      </c>
      <c r="C836" s="8" t="s">
        <v>4640</v>
      </c>
      <c r="D836" s="8" t="s">
        <v>4639</v>
      </c>
      <c r="E836" s="105">
        <v>0</v>
      </c>
      <c r="F836" s="106" t="s">
        <v>2024</v>
      </c>
      <c r="G836" s="8"/>
      <c r="H836" s="8"/>
      <c r="I836" s="107">
        <v>0</v>
      </c>
      <c r="J836" s="8" t="s">
        <v>2019</v>
      </c>
    </row>
    <row r="837" spans="1:10" ht="16.5" customHeight="1" x14ac:dyDescent="0.25">
      <c r="A837" s="8" t="s">
        <v>4641</v>
      </c>
      <c r="B837" s="8" t="s">
        <v>4642</v>
      </c>
      <c r="C837" s="8" t="s">
        <v>4643</v>
      </c>
      <c r="D837" s="8" t="s">
        <v>4642</v>
      </c>
      <c r="E837" s="105">
        <v>0</v>
      </c>
      <c r="F837" s="106" t="s">
        <v>2024</v>
      </c>
      <c r="G837" s="8"/>
      <c r="H837" s="8"/>
      <c r="I837" s="107">
        <v>0</v>
      </c>
      <c r="J837" s="8" t="s">
        <v>2019</v>
      </c>
    </row>
    <row r="838" spans="1:10" ht="16.5" customHeight="1" x14ac:dyDescent="0.25">
      <c r="A838" s="8" t="s">
        <v>4644</v>
      </c>
      <c r="B838" s="8" t="s">
        <v>4645</v>
      </c>
      <c r="C838" s="8" t="s">
        <v>4646</v>
      </c>
      <c r="D838" s="8" t="s">
        <v>4645</v>
      </c>
      <c r="E838" s="105">
        <v>0</v>
      </c>
      <c r="F838" s="106" t="s">
        <v>2024</v>
      </c>
      <c r="G838" s="8"/>
      <c r="H838" s="8"/>
      <c r="I838" s="107">
        <v>0</v>
      </c>
      <c r="J838" s="8" t="s">
        <v>2019</v>
      </c>
    </row>
    <row r="839" spans="1:10" ht="16.5" customHeight="1" x14ac:dyDescent="0.25">
      <c r="A839" s="8" t="s">
        <v>4647</v>
      </c>
      <c r="B839" s="8" t="s">
        <v>4648</v>
      </c>
      <c r="C839" s="8" t="s">
        <v>4649</v>
      </c>
      <c r="D839" s="8" t="s">
        <v>4648</v>
      </c>
      <c r="E839" s="105">
        <v>0</v>
      </c>
      <c r="F839" s="106" t="s">
        <v>2024</v>
      </c>
      <c r="G839" s="8"/>
      <c r="H839" s="8"/>
      <c r="I839" s="107">
        <v>0</v>
      </c>
      <c r="J839" s="8" t="s">
        <v>2019</v>
      </c>
    </row>
    <row r="840" spans="1:10" ht="16.5" customHeight="1" x14ac:dyDescent="0.25">
      <c r="A840" s="8" t="s">
        <v>4650</v>
      </c>
      <c r="B840" s="8" t="s">
        <v>4651</v>
      </c>
      <c r="C840" s="8" t="s">
        <v>4652</v>
      </c>
      <c r="D840" s="8" t="s">
        <v>4651</v>
      </c>
      <c r="E840" s="105">
        <v>0</v>
      </c>
      <c r="F840" s="106" t="s">
        <v>2024</v>
      </c>
      <c r="G840" s="8"/>
      <c r="H840" s="8"/>
      <c r="I840" s="107">
        <v>0</v>
      </c>
      <c r="J840" s="8" t="s">
        <v>2019</v>
      </c>
    </row>
    <row r="841" spans="1:10" ht="16.5" customHeight="1" x14ac:dyDescent="0.25">
      <c r="A841" s="8" t="s">
        <v>4653</v>
      </c>
      <c r="B841" s="8" t="s">
        <v>4654</v>
      </c>
      <c r="C841" s="8" t="s">
        <v>4655</v>
      </c>
      <c r="D841" s="8" t="s">
        <v>4654</v>
      </c>
      <c r="E841" s="105">
        <v>0</v>
      </c>
      <c r="F841" s="106" t="s">
        <v>2024</v>
      </c>
      <c r="G841" s="8"/>
      <c r="H841" s="8"/>
      <c r="I841" s="107">
        <v>0</v>
      </c>
      <c r="J841" s="8" t="s">
        <v>2019</v>
      </c>
    </row>
    <row r="842" spans="1:10" ht="16.5" customHeight="1" x14ac:dyDescent="0.25">
      <c r="A842" s="8" t="s">
        <v>4656</v>
      </c>
      <c r="B842" s="8" t="s">
        <v>4657</v>
      </c>
      <c r="C842" s="8" t="s">
        <v>4658</v>
      </c>
      <c r="D842" s="8" t="s">
        <v>4657</v>
      </c>
      <c r="E842" s="105">
        <v>0</v>
      </c>
      <c r="F842" s="106" t="s">
        <v>2024</v>
      </c>
      <c r="G842" s="8"/>
      <c r="H842" s="8"/>
      <c r="I842" s="107">
        <v>0</v>
      </c>
      <c r="J842" s="8" t="s">
        <v>2019</v>
      </c>
    </row>
    <row r="843" spans="1:10" ht="16.5" customHeight="1" x14ac:dyDescent="0.25">
      <c r="A843" s="8" t="s">
        <v>4659</v>
      </c>
      <c r="B843" s="8" t="s">
        <v>4660</v>
      </c>
      <c r="C843" s="8" t="s">
        <v>4661</v>
      </c>
      <c r="D843" s="8" t="s">
        <v>4660</v>
      </c>
      <c r="E843" s="105">
        <v>0</v>
      </c>
      <c r="F843" s="106" t="s">
        <v>2024</v>
      </c>
      <c r="G843" s="8"/>
      <c r="H843" s="8"/>
      <c r="I843" s="107">
        <v>0</v>
      </c>
      <c r="J843" s="8" t="s">
        <v>2019</v>
      </c>
    </row>
    <row r="844" spans="1:10" ht="16.5" customHeight="1" x14ac:dyDescent="0.25">
      <c r="A844" s="8" t="s">
        <v>4662</v>
      </c>
      <c r="B844" s="8" t="s">
        <v>4663</v>
      </c>
      <c r="C844" s="8" t="s">
        <v>4664</v>
      </c>
      <c r="D844" s="8" t="s">
        <v>4663</v>
      </c>
      <c r="E844" s="105">
        <v>0</v>
      </c>
      <c r="F844" s="106" t="s">
        <v>2024</v>
      </c>
      <c r="G844" s="8"/>
      <c r="H844" s="8"/>
      <c r="I844" s="107">
        <v>0</v>
      </c>
      <c r="J844" s="8" t="s">
        <v>2019</v>
      </c>
    </row>
    <row r="845" spans="1:10" ht="16.5" customHeight="1" x14ac:dyDescent="0.25">
      <c r="A845" s="8" t="s">
        <v>4665</v>
      </c>
      <c r="B845" s="8" t="s">
        <v>4666</v>
      </c>
      <c r="C845" s="8" t="s">
        <v>4667</v>
      </c>
      <c r="D845" s="8" t="s">
        <v>4666</v>
      </c>
      <c r="E845" s="105">
        <v>0</v>
      </c>
      <c r="F845" s="106" t="s">
        <v>2024</v>
      </c>
      <c r="G845" s="8"/>
      <c r="H845" s="8"/>
      <c r="I845" s="107">
        <v>0</v>
      </c>
      <c r="J845" s="8" t="s">
        <v>2019</v>
      </c>
    </row>
    <row r="846" spans="1:10" ht="16.5" customHeight="1" x14ac:dyDescent="0.25">
      <c r="A846" s="8" t="s">
        <v>4668</v>
      </c>
      <c r="B846" s="8" t="s">
        <v>4669</v>
      </c>
      <c r="C846" s="8" t="s">
        <v>4670</v>
      </c>
      <c r="D846" s="8" t="s">
        <v>4669</v>
      </c>
      <c r="E846" s="105">
        <v>0</v>
      </c>
      <c r="F846" s="106" t="s">
        <v>2024</v>
      </c>
      <c r="G846" s="8"/>
      <c r="H846" s="8"/>
      <c r="I846" s="107">
        <v>0</v>
      </c>
      <c r="J846" s="8" t="s">
        <v>2019</v>
      </c>
    </row>
    <row r="847" spans="1:10" ht="16.5" customHeight="1" x14ac:dyDescent="0.25">
      <c r="A847" s="8" t="s">
        <v>4671</v>
      </c>
      <c r="B847" s="8" t="s">
        <v>4672</v>
      </c>
      <c r="C847" s="8" t="s">
        <v>4673</v>
      </c>
      <c r="D847" s="8" t="s">
        <v>4672</v>
      </c>
      <c r="E847" s="105">
        <v>0</v>
      </c>
      <c r="F847" s="106" t="s">
        <v>2024</v>
      </c>
      <c r="G847" s="8"/>
      <c r="H847" s="8"/>
      <c r="I847" s="107">
        <v>0</v>
      </c>
      <c r="J847" s="8" t="s">
        <v>2019</v>
      </c>
    </row>
    <row r="848" spans="1:10" ht="16.5" customHeight="1" x14ac:dyDescent="0.25">
      <c r="A848" s="8" t="s">
        <v>4674</v>
      </c>
      <c r="B848" s="8" t="s">
        <v>4675</v>
      </c>
      <c r="C848" s="8" t="s">
        <v>4676</v>
      </c>
      <c r="D848" s="8" t="s">
        <v>4675</v>
      </c>
      <c r="E848" s="105">
        <v>0</v>
      </c>
      <c r="F848" s="106" t="s">
        <v>2024</v>
      </c>
      <c r="G848" s="8"/>
      <c r="H848" s="8"/>
      <c r="I848" s="107">
        <v>0</v>
      </c>
      <c r="J848" s="8" t="s">
        <v>2019</v>
      </c>
    </row>
    <row r="849" spans="1:10" ht="16.5" customHeight="1" x14ac:dyDescent="0.25">
      <c r="A849" s="8" t="s">
        <v>4677</v>
      </c>
      <c r="B849" s="8" t="s">
        <v>4678</v>
      </c>
      <c r="C849" s="8" t="s">
        <v>4679</v>
      </c>
      <c r="D849" s="8" t="s">
        <v>4678</v>
      </c>
      <c r="E849" s="105">
        <v>0.27500000000000002</v>
      </c>
      <c r="F849" s="106" t="s">
        <v>2024</v>
      </c>
      <c r="G849" s="8"/>
      <c r="H849" s="8"/>
      <c r="I849" s="107">
        <v>0</v>
      </c>
      <c r="J849" s="8" t="s">
        <v>2019</v>
      </c>
    </row>
    <row r="850" spans="1:10" ht="16.5" customHeight="1" x14ac:dyDescent="0.25">
      <c r="A850" s="8" t="s">
        <v>4680</v>
      </c>
      <c r="B850" s="8" t="s">
        <v>4681</v>
      </c>
      <c r="C850" s="8" t="s">
        <v>4682</v>
      </c>
      <c r="D850" s="8" t="s">
        <v>4681</v>
      </c>
      <c r="E850" s="105">
        <v>0.27500000000000002</v>
      </c>
      <c r="F850" s="106" t="s">
        <v>2024</v>
      </c>
      <c r="G850" s="8"/>
      <c r="H850" s="8"/>
      <c r="I850" s="107">
        <v>0</v>
      </c>
      <c r="J850" s="8" t="s">
        <v>2019</v>
      </c>
    </row>
    <row r="851" spans="1:10" ht="16.5" customHeight="1" x14ac:dyDescent="0.25">
      <c r="A851" s="8" t="s">
        <v>4683</v>
      </c>
      <c r="B851" s="8" t="s">
        <v>4684</v>
      </c>
      <c r="C851" s="8" t="s">
        <v>4685</v>
      </c>
      <c r="D851" s="8" t="s">
        <v>4684</v>
      </c>
      <c r="E851" s="105">
        <v>0</v>
      </c>
      <c r="F851" s="106" t="s">
        <v>2024</v>
      </c>
      <c r="G851" s="8"/>
      <c r="H851" s="8"/>
      <c r="I851" s="107">
        <v>0</v>
      </c>
      <c r="J851" s="8" t="s">
        <v>2019</v>
      </c>
    </row>
    <row r="852" spans="1:10" ht="16.5" customHeight="1" x14ac:dyDescent="0.25">
      <c r="A852" s="8" t="s">
        <v>4686</v>
      </c>
      <c r="B852" s="8" t="s">
        <v>4687</v>
      </c>
      <c r="C852" s="8" t="s">
        <v>4688</v>
      </c>
      <c r="D852" s="8" t="s">
        <v>4687</v>
      </c>
      <c r="E852" s="105">
        <v>0</v>
      </c>
      <c r="F852" s="106" t="s">
        <v>2024</v>
      </c>
      <c r="G852" s="8"/>
      <c r="H852" s="8"/>
      <c r="I852" s="107">
        <v>0</v>
      </c>
      <c r="J852" s="8" t="s">
        <v>2019</v>
      </c>
    </row>
    <row r="853" spans="1:10" ht="16.5" customHeight="1" x14ac:dyDescent="0.25">
      <c r="A853" s="8" t="s">
        <v>4689</v>
      </c>
      <c r="B853" s="8" t="s">
        <v>4690</v>
      </c>
      <c r="C853" s="8" t="s">
        <v>4691</v>
      </c>
      <c r="D853" s="8" t="s">
        <v>4690</v>
      </c>
      <c r="E853" s="105">
        <v>0</v>
      </c>
      <c r="F853" s="106" t="s">
        <v>2024</v>
      </c>
      <c r="G853" s="8"/>
      <c r="H853" s="8"/>
      <c r="I853" s="107">
        <v>0</v>
      </c>
      <c r="J853" s="8" t="s">
        <v>2019</v>
      </c>
    </row>
    <row r="854" spans="1:10" ht="16.5" customHeight="1" x14ac:dyDescent="0.25">
      <c r="A854" s="8" t="s">
        <v>4692</v>
      </c>
      <c r="B854" s="8" t="s">
        <v>4693</v>
      </c>
      <c r="C854" s="8" t="s">
        <v>4694</v>
      </c>
      <c r="D854" s="8" t="s">
        <v>4693</v>
      </c>
      <c r="E854" s="105">
        <v>0</v>
      </c>
      <c r="F854" s="106" t="s">
        <v>2024</v>
      </c>
      <c r="G854" s="8"/>
      <c r="H854" s="8"/>
      <c r="I854" s="107">
        <v>0</v>
      </c>
      <c r="J854" s="8" t="s">
        <v>2019</v>
      </c>
    </row>
    <row r="855" spans="1:10" ht="16.5" customHeight="1" x14ac:dyDescent="0.25">
      <c r="A855" s="8" t="s">
        <v>4695</v>
      </c>
      <c r="B855" s="8" t="s">
        <v>4696</v>
      </c>
      <c r="C855" s="8" t="s">
        <v>4697</v>
      </c>
      <c r="D855" s="8" t="s">
        <v>4696</v>
      </c>
      <c r="E855" s="105">
        <v>0</v>
      </c>
      <c r="F855" s="106" t="s">
        <v>2024</v>
      </c>
      <c r="G855" s="8"/>
      <c r="H855" s="8"/>
      <c r="I855" s="107">
        <v>0</v>
      </c>
      <c r="J855" s="8" t="s">
        <v>2019</v>
      </c>
    </row>
    <row r="856" spans="1:10" ht="16.5" customHeight="1" x14ac:dyDescent="0.25">
      <c r="A856" s="8" t="s">
        <v>4698</v>
      </c>
      <c r="B856" s="8" t="s">
        <v>4699</v>
      </c>
      <c r="C856" s="8" t="s">
        <v>4700</v>
      </c>
      <c r="D856" s="8" t="s">
        <v>4699</v>
      </c>
      <c r="E856" s="105">
        <v>0</v>
      </c>
      <c r="F856" s="106" t="s">
        <v>2024</v>
      </c>
      <c r="G856" s="8"/>
      <c r="H856" s="8"/>
      <c r="I856" s="107">
        <v>0</v>
      </c>
      <c r="J856" s="8" t="s">
        <v>2019</v>
      </c>
    </row>
    <row r="857" spans="1:10" ht="16.5" customHeight="1" x14ac:dyDescent="0.25">
      <c r="A857" s="8" t="s">
        <v>4701</v>
      </c>
      <c r="B857" s="8" t="s">
        <v>4702</v>
      </c>
      <c r="C857" s="8" t="s">
        <v>4703</v>
      </c>
      <c r="D857" s="8" t="s">
        <v>4702</v>
      </c>
      <c r="E857" s="105">
        <v>0</v>
      </c>
      <c r="F857" s="106" t="s">
        <v>2024</v>
      </c>
      <c r="G857" s="8"/>
      <c r="H857" s="8"/>
      <c r="I857" s="107">
        <v>0</v>
      </c>
      <c r="J857" s="8" t="s">
        <v>2019</v>
      </c>
    </row>
    <row r="858" spans="1:10" ht="16.5" customHeight="1" x14ac:dyDescent="0.25">
      <c r="A858" s="8" t="s">
        <v>4704</v>
      </c>
      <c r="B858" s="8" t="s">
        <v>4705</v>
      </c>
      <c r="C858" s="8" t="s">
        <v>4706</v>
      </c>
      <c r="D858" s="8" t="s">
        <v>4705</v>
      </c>
      <c r="E858" s="105">
        <v>0</v>
      </c>
      <c r="F858" s="106" t="s">
        <v>2024</v>
      </c>
      <c r="G858" s="8"/>
      <c r="H858" s="8"/>
      <c r="I858" s="107">
        <v>0</v>
      </c>
      <c r="J858" s="8" t="s">
        <v>2019</v>
      </c>
    </row>
    <row r="859" spans="1:10" ht="16.5" customHeight="1" x14ac:dyDescent="0.25">
      <c r="A859" s="8" t="s">
        <v>4707</v>
      </c>
      <c r="B859" s="8" t="s">
        <v>4708</v>
      </c>
      <c r="C859" s="8" t="s">
        <v>4709</v>
      </c>
      <c r="D859" s="8" t="s">
        <v>4708</v>
      </c>
      <c r="E859" s="105">
        <v>0</v>
      </c>
      <c r="F859" s="106" t="s">
        <v>2024</v>
      </c>
      <c r="G859" s="8"/>
      <c r="H859" s="8"/>
      <c r="I859" s="107">
        <v>0</v>
      </c>
      <c r="J859" s="8" t="s">
        <v>2019</v>
      </c>
    </row>
    <row r="860" spans="1:10" ht="16.5" customHeight="1" x14ac:dyDescent="0.25">
      <c r="A860" s="8" t="s">
        <v>4710</v>
      </c>
      <c r="B860" s="8" t="s">
        <v>4711</v>
      </c>
      <c r="C860" s="8" t="s">
        <v>4712</v>
      </c>
      <c r="D860" s="8" t="s">
        <v>4711</v>
      </c>
      <c r="E860" s="105">
        <v>0</v>
      </c>
      <c r="F860" s="106" t="s">
        <v>2024</v>
      </c>
      <c r="G860" s="8"/>
      <c r="H860" s="8"/>
      <c r="I860" s="107">
        <v>0</v>
      </c>
      <c r="J860" s="8" t="s">
        <v>2019</v>
      </c>
    </row>
    <row r="861" spans="1:10" ht="16.5" customHeight="1" x14ac:dyDescent="0.25">
      <c r="A861" s="8" t="s">
        <v>4713</v>
      </c>
      <c r="B861" s="8" t="s">
        <v>4714</v>
      </c>
      <c r="C861" s="8" t="s">
        <v>4715</v>
      </c>
      <c r="D861" s="8" t="s">
        <v>4714</v>
      </c>
      <c r="E861" s="105">
        <v>0</v>
      </c>
      <c r="F861" s="106" t="s">
        <v>2024</v>
      </c>
      <c r="G861" s="8"/>
      <c r="H861" s="8"/>
      <c r="I861" s="107">
        <v>0</v>
      </c>
      <c r="J861" s="8" t="s">
        <v>2019</v>
      </c>
    </row>
    <row r="862" spans="1:10" ht="16.5" customHeight="1" x14ac:dyDescent="0.25">
      <c r="A862" s="8" t="s">
        <v>4716</v>
      </c>
      <c r="B862" s="8" t="s">
        <v>4717</v>
      </c>
      <c r="C862" s="8" t="s">
        <v>4718</v>
      </c>
      <c r="D862" s="8" t="s">
        <v>4717</v>
      </c>
      <c r="E862" s="105">
        <v>0</v>
      </c>
      <c r="F862" s="106" t="s">
        <v>2024</v>
      </c>
      <c r="G862" s="8"/>
      <c r="H862" s="8"/>
      <c r="I862" s="107">
        <v>0</v>
      </c>
      <c r="J862" s="8" t="s">
        <v>2019</v>
      </c>
    </row>
    <row r="863" spans="1:10" ht="16.5" customHeight="1" x14ac:dyDescent="0.25">
      <c r="A863" s="8" t="s">
        <v>4719</v>
      </c>
      <c r="B863" s="8" t="s">
        <v>4720</v>
      </c>
      <c r="C863" s="8" t="s">
        <v>4721</v>
      </c>
      <c r="D863" s="8" t="s">
        <v>4720</v>
      </c>
      <c r="E863" s="105">
        <v>0</v>
      </c>
      <c r="F863" s="106" t="s">
        <v>2024</v>
      </c>
      <c r="G863" s="8"/>
      <c r="H863" s="8"/>
      <c r="I863" s="107">
        <v>0</v>
      </c>
      <c r="J863" s="8" t="s">
        <v>4722</v>
      </c>
    </row>
    <row r="864" spans="1:10" ht="16.5" customHeight="1" x14ac:dyDescent="0.25">
      <c r="A864" s="8" t="s">
        <v>4723</v>
      </c>
      <c r="B864" s="8" t="s">
        <v>4724</v>
      </c>
      <c r="C864" s="8" t="s">
        <v>4725</v>
      </c>
      <c r="D864" s="8" t="s">
        <v>4724</v>
      </c>
      <c r="E864" s="105">
        <v>0</v>
      </c>
      <c r="F864" s="106" t="s">
        <v>2024</v>
      </c>
      <c r="G864" s="8"/>
      <c r="H864" s="8"/>
      <c r="I864" s="107">
        <v>0</v>
      </c>
      <c r="J864" s="8" t="s">
        <v>2019</v>
      </c>
    </row>
    <row r="865" spans="1:10" ht="16.5" customHeight="1" x14ac:dyDescent="0.25">
      <c r="A865" s="8" t="s">
        <v>4726</v>
      </c>
      <c r="B865" s="8" t="s">
        <v>4727</v>
      </c>
      <c r="C865" s="8" t="s">
        <v>4728</v>
      </c>
      <c r="D865" s="8" t="s">
        <v>4727</v>
      </c>
      <c r="E865" s="105">
        <v>0</v>
      </c>
      <c r="F865" s="106" t="s">
        <v>2024</v>
      </c>
      <c r="G865" s="8"/>
      <c r="H865" s="8"/>
      <c r="I865" s="107">
        <v>0</v>
      </c>
      <c r="J865" s="8" t="s">
        <v>2019</v>
      </c>
    </row>
    <row r="866" spans="1:10" ht="16.5" customHeight="1" x14ac:dyDescent="0.25">
      <c r="A866" s="8" t="s">
        <v>4729</v>
      </c>
      <c r="B866" s="8" t="s">
        <v>4730</v>
      </c>
      <c r="C866" s="8" t="s">
        <v>4731</v>
      </c>
      <c r="D866" s="8" t="s">
        <v>4730</v>
      </c>
      <c r="E866" s="105">
        <v>0</v>
      </c>
      <c r="F866" s="106" t="s">
        <v>2024</v>
      </c>
      <c r="G866" s="8"/>
      <c r="H866" s="8"/>
      <c r="I866" s="107">
        <v>0</v>
      </c>
      <c r="J866" s="8" t="s">
        <v>2019</v>
      </c>
    </row>
    <row r="867" spans="1:10" ht="16.5" customHeight="1" x14ac:dyDescent="0.25">
      <c r="A867" s="8" t="s">
        <v>4732</v>
      </c>
      <c r="B867" s="8" t="s">
        <v>4733</v>
      </c>
      <c r="C867" s="8" t="s">
        <v>4734</v>
      </c>
      <c r="D867" s="8" t="s">
        <v>4733</v>
      </c>
      <c r="E867" s="105">
        <v>0</v>
      </c>
      <c r="F867" s="106" t="s">
        <v>2024</v>
      </c>
      <c r="G867" s="8"/>
      <c r="H867" s="8"/>
      <c r="I867" s="107">
        <v>0</v>
      </c>
      <c r="J867" s="8" t="s">
        <v>2019</v>
      </c>
    </row>
    <row r="868" spans="1:10" ht="16.5" customHeight="1" x14ac:dyDescent="0.25">
      <c r="A868" s="8" t="s">
        <v>4735</v>
      </c>
      <c r="B868" s="8" t="s">
        <v>4736</v>
      </c>
      <c r="C868" s="8" t="s">
        <v>4737</v>
      </c>
      <c r="D868" s="8" t="s">
        <v>4736</v>
      </c>
      <c r="E868" s="105">
        <v>0</v>
      </c>
      <c r="F868" s="106" t="s">
        <v>2024</v>
      </c>
      <c r="G868" s="8"/>
      <c r="H868" s="8"/>
      <c r="I868" s="107">
        <v>0</v>
      </c>
      <c r="J868" s="8" t="s">
        <v>2019</v>
      </c>
    </row>
    <row r="869" spans="1:10" ht="16.5" customHeight="1" x14ac:dyDescent="0.25">
      <c r="A869" s="8" t="s">
        <v>4738</v>
      </c>
      <c r="B869" s="8" t="s">
        <v>4739</v>
      </c>
      <c r="C869" s="8" t="s">
        <v>4740</v>
      </c>
      <c r="D869" s="8" t="s">
        <v>4739</v>
      </c>
      <c r="E869" s="105">
        <v>0</v>
      </c>
      <c r="F869" s="106" t="s">
        <v>2024</v>
      </c>
      <c r="G869" s="8"/>
      <c r="H869" s="8"/>
      <c r="I869" s="107">
        <v>0</v>
      </c>
      <c r="J869" s="8" t="s">
        <v>2019</v>
      </c>
    </row>
    <row r="870" spans="1:10" ht="16.5" customHeight="1" x14ac:dyDescent="0.25">
      <c r="A870" s="8" t="s">
        <v>4741</v>
      </c>
      <c r="B870" s="8" t="s">
        <v>4742</v>
      </c>
      <c r="C870" s="8" t="s">
        <v>4743</v>
      </c>
      <c r="D870" s="8" t="s">
        <v>4742</v>
      </c>
      <c r="E870" s="105">
        <v>0</v>
      </c>
      <c r="F870" s="106" t="s">
        <v>2024</v>
      </c>
      <c r="G870" s="8"/>
      <c r="H870" s="8"/>
      <c r="I870" s="107">
        <v>0</v>
      </c>
      <c r="J870" s="8" t="s">
        <v>2019</v>
      </c>
    </row>
    <row r="871" spans="1:10" ht="16.5" customHeight="1" x14ac:dyDescent="0.25">
      <c r="A871" s="8" t="s">
        <v>4744</v>
      </c>
      <c r="B871" s="8" t="s">
        <v>4745</v>
      </c>
      <c r="C871" s="8" t="s">
        <v>4746</v>
      </c>
      <c r="D871" s="8" t="s">
        <v>4745</v>
      </c>
      <c r="E871" s="105">
        <v>0</v>
      </c>
      <c r="F871" s="106" t="s">
        <v>2024</v>
      </c>
      <c r="G871" s="8"/>
      <c r="H871" s="8"/>
      <c r="I871" s="107">
        <v>0</v>
      </c>
      <c r="J871" s="8" t="s">
        <v>2019</v>
      </c>
    </row>
    <row r="872" spans="1:10" ht="16.5" customHeight="1" x14ac:dyDescent="0.25">
      <c r="A872" s="8" t="s">
        <v>4747</v>
      </c>
      <c r="B872" s="8" t="s">
        <v>4554</v>
      </c>
      <c r="C872" s="8" t="s">
        <v>4555</v>
      </c>
      <c r="D872" s="8" t="s">
        <v>4554</v>
      </c>
      <c r="E872" s="105">
        <v>0</v>
      </c>
      <c r="F872" s="106" t="s">
        <v>2024</v>
      </c>
      <c r="G872" s="8"/>
      <c r="H872" s="8"/>
      <c r="I872" s="107">
        <v>0</v>
      </c>
      <c r="J872" s="8" t="s">
        <v>2019</v>
      </c>
    </row>
    <row r="873" spans="1:10" ht="16.5" customHeight="1" x14ac:dyDescent="0.25">
      <c r="A873" s="8" t="s">
        <v>4748</v>
      </c>
      <c r="B873" s="8" t="s">
        <v>4749</v>
      </c>
      <c r="C873" s="8" t="s">
        <v>4750</v>
      </c>
      <c r="D873" s="8" t="s">
        <v>4749</v>
      </c>
      <c r="E873" s="105">
        <v>0</v>
      </c>
      <c r="F873" s="106" t="s">
        <v>2024</v>
      </c>
      <c r="G873" s="8"/>
      <c r="H873" s="8"/>
      <c r="I873" s="107">
        <v>0</v>
      </c>
      <c r="J873" s="8" t="s">
        <v>2019</v>
      </c>
    </row>
    <row r="874" spans="1:10" ht="16.5" customHeight="1" x14ac:dyDescent="0.25">
      <c r="A874" s="8" t="s">
        <v>4751</v>
      </c>
      <c r="B874" s="8" t="s">
        <v>4752</v>
      </c>
      <c r="C874" s="8" t="s">
        <v>4753</v>
      </c>
      <c r="D874" s="8" t="s">
        <v>4752</v>
      </c>
      <c r="E874" s="105">
        <v>0</v>
      </c>
      <c r="F874" s="106" t="s">
        <v>2024</v>
      </c>
      <c r="G874" s="8"/>
      <c r="H874" s="8"/>
      <c r="I874" s="107">
        <v>0</v>
      </c>
      <c r="J874" s="8" t="s">
        <v>2019</v>
      </c>
    </row>
    <row r="875" spans="1:10" ht="16.5" customHeight="1" x14ac:dyDescent="0.25">
      <c r="A875" s="8" t="s">
        <v>4754</v>
      </c>
      <c r="B875" s="8" t="s">
        <v>4755</v>
      </c>
      <c r="C875" s="8" t="s">
        <v>4756</v>
      </c>
      <c r="D875" s="8" t="s">
        <v>4755</v>
      </c>
      <c r="E875" s="105">
        <v>0</v>
      </c>
      <c r="F875" s="106" t="s">
        <v>2024</v>
      </c>
      <c r="G875" s="8"/>
      <c r="H875" s="8"/>
      <c r="I875" s="107">
        <v>0</v>
      </c>
      <c r="J875" s="8" t="s">
        <v>2019</v>
      </c>
    </row>
    <row r="876" spans="1:10" ht="16.5" customHeight="1" x14ac:dyDescent="0.25">
      <c r="A876" s="8" t="s">
        <v>4757</v>
      </c>
      <c r="B876" s="8" t="s">
        <v>4758</v>
      </c>
      <c r="C876" s="8" t="s">
        <v>4759</v>
      </c>
      <c r="D876" s="8" t="s">
        <v>4758</v>
      </c>
      <c r="E876" s="105">
        <v>0</v>
      </c>
      <c r="F876" s="106" t="s">
        <v>2024</v>
      </c>
      <c r="G876" s="8"/>
      <c r="H876" s="8"/>
      <c r="I876" s="107">
        <v>0</v>
      </c>
      <c r="J876" s="8" t="s">
        <v>2019</v>
      </c>
    </row>
    <row r="877" spans="1:10" ht="16.5" customHeight="1" x14ac:dyDescent="0.25">
      <c r="A877" s="8" t="s">
        <v>4760</v>
      </c>
      <c r="B877" s="8" t="s">
        <v>4761</v>
      </c>
      <c r="C877" s="8" t="s">
        <v>4762</v>
      </c>
      <c r="D877" s="8" t="s">
        <v>4761</v>
      </c>
      <c r="E877" s="105">
        <v>0</v>
      </c>
      <c r="F877" s="106" t="s">
        <v>2024</v>
      </c>
      <c r="G877" s="8"/>
      <c r="H877" s="8"/>
      <c r="I877" s="107">
        <v>0</v>
      </c>
      <c r="J877" s="8" t="s">
        <v>2019</v>
      </c>
    </row>
    <row r="878" spans="1:10" ht="16.5" customHeight="1" x14ac:dyDescent="0.25">
      <c r="A878" s="8" t="s">
        <v>4763</v>
      </c>
      <c r="B878" s="8" t="s">
        <v>4764</v>
      </c>
      <c r="C878" s="8" t="s">
        <v>3579</v>
      </c>
      <c r="D878" s="8" t="s">
        <v>4764</v>
      </c>
      <c r="E878" s="105">
        <v>1</v>
      </c>
      <c r="F878" s="106" t="s">
        <v>2024</v>
      </c>
      <c r="G878" s="8"/>
      <c r="H878" s="8"/>
      <c r="I878" s="107">
        <v>0</v>
      </c>
      <c r="J878" s="8"/>
    </row>
    <row r="879" spans="1:10" ht="16.5" customHeight="1" x14ac:dyDescent="0.25">
      <c r="A879" s="8" t="s">
        <v>4765</v>
      </c>
      <c r="B879" s="8" t="s">
        <v>4766</v>
      </c>
      <c r="C879" s="8" t="s">
        <v>4767</v>
      </c>
      <c r="D879" s="8" t="s">
        <v>4766</v>
      </c>
      <c r="E879" s="105">
        <v>0.8</v>
      </c>
      <c r="F879" s="106" t="s">
        <v>2024</v>
      </c>
      <c r="G879" s="8"/>
      <c r="H879" s="8"/>
      <c r="I879" s="107">
        <v>0</v>
      </c>
      <c r="J879" s="8" t="s">
        <v>2019</v>
      </c>
    </row>
    <row r="880" spans="1:10" ht="16.5" customHeight="1" x14ac:dyDescent="0.25">
      <c r="A880" s="8" t="s">
        <v>4768</v>
      </c>
      <c r="B880" s="8" t="s">
        <v>4769</v>
      </c>
      <c r="C880" s="8" t="s">
        <v>4770</v>
      </c>
      <c r="D880" s="8" t="s">
        <v>4769</v>
      </c>
      <c r="E880" s="105">
        <v>0</v>
      </c>
      <c r="F880" s="106" t="s">
        <v>2024</v>
      </c>
      <c r="G880" s="8"/>
      <c r="H880" s="8"/>
      <c r="I880" s="107">
        <v>0</v>
      </c>
      <c r="J880" s="8" t="s">
        <v>2019</v>
      </c>
    </row>
    <row r="881" spans="1:10" ht="16.5" customHeight="1" x14ac:dyDescent="0.25">
      <c r="A881" s="8" t="s">
        <v>4771</v>
      </c>
      <c r="B881" s="8" t="s">
        <v>4772</v>
      </c>
      <c r="C881" s="8" t="s">
        <v>4773</v>
      </c>
      <c r="D881" s="8" t="s">
        <v>4772</v>
      </c>
      <c r="E881" s="105">
        <v>0</v>
      </c>
      <c r="F881" s="106" t="s">
        <v>2024</v>
      </c>
      <c r="G881" s="8"/>
      <c r="H881" s="8"/>
      <c r="I881" s="107">
        <v>0</v>
      </c>
      <c r="J881" s="8" t="s">
        <v>2019</v>
      </c>
    </row>
    <row r="882" spans="1:10" ht="16.5" customHeight="1" x14ac:dyDescent="0.25">
      <c r="A882" s="8" t="s">
        <v>4774</v>
      </c>
      <c r="B882" s="8" t="s">
        <v>4775</v>
      </c>
      <c r="C882" s="8" t="s">
        <v>4776</v>
      </c>
      <c r="D882" s="8" t="s">
        <v>4775</v>
      </c>
      <c r="E882" s="105">
        <v>0</v>
      </c>
      <c r="F882" s="106" t="s">
        <v>2024</v>
      </c>
      <c r="G882" s="8"/>
      <c r="H882" s="8"/>
      <c r="I882" s="107">
        <v>0</v>
      </c>
      <c r="J882" s="8" t="s">
        <v>2019</v>
      </c>
    </row>
    <row r="883" spans="1:10" ht="16.5" customHeight="1" x14ac:dyDescent="0.25">
      <c r="A883" s="8" t="s">
        <v>4777</v>
      </c>
      <c r="B883" s="8" t="s">
        <v>4778</v>
      </c>
      <c r="C883" s="8" t="s">
        <v>4779</v>
      </c>
      <c r="D883" s="8" t="s">
        <v>4778</v>
      </c>
      <c r="E883" s="105">
        <v>0</v>
      </c>
      <c r="F883" s="106" t="s">
        <v>2024</v>
      </c>
      <c r="G883" s="8"/>
      <c r="H883" s="8"/>
      <c r="I883" s="107">
        <v>0</v>
      </c>
      <c r="J883" s="8" t="s">
        <v>2019</v>
      </c>
    </row>
    <row r="884" spans="1:10" ht="16.5" customHeight="1" x14ac:dyDescent="0.25">
      <c r="A884" s="8" t="s">
        <v>4780</v>
      </c>
      <c r="B884" s="8" t="s">
        <v>4781</v>
      </c>
      <c r="C884" s="8" t="s">
        <v>4782</v>
      </c>
      <c r="D884" s="8" t="s">
        <v>4781</v>
      </c>
      <c r="E884" s="105">
        <v>0</v>
      </c>
      <c r="F884" s="106" t="s">
        <v>2024</v>
      </c>
      <c r="G884" s="8"/>
      <c r="H884" s="8"/>
      <c r="I884" s="107">
        <v>0</v>
      </c>
      <c r="J884" s="8" t="s">
        <v>2019</v>
      </c>
    </row>
    <row r="885" spans="1:10" ht="16.5" customHeight="1" x14ac:dyDescent="0.25">
      <c r="A885" s="8" t="s">
        <v>4783</v>
      </c>
      <c r="B885" s="8" t="s">
        <v>4784</v>
      </c>
      <c r="C885" s="8" t="s">
        <v>4785</v>
      </c>
      <c r="D885" s="8" t="s">
        <v>4784</v>
      </c>
      <c r="E885" s="105">
        <v>25</v>
      </c>
      <c r="F885" s="106" t="s">
        <v>2024</v>
      </c>
      <c r="G885" s="8"/>
      <c r="H885" s="8"/>
      <c r="I885" s="107">
        <v>0</v>
      </c>
      <c r="J885" s="8" t="s">
        <v>2019</v>
      </c>
    </row>
    <row r="886" spans="1:10" ht="16.5" customHeight="1" x14ac:dyDescent="0.25">
      <c r="A886" s="8" t="s">
        <v>4786</v>
      </c>
      <c r="B886" s="8" t="s">
        <v>4787</v>
      </c>
      <c r="C886" s="8" t="s">
        <v>4788</v>
      </c>
      <c r="D886" s="8" t="s">
        <v>4787</v>
      </c>
      <c r="E886" s="105">
        <v>12.8</v>
      </c>
      <c r="F886" s="106" t="s">
        <v>2024</v>
      </c>
      <c r="G886" s="8"/>
      <c r="H886" s="8"/>
      <c r="I886" s="107">
        <v>0</v>
      </c>
      <c r="J886" s="8" t="s">
        <v>4789</v>
      </c>
    </row>
    <row r="887" spans="1:10" ht="16.5" customHeight="1" x14ac:dyDescent="0.25">
      <c r="A887" s="8" t="s">
        <v>4790</v>
      </c>
      <c r="B887" s="8" t="s">
        <v>4791</v>
      </c>
      <c r="C887" s="8" t="s">
        <v>4792</v>
      </c>
      <c r="D887" s="8" t="s">
        <v>4791</v>
      </c>
      <c r="E887" s="105">
        <v>6.6</v>
      </c>
      <c r="F887" s="106" t="s">
        <v>2024</v>
      </c>
      <c r="G887" s="8"/>
      <c r="H887" s="8"/>
      <c r="I887" s="107">
        <v>0</v>
      </c>
      <c r="J887" s="8" t="s">
        <v>4789</v>
      </c>
    </row>
    <row r="888" spans="1:10" ht="16.5" customHeight="1" x14ac:dyDescent="0.25">
      <c r="A888" s="8" t="s">
        <v>4793</v>
      </c>
      <c r="B888" s="8" t="s">
        <v>4794</v>
      </c>
      <c r="C888" s="8" t="s">
        <v>4795</v>
      </c>
      <c r="D888" s="8" t="s">
        <v>4794</v>
      </c>
      <c r="E888" s="105">
        <v>6.6</v>
      </c>
      <c r="F888" s="106" t="s">
        <v>2024</v>
      </c>
      <c r="G888" s="8"/>
      <c r="H888" s="8"/>
      <c r="I888" s="107">
        <v>0</v>
      </c>
      <c r="J888" s="8" t="s">
        <v>4789</v>
      </c>
    </row>
    <row r="889" spans="1:10" ht="16.5" customHeight="1" x14ac:dyDescent="0.25">
      <c r="A889" s="8" t="s">
        <v>4796</v>
      </c>
      <c r="B889" s="8" t="s">
        <v>4797</v>
      </c>
      <c r="C889" s="8" t="s">
        <v>4798</v>
      </c>
      <c r="D889" s="8" t="s">
        <v>4797</v>
      </c>
      <c r="E889" s="105">
        <v>10.199999999999999</v>
      </c>
      <c r="F889" s="106" t="s">
        <v>2024</v>
      </c>
      <c r="G889" s="8"/>
      <c r="H889" s="8"/>
      <c r="I889" s="107">
        <v>0</v>
      </c>
      <c r="J889" s="8" t="s">
        <v>4789</v>
      </c>
    </row>
    <row r="890" spans="1:10" ht="16.5" customHeight="1" x14ac:dyDescent="0.25">
      <c r="A890" s="8" t="s">
        <v>4799</v>
      </c>
      <c r="B890" s="8" t="s">
        <v>4800</v>
      </c>
      <c r="C890" s="8" t="s">
        <v>4801</v>
      </c>
      <c r="D890" s="8" t="s">
        <v>4800</v>
      </c>
      <c r="E890" s="105">
        <v>5.5</v>
      </c>
      <c r="F890" s="106" t="s">
        <v>2024</v>
      </c>
      <c r="G890" s="8"/>
      <c r="H890" s="8"/>
      <c r="I890" s="107">
        <v>0</v>
      </c>
      <c r="J890" s="8" t="s">
        <v>4789</v>
      </c>
    </row>
    <row r="891" spans="1:10" ht="16.5" customHeight="1" x14ac:dyDescent="0.25">
      <c r="A891" s="8" t="s">
        <v>4802</v>
      </c>
      <c r="B891" s="8" t="s">
        <v>4803</v>
      </c>
      <c r="C891" s="8" t="s">
        <v>4804</v>
      </c>
      <c r="D891" s="8" t="s">
        <v>4803</v>
      </c>
      <c r="E891" s="105">
        <v>9</v>
      </c>
      <c r="F891" s="106" t="s">
        <v>2024</v>
      </c>
      <c r="G891" s="8"/>
      <c r="H891" s="8"/>
      <c r="I891" s="107">
        <v>0</v>
      </c>
      <c r="J891" s="8" t="s">
        <v>4789</v>
      </c>
    </row>
    <row r="892" spans="1:10" ht="16.5" customHeight="1" x14ac:dyDescent="0.25">
      <c r="A892" s="8" t="s">
        <v>4805</v>
      </c>
      <c r="B892" s="8" t="s">
        <v>4806</v>
      </c>
      <c r="C892" s="8" t="s">
        <v>4788</v>
      </c>
      <c r="D892" s="8" t="s">
        <v>4806</v>
      </c>
      <c r="E892" s="105">
        <v>0.53300000000000003</v>
      </c>
      <c r="F892" s="106" t="s">
        <v>2024</v>
      </c>
      <c r="G892" s="8"/>
      <c r="H892" s="8"/>
      <c r="I892" s="107">
        <v>0</v>
      </c>
      <c r="J892" s="8" t="s">
        <v>4789</v>
      </c>
    </row>
    <row r="893" spans="1:10" ht="16.5" customHeight="1" x14ac:dyDescent="0.25">
      <c r="A893" s="8" t="s">
        <v>4807</v>
      </c>
      <c r="B893" s="8" t="s">
        <v>4808</v>
      </c>
      <c r="C893" s="8" t="s">
        <v>4792</v>
      </c>
      <c r="D893" s="8" t="s">
        <v>4808</v>
      </c>
      <c r="E893" s="105">
        <v>0.27500000000000002</v>
      </c>
      <c r="F893" s="106" t="s">
        <v>2024</v>
      </c>
      <c r="G893" s="8"/>
      <c r="H893" s="8"/>
      <c r="I893" s="107">
        <v>0</v>
      </c>
      <c r="J893" s="8" t="s">
        <v>4789</v>
      </c>
    </row>
    <row r="894" spans="1:10" ht="16.5" customHeight="1" x14ac:dyDescent="0.25">
      <c r="A894" s="8" t="s">
        <v>4809</v>
      </c>
      <c r="B894" s="8" t="s">
        <v>4810</v>
      </c>
      <c r="C894" s="8" t="s">
        <v>4795</v>
      </c>
      <c r="D894" s="8" t="s">
        <v>4810</v>
      </c>
      <c r="E894" s="105">
        <v>0.27500000000000002</v>
      </c>
      <c r="F894" s="106" t="s">
        <v>2024</v>
      </c>
      <c r="G894" s="8"/>
      <c r="H894" s="8"/>
      <c r="I894" s="107">
        <v>0</v>
      </c>
      <c r="J894" s="8" t="s">
        <v>4789</v>
      </c>
    </row>
    <row r="895" spans="1:10" ht="16.5" customHeight="1" x14ac:dyDescent="0.25">
      <c r="A895" s="8" t="s">
        <v>4811</v>
      </c>
      <c r="B895" s="8" t="s">
        <v>4812</v>
      </c>
      <c r="C895" s="8" t="s">
        <v>4798</v>
      </c>
      <c r="D895" s="8" t="s">
        <v>4812</v>
      </c>
      <c r="E895" s="105">
        <v>0.34</v>
      </c>
      <c r="F895" s="106" t="s">
        <v>2024</v>
      </c>
      <c r="G895" s="8"/>
      <c r="H895" s="8"/>
      <c r="I895" s="107">
        <v>0</v>
      </c>
      <c r="J895" s="8" t="s">
        <v>4789</v>
      </c>
    </row>
    <row r="896" spans="1:10" ht="16.5" customHeight="1" x14ac:dyDescent="0.25">
      <c r="A896" s="8" t="s">
        <v>4813</v>
      </c>
      <c r="B896" s="8" t="s">
        <v>4814</v>
      </c>
      <c r="C896" s="8" t="s">
        <v>4801</v>
      </c>
      <c r="D896" s="8" t="s">
        <v>4814</v>
      </c>
      <c r="E896" s="105">
        <v>0.23</v>
      </c>
      <c r="F896" s="106" t="s">
        <v>2024</v>
      </c>
      <c r="G896" s="8"/>
      <c r="H896" s="8"/>
      <c r="I896" s="107">
        <v>0</v>
      </c>
      <c r="J896" s="8" t="s">
        <v>4789</v>
      </c>
    </row>
    <row r="897" spans="1:10" ht="16.5" customHeight="1" x14ac:dyDescent="0.25">
      <c r="A897" s="8" t="s">
        <v>4815</v>
      </c>
      <c r="B897" s="8" t="s">
        <v>4816</v>
      </c>
      <c r="C897" s="8" t="s">
        <v>4804</v>
      </c>
      <c r="D897" s="8" t="s">
        <v>4816</v>
      </c>
      <c r="E897" s="105">
        <v>0.45</v>
      </c>
      <c r="F897" s="106" t="s">
        <v>2024</v>
      </c>
      <c r="G897" s="8"/>
      <c r="H897" s="8"/>
      <c r="I897" s="107">
        <v>0</v>
      </c>
      <c r="J897" s="8" t="s">
        <v>4789</v>
      </c>
    </row>
    <row r="898" spans="1:10" ht="16.5" customHeight="1" x14ac:dyDescent="0.25">
      <c r="A898" s="8" t="s">
        <v>4817</v>
      </c>
      <c r="B898" s="8" t="s">
        <v>4818</v>
      </c>
      <c r="C898" s="8" t="s">
        <v>4819</v>
      </c>
      <c r="D898" s="8" t="s">
        <v>4818</v>
      </c>
      <c r="E898" s="105">
        <v>10</v>
      </c>
      <c r="F898" s="106" t="s">
        <v>2024</v>
      </c>
      <c r="G898" s="8"/>
      <c r="H898" s="8"/>
      <c r="I898" s="107">
        <v>0</v>
      </c>
      <c r="J898" s="8" t="s">
        <v>3580</v>
      </c>
    </row>
    <row r="899" spans="1:10" ht="16.5" customHeight="1" x14ac:dyDescent="0.25">
      <c r="A899" s="8" t="s">
        <v>4820</v>
      </c>
      <c r="B899" s="8" t="s">
        <v>4821</v>
      </c>
      <c r="C899" s="8" t="s">
        <v>4822</v>
      </c>
      <c r="D899" s="8" t="s">
        <v>4821</v>
      </c>
      <c r="E899" s="105">
        <v>1</v>
      </c>
      <c r="F899" s="106" t="s">
        <v>2024</v>
      </c>
      <c r="G899" s="8"/>
      <c r="H899" s="8"/>
      <c r="I899" s="107">
        <v>0</v>
      </c>
      <c r="J899" s="8" t="s">
        <v>4823</v>
      </c>
    </row>
    <row r="900" spans="1:10" ht="16.5" customHeight="1" x14ac:dyDescent="0.25">
      <c r="A900" s="8" t="s">
        <v>4824</v>
      </c>
      <c r="B900" s="8" t="s">
        <v>4825</v>
      </c>
      <c r="C900" s="8" t="s">
        <v>4822</v>
      </c>
      <c r="D900" s="8" t="s">
        <v>4825</v>
      </c>
      <c r="E900" s="105">
        <v>1</v>
      </c>
      <c r="F900" s="106" t="s">
        <v>2024</v>
      </c>
      <c r="G900" s="8"/>
      <c r="H900" s="8"/>
      <c r="I900" s="107">
        <v>0</v>
      </c>
      <c r="J900" s="8" t="s">
        <v>3580</v>
      </c>
    </row>
    <row r="901" spans="1:10" ht="16.5" customHeight="1" x14ac:dyDescent="0.25">
      <c r="A901" s="8" t="s">
        <v>4826</v>
      </c>
      <c r="B901" s="8" t="s">
        <v>4827</v>
      </c>
      <c r="C901" s="8" t="s">
        <v>4822</v>
      </c>
      <c r="D901" s="8" t="s">
        <v>4827</v>
      </c>
      <c r="E901" s="105">
        <v>1</v>
      </c>
      <c r="F901" s="106" t="s">
        <v>2024</v>
      </c>
      <c r="G901" s="8"/>
      <c r="H901" s="8"/>
      <c r="I901" s="107">
        <v>0</v>
      </c>
      <c r="J901" s="8" t="s">
        <v>3580</v>
      </c>
    </row>
    <row r="902" spans="1:10" ht="16.5" customHeight="1" x14ac:dyDescent="0.25">
      <c r="A902" s="8" t="s">
        <v>4828</v>
      </c>
      <c r="B902" s="8" t="s">
        <v>4829</v>
      </c>
      <c r="C902" s="8" t="s">
        <v>4830</v>
      </c>
      <c r="D902" s="8" t="s">
        <v>4829</v>
      </c>
      <c r="E902" s="105">
        <v>1</v>
      </c>
      <c r="F902" s="106" t="s">
        <v>2024</v>
      </c>
      <c r="G902" s="8"/>
      <c r="H902" s="8"/>
      <c r="I902" s="107">
        <v>0</v>
      </c>
      <c r="J902" s="8" t="s">
        <v>3580</v>
      </c>
    </row>
    <row r="903" spans="1:10" ht="16.5" customHeight="1" x14ac:dyDescent="0.25">
      <c r="A903" s="8" t="s">
        <v>4831</v>
      </c>
      <c r="B903" s="8" t="s">
        <v>4832</v>
      </c>
      <c r="C903" s="8" t="s">
        <v>4830</v>
      </c>
      <c r="D903" s="8" t="s">
        <v>4832</v>
      </c>
      <c r="E903" s="105">
        <v>1</v>
      </c>
      <c r="F903" s="106" t="s">
        <v>2024</v>
      </c>
      <c r="G903" s="8"/>
      <c r="H903" s="8"/>
      <c r="I903" s="107">
        <v>0</v>
      </c>
      <c r="J903" s="8" t="s">
        <v>3580</v>
      </c>
    </row>
    <row r="904" spans="1:10" ht="16.5" customHeight="1" x14ac:dyDescent="0.25">
      <c r="A904" s="8" t="s">
        <v>4833</v>
      </c>
      <c r="B904" s="8" t="s">
        <v>4834</v>
      </c>
      <c r="C904" s="8" t="s">
        <v>4835</v>
      </c>
      <c r="D904" s="8" t="s">
        <v>4834</v>
      </c>
      <c r="E904" s="105">
        <v>1</v>
      </c>
      <c r="F904" s="106" t="s">
        <v>2024</v>
      </c>
      <c r="G904" s="8"/>
      <c r="H904" s="8"/>
      <c r="I904" s="107">
        <v>0</v>
      </c>
      <c r="J904" s="8" t="s">
        <v>3580</v>
      </c>
    </row>
    <row r="905" spans="1:10" ht="16.5" customHeight="1" x14ac:dyDescent="0.25">
      <c r="A905" s="8" t="s">
        <v>4836</v>
      </c>
      <c r="B905" s="8" t="s">
        <v>4837</v>
      </c>
      <c r="C905" s="8" t="s">
        <v>4835</v>
      </c>
      <c r="D905" s="8" t="s">
        <v>4837</v>
      </c>
      <c r="E905" s="105">
        <v>1</v>
      </c>
      <c r="F905" s="106" t="s">
        <v>2024</v>
      </c>
      <c r="G905" s="8"/>
      <c r="H905" s="8"/>
      <c r="I905" s="107">
        <v>0</v>
      </c>
      <c r="J905" s="8" t="s">
        <v>3580</v>
      </c>
    </row>
    <row r="906" spans="1:10" ht="16.5" customHeight="1" x14ac:dyDescent="0.25">
      <c r="A906" s="8" t="s">
        <v>4838</v>
      </c>
      <c r="B906" s="8" t="s">
        <v>4839</v>
      </c>
      <c r="C906" s="8" t="s">
        <v>4835</v>
      </c>
      <c r="D906" s="8" t="s">
        <v>4839</v>
      </c>
      <c r="E906" s="105">
        <v>1</v>
      </c>
      <c r="F906" s="106" t="s">
        <v>2024</v>
      </c>
      <c r="G906" s="8"/>
      <c r="H906" s="8"/>
      <c r="I906" s="107">
        <v>0</v>
      </c>
      <c r="J906" s="8" t="s">
        <v>3580</v>
      </c>
    </row>
    <row r="907" spans="1:10" ht="16.5" customHeight="1" x14ac:dyDescent="0.25">
      <c r="A907" s="8" t="s">
        <v>4840</v>
      </c>
      <c r="B907" s="8" t="s">
        <v>4841</v>
      </c>
      <c r="C907" s="8" t="s">
        <v>4835</v>
      </c>
      <c r="D907" s="8" t="s">
        <v>4841</v>
      </c>
      <c r="E907" s="105">
        <v>1</v>
      </c>
      <c r="F907" s="106" t="s">
        <v>2024</v>
      </c>
      <c r="G907" s="8"/>
      <c r="H907" s="8"/>
      <c r="I907" s="107">
        <v>0</v>
      </c>
      <c r="J907" s="8" t="s">
        <v>3580</v>
      </c>
    </row>
    <row r="908" spans="1:10" ht="16.5" customHeight="1" x14ac:dyDescent="0.25">
      <c r="A908" s="8" t="s">
        <v>4842</v>
      </c>
      <c r="B908" s="8" t="s">
        <v>4843</v>
      </c>
      <c r="C908" s="8" t="s">
        <v>4835</v>
      </c>
      <c r="D908" s="8" t="s">
        <v>4843</v>
      </c>
      <c r="E908" s="105">
        <v>1</v>
      </c>
      <c r="F908" s="106" t="s">
        <v>2024</v>
      </c>
      <c r="G908" s="8"/>
      <c r="H908" s="8"/>
      <c r="I908" s="107">
        <v>0</v>
      </c>
      <c r="J908" s="8" t="s">
        <v>3580</v>
      </c>
    </row>
    <row r="909" spans="1:10" ht="16.5" customHeight="1" x14ac:dyDescent="0.25">
      <c r="A909" s="8" t="s">
        <v>4844</v>
      </c>
      <c r="B909" s="8" t="s">
        <v>4845</v>
      </c>
      <c r="C909" s="8" t="s">
        <v>4846</v>
      </c>
      <c r="D909" s="8" t="s">
        <v>4845</v>
      </c>
      <c r="E909" s="105">
        <v>1</v>
      </c>
      <c r="F909" s="106" t="s">
        <v>2024</v>
      </c>
      <c r="G909" s="8"/>
      <c r="H909" s="8"/>
      <c r="I909" s="107">
        <v>0</v>
      </c>
      <c r="J909" s="8" t="s">
        <v>3580</v>
      </c>
    </row>
    <row r="910" spans="1:10" ht="16.5" customHeight="1" x14ac:dyDescent="0.25">
      <c r="A910" s="8" t="s">
        <v>4847</v>
      </c>
      <c r="B910" s="8" t="s">
        <v>4848</v>
      </c>
      <c r="C910" s="8" t="s">
        <v>4849</v>
      </c>
      <c r="D910" s="8" t="s">
        <v>4848</v>
      </c>
      <c r="E910" s="105">
        <v>1</v>
      </c>
      <c r="F910" s="106" t="s">
        <v>2024</v>
      </c>
      <c r="G910" s="8"/>
      <c r="H910" s="8"/>
      <c r="I910" s="107">
        <v>0</v>
      </c>
      <c r="J910" s="8" t="s">
        <v>3580</v>
      </c>
    </row>
    <row r="911" spans="1:10" ht="16.5" customHeight="1" x14ac:dyDescent="0.25">
      <c r="A911" s="8" t="s">
        <v>4850</v>
      </c>
      <c r="B911" s="8" t="s">
        <v>4851</v>
      </c>
      <c r="C911" s="8" t="s">
        <v>4849</v>
      </c>
      <c r="D911" s="8" t="s">
        <v>4851</v>
      </c>
      <c r="E911" s="105">
        <v>1</v>
      </c>
      <c r="F911" s="106" t="s">
        <v>2024</v>
      </c>
      <c r="G911" s="8"/>
      <c r="H911" s="8"/>
      <c r="I911" s="107">
        <v>0</v>
      </c>
      <c r="J911" s="8" t="s">
        <v>3580</v>
      </c>
    </row>
    <row r="912" spans="1:10" ht="16.5" customHeight="1" x14ac:dyDescent="0.25">
      <c r="A912" s="8" t="s">
        <v>4852</v>
      </c>
      <c r="B912" s="8" t="s">
        <v>4853</v>
      </c>
      <c r="C912" s="8" t="s">
        <v>4854</v>
      </c>
      <c r="D912" s="8" t="s">
        <v>4853</v>
      </c>
      <c r="E912" s="105">
        <v>18</v>
      </c>
      <c r="F912" s="106" t="s">
        <v>2018</v>
      </c>
      <c r="G912" s="8"/>
      <c r="H912" s="8"/>
      <c r="I912" s="107">
        <v>0</v>
      </c>
      <c r="J912" s="8"/>
    </row>
    <row r="913" spans="1:10" ht="16.5" customHeight="1" x14ac:dyDescent="0.25">
      <c r="A913" s="8" t="s">
        <v>4855</v>
      </c>
      <c r="B913" s="8" t="s">
        <v>4856</v>
      </c>
      <c r="C913" s="8" t="s">
        <v>4857</v>
      </c>
      <c r="D913" s="8" t="s">
        <v>4856</v>
      </c>
      <c r="E913" s="105">
        <v>20.8</v>
      </c>
      <c r="F913" s="106" t="s">
        <v>2024</v>
      </c>
      <c r="G913" s="8"/>
      <c r="H913" s="8"/>
      <c r="I913" s="107">
        <v>0</v>
      </c>
      <c r="J913" s="8" t="s">
        <v>4789</v>
      </c>
    </row>
    <row r="914" spans="1:10" ht="16.5" customHeight="1" x14ac:dyDescent="0.25">
      <c r="A914" s="8" t="s">
        <v>4858</v>
      </c>
      <c r="B914" s="8" t="s">
        <v>4859</v>
      </c>
      <c r="C914" s="8" t="s">
        <v>4857</v>
      </c>
      <c r="D914" s="8" t="s">
        <v>4859</v>
      </c>
      <c r="E914" s="105">
        <v>5.2</v>
      </c>
      <c r="F914" s="106" t="s">
        <v>2024</v>
      </c>
      <c r="G914" s="8"/>
      <c r="H914" s="8"/>
      <c r="I914" s="107">
        <v>0</v>
      </c>
      <c r="J914" s="8" t="s">
        <v>4789</v>
      </c>
    </row>
    <row r="915" spans="1:10" ht="16.5" customHeight="1" x14ac:dyDescent="0.25">
      <c r="A915" s="8" t="s">
        <v>4860</v>
      </c>
      <c r="B915" s="8" t="s">
        <v>4861</v>
      </c>
      <c r="C915" s="8" t="s">
        <v>4861</v>
      </c>
      <c r="D915" s="8" t="s">
        <v>4861</v>
      </c>
      <c r="E915" s="105">
        <v>0</v>
      </c>
      <c r="F915" s="106" t="s">
        <v>2024</v>
      </c>
      <c r="G915" s="8"/>
      <c r="H915" s="8"/>
      <c r="I915" s="107">
        <v>0</v>
      </c>
      <c r="J915" s="8"/>
    </row>
    <row r="916" spans="1:10" ht="16.5" customHeight="1" x14ac:dyDescent="0.25">
      <c r="A916" s="8" t="s">
        <v>4862</v>
      </c>
      <c r="B916" s="8" t="s">
        <v>4863</v>
      </c>
      <c r="C916" s="8" t="s">
        <v>4863</v>
      </c>
      <c r="D916" s="8" t="s">
        <v>4863</v>
      </c>
      <c r="E916" s="105">
        <v>0</v>
      </c>
      <c r="F916" s="106" t="s">
        <v>2024</v>
      </c>
      <c r="G916" s="8"/>
      <c r="H916" s="8"/>
      <c r="I916" s="107">
        <v>0</v>
      </c>
      <c r="J916" s="8"/>
    </row>
    <row r="917" spans="1:10" ht="16.5" customHeight="1" x14ac:dyDescent="0.25">
      <c r="A917" s="8" t="s">
        <v>4864</v>
      </c>
      <c r="B917" s="8" t="s">
        <v>4865</v>
      </c>
      <c r="C917" s="8" t="s">
        <v>4865</v>
      </c>
      <c r="D917" s="8" t="s">
        <v>4865</v>
      </c>
      <c r="E917" s="105">
        <v>0</v>
      </c>
      <c r="F917" s="106" t="s">
        <v>2024</v>
      </c>
      <c r="G917" s="8"/>
      <c r="H917" s="8"/>
      <c r="I917" s="107">
        <v>0</v>
      </c>
      <c r="J917" s="8"/>
    </row>
    <row r="918" spans="1:10" ht="16.5" customHeight="1" x14ac:dyDescent="0.25">
      <c r="A918" s="8" t="s">
        <v>4866</v>
      </c>
      <c r="B918" s="8" t="s">
        <v>4867</v>
      </c>
      <c r="C918" s="8" t="s">
        <v>4867</v>
      </c>
      <c r="D918" s="8" t="s">
        <v>4867</v>
      </c>
      <c r="E918" s="105">
        <v>0</v>
      </c>
      <c r="F918" s="106" t="s">
        <v>2024</v>
      </c>
      <c r="G918" s="8"/>
      <c r="H918" s="8"/>
      <c r="I918" s="107">
        <v>0</v>
      </c>
      <c r="J918" s="8"/>
    </row>
    <row r="919" spans="1:10" ht="16.5" customHeight="1" x14ac:dyDescent="0.25">
      <c r="A919" s="8" t="s">
        <v>4868</v>
      </c>
      <c r="B919" s="8" t="s">
        <v>4869</v>
      </c>
      <c r="C919" s="8" t="s">
        <v>4869</v>
      </c>
      <c r="D919" s="8" t="s">
        <v>4869</v>
      </c>
      <c r="E919" s="105">
        <v>0</v>
      </c>
      <c r="F919" s="106" t="s">
        <v>2024</v>
      </c>
      <c r="G919" s="8"/>
      <c r="H919" s="8"/>
      <c r="I919" s="107">
        <v>0</v>
      </c>
      <c r="J919" s="8"/>
    </row>
    <row r="920" spans="1:10" ht="16.5" customHeight="1" x14ac:dyDescent="0.25">
      <c r="A920" s="8" t="s">
        <v>4870</v>
      </c>
      <c r="B920" s="8" t="s">
        <v>4871</v>
      </c>
      <c r="C920" s="8" t="s">
        <v>4872</v>
      </c>
      <c r="D920" s="8" t="s">
        <v>4871</v>
      </c>
      <c r="E920" s="105">
        <v>5.9</v>
      </c>
      <c r="F920" s="106" t="s">
        <v>2024</v>
      </c>
      <c r="G920" s="8"/>
      <c r="H920" s="8"/>
      <c r="I920" s="107">
        <v>0</v>
      </c>
      <c r="J920" s="8" t="s">
        <v>4789</v>
      </c>
    </row>
    <row r="921" spans="1:10" ht="16.5" customHeight="1" x14ac:dyDescent="0.25">
      <c r="A921" s="8" t="s">
        <v>4873</v>
      </c>
      <c r="B921" s="8" t="s">
        <v>4874</v>
      </c>
      <c r="C921" s="8" t="s">
        <v>4872</v>
      </c>
      <c r="D921" s="8" t="s">
        <v>4874</v>
      </c>
      <c r="E921" s="105">
        <v>0.29499999999999998</v>
      </c>
      <c r="F921" s="106" t="s">
        <v>2024</v>
      </c>
      <c r="G921" s="8"/>
      <c r="H921" s="8"/>
      <c r="I921" s="107">
        <v>0</v>
      </c>
      <c r="J921" s="8" t="s">
        <v>4789</v>
      </c>
    </row>
    <row r="922" spans="1:10" ht="16.5" customHeight="1" x14ac:dyDescent="0.25">
      <c r="A922" s="8" t="s">
        <v>4875</v>
      </c>
      <c r="B922" s="8" t="s">
        <v>4876</v>
      </c>
      <c r="C922" s="8" t="s">
        <v>4877</v>
      </c>
      <c r="D922" s="8" t="s">
        <v>4876</v>
      </c>
      <c r="E922" s="105">
        <v>12.6</v>
      </c>
      <c r="F922" s="106" t="s">
        <v>2024</v>
      </c>
      <c r="G922" s="8"/>
      <c r="H922" s="8"/>
      <c r="I922" s="107">
        <v>0</v>
      </c>
      <c r="J922" s="8" t="s">
        <v>4789</v>
      </c>
    </row>
    <row r="923" spans="1:10" ht="16.5" customHeight="1" x14ac:dyDescent="0.25">
      <c r="A923" s="8" t="s">
        <v>4878</v>
      </c>
      <c r="B923" s="8" t="s">
        <v>4879</v>
      </c>
      <c r="C923" s="8" t="s">
        <v>4877</v>
      </c>
      <c r="D923" s="8" t="s">
        <v>4879</v>
      </c>
      <c r="E923" s="105">
        <v>2.1</v>
      </c>
      <c r="F923" s="106" t="s">
        <v>2024</v>
      </c>
      <c r="G923" s="8"/>
      <c r="H923" s="8"/>
      <c r="I923" s="107">
        <v>0</v>
      </c>
      <c r="J923" s="8" t="s">
        <v>4789</v>
      </c>
    </row>
    <row r="924" spans="1:10" ht="16.5" customHeight="1" x14ac:dyDescent="0.25">
      <c r="A924" s="8" t="s">
        <v>4880</v>
      </c>
      <c r="B924" s="8" t="s">
        <v>4881</v>
      </c>
      <c r="C924" s="8" t="s">
        <v>4882</v>
      </c>
      <c r="D924" s="8" t="s">
        <v>4881</v>
      </c>
      <c r="E924" s="105">
        <v>0</v>
      </c>
      <c r="F924" s="106" t="s">
        <v>2024</v>
      </c>
      <c r="G924" s="8"/>
      <c r="H924" s="8"/>
      <c r="I924" s="107">
        <v>0</v>
      </c>
      <c r="J924" s="8" t="s">
        <v>2019</v>
      </c>
    </row>
    <row r="925" spans="1:10" ht="16.5" customHeight="1" x14ac:dyDescent="0.25">
      <c r="A925" s="8" t="s">
        <v>4883</v>
      </c>
      <c r="B925" s="8" t="s">
        <v>4884</v>
      </c>
      <c r="C925" s="8" t="s">
        <v>4885</v>
      </c>
      <c r="D925" s="8" t="s">
        <v>4884</v>
      </c>
      <c r="E925" s="105">
        <v>4.38</v>
      </c>
      <c r="F925" s="106" t="s">
        <v>2024</v>
      </c>
      <c r="G925" s="8"/>
      <c r="H925" s="8"/>
      <c r="I925" s="107">
        <v>0</v>
      </c>
      <c r="J925" s="8" t="s">
        <v>4789</v>
      </c>
    </row>
    <row r="926" spans="1:10" ht="16.5" customHeight="1" x14ac:dyDescent="0.25">
      <c r="A926" s="8" t="s">
        <v>4886</v>
      </c>
      <c r="B926" s="8" t="s">
        <v>4887</v>
      </c>
      <c r="C926" s="8" t="s">
        <v>4885</v>
      </c>
      <c r="D926" s="8" t="s">
        <v>4887</v>
      </c>
      <c r="E926" s="105">
        <v>0.36499999999999999</v>
      </c>
      <c r="F926" s="106" t="s">
        <v>2024</v>
      </c>
      <c r="G926" s="8"/>
      <c r="H926" s="8"/>
      <c r="I926" s="107">
        <v>0</v>
      </c>
      <c r="J926" s="8" t="s">
        <v>4789</v>
      </c>
    </row>
    <row r="927" spans="1:10" ht="16.5" customHeight="1" x14ac:dyDescent="0.25">
      <c r="A927" s="8" t="s">
        <v>4888</v>
      </c>
      <c r="B927" s="8" t="s">
        <v>4889</v>
      </c>
      <c r="C927" s="8" t="s">
        <v>4890</v>
      </c>
      <c r="D927" s="8" t="s">
        <v>4889</v>
      </c>
      <c r="E927" s="105">
        <v>8</v>
      </c>
      <c r="F927" s="106" t="s">
        <v>2024</v>
      </c>
      <c r="G927" s="8"/>
      <c r="H927" s="8"/>
      <c r="I927" s="107">
        <v>0</v>
      </c>
      <c r="J927" s="8" t="s">
        <v>4789</v>
      </c>
    </row>
    <row r="928" spans="1:10" ht="16.5" customHeight="1" x14ac:dyDescent="0.25">
      <c r="A928" s="8" t="s">
        <v>4891</v>
      </c>
      <c r="B928" s="8" t="s">
        <v>4892</v>
      </c>
      <c r="C928" s="8" t="s">
        <v>4890</v>
      </c>
      <c r="D928" s="8" t="s">
        <v>4892</v>
      </c>
      <c r="E928" s="105">
        <v>2</v>
      </c>
      <c r="F928" s="106" t="s">
        <v>2024</v>
      </c>
      <c r="G928" s="8"/>
      <c r="H928" s="8"/>
      <c r="I928" s="107">
        <v>0</v>
      </c>
      <c r="J928" s="8" t="s">
        <v>4789</v>
      </c>
    </row>
    <row r="929" spans="1:10" ht="16.5" customHeight="1" x14ac:dyDescent="0.25">
      <c r="A929" s="8" t="s">
        <v>4893</v>
      </c>
      <c r="B929" s="8" t="s">
        <v>4894</v>
      </c>
      <c r="C929" s="8" t="s">
        <v>4895</v>
      </c>
      <c r="D929" s="8" t="s">
        <v>4894</v>
      </c>
      <c r="E929" s="105">
        <v>4.0199999999999996</v>
      </c>
      <c r="F929" s="106" t="s">
        <v>2024</v>
      </c>
      <c r="G929" s="8"/>
      <c r="H929" s="8"/>
      <c r="I929" s="107">
        <v>0</v>
      </c>
      <c r="J929" s="8" t="s">
        <v>4789</v>
      </c>
    </row>
    <row r="930" spans="1:10" ht="16.5" customHeight="1" x14ac:dyDescent="0.25">
      <c r="A930" s="8" t="s">
        <v>4896</v>
      </c>
      <c r="B930" s="8" t="s">
        <v>4897</v>
      </c>
      <c r="C930" s="8" t="s">
        <v>4895</v>
      </c>
      <c r="D930" s="8" t="s">
        <v>4897</v>
      </c>
      <c r="E930" s="105">
        <v>0.34</v>
      </c>
      <c r="F930" s="106" t="s">
        <v>2024</v>
      </c>
      <c r="G930" s="8"/>
      <c r="H930" s="8"/>
      <c r="I930" s="107">
        <v>0</v>
      </c>
      <c r="J930" s="8" t="s">
        <v>4789</v>
      </c>
    </row>
    <row r="931" spans="1:10" ht="16.5" customHeight="1" x14ac:dyDescent="0.25">
      <c r="A931" s="8" t="s">
        <v>4898</v>
      </c>
      <c r="B931" s="8" t="s">
        <v>4899</v>
      </c>
      <c r="C931" s="8" t="s">
        <v>4900</v>
      </c>
      <c r="D931" s="8" t="s">
        <v>4899</v>
      </c>
      <c r="E931" s="105">
        <v>5.44</v>
      </c>
      <c r="F931" s="106" t="s">
        <v>2024</v>
      </c>
      <c r="G931" s="8"/>
      <c r="H931" s="8"/>
      <c r="I931" s="107">
        <v>0</v>
      </c>
      <c r="J931" s="8" t="s">
        <v>4789</v>
      </c>
    </row>
    <row r="932" spans="1:10" ht="16.5" customHeight="1" x14ac:dyDescent="0.25">
      <c r="A932" s="8" t="s">
        <v>4901</v>
      </c>
      <c r="B932" s="8" t="s">
        <v>4902</v>
      </c>
      <c r="C932" s="8" t="s">
        <v>4900</v>
      </c>
      <c r="D932" s="8" t="s">
        <v>4902</v>
      </c>
      <c r="E932" s="105">
        <v>0.45</v>
      </c>
      <c r="F932" s="106" t="s">
        <v>2024</v>
      </c>
      <c r="G932" s="8"/>
      <c r="H932" s="8"/>
      <c r="I932" s="107">
        <v>0</v>
      </c>
      <c r="J932" s="8" t="s">
        <v>4789</v>
      </c>
    </row>
    <row r="933" spans="1:10" ht="16.5" customHeight="1" x14ac:dyDescent="0.25">
      <c r="A933" s="8" t="s">
        <v>4903</v>
      </c>
      <c r="B933" s="8" t="s">
        <v>4904</v>
      </c>
      <c r="C933" s="8" t="s">
        <v>4905</v>
      </c>
      <c r="D933" s="8" t="s">
        <v>4904</v>
      </c>
      <c r="E933" s="105">
        <v>8</v>
      </c>
      <c r="F933" s="106" t="s">
        <v>2024</v>
      </c>
      <c r="G933" s="8"/>
      <c r="H933" s="8"/>
      <c r="I933" s="107">
        <v>0</v>
      </c>
      <c r="J933" s="8" t="s">
        <v>4789</v>
      </c>
    </row>
    <row r="934" spans="1:10" ht="16.5" customHeight="1" x14ac:dyDescent="0.25">
      <c r="A934" s="8" t="s">
        <v>4906</v>
      </c>
      <c r="B934" s="8" t="s">
        <v>4907</v>
      </c>
      <c r="C934" s="8" t="s">
        <v>4905</v>
      </c>
      <c r="D934" s="8" t="s">
        <v>4907</v>
      </c>
      <c r="E934" s="105">
        <v>4</v>
      </c>
      <c r="F934" s="106" t="s">
        <v>2024</v>
      </c>
      <c r="G934" s="8"/>
      <c r="H934" s="8"/>
      <c r="I934" s="107">
        <v>0</v>
      </c>
      <c r="J934" s="8" t="s">
        <v>4789</v>
      </c>
    </row>
    <row r="935" spans="1:10" ht="16.5" customHeight="1" x14ac:dyDescent="0.25">
      <c r="A935" s="8" t="s">
        <v>4908</v>
      </c>
      <c r="B935" s="8" t="s">
        <v>4909</v>
      </c>
      <c r="C935" s="8" t="s">
        <v>4910</v>
      </c>
      <c r="D935" s="8" t="s">
        <v>4909</v>
      </c>
      <c r="E935" s="105">
        <v>0</v>
      </c>
      <c r="F935" s="106" t="s">
        <v>2024</v>
      </c>
      <c r="G935" s="8"/>
      <c r="H935" s="8"/>
      <c r="I935" s="107">
        <v>0</v>
      </c>
      <c r="J935" s="8" t="s">
        <v>2019</v>
      </c>
    </row>
    <row r="936" spans="1:10" ht="16.5" customHeight="1" x14ac:dyDescent="0.25">
      <c r="A936" s="8" t="s">
        <v>4911</v>
      </c>
      <c r="B936" s="8" t="s">
        <v>4696</v>
      </c>
      <c r="C936" s="8" t="s">
        <v>4912</v>
      </c>
      <c r="D936" s="8" t="s">
        <v>4696</v>
      </c>
      <c r="E936" s="105">
        <v>0</v>
      </c>
      <c r="F936" s="106" t="s">
        <v>2024</v>
      </c>
      <c r="G936" s="8"/>
      <c r="H936" s="8"/>
      <c r="I936" s="107">
        <v>0</v>
      </c>
      <c r="J936" s="8" t="s">
        <v>2019</v>
      </c>
    </row>
    <row r="937" spans="1:10" ht="16.5" customHeight="1" x14ac:dyDescent="0.25">
      <c r="A937" s="8" t="s">
        <v>4913</v>
      </c>
      <c r="B937" s="8" t="s">
        <v>4639</v>
      </c>
      <c r="C937" s="8" t="s">
        <v>4914</v>
      </c>
      <c r="D937" s="8" t="s">
        <v>4639</v>
      </c>
      <c r="E937" s="105">
        <v>0</v>
      </c>
      <c r="F937" s="106" t="s">
        <v>2024</v>
      </c>
      <c r="G937" s="8"/>
      <c r="H937" s="8"/>
      <c r="I937" s="107">
        <v>0</v>
      </c>
      <c r="J937" s="8" t="s">
        <v>2019</v>
      </c>
    </row>
    <row r="938" spans="1:10" ht="16.5" customHeight="1" x14ac:dyDescent="0.25">
      <c r="A938" s="8" t="s">
        <v>4915</v>
      </c>
      <c r="B938" s="8" t="s">
        <v>4916</v>
      </c>
      <c r="C938" s="8" t="s">
        <v>4917</v>
      </c>
      <c r="D938" s="8" t="s">
        <v>4916</v>
      </c>
      <c r="E938" s="105">
        <v>0</v>
      </c>
      <c r="F938" s="106" t="s">
        <v>2024</v>
      </c>
      <c r="G938" s="8"/>
      <c r="H938" s="8"/>
      <c r="I938" s="107">
        <v>0</v>
      </c>
      <c r="J938" s="8" t="s">
        <v>2019</v>
      </c>
    </row>
    <row r="939" spans="1:10" ht="16.5" customHeight="1" x14ac:dyDescent="0.25">
      <c r="A939" s="8" t="s">
        <v>4918</v>
      </c>
      <c r="B939" s="8" t="s">
        <v>4919</v>
      </c>
      <c r="C939" s="8" t="s">
        <v>4920</v>
      </c>
      <c r="D939" s="8" t="s">
        <v>4919</v>
      </c>
      <c r="E939" s="105">
        <v>7.2</v>
      </c>
      <c r="F939" s="106" t="s">
        <v>2024</v>
      </c>
      <c r="G939" s="8"/>
      <c r="H939" s="8"/>
      <c r="I939" s="107">
        <v>0</v>
      </c>
      <c r="J939" s="8" t="s">
        <v>2019</v>
      </c>
    </row>
    <row r="940" spans="1:10" ht="16.5" customHeight="1" x14ac:dyDescent="0.25">
      <c r="A940" s="8" t="s">
        <v>4921</v>
      </c>
      <c r="B940" s="8" t="s">
        <v>4922</v>
      </c>
      <c r="C940" s="8" t="s">
        <v>4923</v>
      </c>
      <c r="D940" s="8" t="s">
        <v>4922</v>
      </c>
      <c r="E940" s="105">
        <v>8</v>
      </c>
      <c r="F940" s="106" t="s">
        <v>2024</v>
      </c>
      <c r="G940" s="8"/>
      <c r="H940" s="8"/>
      <c r="I940" s="107">
        <v>0</v>
      </c>
      <c r="J940" s="8" t="s">
        <v>4789</v>
      </c>
    </row>
    <row r="941" spans="1:10" ht="16.5" customHeight="1" x14ac:dyDescent="0.25">
      <c r="A941" s="8" t="s">
        <v>4924</v>
      </c>
      <c r="B941" s="8" t="s">
        <v>4925</v>
      </c>
      <c r="C941" s="8" t="s">
        <v>4923</v>
      </c>
      <c r="D941" s="8" t="s">
        <v>4925</v>
      </c>
      <c r="E941" s="105">
        <v>0.26500000000000001</v>
      </c>
      <c r="F941" s="106" t="s">
        <v>2024</v>
      </c>
      <c r="G941" s="8"/>
      <c r="H941" s="8"/>
      <c r="I941" s="107">
        <v>0</v>
      </c>
      <c r="J941" s="8" t="s">
        <v>4789</v>
      </c>
    </row>
    <row r="942" spans="1:10" ht="16.5" customHeight="1" x14ac:dyDescent="0.25">
      <c r="A942" s="8" t="s">
        <v>4926</v>
      </c>
      <c r="B942" s="8" t="s">
        <v>4927</v>
      </c>
      <c r="C942" s="8" t="s">
        <v>4928</v>
      </c>
      <c r="D942" s="8" t="s">
        <v>4927</v>
      </c>
      <c r="E942" s="105">
        <v>10.199999999999999</v>
      </c>
      <c r="F942" s="106" t="s">
        <v>2024</v>
      </c>
      <c r="G942" s="8"/>
      <c r="H942" s="8"/>
      <c r="I942" s="107">
        <v>0</v>
      </c>
      <c r="J942" s="8" t="s">
        <v>4789</v>
      </c>
    </row>
    <row r="943" spans="1:10" ht="16.5" customHeight="1" x14ac:dyDescent="0.25">
      <c r="A943" s="8" t="s">
        <v>4929</v>
      </c>
      <c r="B943" s="8" t="s">
        <v>4930</v>
      </c>
      <c r="C943" s="8" t="s">
        <v>4928</v>
      </c>
      <c r="D943" s="8" t="s">
        <v>4930</v>
      </c>
      <c r="E943" s="105">
        <v>0.34</v>
      </c>
      <c r="F943" s="106" t="s">
        <v>2024</v>
      </c>
      <c r="G943" s="8"/>
      <c r="H943" s="8"/>
      <c r="I943" s="107">
        <v>0</v>
      </c>
      <c r="J943" s="8" t="s">
        <v>4789</v>
      </c>
    </row>
    <row r="944" spans="1:10" ht="16.5" customHeight="1" x14ac:dyDescent="0.25">
      <c r="A944" s="8" t="s">
        <v>4931</v>
      </c>
      <c r="B944" s="8" t="s">
        <v>4932</v>
      </c>
      <c r="C944" s="8" t="s">
        <v>4933</v>
      </c>
      <c r="D944" s="8" t="s">
        <v>4932</v>
      </c>
      <c r="E944" s="105">
        <v>5.4</v>
      </c>
      <c r="F944" s="106" t="s">
        <v>2024</v>
      </c>
      <c r="G944" s="8"/>
      <c r="H944" s="8"/>
      <c r="I944" s="107">
        <v>0</v>
      </c>
      <c r="J944" s="8" t="s">
        <v>4789</v>
      </c>
    </row>
    <row r="945" spans="1:10" ht="16.5" customHeight="1" x14ac:dyDescent="0.25">
      <c r="A945" s="8" t="s">
        <v>4934</v>
      </c>
      <c r="B945" s="8" t="s">
        <v>4935</v>
      </c>
      <c r="C945" s="8" t="s">
        <v>4933</v>
      </c>
      <c r="D945" s="8" t="s">
        <v>4935</v>
      </c>
      <c r="E945" s="105">
        <v>0.09</v>
      </c>
      <c r="F945" s="106" t="s">
        <v>2024</v>
      </c>
      <c r="G945" s="8"/>
      <c r="H945" s="8"/>
      <c r="I945" s="107">
        <v>0</v>
      </c>
      <c r="J945" s="8" t="s">
        <v>4789</v>
      </c>
    </row>
    <row r="946" spans="1:10" ht="16.5" customHeight="1" x14ac:dyDescent="0.25">
      <c r="A946" s="8" t="s">
        <v>4936</v>
      </c>
      <c r="B946" s="8" t="s">
        <v>4937</v>
      </c>
      <c r="C946" s="8" t="s">
        <v>4938</v>
      </c>
      <c r="D946" s="8" t="s">
        <v>4937</v>
      </c>
      <c r="E946" s="105">
        <v>8</v>
      </c>
      <c r="F946" s="106" t="s">
        <v>2024</v>
      </c>
      <c r="G946" s="8"/>
      <c r="H946" s="8"/>
      <c r="I946" s="107">
        <v>0</v>
      </c>
      <c r="J946" s="8" t="s">
        <v>4789</v>
      </c>
    </row>
    <row r="947" spans="1:10" ht="16.5" customHeight="1" x14ac:dyDescent="0.25">
      <c r="A947" s="8" t="s">
        <v>4939</v>
      </c>
      <c r="B947" s="8" t="s">
        <v>4940</v>
      </c>
      <c r="C947" s="8" t="s">
        <v>4938</v>
      </c>
      <c r="D947" s="8" t="s">
        <v>4940</v>
      </c>
      <c r="E947" s="105">
        <v>0.26500000000000001</v>
      </c>
      <c r="F947" s="106" t="s">
        <v>2024</v>
      </c>
      <c r="G947" s="8"/>
      <c r="H947" s="8"/>
      <c r="I947" s="107">
        <v>0</v>
      </c>
      <c r="J947" s="8" t="s">
        <v>4789</v>
      </c>
    </row>
    <row r="948" spans="1:10" ht="16.5" customHeight="1" x14ac:dyDescent="0.25">
      <c r="A948" s="8" t="s">
        <v>4941</v>
      </c>
      <c r="B948" s="8" t="s">
        <v>4942</v>
      </c>
      <c r="C948" s="8" t="s">
        <v>4943</v>
      </c>
      <c r="D948" s="8" t="s">
        <v>4942</v>
      </c>
      <c r="E948" s="105">
        <v>1</v>
      </c>
      <c r="F948" s="106" t="s">
        <v>2024</v>
      </c>
      <c r="G948" s="8"/>
      <c r="H948" s="8"/>
      <c r="I948" s="107">
        <v>0</v>
      </c>
      <c r="J948" s="8" t="s">
        <v>3695</v>
      </c>
    </row>
    <row r="949" spans="1:10" ht="16.5" customHeight="1" x14ac:dyDescent="0.25">
      <c r="A949" s="8" t="s">
        <v>4944</v>
      </c>
      <c r="B949" s="8" t="s">
        <v>4945</v>
      </c>
      <c r="C949" s="8" t="s">
        <v>4946</v>
      </c>
      <c r="D949" s="8" t="s">
        <v>4945</v>
      </c>
      <c r="E949" s="105">
        <v>1</v>
      </c>
      <c r="F949" s="106" t="s">
        <v>2024</v>
      </c>
      <c r="G949" s="8"/>
      <c r="H949" s="8"/>
      <c r="I949" s="107">
        <v>0</v>
      </c>
      <c r="J949" s="8" t="s">
        <v>3695</v>
      </c>
    </row>
    <row r="950" spans="1:10" ht="16.5" customHeight="1" x14ac:dyDescent="0.25">
      <c r="A950" s="8" t="s">
        <v>4947</v>
      </c>
      <c r="B950" s="8" t="s">
        <v>4948</v>
      </c>
      <c r="C950" s="8" t="s">
        <v>3592</v>
      </c>
      <c r="D950" s="8" t="s">
        <v>4948</v>
      </c>
      <c r="E950" s="105">
        <v>1</v>
      </c>
      <c r="F950" s="106" t="s">
        <v>2024</v>
      </c>
      <c r="G950" s="8"/>
      <c r="H950" s="8"/>
      <c r="I950" s="107">
        <v>0</v>
      </c>
      <c r="J950" s="8" t="s">
        <v>3580</v>
      </c>
    </row>
    <row r="951" spans="1:10" ht="16.5" customHeight="1" x14ac:dyDescent="0.25">
      <c r="A951" s="8" t="s">
        <v>4949</v>
      </c>
      <c r="B951" s="8" t="s">
        <v>4950</v>
      </c>
      <c r="C951" s="8" t="s">
        <v>3592</v>
      </c>
      <c r="D951" s="8" t="s">
        <v>4950</v>
      </c>
      <c r="E951" s="105">
        <v>1</v>
      </c>
      <c r="F951" s="106" t="s">
        <v>2024</v>
      </c>
      <c r="G951" s="8"/>
      <c r="H951" s="8"/>
      <c r="I951" s="107">
        <v>0</v>
      </c>
      <c r="J951" s="8" t="s">
        <v>3580</v>
      </c>
    </row>
    <row r="952" spans="1:10" ht="16.5" customHeight="1" x14ac:dyDescent="0.25">
      <c r="A952" s="8" t="s">
        <v>4951</v>
      </c>
      <c r="B952" s="8" t="s">
        <v>4952</v>
      </c>
      <c r="C952" s="8" t="s">
        <v>4953</v>
      </c>
      <c r="D952" s="8" t="s">
        <v>4952</v>
      </c>
      <c r="E952" s="105">
        <v>1</v>
      </c>
      <c r="F952" s="106" t="s">
        <v>2024</v>
      </c>
      <c r="G952" s="8"/>
      <c r="H952" s="8"/>
      <c r="I952" s="107">
        <v>0</v>
      </c>
      <c r="J952" s="8" t="s">
        <v>3580</v>
      </c>
    </row>
    <row r="953" spans="1:10" ht="16.5" customHeight="1" x14ac:dyDescent="0.25">
      <c r="A953" s="8" t="s">
        <v>4954</v>
      </c>
      <c r="B953" s="8" t="s">
        <v>4955</v>
      </c>
      <c r="C953" s="8" t="s">
        <v>4953</v>
      </c>
      <c r="D953" s="8" t="s">
        <v>4955</v>
      </c>
      <c r="E953" s="105">
        <v>1</v>
      </c>
      <c r="F953" s="106" t="s">
        <v>2024</v>
      </c>
      <c r="G953" s="8"/>
      <c r="H953" s="8"/>
      <c r="I953" s="107">
        <v>0</v>
      </c>
      <c r="J953" s="8" t="s">
        <v>3580</v>
      </c>
    </row>
    <row r="954" spans="1:10" ht="16.5" customHeight="1" x14ac:dyDescent="0.25">
      <c r="A954" s="8" t="s">
        <v>4956</v>
      </c>
      <c r="B954" s="8" t="s">
        <v>4957</v>
      </c>
      <c r="C954" s="8" t="s">
        <v>3592</v>
      </c>
      <c r="D954" s="8" t="s">
        <v>4957</v>
      </c>
      <c r="E954" s="105">
        <v>1</v>
      </c>
      <c r="F954" s="106" t="s">
        <v>2024</v>
      </c>
      <c r="G954" s="8"/>
      <c r="H954" s="8"/>
      <c r="I954" s="107">
        <v>0</v>
      </c>
      <c r="J954" s="8" t="s">
        <v>3580</v>
      </c>
    </row>
    <row r="955" spans="1:10" ht="16.5" customHeight="1" x14ac:dyDescent="0.25">
      <c r="A955" s="8" t="s">
        <v>4958</v>
      </c>
      <c r="B955" s="8" t="s">
        <v>4959</v>
      </c>
      <c r="C955" s="8" t="s">
        <v>3592</v>
      </c>
      <c r="D955" s="8" t="s">
        <v>4959</v>
      </c>
      <c r="E955" s="105">
        <v>1</v>
      </c>
      <c r="F955" s="106" t="s">
        <v>2024</v>
      </c>
      <c r="G955" s="8"/>
      <c r="H955" s="8"/>
      <c r="I955" s="107">
        <v>0</v>
      </c>
      <c r="J955" s="8" t="s">
        <v>3580</v>
      </c>
    </row>
    <row r="956" spans="1:10" ht="16.5" customHeight="1" x14ac:dyDescent="0.25">
      <c r="A956" s="8" t="s">
        <v>4960</v>
      </c>
      <c r="B956" s="8" t="s">
        <v>4961</v>
      </c>
      <c r="C956" s="8" t="s">
        <v>3592</v>
      </c>
      <c r="D956" s="8" t="s">
        <v>4961</v>
      </c>
      <c r="E956" s="105">
        <v>1</v>
      </c>
      <c r="F956" s="106" t="s">
        <v>2024</v>
      </c>
      <c r="G956" s="8"/>
      <c r="H956" s="8"/>
      <c r="I956" s="107">
        <v>0</v>
      </c>
      <c r="J956" s="8" t="s">
        <v>3580</v>
      </c>
    </row>
    <row r="957" spans="1:10" ht="16.5" customHeight="1" x14ac:dyDescent="0.25">
      <c r="A957" s="8" t="s">
        <v>4962</v>
      </c>
      <c r="B957" s="8" t="s">
        <v>4963</v>
      </c>
      <c r="C957" s="8" t="s">
        <v>3592</v>
      </c>
      <c r="D957" s="8" t="s">
        <v>4963</v>
      </c>
      <c r="E957" s="105">
        <v>1</v>
      </c>
      <c r="F957" s="106" t="s">
        <v>2024</v>
      </c>
      <c r="G957" s="8"/>
      <c r="H957" s="8"/>
      <c r="I957" s="107">
        <v>0</v>
      </c>
      <c r="J957" s="8" t="s">
        <v>3580</v>
      </c>
    </row>
    <row r="958" spans="1:10" ht="16.5" customHeight="1" x14ac:dyDescent="0.25">
      <c r="A958" s="8" t="s">
        <v>4964</v>
      </c>
      <c r="B958" s="8" t="s">
        <v>4965</v>
      </c>
      <c r="C958" s="8" t="s">
        <v>4966</v>
      </c>
      <c r="D958" s="8" t="s">
        <v>4965</v>
      </c>
      <c r="E958" s="105">
        <v>9.6</v>
      </c>
      <c r="F958" s="106" t="s">
        <v>2024</v>
      </c>
      <c r="G958" s="8"/>
      <c r="H958" s="8"/>
      <c r="I958" s="107">
        <v>0</v>
      </c>
      <c r="J958" s="8" t="s">
        <v>4789</v>
      </c>
    </row>
    <row r="959" spans="1:10" ht="16.5" customHeight="1" x14ac:dyDescent="0.25">
      <c r="A959" s="8" t="s">
        <v>4967</v>
      </c>
      <c r="B959" s="8" t="s">
        <v>4968</v>
      </c>
      <c r="C959" s="8" t="s">
        <v>4966</v>
      </c>
      <c r="D959" s="8" t="s">
        <v>4968</v>
      </c>
      <c r="E959" s="105">
        <v>0.32</v>
      </c>
      <c r="F959" s="106" t="s">
        <v>2024</v>
      </c>
      <c r="G959" s="8"/>
      <c r="H959" s="8"/>
      <c r="I959" s="107">
        <v>0</v>
      </c>
      <c r="J959" s="8" t="s">
        <v>4789</v>
      </c>
    </row>
    <row r="960" spans="1:10" ht="16.5" customHeight="1" x14ac:dyDescent="0.25">
      <c r="A960" s="8" t="s">
        <v>4969</v>
      </c>
      <c r="B960" s="8" t="s">
        <v>4970</v>
      </c>
      <c r="C960" s="8" t="s">
        <v>4971</v>
      </c>
      <c r="D960" s="8" t="s">
        <v>4970</v>
      </c>
      <c r="E960" s="105">
        <v>1</v>
      </c>
      <c r="F960" s="106" t="s">
        <v>2018</v>
      </c>
      <c r="G960" s="8"/>
      <c r="H960" s="8"/>
      <c r="I960" s="107">
        <v>0</v>
      </c>
      <c r="J960" s="8" t="s">
        <v>3695</v>
      </c>
    </row>
    <row r="961" spans="1:10" ht="16.5" customHeight="1" x14ac:dyDescent="0.25">
      <c r="A961" s="8" t="s">
        <v>4972</v>
      </c>
      <c r="B961" s="8" t="s">
        <v>4973</v>
      </c>
      <c r="C961" s="8" t="s">
        <v>4725</v>
      </c>
      <c r="D961" s="8" t="s">
        <v>4973</v>
      </c>
      <c r="E961" s="105">
        <v>0</v>
      </c>
      <c r="F961" s="106" t="s">
        <v>2024</v>
      </c>
      <c r="G961" s="8"/>
      <c r="H961" s="8"/>
      <c r="I961" s="107">
        <v>0</v>
      </c>
      <c r="J961" s="8" t="s">
        <v>2019</v>
      </c>
    </row>
    <row r="962" spans="1:10" ht="16.5" customHeight="1" x14ac:dyDescent="0.25">
      <c r="A962" s="8" t="s">
        <v>4974</v>
      </c>
      <c r="B962" s="8" t="s">
        <v>4975</v>
      </c>
      <c r="C962" s="8" t="s">
        <v>3595</v>
      </c>
      <c r="D962" s="8" t="s">
        <v>4975</v>
      </c>
      <c r="E962" s="105">
        <v>1</v>
      </c>
      <c r="F962" s="106" t="s">
        <v>2024</v>
      </c>
      <c r="G962" s="8"/>
      <c r="H962" s="8"/>
      <c r="I962" s="107">
        <v>0</v>
      </c>
      <c r="J962" s="8" t="s">
        <v>3580</v>
      </c>
    </row>
    <row r="963" spans="1:10" ht="16.5" customHeight="1" x14ac:dyDescent="0.25">
      <c r="A963" s="8" t="s">
        <v>4976</v>
      </c>
      <c r="B963" s="8" t="s">
        <v>4977</v>
      </c>
      <c r="C963" s="8" t="s">
        <v>3595</v>
      </c>
      <c r="D963" s="8" t="s">
        <v>4977</v>
      </c>
      <c r="E963" s="105">
        <v>1</v>
      </c>
      <c r="F963" s="106" t="s">
        <v>2024</v>
      </c>
      <c r="G963" s="8"/>
      <c r="H963" s="8"/>
      <c r="I963" s="107">
        <v>0</v>
      </c>
      <c r="J963" s="8" t="s">
        <v>3580</v>
      </c>
    </row>
    <row r="964" spans="1:10" ht="16.5" customHeight="1" x14ac:dyDescent="0.25">
      <c r="A964" s="8" t="s">
        <v>4978</v>
      </c>
      <c r="B964" s="8" t="s">
        <v>4979</v>
      </c>
      <c r="C964" s="8" t="s">
        <v>3595</v>
      </c>
      <c r="D964" s="8" t="s">
        <v>4979</v>
      </c>
      <c r="E964" s="105">
        <v>1</v>
      </c>
      <c r="F964" s="106" t="s">
        <v>2024</v>
      </c>
      <c r="G964" s="8"/>
      <c r="H964" s="8"/>
      <c r="I964" s="107">
        <v>0</v>
      </c>
      <c r="J964" s="8" t="s">
        <v>3580</v>
      </c>
    </row>
    <row r="965" spans="1:10" ht="16.5" customHeight="1" x14ac:dyDescent="0.25">
      <c r="A965" s="8" t="s">
        <v>4980</v>
      </c>
      <c r="B965" s="8" t="s">
        <v>4981</v>
      </c>
      <c r="C965" s="8" t="s">
        <v>3595</v>
      </c>
      <c r="D965" s="8" t="s">
        <v>4981</v>
      </c>
      <c r="E965" s="105">
        <v>1</v>
      </c>
      <c r="F965" s="106" t="s">
        <v>2024</v>
      </c>
      <c r="G965" s="8"/>
      <c r="H965" s="8"/>
      <c r="I965" s="107">
        <v>0</v>
      </c>
      <c r="J965" s="8" t="s">
        <v>3580</v>
      </c>
    </row>
    <row r="966" spans="1:10" ht="16.5" customHeight="1" x14ac:dyDescent="0.25">
      <c r="A966" s="8" t="s">
        <v>4982</v>
      </c>
      <c r="B966" s="8" t="s">
        <v>4983</v>
      </c>
      <c r="C966" s="8" t="s">
        <v>3595</v>
      </c>
      <c r="D966" s="8" t="s">
        <v>4983</v>
      </c>
      <c r="E966" s="105">
        <v>1</v>
      </c>
      <c r="F966" s="106" t="s">
        <v>2024</v>
      </c>
      <c r="G966" s="8"/>
      <c r="H966" s="8"/>
      <c r="I966" s="107">
        <v>0</v>
      </c>
      <c r="J966" s="8" t="s">
        <v>3580</v>
      </c>
    </row>
    <row r="967" spans="1:10" ht="16.5" customHeight="1" x14ac:dyDescent="0.25">
      <c r="A967" s="8" t="s">
        <v>4984</v>
      </c>
      <c r="B967" s="8" t="s">
        <v>4985</v>
      </c>
      <c r="C967" s="8" t="s">
        <v>3616</v>
      </c>
      <c r="D967" s="8" t="s">
        <v>4985</v>
      </c>
      <c r="E967" s="105">
        <v>1</v>
      </c>
      <c r="F967" s="106" t="s">
        <v>2024</v>
      </c>
      <c r="G967" s="8"/>
      <c r="H967" s="8"/>
      <c r="I967" s="107">
        <v>0</v>
      </c>
      <c r="J967" s="8" t="s">
        <v>3580</v>
      </c>
    </row>
    <row r="968" spans="1:10" ht="16.5" customHeight="1" x14ac:dyDescent="0.25">
      <c r="A968" s="8" t="s">
        <v>4986</v>
      </c>
      <c r="B968" s="8" t="s">
        <v>4987</v>
      </c>
      <c r="C968" s="8" t="s">
        <v>3616</v>
      </c>
      <c r="D968" s="8" t="s">
        <v>4987</v>
      </c>
      <c r="E968" s="105">
        <v>1</v>
      </c>
      <c r="F968" s="106" t="s">
        <v>2024</v>
      </c>
      <c r="G968" s="8"/>
      <c r="H968" s="8"/>
      <c r="I968" s="107">
        <v>0</v>
      </c>
      <c r="J968" s="8" t="s">
        <v>3580</v>
      </c>
    </row>
    <row r="969" spans="1:10" ht="16.5" customHeight="1" x14ac:dyDescent="0.25">
      <c r="A969" s="8" t="s">
        <v>4988</v>
      </c>
      <c r="B969" s="8" t="s">
        <v>4989</v>
      </c>
      <c r="C969" s="8" t="s">
        <v>4990</v>
      </c>
      <c r="D969" s="8" t="s">
        <v>4989</v>
      </c>
      <c r="E969" s="105">
        <v>20</v>
      </c>
      <c r="F969" s="106" t="s">
        <v>2024</v>
      </c>
      <c r="G969" s="8"/>
      <c r="H969" s="8"/>
      <c r="I969" s="107">
        <v>0</v>
      </c>
      <c r="J969" s="8" t="s">
        <v>2019</v>
      </c>
    </row>
    <row r="970" spans="1:10" ht="16.5" customHeight="1" x14ac:dyDescent="0.25">
      <c r="A970" s="8" t="s">
        <v>4991</v>
      </c>
      <c r="B970" s="8" t="s">
        <v>4992</v>
      </c>
      <c r="C970" s="8" t="s">
        <v>4993</v>
      </c>
      <c r="D970" s="8" t="s">
        <v>4992</v>
      </c>
      <c r="E970" s="105">
        <v>0</v>
      </c>
      <c r="F970" s="106" t="s">
        <v>2024</v>
      </c>
      <c r="G970" s="8"/>
      <c r="H970" s="8"/>
      <c r="I970" s="107">
        <v>0</v>
      </c>
      <c r="J970" s="8" t="s">
        <v>2019</v>
      </c>
    </row>
    <row r="971" spans="1:10" ht="16.5" customHeight="1" x14ac:dyDescent="0.25">
      <c r="A971" s="8" t="s">
        <v>4994</v>
      </c>
      <c r="B971" s="8" t="s">
        <v>4995</v>
      </c>
      <c r="C971" s="8" t="s">
        <v>4996</v>
      </c>
      <c r="D971" s="8" t="s">
        <v>4995</v>
      </c>
      <c r="E971" s="105">
        <v>1</v>
      </c>
      <c r="F971" s="106" t="s">
        <v>2024</v>
      </c>
      <c r="G971" s="8"/>
      <c r="H971" s="8"/>
      <c r="I971" s="107">
        <v>0</v>
      </c>
      <c r="J971" s="8" t="s">
        <v>3695</v>
      </c>
    </row>
    <row r="972" spans="1:10" ht="16.5" customHeight="1" x14ac:dyDescent="0.25">
      <c r="A972" s="8" t="s">
        <v>4997</v>
      </c>
      <c r="B972" s="8" t="s">
        <v>4998</v>
      </c>
      <c r="C972" s="8" t="s">
        <v>4999</v>
      </c>
      <c r="D972" s="8" t="s">
        <v>4998</v>
      </c>
      <c r="E972" s="105">
        <v>0</v>
      </c>
      <c r="F972" s="106" t="s">
        <v>2024</v>
      </c>
      <c r="G972" s="8"/>
      <c r="H972" s="8"/>
      <c r="I972" s="107">
        <v>0</v>
      </c>
      <c r="J972" s="8" t="s">
        <v>2019</v>
      </c>
    </row>
    <row r="973" spans="1:10" ht="16.5" customHeight="1" x14ac:dyDescent="0.25">
      <c r="A973" s="8" t="s">
        <v>5000</v>
      </c>
      <c r="B973" s="8" t="s">
        <v>5001</v>
      </c>
      <c r="C973" s="8" t="s">
        <v>5002</v>
      </c>
      <c r="D973" s="8" t="s">
        <v>5001</v>
      </c>
      <c r="E973" s="105">
        <v>0</v>
      </c>
      <c r="F973" s="106" t="s">
        <v>2024</v>
      </c>
      <c r="G973" s="8"/>
      <c r="H973" s="8"/>
      <c r="I973" s="107">
        <v>0</v>
      </c>
      <c r="J973" s="8" t="s">
        <v>2019</v>
      </c>
    </row>
    <row r="974" spans="1:10" ht="16.5" customHeight="1" x14ac:dyDescent="0.25">
      <c r="A974" s="8" t="s">
        <v>5003</v>
      </c>
      <c r="B974" s="8" t="s">
        <v>5004</v>
      </c>
      <c r="C974" s="8" t="s">
        <v>5005</v>
      </c>
      <c r="D974" s="8" t="s">
        <v>5004</v>
      </c>
      <c r="E974" s="105">
        <v>0</v>
      </c>
      <c r="F974" s="106" t="s">
        <v>2024</v>
      </c>
      <c r="G974" s="8"/>
      <c r="H974" s="8"/>
      <c r="I974" s="107">
        <v>0</v>
      </c>
      <c r="J974" s="8" t="s">
        <v>2019</v>
      </c>
    </row>
    <row r="975" spans="1:10" ht="16.5" customHeight="1" x14ac:dyDescent="0.25">
      <c r="A975" s="8" t="s">
        <v>5006</v>
      </c>
      <c r="B975" s="8" t="s">
        <v>5007</v>
      </c>
      <c r="C975" s="8" t="s">
        <v>5008</v>
      </c>
      <c r="D975" s="8" t="s">
        <v>5007</v>
      </c>
      <c r="E975" s="105">
        <v>0</v>
      </c>
      <c r="F975" s="106" t="s">
        <v>2024</v>
      </c>
      <c r="G975" s="8"/>
      <c r="H975" s="8"/>
      <c r="I975" s="107">
        <v>0</v>
      </c>
      <c r="J975" s="8" t="s">
        <v>2019</v>
      </c>
    </row>
    <row r="976" spans="1:10" ht="16.5" customHeight="1" x14ac:dyDescent="0.25">
      <c r="A976" s="8" t="s">
        <v>5009</v>
      </c>
      <c r="B976" s="8" t="s">
        <v>5010</v>
      </c>
      <c r="C976" s="8" t="s">
        <v>5011</v>
      </c>
      <c r="D976" s="8" t="s">
        <v>5010</v>
      </c>
      <c r="E976" s="105">
        <v>0</v>
      </c>
      <c r="F976" s="106" t="s">
        <v>2024</v>
      </c>
      <c r="G976" s="8"/>
      <c r="H976" s="8"/>
      <c r="I976" s="107">
        <v>0</v>
      </c>
      <c r="J976" s="8" t="s">
        <v>2019</v>
      </c>
    </row>
    <row r="977" spans="1:10" ht="16.5" customHeight="1" x14ac:dyDescent="0.25">
      <c r="A977" s="8" t="s">
        <v>5012</v>
      </c>
      <c r="B977" s="8" t="s">
        <v>5013</v>
      </c>
      <c r="C977" s="8" t="s">
        <v>5014</v>
      </c>
      <c r="D977" s="8" t="s">
        <v>5013</v>
      </c>
      <c r="E977" s="105">
        <v>0</v>
      </c>
      <c r="F977" s="106" t="s">
        <v>2024</v>
      </c>
      <c r="G977" s="8"/>
      <c r="H977" s="8"/>
      <c r="I977" s="107">
        <v>0</v>
      </c>
      <c r="J977" s="8" t="s">
        <v>2019</v>
      </c>
    </row>
    <row r="978" spans="1:10" ht="16.5" customHeight="1" x14ac:dyDescent="0.25">
      <c r="A978" s="8" t="s">
        <v>5015</v>
      </c>
      <c r="B978" s="8" t="s">
        <v>5016</v>
      </c>
      <c r="C978" s="8" t="s">
        <v>5017</v>
      </c>
      <c r="D978" s="8" t="s">
        <v>5016</v>
      </c>
      <c r="E978" s="105">
        <v>0</v>
      </c>
      <c r="F978" s="106" t="s">
        <v>2024</v>
      </c>
      <c r="G978" s="8"/>
      <c r="H978" s="8"/>
      <c r="I978" s="107">
        <v>0</v>
      </c>
      <c r="J978" s="8" t="s">
        <v>2019</v>
      </c>
    </row>
    <row r="979" spans="1:10" ht="16.5" customHeight="1" x14ac:dyDescent="0.25">
      <c r="A979" s="8" t="s">
        <v>5018</v>
      </c>
      <c r="B979" s="8" t="s">
        <v>5019</v>
      </c>
      <c r="C979" s="8" t="s">
        <v>5020</v>
      </c>
      <c r="D979" s="8" t="s">
        <v>5019</v>
      </c>
      <c r="E979" s="105">
        <v>0</v>
      </c>
      <c r="F979" s="106" t="s">
        <v>2024</v>
      </c>
      <c r="G979" s="8"/>
      <c r="H979" s="8"/>
      <c r="I979" s="107">
        <v>0</v>
      </c>
      <c r="J979" s="8" t="s">
        <v>2019</v>
      </c>
    </row>
    <row r="980" spans="1:10" ht="16.5" customHeight="1" x14ac:dyDescent="0.25">
      <c r="A980" s="8" t="s">
        <v>5021</v>
      </c>
      <c r="B980" s="8" t="s">
        <v>5022</v>
      </c>
      <c r="C980" s="8" t="s">
        <v>5023</v>
      </c>
      <c r="D980" s="8" t="s">
        <v>5022</v>
      </c>
      <c r="E980" s="105">
        <v>0</v>
      </c>
      <c r="F980" s="106" t="s">
        <v>2024</v>
      </c>
      <c r="G980" s="8"/>
      <c r="H980" s="8"/>
      <c r="I980" s="107">
        <v>0</v>
      </c>
      <c r="J980" s="8" t="s">
        <v>2019</v>
      </c>
    </row>
    <row r="981" spans="1:10" ht="16.5" customHeight="1" x14ac:dyDescent="0.25">
      <c r="A981" s="8" t="s">
        <v>5024</v>
      </c>
      <c r="B981" s="8" t="s">
        <v>5025</v>
      </c>
      <c r="C981" s="8" t="s">
        <v>5026</v>
      </c>
      <c r="D981" s="8" t="s">
        <v>5025</v>
      </c>
      <c r="E981" s="105">
        <v>1</v>
      </c>
      <c r="F981" s="106" t="s">
        <v>2024</v>
      </c>
      <c r="G981" s="8"/>
      <c r="H981" s="8"/>
      <c r="I981" s="107">
        <v>0</v>
      </c>
      <c r="J981" s="8" t="s">
        <v>3580</v>
      </c>
    </row>
    <row r="982" spans="1:10" ht="16.5" customHeight="1" x14ac:dyDescent="0.25">
      <c r="A982" s="8" t="s">
        <v>5027</v>
      </c>
      <c r="B982" s="8" t="s">
        <v>5028</v>
      </c>
      <c r="C982" s="8" t="s">
        <v>5029</v>
      </c>
      <c r="D982" s="8" t="s">
        <v>5028</v>
      </c>
      <c r="E982" s="105">
        <v>1</v>
      </c>
      <c r="F982" s="106" t="s">
        <v>2024</v>
      </c>
      <c r="G982" s="8"/>
      <c r="H982" s="8"/>
      <c r="I982" s="107">
        <v>0</v>
      </c>
      <c r="J982" s="8" t="s">
        <v>3580</v>
      </c>
    </row>
    <row r="983" spans="1:10" ht="16.5" customHeight="1" x14ac:dyDescent="0.25">
      <c r="A983" s="8" t="s">
        <v>5030</v>
      </c>
      <c r="B983" s="8" t="s">
        <v>5031</v>
      </c>
      <c r="C983" s="8" t="s">
        <v>5032</v>
      </c>
      <c r="D983" s="8" t="s">
        <v>5031</v>
      </c>
      <c r="E983" s="105">
        <v>1</v>
      </c>
      <c r="F983" s="106" t="s">
        <v>2024</v>
      </c>
      <c r="G983" s="8"/>
      <c r="H983" s="8"/>
      <c r="I983" s="107">
        <v>0</v>
      </c>
      <c r="J983" s="8" t="s">
        <v>3580</v>
      </c>
    </row>
    <row r="984" spans="1:10" ht="16.5" customHeight="1" x14ac:dyDescent="0.25">
      <c r="A984" s="8" t="s">
        <v>5033</v>
      </c>
      <c r="B984" s="8" t="s">
        <v>5034</v>
      </c>
      <c r="C984" s="8" t="s">
        <v>5035</v>
      </c>
      <c r="D984" s="8" t="s">
        <v>5034</v>
      </c>
      <c r="E984" s="105">
        <v>1</v>
      </c>
      <c r="F984" s="106" t="s">
        <v>2024</v>
      </c>
      <c r="G984" s="8"/>
      <c r="H984" s="8"/>
      <c r="I984" s="107">
        <v>0</v>
      </c>
      <c r="J984" s="8"/>
    </row>
    <row r="985" spans="1:10" ht="16.5" customHeight="1" x14ac:dyDescent="0.25">
      <c r="A985" s="8" t="s">
        <v>5036</v>
      </c>
      <c r="B985" s="8" t="s">
        <v>5037</v>
      </c>
      <c r="C985" s="8" t="s">
        <v>5038</v>
      </c>
      <c r="D985" s="8" t="s">
        <v>5037</v>
      </c>
      <c r="E985" s="105">
        <v>1</v>
      </c>
      <c r="F985" s="106" t="s">
        <v>2024</v>
      </c>
      <c r="G985" s="8"/>
      <c r="H985" s="8"/>
      <c r="I985" s="107">
        <v>0</v>
      </c>
      <c r="J985" s="8" t="s">
        <v>3580</v>
      </c>
    </row>
    <row r="986" spans="1:10" ht="16.5" customHeight="1" x14ac:dyDescent="0.25">
      <c r="A986" s="8" t="s">
        <v>5039</v>
      </c>
      <c r="B986" s="8" t="s">
        <v>5040</v>
      </c>
      <c r="C986" s="8" t="s">
        <v>5038</v>
      </c>
      <c r="D986" s="8" t="s">
        <v>5040</v>
      </c>
      <c r="E986" s="105">
        <v>1</v>
      </c>
      <c r="F986" s="106" t="s">
        <v>2024</v>
      </c>
      <c r="G986" s="8"/>
      <c r="H986" s="8"/>
      <c r="I986" s="107">
        <v>0</v>
      </c>
      <c r="J986" s="8" t="s">
        <v>3580</v>
      </c>
    </row>
    <row r="987" spans="1:10" ht="16.5" customHeight="1" x14ac:dyDescent="0.25">
      <c r="A987" s="8" t="s">
        <v>5041</v>
      </c>
      <c r="B987" s="8" t="s">
        <v>5042</v>
      </c>
      <c r="C987" s="8" t="s">
        <v>5038</v>
      </c>
      <c r="D987" s="8" t="s">
        <v>5042</v>
      </c>
      <c r="E987" s="105">
        <v>1</v>
      </c>
      <c r="F987" s="106" t="s">
        <v>2024</v>
      </c>
      <c r="G987" s="8"/>
      <c r="H987" s="8"/>
      <c r="I987" s="107">
        <v>0</v>
      </c>
      <c r="J987" s="8" t="s">
        <v>3580</v>
      </c>
    </row>
    <row r="988" spans="1:10" ht="16.5" customHeight="1" x14ac:dyDescent="0.25">
      <c r="A988" s="8" t="s">
        <v>5043</v>
      </c>
      <c r="B988" s="8" t="s">
        <v>5044</v>
      </c>
      <c r="C988" s="8" t="s">
        <v>5038</v>
      </c>
      <c r="D988" s="8" t="s">
        <v>5044</v>
      </c>
      <c r="E988" s="105">
        <v>1</v>
      </c>
      <c r="F988" s="106" t="s">
        <v>2024</v>
      </c>
      <c r="G988" s="8"/>
      <c r="H988" s="8"/>
      <c r="I988" s="107">
        <v>0</v>
      </c>
      <c r="J988" s="8" t="s">
        <v>3580</v>
      </c>
    </row>
    <row r="989" spans="1:10" ht="16.5" customHeight="1" x14ac:dyDescent="0.25">
      <c r="A989" s="8" t="s">
        <v>5045</v>
      </c>
      <c r="B989" s="8" t="s">
        <v>5046</v>
      </c>
      <c r="C989" s="8" t="s">
        <v>4147</v>
      </c>
      <c r="D989" s="8" t="s">
        <v>5047</v>
      </c>
      <c r="E989" s="105">
        <v>10.92</v>
      </c>
      <c r="F989" s="106" t="s">
        <v>2024</v>
      </c>
      <c r="G989" s="8"/>
      <c r="H989" s="8"/>
      <c r="I989" s="107">
        <v>0</v>
      </c>
      <c r="J989" s="8" t="s">
        <v>2019</v>
      </c>
    </row>
    <row r="990" spans="1:10" ht="16.5" customHeight="1" x14ac:dyDescent="0.25">
      <c r="A990" s="8" t="s">
        <v>5048</v>
      </c>
      <c r="B990" s="8" t="s">
        <v>5049</v>
      </c>
      <c r="C990" s="8" t="s">
        <v>4152</v>
      </c>
      <c r="D990" s="8" t="s">
        <v>5050</v>
      </c>
      <c r="E990" s="105">
        <v>10.92</v>
      </c>
      <c r="F990" s="106" t="s">
        <v>2024</v>
      </c>
      <c r="G990" s="8"/>
      <c r="H990" s="8"/>
      <c r="I990" s="107">
        <v>0</v>
      </c>
      <c r="J990" s="8" t="s">
        <v>2019</v>
      </c>
    </row>
    <row r="991" spans="1:10" ht="16.5" customHeight="1" x14ac:dyDescent="0.25">
      <c r="A991" s="8" t="s">
        <v>5051</v>
      </c>
      <c r="B991" s="8" t="s">
        <v>5052</v>
      </c>
      <c r="C991" s="8" t="s">
        <v>4155</v>
      </c>
      <c r="D991" s="8" t="s">
        <v>5053</v>
      </c>
      <c r="E991" s="105">
        <v>18.2</v>
      </c>
      <c r="F991" s="106" t="s">
        <v>2024</v>
      </c>
      <c r="G991" s="8"/>
      <c r="H991" s="8"/>
      <c r="I991" s="107">
        <v>0</v>
      </c>
      <c r="J991" s="8" t="s">
        <v>2019</v>
      </c>
    </row>
    <row r="992" spans="1:10" ht="16.5" customHeight="1" x14ac:dyDescent="0.25">
      <c r="A992" s="8" t="s">
        <v>5054</v>
      </c>
      <c r="B992" s="8" t="s">
        <v>5055</v>
      </c>
      <c r="C992" s="8" t="s">
        <v>4147</v>
      </c>
      <c r="D992" s="8" t="s">
        <v>5056</v>
      </c>
      <c r="E992" s="105">
        <v>10.92</v>
      </c>
      <c r="F992" s="106" t="s">
        <v>2024</v>
      </c>
      <c r="G992" s="8"/>
      <c r="H992" s="8"/>
      <c r="I992" s="107">
        <v>0</v>
      </c>
      <c r="J992" s="8" t="s">
        <v>2019</v>
      </c>
    </row>
    <row r="993" spans="1:10" ht="16.5" customHeight="1" x14ac:dyDescent="0.25">
      <c r="A993" s="8" t="s">
        <v>5057</v>
      </c>
      <c r="B993" s="8" t="s">
        <v>5058</v>
      </c>
      <c r="C993" s="8" t="s">
        <v>5059</v>
      </c>
      <c r="D993" s="8" t="s">
        <v>5058</v>
      </c>
      <c r="E993" s="105">
        <v>0</v>
      </c>
      <c r="F993" s="106" t="s">
        <v>2024</v>
      </c>
      <c r="G993" s="8"/>
      <c r="H993" s="8"/>
      <c r="I993" s="107">
        <v>0</v>
      </c>
      <c r="J993" s="8" t="s">
        <v>2019</v>
      </c>
    </row>
    <row r="994" spans="1:10" ht="16.5" customHeight="1" x14ac:dyDescent="0.25">
      <c r="A994" s="8" t="s">
        <v>5060</v>
      </c>
      <c r="B994" s="8" t="s">
        <v>5061</v>
      </c>
      <c r="C994" s="8" t="s">
        <v>3616</v>
      </c>
      <c r="D994" s="8" t="s">
        <v>5061</v>
      </c>
      <c r="E994" s="105">
        <v>1</v>
      </c>
      <c r="F994" s="106" t="s">
        <v>2024</v>
      </c>
      <c r="G994" s="8"/>
      <c r="H994" s="8"/>
      <c r="I994" s="107">
        <v>0</v>
      </c>
      <c r="J994" s="8" t="s">
        <v>3580</v>
      </c>
    </row>
    <row r="995" spans="1:10" ht="16.5" customHeight="1" x14ac:dyDescent="0.25">
      <c r="A995" s="8" t="s">
        <v>5062</v>
      </c>
      <c r="B995" s="8" t="s">
        <v>5063</v>
      </c>
      <c r="C995" s="8" t="s">
        <v>3579</v>
      </c>
      <c r="D995" s="8" t="s">
        <v>5063</v>
      </c>
      <c r="E995" s="105">
        <v>1</v>
      </c>
      <c r="F995" s="106" t="s">
        <v>2024</v>
      </c>
      <c r="G995" s="8"/>
      <c r="H995" s="8"/>
      <c r="I995" s="107">
        <v>0</v>
      </c>
      <c r="J995" s="8" t="s">
        <v>3580</v>
      </c>
    </row>
    <row r="996" spans="1:10" ht="16.5" customHeight="1" x14ac:dyDescent="0.25">
      <c r="A996" s="8" t="s">
        <v>5064</v>
      </c>
      <c r="B996" s="8" t="s">
        <v>5065</v>
      </c>
      <c r="C996" s="8" t="s">
        <v>5066</v>
      </c>
      <c r="D996" s="8" t="s">
        <v>5065</v>
      </c>
      <c r="E996" s="105">
        <v>0.22800000000000001</v>
      </c>
      <c r="F996" s="106" t="s">
        <v>2024</v>
      </c>
      <c r="G996" s="8"/>
      <c r="H996" s="8"/>
      <c r="I996" s="107">
        <v>0</v>
      </c>
      <c r="J996" s="8" t="s">
        <v>2019</v>
      </c>
    </row>
    <row r="997" spans="1:10" ht="16.5" customHeight="1" x14ac:dyDescent="0.25">
      <c r="A997" s="8" t="s">
        <v>5067</v>
      </c>
      <c r="B997" s="8" t="s">
        <v>5068</v>
      </c>
      <c r="C997" s="8" t="s">
        <v>5069</v>
      </c>
      <c r="D997" s="8" t="s">
        <v>5068</v>
      </c>
      <c r="E997" s="105">
        <v>0</v>
      </c>
      <c r="F997" s="106" t="s">
        <v>2024</v>
      </c>
      <c r="G997" s="8"/>
      <c r="H997" s="8"/>
      <c r="I997" s="107">
        <v>0</v>
      </c>
      <c r="J997" s="8" t="s">
        <v>2019</v>
      </c>
    </row>
    <row r="998" spans="1:10" ht="16.5" customHeight="1" x14ac:dyDescent="0.25">
      <c r="A998" s="8" t="s">
        <v>5070</v>
      </c>
      <c r="B998" s="8" t="s">
        <v>5071</v>
      </c>
      <c r="C998" s="8" t="s">
        <v>5072</v>
      </c>
      <c r="D998" s="8" t="s">
        <v>5071</v>
      </c>
      <c r="E998" s="105">
        <v>0</v>
      </c>
      <c r="F998" s="106" t="s">
        <v>2024</v>
      </c>
      <c r="G998" s="8"/>
      <c r="H998" s="8"/>
      <c r="I998" s="107">
        <v>0</v>
      </c>
      <c r="J998" s="8" t="s">
        <v>2019</v>
      </c>
    </row>
    <row r="999" spans="1:10" ht="16.5" customHeight="1" x14ac:dyDescent="0.25">
      <c r="A999" s="8" t="s">
        <v>5073</v>
      </c>
      <c r="B999" s="8" t="s">
        <v>5074</v>
      </c>
      <c r="C999" s="8" t="s">
        <v>5075</v>
      </c>
      <c r="D999" s="8" t="s">
        <v>5074</v>
      </c>
      <c r="E999" s="105">
        <v>0</v>
      </c>
      <c r="F999" s="106" t="s">
        <v>2024</v>
      </c>
      <c r="G999" s="8"/>
      <c r="H999" s="8"/>
      <c r="I999" s="107">
        <v>0</v>
      </c>
      <c r="J999" s="8" t="s">
        <v>2019</v>
      </c>
    </row>
    <row r="1000" spans="1:10" ht="16.5" customHeight="1" x14ac:dyDescent="0.25">
      <c r="A1000" s="8" t="s">
        <v>5076</v>
      </c>
      <c r="B1000" s="8" t="s">
        <v>5077</v>
      </c>
      <c r="C1000" s="8" t="s">
        <v>5078</v>
      </c>
      <c r="D1000" s="8" t="s">
        <v>5077</v>
      </c>
      <c r="E1000" s="105">
        <v>0</v>
      </c>
      <c r="F1000" s="106" t="s">
        <v>2024</v>
      </c>
      <c r="G1000" s="8"/>
      <c r="H1000" s="8"/>
      <c r="I1000" s="107">
        <v>0</v>
      </c>
      <c r="J1000" s="8" t="s">
        <v>2019</v>
      </c>
    </row>
    <row r="1001" spans="1:10" ht="16.5" customHeight="1" x14ac:dyDescent="0.25">
      <c r="A1001" s="8" t="s">
        <v>5079</v>
      </c>
      <c r="B1001" s="8" t="s">
        <v>5080</v>
      </c>
      <c r="C1001" s="8" t="s">
        <v>5081</v>
      </c>
      <c r="D1001" s="8" t="s">
        <v>5080</v>
      </c>
      <c r="E1001" s="105">
        <v>0</v>
      </c>
      <c r="F1001" s="106" t="s">
        <v>2024</v>
      </c>
      <c r="G1001" s="8"/>
      <c r="H1001" s="8"/>
      <c r="I1001" s="107">
        <v>0</v>
      </c>
      <c r="J1001" s="8" t="s">
        <v>2019</v>
      </c>
    </row>
    <row r="1002" spans="1:10" ht="16.5" customHeight="1" x14ac:dyDescent="0.25">
      <c r="A1002" s="8" t="s">
        <v>5082</v>
      </c>
      <c r="B1002" s="8" t="s">
        <v>5083</v>
      </c>
      <c r="C1002" s="8" t="s">
        <v>5084</v>
      </c>
      <c r="D1002" s="8" t="s">
        <v>5083</v>
      </c>
      <c r="E1002" s="105">
        <v>0</v>
      </c>
      <c r="F1002" s="106" t="s">
        <v>2024</v>
      </c>
      <c r="G1002" s="8"/>
      <c r="H1002" s="8"/>
      <c r="I1002" s="107">
        <v>0</v>
      </c>
      <c r="J1002" s="8" t="s">
        <v>2019</v>
      </c>
    </row>
    <row r="1003" spans="1:10" ht="16.5" customHeight="1" x14ac:dyDescent="0.25">
      <c r="A1003" s="8" t="s">
        <v>5085</v>
      </c>
      <c r="B1003" s="8" t="s">
        <v>5086</v>
      </c>
      <c r="C1003" s="8" t="s">
        <v>5087</v>
      </c>
      <c r="D1003" s="8" t="s">
        <v>5086</v>
      </c>
      <c r="E1003" s="105">
        <v>0</v>
      </c>
      <c r="F1003" s="106" t="s">
        <v>2024</v>
      </c>
      <c r="G1003" s="8"/>
      <c r="H1003" s="8"/>
      <c r="I1003" s="107">
        <v>0</v>
      </c>
      <c r="J1003" s="8" t="s">
        <v>4722</v>
      </c>
    </row>
    <row r="1004" spans="1:10" ht="16.5" customHeight="1" x14ac:dyDescent="0.25">
      <c r="A1004" s="8" t="s">
        <v>5088</v>
      </c>
      <c r="B1004" s="8" t="s">
        <v>5089</v>
      </c>
      <c r="C1004" s="8" t="s">
        <v>5090</v>
      </c>
      <c r="D1004" s="8" t="s">
        <v>5089</v>
      </c>
      <c r="E1004" s="105">
        <v>0</v>
      </c>
      <c r="F1004" s="106" t="s">
        <v>2024</v>
      </c>
      <c r="G1004" s="8"/>
      <c r="H1004" s="8"/>
      <c r="I1004" s="107">
        <v>0</v>
      </c>
      <c r="J1004" s="8" t="s">
        <v>2019</v>
      </c>
    </row>
    <row r="1005" spans="1:10" ht="16.5" customHeight="1" x14ac:dyDescent="0.25">
      <c r="A1005" s="8" t="s">
        <v>5091</v>
      </c>
      <c r="B1005" s="8" t="s">
        <v>5092</v>
      </c>
      <c r="C1005" s="8" t="s">
        <v>5092</v>
      </c>
      <c r="D1005" s="8" t="s">
        <v>5092</v>
      </c>
      <c r="E1005" s="105">
        <v>0</v>
      </c>
      <c r="F1005" s="106" t="s">
        <v>2024</v>
      </c>
      <c r="G1005" s="8"/>
      <c r="H1005" s="8"/>
      <c r="I1005" s="107">
        <v>0</v>
      </c>
      <c r="J1005" s="8" t="s">
        <v>2019</v>
      </c>
    </row>
    <row r="1006" spans="1:10" ht="16.5" customHeight="1" x14ac:dyDescent="0.25">
      <c r="A1006" s="8" t="s">
        <v>5093</v>
      </c>
      <c r="B1006" s="8" t="s">
        <v>5094</v>
      </c>
      <c r="C1006" s="8" t="s">
        <v>5094</v>
      </c>
      <c r="D1006" s="8" t="s">
        <v>5094</v>
      </c>
      <c r="E1006" s="105">
        <v>0</v>
      </c>
      <c r="F1006" s="106" t="s">
        <v>2024</v>
      </c>
      <c r="G1006" s="8"/>
      <c r="H1006" s="8"/>
      <c r="I1006" s="107">
        <v>0</v>
      </c>
      <c r="J1006" s="8" t="s">
        <v>2019</v>
      </c>
    </row>
    <row r="1007" spans="1:10" ht="16.5" customHeight="1" x14ac:dyDescent="0.25">
      <c r="A1007" s="8" t="s">
        <v>5095</v>
      </c>
      <c r="B1007" s="8" t="s">
        <v>5096</v>
      </c>
      <c r="C1007" s="8" t="s">
        <v>5097</v>
      </c>
      <c r="D1007" s="8" t="s">
        <v>5096</v>
      </c>
      <c r="E1007" s="105">
        <v>0</v>
      </c>
      <c r="F1007" s="106" t="s">
        <v>2024</v>
      </c>
      <c r="G1007" s="8"/>
      <c r="H1007" s="8"/>
      <c r="I1007" s="107">
        <v>0</v>
      </c>
      <c r="J1007" s="8"/>
    </row>
    <row r="1008" spans="1:10" ht="16.5" customHeight="1" x14ac:dyDescent="0.25">
      <c r="A1008" s="8" t="s">
        <v>1173</v>
      </c>
      <c r="B1008" s="8" t="s">
        <v>1175</v>
      </c>
      <c r="C1008" s="8" t="s">
        <v>1174</v>
      </c>
      <c r="D1008" s="8" t="s">
        <v>1175</v>
      </c>
      <c r="E1008" s="105">
        <v>10.92</v>
      </c>
      <c r="F1008" s="106" t="s">
        <v>2018</v>
      </c>
      <c r="G1008" s="8"/>
      <c r="H1008" s="8" t="s">
        <v>5098</v>
      </c>
      <c r="I1008" s="107">
        <v>12</v>
      </c>
      <c r="J1008" s="8" t="s">
        <v>2019</v>
      </c>
    </row>
    <row r="1009" spans="1:10" ht="16.5" customHeight="1" x14ac:dyDescent="0.25">
      <c r="A1009" s="8" t="s">
        <v>5099</v>
      </c>
      <c r="B1009" s="8" t="s">
        <v>5100</v>
      </c>
      <c r="C1009" s="8" t="s">
        <v>5101</v>
      </c>
      <c r="D1009" s="8" t="s">
        <v>5100</v>
      </c>
      <c r="E1009" s="105">
        <v>7.28</v>
      </c>
      <c r="F1009" s="106" t="s">
        <v>2024</v>
      </c>
      <c r="G1009" s="8"/>
      <c r="H1009" s="8"/>
      <c r="I1009" s="107">
        <v>0</v>
      </c>
      <c r="J1009" s="8" t="s">
        <v>2019</v>
      </c>
    </row>
    <row r="1010" spans="1:10" ht="16.5" customHeight="1" x14ac:dyDescent="0.25">
      <c r="A1010" s="8" t="s">
        <v>5098</v>
      </c>
      <c r="B1010" s="8" t="s">
        <v>5102</v>
      </c>
      <c r="C1010" s="8" t="s">
        <v>1174</v>
      </c>
      <c r="D1010" s="8" t="s">
        <v>5102</v>
      </c>
      <c r="E1010" s="105">
        <v>0.91</v>
      </c>
      <c r="F1010" s="106" t="s">
        <v>2018</v>
      </c>
      <c r="G1010" s="8"/>
      <c r="H1010" s="8"/>
      <c r="I1010" s="107">
        <v>0</v>
      </c>
      <c r="J1010" s="8" t="s">
        <v>2019</v>
      </c>
    </row>
    <row r="1011" spans="1:10" ht="16.5" customHeight="1" x14ac:dyDescent="0.25">
      <c r="A1011" s="8" t="s">
        <v>5103</v>
      </c>
      <c r="B1011" s="8" t="s">
        <v>5104</v>
      </c>
      <c r="C1011" s="8" t="s">
        <v>5101</v>
      </c>
      <c r="D1011" s="8" t="s">
        <v>5104</v>
      </c>
      <c r="E1011" s="105">
        <v>0.36399999999999999</v>
      </c>
      <c r="F1011" s="106" t="s">
        <v>2024</v>
      </c>
      <c r="G1011" s="8"/>
      <c r="H1011" s="8"/>
      <c r="I1011" s="107">
        <v>0</v>
      </c>
      <c r="J1011" s="8" t="s">
        <v>2019</v>
      </c>
    </row>
    <row r="1012" spans="1:10" ht="16.5" customHeight="1" x14ac:dyDescent="0.25">
      <c r="A1012" s="8" t="s">
        <v>5105</v>
      </c>
      <c r="B1012" s="8" t="s">
        <v>5106</v>
      </c>
      <c r="C1012" s="8" t="s">
        <v>3613</v>
      </c>
      <c r="D1012" s="8" t="s">
        <v>5106</v>
      </c>
      <c r="E1012" s="105">
        <v>1</v>
      </c>
      <c r="F1012" s="106" t="s">
        <v>2024</v>
      </c>
      <c r="G1012" s="8"/>
      <c r="H1012" s="8"/>
      <c r="I1012" s="107">
        <v>0</v>
      </c>
      <c r="J1012" s="8" t="s">
        <v>3580</v>
      </c>
    </row>
    <row r="1013" spans="1:10" ht="16.5" customHeight="1" x14ac:dyDescent="0.25">
      <c r="A1013" s="8" t="s">
        <v>5107</v>
      </c>
      <c r="B1013" s="8" t="s">
        <v>5108</v>
      </c>
      <c r="C1013" s="8" t="s">
        <v>5109</v>
      </c>
      <c r="D1013" s="8" t="s">
        <v>5108</v>
      </c>
      <c r="E1013" s="105">
        <v>20</v>
      </c>
      <c r="F1013" s="106" t="s">
        <v>2018</v>
      </c>
      <c r="G1013" s="8"/>
      <c r="H1013" s="8"/>
      <c r="I1013" s="107">
        <v>0</v>
      </c>
      <c r="J1013" s="8" t="s">
        <v>2019</v>
      </c>
    </row>
    <row r="1014" spans="1:10" ht="16.5" customHeight="1" x14ac:dyDescent="0.25">
      <c r="A1014" s="8" t="s">
        <v>5110</v>
      </c>
      <c r="B1014" s="8" t="s">
        <v>5111</v>
      </c>
      <c r="C1014" s="8" t="s">
        <v>2757</v>
      </c>
      <c r="D1014" s="8" t="s">
        <v>5111</v>
      </c>
      <c r="E1014" s="105">
        <v>0.22800000000000001</v>
      </c>
      <c r="F1014" s="106" t="s">
        <v>2024</v>
      </c>
      <c r="G1014" s="8"/>
      <c r="H1014" s="8"/>
      <c r="I1014" s="107">
        <v>0</v>
      </c>
      <c r="J1014" s="8" t="s">
        <v>2019</v>
      </c>
    </row>
    <row r="1015" spans="1:10" ht="16.5" customHeight="1" x14ac:dyDescent="0.25">
      <c r="A1015" s="8" t="s">
        <v>5112</v>
      </c>
      <c r="B1015" s="8" t="s">
        <v>5113</v>
      </c>
      <c r="C1015" s="8" t="s">
        <v>4953</v>
      </c>
      <c r="D1015" s="8" t="s">
        <v>5113</v>
      </c>
      <c r="E1015" s="105">
        <v>1</v>
      </c>
      <c r="F1015" s="106" t="s">
        <v>2024</v>
      </c>
      <c r="G1015" s="8"/>
      <c r="H1015" s="8"/>
      <c r="I1015" s="107">
        <v>0</v>
      </c>
      <c r="J1015" s="8" t="s">
        <v>3580</v>
      </c>
    </row>
    <row r="1016" spans="1:10" ht="16.5" customHeight="1" x14ac:dyDescent="0.25">
      <c r="A1016" s="8" t="s">
        <v>5114</v>
      </c>
      <c r="B1016" s="8" t="s">
        <v>5115</v>
      </c>
      <c r="C1016" s="8" t="s">
        <v>5116</v>
      </c>
      <c r="D1016" s="8" t="s">
        <v>5115</v>
      </c>
      <c r="E1016" s="105">
        <v>0</v>
      </c>
      <c r="F1016" s="106" t="s">
        <v>2024</v>
      </c>
      <c r="G1016" s="8"/>
      <c r="H1016" s="8"/>
      <c r="I1016" s="107">
        <v>0</v>
      </c>
      <c r="J1016" s="8" t="s">
        <v>2019</v>
      </c>
    </row>
    <row r="1017" spans="1:10" ht="16.5" customHeight="1" x14ac:dyDescent="0.25">
      <c r="A1017" s="8" t="s">
        <v>5117</v>
      </c>
      <c r="B1017" s="8" t="s">
        <v>5118</v>
      </c>
      <c r="C1017" s="8" t="s">
        <v>5119</v>
      </c>
      <c r="D1017" s="8" t="s">
        <v>5118</v>
      </c>
      <c r="E1017" s="105">
        <v>0</v>
      </c>
      <c r="F1017" s="106" t="s">
        <v>2024</v>
      </c>
      <c r="G1017" s="8"/>
      <c r="H1017" s="8"/>
      <c r="I1017" s="107">
        <v>0</v>
      </c>
      <c r="J1017" s="8" t="s">
        <v>2019</v>
      </c>
    </row>
    <row r="1018" spans="1:10" ht="16.5" customHeight="1" x14ac:dyDescent="0.25">
      <c r="A1018" s="8" t="s">
        <v>5120</v>
      </c>
      <c r="B1018" s="8" t="s">
        <v>5121</v>
      </c>
      <c r="C1018" s="8" t="s">
        <v>3681</v>
      </c>
      <c r="D1018" s="8" t="s">
        <v>5121</v>
      </c>
      <c r="E1018" s="105">
        <v>1</v>
      </c>
      <c r="F1018" s="106" t="s">
        <v>2024</v>
      </c>
      <c r="G1018" s="8"/>
      <c r="H1018" s="8"/>
      <c r="I1018" s="107">
        <v>0</v>
      </c>
      <c r="J1018" s="8" t="s">
        <v>3580</v>
      </c>
    </row>
    <row r="1019" spans="1:10" ht="16.5" customHeight="1" x14ac:dyDescent="0.25">
      <c r="A1019" s="8" t="s">
        <v>5122</v>
      </c>
      <c r="B1019" s="8" t="s">
        <v>4070</v>
      </c>
      <c r="C1019" s="8" t="s">
        <v>4071</v>
      </c>
      <c r="D1019" s="8" t="s">
        <v>4070</v>
      </c>
      <c r="E1019" s="105">
        <v>0.15</v>
      </c>
      <c r="F1019" s="106" t="s">
        <v>2024</v>
      </c>
      <c r="G1019" s="8"/>
      <c r="H1019" s="8"/>
      <c r="I1019" s="107">
        <v>0</v>
      </c>
      <c r="J1019" s="8" t="s">
        <v>3580</v>
      </c>
    </row>
    <row r="1020" spans="1:10" ht="16.5" customHeight="1" x14ac:dyDescent="0.25">
      <c r="A1020" s="8" t="s">
        <v>5123</v>
      </c>
      <c r="B1020" s="8" t="s">
        <v>5124</v>
      </c>
      <c r="C1020" s="8" t="s">
        <v>5125</v>
      </c>
      <c r="D1020" s="8" t="s">
        <v>5124</v>
      </c>
      <c r="E1020" s="105">
        <v>1</v>
      </c>
      <c r="F1020" s="106" t="s">
        <v>2024</v>
      </c>
      <c r="G1020" s="8"/>
      <c r="H1020" s="8"/>
      <c r="I1020" s="107">
        <v>0</v>
      </c>
      <c r="J1020" s="8" t="s">
        <v>3580</v>
      </c>
    </row>
    <row r="1021" spans="1:10" ht="16.5" customHeight="1" x14ac:dyDescent="0.25">
      <c r="A1021" s="8" t="s">
        <v>5126</v>
      </c>
      <c r="B1021" s="8" t="s">
        <v>5127</v>
      </c>
      <c r="C1021" s="8" t="s">
        <v>5128</v>
      </c>
      <c r="D1021" s="8" t="s">
        <v>5127</v>
      </c>
      <c r="E1021" s="105">
        <v>0.253</v>
      </c>
      <c r="F1021" s="106" t="s">
        <v>2024</v>
      </c>
      <c r="G1021" s="8"/>
      <c r="H1021" s="8"/>
      <c r="I1021" s="107">
        <v>0</v>
      </c>
      <c r="J1021" s="8" t="s">
        <v>2019</v>
      </c>
    </row>
    <row r="1022" spans="1:10" ht="16.5" customHeight="1" x14ac:dyDescent="0.25">
      <c r="A1022" s="8" t="s">
        <v>5129</v>
      </c>
      <c r="B1022" s="8" t="s">
        <v>5130</v>
      </c>
      <c r="C1022" s="8" t="s">
        <v>2090</v>
      </c>
      <c r="D1022" s="8" t="s">
        <v>5130</v>
      </c>
      <c r="E1022" s="105">
        <v>1</v>
      </c>
      <c r="F1022" s="106" t="s">
        <v>2018</v>
      </c>
      <c r="G1022" s="8"/>
      <c r="H1022" s="8"/>
      <c r="I1022" s="107">
        <v>0</v>
      </c>
      <c r="J1022" s="8" t="s">
        <v>2019</v>
      </c>
    </row>
    <row r="1023" spans="1:10" ht="16.5" customHeight="1" x14ac:dyDescent="0.25">
      <c r="A1023" s="8" t="s">
        <v>5131</v>
      </c>
      <c r="B1023" s="8" t="s">
        <v>5132</v>
      </c>
      <c r="C1023" s="8" t="s">
        <v>3636</v>
      </c>
      <c r="D1023" s="8" t="s">
        <v>5132</v>
      </c>
      <c r="E1023" s="105">
        <v>1</v>
      </c>
      <c r="F1023" s="106" t="s">
        <v>2024</v>
      </c>
      <c r="G1023" s="8"/>
      <c r="H1023" s="8"/>
      <c r="I1023" s="107">
        <v>0</v>
      </c>
      <c r="J1023" s="8" t="s">
        <v>2019</v>
      </c>
    </row>
    <row r="1024" spans="1:10" ht="16.5" customHeight="1" x14ac:dyDescent="0.25">
      <c r="A1024" s="8" t="s">
        <v>5133</v>
      </c>
      <c r="B1024" s="8" t="s">
        <v>5134</v>
      </c>
      <c r="C1024" s="8" t="s">
        <v>3589</v>
      </c>
      <c r="D1024" s="8" t="s">
        <v>5134</v>
      </c>
      <c r="E1024" s="105">
        <v>1</v>
      </c>
      <c r="F1024" s="106" t="s">
        <v>2024</v>
      </c>
      <c r="G1024" s="8"/>
      <c r="H1024" s="8"/>
      <c r="I1024" s="107">
        <v>0</v>
      </c>
      <c r="J1024" s="8" t="s">
        <v>2019</v>
      </c>
    </row>
    <row r="1025" spans="1:10" ht="16.5" customHeight="1" x14ac:dyDescent="0.25">
      <c r="A1025" s="8" t="s">
        <v>5135</v>
      </c>
      <c r="B1025" s="8" t="s">
        <v>5136</v>
      </c>
      <c r="C1025" s="8" t="s">
        <v>3666</v>
      </c>
      <c r="D1025" s="8" t="s">
        <v>5136</v>
      </c>
      <c r="E1025" s="105">
        <v>1</v>
      </c>
      <c r="F1025" s="106" t="s">
        <v>2024</v>
      </c>
      <c r="G1025" s="8"/>
      <c r="H1025" s="8"/>
      <c r="I1025" s="107">
        <v>0</v>
      </c>
      <c r="J1025" s="8" t="s">
        <v>2019</v>
      </c>
    </row>
    <row r="1026" spans="1:10" ht="16.5" customHeight="1" x14ac:dyDescent="0.25">
      <c r="A1026" s="8" t="s">
        <v>5137</v>
      </c>
      <c r="B1026" s="8" t="s">
        <v>5138</v>
      </c>
      <c r="C1026" s="8" t="s">
        <v>3595</v>
      </c>
      <c r="D1026" s="8" t="s">
        <v>5138</v>
      </c>
      <c r="E1026" s="105">
        <v>1</v>
      </c>
      <c r="F1026" s="106" t="s">
        <v>2024</v>
      </c>
      <c r="G1026" s="8"/>
      <c r="H1026" s="8"/>
      <c r="I1026" s="107">
        <v>0</v>
      </c>
      <c r="J1026" s="8" t="s">
        <v>2019</v>
      </c>
    </row>
    <row r="1027" spans="1:10" ht="16.5" customHeight="1" x14ac:dyDescent="0.25">
      <c r="A1027" s="8" t="s">
        <v>5139</v>
      </c>
      <c r="B1027" s="8" t="s">
        <v>5140</v>
      </c>
      <c r="C1027" s="8" t="s">
        <v>3678</v>
      </c>
      <c r="D1027" s="8" t="s">
        <v>5140</v>
      </c>
      <c r="E1027" s="105">
        <v>1</v>
      </c>
      <c r="F1027" s="106" t="s">
        <v>2024</v>
      </c>
      <c r="G1027" s="8"/>
      <c r="H1027" s="8"/>
      <c r="I1027" s="107">
        <v>0</v>
      </c>
      <c r="J1027" s="8" t="s">
        <v>2019</v>
      </c>
    </row>
    <row r="1028" spans="1:10" ht="16.5" customHeight="1" x14ac:dyDescent="0.25">
      <c r="A1028" s="8" t="s">
        <v>5141</v>
      </c>
      <c r="B1028" s="8" t="s">
        <v>5142</v>
      </c>
      <c r="C1028" s="8" t="s">
        <v>3583</v>
      </c>
      <c r="D1028" s="8" t="s">
        <v>5142</v>
      </c>
      <c r="E1028" s="105">
        <v>1</v>
      </c>
      <c r="F1028" s="106" t="s">
        <v>2024</v>
      </c>
      <c r="G1028" s="8"/>
      <c r="H1028" s="8"/>
      <c r="I1028" s="107">
        <v>0</v>
      </c>
      <c r="J1028" s="8" t="s">
        <v>3580</v>
      </c>
    </row>
    <row r="1029" spans="1:10" ht="16.5" customHeight="1" x14ac:dyDescent="0.25">
      <c r="A1029" s="8" t="s">
        <v>5143</v>
      </c>
      <c r="B1029" s="8" t="s">
        <v>5144</v>
      </c>
      <c r="C1029" s="8" t="s">
        <v>5145</v>
      </c>
      <c r="D1029" s="8" t="s">
        <v>5144</v>
      </c>
      <c r="E1029" s="105">
        <v>1</v>
      </c>
      <c r="F1029" s="106" t="s">
        <v>2024</v>
      </c>
      <c r="G1029" s="8"/>
      <c r="H1029" s="8"/>
      <c r="I1029" s="107">
        <v>0</v>
      </c>
      <c r="J1029" s="8" t="s">
        <v>3580</v>
      </c>
    </row>
    <row r="1030" spans="1:10" ht="16.5" customHeight="1" x14ac:dyDescent="0.25">
      <c r="A1030" s="8" t="s">
        <v>5146</v>
      </c>
      <c r="B1030" s="8" t="s">
        <v>5147</v>
      </c>
      <c r="C1030" s="8" t="s">
        <v>5148</v>
      </c>
      <c r="D1030" s="8" t="s">
        <v>5147</v>
      </c>
      <c r="E1030" s="105">
        <v>1</v>
      </c>
      <c r="F1030" s="106" t="s">
        <v>2024</v>
      </c>
      <c r="G1030" s="8"/>
      <c r="H1030" s="8"/>
      <c r="I1030" s="107">
        <v>0</v>
      </c>
      <c r="J1030" s="8" t="s">
        <v>3580</v>
      </c>
    </row>
    <row r="1031" spans="1:10" ht="16.5" customHeight="1" x14ac:dyDescent="0.25">
      <c r="A1031" s="8" t="s">
        <v>5149</v>
      </c>
      <c r="B1031" s="8" t="s">
        <v>5150</v>
      </c>
      <c r="C1031" s="8" t="s">
        <v>5151</v>
      </c>
      <c r="D1031" s="8" t="s">
        <v>5150</v>
      </c>
      <c r="E1031" s="105">
        <v>1</v>
      </c>
      <c r="F1031" s="106" t="s">
        <v>2024</v>
      </c>
      <c r="G1031" s="8"/>
      <c r="H1031" s="8"/>
      <c r="I1031" s="107">
        <v>0</v>
      </c>
      <c r="J1031" s="8" t="s">
        <v>3580</v>
      </c>
    </row>
    <row r="1032" spans="1:10" ht="16.5" customHeight="1" x14ac:dyDescent="0.25">
      <c r="A1032" s="8" t="s">
        <v>5152</v>
      </c>
      <c r="B1032" s="8" t="s">
        <v>5153</v>
      </c>
      <c r="C1032" s="8" t="s">
        <v>5154</v>
      </c>
      <c r="D1032" s="8" t="s">
        <v>5153</v>
      </c>
      <c r="E1032" s="105">
        <v>1</v>
      </c>
      <c r="F1032" s="106" t="s">
        <v>2024</v>
      </c>
      <c r="G1032" s="8"/>
      <c r="H1032" s="8"/>
      <c r="I1032" s="107">
        <v>0</v>
      </c>
      <c r="J1032" s="8" t="s">
        <v>3580</v>
      </c>
    </row>
    <row r="1033" spans="1:10" ht="16.5" customHeight="1" x14ac:dyDescent="0.25">
      <c r="A1033" s="8" t="s">
        <v>5155</v>
      </c>
      <c r="B1033" s="8" t="s">
        <v>5156</v>
      </c>
      <c r="C1033" s="8" t="s">
        <v>5157</v>
      </c>
      <c r="D1033" s="8" t="s">
        <v>5156</v>
      </c>
      <c r="E1033" s="105">
        <v>1</v>
      </c>
      <c r="F1033" s="106" t="s">
        <v>2024</v>
      </c>
      <c r="G1033" s="8"/>
      <c r="H1033" s="8"/>
      <c r="I1033" s="107">
        <v>0</v>
      </c>
      <c r="J1033" s="8" t="s">
        <v>3580</v>
      </c>
    </row>
    <row r="1034" spans="1:10" ht="16.5" customHeight="1" x14ac:dyDescent="0.25">
      <c r="A1034" s="8" t="s">
        <v>5158</v>
      </c>
      <c r="B1034" s="8" t="s">
        <v>5159</v>
      </c>
      <c r="C1034" s="8" t="s">
        <v>5160</v>
      </c>
      <c r="D1034" s="8" t="s">
        <v>5159</v>
      </c>
      <c r="E1034" s="105">
        <v>1</v>
      </c>
      <c r="F1034" s="106" t="s">
        <v>2024</v>
      </c>
      <c r="G1034" s="8"/>
      <c r="H1034" s="8"/>
      <c r="I1034" s="107">
        <v>0</v>
      </c>
      <c r="J1034" s="8" t="s">
        <v>3580</v>
      </c>
    </row>
    <row r="1035" spans="1:10" ht="16.5" customHeight="1" x14ac:dyDescent="0.25">
      <c r="A1035" s="8" t="s">
        <v>5161</v>
      </c>
      <c r="B1035" s="8" t="s">
        <v>5162</v>
      </c>
      <c r="C1035" s="8" t="s">
        <v>5163</v>
      </c>
      <c r="D1035" s="8" t="s">
        <v>5162</v>
      </c>
      <c r="E1035" s="105">
        <v>1</v>
      </c>
      <c r="F1035" s="106" t="s">
        <v>2024</v>
      </c>
      <c r="G1035" s="8"/>
      <c r="H1035" s="8"/>
      <c r="I1035" s="107">
        <v>0</v>
      </c>
      <c r="J1035" s="8" t="s">
        <v>3580</v>
      </c>
    </row>
    <row r="1036" spans="1:10" ht="16.5" customHeight="1" x14ac:dyDescent="0.25">
      <c r="A1036" s="8" t="s">
        <v>5164</v>
      </c>
      <c r="B1036" s="8" t="s">
        <v>5165</v>
      </c>
      <c r="C1036" s="8" t="s">
        <v>5166</v>
      </c>
      <c r="D1036" s="8" t="s">
        <v>5165</v>
      </c>
      <c r="E1036" s="105">
        <v>1</v>
      </c>
      <c r="F1036" s="106" t="s">
        <v>2024</v>
      </c>
      <c r="G1036" s="8"/>
      <c r="H1036" s="8"/>
      <c r="I1036" s="107">
        <v>0</v>
      </c>
      <c r="J1036" s="8" t="s">
        <v>3580</v>
      </c>
    </row>
    <row r="1037" spans="1:10" ht="16.5" customHeight="1" x14ac:dyDescent="0.25">
      <c r="A1037" s="8" t="s">
        <v>5167</v>
      </c>
      <c r="B1037" s="8" t="s">
        <v>5168</v>
      </c>
      <c r="C1037" s="8" t="s">
        <v>5169</v>
      </c>
      <c r="D1037" s="8" t="s">
        <v>5168</v>
      </c>
      <c r="E1037" s="105">
        <v>1</v>
      </c>
      <c r="F1037" s="106" t="s">
        <v>2024</v>
      </c>
      <c r="G1037" s="8"/>
      <c r="H1037" s="8"/>
      <c r="I1037" s="107">
        <v>0</v>
      </c>
      <c r="J1037" s="8" t="s">
        <v>3580</v>
      </c>
    </row>
    <row r="1038" spans="1:10" ht="16.5" customHeight="1" x14ac:dyDescent="0.25">
      <c r="A1038" s="8" t="s">
        <v>5170</v>
      </c>
      <c r="B1038" s="8" t="s">
        <v>5171</v>
      </c>
      <c r="C1038" s="8" t="s">
        <v>5172</v>
      </c>
      <c r="D1038" s="8" t="s">
        <v>5171</v>
      </c>
      <c r="E1038" s="105">
        <v>1</v>
      </c>
      <c r="F1038" s="106" t="s">
        <v>2024</v>
      </c>
      <c r="G1038" s="8"/>
      <c r="H1038" s="8"/>
      <c r="I1038" s="107">
        <v>0</v>
      </c>
      <c r="J1038" s="8" t="s">
        <v>3580</v>
      </c>
    </row>
    <row r="1039" spans="1:10" ht="16.5" customHeight="1" x14ac:dyDescent="0.25">
      <c r="A1039" s="8" t="s">
        <v>5173</v>
      </c>
      <c r="B1039" s="8" t="s">
        <v>5174</v>
      </c>
      <c r="C1039" s="8" t="s">
        <v>5175</v>
      </c>
      <c r="D1039" s="8" t="s">
        <v>5174</v>
      </c>
      <c r="E1039" s="105">
        <v>1</v>
      </c>
      <c r="F1039" s="106" t="s">
        <v>2024</v>
      </c>
      <c r="G1039" s="8"/>
      <c r="H1039" s="8"/>
      <c r="I1039" s="107">
        <v>0</v>
      </c>
      <c r="J1039" s="8" t="s">
        <v>3580</v>
      </c>
    </row>
    <row r="1040" spans="1:10" ht="16.5" customHeight="1" x14ac:dyDescent="0.25">
      <c r="A1040" s="8" t="s">
        <v>5176</v>
      </c>
      <c r="B1040" s="8" t="s">
        <v>5177</v>
      </c>
      <c r="C1040" s="8" t="s">
        <v>5178</v>
      </c>
      <c r="D1040" s="8" t="s">
        <v>5177</v>
      </c>
      <c r="E1040" s="105">
        <v>7.5</v>
      </c>
      <c r="F1040" s="106" t="s">
        <v>2024</v>
      </c>
      <c r="G1040" s="8"/>
      <c r="H1040" s="8"/>
      <c r="I1040" s="107">
        <v>0</v>
      </c>
      <c r="J1040" s="8" t="s">
        <v>4789</v>
      </c>
    </row>
    <row r="1041" spans="1:10" ht="16.5" customHeight="1" x14ac:dyDescent="0.25">
      <c r="A1041" s="8" t="s">
        <v>5179</v>
      </c>
      <c r="B1041" s="8" t="s">
        <v>5180</v>
      </c>
      <c r="C1041" s="8" t="s">
        <v>5178</v>
      </c>
      <c r="D1041" s="8" t="s">
        <v>5180</v>
      </c>
      <c r="E1041" s="105">
        <v>0.25</v>
      </c>
      <c r="F1041" s="106" t="s">
        <v>2024</v>
      </c>
      <c r="G1041" s="8"/>
      <c r="H1041" s="8"/>
      <c r="I1041" s="107">
        <v>0</v>
      </c>
      <c r="J1041" s="8" t="s">
        <v>4789</v>
      </c>
    </row>
    <row r="1042" spans="1:10" ht="16.5" customHeight="1" x14ac:dyDescent="0.25">
      <c r="A1042" s="8" t="s">
        <v>5181</v>
      </c>
      <c r="B1042" s="8" t="s">
        <v>5182</v>
      </c>
      <c r="C1042" s="8" t="s">
        <v>5183</v>
      </c>
      <c r="D1042" s="8" t="s">
        <v>5182</v>
      </c>
      <c r="E1042" s="105">
        <v>1</v>
      </c>
      <c r="F1042" s="106" t="s">
        <v>2024</v>
      </c>
      <c r="G1042" s="8"/>
      <c r="H1042" s="8"/>
      <c r="I1042" s="107">
        <v>0</v>
      </c>
      <c r="J1042" s="8" t="s">
        <v>3580</v>
      </c>
    </row>
    <row r="1043" spans="1:10" ht="16.5" customHeight="1" x14ac:dyDescent="0.25">
      <c r="A1043" s="8" t="s">
        <v>5184</v>
      </c>
      <c r="B1043" s="8" t="s">
        <v>5185</v>
      </c>
      <c r="C1043" s="8" t="s">
        <v>5186</v>
      </c>
      <c r="D1043" s="8" t="s">
        <v>5185</v>
      </c>
      <c r="E1043" s="105">
        <v>1</v>
      </c>
      <c r="F1043" s="106" t="s">
        <v>2024</v>
      </c>
      <c r="G1043" s="8"/>
      <c r="H1043" s="8"/>
      <c r="I1043" s="107">
        <v>0</v>
      </c>
      <c r="J1043" s="8" t="s">
        <v>3580</v>
      </c>
    </row>
    <row r="1044" spans="1:10" ht="16.5" customHeight="1" x14ac:dyDescent="0.25">
      <c r="A1044" s="8" t="s">
        <v>5187</v>
      </c>
      <c r="B1044" s="8" t="s">
        <v>5188</v>
      </c>
      <c r="C1044" s="8" t="s">
        <v>5189</v>
      </c>
      <c r="D1044" s="8" t="s">
        <v>5188</v>
      </c>
      <c r="E1044" s="105">
        <v>1</v>
      </c>
      <c r="F1044" s="106" t="s">
        <v>2024</v>
      </c>
      <c r="G1044" s="8"/>
      <c r="H1044" s="8"/>
      <c r="I1044" s="107">
        <v>0</v>
      </c>
      <c r="J1044" s="8" t="s">
        <v>3580</v>
      </c>
    </row>
    <row r="1045" spans="1:10" ht="16.5" customHeight="1" x14ac:dyDescent="0.25">
      <c r="A1045" s="8" t="s">
        <v>5190</v>
      </c>
      <c r="B1045" s="8" t="s">
        <v>5191</v>
      </c>
      <c r="C1045" s="8" t="s">
        <v>5192</v>
      </c>
      <c r="D1045" s="8" t="s">
        <v>5191</v>
      </c>
      <c r="E1045" s="105">
        <v>1</v>
      </c>
      <c r="F1045" s="106" t="s">
        <v>2024</v>
      </c>
      <c r="G1045" s="8"/>
      <c r="H1045" s="8"/>
      <c r="I1045" s="107">
        <v>0</v>
      </c>
      <c r="J1045" s="8" t="s">
        <v>3580</v>
      </c>
    </row>
    <row r="1046" spans="1:10" ht="16.5" customHeight="1" x14ac:dyDescent="0.25">
      <c r="A1046" s="8" t="s">
        <v>5193</v>
      </c>
      <c r="B1046" s="8" t="s">
        <v>5194</v>
      </c>
      <c r="C1046" s="8" t="s">
        <v>3598</v>
      </c>
      <c r="D1046" s="8" t="s">
        <v>5194</v>
      </c>
      <c r="E1046" s="105">
        <v>1</v>
      </c>
      <c r="F1046" s="106" t="s">
        <v>2024</v>
      </c>
      <c r="G1046" s="8"/>
      <c r="H1046" s="8"/>
      <c r="I1046" s="107">
        <v>0</v>
      </c>
      <c r="J1046" s="8"/>
    </row>
    <row r="1047" spans="1:10" ht="16.5" customHeight="1" x14ac:dyDescent="0.25">
      <c r="A1047" s="8" t="s">
        <v>5195</v>
      </c>
      <c r="B1047" s="8" t="s">
        <v>5196</v>
      </c>
      <c r="C1047" s="8" t="s">
        <v>5197</v>
      </c>
      <c r="D1047" s="8" t="s">
        <v>5196</v>
      </c>
      <c r="E1047" s="105">
        <v>0</v>
      </c>
      <c r="F1047" s="106" t="s">
        <v>2024</v>
      </c>
      <c r="G1047" s="8"/>
      <c r="H1047" s="8"/>
      <c r="I1047" s="107">
        <v>0</v>
      </c>
      <c r="J1047" s="8" t="s">
        <v>2019</v>
      </c>
    </row>
    <row r="1048" spans="1:10" ht="16.5" customHeight="1" x14ac:dyDescent="0.25">
      <c r="A1048" s="8" t="s">
        <v>5198</v>
      </c>
      <c r="B1048" s="8" t="s">
        <v>5199</v>
      </c>
      <c r="C1048" s="8" t="s">
        <v>5200</v>
      </c>
      <c r="D1048" s="8" t="s">
        <v>5199</v>
      </c>
      <c r="E1048" s="105">
        <v>1</v>
      </c>
      <c r="F1048" s="106" t="s">
        <v>2024</v>
      </c>
      <c r="G1048" s="8"/>
      <c r="H1048" s="8"/>
      <c r="I1048" s="107">
        <v>0</v>
      </c>
      <c r="J1048" s="8" t="s">
        <v>3580</v>
      </c>
    </row>
    <row r="1049" spans="1:10" ht="16.5" customHeight="1" x14ac:dyDescent="0.25">
      <c r="A1049" s="8" t="s">
        <v>5201</v>
      </c>
      <c r="B1049" s="8" t="s">
        <v>5202</v>
      </c>
      <c r="C1049" s="8" t="s">
        <v>5200</v>
      </c>
      <c r="D1049" s="8" t="s">
        <v>5202</v>
      </c>
      <c r="E1049" s="105">
        <v>1</v>
      </c>
      <c r="F1049" s="106" t="s">
        <v>2024</v>
      </c>
      <c r="G1049" s="8"/>
      <c r="H1049" s="8"/>
      <c r="I1049" s="107">
        <v>0</v>
      </c>
      <c r="J1049" s="8" t="s">
        <v>3580</v>
      </c>
    </row>
    <row r="1050" spans="1:10" ht="16.5" customHeight="1" x14ac:dyDescent="0.25">
      <c r="A1050" s="8" t="s">
        <v>5203</v>
      </c>
      <c r="B1050" s="8" t="s">
        <v>5204</v>
      </c>
      <c r="C1050" s="8" t="s">
        <v>5205</v>
      </c>
      <c r="D1050" s="8" t="s">
        <v>5204</v>
      </c>
      <c r="E1050" s="105">
        <v>1</v>
      </c>
      <c r="F1050" s="106" t="s">
        <v>2024</v>
      </c>
      <c r="G1050" s="8"/>
      <c r="H1050" s="8"/>
      <c r="I1050" s="107">
        <v>0</v>
      </c>
      <c r="J1050" s="8" t="s">
        <v>3580</v>
      </c>
    </row>
    <row r="1051" spans="1:10" ht="16.5" customHeight="1" x14ac:dyDescent="0.25">
      <c r="A1051" s="8" t="s">
        <v>5206</v>
      </c>
      <c r="B1051" s="8" t="s">
        <v>5207</v>
      </c>
      <c r="C1051" s="8" t="s">
        <v>5208</v>
      </c>
      <c r="D1051" s="8" t="s">
        <v>5207</v>
      </c>
      <c r="E1051" s="105">
        <v>1</v>
      </c>
      <c r="F1051" s="106" t="s">
        <v>2024</v>
      </c>
      <c r="G1051" s="8"/>
      <c r="H1051" s="8"/>
      <c r="I1051" s="107">
        <v>0</v>
      </c>
      <c r="J1051" s="8" t="s">
        <v>3580</v>
      </c>
    </row>
    <row r="1052" spans="1:10" ht="16.5" customHeight="1" x14ac:dyDescent="0.25">
      <c r="A1052" s="8" t="s">
        <v>5209</v>
      </c>
      <c r="B1052" s="8" t="s">
        <v>5210</v>
      </c>
      <c r="C1052" s="8" t="s">
        <v>5211</v>
      </c>
      <c r="D1052" s="8" t="s">
        <v>5210</v>
      </c>
      <c r="E1052" s="105">
        <v>1</v>
      </c>
      <c r="F1052" s="106" t="s">
        <v>2024</v>
      </c>
      <c r="G1052" s="8"/>
      <c r="H1052" s="8"/>
      <c r="I1052" s="107">
        <v>0</v>
      </c>
      <c r="J1052" s="8" t="s">
        <v>3580</v>
      </c>
    </row>
    <row r="1053" spans="1:10" ht="16.5" customHeight="1" x14ac:dyDescent="0.25">
      <c r="A1053" s="8" t="s">
        <v>5212</v>
      </c>
      <c r="B1053" s="8" t="s">
        <v>5213</v>
      </c>
      <c r="C1053" s="8" t="s">
        <v>5200</v>
      </c>
      <c r="D1053" s="8" t="s">
        <v>5213</v>
      </c>
      <c r="E1053" s="105">
        <v>1</v>
      </c>
      <c r="F1053" s="106" t="s">
        <v>2024</v>
      </c>
      <c r="G1053" s="8"/>
      <c r="H1053" s="8"/>
      <c r="I1053" s="107">
        <v>0</v>
      </c>
      <c r="J1053" s="8" t="s">
        <v>3580</v>
      </c>
    </row>
    <row r="1054" spans="1:10" ht="16.5" customHeight="1" x14ac:dyDescent="0.25">
      <c r="A1054" s="8" t="s">
        <v>5214</v>
      </c>
      <c r="B1054" s="8" t="s">
        <v>5215</v>
      </c>
      <c r="C1054" s="8" t="s">
        <v>5216</v>
      </c>
      <c r="D1054" s="8" t="s">
        <v>5215</v>
      </c>
      <c r="E1054" s="105">
        <v>40</v>
      </c>
      <c r="F1054" s="106" t="s">
        <v>2024</v>
      </c>
      <c r="G1054" s="8"/>
      <c r="H1054" s="8"/>
      <c r="I1054" s="107">
        <v>0</v>
      </c>
      <c r="J1054" s="8" t="s">
        <v>3580</v>
      </c>
    </row>
    <row r="1055" spans="1:10" ht="16.5" customHeight="1" x14ac:dyDescent="0.25">
      <c r="A1055" s="8" t="s">
        <v>5217</v>
      </c>
      <c r="B1055" s="8" t="s">
        <v>5218</v>
      </c>
      <c r="C1055" s="8" t="s">
        <v>5219</v>
      </c>
      <c r="D1055" s="8" t="s">
        <v>5218</v>
      </c>
      <c r="E1055" s="105">
        <v>1</v>
      </c>
      <c r="F1055" s="106" t="s">
        <v>2024</v>
      </c>
      <c r="G1055" s="8"/>
      <c r="H1055" s="8"/>
      <c r="I1055" s="107">
        <v>0</v>
      </c>
      <c r="J1055" s="8" t="s">
        <v>3580</v>
      </c>
    </row>
    <row r="1056" spans="1:10" ht="16.5" customHeight="1" x14ac:dyDescent="0.25">
      <c r="A1056" s="8" t="s">
        <v>5220</v>
      </c>
      <c r="B1056" s="8" t="s">
        <v>5221</v>
      </c>
      <c r="C1056" s="8" t="s">
        <v>5219</v>
      </c>
      <c r="D1056" s="8" t="s">
        <v>5221</v>
      </c>
      <c r="E1056" s="105">
        <v>1</v>
      </c>
      <c r="F1056" s="106" t="s">
        <v>2024</v>
      </c>
      <c r="G1056" s="8"/>
      <c r="H1056" s="8"/>
      <c r="I1056" s="107">
        <v>0</v>
      </c>
      <c r="J1056" s="8" t="s">
        <v>3580</v>
      </c>
    </row>
    <row r="1057" spans="1:10" ht="16.5" customHeight="1" x14ac:dyDescent="0.25">
      <c r="A1057" s="8" t="s">
        <v>5222</v>
      </c>
      <c r="B1057" s="8" t="s">
        <v>5188</v>
      </c>
      <c r="C1057" s="8" t="s">
        <v>3628</v>
      </c>
      <c r="D1057" s="8" t="s">
        <v>5188</v>
      </c>
      <c r="E1057" s="105">
        <v>1</v>
      </c>
      <c r="F1057" s="106" t="s">
        <v>2024</v>
      </c>
      <c r="G1057" s="8"/>
      <c r="H1057" s="8"/>
      <c r="I1057" s="107">
        <v>0</v>
      </c>
      <c r="J1057" s="8" t="s">
        <v>3580</v>
      </c>
    </row>
    <row r="1058" spans="1:10" ht="16.5" customHeight="1" x14ac:dyDescent="0.25">
      <c r="A1058" s="8" t="s">
        <v>5223</v>
      </c>
      <c r="B1058" s="8" t="s">
        <v>5224</v>
      </c>
      <c r="C1058" s="8" t="s">
        <v>5225</v>
      </c>
      <c r="D1058" s="8" t="s">
        <v>5224</v>
      </c>
      <c r="E1058" s="105">
        <v>1</v>
      </c>
      <c r="F1058" s="106" t="s">
        <v>2024</v>
      </c>
      <c r="G1058" s="8"/>
      <c r="H1058" s="8"/>
      <c r="I1058" s="107">
        <v>0</v>
      </c>
      <c r="J1058" s="8" t="s">
        <v>3695</v>
      </c>
    </row>
    <row r="1059" spans="1:10" ht="16.5" customHeight="1" x14ac:dyDescent="0.25">
      <c r="A1059" s="8" t="s">
        <v>5226</v>
      </c>
      <c r="B1059" s="8" t="s">
        <v>5227</v>
      </c>
      <c r="C1059" s="8" t="s">
        <v>5228</v>
      </c>
      <c r="D1059" s="8" t="s">
        <v>5227</v>
      </c>
      <c r="E1059" s="105">
        <v>1</v>
      </c>
      <c r="F1059" s="106" t="s">
        <v>2024</v>
      </c>
      <c r="G1059" s="8"/>
      <c r="H1059" s="8"/>
      <c r="I1059" s="107">
        <v>0</v>
      </c>
      <c r="J1059" s="8" t="s">
        <v>3695</v>
      </c>
    </row>
    <row r="1060" spans="1:10" ht="16.5" customHeight="1" x14ac:dyDescent="0.25">
      <c r="A1060" s="8" t="s">
        <v>5229</v>
      </c>
      <c r="B1060" s="8" t="s">
        <v>5230</v>
      </c>
      <c r="C1060" s="8" t="s">
        <v>5231</v>
      </c>
      <c r="D1060" s="8" t="s">
        <v>5230</v>
      </c>
      <c r="E1060" s="105">
        <v>1</v>
      </c>
      <c r="F1060" s="106" t="s">
        <v>2024</v>
      </c>
      <c r="G1060" s="8"/>
      <c r="H1060" s="8"/>
      <c r="I1060" s="107">
        <v>0</v>
      </c>
      <c r="J1060" s="8" t="s">
        <v>2019</v>
      </c>
    </row>
    <row r="1061" spans="1:10" ht="16.5" customHeight="1" x14ac:dyDescent="0.25">
      <c r="A1061" s="8" t="s">
        <v>5232</v>
      </c>
      <c r="B1061" s="8" t="s">
        <v>5233</v>
      </c>
      <c r="C1061" s="8" t="s">
        <v>5234</v>
      </c>
      <c r="D1061" s="8" t="s">
        <v>5233</v>
      </c>
      <c r="E1061" s="105">
        <v>1</v>
      </c>
      <c r="F1061" s="106" t="s">
        <v>2024</v>
      </c>
      <c r="G1061" s="8"/>
      <c r="H1061" s="8"/>
      <c r="I1061" s="107">
        <v>0</v>
      </c>
      <c r="J1061" s="8" t="s">
        <v>3580</v>
      </c>
    </row>
    <row r="1062" spans="1:10" ht="16.5" customHeight="1" x14ac:dyDescent="0.25">
      <c r="A1062" s="8" t="s">
        <v>5235</v>
      </c>
      <c r="B1062" s="8" t="s">
        <v>5236</v>
      </c>
      <c r="C1062" s="8" t="s">
        <v>5237</v>
      </c>
      <c r="D1062" s="8" t="s">
        <v>5236</v>
      </c>
      <c r="E1062" s="105">
        <v>1</v>
      </c>
      <c r="F1062" s="106" t="s">
        <v>2024</v>
      </c>
      <c r="G1062" s="8"/>
      <c r="H1062" s="8"/>
      <c r="I1062" s="107">
        <v>0</v>
      </c>
      <c r="J1062" s="8" t="s">
        <v>2019</v>
      </c>
    </row>
    <row r="1063" spans="1:10" ht="16.5" customHeight="1" x14ac:dyDescent="0.25">
      <c r="A1063" s="8" t="s">
        <v>5238</v>
      </c>
      <c r="B1063" s="8" t="s">
        <v>5239</v>
      </c>
      <c r="C1063" s="8" t="s">
        <v>5240</v>
      </c>
      <c r="D1063" s="8" t="s">
        <v>5239</v>
      </c>
      <c r="E1063" s="105">
        <v>0</v>
      </c>
      <c r="F1063" s="106" t="s">
        <v>2024</v>
      </c>
      <c r="G1063" s="8"/>
      <c r="H1063" s="8"/>
      <c r="I1063" s="107">
        <v>0</v>
      </c>
      <c r="J1063" s="8" t="s">
        <v>2019</v>
      </c>
    </row>
    <row r="1064" spans="1:10" ht="16.5" customHeight="1" x14ac:dyDescent="0.25">
      <c r="A1064" s="8" t="s">
        <v>5241</v>
      </c>
      <c r="B1064" s="8" t="s">
        <v>5242</v>
      </c>
      <c r="C1064" s="8" t="s">
        <v>5243</v>
      </c>
      <c r="D1064" s="8" t="s">
        <v>5242</v>
      </c>
      <c r="E1064" s="105">
        <v>0</v>
      </c>
      <c r="F1064" s="106" t="s">
        <v>2024</v>
      </c>
      <c r="G1064" s="8"/>
      <c r="H1064" s="8"/>
      <c r="I1064" s="107">
        <v>0</v>
      </c>
      <c r="J1064" s="8" t="s">
        <v>2019</v>
      </c>
    </row>
    <row r="1065" spans="1:10" ht="16.5" customHeight="1" x14ac:dyDescent="0.25">
      <c r="A1065" s="8" t="s">
        <v>5244</v>
      </c>
      <c r="B1065" s="8" t="s">
        <v>5245</v>
      </c>
      <c r="C1065" s="8" t="s">
        <v>5246</v>
      </c>
      <c r="D1065" s="8" t="s">
        <v>5245</v>
      </c>
      <c r="E1065" s="105">
        <v>1</v>
      </c>
      <c r="F1065" s="106" t="s">
        <v>2024</v>
      </c>
      <c r="G1065" s="8"/>
      <c r="H1065" s="8"/>
      <c r="I1065" s="107">
        <v>0</v>
      </c>
      <c r="J1065" s="8" t="s">
        <v>3580</v>
      </c>
    </row>
    <row r="1066" spans="1:10" ht="16.5" customHeight="1" x14ac:dyDescent="0.25">
      <c r="A1066" s="8" t="s">
        <v>5247</v>
      </c>
      <c r="B1066" s="8" t="s">
        <v>5248</v>
      </c>
      <c r="C1066" s="8" t="s">
        <v>5249</v>
      </c>
      <c r="D1066" s="8" t="s">
        <v>5248</v>
      </c>
      <c r="E1066" s="105">
        <v>1</v>
      </c>
      <c r="F1066" s="106" t="s">
        <v>2024</v>
      </c>
      <c r="G1066" s="8"/>
      <c r="H1066" s="8"/>
      <c r="I1066" s="107">
        <v>0</v>
      </c>
      <c r="J1066" s="8" t="s">
        <v>3580</v>
      </c>
    </row>
    <row r="1067" spans="1:10" ht="16.5" customHeight="1" x14ac:dyDescent="0.25">
      <c r="A1067" s="8" t="s">
        <v>5250</v>
      </c>
      <c r="B1067" s="8" t="s">
        <v>5251</v>
      </c>
      <c r="C1067" s="8" t="s">
        <v>5029</v>
      </c>
      <c r="D1067" s="8" t="s">
        <v>5251</v>
      </c>
      <c r="E1067" s="105">
        <v>1</v>
      </c>
      <c r="F1067" s="106" t="s">
        <v>2024</v>
      </c>
      <c r="G1067" s="8"/>
      <c r="H1067" s="8"/>
      <c r="I1067" s="107">
        <v>0</v>
      </c>
      <c r="J1067" s="8" t="s">
        <v>3580</v>
      </c>
    </row>
    <row r="1068" spans="1:10" ht="16.5" customHeight="1" x14ac:dyDescent="0.25">
      <c r="A1068" s="8" t="s">
        <v>5252</v>
      </c>
      <c r="B1068" s="8" t="s">
        <v>5253</v>
      </c>
      <c r="C1068" s="8" t="s">
        <v>5254</v>
      </c>
      <c r="D1068" s="8" t="s">
        <v>5253</v>
      </c>
      <c r="E1068" s="105">
        <v>1</v>
      </c>
      <c r="F1068" s="106" t="s">
        <v>2024</v>
      </c>
      <c r="G1068" s="8"/>
      <c r="H1068" s="8"/>
      <c r="I1068" s="107">
        <v>0</v>
      </c>
      <c r="J1068" s="8" t="s">
        <v>3580</v>
      </c>
    </row>
    <row r="1069" spans="1:10" ht="16.5" customHeight="1" x14ac:dyDescent="0.25">
      <c r="A1069" s="8" t="s">
        <v>5255</v>
      </c>
      <c r="B1069" s="8" t="s">
        <v>5256</v>
      </c>
      <c r="C1069" s="8" t="s">
        <v>5257</v>
      </c>
      <c r="D1069" s="8" t="s">
        <v>5256</v>
      </c>
      <c r="E1069" s="105">
        <v>13</v>
      </c>
      <c r="F1069" s="106" t="s">
        <v>2024</v>
      </c>
      <c r="G1069" s="8"/>
      <c r="H1069" s="8"/>
      <c r="I1069" s="107">
        <v>0</v>
      </c>
      <c r="J1069" s="8" t="s">
        <v>4789</v>
      </c>
    </row>
    <row r="1070" spans="1:10" ht="16.5" customHeight="1" x14ac:dyDescent="0.25">
      <c r="A1070" s="8" t="s">
        <v>5258</v>
      </c>
      <c r="B1070" s="8" t="s">
        <v>5259</v>
      </c>
      <c r="C1070" s="8" t="s">
        <v>5257</v>
      </c>
      <c r="D1070" s="8" t="s">
        <v>5259</v>
      </c>
      <c r="E1070" s="105">
        <v>0.54200000000000004</v>
      </c>
      <c r="F1070" s="106" t="s">
        <v>2024</v>
      </c>
      <c r="G1070" s="8"/>
      <c r="H1070" s="8"/>
      <c r="I1070" s="107">
        <v>0</v>
      </c>
      <c r="J1070" s="8" t="s">
        <v>4789</v>
      </c>
    </row>
    <row r="1071" spans="1:10" ht="16.5" customHeight="1" x14ac:dyDescent="0.25">
      <c r="A1071" s="8" t="s">
        <v>5260</v>
      </c>
      <c r="B1071" s="8" t="s">
        <v>5261</v>
      </c>
      <c r="C1071" s="8" t="s">
        <v>3595</v>
      </c>
      <c r="D1071" s="8" t="s">
        <v>5261</v>
      </c>
      <c r="E1071" s="105">
        <v>1</v>
      </c>
      <c r="F1071" s="106" t="s">
        <v>2024</v>
      </c>
      <c r="G1071" s="8"/>
      <c r="H1071" s="8"/>
      <c r="I1071" s="107">
        <v>0</v>
      </c>
      <c r="J1071" s="8" t="s">
        <v>3580</v>
      </c>
    </row>
    <row r="1072" spans="1:10" ht="16.5" customHeight="1" x14ac:dyDescent="0.25">
      <c r="A1072" s="8" t="s">
        <v>5262</v>
      </c>
      <c r="B1072" s="8" t="s">
        <v>5263</v>
      </c>
      <c r="C1072" s="8" t="s">
        <v>5264</v>
      </c>
      <c r="D1072" s="8" t="s">
        <v>5263</v>
      </c>
      <c r="E1072" s="105">
        <v>1</v>
      </c>
      <c r="F1072" s="106" t="s">
        <v>2024</v>
      </c>
      <c r="G1072" s="8"/>
      <c r="H1072" s="8"/>
      <c r="I1072" s="107">
        <v>0</v>
      </c>
      <c r="J1072" s="8" t="s">
        <v>3580</v>
      </c>
    </row>
    <row r="1073" spans="1:10" ht="16.5" customHeight="1" x14ac:dyDescent="0.25">
      <c r="A1073" s="8" t="s">
        <v>5265</v>
      </c>
      <c r="B1073" s="8" t="s">
        <v>5266</v>
      </c>
      <c r="C1073" s="8" t="s">
        <v>5267</v>
      </c>
      <c r="D1073" s="8" t="s">
        <v>5266</v>
      </c>
      <c r="E1073" s="105">
        <v>1</v>
      </c>
      <c r="F1073" s="106" t="s">
        <v>2024</v>
      </c>
      <c r="G1073" s="8"/>
      <c r="H1073" s="8"/>
      <c r="I1073" s="107">
        <v>0</v>
      </c>
      <c r="J1073" s="8" t="s">
        <v>3580</v>
      </c>
    </row>
    <row r="1074" spans="1:10" ht="16.5" customHeight="1" x14ac:dyDescent="0.25">
      <c r="A1074" s="8" t="s">
        <v>5268</v>
      </c>
      <c r="B1074" s="8" t="s">
        <v>5269</v>
      </c>
      <c r="C1074" s="8" t="s">
        <v>5270</v>
      </c>
      <c r="D1074" s="8" t="s">
        <v>5269</v>
      </c>
      <c r="E1074" s="105">
        <v>1</v>
      </c>
      <c r="F1074" s="106" t="s">
        <v>2024</v>
      </c>
      <c r="G1074" s="8"/>
      <c r="H1074" s="8"/>
      <c r="I1074" s="107">
        <v>0</v>
      </c>
      <c r="J1074" s="8" t="s">
        <v>3695</v>
      </c>
    </row>
    <row r="1075" spans="1:10" ht="16.5" customHeight="1" x14ac:dyDescent="0.25">
      <c r="A1075" s="8" t="s">
        <v>5271</v>
      </c>
      <c r="B1075" s="8" t="s">
        <v>5272</v>
      </c>
      <c r="C1075" s="8" t="s">
        <v>3681</v>
      </c>
      <c r="D1075" s="8" t="s">
        <v>5272</v>
      </c>
      <c r="E1075" s="105">
        <v>1</v>
      </c>
      <c r="F1075" s="106" t="s">
        <v>2024</v>
      </c>
      <c r="G1075" s="8"/>
      <c r="H1075" s="8"/>
      <c r="I1075" s="107">
        <v>0</v>
      </c>
      <c r="J1075" s="8" t="s">
        <v>3580</v>
      </c>
    </row>
    <row r="1076" spans="1:10" ht="16.5" customHeight="1" x14ac:dyDescent="0.25">
      <c r="A1076" s="8" t="s">
        <v>5273</v>
      </c>
      <c r="B1076" s="8" t="s">
        <v>4477</v>
      </c>
      <c r="C1076" s="8" t="s">
        <v>4478</v>
      </c>
      <c r="D1076" s="8" t="s">
        <v>4477</v>
      </c>
      <c r="E1076" s="105">
        <v>0.253</v>
      </c>
      <c r="F1076" s="106" t="s">
        <v>2024</v>
      </c>
      <c r="G1076" s="8"/>
      <c r="H1076" s="8"/>
      <c r="I1076" s="107">
        <v>0</v>
      </c>
      <c r="J1076" s="8" t="s">
        <v>2019</v>
      </c>
    </row>
    <row r="1077" spans="1:10" ht="16.5" customHeight="1" x14ac:dyDescent="0.25">
      <c r="A1077" s="8" t="s">
        <v>5274</v>
      </c>
      <c r="B1077" s="8" t="s">
        <v>5275</v>
      </c>
      <c r="C1077" s="8" t="s">
        <v>5276</v>
      </c>
      <c r="D1077" s="8" t="s">
        <v>5275</v>
      </c>
      <c r="E1077" s="105">
        <v>0</v>
      </c>
      <c r="F1077" s="106" t="s">
        <v>2024</v>
      </c>
      <c r="G1077" s="8"/>
      <c r="H1077" s="8"/>
      <c r="I1077" s="107">
        <v>0</v>
      </c>
      <c r="J1077" s="8" t="s">
        <v>2019</v>
      </c>
    </row>
    <row r="1078" spans="1:10" ht="16.5" customHeight="1" x14ac:dyDescent="0.25">
      <c r="A1078" s="8" t="s">
        <v>5277</v>
      </c>
      <c r="B1078" s="8" t="s">
        <v>5278</v>
      </c>
      <c r="C1078" s="8" t="s">
        <v>5279</v>
      </c>
      <c r="D1078" s="8" t="s">
        <v>5278</v>
      </c>
      <c r="E1078" s="105">
        <v>1</v>
      </c>
      <c r="F1078" s="106" t="s">
        <v>2024</v>
      </c>
      <c r="G1078" s="8"/>
      <c r="H1078" s="8"/>
      <c r="I1078" s="107">
        <v>0</v>
      </c>
      <c r="J1078" s="8" t="s">
        <v>3580</v>
      </c>
    </row>
    <row r="1079" spans="1:10" ht="16.5" customHeight="1" x14ac:dyDescent="0.25">
      <c r="A1079" s="8" t="s">
        <v>5280</v>
      </c>
      <c r="B1079" s="8" t="s">
        <v>5281</v>
      </c>
      <c r="C1079" s="8" t="s">
        <v>5279</v>
      </c>
      <c r="D1079" s="8" t="s">
        <v>5281</v>
      </c>
      <c r="E1079" s="105">
        <v>1</v>
      </c>
      <c r="F1079" s="106" t="s">
        <v>2024</v>
      </c>
      <c r="G1079" s="8"/>
      <c r="H1079" s="8"/>
      <c r="I1079" s="107">
        <v>0</v>
      </c>
      <c r="J1079" s="8" t="s">
        <v>3580</v>
      </c>
    </row>
    <row r="1080" spans="1:10" ht="16.5" customHeight="1" x14ac:dyDescent="0.25">
      <c r="A1080" s="8" t="s">
        <v>5282</v>
      </c>
      <c r="B1080" s="8" t="s">
        <v>5283</v>
      </c>
      <c r="C1080" s="8" t="s">
        <v>5284</v>
      </c>
      <c r="D1080" s="8" t="s">
        <v>5283</v>
      </c>
      <c r="E1080" s="105">
        <v>0</v>
      </c>
      <c r="F1080" s="106" t="s">
        <v>2024</v>
      </c>
      <c r="G1080" s="8"/>
      <c r="H1080" s="8"/>
      <c r="I1080" s="107">
        <v>0</v>
      </c>
      <c r="J1080" s="8" t="s">
        <v>2019</v>
      </c>
    </row>
    <row r="1081" spans="1:10" ht="16.5" customHeight="1" x14ac:dyDescent="0.25">
      <c r="A1081" s="8" t="s">
        <v>5285</v>
      </c>
      <c r="B1081" s="8" t="s">
        <v>5286</v>
      </c>
      <c r="C1081" s="8" t="s">
        <v>3592</v>
      </c>
      <c r="D1081" s="8" t="s">
        <v>5286</v>
      </c>
      <c r="E1081" s="105">
        <v>1</v>
      </c>
      <c r="F1081" s="106" t="s">
        <v>2024</v>
      </c>
      <c r="G1081" s="8"/>
      <c r="H1081" s="8"/>
      <c r="I1081" s="107">
        <v>0</v>
      </c>
      <c r="J1081" s="8" t="s">
        <v>3580</v>
      </c>
    </row>
    <row r="1082" spans="1:10" ht="16.5" customHeight="1" x14ac:dyDescent="0.25">
      <c r="A1082" s="8" t="s">
        <v>5287</v>
      </c>
      <c r="B1082" s="8" t="s">
        <v>5288</v>
      </c>
      <c r="C1082" s="8" t="s">
        <v>5289</v>
      </c>
      <c r="D1082" s="8" t="s">
        <v>5288</v>
      </c>
      <c r="E1082" s="105">
        <v>0.8</v>
      </c>
      <c r="F1082" s="106" t="s">
        <v>2024</v>
      </c>
      <c r="G1082" s="8"/>
      <c r="H1082" s="8"/>
      <c r="I1082" s="107">
        <v>0</v>
      </c>
      <c r="J1082" s="8" t="s">
        <v>2019</v>
      </c>
    </row>
    <row r="1083" spans="1:10" ht="16.5" customHeight="1" x14ac:dyDescent="0.25">
      <c r="A1083" s="8" t="s">
        <v>5290</v>
      </c>
      <c r="B1083" s="8" t="s">
        <v>5102</v>
      </c>
      <c r="C1083" s="8" t="s">
        <v>1174</v>
      </c>
      <c r="D1083" s="8" t="s">
        <v>5102</v>
      </c>
      <c r="E1083" s="105">
        <v>0.91</v>
      </c>
      <c r="F1083" s="106" t="s">
        <v>2018</v>
      </c>
      <c r="G1083" s="8"/>
      <c r="H1083" s="8"/>
      <c r="I1083" s="107">
        <v>0</v>
      </c>
      <c r="J1083" s="8" t="s">
        <v>4722</v>
      </c>
    </row>
    <row r="1084" spans="1:10" ht="16.5" customHeight="1" x14ac:dyDescent="0.25">
      <c r="A1084" s="8" t="s">
        <v>5291</v>
      </c>
      <c r="B1084" s="8" t="s">
        <v>4070</v>
      </c>
      <c r="C1084" s="8" t="s">
        <v>4071</v>
      </c>
      <c r="D1084" s="8" t="s">
        <v>4070</v>
      </c>
      <c r="E1084" s="105">
        <v>0.15</v>
      </c>
      <c r="F1084" s="106" t="s">
        <v>2024</v>
      </c>
      <c r="G1084" s="8"/>
      <c r="H1084" s="8"/>
      <c r="I1084" s="107">
        <v>0</v>
      </c>
      <c r="J1084" s="8" t="s">
        <v>4823</v>
      </c>
    </row>
    <row r="1085" spans="1:10" ht="16.5" customHeight="1" x14ac:dyDescent="0.25">
      <c r="A1085" s="8" t="s">
        <v>5292</v>
      </c>
      <c r="B1085" s="8" t="s">
        <v>3600</v>
      </c>
      <c r="C1085" s="8" t="s">
        <v>4062</v>
      </c>
      <c r="D1085" s="8" t="s">
        <v>3600</v>
      </c>
      <c r="E1085" s="105">
        <v>0.5</v>
      </c>
      <c r="F1085" s="106" t="s">
        <v>2024</v>
      </c>
      <c r="G1085" s="8"/>
      <c r="H1085" s="8"/>
      <c r="I1085" s="107">
        <v>0</v>
      </c>
      <c r="J1085" s="8" t="s">
        <v>4823</v>
      </c>
    </row>
    <row r="1086" spans="1:10" ht="16.5" customHeight="1" x14ac:dyDescent="0.25">
      <c r="A1086" s="8" t="s">
        <v>5293</v>
      </c>
      <c r="B1086" s="8" t="s">
        <v>3925</v>
      </c>
      <c r="C1086" s="8" t="s">
        <v>5294</v>
      </c>
      <c r="D1086" s="8" t="s">
        <v>3925</v>
      </c>
      <c r="E1086" s="105">
        <v>1</v>
      </c>
      <c r="F1086" s="106" t="s">
        <v>2024</v>
      </c>
      <c r="G1086" s="8"/>
      <c r="H1086" s="8"/>
      <c r="I1086" s="107">
        <v>0</v>
      </c>
      <c r="J1086" s="8" t="s">
        <v>3695</v>
      </c>
    </row>
    <row r="1087" spans="1:10" ht="16.5" customHeight="1" x14ac:dyDescent="0.25">
      <c r="A1087" s="8" t="s">
        <v>5295</v>
      </c>
      <c r="B1087" s="8" t="s">
        <v>5296</v>
      </c>
      <c r="C1087" s="8" t="s">
        <v>5297</v>
      </c>
      <c r="D1087" s="8" t="s">
        <v>5296</v>
      </c>
      <c r="E1087" s="105">
        <v>0</v>
      </c>
      <c r="F1087" s="106" t="s">
        <v>2024</v>
      </c>
      <c r="G1087" s="8"/>
      <c r="H1087" s="8"/>
      <c r="I1087" s="107">
        <v>0</v>
      </c>
      <c r="J1087" s="8" t="s">
        <v>2019</v>
      </c>
    </row>
    <row r="1088" spans="1:10" ht="16.5" customHeight="1" x14ac:dyDescent="0.25">
      <c r="A1088" s="8" t="s">
        <v>5298</v>
      </c>
      <c r="B1088" s="8" t="s">
        <v>5299</v>
      </c>
      <c r="C1088" s="8" t="s">
        <v>5300</v>
      </c>
      <c r="D1088" s="8" t="s">
        <v>5299</v>
      </c>
      <c r="E1088" s="105">
        <v>1</v>
      </c>
      <c r="F1088" s="106" t="s">
        <v>2024</v>
      </c>
      <c r="G1088" s="8"/>
      <c r="H1088" s="8"/>
      <c r="I1088" s="107">
        <v>0</v>
      </c>
      <c r="J1088" s="8" t="s">
        <v>2019</v>
      </c>
    </row>
    <row r="1089" spans="1:10" ht="16.5" customHeight="1" x14ac:dyDescent="0.25">
      <c r="A1089" s="8" t="s">
        <v>5301</v>
      </c>
      <c r="B1089" s="8" t="s">
        <v>5302</v>
      </c>
      <c r="C1089" s="8" t="s">
        <v>5303</v>
      </c>
      <c r="D1089" s="8" t="s">
        <v>5302</v>
      </c>
      <c r="E1089" s="105">
        <v>0</v>
      </c>
      <c r="F1089" s="106" t="s">
        <v>2024</v>
      </c>
      <c r="G1089" s="8"/>
      <c r="H1089" s="8"/>
      <c r="I1089" s="107">
        <v>0</v>
      </c>
      <c r="J1089" s="8" t="s">
        <v>2019</v>
      </c>
    </row>
    <row r="1090" spans="1:10" ht="16.5" customHeight="1" x14ac:dyDescent="0.25">
      <c r="A1090" s="8" t="s">
        <v>5304</v>
      </c>
      <c r="B1090" s="8" t="s">
        <v>5305</v>
      </c>
      <c r="C1090" s="8" t="s">
        <v>5306</v>
      </c>
      <c r="D1090" s="8" t="s">
        <v>5305</v>
      </c>
      <c r="E1090" s="105">
        <v>1</v>
      </c>
      <c r="F1090" s="106" t="s">
        <v>2024</v>
      </c>
      <c r="G1090" s="8"/>
      <c r="H1090" s="8"/>
      <c r="I1090" s="107">
        <v>0</v>
      </c>
      <c r="J1090" s="8" t="s">
        <v>3580</v>
      </c>
    </row>
    <row r="1091" spans="1:10" ht="16.5" customHeight="1" x14ac:dyDescent="0.25">
      <c r="A1091" s="8" t="s">
        <v>5307</v>
      </c>
      <c r="B1091" s="8" t="s">
        <v>5308</v>
      </c>
      <c r="C1091" s="8" t="s">
        <v>4877</v>
      </c>
      <c r="D1091" s="8" t="s">
        <v>5308</v>
      </c>
      <c r="E1091" s="105">
        <v>0</v>
      </c>
      <c r="F1091" s="106" t="s">
        <v>2024</v>
      </c>
      <c r="G1091" s="8"/>
      <c r="H1091" s="8"/>
      <c r="I1091" s="107">
        <v>0</v>
      </c>
      <c r="J1091" s="8" t="s">
        <v>2019</v>
      </c>
    </row>
    <row r="1092" spans="1:10" ht="16.5" customHeight="1" x14ac:dyDescent="0.25">
      <c r="A1092" s="8" t="s">
        <v>5309</v>
      </c>
      <c r="B1092" s="8" t="s">
        <v>5310</v>
      </c>
      <c r="C1092" s="8" t="s">
        <v>3592</v>
      </c>
      <c r="D1092" s="8" t="s">
        <v>5310</v>
      </c>
      <c r="E1092" s="105">
        <v>1</v>
      </c>
      <c r="F1092" s="106" t="s">
        <v>2024</v>
      </c>
      <c r="G1092" s="8"/>
      <c r="H1092" s="8"/>
      <c r="I1092" s="107">
        <v>0</v>
      </c>
      <c r="J1092" s="8" t="s">
        <v>3580</v>
      </c>
    </row>
    <row r="1093" spans="1:10" ht="16.5" customHeight="1" x14ac:dyDescent="0.25">
      <c r="A1093" s="8" t="s">
        <v>5311</v>
      </c>
      <c r="B1093" s="8" t="s">
        <v>5312</v>
      </c>
      <c r="C1093" s="8" t="s">
        <v>5313</v>
      </c>
      <c r="D1093" s="8" t="s">
        <v>5312</v>
      </c>
      <c r="E1093" s="105">
        <v>1</v>
      </c>
      <c r="F1093" s="106" t="s">
        <v>2024</v>
      </c>
      <c r="G1093" s="8"/>
      <c r="H1093" s="8"/>
      <c r="I1093" s="107">
        <v>0</v>
      </c>
      <c r="J1093" s="8" t="s">
        <v>2019</v>
      </c>
    </row>
    <row r="1094" spans="1:10" ht="16.5" customHeight="1" x14ac:dyDescent="0.25">
      <c r="A1094" s="8" t="s">
        <v>5314</v>
      </c>
      <c r="B1094" s="8" t="s">
        <v>3643</v>
      </c>
      <c r="C1094" s="8" t="s">
        <v>3644</v>
      </c>
      <c r="D1094" s="8" t="s">
        <v>3643</v>
      </c>
      <c r="E1094" s="105">
        <v>30</v>
      </c>
      <c r="F1094" s="106" t="s">
        <v>2024</v>
      </c>
      <c r="G1094" s="8"/>
      <c r="H1094" s="8"/>
      <c r="I1094" s="107">
        <v>0</v>
      </c>
      <c r="J1094" s="8" t="s">
        <v>3580</v>
      </c>
    </row>
    <row r="1095" spans="1:10" ht="16.5" customHeight="1" x14ac:dyDescent="0.25">
      <c r="A1095" s="8" t="s">
        <v>5315</v>
      </c>
      <c r="B1095" s="8" t="s">
        <v>5316</v>
      </c>
      <c r="C1095" s="8" t="s">
        <v>5317</v>
      </c>
      <c r="D1095" s="8" t="s">
        <v>5316</v>
      </c>
      <c r="E1095" s="105">
        <v>10.97</v>
      </c>
      <c r="F1095" s="106" t="s">
        <v>2024</v>
      </c>
      <c r="G1095" s="8"/>
      <c r="H1095" s="8"/>
      <c r="I1095" s="107">
        <v>0</v>
      </c>
      <c r="J1095" s="8" t="s">
        <v>2019</v>
      </c>
    </row>
    <row r="1096" spans="1:10" ht="16.5" customHeight="1" x14ac:dyDescent="0.25">
      <c r="A1096" s="8" t="s">
        <v>5318</v>
      </c>
      <c r="B1096" s="8" t="s">
        <v>5319</v>
      </c>
      <c r="C1096" s="8" t="s">
        <v>5320</v>
      </c>
      <c r="D1096" s="8" t="s">
        <v>5319</v>
      </c>
      <c r="E1096" s="105">
        <v>10.97</v>
      </c>
      <c r="F1096" s="106" t="s">
        <v>2024</v>
      </c>
      <c r="G1096" s="8"/>
      <c r="H1096" s="8"/>
      <c r="I1096" s="107">
        <v>0</v>
      </c>
      <c r="J1096" s="8" t="s">
        <v>2019</v>
      </c>
    </row>
    <row r="1097" spans="1:10" ht="16.5" customHeight="1" x14ac:dyDescent="0.25">
      <c r="A1097" s="8" t="s">
        <v>5321</v>
      </c>
      <c r="B1097" s="8" t="s">
        <v>5322</v>
      </c>
      <c r="C1097" s="8" t="s">
        <v>5323</v>
      </c>
      <c r="D1097" s="8" t="s">
        <v>5322</v>
      </c>
      <c r="E1097" s="105">
        <v>18.3</v>
      </c>
      <c r="F1097" s="106" t="s">
        <v>2024</v>
      </c>
      <c r="G1097" s="8"/>
      <c r="H1097" s="8"/>
      <c r="I1097" s="107">
        <v>0</v>
      </c>
      <c r="J1097" s="8" t="s">
        <v>2019</v>
      </c>
    </row>
    <row r="1098" spans="1:10" ht="16.5" customHeight="1" x14ac:dyDescent="0.25">
      <c r="A1098" s="8" t="s">
        <v>5324</v>
      </c>
      <c r="B1098" s="8" t="s">
        <v>5325</v>
      </c>
      <c r="C1098" s="8" t="s">
        <v>5326</v>
      </c>
      <c r="D1098" s="8" t="s">
        <v>5325</v>
      </c>
      <c r="E1098" s="105">
        <v>11.1</v>
      </c>
      <c r="F1098" s="106" t="s">
        <v>2024</v>
      </c>
      <c r="G1098" s="8"/>
      <c r="H1098" s="8"/>
      <c r="I1098" s="107">
        <v>0</v>
      </c>
      <c r="J1098" s="8" t="s">
        <v>2019</v>
      </c>
    </row>
    <row r="1099" spans="1:10" ht="16.5" customHeight="1" x14ac:dyDescent="0.25">
      <c r="A1099" s="8" t="s">
        <v>5327</v>
      </c>
      <c r="B1099" s="8" t="s">
        <v>5328</v>
      </c>
      <c r="C1099" s="8" t="s">
        <v>5329</v>
      </c>
      <c r="D1099" s="8" t="s">
        <v>5328</v>
      </c>
      <c r="E1099" s="105">
        <v>11.06</v>
      </c>
      <c r="F1099" s="106" t="s">
        <v>2024</v>
      </c>
      <c r="G1099" s="8"/>
      <c r="H1099" s="8"/>
      <c r="I1099" s="107">
        <v>0</v>
      </c>
      <c r="J1099" s="8" t="s">
        <v>5330</v>
      </c>
    </row>
    <row r="1100" spans="1:10" ht="16.5" customHeight="1" x14ac:dyDescent="0.25">
      <c r="A1100" s="8" t="s">
        <v>5331</v>
      </c>
      <c r="B1100" s="8" t="s">
        <v>5332</v>
      </c>
      <c r="C1100" s="8" t="s">
        <v>5333</v>
      </c>
      <c r="D1100" s="8" t="s">
        <v>5332</v>
      </c>
      <c r="E1100" s="105">
        <v>18.43</v>
      </c>
      <c r="F1100" s="106" t="s">
        <v>2024</v>
      </c>
      <c r="G1100" s="8"/>
      <c r="H1100" s="8"/>
      <c r="I1100" s="107">
        <v>0</v>
      </c>
      <c r="J1100" s="8" t="s">
        <v>4722</v>
      </c>
    </row>
    <row r="1101" spans="1:10" ht="16.5" customHeight="1" x14ac:dyDescent="0.25">
      <c r="A1101" s="8" t="s">
        <v>5334</v>
      </c>
      <c r="B1101" s="8" t="s">
        <v>5335</v>
      </c>
      <c r="C1101" s="8" t="s">
        <v>5336</v>
      </c>
      <c r="D1101" s="8" t="s">
        <v>5335</v>
      </c>
      <c r="E1101" s="105">
        <v>0</v>
      </c>
      <c r="F1101" s="106" t="s">
        <v>2024</v>
      </c>
      <c r="G1101" s="8"/>
      <c r="H1101" s="8"/>
      <c r="I1101" s="107">
        <v>0</v>
      </c>
      <c r="J1101" s="8" t="s">
        <v>2019</v>
      </c>
    </row>
    <row r="1102" spans="1:10" ht="16.5" customHeight="1" x14ac:dyDescent="0.25">
      <c r="A1102" s="8" t="s">
        <v>5337</v>
      </c>
      <c r="B1102" s="8" t="s">
        <v>5338</v>
      </c>
      <c r="C1102" s="8" t="s">
        <v>5339</v>
      </c>
      <c r="D1102" s="8" t="s">
        <v>5338</v>
      </c>
      <c r="E1102" s="105">
        <v>0</v>
      </c>
      <c r="F1102" s="106" t="s">
        <v>2024</v>
      </c>
      <c r="G1102" s="8"/>
      <c r="H1102" s="8"/>
      <c r="I1102" s="107">
        <v>0</v>
      </c>
      <c r="J1102" s="8" t="s">
        <v>2019</v>
      </c>
    </row>
    <row r="1103" spans="1:10" ht="16.5" customHeight="1" x14ac:dyDescent="0.25">
      <c r="A1103" s="8" t="s">
        <v>5340</v>
      </c>
      <c r="B1103" s="8" t="s">
        <v>4416</v>
      </c>
      <c r="C1103" s="8" t="s">
        <v>4147</v>
      </c>
      <c r="D1103" s="8" t="s">
        <v>4416</v>
      </c>
      <c r="E1103" s="105">
        <v>0.91</v>
      </c>
      <c r="F1103" s="106" t="s">
        <v>2024</v>
      </c>
      <c r="G1103" s="8"/>
      <c r="H1103" s="8"/>
      <c r="I1103" s="107">
        <v>0</v>
      </c>
      <c r="J1103" s="8" t="s">
        <v>4722</v>
      </c>
    </row>
    <row r="1104" spans="1:10" ht="16.5" customHeight="1" x14ac:dyDescent="0.25">
      <c r="A1104" s="8" t="s">
        <v>5341</v>
      </c>
      <c r="B1104" s="8" t="s">
        <v>4146</v>
      </c>
      <c r="C1104" s="8" t="s">
        <v>4147</v>
      </c>
      <c r="D1104" s="8" t="s">
        <v>4146</v>
      </c>
      <c r="E1104" s="105">
        <v>0.91</v>
      </c>
      <c r="F1104" s="106" t="s">
        <v>2024</v>
      </c>
      <c r="G1104" s="8"/>
      <c r="H1104" s="8"/>
      <c r="I1104" s="107">
        <v>0</v>
      </c>
      <c r="J1104" s="8" t="s">
        <v>4722</v>
      </c>
    </row>
    <row r="1105" spans="1:10" ht="16.5" customHeight="1" x14ac:dyDescent="0.25">
      <c r="A1105" s="8" t="s">
        <v>5342</v>
      </c>
      <c r="B1105" s="8" t="s">
        <v>5343</v>
      </c>
      <c r="C1105" s="8" t="s">
        <v>5344</v>
      </c>
      <c r="D1105" s="8" t="s">
        <v>5343</v>
      </c>
      <c r="E1105" s="105">
        <v>0</v>
      </c>
      <c r="F1105" s="106" t="s">
        <v>2024</v>
      </c>
      <c r="G1105" s="8"/>
      <c r="H1105" s="8"/>
      <c r="I1105" s="107">
        <v>0</v>
      </c>
      <c r="J1105" s="8" t="s">
        <v>2019</v>
      </c>
    </row>
    <row r="1106" spans="1:10" ht="16.5" customHeight="1" x14ac:dyDescent="0.25">
      <c r="A1106" s="8" t="s">
        <v>5345</v>
      </c>
      <c r="B1106" s="8" t="s">
        <v>5346</v>
      </c>
      <c r="C1106" s="8" t="s">
        <v>5347</v>
      </c>
      <c r="D1106" s="8" t="s">
        <v>5346</v>
      </c>
      <c r="E1106" s="105">
        <v>0</v>
      </c>
      <c r="F1106" s="106" t="s">
        <v>2024</v>
      </c>
      <c r="G1106" s="8"/>
      <c r="H1106" s="8"/>
      <c r="I1106" s="107">
        <v>0</v>
      </c>
      <c r="J1106" s="8" t="s">
        <v>2019</v>
      </c>
    </row>
    <row r="1107" spans="1:10" ht="16.5" customHeight="1" x14ac:dyDescent="0.25">
      <c r="A1107" s="8" t="s">
        <v>5348</v>
      </c>
      <c r="B1107" s="8" t="s">
        <v>5349</v>
      </c>
      <c r="C1107" s="8" t="s">
        <v>5350</v>
      </c>
      <c r="D1107" s="8" t="s">
        <v>5349</v>
      </c>
      <c r="E1107" s="105">
        <v>0</v>
      </c>
      <c r="F1107" s="106" t="s">
        <v>2024</v>
      </c>
      <c r="G1107" s="8"/>
      <c r="H1107" s="8"/>
      <c r="I1107" s="107">
        <v>0</v>
      </c>
      <c r="J1107" s="8" t="s">
        <v>2019</v>
      </c>
    </row>
    <row r="1108" spans="1:10" ht="16.5" customHeight="1" x14ac:dyDescent="0.25">
      <c r="A1108" s="8" t="s">
        <v>5351</v>
      </c>
      <c r="B1108" s="8" t="s">
        <v>5352</v>
      </c>
      <c r="C1108" s="8" t="s">
        <v>5353</v>
      </c>
      <c r="D1108" s="8" t="s">
        <v>5352</v>
      </c>
      <c r="E1108" s="105">
        <v>0</v>
      </c>
      <c r="F1108" s="106" t="s">
        <v>2024</v>
      </c>
      <c r="G1108" s="8"/>
      <c r="H1108" s="8"/>
      <c r="I1108" s="107">
        <v>0</v>
      </c>
      <c r="J1108" s="8" t="s">
        <v>2019</v>
      </c>
    </row>
    <row r="1109" spans="1:10" ht="16.5" customHeight="1" x14ac:dyDescent="0.25">
      <c r="A1109" s="8" t="s">
        <v>5354</v>
      </c>
      <c r="B1109" s="8" t="s">
        <v>5355</v>
      </c>
      <c r="C1109" s="8" t="s">
        <v>5356</v>
      </c>
      <c r="D1109" s="8" t="s">
        <v>5355</v>
      </c>
      <c r="E1109" s="105">
        <v>0</v>
      </c>
      <c r="F1109" s="106" t="s">
        <v>2024</v>
      </c>
      <c r="G1109" s="8"/>
      <c r="H1109" s="8"/>
      <c r="I1109" s="107">
        <v>0</v>
      </c>
      <c r="J1109" s="8" t="s">
        <v>2019</v>
      </c>
    </row>
    <row r="1110" spans="1:10" ht="16.5" customHeight="1" x14ac:dyDescent="0.25">
      <c r="A1110" s="8" t="s">
        <v>5357</v>
      </c>
      <c r="B1110" s="8" t="s">
        <v>5358</v>
      </c>
      <c r="C1110" s="8" t="s">
        <v>5359</v>
      </c>
      <c r="D1110" s="8" t="s">
        <v>5358</v>
      </c>
      <c r="E1110" s="105">
        <v>0</v>
      </c>
      <c r="F1110" s="106" t="s">
        <v>2024</v>
      </c>
      <c r="G1110" s="8"/>
      <c r="H1110" s="8"/>
      <c r="I1110" s="107">
        <v>0</v>
      </c>
      <c r="J1110" s="8" t="s">
        <v>2019</v>
      </c>
    </row>
    <row r="1111" spans="1:10" ht="16.5" customHeight="1" x14ac:dyDescent="0.25">
      <c r="A1111" s="8" t="s">
        <v>5360</v>
      </c>
      <c r="B1111" s="8" t="s">
        <v>5361</v>
      </c>
      <c r="C1111" s="8" t="s">
        <v>5362</v>
      </c>
      <c r="D1111" s="8" t="s">
        <v>5361</v>
      </c>
      <c r="E1111" s="105">
        <v>0</v>
      </c>
      <c r="F1111" s="106" t="s">
        <v>2024</v>
      </c>
      <c r="G1111" s="8"/>
      <c r="H1111" s="8"/>
      <c r="I1111" s="107">
        <v>0</v>
      </c>
      <c r="J1111" s="8" t="s">
        <v>2019</v>
      </c>
    </row>
    <row r="1112" spans="1:10" ht="16.5" customHeight="1" x14ac:dyDescent="0.25">
      <c r="A1112" s="8" t="s">
        <v>5363</v>
      </c>
      <c r="B1112" s="8" t="s">
        <v>5364</v>
      </c>
      <c r="C1112" s="8" t="s">
        <v>5365</v>
      </c>
      <c r="D1112" s="8" t="s">
        <v>5364</v>
      </c>
      <c r="E1112" s="105">
        <v>5</v>
      </c>
      <c r="F1112" s="106" t="s">
        <v>2024</v>
      </c>
      <c r="G1112" s="8"/>
      <c r="H1112" s="8"/>
      <c r="I1112" s="107">
        <v>0</v>
      </c>
      <c r="J1112" s="8" t="s">
        <v>5366</v>
      </c>
    </row>
    <row r="1113" spans="1:10" ht="16.5" customHeight="1" x14ac:dyDescent="0.25">
      <c r="A1113" s="8" t="s">
        <v>5367</v>
      </c>
      <c r="B1113" s="8" t="s">
        <v>5368</v>
      </c>
      <c r="C1113" s="8" t="s">
        <v>2090</v>
      </c>
      <c r="D1113" s="8" t="s">
        <v>5368</v>
      </c>
      <c r="E1113" s="105">
        <v>1</v>
      </c>
      <c r="F1113" s="106" t="s">
        <v>2018</v>
      </c>
      <c r="G1113" s="8"/>
      <c r="H1113" s="8"/>
      <c r="I1113" s="107">
        <v>0</v>
      </c>
      <c r="J1113" s="8" t="s">
        <v>2019</v>
      </c>
    </row>
    <row r="1114" spans="1:10" ht="16.5" customHeight="1" x14ac:dyDescent="0.25">
      <c r="A1114" s="8" t="s">
        <v>5369</v>
      </c>
      <c r="B1114" s="8" t="s">
        <v>5370</v>
      </c>
      <c r="C1114" s="8" t="s">
        <v>4333</v>
      </c>
      <c r="D1114" s="8" t="s">
        <v>5370</v>
      </c>
      <c r="E1114" s="105">
        <v>100</v>
      </c>
      <c r="F1114" s="106" t="s">
        <v>2024</v>
      </c>
      <c r="G1114" s="8"/>
      <c r="H1114" s="8"/>
      <c r="I1114" s="107">
        <v>0</v>
      </c>
      <c r="J1114" s="8" t="s">
        <v>2019</v>
      </c>
    </row>
    <row r="1115" spans="1:10" ht="16.5" customHeight="1" x14ac:dyDescent="0.25">
      <c r="A1115" s="8" t="s">
        <v>5371</v>
      </c>
      <c r="B1115" s="8" t="s">
        <v>5372</v>
      </c>
      <c r="C1115" s="8" t="s">
        <v>5373</v>
      </c>
      <c r="D1115" s="8" t="s">
        <v>5372</v>
      </c>
      <c r="E1115" s="105">
        <v>1</v>
      </c>
      <c r="F1115" s="106" t="s">
        <v>2024</v>
      </c>
      <c r="G1115" s="8"/>
      <c r="H1115" s="8"/>
      <c r="I1115" s="107">
        <v>0</v>
      </c>
      <c r="J1115" s="8" t="s">
        <v>3695</v>
      </c>
    </row>
    <row r="1116" spans="1:10" ht="16.5" customHeight="1" x14ac:dyDescent="0.25">
      <c r="A1116" s="8" t="s">
        <v>5374</v>
      </c>
      <c r="B1116" s="8" t="s">
        <v>5375</v>
      </c>
      <c r="C1116" s="8" t="s">
        <v>5376</v>
      </c>
      <c r="D1116" s="8" t="s">
        <v>5375</v>
      </c>
      <c r="E1116" s="105">
        <v>0</v>
      </c>
      <c r="F1116" s="106" t="s">
        <v>2024</v>
      </c>
      <c r="G1116" s="8"/>
      <c r="H1116" s="8"/>
      <c r="I1116" s="107">
        <v>0</v>
      </c>
      <c r="J1116" s="8" t="s">
        <v>2019</v>
      </c>
    </row>
    <row r="1117" spans="1:10" ht="16.5" customHeight="1" x14ac:dyDescent="0.25">
      <c r="A1117" s="8" t="s">
        <v>5377</v>
      </c>
      <c r="B1117" s="8" t="s">
        <v>5378</v>
      </c>
      <c r="C1117" s="8" t="s">
        <v>4307</v>
      </c>
      <c r="D1117" s="8" t="s">
        <v>5378</v>
      </c>
      <c r="E1117" s="105">
        <v>1</v>
      </c>
      <c r="F1117" s="106" t="s">
        <v>2024</v>
      </c>
      <c r="G1117" s="8"/>
      <c r="H1117" s="8"/>
      <c r="I1117" s="107">
        <v>0</v>
      </c>
      <c r="J1117" s="8" t="s">
        <v>2019</v>
      </c>
    </row>
    <row r="1118" spans="1:10" ht="16.5" customHeight="1" x14ac:dyDescent="0.25">
      <c r="A1118" s="8" t="s">
        <v>5379</v>
      </c>
      <c r="B1118" s="8" t="s">
        <v>5380</v>
      </c>
      <c r="C1118" s="8" t="s">
        <v>4788</v>
      </c>
      <c r="D1118" s="8" t="s">
        <v>5380</v>
      </c>
      <c r="E1118" s="105">
        <v>0.53300000000000003</v>
      </c>
      <c r="F1118" s="106" t="s">
        <v>2024</v>
      </c>
      <c r="G1118" s="8"/>
      <c r="H1118" s="8"/>
      <c r="I1118" s="107">
        <v>0</v>
      </c>
      <c r="J1118" s="8" t="s">
        <v>2019</v>
      </c>
    </row>
    <row r="1119" spans="1:10" ht="16.5" customHeight="1" x14ac:dyDescent="0.25">
      <c r="A1119" s="8" t="s">
        <v>5381</v>
      </c>
      <c r="B1119" s="8" t="s">
        <v>5382</v>
      </c>
      <c r="C1119" s="8" t="s">
        <v>5383</v>
      </c>
      <c r="D1119" s="8" t="s">
        <v>5382</v>
      </c>
      <c r="E1119" s="105">
        <v>1</v>
      </c>
      <c r="F1119" s="106" t="s">
        <v>2024</v>
      </c>
      <c r="G1119" s="8"/>
      <c r="H1119" s="8"/>
      <c r="I1119" s="107">
        <v>0</v>
      </c>
      <c r="J1119" s="8" t="s">
        <v>2019</v>
      </c>
    </row>
    <row r="1120" spans="1:10" ht="16.5" customHeight="1" x14ac:dyDescent="0.25">
      <c r="A1120" s="8" t="s">
        <v>5384</v>
      </c>
      <c r="B1120" s="8" t="s">
        <v>5385</v>
      </c>
      <c r="C1120" s="8" t="s">
        <v>5386</v>
      </c>
      <c r="D1120" s="8" t="s">
        <v>5385</v>
      </c>
      <c r="E1120" s="105">
        <v>0</v>
      </c>
      <c r="F1120" s="106" t="s">
        <v>2024</v>
      </c>
      <c r="G1120" s="8"/>
      <c r="H1120" s="8"/>
      <c r="I1120" s="107">
        <v>0</v>
      </c>
      <c r="J1120" s="8" t="s">
        <v>2019</v>
      </c>
    </row>
    <row r="1121" spans="1:10" ht="16.5" customHeight="1" x14ac:dyDescent="0.25">
      <c r="A1121" s="8" t="s">
        <v>5387</v>
      </c>
      <c r="B1121" s="8" t="s">
        <v>5388</v>
      </c>
      <c r="C1121" s="8" t="s">
        <v>5389</v>
      </c>
      <c r="D1121" s="8" t="s">
        <v>5388</v>
      </c>
      <c r="E1121" s="105">
        <v>0</v>
      </c>
      <c r="F1121" s="106" t="s">
        <v>2024</v>
      </c>
      <c r="G1121" s="8"/>
      <c r="H1121" s="8"/>
      <c r="I1121" s="107">
        <v>0</v>
      </c>
      <c r="J1121" s="8" t="s">
        <v>2019</v>
      </c>
    </row>
    <row r="1122" spans="1:10" ht="16.5" customHeight="1" x14ac:dyDescent="0.25">
      <c r="A1122" s="8" t="s">
        <v>5390</v>
      </c>
      <c r="B1122" s="8" t="s">
        <v>5391</v>
      </c>
      <c r="C1122" s="8" t="s">
        <v>5392</v>
      </c>
      <c r="D1122" s="8" t="s">
        <v>5391</v>
      </c>
      <c r="E1122" s="105">
        <v>0</v>
      </c>
      <c r="F1122" s="106" t="s">
        <v>2024</v>
      </c>
      <c r="G1122" s="8"/>
      <c r="H1122" s="8"/>
      <c r="I1122" s="107">
        <v>0</v>
      </c>
      <c r="J1122" s="8" t="s">
        <v>2019</v>
      </c>
    </row>
    <row r="1123" spans="1:10" ht="16.5" customHeight="1" x14ac:dyDescent="0.25">
      <c r="A1123" s="8" t="s">
        <v>5393</v>
      </c>
      <c r="B1123" s="8" t="s">
        <v>5394</v>
      </c>
      <c r="C1123" s="8" t="s">
        <v>5395</v>
      </c>
      <c r="D1123" s="8" t="s">
        <v>5394</v>
      </c>
      <c r="E1123" s="105">
        <v>0</v>
      </c>
      <c r="F1123" s="106" t="s">
        <v>2024</v>
      </c>
      <c r="G1123" s="8"/>
      <c r="H1123" s="8"/>
      <c r="I1123" s="107">
        <v>0</v>
      </c>
      <c r="J1123" s="8"/>
    </row>
    <row r="1124" spans="1:10" ht="16.5" customHeight="1" x14ac:dyDescent="0.25">
      <c r="A1124" s="8" t="s">
        <v>5396</v>
      </c>
      <c r="B1124" s="8" t="s">
        <v>5397</v>
      </c>
      <c r="C1124" s="8" t="s">
        <v>5398</v>
      </c>
      <c r="D1124" s="8" t="s">
        <v>5397</v>
      </c>
      <c r="E1124" s="105">
        <v>0</v>
      </c>
      <c r="F1124" s="106" t="s">
        <v>2024</v>
      </c>
      <c r="G1124" s="8"/>
      <c r="H1124" s="8"/>
      <c r="I1124" s="107">
        <v>0</v>
      </c>
      <c r="J1124" s="8" t="s">
        <v>2019</v>
      </c>
    </row>
    <row r="1125" spans="1:10" ht="16.5" customHeight="1" x14ac:dyDescent="0.25">
      <c r="A1125" s="8" t="s">
        <v>5399</v>
      </c>
      <c r="B1125" s="8" t="s">
        <v>5400</v>
      </c>
      <c r="C1125" s="8" t="s">
        <v>5401</v>
      </c>
      <c r="D1125" s="8" t="s">
        <v>5400</v>
      </c>
      <c r="E1125" s="105">
        <v>0</v>
      </c>
      <c r="F1125" s="106" t="s">
        <v>2024</v>
      </c>
      <c r="G1125" s="8"/>
      <c r="H1125" s="8"/>
      <c r="I1125" s="107">
        <v>0</v>
      </c>
      <c r="J1125" s="8" t="s">
        <v>2019</v>
      </c>
    </row>
    <row r="1126" spans="1:10" ht="16.5" customHeight="1" x14ac:dyDescent="0.25">
      <c r="A1126" s="8" t="s">
        <v>5402</v>
      </c>
      <c r="B1126" s="8" t="s">
        <v>5403</v>
      </c>
      <c r="C1126" s="8" t="s">
        <v>5404</v>
      </c>
      <c r="D1126" s="8" t="s">
        <v>5403</v>
      </c>
      <c r="E1126" s="105">
        <v>0</v>
      </c>
      <c r="F1126" s="106" t="s">
        <v>2024</v>
      </c>
      <c r="G1126" s="8"/>
      <c r="H1126" s="8"/>
      <c r="I1126" s="107">
        <v>0</v>
      </c>
      <c r="J1126" s="8" t="s">
        <v>2019</v>
      </c>
    </row>
    <row r="1127" spans="1:10" ht="16.5" customHeight="1" x14ac:dyDescent="0.25">
      <c r="A1127" s="8" t="s">
        <v>5405</v>
      </c>
      <c r="B1127" s="8" t="s">
        <v>5406</v>
      </c>
      <c r="C1127" s="8" t="s">
        <v>5407</v>
      </c>
      <c r="D1127" s="8" t="s">
        <v>5406</v>
      </c>
      <c r="E1127" s="105">
        <v>0</v>
      </c>
      <c r="F1127" s="106" t="s">
        <v>2024</v>
      </c>
      <c r="G1127" s="8"/>
      <c r="H1127" s="8"/>
      <c r="I1127" s="107">
        <v>0</v>
      </c>
      <c r="J1127" s="8" t="s">
        <v>2019</v>
      </c>
    </row>
    <row r="1128" spans="1:10" ht="16.5" customHeight="1" x14ac:dyDescent="0.25">
      <c r="A1128" s="8" t="s">
        <v>5408</v>
      </c>
      <c r="B1128" s="8" t="s">
        <v>5409</v>
      </c>
      <c r="C1128" s="8" t="s">
        <v>5410</v>
      </c>
      <c r="D1128" s="8" t="s">
        <v>5409</v>
      </c>
      <c r="E1128" s="105">
        <v>0</v>
      </c>
      <c r="F1128" s="106" t="s">
        <v>2024</v>
      </c>
      <c r="G1128" s="8"/>
      <c r="H1128" s="8"/>
      <c r="I1128" s="107">
        <v>0</v>
      </c>
      <c r="J1128" s="8" t="s">
        <v>2019</v>
      </c>
    </row>
    <row r="1129" spans="1:10" ht="16.5" customHeight="1" x14ac:dyDescent="0.25">
      <c r="A1129" s="8" t="s">
        <v>5411</v>
      </c>
      <c r="B1129" s="8" t="s">
        <v>5412</v>
      </c>
      <c r="C1129" s="8" t="s">
        <v>5413</v>
      </c>
      <c r="D1129" s="8" t="s">
        <v>5412</v>
      </c>
      <c r="E1129" s="105">
        <v>0</v>
      </c>
      <c r="F1129" s="106" t="s">
        <v>2024</v>
      </c>
      <c r="G1129" s="8"/>
      <c r="H1129" s="8"/>
      <c r="I1129" s="107">
        <v>0</v>
      </c>
      <c r="J1129" s="8" t="s">
        <v>2019</v>
      </c>
    </row>
    <row r="1130" spans="1:10" ht="16.5" customHeight="1" x14ac:dyDescent="0.25">
      <c r="A1130" s="8" t="s">
        <v>5414</v>
      </c>
      <c r="B1130" s="8" t="s">
        <v>5415</v>
      </c>
      <c r="C1130" s="8" t="s">
        <v>5416</v>
      </c>
      <c r="D1130" s="8" t="s">
        <v>5415</v>
      </c>
      <c r="E1130" s="105">
        <v>0</v>
      </c>
      <c r="F1130" s="106" t="s">
        <v>2024</v>
      </c>
      <c r="G1130" s="8"/>
      <c r="H1130" s="8"/>
      <c r="I1130" s="107">
        <v>0</v>
      </c>
      <c r="J1130" s="8" t="s">
        <v>2019</v>
      </c>
    </row>
    <row r="1131" spans="1:10" ht="16.5" customHeight="1" x14ac:dyDescent="0.25">
      <c r="A1131" s="8" t="s">
        <v>5417</v>
      </c>
      <c r="B1131" s="8" t="s">
        <v>5418</v>
      </c>
      <c r="C1131" s="8" t="s">
        <v>5419</v>
      </c>
      <c r="D1131" s="8" t="s">
        <v>5418</v>
      </c>
      <c r="E1131" s="105">
        <v>1</v>
      </c>
      <c r="F1131" s="106" t="s">
        <v>2024</v>
      </c>
      <c r="G1131" s="8"/>
      <c r="H1131" s="8"/>
      <c r="I1131" s="107">
        <v>0</v>
      </c>
      <c r="J1131" s="8" t="s">
        <v>3580</v>
      </c>
    </row>
    <row r="1132" spans="1:10" ht="16.5" customHeight="1" x14ac:dyDescent="0.25">
      <c r="A1132" s="8" t="s">
        <v>5420</v>
      </c>
      <c r="B1132" s="8" t="s">
        <v>5421</v>
      </c>
      <c r="C1132" s="8" t="s">
        <v>5422</v>
      </c>
      <c r="D1132" s="8" t="s">
        <v>5421</v>
      </c>
      <c r="E1132" s="105">
        <v>1</v>
      </c>
      <c r="F1132" s="106" t="s">
        <v>2024</v>
      </c>
      <c r="G1132" s="8"/>
      <c r="H1132" s="8"/>
      <c r="I1132" s="107">
        <v>0</v>
      </c>
      <c r="J1132" s="8" t="s">
        <v>3580</v>
      </c>
    </row>
    <row r="1133" spans="1:10" ht="16.5" customHeight="1" x14ac:dyDescent="0.25">
      <c r="A1133" s="8" t="s">
        <v>5423</v>
      </c>
      <c r="B1133" s="8" t="s">
        <v>5424</v>
      </c>
      <c r="C1133" s="8" t="s">
        <v>5422</v>
      </c>
      <c r="D1133" s="8" t="s">
        <v>5424</v>
      </c>
      <c r="E1133" s="105">
        <v>1</v>
      </c>
      <c r="F1133" s="106" t="s">
        <v>2024</v>
      </c>
      <c r="G1133" s="8"/>
      <c r="H1133" s="8"/>
      <c r="I1133" s="107">
        <v>0</v>
      </c>
      <c r="J1133" s="8" t="s">
        <v>3580</v>
      </c>
    </row>
    <row r="1134" spans="1:10" ht="16.5" customHeight="1" x14ac:dyDescent="0.25">
      <c r="A1134" s="8" t="s">
        <v>5425</v>
      </c>
      <c r="B1134" s="8" t="s">
        <v>5426</v>
      </c>
      <c r="C1134" s="8" t="s">
        <v>5427</v>
      </c>
      <c r="D1134" s="8" t="s">
        <v>5426</v>
      </c>
      <c r="E1134" s="105">
        <v>1</v>
      </c>
      <c r="F1134" s="106" t="s">
        <v>2024</v>
      </c>
      <c r="G1134" s="8"/>
      <c r="H1134" s="8"/>
      <c r="I1134" s="107">
        <v>0</v>
      </c>
      <c r="J1134" s="8" t="s">
        <v>3580</v>
      </c>
    </row>
    <row r="1135" spans="1:10" ht="16.5" customHeight="1" x14ac:dyDescent="0.25">
      <c r="A1135" s="8" t="s">
        <v>5428</v>
      </c>
      <c r="B1135" s="8" t="s">
        <v>5429</v>
      </c>
      <c r="C1135" s="8" t="s">
        <v>5430</v>
      </c>
      <c r="D1135" s="8" t="s">
        <v>5429</v>
      </c>
      <c r="E1135" s="105">
        <v>1</v>
      </c>
      <c r="F1135" s="106" t="s">
        <v>2024</v>
      </c>
      <c r="G1135" s="8"/>
      <c r="H1135" s="8"/>
      <c r="I1135" s="107">
        <v>0</v>
      </c>
      <c r="J1135" s="8" t="s">
        <v>3580</v>
      </c>
    </row>
    <row r="1136" spans="1:10" ht="16.5" customHeight="1" x14ac:dyDescent="0.25">
      <c r="A1136" s="8" t="s">
        <v>5431</v>
      </c>
      <c r="B1136" s="8" t="s">
        <v>5432</v>
      </c>
      <c r="C1136" s="8" t="s">
        <v>5433</v>
      </c>
      <c r="D1136" s="8" t="s">
        <v>5432</v>
      </c>
      <c r="E1136" s="105">
        <v>1</v>
      </c>
      <c r="F1136" s="106" t="s">
        <v>2024</v>
      </c>
      <c r="G1136" s="8"/>
      <c r="H1136" s="8"/>
      <c r="I1136" s="107">
        <v>0</v>
      </c>
      <c r="J1136" s="8" t="s">
        <v>3580</v>
      </c>
    </row>
    <row r="1137" spans="1:10" ht="16.5" customHeight="1" x14ac:dyDescent="0.25">
      <c r="A1137" s="8" t="s">
        <v>5434</v>
      </c>
      <c r="B1137" s="8" t="s">
        <v>5435</v>
      </c>
      <c r="C1137" s="8" t="s">
        <v>5436</v>
      </c>
      <c r="D1137" s="8" t="s">
        <v>5435</v>
      </c>
      <c r="E1137" s="105">
        <v>1</v>
      </c>
      <c r="F1137" s="106" t="s">
        <v>2024</v>
      </c>
      <c r="G1137" s="8"/>
      <c r="H1137" s="8"/>
      <c r="I1137" s="107">
        <v>0</v>
      </c>
      <c r="J1137" s="8" t="s">
        <v>3580</v>
      </c>
    </row>
    <row r="1138" spans="1:10" ht="16.5" customHeight="1" x14ac:dyDescent="0.25">
      <c r="A1138" s="8" t="s">
        <v>5437</v>
      </c>
      <c r="B1138" s="8" t="s">
        <v>5438</v>
      </c>
      <c r="C1138" s="8" t="s">
        <v>5439</v>
      </c>
      <c r="D1138" s="8" t="s">
        <v>5438</v>
      </c>
      <c r="E1138" s="105">
        <v>1</v>
      </c>
      <c r="F1138" s="106" t="s">
        <v>2024</v>
      </c>
      <c r="G1138" s="8"/>
      <c r="H1138" s="8"/>
      <c r="I1138" s="107">
        <v>0</v>
      </c>
      <c r="J1138" s="8" t="s">
        <v>3580</v>
      </c>
    </row>
    <row r="1139" spans="1:10" ht="16.5" customHeight="1" x14ac:dyDescent="0.25">
      <c r="A1139" s="8" t="s">
        <v>5440</v>
      </c>
      <c r="B1139" s="8" t="s">
        <v>5441</v>
      </c>
      <c r="C1139" s="8" t="s">
        <v>5442</v>
      </c>
      <c r="D1139" s="8" t="s">
        <v>5441</v>
      </c>
      <c r="E1139" s="105">
        <v>1</v>
      </c>
      <c r="F1139" s="106" t="s">
        <v>2024</v>
      </c>
      <c r="G1139" s="8"/>
      <c r="H1139" s="8"/>
      <c r="I1139" s="107">
        <v>0</v>
      </c>
      <c r="J1139" s="8" t="s">
        <v>3580</v>
      </c>
    </row>
    <row r="1140" spans="1:10" ht="16.5" customHeight="1" x14ac:dyDescent="0.25">
      <c r="A1140" s="8" t="s">
        <v>5443</v>
      </c>
      <c r="B1140" s="8" t="s">
        <v>5444</v>
      </c>
      <c r="C1140" s="8" t="s">
        <v>5445</v>
      </c>
      <c r="D1140" s="8" t="s">
        <v>5444</v>
      </c>
      <c r="E1140" s="105">
        <v>1</v>
      </c>
      <c r="F1140" s="106" t="s">
        <v>2024</v>
      </c>
      <c r="G1140" s="8"/>
      <c r="H1140" s="8"/>
      <c r="I1140" s="107">
        <v>0</v>
      </c>
      <c r="J1140" s="8" t="s">
        <v>3580</v>
      </c>
    </row>
    <row r="1141" spans="1:10" ht="16.5" customHeight="1" x14ac:dyDescent="0.25">
      <c r="A1141" s="8" t="s">
        <v>5446</v>
      </c>
      <c r="B1141" s="8" t="s">
        <v>5447</v>
      </c>
      <c r="C1141" s="8" t="s">
        <v>5448</v>
      </c>
      <c r="D1141" s="8" t="s">
        <v>5447</v>
      </c>
      <c r="E1141" s="105">
        <v>1</v>
      </c>
      <c r="F1141" s="106" t="s">
        <v>2024</v>
      </c>
      <c r="G1141" s="8"/>
      <c r="H1141" s="8"/>
      <c r="I1141" s="107">
        <v>0</v>
      </c>
      <c r="J1141" s="8" t="s">
        <v>3580</v>
      </c>
    </row>
    <row r="1142" spans="1:10" ht="16.5" customHeight="1" x14ac:dyDescent="0.25">
      <c r="A1142" s="8" t="s">
        <v>5449</v>
      </c>
      <c r="B1142" s="8" t="s">
        <v>5450</v>
      </c>
      <c r="C1142" s="8" t="s">
        <v>5451</v>
      </c>
      <c r="D1142" s="8" t="s">
        <v>5450</v>
      </c>
      <c r="E1142" s="105">
        <v>1</v>
      </c>
      <c r="F1142" s="106" t="s">
        <v>2024</v>
      </c>
      <c r="G1142" s="8"/>
      <c r="H1142" s="8"/>
      <c r="I1142" s="107">
        <v>0</v>
      </c>
      <c r="J1142" s="8" t="s">
        <v>3580</v>
      </c>
    </row>
    <row r="1143" spans="1:10" ht="16.5" customHeight="1" x14ac:dyDescent="0.25">
      <c r="A1143" s="8" t="s">
        <v>5452</v>
      </c>
      <c r="B1143" s="8" t="s">
        <v>5453</v>
      </c>
      <c r="C1143" s="8" t="s">
        <v>5454</v>
      </c>
      <c r="D1143" s="8" t="s">
        <v>5453</v>
      </c>
      <c r="E1143" s="105">
        <v>1</v>
      </c>
      <c r="F1143" s="106" t="s">
        <v>2024</v>
      </c>
      <c r="G1143" s="8"/>
      <c r="H1143" s="8"/>
      <c r="I1143" s="107">
        <v>0</v>
      </c>
      <c r="J1143" s="8" t="s">
        <v>3580</v>
      </c>
    </row>
    <row r="1144" spans="1:10" ht="16.5" customHeight="1" x14ac:dyDescent="0.25">
      <c r="A1144" s="8" t="s">
        <v>5455</v>
      </c>
      <c r="B1144" s="8" t="s">
        <v>5456</v>
      </c>
      <c r="C1144" s="8" t="s">
        <v>5457</v>
      </c>
      <c r="D1144" s="8" t="s">
        <v>5456</v>
      </c>
      <c r="E1144" s="105">
        <v>1</v>
      </c>
      <c r="F1144" s="106" t="s">
        <v>2024</v>
      </c>
      <c r="G1144" s="8"/>
      <c r="H1144" s="8"/>
      <c r="I1144" s="107">
        <v>0</v>
      </c>
      <c r="J1144" s="8" t="s">
        <v>3580</v>
      </c>
    </row>
    <row r="1145" spans="1:10" ht="16.5" customHeight="1" x14ac:dyDescent="0.25">
      <c r="A1145" s="8" t="s">
        <v>5458</v>
      </c>
      <c r="B1145" s="8" t="s">
        <v>5459</v>
      </c>
      <c r="C1145" s="8" t="s">
        <v>5460</v>
      </c>
      <c r="D1145" s="8" t="s">
        <v>5459</v>
      </c>
      <c r="E1145" s="105">
        <v>1</v>
      </c>
      <c r="F1145" s="106" t="s">
        <v>2024</v>
      </c>
      <c r="G1145" s="8"/>
      <c r="H1145" s="8"/>
      <c r="I1145" s="107">
        <v>0</v>
      </c>
      <c r="J1145" s="8" t="s">
        <v>3580</v>
      </c>
    </row>
    <row r="1146" spans="1:10" ht="16.5" customHeight="1" x14ac:dyDescent="0.25">
      <c r="A1146" s="8" t="s">
        <v>5461</v>
      </c>
      <c r="B1146" s="8" t="s">
        <v>5462</v>
      </c>
      <c r="C1146" s="8" t="s">
        <v>5463</v>
      </c>
      <c r="D1146" s="8" t="s">
        <v>5462</v>
      </c>
      <c r="E1146" s="105">
        <v>1</v>
      </c>
      <c r="F1146" s="106" t="s">
        <v>2024</v>
      </c>
      <c r="G1146" s="8"/>
      <c r="H1146" s="8"/>
      <c r="I1146" s="107">
        <v>0</v>
      </c>
      <c r="J1146" s="8" t="s">
        <v>3580</v>
      </c>
    </row>
    <row r="1147" spans="1:10" ht="16.5" customHeight="1" x14ac:dyDescent="0.25">
      <c r="A1147" s="8" t="s">
        <v>5464</v>
      </c>
      <c r="B1147" s="8" t="s">
        <v>5465</v>
      </c>
      <c r="C1147" s="8" t="s">
        <v>5463</v>
      </c>
      <c r="D1147" s="8" t="s">
        <v>5465</v>
      </c>
      <c r="E1147" s="105">
        <v>1</v>
      </c>
      <c r="F1147" s="106" t="s">
        <v>2024</v>
      </c>
      <c r="G1147" s="8"/>
      <c r="H1147" s="8"/>
      <c r="I1147" s="107">
        <v>0</v>
      </c>
      <c r="J1147" s="8" t="s">
        <v>3580</v>
      </c>
    </row>
    <row r="1148" spans="1:10" ht="16.5" customHeight="1" x14ac:dyDescent="0.25">
      <c r="A1148" s="8" t="s">
        <v>5466</v>
      </c>
      <c r="B1148" s="8" t="s">
        <v>5467</v>
      </c>
      <c r="C1148" s="8" t="s">
        <v>5468</v>
      </c>
      <c r="D1148" s="8" t="s">
        <v>5467</v>
      </c>
      <c r="E1148" s="105">
        <v>1</v>
      </c>
      <c r="F1148" s="106" t="s">
        <v>2024</v>
      </c>
      <c r="G1148" s="8"/>
      <c r="H1148" s="8"/>
      <c r="I1148" s="107">
        <v>0</v>
      </c>
      <c r="J1148" s="8" t="s">
        <v>3580</v>
      </c>
    </row>
    <row r="1149" spans="1:10" ht="16.5" customHeight="1" x14ac:dyDescent="0.25">
      <c r="A1149" s="8" t="s">
        <v>5469</v>
      </c>
      <c r="B1149" s="8" t="s">
        <v>5470</v>
      </c>
      <c r="C1149" s="8" t="s">
        <v>5468</v>
      </c>
      <c r="D1149" s="8" t="s">
        <v>5470</v>
      </c>
      <c r="E1149" s="105">
        <v>1</v>
      </c>
      <c r="F1149" s="106" t="s">
        <v>2024</v>
      </c>
      <c r="G1149" s="8"/>
      <c r="H1149" s="8"/>
      <c r="I1149" s="107">
        <v>0</v>
      </c>
      <c r="J1149" s="8" t="s">
        <v>3580</v>
      </c>
    </row>
    <row r="1150" spans="1:10" ht="16.5" customHeight="1" x14ac:dyDescent="0.25">
      <c r="A1150" s="8" t="s">
        <v>5471</v>
      </c>
      <c r="B1150" s="8" t="s">
        <v>5472</v>
      </c>
      <c r="C1150" s="8" t="s">
        <v>5473</v>
      </c>
      <c r="D1150" s="8" t="s">
        <v>5472</v>
      </c>
      <c r="E1150" s="105">
        <v>1</v>
      </c>
      <c r="F1150" s="106" t="s">
        <v>2024</v>
      </c>
      <c r="G1150" s="8"/>
      <c r="H1150" s="8"/>
      <c r="I1150" s="107">
        <v>0</v>
      </c>
      <c r="J1150" s="8" t="s">
        <v>3580</v>
      </c>
    </row>
    <row r="1151" spans="1:10" ht="16.5" customHeight="1" x14ac:dyDescent="0.25">
      <c r="A1151" s="8" t="s">
        <v>5474</v>
      </c>
      <c r="B1151" s="8" t="s">
        <v>5475</v>
      </c>
      <c r="C1151" s="8" t="s">
        <v>3641</v>
      </c>
      <c r="D1151" s="8" t="s">
        <v>5475</v>
      </c>
      <c r="E1151" s="105">
        <v>1</v>
      </c>
      <c r="F1151" s="106" t="s">
        <v>2024</v>
      </c>
      <c r="G1151" s="8"/>
      <c r="H1151" s="8"/>
      <c r="I1151" s="107">
        <v>0</v>
      </c>
      <c r="J1151" s="8" t="s">
        <v>3580</v>
      </c>
    </row>
    <row r="1152" spans="1:10" ht="16.5" customHeight="1" x14ac:dyDescent="0.25">
      <c r="A1152" s="8" t="s">
        <v>5476</v>
      </c>
      <c r="B1152" s="8" t="s">
        <v>5477</v>
      </c>
      <c r="C1152" s="8" t="s">
        <v>3628</v>
      </c>
      <c r="D1152" s="8" t="s">
        <v>5477</v>
      </c>
      <c r="E1152" s="105">
        <v>1</v>
      </c>
      <c r="F1152" s="106" t="s">
        <v>2024</v>
      </c>
      <c r="G1152" s="8"/>
      <c r="H1152" s="8"/>
      <c r="I1152" s="107">
        <v>0</v>
      </c>
      <c r="J1152" s="8" t="s">
        <v>3580</v>
      </c>
    </row>
    <row r="1153" spans="1:10" ht="16.5" customHeight="1" x14ac:dyDescent="0.25">
      <c r="A1153" s="8" t="s">
        <v>5478</v>
      </c>
      <c r="B1153" s="8" t="s">
        <v>5479</v>
      </c>
      <c r="C1153" s="8" t="s">
        <v>5480</v>
      </c>
      <c r="D1153" s="8" t="s">
        <v>5479</v>
      </c>
      <c r="E1153" s="105">
        <v>1</v>
      </c>
      <c r="F1153" s="106" t="s">
        <v>2024</v>
      </c>
      <c r="G1153" s="8"/>
      <c r="H1153" s="8"/>
      <c r="I1153" s="107">
        <v>0</v>
      </c>
      <c r="J1153" s="8" t="s">
        <v>3580</v>
      </c>
    </row>
    <row r="1154" spans="1:10" ht="16.5" customHeight="1" x14ac:dyDescent="0.25">
      <c r="A1154" s="8" t="s">
        <v>5481</v>
      </c>
      <c r="B1154" s="8" t="s">
        <v>5482</v>
      </c>
      <c r="C1154" s="8" t="s">
        <v>5482</v>
      </c>
      <c r="D1154" s="8" t="s">
        <v>5482</v>
      </c>
      <c r="E1154" s="105">
        <v>12.8</v>
      </c>
      <c r="F1154" s="106" t="s">
        <v>2024</v>
      </c>
      <c r="G1154" s="8"/>
      <c r="H1154" s="8"/>
      <c r="I1154" s="107">
        <v>0</v>
      </c>
      <c r="J1154" s="8" t="s">
        <v>4789</v>
      </c>
    </row>
    <row r="1155" spans="1:10" ht="16.5" customHeight="1" x14ac:dyDescent="0.25">
      <c r="A1155" s="8" t="s">
        <v>5483</v>
      </c>
      <c r="B1155" s="8" t="s">
        <v>5482</v>
      </c>
      <c r="C1155" s="8" t="s">
        <v>5482</v>
      </c>
      <c r="D1155" s="8" t="s">
        <v>5482</v>
      </c>
      <c r="E1155" s="105">
        <v>0.54200000000000004</v>
      </c>
      <c r="F1155" s="106" t="s">
        <v>2024</v>
      </c>
      <c r="G1155" s="8"/>
      <c r="H1155" s="8"/>
      <c r="I1155" s="107">
        <v>0</v>
      </c>
      <c r="J1155" s="8" t="s">
        <v>4789</v>
      </c>
    </row>
    <row r="1156" spans="1:10" ht="16.5" customHeight="1" x14ac:dyDescent="0.25">
      <c r="A1156" s="8" t="s">
        <v>5484</v>
      </c>
      <c r="B1156" s="8" t="s">
        <v>5485</v>
      </c>
      <c r="C1156" s="8" t="s">
        <v>5486</v>
      </c>
      <c r="D1156" s="8" t="s">
        <v>5485</v>
      </c>
      <c r="E1156" s="105">
        <v>13.05</v>
      </c>
      <c r="F1156" s="106" t="s">
        <v>2024</v>
      </c>
      <c r="G1156" s="8"/>
      <c r="H1156" s="8"/>
      <c r="I1156" s="107">
        <v>0</v>
      </c>
      <c r="J1156" s="8" t="s">
        <v>4789</v>
      </c>
    </row>
    <row r="1157" spans="1:10" ht="16.5" customHeight="1" x14ac:dyDescent="0.25">
      <c r="A1157" s="8" t="s">
        <v>5487</v>
      </c>
      <c r="B1157" s="8" t="s">
        <v>5488</v>
      </c>
      <c r="C1157" s="8" t="s">
        <v>5486</v>
      </c>
      <c r="D1157" s="8" t="s">
        <v>5488</v>
      </c>
      <c r="E1157" s="105">
        <v>1.0874999999999999</v>
      </c>
      <c r="F1157" s="106" t="s">
        <v>2024</v>
      </c>
      <c r="G1157" s="8"/>
      <c r="H1157" s="8"/>
      <c r="I1157" s="107">
        <v>0</v>
      </c>
      <c r="J1157" s="8" t="s">
        <v>4789</v>
      </c>
    </row>
    <row r="1158" spans="1:10" ht="16.5" customHeight="1" x14ac:dyDescent="0.25">
      <c r="A1158" s="8" t="s">
        <v>5489</v>
      </c>
      <c r="B1158" s="8" t="s">
        <v>5490</v>
      </c>
      <c r="C1158" s="8" t="s">
        <v>5491</v>
      </c>
      <c r="D1158" s="8" t="s">
        <v>5490</v>
      </c>
      <c r="E1158" s="105">
        <v>6</v>
      </c>
      <c r="F1158" s="106" t="s">
        <v>2024</v>
      </c>
      <c r="G1158" s="8"/>
      <c r="H1158" s="8"/>
      <c r="I1158" s="107">
        <v>0</v>
      </c>
      <c r="J1158" s="8" t="s">
        <v>4789</v>
      </c>
    </row>
    <row r="1159" spans="1:10" ht="16.5" customHeight="1" x14ac:dyDescent="0.25">
      <c r="A1159" s="8" t="s">
        <v>5492</v>
      </c>
      <c r="B1159" s="8" t="s">
        <v>5493</v>
      </c>
      <c r="C1159" s="8" t="s">
        <v>5491</v>
      </c>
      <c r="D1159" s="8" t="s">
        <v>5493</v>
      </c>
      <c r="E1159" s="105">
        <v>0.2</v>
      </c>
      <c r="F1159" s="106" t="s">
        <v>2024</v>
      </c>
      <c r="G1159" s="8"/>
      <c r="H1159" s="8"/>
      <c r="I1159" s="107">
        <v>0</v>
      </c>
      <c r="J1159" s="8" t="s">
        <v>4789</v>
      </c>
    </row>
    <row r="1160" spans="1:10" ht="16.5" customHeight="1" x14ac:dyDescent="0.25">
      <c r="A1160" s="8" t="s">
        <v>5494</v>
      </c>
      <c r="B1160" s="8" t="s">
        <v>5385</v>
      </c>
      <c r="C1160" s="8" t="s">
        <v>5495</v>
      </c>
      <c r="D1160" s="8" t="s">
        <v>5385</v>
      </c>
      <c r="E1160" s="105">
        <v>0</v>
      </c>
      <c r="F1160" s="106" t="s">
        <v>2024</v>
      </c>
      <c r="G1160" s="8"/>
      <c r="H1160" s="8"/>
      <c r="I1160" s="107">
        <v>0</v>
      </c>
      <c r="J1160" s="8" t="s">
        <v>2019</v>
      </c>
    </row>
    <row r="1161" spans="1:10" ht="16.5" customHeight="1" x14ac:dyDescent="0.25">
      <c r="A1161" s="8" t="s">
        <v>5496</v>
      </c>
      <c r="B1161" s="8" t="s">
        <v>5497</v>
      </c>
      <c r="C1161" s="8" t="s">
        <v>5498</v>
      </c>
      <c r="D1161" s="8" t="s">
        <v>5497</v>
      </c>
      <c r="E1161" s="105">
        <v>0</v>
      </c>
      <c r="F1161" s="106" t="s">
        <v>2024</v>
      </c>
      <c r="G1161" s="8"/>
      <c r="H1161" s="8"/>
      <c r="I1161" s="107">
        <v>0</v>
      </c>
      <c r="J1161" s="8" t="s">
        <v>2019</v>
      </c>
    </row>
    <row r="1162" spans="1:10" ht="16.5" customHeight="1" x14ac:dyDescent="0.25">
      <c r="A1162" s="8" t="s">
        <v>5499</v>
      </c>
      <c r="B1162" s="8" t="s">
        <v>5500</v>
      </c>
      <c r="C1162" s="8" t="s">
        <v>5501</v>
      </c>
      <c r="D1162" s="8" t="s">
        <v>5500</v>
      </c>
      <c r="E1162" s="105">
        <v>15</v>
      </c>
      <c r="F1162" s="106" t="s">
        <v>2024</v>
      </c>
      <c r="G1162" s="8"/>
      <c r="H1162" s="8"/>
      <c r="I1162" s="107">
        <v>0</v>
      </c>
      <c r="J1162" s="8" t="s">
        <v>2019</v>
      </c>
    </row>
    <row r="1163" spans="1:10" ht="16.5" customHeight="1" x14ac:dyDescent="0.25">
      <c r="A1163" s="8" t="s">
        <v>5502</v>
      </c>
      <c r="B1163" s="8" t="s">
        <v>5503</v>
      </c>
      <c r="C1163" s="8" t="s">
        <v>5038</v>
      </c>
      <c r="D1163" s="8" t="s">
        <v>5503</v>
      </c>
      <c r="E1163" s="105">
        <v>1</v>
      </c>
      <c r="F1163" s="106" t="s">
        <v>2024</v>
      </c>
      <c r="G1163" s="8"/>
      <c r="H1163" s="8"/>
      <c r="I1163" s="107">
        <v>0</v>
      </c>
      <c r="J1163" s="8" t="s">
        <v>3580</v>
      </c>
    </row>
    <row r="1164" spans="1:10" ht="16.5" customHeight="1" x14ac:dyDescent="0.25">
      <c r="A1164" s="8" t="s">
        <v>5504</v>
      </c>
      <c r="B1164" s="8" t="s">
        <v>5505</v>
      </c>
      <c r="C1164" s="8" t="s">
        <v>3672</v>
      </c>
      <c r="D1164" s="8" t="s">
        <v>5505</v>
      </c>
      <c r="E1164" s="105">
        <v>1</v>
      </c>
      <c r="F1164" s="106" t="s">
        <v>2024</v>
      </c>
      <c r="G1164" s="8"/>
      <c r="H1164" s="8"/>
      <c r="I1164" s="107">
        <v>0</v>
      </c>
      <c r="J1164" s="8" t="s">
        <v>3580</v>
      </c>
    </row>
    <row r="1165" spans="1:10" ht="16.5" customHeight="1" x14ac:dyDescent="0.25">
      <c r="A1165" s="8" t="s">
        <v>5506</v>
      </c>
      <c r="B1165" s="8" t="s">
        <v>5507</v>
      </c>
      <c r="C1165" s="8" t="s">
        <v>3619</v>
      </c>
      <c r="D1165" s="8" t="s">
        <v>5507</v>
      </c>
      <c r="E1165" s="105">
        <v>1</v>
      </c>
      <c r="F1165" s="106" t="s">
        <v>2024</v>
      </c>
      <c r="G1165" s="8"/>
      <c r="H1165" s="8"/>
      <c r="I1165" s="107">
        <v>0</v>
      </c>
      <c r="J1165" s="8" t="s">
        <v>3580</v>
      </c>
    </row>
    <row r="1166" spans="1:10" ht="16.5" customHeight="1" x14ac:dyDescent="0.25">
      <c r="A1166" s="8" t="s">
        <v>5508</v>
      </c>
      <c r="B1166" s="8" t="s">
        <v>5509</v>
      </c>
      <c r="C1166" s="8" t="s">
        <v>3631</v>
      </c>
      <c r="D1166" s="8" t="s">
        <v>5509</v>
      </c>
      <c r="E1166" s="105">
        <v>1</v>
      </c>
      <c r="F1166" s="106" t="s">
        <v>2024</v>
      </c>
      <c r="G1166" s="8"/>
      <c r="H1166" s="8"/>
      <c r="I1166" s="107">
        <v>0</v>
      </c>
      <c r="J1166" s="8" t="s">
        <v>3580</v>
      </c>
    </row>
    <row r="1167" spans="1:10" ht="16.5" customHeight="1" x14ac:dyDescent="0.25">
      <c r="A1167" s="8" t="s">
        <v>5510</v>
      </c>
      <c r="B1167" s="8" t="s">
        <v>5511</v>
      </c>
      <c r="C1167" s="8" t="s">
        <v>3678</v>
      </c>
      <c r="D1167" s="8" t="s">
        <v>5511</v>
      </c>
      <c r="E1167" s="105">
        <v>1</v>
      </c>
      <c r="F1167" s="106" t="s">
        <v>2024</v>
      </c>
      <c r="G1167" s="8"/>
      <c r="H1167" s="8"/>
      <c r="I1167" s="107">
        <v>0</v>
      </c>
      <c r="J1167" s="8" t="s">
        <v>3580</v>
      </c>
    </row>
    <row r="1168" spans="1:10" ht="16.5" customHeight="1" x14ac:dyDescent="0.25">
      <c r="A1168" s="8" t="s">
        <v>5512</v>
      </c>
      <c r="B1168" s="8" t="s">
        <v>5513</v>
      </c>
      <c r="C1168" s="8" t="s">
        <v>3678</v>
      </c>
      <c r="D1168" s="8" t="s">
        <v>5513</v>
      </c>
      <c r="E1168" s="105">
        <v>1</v>
      </c>
      <c r="F1168" s="106" t="s">
        <v>2024</v>
      </c>
      <c r="G1168" s="8"/>
      <c r="H1168" s="8"/>
      <c r="I1168" s="107">
        <v>0</v>
      </c>
      <c r="J1168" s="8" t="s">
        <v>3580</v>
      </c>
    </row>
    <row r="1169" spans="1:10" ht="16.5" customHeight="1" x14ac:dyDescent="0.25">
      <c r="A1169" s="8" t="s">
        <v>5514</v>
      </c>
      <c r="B1169" s="8" t="s">
        <v>5515</v>
      </c>
      <c r="C1169" s="8" t="s">
        <v>3636</v>
      </c>
      <c r="D1169" s="8" t="s">
        <v>5515</v>
      </c>
      <c r="E1169" s="105">
        <v>1</v>
      </c>
      <c r="F1169" s="106" t="s">
        <v>2024</v>
      </c>
      <c r="G1169" s="8"/>
      <c r="H1169" s="8"/>
      <c r="I1169" s="107">
        <v>0</v>
      </c>
      <c r="J1169" s="8" t="s">
        <v>3580</v>
      </c>
    </row>
    <row r="1170" spans="1:10" ht="16.5" customHeight="1" x14ac:dyDescent="0.25">
      <c r="A1170" s="8" t="s">
        <v>5516</v>
      </c>
      <c r="B1170" s="8" t="s">
        <v>5517</v>
      </c>
      <c r="C1170" s="8" t="s">
        <v>3592</v>
      </c>
      <c r="D1170" s="8" t="s">
        <v>5517</v>
      </c>
      <c r="E1170" s="105">
        <v>1</v>
      </c>
      <c r="F1170" s="106" t="s">
        <v>2024</v>
      </c>
      <c r="G1170" s="8"/>
      <c r="H1170" s="8"/>
      <c r="I1170" s="107">
        <v>0</v>
      </c>
      <c r="J1170" s="8" t="s">
        <v>3580</v>
      </c>
    </row>
    <row r="1171" spans="1:10" ht="16.5" customHeight="1" x14ac:dyDescent="0.25">
      <c r="A1171" s="8" t="s">
        <v>5518</v>
      </c>
      <c r="B1171" s="8" t="s">
        <v>5519</v>
      </c>
      <c r="C1171" s="8" t="s">
        <v>3592</v>
      </c>
      <c r="D1171" s="8" t="s">
        <v>5519</v>
      </c>
      <c r="E1171" s="105">
        <v>1</v>
      </c>
      <c r="F1171" s="106" t="s">
        <v>2024</v>
      </c>
      <c r="G1171" s="8"/>
      <c r="H1171" s="8"/>
      <c r="I1171" s="107">
        <v>0</v>
      </c>
      <c r="J1171" s="8" t="s">
        <v>3580</v>
      </c>
    </row>
    <row r="1172" spans="1:10" ht="16.5" customHeight="1" x14ac:dyDescent="0.25">
      <c r="A1172" s="8" t="s">
        <v>5520</v>
      </c>
      <c r="B1172" s="8" t="s">
        <v>5521</v>
      </c>
      <c r="C1172" s="8" t="s">
        <v>5522</v>
      </c>
      <c r="D1172" s="8" t="s">
        <v>5521</v>
      </c>
      <c r="E1172" s="105">
        <v>1</v>
      </c>
      <c r="F1172" s="106" t="s">
        <v>2024</v>
      </c>
      <c r="G1172" s="8"/>
      <c r="H1172" s="8"/>
      <c r="I1172" s="107">
        <v>0</v>
      </c>
      <c r="J1172" s="8" t="s">
        <v>3580</v>
      </c>
    </row>
    <row r="1173" spans="1:10" ht="16.5" customHeight="1" x14ac:dyDescent="0.25">
      <c r="A1173" s="8" t="s">
        <v>5523</v>
      </c>
      <c r="B1173" s="8" t="s">
        <v>5524</v>
      </c>
      <c r="C1173" s="8" t="s">
        <v>5522</v>
      </c>
      <c r="D1173" s="8" t="s">
        <v>5524</v>
      </c>
      <c r="E1173" s="105">
        <v>1</v>
      </c>
      <c r="F1173" s="106" t="s">
        <v>2024</v>
      </c>
      <c r="G1173" s="8"/>
      <c r="H1173" s="8"/>
      <c r="I1173" s="107">
        <v>0</v>
      </c>
      <c r="J1173" s="8" t="s">
        <v>3580</v>
      </c>
    </row>
    <row r="1174" spans="1:10" ht="16.5" customHeight="1" x14ac:dyDescent="0.25">
      <c r="A1174" s="8" t="s">
        <v>5525</v>
      </c>
      <c r="B1174" s="8" t="s">
        <v>5526</v>
      </c>
      <c r="C1174" s="8" t="s">
        <v>3586</v>
      </c>
      <c r="D1174" s="8" t="s">
        <v>5526</v>
      </c>
      <c r="E1174" s="105">
        <v>1</v>
      </c>
      <c r="F1174" s="106" t="s">
        <v>2024</v>
      </c>
      <c r="G1174" s="8"/>
      <c r="H1174" s="8"/>
      <c r="I1174" s="107">
        <v>0</v>
      </c>
      <c r="J1174" s="8" t="s">
        <v>3580</v>
      </c>
    </row>
    <row r="1175" spans="1:10" ht="16.5" customHeight="1" x14ac:dyDescent="0.25">
      <c r="A1175" s="8" t="s">
        <v>5527</v>
      </c>
      <c r="B1175" s="8" t="s">
        <v>5528</v>
      </c>
      <c r="C1175" s="8" t="s">
        <v>3586</v>
      </c>
      <c r="D1175" s="8" t="s">
        <v>5528</v>
      </c>
      <c r="E1175" s="105">
        <v>1</v>
      </c>
      <c r="F1175" s="106" t="s">
        <v>2024</v>
      </c>
      <c r="G1175" s="8"/>
      <c r="H1175" s="8"/>
      <c r="I1175" s="107">
        <v>0</v>
      </c>
      <c r="J1175" s="8" t="s">
        <v>3580</v>
      </c>
    </row>
    <row r="1176" spans="1:10" ht="16.5" customHeight="1" x14ac:dyDescent="0.25">
      <c r="A1176" s="8" t="s">
        <v>5529</v>
      </c>
      <c r="B1176" s="8" t="s">
        <v>5530</v>
      </c>
      <c r="C1176" s="8" t="s">
        <v>3666</v>
      </c>
      <c r="D1176" s="8" t="s">
        <v>5530</v>
      </c>
      <c r="E1176" s="105">
        <v>1</v>
      </c>
      <c r="F1176" s="106" t="s">
        <v>2024</v>
      </c>
      <c r="G1176" s="8"/>
      <c r="H1176" s="8"/>
      <c r="I1176" s="107">
        <v>0</v>
      </c>
      <c r="J1176" s="8" t="s">
        <v>3580</v>
      </c>
    </row>
    <row r="1177" spans="1:10" ht="16.5" customHeight="1" x14ac:dyDescent="0.25">
      <c r="A1177" s="8" t="s">
        <v>5531</v>
      </c>
      <c r="B1177" s="8" t="s">
        <v>5532</v>
      </c>
      <c r="C1177" s="8" t="s">
        <v>3666</v>
      </c>
      <c r="D1177" s="8" t="s">
        <v>5532</v>
      </c>
      <c r="E1177" s="105">
        <v>1</v>
      </c>
      <c r="F1177" s="106" t="s">
        <v>2024</v>
      </c>
      <c r="G1177" s="8"/>
      <c r="H1177" s="8"/>
      <c r="I1177" s="107">
        <v>0</v>
      </c>
      <c r="J1177" s="8" t="s">
        <v>3580</v>
      </c>
    </row>
    <row r="1178" spans="1:10" ht="16.5" customHeight="1" x14ac:dyDescent="0.25">
      <c r="A1178" s="8" t="s">
        <v>5533</v>
      </c>
      <c r="B1178" s="8" t="s">
        <v>5534</v>
      </c>
      <c r="C1178" s="8" t="s">
        <v>3589</v>
      </c>
      <c r="D1178" s="8" t="s">
        <v>5534</v>
      </c>
      <c r="E1178" s="105">
        <v>1</v>
      </c>
      <c r="F1178" s="106" t="s">
        <v>2024</v>
      </c>
      <c r="G1178" s="8"/>
      <c r="H1178" s="8"/>
      <c r="I1178" s="107">
        <v>0</v>
      </c>
      <c r="J1178" s="8" t="s">
        <v>3580</v>
      </c>
    </row>
    <row r="1179" spans="1:10" ht="16.5" customHeight="1" x14ac:dyDescent="0.25">
      <c r="A1179" s="8" t="s">
        <v>5535</v>
      </c>
      <c r="B1179" s="8" t="s">
        <v>5536</v>
      </c>
      <c r="C1179" s="8" t="s">
        <v>3675</v>
      </c>
      <c r="D1179" s="8" t="s">
        <v>5536</v>
      </c>
      <c r="E1179" s="105">
        <v>1</v>
      </c>
      <c r="F1179" s="106" t="s">
        <v>2024</v>
      </c>
      <c r="G1179" s="8"/>
      <c r="H1179" s="8"/>
      <c r="I1179" s="107">
        <v>0</v>
      </c>
      <c r="J1179" s="8" t="s">
        <v>3580</v>
      </c>
    </row>
    <row r="1180" spans="1:10" ht="16.5" customHeight="1" x14ac:dyDescent="0.25">
      <c r="A1180" s="8" t="s">
        <v>5537</v>
      </c>
      <c r="B1180" s="8" t="s">
        <v>5538</v>
      </c>
      <c r="C1180" s="8" t="s">
        <v>3641</v>
      </c>
      <c r="D1180" s="8" t="s">
        <v>5538</v>
      </c>
      <c r="E1180" s="105">
        <v>1</v>
      </c>
      <c r="F1180" s="106" t="s">
        <v>2024</v>
      </c>
      <c r="G1180" s="8"/>
      <c r="H1180" s="8"/>
      <c r="I1180" s="107">
        <v>0</v>
      </c>
      <c r="J1180" s="8" t="s">
        <v>3580</v>
      </c>
    </row>
    <row r="1181" spans="1:10" ht="16.5" customHeight="1" x14ac:dyDescent="0.25">
      <c r="A1181" s="8" t="s">
        <v>5539</v>
      </c>
      <c r="B1181" s="8" t="s">
        <v>5540</v>
      </c>
      <c r="C1181" s="8" t="s">
        <v>3641</v>
      </c>
      <c r="D1181" s="8" t="s">
        <v>5540</v>
      </c>
      <c r="E1181" s="105">
        <v>1</v>
      </c>
      <c r="F1181" s="106" t="s">
        <v>2024</v>
      </c>
      <c r="G1181" s="8"/>
      <c r="H1181" s="8"/>
      <c r="I1181" s="107">
        <v>0</v>
      </c>
      <c r="J1181" s="8" t="s">
        <v>3580</v>
      </c>
    </row>
    <row r="1182" spans="1:10" ht="16.5" customHeight="1" x14ac:dyDescent="0.25">
      <c r="A1182" s="8" t="s">
        <v>5541</v>
      </c>
      <c r="B1182" s="8" t="s">
        <v>5542</v>
      </c>
      <c r="C1182" s="8" t="s">
        <v>3669</v>
      </c>
      <c r="D1182" s="8" t="s">
        <v>5542</v>
      </c>
      <c r="E1182" s="105">
        <v>1</v>
      </c>
      <c r="F1182" s="106" t="s">
        <v>2024</v>
      </c>
      <c r="G1182" s="8"/>
      <c r="H1182" s="8"/>
      <c r="I1182" s="107">
        <v>0</v>
      </c>
      <c r="J1182" s="8" t="s">
        <v>3580</v>
      </c>
    </row>
    <row r="1183" spans="1:10" ht="16.5" customHeight="1" x14ac:dyDescent="0.25">
      <c r="A1183" s="8" t="s">
        <v>5543</v>
      </c>
      <c r="B1183" s="8" t="s">
        <v>5544</v>
      </c>
      <c r="C1183" s="8" t="s">
        <v>3595</v>
      </c>
      <c r="D1183" s="8" t="s">
        <v>5544</v>
      </c>
      <c r="E1183" s="105">
        <v>1</v>
      </c>
      <c r="F1183" s="106" t="s">
        <v>2024</v>
      </c>
      <c r="G1183" s="8"/>
      <c r="H1183" s="8"/>
      <c r="I1183" s="107">
        <v>0</v>
      </c>
      <c r="J1183" s="8" t="s">
        <v>3580</v>
      </c>
    </row>
    <row r="1184" spans="1:10" ht="16.5" customHeight="1" x14ac:dyDescent="0.25">
      <c r="A1184" s="8" t="s">
        <v>5545</v>
      </c>
      <c r="B1184" s="8" t="s">
        <v>5546</v>
      </c>
      <c r="C1184" s="8" t="s">
        <v>3595</v>
      </c>
      <c r="D1184" s="8" t="s">
        <v>5546</v>
      </c>
      <c r="E1184" s="105">
        <v>1</v>
      </c>
      <c r="F1184" s="106" t="s">
        <v>2024</v>
      </c>
      <c r="G1184" s="8"/>
      <c r="H1184" s="8"/>
      <c r="I1184" s="107">
        <v>0</v>
      </c>
      <c r="J1184" s="8" t="s">
        <v>3580</v>
      </c>
    </row>
    <row r="1185" spans="1:10" ht="16.5" customHeight="1" x14ac:dyDescent="0.25">
      <c r="A1185" s="8" t="s">
        <v>5547</v>
      </c>
      <c r="B1185" s="8" t="s">
        <v>5548</v>
      </c>
      <c r="C1185" s="8" t="s">
        <v>4822</v>
      </c>
      <c r="D1185" s="8" t="s">
        <v>5548</v>
      </c>
      <c r="E1185" s="105">
        <v>1</v>
      </c>
      <c r="F1185" s="106" t="s">
        <v>2024</v>
      </c>
      <c r="G1185" s="8"/>
      <c r="H1185" s="8"/>
      <c r="I1185" s="107">
        <v>0</v>
      </c>
      <c r="J1185" s="8" t="s">
        <v>3580</v>
      </c>
    </row>
    <row r="1186" spans="1:10" ht="16.5" customHeight="1" x14ac:dyDescent="0.25">
      <c r="A1186" s="8" t="s">
        <v>5549</v>
      </c>
      <c r="B1186" s="8" t="s">
        <v>5550</v>
      </c>
      <c r="C1186" s="8" t="s">
        <v>4822</v>
      </c>
      <c r="D1186" s="8" t="s">
        <v>5550</v>
      </c>
      <c r="E1186" s="105">
        <v>1</v>
      </c>
      <c r="F1186" s="106" t="s">
        <v>2024</v>
      </c>
      <c r="G1186" s="8"/>
      <c r="H1186" s="8"/>
      <c r="I1186" s="107">
        <v>0</v>
      </c>
      <c r="J1186" s="8" t="s">
        <v>3580</v>
      </c>
    </row>
    <row r="1187" spans="1:10" ht="16.5" customHeight="1" x14ac:dyDescent="0.25">
      <c r="A1187" s="8" t="s">
        <v>5551</v>
      </c>
      <c r="B1187" s="8" t="s">
        <v>5552</v>
      </c>
      <c r="C1187" s="8" t="s">
        <v>4822</v>
      </c>
      <c r="D1187" s="8" t="s">
        <v>5552</v>
      </c>
      <c r="E1187" s="105">
        <v>1</v>
      </c>
      <c r="F1187" s="106" t="s">
        <v>2024</v>
      </c>
      <c r="G1187" s="8"/>
      <c r="H1187" s="8"/>
      <c r="I1187" s="107">
        <v>0</v>
      </c>
      <c r="J1187" s="8" t="s">
        <v>3580</v>
      </c>
    </row>
    <row r="1188" spans="1:10" ht="16.5" customHeight="1" x14ac:dyDescent="0.25">
      <c r="A1188" s="8" t="s">
        <v>5553</v>
      </c>
      <c r="B1188" s="8" t="s">
        <v>5554</v>
      </c>
      <c r="C1188" s="8" t="s">
        <v>4830</v>
      </c>
      <c r="D1188" s="8" t="s">
        <v>5554</v>
      </c>
      <c r="E1188" s="105">
        <v>1</v>
      </c>
      <c r="F1188" s="106" t="s">
        <v>2024</v>
      </c>
      <c r="G1188" s="8"/>
      <c r="H1188" s="8"/>
      <c r="I1188" s="107">
        <v>0</v>
      </c>
      <c r="J1188" s="8" t="s">
        <v>3580</v>
      </c>
    </row>
    <row r="1189" spans="1:10" ht="16.5" customHeight="1" x14ac:dyDescent="0.25">
      <c r="A1189" s="8" t="s">
        <v>5555</v>
      </c>
      <c r="B1189" s="8" t="s">
        <v>5556</v>
      </c>
      <c r="C1189" s="8" t="s">
        <v>4830</v>
      </c>
      <c r="D1189" s="8" t="s">
        <v>5556</v>
      </c>
      <c r="E1189" s="105">
        <v>1</v>
      </c>
      <c r="F1189" s="106" t="s">
        <v>2024</v>
      </c>
      <c r="G1189" s="8"/>
      <c r="H1189" s="8"/>
      <c r="I1189" s="107">
        <v>0</v>
      </c>
      <c r="J1189" s="8" t="s">
        <v>3580</v>
      </c>
    </row>
    <row r="1190" spans="1:10" ht="16.5" customHeight="1" x14ac:dyDescent="0.25">
      <c r="A1190" s="8" t="s">
        <v>5557</v>
      </c>
      <c r="B1190" s="8" t="s">
        <v>5558</v>
      </c>
      <c r="C1190" s="8" t="s">
        <v>4835</v>
      </c>
      <c r="D1190" s="8" t="s">
        <v>5558</v>
      </c>
      <c r="E1190" s="105">
        <v>1</v>
      </c>
      <c r="F1190" s="106" t="s">
        <v>2024</v>
      </c>
      <c r="G1190" s="8"/>
      <c r="H1190" s="8"/>
      <c r="I1190" s="107">
        <v>0</v>
      </c>
      <c r="J1190" s="8" t="s">
        <v>3580</v>
      </c>
    </row>
    <row r="1191" spans="1:10" ht="16.5" customHeight="1" x14ac:dyDescent="0.25">
      <c r="A1191" s="8" t="s">
        <v>5559</v>
      </c>
      <c r="B1191" s="8" t="s">
        <v>5560</v>
      </c>
      <c r="C1191" s="8" t="s">
        <v>4835</v>
      </c>
      <c r="D1191" s="8" t="s">
        <v>5560</v>
      </c>
      <c r="E1191" s="105">
        <v>1</v>
      </c>
      <c r="F1191" s="106" t="s">
        <v>2024</v>
      </c>
      <c r="G1191" s="8"/>
      <c r="H1191" s="8"/>
      <c r="I1191" s="107">
        <v>0</v>
      </c>
      <c r="J1191" s="8" t="s">
        <v>3580</v>
      </c>
    </row>
    <row r="1192" spans="1:10" ht="16.5" customHeight="1" x14ac:dyDescent="0.25">
      <c r="A1192" s="8" t="s">
        <v>5561</v>
      </c>
      <c r="B1192" s="8" t="s">
        <v>5562</v>
      </c>
      <c r="C1192" s="8" t="s">
        <v>4835</v>
      </c>
      <c r="D1192" s="8" t="s">
        <v>5562</v>
      </c>
      <c r="E1192" s="105">
        <v>1</v>
      </c>
      <c r="F1192" s="106" t="s">
        <v>2024</v>
      </c>
      <c r="G1192" s="8"/>
      <c r="H1192" s="8"/>
      <c r="I1192" s="107">
        <v>0</v>
      </c>
      <c r="J1192" s="8" t="s">
        <v>3580</v>
      </c>
    </row>
    <row r="1193" spans="1:10" ht="16.5" customHeight="1" x14ac:dyDescent="0.25">
      <c r="A1193" s="8" t="s">
        <v>5563</v>
      </c>
      <c r="B1193" s="8" t="s">
        <v>5564</v>
      </c>
      <c r="C1193" s="8" t="s">
        <v>4835</v>
      </c>
      <c r="D1193" s="8" t="s">
        <v>5564</v>
      </c>
      <c r="E1193" s="105">
        <v>1</v>
      </c>
      <c r="F1193" s="106" t="s">
        <v>2024</v>
      </c>
      <c r="G1193" s="8"/>
      <c r="H1193" s="8"/>
      <c r="I1193" s="107">
        <v>0</v>
      </c>
      <c r="J1193" s="8" t="s">
        <v>3580</v>
      </c>
    </row>
    <row r="1194" spans="1:10" ht="16.5" customHeight="1" x14ac:dyDescent="0.25">
      <c r="A1194" s="8" t="s">
        <v>5565</v>
      </c>
      <c r="B1194" s="8" t="s">
        <v>5566</v>
      </c>
      <c r="C1194" s="8" t="s">
        <v>4846</v>
      </c>
      <c r="D1194" s="8" t="s">
        <v>5566</v>
      </c>
      <c r="E1194" s="105">
        <v>1</v>
      </c>
      <c r="F1194" s="106" t="s">
        <v>2024</v>
      </c>
      <c r="G1194" s="8"/>
      <c r="H1194" s="8"/>
      <c r="I1194" s="107">
        <v>0</v>
      </c>
      <c r="J1194" s="8" t="s">
        <v>3580</v>
      </c>
    </row>
    <row r="1195" spans="1:10" ht="16.5" customHeight="1" x14ac:dyDescent="0.25">
      <c r="A1195" s="8" t="s">
        <v>5567</v>
      </c>
      <c r="B1195" s="8" t="s">
        <v>5568</v>
      </c>
      <c r="C1195" s="8" t="s">
        <v>4849</v>
      </c>
      <c r="D1195" s="8" t="s">
        <v>5568</v>
      </c>
      <c r="E1195" s="105">
        <v>1</v>
      </c>
      <c r="F1195" s="106" t="s">
        <v>2024</v>
      </c>
      <c r="G1195" s="8"/>
      <c r="H1195" s="8"/>
      <c r="I1195" s="107">
        <v>0</v>
      </c>
      <c r="J1195" s="8" t="s">
        <v>3580</v>
      </c>
    </row>
    <row r="1196" spans="1:10" ht="16.5" customHeight="1" x14ac:dyDescent="0.25">
      <c r="A1196" s="8" t="s">
        <v>5569</v>
      </c>
      <c r="B1196" s="8" t="s">
        <v>5570</v>
      </c>
      <c r="C1196" s="8" t="s">
        <v>4849</v>
      </c>
      <c r="D1196" s="8" t="s">
        <v>5570</v>
      </c>
      <c r="E1196" s="105">
        <v>1</v>
      </c>
      <c r="F1196" s="106" t="s">
        <v>2024</v>
      </c>
      <c r="G1196" s="8"/>
      <c r="H1196" s="8"/>
      <c r="I1196" s="107">
        <v>0</v>
      </c>
      <c r="J1196" s="8" t="s">
        <v>3580</v>
      </c>
    </row>
    <row r="1197" spans="1:10" ht="16.5" customHeight="1" x14ac:dyDescent="0.25">
      <c r="A1197" s="8" t="s">
        <v>5571</v>
      </c>
      <c r="B1197" s="8" t="s">
        <v>5572</v>
      </c>
      <c r="C1197" s="8" t="s">
        <v>5573</v>
      </c>
      <c r="D1197" s="8" t="s">
        <v>5572</v>
      </c>
      <c r="E1197" s="105">
        <v>1</v>
      </c>
      <c r="F1197" s="106" t="s">
        <v>2024</v>
      </c>
      <c r="G1197" s="8"/>
      <c r="H1197" s="8"/>
      <c r="I1197" s="107">
        <v>0</v>
      </c>
      <c r="J1197" s="8" t="s">
        <v>3580</v>
      </c>
    </row>
    <row r="1198" spans="1:10" ht="16.5" customHeight="1" x14ac:dyDescent="0.25">
      <c r="A1198" s="8" t="s">
        <v>5574</v>
      </c>
      <c r="B1198" s="8" t="s">
        <v>5575</v>
      </c>
      <c r="C1198" s="8" t="s">
        <v>5576</v>
      </c>
      <c r="D1198" s="8" t="s">
        <v>5575</v>
      </c>
      <c r="E1198" s="105">
        <v>1</v>
      </c>
      <c r="F1198" s="106" t="s">
        <v>2024</v>
      </c>
      <c r="G1198" s="8"/>
      <c r="H1198" s="8"/>
      <c r="I1198" s="107">
        <v>0</v>
      </c>
      <c r="J1198" s="8" t="s">
        <v>3580</v>
      </c>
    </row>
    <row r="1199" spans="1:10" ht="16.5" customHeight="1" x14ac:dyDescent="0.25">
      <c r="A1199" s="8" t="s">
        <v>5577</v>
      </c>
      <c r="B1199" s="8" t="s">
        <v>5578</v>
      </c>
      <c r="C1199" s="8" t="s">
        <v>5579</v>
      </c>
      <c r="D1199" s="8" t="s">
        <v>5578</v>
      </c>
      <c r="E1199" s="105">
        <v>1</v>
      </c>
      <c r="F1199" s="106" t="s">
        <v>2024</v>
      </c>
      <c r="G1199" s="8"/>
      <c r="H1199" s="8"/>
      <c r="I1199" s="107">
        <v>0</v>
      </c>
      <c r="J1199" s="8" t="s">
        <v>3580</v>
      </c>
    </row>
    <row r="1200" spans="1:10" ht="16.5" customHeight="1" x14ac:dyDescent="0.25">
      <c r="A1200" s="8" t="s">
        <v>5580</v>
      </c>
      <c r="B1200" s="8" t="s">
        <v>5581</v>
      </c>
      <c r="C1200" s="8" t="s">
        <v>5582</v>
      </c>
      <c r="D1200" s="8" t="s">
        <v>5581</v>
      </c>
      <c r="E1200" s="105">
        <v>1</v>
      </c>
      <c r="F1200" s="106" t="s">
        <v>2024</v>
      </c>
      <c r="G1200" s="8"/>
      <c r="H1200" s="8"/>
      <c r="I1200" s="107">
        <v>0</v>
      </c>
      <c r="J1200" s="8" t="s">
        <v>3580</v>
      </c>
    </row>
    <row r="1201" spans="1:10" ht="16.5" customHeight="1" x14ac:dyDescent="0.25">
      <c r="A1201" s="8" t="s">
        <v>5583</v>
      </c>
      <c r="B1201" s="8" t="s">
        <v>5584</v>
      </c>
      <c r="C1201" s="8" t="s">
        <v>5585</v>
      </c>
      <c r="D1201" s="8" t="s">
        <v>5584</v>
      </c>
      <c r="E1201" s="105">
        <v>1</v>
      </c>
      <c r="F1201" s="106" t="s">
        <v>2024</v>
      </c>
      <c r="G1201" s="8"/>
      <c r="H1201" s="8"/>
      <c r="I1201" s="107">
        <v>0</v>
      </c>
      <c r="J1201" s="8" t="s">
        <v>3580</v>
      </c>
    </row>
    <row r="1202" spans="1:10" ht="16.5" customHeight="1" x14ac:dyDescent="0.25">
      <c r="A1202" s="8" t="s">
        <v>5586</v>
      </c>
      <c r="B1202" s="8" t="s">
        <v>5587</v>
      </c>
      <c r="C1202" s="8" t="s">
        <v>5588</v>
      </c>
      <c r="D1202" s="8" t="s">
        <v>5587</v>
      </c>
      <c r="E1202" s="105">
        <v>1</v>
      </c>
      <c r="F1202" s="106" t="s">
        <v>2024</v>
      </c>
      <c r="G1202" s="8"/>
      <c r="H1202" s="8"/>
      <c r="I1202" s="107">
        <v>0</v>
      </c>
      <c r="J1202" s="8" t="s">
        <v>3580</v>
      </c>
    </row>
    <row r="1203" spans="1:10" ht="16.5" customHeight="1" x14ac:dyDescent="0.25">
      <c r="A1203" s="8" t="s">
        <v>5589</v>
      </c>
      <c r="B1203" s="8" t="s">
        <v>5590</v>
      </c>
      <c r="C1203" s="8" t="s">
        <v>5591</v>
      </c>
      <c r="D1203" s="8" t="s">
        <v>5590</v>
      </c>
      <c r="E1203" s="105">
        <v>0</v>
      </c>
      <c r="F1203" s="106" t="s">
        <v>2024</v>
      </c>
      <c r="G1203" s="8"/>
      <c r="H1203" s="8"/>
      <c r="I1203" s="107">
        <v>0</v>
      </c>
      <c r="J1203" s="8" t="s">
        <v>2019</v>
      </c>
    </row>
    <row r="1204" spans="1:10" ht="16.5" customHeight="1" x14ac:dyDescent="0.25">
      <c r="A1204" s="8" t="s">
        <v>5592</v>
      </c>
      <c r="B1204" s="8" t="s">
        <v>5593</v>
      </c>
      <c r="C1204" s="8" t="s">
        <v>5594</v>
      </c>
      <c r="D1204" s="8" t="s">
        <v>5593</v>
      </c>
      <c r="E1204" s="105">
        <v>0</v>
      </c>
      <c r="F1204" s="106" t="s">
        <v>2024</v>
      </c>
      <c r="G1204" s="8"/>
      <c r="H1204" s="8"/>
      <c r="I1204" s="107">
        <v>0</v>
      </c>
      <c r="J1204" s="8" t="s">
        <v>2019</v>
      </c>
    </row>
    <row r="1205" spans="1:10" ht="16.5" customHeight="1" x14ac:dyDescent="0.25">
      <c r="A1205" s="8" t="s">
        <v>5595</v>
      </c>
      <c r="B1205" s="8" t="s">
        <v>5596</v>
      </c>
      <c r="C1205" s="8" t="s">
        <v>3628</v>
      </c>
      <c r="D1205" s="8" t="s">
        <v>5596</v>
      </c>
      <c r="E1205" s="105">
        <v>1</v>
      </c>
      <c r="F1205" s="106" t="s">
        <v>2024</v>
      </c>
      <c r="G1205" s="8"/>
      <c r="H1205" s="8"/>
      <c r="I1205" s="107">
        <v>0</v>
      </c>
      <c r="J1205" s="8" t="s">
        <v>3580</v>
      </c>
    </row>
    <row r="1206" spans="1:10" ht="16.5" customHeight="1" x14ac:dyDescent="0.25">
      <c r="A1206" s="8" t="s">
        <v>5597</v>
      </c>
      <c r="B1206" s="8" t="s">
        <v>5598</v>
      </c>
      <c r="C1206" s="8" t="s">
        <v>3636</v>
      </c>
      <c r="D1206" s="8" t="s">
        <v>5598</v>
      </c>
      <c r="E1206" s="105">
        <v>1</v>
      </c>
      <c r="F1206" s="106" t="s">
        <v>2024</v>
      </c>
      <c r="G1206" s="8"/>
      <c r="H1206" s="8"/>
      <c r="I1206" s="107">
        <v>0</v>
      </c>
      <c r="J1206" s="8" t="s">
        <v>3580</v>
      </c>
    </row>
    <row r="1207" spans="1:10" ht="16.5" customHeight="1" x14ac:dyDescent="0.25">
      <c r="A1207" s="8" t="s">
        <v>5599</v>
      </c>
      <c r="B1207" s="8" t="s">
        <v>5600</v>
      </c>
      <c r="C1207" s="8" t="s">
        <v>3589</v>
      </c>
      <c r="D1207" s="8" t="s">
        <v>5600</v>
      </c>
      <c r="E1207" s="105">
        <v>1</v>
      </c>
      <c r="F1207" s="106" t="s">
        <v>2024</v>
      </c>
      <c r="G1207" s="8"/>
      <c r="H1207" s="8"/>
      <c r="I1207" s="107">
        <v>0</v>
      </c>
      <c r="J1207" s="8" t="s">
        <v>3580</v>
      </c>
    </row>
    <row r="1208" spans="1:10" ht="16.5" customHeight="1" x14ac:dyDescent="0.25">
      <c r="A1208" s="8" t="s">
        <v>5601</v>
      </c>
      <c r="B1208" s="8" t="s">
        <v>5602</v>
      </c>
      <c r="C1208" s="8" t="s">
        <v>3579</v>
      </c>
      <c r="D1208" s="8" t="s">
        <v>5602</v>
      </c>
      <c r="E1208" s="105">
        <v>1</v>
      </c>
      <c r="F1208" s="106" t="s">
        <v>2024</v>
      </c>
      <c r="G1208" s="8"/>
      <c r="H1208" s="8"/>
      <c r="I1208" s="107">
        <v>0</v>
      </c>
      <c r="J1208" s="8" t="s">
        <v>3580</v>
      </c>
    </row>
    <row r="1209" spans="1:10" ht="16.5" customHeight="1" x14ac:dyDescent="0.25">
      <c r="A1209" s="8" t="s">
        <v>5603</v>
      </c>
      <c r="B1209" s="8" t="s">
        <v>5604</v>
      </c>
      <c r="C1209" s="8" t="s">
        <v>5605</v>
      </c>
      <c r="D1209" s="8" t="s">
        <v>5604</v>
      </c>
      <c r="E1209" s="105">
        <v>0</v>
      </c>
      <c r="F1209" s="106" t="s">
        <v>2024</v>
      </c>
      <c r="G1209" s="8"/>
      <c r="H1209" s="8"/>
      <c r="I1209" s="107">
        <v>0</v>
      </c>
      <c r="J1209" s="8" t="s">
        <v>2019</v>
      </c>
    </row>
    <row r="1210" spans="1:10" ht="16.5" customHeight="1" x14ac:dyDescent="0.25">
      <c r="A1210" s="8" t="s">
        <v>5606</v>
      </c>
      <c r="B1210" s="8" t="s">
        <v>5607</v>
      </c>
      <c r="C1210" s="8" t="s">
        <v>5608</v>
      </c>
      <c r="D1210" s="8" t="s">
        <v>5607</v>
      </c>
      <c r="E1210" s="105">
        <v>0</v>
      </c>
      <c r="F1210" s="106" t="s">
        <v>2024</v>
      </c>
      <c r="G1210" s="8"/>
      <c r="H1210" s="8"/>
      <c r="I1210" s="107">
        <v>0</v>
      </c>
      <c r="J1210" s="8" t="s">
        <v>4722</v>
      </c>
    </row>
    <row r="1211" spans="1:10" ht="16.5" customHeight="1" x14ac:dyDescent="0.25">
      <c r="A1211" s="8" t="s">
        <v>5609</v>
      </c>
      <c r="B1211" s="8" t="s">
        <v>5610</v>
      </c>
      <c r="C1211" s="8" t="s">
        <v>5611</v>
      </c>
      <c r="D1211" s="8" t="s">
        <v>5610</v>
      </c>
      <c r="E1211" s="105">
        <v>0</v>
      </c>
      <c r="F1211" s="106" t="s">
        <v>2024</v>
      </c>
      <c r="G1211" s="8"/>
      <c r="H1211" s="8"/>
      <c r="I1211" s="107">
        <v>0</v>
      </c>
      <c r="J1211" s="8" t="s">
        <v>4722</v>
      </c>
    </row>
    <row r="1212" spans="1:10" ht="16.5" customHeight="1" x14ac:dyDescent="0.25">
      <c r="A1212" s="8" t="s">
        <v>5612</v>
      </c>
      <c r="B1212" s="8" t="s">
        <v>5613</v>
      </c>
      <c r="C1212" s="8" t="s">
        <v>3592</v>
      </c>
      <c r="D1212" s="8" t="s">
        <v>5613</v>
      </c>
      <c r="E1212" s="105">
        <v>1</v>
      </c>
      <c r="F1212" s="106" t="s">
        <v>2024</v>
      </c>
      <c r="G1212" s="8"/>
      <c r="H1212" s="8"/>
      <c r="I1212" s="107">
        <v>0</v>
      </c>
      <c r="J1212" s="8" t="s">
        <v>3580</v>
      </c>
    </row>
    <row r="1213" spans="1:10" ht="16.5" customHeight="1" x14ac:dyDescent="0.25">
      <c r="A1213" s="8" t="s">
        <v>5614</v>
      </c>
      <c r="B1213" s="8" t="s">
        <v>5615</v>
      </c>
      <c r="C1213" s="8" t="s">
        <v>3595</v>
      </c>
      <c r="D1213" s="8" t="s">
        <v>5615</v>
      </c>
      <c r="E1213" s="105">
        <v>1</v>
      </c>
      <c r="F1213" s="106" t="s">
        <v>2024</v>
      </c>
      <c r="G1213" s="8"/>
      <c r="H1213" s="8"/>
      <c r="I1213" s="107">
        <v>0</v>
      </c>
      <c r="J1213" s="8" t="s">
        <v>2019</v>
      </c>
    </row>
    <row r="1214" spans="1:10" ht="16.5" customHeight="1" x14ac:dyDescent="0.25">
      <c r="A1214" s="8" t="s">
        <v>5616</v>
      </c>
      <c r="B1214" s="8" t="s">
        <v>5617</v>
      </c>
      <c r="C1214" s="8" t="s">
        <v>5618</v>
      </c>
      <c r="D1214" s="8" t="s">
        <v>5617</v>
      </c>
      <c r="E1214" s="105">
        <v>18</v>
      </c>
      <c r="F1214" s="106" t="s">
        <v>2018</v>
      </c>
      <c r="G1214" s="8"/>
      <c r="H1214" s="8"/>
      <c r="I1214" s="107">
        <v>0</v>
      </c>
      <c r="J1214" s="8" t="s">
        <v>2019</v>
      </c>
    </row>
    <row r="1215" spans="1:10" ht="16.5" customHeight="1" x14ac:dyDescent="0.25">
      <c r="A1215" s="8" t="s">
        <v>5619</v>
      </c>
      <c r="B1215" s="8" t="s">
        <v>5620</v>
      </c>
      <c r="C1215" s="8" t="s">
        <v>5621</v>
      </c>
      <c r="D1215" s="8" t="s">
        <v>5620</v>
      </c>
      <c r="E1215" s="105">
        <v>20</v>
      </c>
      <c r="F1215" s="106" t="s">
        <v>2018</v>
      </c>
      <c r="G1215" s="8"/>
      <c r="H1215" s="8"/>
      <c r="I1215" s="107">
        <v>0</v>
      </c>
      <c r="J1215" s="8" t="s">
        <v>2019</v>
      </c>
    </row>
    <row r="1216" spans="1:10" ht="16.5" customHeight="1" x14ac:dyDescent="0.25">
      <c r="A1216" s="8" t="s">
        <v>5622</v>
      </c>
      <c r="B1216" s="8" t="s">
        <v>5623</v>
      </c>
      <c r="C1216" s="8" t="s">
        <v>5624</v>
      </c>
      <c r="D1216" s="8" t="s">
        <v>5623</v>
      </c>
      <c r="E1216" s="105">
        <v>0</v>
      </c>
      <c r="F1216" s="106" t="s">
        <v>2024</v>
      </c>
      <c r="G1216" s="8"/>
      <c r="H1216" s="8"/>
      <c r="I1216" s="107">
        <v>0</v>
      </c>
      <c r="J1216" s="8" t="s">
        <v>2019</v>
      </c>
    </row>
    <row r="1217" spans="1:10" ht="16.5" customHeight="1" x14ac:dyDescent="0.25">
      <c r="A1217" s="8" t="s">
        <v>5625</v>
      </c>
      <c r="B1217" s="8" t="s">
        <v>5626</v>
      </c>
      <c r="C1217" s="8" t="s">
        <v>5627</v>
      </c>
      <c r="D1217" s="8" t="s">
        <v>5626</v>
      </c>
      <c r="E1217" s="105">
        <v>1</v>
      </c>
      <c r="F1217" s="106" t="s">
        <v>2024</v>
      </c>
      <c r="G1217" s="8"/>
      <c r="H1217" s="8"/>
      <c r="I1217" s="107">
        <v>0</v>
      </c>
      <c r="J1217" s="8" t="s">
        <v>3695</v>
      </c>
    </row>
    <row r="1218" spans="1:10" ht="16.5" customHeight="1" x14ac:dyDescent="0.25">
      <c r="A1218" s="8" t="s">
        <v>5628</v>
      </c>
      <c r="B1218" s="8" t="s">
        <v>5629</v>
      </c>
      <c r="C1218" s="8" t="s">
        <v>5630</v>
      </c>
      <c r="D1218" s="8" t="s">
        <v>5629</v>
      </c>
      <c r="E1218" s="105">
        <v>0</v>
      </c>
      <c r="F1218" s="106" t="s">
        <v>2024</v>
      </c>
      <c r="G1218" s="8"/>
      <c r="H1218" s="8"/>
      <c r="I1218" s="107">
        <v>0</v>
      </c>
      <c r="J1218" s="8" t="s">
        <v>4722</v>
      </c>
    </row>
    <row r="1219" spans="1:10" ht="16.5" customHeight="1" x14ac:dyDescent="0.25">
      <c r="A1219" s="8" t="s">
        <v>5631</v>
      </c>
      <c r="B1219" s="8" t="s">
        <v>5632</v>
      </c>
      <c r="C1219" s="8" t="s">
        <v>5633</v>
      </c>
      <c r="D1219" s="8" t="s">
        <v>5632</v>
      </c>
      <c r="E1219" s="105">
        <v>20</v>
      </c>
      <c r="F1219" s="106" t="s">
        <v>2018</v>
      </c>
      <c r="G1219" s="8"/>
      <c r="H1219" s="8"/>
      <c r="I1219" s="107">
        <v>0</v>
      </c>
      <c r="J1219" s="8" t="s">
        <v>2019</v>
      </c>
    </row>
    <row r="1220" spans="1:10" ht="16.5" customHeight="1" x14ac:dyDescent="0.25">
      <c r="A1220" s="8" t="s">
        <v>5634</v>
      </c>
      <c r="B1220" s="8" t="s">
        <v>4818</v>
      </c>
      <c r="C1220" s="8" t="s">
        <v>4819</v>
      </c>
      <c r="D1220" s="8" t="s">
        <v>4818</v>
      </c>
      <c r="E1220" s="105">
        <v>1</v>
      </c>
      <c r="F1220" s="106" t="s">
        <v>2024</v>
      </c>
      <c r="G1220" s="8"/>
      <c r="H1220" s="8"/>
      <c r="I1220" s="107">
        <v>0</v>
      </c>
      <c r="J1220" s="8" t="s">
        <v>3580</v>
      </c>
    </row>
    <row r="1221" spans="1:10" ht="16.5" customHeight="1" x14ac:dyDescent="0.25">
      <c r="A1221" s="8" t="s">
        <v>1224</v>
      </c>
      <c r="B1221" s="8" t="s">
        <v>1226</v>
      </c>
      <c r="C1221" s="8" t="s">
        <v>1225</v>
      </c>
      <c r="D1221" s="8" t="s">
        <v>1226</v>
      </c>
      <c r="E1221" s="105">
        <v>20</v>
      </c>
      <c r="F1221" s="106" t="s">
        <v>2018</v>
      </c>
      <c r="G1221" s="8"/>
      <c r="H1221" s="8"/>
      <c r="I1221" s="107">
        <v>0</v>
      </c>
      <c r="J1221" s="8" t="s">
        <v>2019</v>
      </c>
    </row>
    <row r="1222" spans="1:10" ht="16.5" customHeight="1" x14ac:dyDescent="0.25">
      <c r="A1222" s="8" t="s">
        <v>5635</v>
      </c>
      <c r="B1222" s="8" t="s">
        <v>5636</v>
      </c>
      <c r="C1222" s="8" t="s">
        <v>5637</v>
      </c>
      <c r="D1222" s="8" t="s">
        <v>5636</v>
      </c>
      <c r="E1222" s="105">
        <v>20</v>
      </c>
      <c r="F1222" s="106" t="s">
        <v>2018</v>
      </c>
      <c r="G1222" s="8"/>
      <c r="H1222" s="8"/>
      <c r="I1222" s="107">
        <v>0</v>
      </c>
      <c r="J1222" s="8" t="s">
        <v>2019</v>
      </c>
    </row>
    <row r="1223" spans="1:10" ht="16.5" customHeight="1" x14ac:dyDescent="0.25">
      <c r="A1223" s="8" t="s">
        <v>5638</v>
      </c>
      <c r="B1223" s="8" t="s">
        <v>5639</v>
      </c>
      <c r="C1223" s="8" t="s">
        <v>5640</v>
      </c>
      <c r="D1223" s="8" t="s">
        <v>5639</v>
      </c>
      <c r="E1223" s="105">
        <v>1</v>
      </c>
      <c r="F1223" s="106" t="s">
        <v>2018</v>
      </c>
      <c r="G1223" s="8"/>
      <c r="H1223" s="8"/>
      <c r="I1223" s="107">
        <v>0</v>
      </c>
      <c r="J1223" s="8" t="s">
        <v>2019</v>
      </c>
    </row>
    <row r="1224" spans="1:10" ht="16.5" customHeight="1" x14ac:dyDescent="0.25">
      <c r="A1224" s="8" t="s">
        <v>5641</v>
      </c>
      <c r="B1224" s="8" t="s">
        <v>5642</v>
      </c>
      <c r="C1224" s="8" t="s">
        <v>3678</v>
      </c>
      <c r="D1224" s="8" t="s">
        <v>5642</v>
      </c>
      <c r="E1224" s="105">
        <v>1</v>
      </c>
      <c r="F1224" s="106" t="s">
        <v>2024</v>
      </c>
      <c r="G1224" s="8"/>
      <c r="H1224" s="8"/>
      <c r="I1224" s="107">
        <v>0</v>
      </c>
      <c r="J1224" s="8" t="s">
        <v>3580</v>
      </c>
    </row>
    <row r="1225" spans="1:10" ht="16.5" customHeight="1" x14ac:dyDescent="0.25">
      <c r="A1225" s="8" t="s">
        <v>5643</v>
      </c>
      <c r="B1225" s="8" t="s">
        <v>5644</v>
      </c>
      <c r="C1225" s="8" t="s">
        <v>3678</v>
      </c>
      <c r="D1225" s="8" t="s">
        <v>5644</v>
      </c>
      <c r="E1225" s="105">
        <v>1</v>
      </c>
      <c r="F1225" s="106" t="s">
        <v>2024</v>
      </c>
      <c r="G1225" s="8"/>
      <c r="H1225" s="8"/>
      <c r="I1225" s="107">
        <v>0</v>
      </c>
      <c r="J1225" s="8" t="s">
        <v>3580</v>
      </c>
    </row>
    <row r="1226" spans="1:10" ht="16.5" customHeight="1" x14ac:dyDescent="0.25">
      <c r="A1226" s="8" t="s">
        <v>5645</v>
      </c>
      <c r="B1226" s="8" t="s">
        <v>5646</v>
      </c>
      <c r="C1226" s="8" t="s">
        <v>5647</v>
      </c>
      <c r="D1226" s="8" t="s">
        <v>5646</v>
      </c>
      <c r="E1226" s="105">
        <v>0</v>
      </c>
      <c r="F1226" s="106" t="s">
        <v>2024</v>
      </c>
      <c r="G1226" s="8"/>
      <c r="H1226" s="8"/>
      <c r="I1226" s="107">
        <v>0</v>
      </c>
      <c r="J1226" s="8" t="s">
        <v>4722</v>
      </c>
    </row>
    <row r="1227" spans="1:10" ht="16.5" customHeight="1" x14ac:dyDescent="0.25">
      <c r="A1227" s="8" t="s">
        <v>5648</v>
      </c>
      <c r="B1227" s="8" t="s">
        <v>5649</v>
      </c>
      <c r="C1227" s="8" t="s">
        <v>3666</v>
      </c>
      <c r="D1227" s="8" t="s">
        <v>5649</v>
      </c>
      <c r="E1227" s="105">
        <v>1</v>
      </c>
      <c r="F1227" s="106" t="s">
        <v>2024</v>
      </c>
      <c r="G1227" s="8"/>
      <c r="H1227" s="8"/>
      <c r="I1227" s="107">
        <v>0</v>
      </c>
      <c r="J1227" s="8" t="s">
        <v>3580</v>
      </c>
    </row>
    <row r="1228" spans="1:10" ht="16.5" customHeight="1" x14ac:dyDescent="0.25">
      <c r="A1228" s="8" t="s">
        <v>5650</v>
      </c>
      <c r="B1228" s="8" t="s">
        <v>5651</v>
      </c>
      <c r="C1228" s="8" t="s">
        <v>5652</v>
      </c>
      <c r="D1228" s="8" t="s">
        <v>5651</v>
      </c>
      <c r="E1228" s="105">
        <v>0</v>
      </c>
      <c r="F1228" s="106" t="s">
        <v>2024</v>
      </c>
      <c r="G1228" s="8"/>
      <c r="H1228" s="8"/>
      <c r="I1228" s="107">
        <v>0</v>
      </c>
      <c r="J1228" s="8" t="s">
        <v>4722</v>
      </c>
    </row>
    <row r="1229" spans="1:10" ht="16.5" customHeight="1" x14ac:dyDescent="0.25">
      <c r="A1229" s="8" t="s">
        <v>5653</v>
      </c>
      <c r="B1229" s="8" t="s">
        <v>5654</v>
      </c>
      <c r="C1229" s="8" t="s">
        <v>5655</v>
      </c>
      <c r="D1229" s="8" t="s">
        <v>5654</v>
      </c>
      <c r="E1229" s="105">
        <v>0</v>
      </c>
      <c r="F1229" s="106" t="s">
        <v>2024</v>
      </c>
      <c r="G1229" s="8"/>
      <c r="H1229" s="8"/>
      <c r="I1229" s="107">
        <v>0</v>
      </c>
      <c r="J1229" s="8" t="s">
        <v>4722</v>
      </c>
    </row>
    <row r="1230" spans="1:10" ht="16.5" customHeight="1" x14ac:dyDescent="0.25">
      <c r="A1230" s="8" t="s">
        <v>5656</v>
      </c>
      <c r="B1230" s="8" t="s">
        <v>5657</v>
      </c>
      <c r="C1230" s="8" t="s">
        <v>5658</v>
      </c>
      <c r="D1230" s="8" t="s">
        <v>5659</v>
      </c>
      <c r="E1230" s="105">
        <v>20</v>
      </c>
      <c r="F1230" s="106" t="s">
        <v>2018</v>
      </c>
      <c r="G1230" s="8"/>
      <c r="H1230" s="8"/>
      <c r="I1230" s="107">
        <v>0</v>
      </c>
      <c r="J1230" s="8" t="s">
        <v>2019</v>
      </c>
    </row>
    <row r="1231" spans="1:10" ht="16.5" customHeight="1" x14ac:dyDescent="0.25">
      <c r="A1231" s="8" t="s">
        <v>5660</v>
      </c>
      <c r="B1231" s="8" t="s">
        <v>5661</v>
      </c>
      <c r="C1231" s="8" t="s">
        <v>5662</v>
      </c>
      <c r="D1231" s="8" t="s">
        <v>5663</v>
      </c>
      <c r="E1231" s="105">
        <v>1</v>
      </c>
      <c r="F1231" s="106" t="s">
        <v>2024</v>
      </c>
      <c r="G1231" s="8"/>
      <c r="H1231" s="8"/>
      <c r="I1231" s="107">
        <v>0</v>
      </c>
      <c r="J1231" s="8" t="s">
        <v>3695</v>
      </c>
    </row>
    <row r="1232" spans="1:10" ht="16.5" customHeight="1" x14ac:dyDescent="0.25">
      <c r="A1232" s="8" t="s">
        <v>5664</v>
      </c>
      <c r="B1232" s="8" t="s">
        <v>5665</v>
      </c>
      <c r="C1232" s="8" t="s">
        <v>5666</v>
      </c>
      <c r="D1232" s="8" t="s">
        <v>5667</v>
      </c>
      <c r="E1232" s="105">
        <v>1</v>
      </c>
      <c r="F1232" s="106" t="s">
        <v>2024</v>
      </c>
      <c r="G1232" s="8"/>
      <c r="H1232" s="8"/>
      <c r="I1232" s="107">
        <v>0</v>
      </c>
      <c r="J1232" s="8" t="s">
        <v>3695</v>
      </c>
    </row>
    <row r="1233" spans="1:10" ht="16.5" customHeight="1" x14ac:dyDescent="0.25">
      <c r="A1233" s="8" t="s">
        <v>5668</v>
      </c>
      <c r="B1233" s="8" t="s">
        <v>5669</v>
      </c>
      <c r="C1233" s="8" t="s">
        <v>5670</v>
      </c>
      <c r="D1233" s="8" t="s">
        <v>5669</v>
      </c>
      <c r="E1233" s="105">
        <v>0.15</v>
      </c>
      <c r="F1233" s="106" t="s">
        <v>2024</v>
      </c>
      <c r="G1233" s="8"/>
      <c r="H1233" s="8"/>
      <c r="I1233" s="107">
        <v>0</v>
      </c>
      <c r="J1233" s="8" t="s">
        <v>5671</v>
      </c>
    </row>
    <row r="1234" spans="1:10" ht="16.5" customHeight="1" x14ac:dyDescent="0.25">
      <c r="A1234" s="8" t="s">
        <v>5672</v>
      </c>
      <c r="B1234" s="8" t="s">
        <v>5673</v>
      </c>
      <c r="C1234" s="8" t="s">
        <v>5674</v>
      </c>
      <c r="D1234" s="8" t="s">
        <v>5673</v>
      </c>
      <c r="E1234" s="105">
        <v>1</v>
      </c>
      <c r="F1234" s="106" t="s">
        <v>2024</v>
      </c>
      <c r="G1234" s="8"/>
      <c r="H1234" s="8"/>
      <c r="I1234" s="107">
        <v>0</v>
      </c>
      <c r="J1234" s="8" t="s">
        <v>5671</v>
      </c>
    </row>
    <row r="1235" spans="1:10" ht="16.5" customHeight="1" x14ac:dyDescent="0.25">
      <c r="A1235" s="8" t="s">
        <v>5675</v>
      </c>
      <c r="B1235" s="8" t="s">
        <v>5676</v>
      </c>
      <c r="C1235" s="8" t="s">
        <v>5677</v>
      </c>
      <c r="D1235" s="8" t="s">
        <v>5676</v>
      </c>
      <c r="E1235" s="105">
        <v>0.5</v>
      </c>
      <c r="F1235" s="106" t="s">
        <v>2024</v>
      </c>
      <c r="G1235" s="8"/>
      <c r="H1235" s="8"/>
      <c r="I1235" s="107">
        <v>0</v>
      </c>
      <c r="J1235" s="8" t="s">
        <v>5671</v>
      </c>
    </row>
    <row r="1236" spans="1:10" ht="16.5" customHeight="1" x14ac:dyDescent="0.25">
      <c r="A1236" s="8" t="s">
        <v>5678</v>
      </c>
      <c r="B1236" s="8" t="s">
        <v>5679</v>
      </c>
      <c r="C1236" s="8" t="s">
        <v>5680</v>
      </c>
      <c r="D1236" s="8" t="s">
        <v>5679</v>
      </c>
      <c r="E1236" s="105">
        <v>0.4</v>
      </c>
      <c r="F1236" s="106" t="s">
        <v>2024</v>
      </c>
      <c r="G1236" s="8"/>
      <c r="H1236" s="8"/>
      <c r="I1236" s="107">
        <v>0</v>
      </c>
      <c r="J1236" s="8" t="s">
        <v>5671</v>
      </c>
    </row>
    <row r="1237" spans="1:10" ht="16.5" customHeight="1" x14ac:dyDescent="0.25">
      <c r="A1237" s="8" t="s">
        <v>5681</v>
      </c>
      <c r="B1237" s="8" t="s">
        <v>5682</v>
      </c>
      <c r="C1237" s="8" t="s">
        <v>5683</v>
      </c>
      <c r="D1237" s="8" t="s">
        <v>5682</v>
      </c>
      <c r="E1237" s="105">
        <v>0.4</v>
      </c>
      <c r="F1237" s="106" t="s">
        <v>2024</v>
      </c>
      <c r="G1237" s="8"/>
      <c r="H1237" s="8"/>
      <c r="I1237" s="107">
        <v>0</v>
      </c>
      <c r="J1237" s="8" t="s">
        <v>5671</v>
      </c>
    </row>
    <row r="1238" spans="1:10" ht="16.5" customHeight="1" x14ac:dyDescent="0.25">
      <c r="A1238" s="8" t="s">
        <v>5684</v>
      </c>
      <c r="B1238" s="8" t="s">
        <v>5685</v>
      </c>
      <c r="C1238" s="8" t="s">
        <v>5670</v>
      </c>
      <c r="D1238" s="8" t="s">
        <v>5685</v>
      </c>
      <c r="E1238" s="105">
        <v>3.6</v>
      </c>
      <c r="F1238" s="106" t="s">
        <v>2024</v>
      </c>
      <c r="G1238" s="8"/>
      <c r="H1238" s="8"/>
      <c r="I1238" s="107">
        <v>0</v>
      </c>
      <c r="J1238" s="8" t="s">
        <v>5671</v>
      </c>
    </row>
    <row r="1239" spans="1:10" ht="16.5" customHeight="1" x14ac:dyDescent="0.25">
      <c r="A1239" s="8" t="s">
        <v>5686</v>
      </c>
      <c r="B1239" s="8" t="s">
        <v>5687</v>
      </c>
      <c r="C1239" s="8" t="s">
        <v>5674</v>
      </c>
      <c r="D1239" s="8" t="s">
        <v>5687</v>
      </c>
      <c r="E1239" s="105">
        <v>10</v>
      </c>
      <c r="F1239" s="106" t="s">
        <v>2024</v>
      </c>
      <c r="G1239" s="8"/>
      <c r="H1239" s="8"/>
      <c r="I1239" s="107">
        <v>0</v>
      </c>
      <c r="J1239" s="8" t="s">
        <v>5671</v>
      </c>
    </row>
    <row r="1240" spans="1:10" ht="16.5" customHeight="1" x14ac:dyDescent="0.25">
      <c r="A1240" s="8" t="s">
        <v>5688</v>
      </c>
      <c r="B1240" s="8" t="s">
        <v>5689</v>
      </c>
      <c r="C1240" s="8" t="s">
        <v>5677</v>
      </c>
      <c r="D1240" s="8" t="s">
        <v>5689</v>
      </c>
      <c r="E1240" s="105">
        <v>3</v>
      </c>
      <c r="F1240" s="106" t="s">
        <v>2024</v>
      </c>
      <c r="G1240" s="8"/>
      <c r="H1240" s="8"/>
      <c r="I1240" s="107">
        <v>0</v>
      </c>
      <c r="J1240" s="8" t="s">
        <v>5671</v>
      </c>
    </row>
    <row r="1241" spans="1:10" ht="16.5" customHeight="1" x14ac:dyDescent="0.25">
      <c r="A1241" s="8" t="s">
        <v>5690</v>
      </c>
      <c r="B1241" s="8" t="s">
        <v>5691</v>
      </c>
      <c r="C1241" s="8" t="s">
        <v>5680</v>
      </c>
      <c r="D1241" s="8" t="s">
        <v>5691</v>
      </c>
      <c r="E1241" s="105">
        <v>2.4</v>
      </c>
      <c r="F1241" s="106" t="s">
        <v>2024</v>
      </c>
      <c r="G1241" s="8"/>
      <c r="H1241" s="8"/>
      <c r="I1241" s="107">
        <v>0</v>
      </c>
      <c r="J1241" s="8" t="s">
        <v>5671</v>
      </c>
    </row>
    <row r="1242" spans="1:10" ht="16.5" customHeight="1" x14ac:dyDescent="0.25">
      <c r="A1242" s="8" t="s">
        <v>5692</v>
      </c>
      <c r="B1242" s="8" t="s">
        <v>5693</v>
      </c>
      <c r="C1242" s="8" t="s">
        <v>5683</v>
      </c>
      <c r="D1242" s="8" t="s">
        <v>5693</v>
      </c>
      <c r="E1242" s="105">
        <v>2.4</v>
      </c>
      <c r="F1242" s="106" t="s">
        <v>2024</v>
      </c>
      <c r="G1242" s="8"/>
      <c r="H1242" s="8"/>
      <c r="I1242" s="107">
        <v>0</v>
      </c>
      <c r="J1242" s="8" t="s">
        <v>5671</v>
      </c>
    </row>
    <row r="1243" spans="1:10" ht="16.5" customHeight="1" x14ac:dyDescent="0.25">
      <c r="A1243" s="8" t="s">
        <v>5694</v>
      </c>
      <c r="B1243" s="8" t="s">
        <v>5695</v>
      </c>
      <c r="C1243" s="8" t="s">
        <v>5696</v>
      </c>
      <c r="D1243" s="8" t="s">
        <v>5695</v>
      </c>
      <c r="E1243" s="105">
        <v>20</v>
      </c>
      <c r="F1243" s="106" t="s">
        <v>2018</v>
      </c>
      <c r="G1243" s="8"/>
      <c r="H1243" s="8"/>
      <c r="I1243" s="107">
        <v>0</v>
      </c>
      <c r="J1243" s="8"/>
    </row>
    <row r="1244" spans="1:10" ht="16.5" customHeight="1" x14ac:dyDescent="0.25">
      <c r="A1244" s="8" t="s">
        <v>5697</v>
      </c>
      <c r="B1244" s="8" t="s">
        <v>5698</v>
      </c>
      <c r="C1244" s="8" t="s">
        <v>5699</v>
      </c>
      <c r="D1244" s="8" t="s">
        <v>5700</v>
      </c>
      <c r="E1244" s="105">
        <v>1</v>
      </c>
      <c r="F1244" s="106" t="s">
        <v>2024</v>
      </c>
      <c r="G1244" s="8"/>
      <c r="H1244" s="8"/>
      <c r="I1244" s="107">
        <v>0</v>
      </c>
      <c r="J1244" s="8" t="s">
        <v>3695</v>
      </c>
    </row>
    <row r="1245" spans="1:10" ht="16.5" customHeight="1" x14ac:dyDescent="0.25">
      <c r="A1245" s="8" t="s">
        <v>5701</v>
      </c>
      <c r="B1245" s="8" t="s">
        <v>5702</v>
      </c>
      <c r="C1245" s="8" t="s">
        <v>5703</v>
      </c>
      <c r="D1245" s="8" t="s">
        <v>5702</v>
      </c>
      <c r="E1245" s="105">
        <v>185</v>
      </c>
      <c r="F1245" s="106" t="s">
        <v>2024</v>
      </c>
      <c r="G1245" s="8"/>
      <c r="H1245" s="8"/>
      <c r="I1245" s="107">
        <v>0</v>
      </c>
      <c r="J1245" s="8" t="s">
        <v>2019</v>
      </c>
    </row>
    <row r="1246" spans="1:10" ht="16.5" customHeight="1" x14ac:dyDescent="0.25">
      <c r="A1246" s="8" t="s">
        <v>5704</v>
      </c>
      <c r="B1246" s="8" t="s">
        <v>5705</v>
      </c>
      <c r="C1246" s="8" t="s">
        <v>5706</v>
      </c>
      <c r="D1246" s="8" t="s">
        <v>5705</v>
      </c>
      <c r="E1246" s="105">
        <v>0.91</v>
      </c>
      <c r="F1246" s="106" t="s">
        <v>2018</v>
      </c>
      <c r="G1246" s="8"/>
      <c r="H1246" s="8"/>
      <c r="I1246" s="107">
        <v>0</v>
      </c>
      <c r="J1246" s="8" t="s">
        <v>2019</v>
      </c>
    </row>
    <row r="1247" spans="1:10" ht="16.5" customHeight="1" x14ac:dyDescent="0.25">
      <c r="A1247" s="8" t="s">
        <v>5707</v>
      </c>
      <c r="B1247" s="8" t="s">
        <v>5708</v>
      </c>
      <c r="C1247" s="8" t="s">
        <v>5709</v>
      </c>
      <c r="D1247" s="8" t="s">
        <v>5708</v>
      </c>
      <c r="E1247" s="105">
        <v>0</v>
      </c>
      <c r="F1247" s="106" t="s">
        <v>2024</v>
      </c>
      <c r="G1247" s="8"/>
      <c r="H1247" s="8"/>
      <c r="I1247" s="107">
        <v>0</v>
      </c>
      <c r="J1247" s="8" t="s">
        <v>4722</v>
      </c>
    </row>
    <row r="1248" spans="1:10" ht="16.5" customHeight="1" x14ac:dyDescent="0.25">
      <c r="A1248" s="8" t="s">
        <v>5710</v>
      </c>
      <c r="B1248" s="8" t="s">
        <v>5711</v>
      </c>
      <c r="C1248" s="8" t="s">
        <v>5712</v>
      </c>
      <c r="D1248" s="8" t="s">
        <v>5711</v>
      </c>
      <c r="E1248" s="105">
        <v>0</v>
      </c>
      <c r="F1248" s="106" t="s">
        <v>2024</v>
      </c>
      <c r="G1248" s="8"/>
      <c r="H1248" s="8"/>
      <c r="I1248" s="107">
        <v>0</v>
      </c>
      <c r="J1248" s="8" t="s">
        <v>4722</v>
      </c>
    </row>
    <row r="1249" spans="1:10" ht="16.5" customHeight="1" x14ac:dyDescent="0.25">
      <c r="A1249" s="8" t="s">
        <v>5713</v>
      </c>
      <c r="B1249" s="8" t="s">
        <v>5714</v>
      </c>
      <c r="C1249" s="8" t="s">
        <v>5715</v>
      </c>
      <c r="D1249" s="8" t="s">
        <v>5714</v>
      </c>
      <c r="E1249" s="105">
        <v>0</v>
      </c>
      <c r="F1249" s="106" t="s">
        <v>2024</v>
      </c>
      <c r="G1249" s="8"/>
      <c r="H1249" s="8"/>
      <c r="I1249" s="107">
        <v>0</v>
      </c>
      <c r="J1249" s="8" t="s">
        <v>4722</v>
      </c>
    </row>
    <row r="1250" spans="1:10" ht="16.5" customHeight="1" x14ac:dyDescent="0.25">
      <c r="A1250" s="8" t="s">
        <v>5716</v>
      </c>
      <c r="B1250" s="8" t="s">
        <v>5717</v>
      </c>
      <c r="C1250" s="8" t="s">
        <v>5718</v>
      </c>
      <c r="D1250" s="8" t="s">
        <v>5717</v>
      </c>
      <c r="E1250" s="105">
        <v>0</v>
      </c>
      <c r="F1250" s="106" t="s">
        <v>2024</v>
      </c>
      <c r="G1250" s="8"/>
      <c r="H1250" s="8"/>
      <c r="I1250" s="107">
        <v>0</v>
      </c>
      <c r="J1250" s="8" t="s">
        <v>4722</v>
      </c>
    </row>
    <row r="1251" spans="1:10" ht="16.5" customHeight="1" x14ac:dyDescent="0.25">
      <c r="A1251" s="8" t="s">
        <v>5719</v>
      </c>
      <c r="B1251" s="8" t="s">
        <v>5720</v>
      </c>
      <c r="C1251" s="8" t="s">
        <v>5721</v>
      </c>
      <c r="D1251" s="8" t="s">
        <v>5720</v>
      </c>
      <c r="E1251" s="105">
        <v>0</v>
      </c>
      <c r="F1251" s="106" t="s">
        <v>2024</v>
      </c>
      <c r="G1251" s="8"/>
      <c r="H1251" s="8"/>
      <c r="I1251" s="107">
        <v>0</v>
      </c>
      <c r="J1251" s="8" t="s">
        <v>4722</v>
      </c>
    </row>
    <row r="1252" spans="1:10" ht="16.5" customHeight="1" x14ac:dyDescent="0.25">
      <c r="A1252" s="8" t="s">
        <v>5722</v>
      </c>
      <c r="B1252" s="8" t="s">
        <v>4787</v>
      </c>
      <c r="C1252" s="8" t="s">
        <v>4788</v>
      </c>
      <c r="D1252" s="8" t="s">
        <v>4787</v>
      </c>
      <c r="E1252" s="105">
        <v>12.8</v>
      </c>
      <c r="F1252" s="106" t="s">
        <v>2024</v>
      </c>
      <c r="G1252" s="8"/>
      <c r="H1252" s="8"/>
      <c r="I1252" s="107">
        <v>0</v>
      </c>
      <c r="J1252" s="8" t="s">
        <v>4789</v>
      </c>
    </row>
    <row r="1253" spans="1:10" ht="16.5" customHeight="1" x14ac:dyDescent="0.25">
      <c r="A1253" s="8" t="s">
        <v>5723</v>
      </c>
      <c r="B1253" s="8" t="s">
        <v>4791</v>
      </c>
      <c r="C1253" s="8" t="s">
        <v>4792</v>
      </c>
      <c r="D1253" s="8" t="s">
        <v>4791</v>
      </c>
      <c r="E1253" s="105">
        <v>6.6</v>
      </c>
      <c r="F1253" s="106" t="s">
        <v>2024</v>
      </c>
      <c r="G1253" s="8"/>
      <c r="H1253" s="8"/>
      <c r="I1253" s="107">
        <v>0</v>
      </c>
      <c r="J1253" s="8" t="s">
        <v>4789</v>
      </c>
    </row>
    <row r="1254" spans="1:10" ht="16.5" customHeight="1" x14ac:dyDescent="0.25">
      <c r="A1254" s="8" t="s">
        <v>5724</v>
      </c>
      <c r="B1254" s="8" t="s">
        <v>4794</v>
      </c>
      <c r="C1254" s="8" t="s">
        <v>4795</v>
      </c>
      <c r="D1254" s="8" t="s">
        <v>4794</v>
      </c>
      <c r="E1254" s="105">
        <v>6.6</v>
      </c>
      <c r="F1254" s="106" t="s">
        <v>2024</v>
      </c>
      <c r="G1254" s="8"/>
      <c r="H1254" s="8"/>
      <c r="I1254" s="107">
        <v>0</v>
      </c>
      <c r="J1254" s="8" t="s">
        <v>4789</v>
      </c>
    </row>
    <row r="1255" spans="1:10" ht="16.5" customHeight="1" x14ac:dyDescent="0.25">
      <c r="A1255" s="8" t="s">
        <v>5725</v>
      </c>
      <c r="B1255" s="8" t="s">
        <v>4797</v>
      </c>
      <c r="C1255" s="8" t="s">
        <v>4798</v>
      </c>
      <c r="D1255" s="8" t="s">
        <v>4797</v>
      </c>
      <c r="E1255" s="105">
        <v>10.199999999999999</v>
      </c>
      <c r="F1255" s="106" t="s">
        <v>2024</v>
      </c>
      <c r="G1255" s="8"/>
      <c r="H1255" s="8"/>
      <c r="I1255" s="107">
        <v>0</v>
      </c>
      <c r="J1255" s="8" t="s">
        <v>4789</v>
      </c>
    </row>
    <row r="1256" spans="1:10" ht="16.5" customHeight="1" x14ac:dyDescent="0.25">
      <c r="A1256" s="8" t="s">
        <v>5726</v>
      </c>
      <c r="B1256" s="8" t="s">
        <v>4800</v>
      </c>
      <c r="C1256" s="8" t="s">
        <v>4801</v>
      </c>
      <c r="D1256" s="8" t="s">
        <v>4800</v>
      </c>
      <c r="E1256" s="105">
        <v>5.5</v>
      </c>
      <c r="F1256" s="106" t="s">
        <v>2024</v>
      </c>
      <c r="G1256" s="8"/>
      <c r="H1256" s="8"/>
      <c r="I1256" s="107">
        <v>0</v>
      </c>
      <c r="J1256" s="8" t="s">
        <v>4789</v>
      </c>
    </row>
    <row r="1257" spans="1:10" ht="16.5" customHeight="1" x14ac:dyDescent="0.25">
      <c r="A1257" s="8" t="s">
        <v>5727</v>
      </c>
      <c r="B1257" s="8" t="s">
        <v>4803</v>
      </c>
      <c r="C1257" s="8" t="s">
        <v>4804</v>
      </c>
      <c r="D1257" s="8" t="s">
        <v>4803</v>
      </c>
      <c r="E1257" s="105">
        <v>9</v>
      </c>
      <c r="F1257" s="106" t="s">
        <v>2024</v>
      </c>
      <c r="G1257" s="8"/>
      <c r="H1257" s="8"/>
      <c r="I1257" s="107">
        <v>0</v>
      </c>
      <c r="J1257" s="8" t="s">
        <v>4789</v>
      </c>
    </row>
    <row r="1258" spans="1:10" ht="16.5" customHeight="1" x14ac:dyDescent="0.25">
      <c r="A1258" s="8" t="s">
        <v>5728</v>
      </c>
      <c r="B1258" s="8" t="s">
        <v>4806</v>
      </c>
      <c r="C1258" s="8" t="s">
        <v>4788</v>
      </c>
      <c r="D1258" s="8" t="s">
        <v>4806</v>
      </c>
      <c r="E1258" s="105">
        <v>0.53300000000000003</v>
      </c>
      <c r="F1258" s="106" t="s">
        <v>2024</v>
      </c>
      <c r="G1258" s="8"/>
      <c r="H1258" s="8"/>
      <c r="I1258" s="107">
        <v>0</v>
      </c>
      <c r="J1258" s="8" t="s">
        <v>4789</v>
      </c>
    </row>
    <row r="1259" spans="1:10" ht="16.5" customHeight="1" x14ac:dyDescent="0.25">
      <c r="A1259" s="8" t="s">
        <v>5729</v>
      </c>
      <c r="B1259" s="8" t="s">
        <v>4808</v>
      </c>
      <c r="C1259" s="8" t="s">
        <v>4792</v>
      </c>
      <c r="D1259" s="8" t="s">
        <v>4808</v>
      </c>
      <c r="E1259" s="105">
        <v>0.27500000000000002</v>
      </c>
      <c r="F1259" s="106" t="s">
        <v>2024</v>
      </c>
      <c r="G1259" s="8"/>
      <c r="H1259" s="8"/>
      <c r="I1259" s="107">
        <v>0</v>
      </c>
      <c r="J1259" s="8" t="s">
        <v>4789</v>
      </c>
    </row>
    <row r="1260" spans="1:10" ht="16.5" customHeight="1" x14ac:dyDescent="0.25">
      <c r="A1260" s="8" t="s">
        <v>5730</v>
      </c>
      <c r="B1260" s="8" t="s">
        <v>4810</v>
      </c>
      <c r="C1260" s="8" t="s">
        <v>4795</v>
      </c>
      <c r="D1260" s="8" t="s">
        <v>4810</v>
      </c>
      <c r="E1260" s="105">
        <v>0.27500000000000002</v>
      </c>
      <c r="F1260" s="106" t="s">
        <v>2024</v>
      </c>
      <c r="G1260" s="8"/>
      <c r="H1260" s="8"/>
      <c r="I1260" s="107">
        <v>0</v>
      </c>
      <c r="J1260" s="8" t="s">
        <v>4789</v>
      </c>
    </row>
    <row r="1261" spans="1:10" ht="16.5" customHeight="1" x14ac:dyDescent="0.25">
      <c r="A1261" s="8" t="s">
        <v>5731</v>
      </c>
      <c r="B1261" s="8" t="s">
        <v>4812</v>
      </c>
      <c r="C1261" s="8" t="s">
        <v>4798</v>
      </c>
      <c r="D1261" s="8" t="s">
        <v>4812</v>
      </c>
      <c r="E1261" s="105">
        <v>0.34</v>
      </c>
      <c r="F1261" s="106" t="s">
        <v>2024</v>
      </c>
      <c r="G1261" s="8"/>
      <c r="H1261" s="8"/>
      <c r="I1261" s="107">
        <v>0</v>
      </c>
      <c r="J1261" s="8" t="s">
        <v>4789</v>
      </c>
    </row>
    <row r="1262" spans="1:10" ht="16.5" customHeight="1" x14ac:dyDescent="0.25">
      <c r="A1262" s="8" t="s">
        <v>5732</v>
      </c>
      <c r="B1262" s="8" t="s">
        <v>4814</v>
      </c>
      <c r="C1262" s="8" t="s">
        <v>4801</v>
      </c>
      <c r="D1262" s="8" t="s">
        <v>4814</v>
      </c>
      <c r="E1262" s="105">
        <v>0.23</v>
      </c>
      <c r="F1262" s="106" t="s">
        <v>2024</v>
      </c>
      <c r="G1262" s="8"/>
      <c r="H1262" s="8"/>
      <c r="I1262" s="107">
        <v>0</v>
      </c>
      <c r="J1262" s="8" t="s">
        <v>4789</v>
      </c>
    </row>
    <row r="1263" spans="1:10" ht="16.5" customHeight="1" x14ac:dyDescent="0.25">
      <c r="A1263" s="8" t="s">
        <v>5733</v>
      </c>
      <c r="B1263" s="8" t="s">
        <v>4816</v>
      </c>
      <c r="C1263" s="8" t="s">
        <v>4804</v>
      </c>
      <c r="D1263" s="8" t="s">
        <v>4816</v>
      </c>
      <c r="E1263" s="105">
        <v>0.45</v>
      </c>
      <c r="F1263" s="106" t="s">
        <v>2024</v>
      </c>
      <c r="G1263" s="8"/>
      <c r="H1263" s="8"/>
      <c r="I1263" s="107">
        <v>0</v>
      </c>
      <c r="J1263" s="8" t="s">
        <v>4789</v>
      </c>
    </row>
    <row r="1264" spans="1:10" ht="16.5" customHeight="1" x14ac:dyDescent="0.25">
      <c r="A1264" s="8" t="s">
        <v>5734</v>
      </c>
      <c r="B1264" s="8" t="s">
        <v>4856</v>
      </c>
      <c r="C1264" s="8" t="s">
        <v>4857</v>
      </c>
      <c r="D1264" s="8" t="s">
        <v>4856</v>
      </c>
      <c r="E1264" s="105">
        <v>20.8</v>
      </c>
      <c r="F1264" s="106" t="s">
        <v>2024</v>
      </c>
      <c r="G1264" s="8"/>
      <c r="H1264" s="8"/>
      <c r="I1264" s="107">
        <v>0</v>
      </c>
      <c r="J1264" s="8" t="s">
        <v>4789</v>
      </c>
    </row>
    <row r="1265" spans="1:10" ht="16.5" customHeight="1" x14ac:dyDescent="0.25">
      <c r="A1265" s="8" t="s">
        <v>5735</v>
      </c>
      <c r="B1265" s="8" t="s">
        <v>4859</v>
      </c>
      <c r="C1265" s="8" t="s">
        <v>4857</v>
      </c>
      <c r="D1265" s="8" t="s">
        <v>4859</v>
      </c>
      <c r="E1265" s="105">
        <v>5.2</v>
      </c>
      <c r="F1265" s="106" t="s">
        <v>2024</v>
      </c>
      <c r="G1265" s="8"/>
      <c r="H1265" s="8"/>
      <c r="I1265" s="107">
        <v>0</v>
      </c>
      <c r="J1265" s="8" t="s">
        <v>4789</v>
      </c>
    </row>
    <row r="1266" spans="1:10" ht="16.5" customHeight="1" x14ac:dyDescent="0.25">
      <c r="A1266" s="8" t="s">
        <v>5736</v>
      </c>
      <c r="B1266" s="8" t="s">
        <v>4871</v>
      </c>
      <c r="C1266" s="8" t="s">
        <v>4872</v>
      </c>
      <c r="D1266" s="8" t="s">
        <v>4871</v>
      </c>
      <c r="E1266" s="105">
        <v>5.9</v>
      </c>
      <c r="F1266" s="106" t="s">
        <v>2024</v>
      </c>
      <c r="G1266" s="8"/>
      <c r="H1266" s="8"/>
      <c r="I1266" s="107">
        <v>0</v>
      </c>
      <c r="J1266" s="8" t="s">
        <v>4789</v>
      </c>
    </row>
    <row r="1267" spans="1:10" ht="16.5" customHeight="1" x14ac:dyDescent="0.25">
      <c r="A1267" s="8" t="s">
        <v>5737</v>
      </c>
      <c r="B1267" s="8" t="s">
        <v>4874</v>
      </c>
      <c r="C1267" s="8" t="s">
        <v>4872</v>
      </c>
      <c r="D1267" s="8" t="s">
        <v>4874</v>
      </c>
      <c r="E1267" s="105">
        <v>0.29499999999999998</v>
      </c>
      <c r="F1267" s="106" t="s">
        <v>2024</v>
      </c>
      <c r="G1267" s="8"/>
      <c r="H1267" s="8"/>
      <c r="I1267" s="107">
        <v>0</v>
      </c>
      <c r="J1267" s="8" t="s">
        <v>4789</v>
      </c>
    </row>
    <row r="1268" spans="1:10" ht="16.5" customHeight="1" x14ac:dyDescent="0.25">
      <c r="A1268" s="8" t="s">
        <v>5738</v>
      </c>
      <c r="B1268" s="8" t="s">
        <v>4876</v>
      </c>
      <c r="C1268" s="8" t="s">
        <v>4877</v>
      </c>
      <c r="D1268" s="8" t="s">
        <v>4876</v>
      </c>
      <c r="E1268" s="105">
        <v>12.6</v>
      </c>
      <c r="F1268" s="106" t="s">
        <v>2024</v>
      </c>
      <c r="G1268" s="8"/>
      <c r="H1268" s="8"/>
      <c r="I1268" s="107">
        <v>0</v>
      </c>
      <c r="J1268" s="8" t="s">
        <v>4789</v>
      </c>
    </row>
    <row r="1269" spans="1:10" ht="16.5" customHeight="1" x14ac:dyDescent="0.25">
      <c r="A1269" s="8" t="s">
        <v>5739</v>
      </c>
      <c r="B1269" s="8" t="s">
        <v>4879</v>
      </c>
      <c r="C1269" s="8" t="s">
        <v>4877</v>
      </c>
      <c r="D1269" s="8" t="s">
        <v>4879</v>
      </c>
      <c r="E1269" s="105">
        <v>2.1</v>
      </c>
      <c r="F1269" s="106" t="s">
        <v>2024</v>
      </c>
      <c r="G1269" s="8"/>
      <c r="H1269" s="8"/>
      <c r="I1269" s="107">
        <v>0</v>
      </c>
      <c r="J1269" s="8" t="s">
        <v>4789</v>
      </c>
    </row>
    <row r="1270" spans="1:10" ht="16.5" customHeight="1" x14ac:dyDescent="0.25">
      <c r="A1270" s="8" t="s">
        <v>5740</v>
      </c>
      <c r="B1270" s="8" t="s">
        <v>4922</v>
      </c>
      <c r="C1270" s="8" t="s">
        <v>4923</v>
      </c>
      <c r="D1270" s="8" t="s">
        <v>4922</v>
      </c>
      <c r="E1270" s="105">
        <v>8</v>
      </c>
      <c r="F1270" s="106" t="s">
        <v>2024</v>
      </c>
      <c r="G1270" s="8"/>
      <c r="H1270" s="8"/>
      <c r="I1270" s="107">
        <v>0</v>
      </c>
      <c r="J1270" s="8" t="s">
        <v>4789</v>
      </c>
    </row>
    <row r="1271" spans="1:10" ht="16.5" customHeight="1" x14ac:dyDescent="0.25">
      <c r="A1271" s="8" t="s">
        <v>5741</v>
      </c>
      <c r="B1271" s="8" t="s">
        <v>4925</v>
      </c>
      <c r="C1271" s="8" t="s">
        <v>4923</v>
      </c>
      <c r="D1271" s="8" t="s">
        <v>4925</v>
      </c>
      <c r="E1271" s="105">
        <v>0.26500000000000001</v>
      </c>
      <c r="F1271" s="106" t="s">
        <v>2024</v>
      </c>
      <c r="G1271" s="8"/>
      <c r="H1271" s="8"/>
      <c r="I1271" s="107">
        <v>0</v>
      </c>
      <c r="J1271" s="8" t="s">
        <v>4789</v>
      </c>
    </row>
    <row r="1272" spans="1:10" ht="16.5" customHeight="1" x14ac:dyDescent="0.25">
      <c r="A1272" s="8" t="s">
        <v>5742</v>
      </c>
      <c r="B1272" s="8" t="s">
        <v>4927</v>
      </c>
      <c r="C1272" s="8" t="s">
        <v>4928</v>
      </c>
      <c r="D1272" s="8" t="s">
        <v>4927</v>
      </c>
      <c r="E1272" s="105">
        <v>10.199999999999999</v>
      </c>
      <c r="F1272" s="106" t="s">
        <v>2024</v>
      </c>
      <c r="G1272" s="8"/>
      <c r="H1272" s="8"/>
      <c r="I1272" s="107">
        <v>0</v>
      </c>
      <c r="J1272" s="8" t="s">
        <v>4789</v>
      </c>
    </row>
    <row r="1273" spans="1:10" ht="16.5" customHeight="1" x14ac:dyDescent="0.25">
      <c r="A1273" s="8" t="s">
        <v>5743</v>
      </c>
      <c r="B1273" s="8" t="s">
        <v>4930</v>
      </c>
      <c r="C1273" s="8" t="s">
        <v>4928</v>
      </c>
      <c r="D1273" s="8" t="s">
        <v>4930</v>
      </c>
      <c r="E1273" s="105">
        <v>0.34</v>
      </c>
      <c r="F1273" s="106" t="s">
        <v>2024</v>
      </c>
      <c r="G1273" s="8"/>
      <c r="H1273" s="8"/>
      <c r="I1273" s="107">
        <v>0</v>
      </c>
      <c r="J1273" s="8" t="s">
        <v>4789</v>
      </c>
    </row>
    <row r="1274" spans="1:10" ht="16.5" customHeight="1" x14ac:dyDescent="0.25">
      <c r="A1274" s="8" t="s">
        <v>5744</v>
      </c>
      <c r="B1274" s="8" t="s">
        <v>4932</v>
      </c>
      <c r="C1274" s="8" t="s">
        <v>4933</v>
      </c>
      <c r="D1274" s="8" t="s">
        <v>4932</v>
      </c>
      <c r="E1274" s="105">
        <v>5.4</v>
      </c>
      <c r="F1274" s="106" t="s">
        <v>2024</v>
      </c>
      <c r="G1274" s="8"/>
      <c r="H1274" s="8"/>
      <c r="I1274" s="107">
        <v>0</v>
      </c>
      <c r="J1274" s="8" t="s">
        <v>4789</v>
      </c>
    </row>
    <row r="1275" spans="1:10" ht="16.5" customHeight="1" x14ac:dyDescent="0.25">
      <c r="A1275" s="8" t="s">
        <v>5745</v>
      </c>
      <c r="B1275" s="8" t="s">
        <v>4935</v>
      </c>
      <c r="C1275" s="8" t="s">
        <v>4933</v>
      </c>
      <c r="D1275" s="8" t="s">
        <v>4935</v>
      </c>
      <c r="E1275" s="105">
        <v>0.09</v>
      </c>
      <c r="F1275" s="106" t="s">
        <v>2024</v>
      </c>
      <c r="G1275" s="8"/>
      <c r="H1275" s="8"/>
      <c r="I1275" s="107">
        <v>0</v>
      </c>
      <c r="J1275" s="8" t="s">
        <v>4789</v>
      </c>
    </row>
    <row r="1276" spans="1:10" ht="16.5" customHeight="1" x14ac:dyDescent="0.25">
      <c r="A1276" s="8" t="s">
        <v>5746</v>
      </c>
      <c r="B1276" s="8" t="s">
        <v>4937</v>
      </c>
      <c r="C1276" s="8" t="s">
        <v>4938</v>
      </c>
      <c r="D1276" s="8" t="s">
        <v>4937</v>
      </c>
      <c r="E1276" s="105">
        <v>8</v>
      </c>
      <c r="F1276" s="106" t="s">
        <v>2024</v>
      </c>
      <c r="G1276" s="8"/>
      <c r="H1276" s="8"/>
      <c r="I1276" s="107">
        <v>0</v>
      </c>
      <c r="J1276" s="8" t="s">
        <v>4789</v>
      </c>
    </row>
    <row r="1277" spans="1:10" ht="16.5" customHeight="1" x14ac:dyDescent="0.25">
      <c r="A1277" s="8" t="s">
        <v>5747</v>
      </c>
      <c r="B1277" s="8" t="s">
        <v>4940</v>
      </c>
      <c r="C1277" s="8" t="s">
        <v>4938</v>
      </c>
      <c r="D1277" s="8" t="s">
        <v>4940</v>
      </c>
      <c r="E1277" s="105">
        <v>0.26500000000000001</v>
      </c>
      <c r="F1277" s="106" t="s">
        <v>2024</v>
      </c>
      <c r="G1277" s="8"/>
      <c r="H1277" s="8"/>
      <c r="I1277" s="107">
        <v>0</v>
      </c>
      <c r="J1277" s="8" t="s">
        <v>4789</v>
      </c>
    </row>
    <row r="1278" spans="1:10" ht="16.5" customHeight="1" x14ac:dyDescent="0.25">
      <c r="A1278" s="8" t="s">
        <v>5748</v>
      </c>
      <c r="B1278" s="8" t="s">
        <v>5177</v>
      </c>
      <c r="C1278" s="8" t="s">
        <v>5178</v>
      </c>
      <c r="D1278" s="8" t="s">
        <v>5177</v>
      </c>
      <c r="E1278" s="105">
        <v>7.5</v>
      </c>
      <c r="F1278" s="106" t="s">
        <v>2024</v>
      </c>
      <c r="G1278" s="8"/>
      <c r="H1278" s="8"/>
      <c r="I1278" s="107">
        <v>0</v>
      </c>
      <c r="J1278" s="8" t="s">
        <v>4789</v>
      </c>
    </row>
    <row r="1279" spans="1:10" ht="16.5" customHeight="1" x14ac:dyDescent="0.25">
      <c r="A1279" s="8" t="s">
        <v>5749</v>
      </c>
      <c r="B1279" s="8" t="s">
        <v>5180</v>
      </c>
      <c r="C1279" s="8" t="s">
        <v>5178</v>
      </c>
      <c r="D1279" s="8" t="s">
        <v>5180</v>
      </c>
      <c r="E1279" s="105">
        <v>0.25</v>
      </c>
      <c r="F1279" s="106" t="s">
        <v>2024</v>
      </c>
      <c r="G1279" s="8"/>
      <c r="H1279" s="8"/>
      <c r="I1279" s="107">
        <v>0</v>
      </c>
      <c r="J1279" s="8" t="s">
        <v>4789</v>
      </c>
    </row>
    <row r="1280" spans="1:10" ht="16.5" customHeight="1" x14ac:dyDescent="0.25">
      <c r="A1280" s="8" t="s">
        <v>5750</v>
      </c>
      <c r="B1280" s="8" t="s">
        <v>5751</v>
      </c>
      <c r="C1280" s="8" t="s">
        <v>5279</v>
      </c>
      <c r="D1280" s="8" t="s">
        <v>5751</v>
      </c>
      <c r="E1280" s="105">
        <v>1</v>
      </c>
      <c r="F1280" s="106" t="s">
        <v>2024</v>
      </c>
      <c r="G1280" s="8"/>
      <c r="H1280" s="8"/>
      <c r="I1280" s="107">
        <v>0</v>
      </c>
      <c r="J1280" s="8" t="s">
        <v>3580</v>
      </c>
    </row>
    <row r="1281" spans="1:10" ht="16.5" customHeight="1" x14ac:dyDescent="0.25">
      <c r="A1281" s="8" t="s">
        <v>5752</v>
      </c>
      <c r="B1281" s="8" t="s">
        <v>5753</v>
      </c>
      <c r="C1281" s="8" t="s">
        <v>5754</v>
      </c>
      <c r="D1281" s="8" t="s">
        <v>5753</v>
      </c>
      <c r="E1281" s="105">
        <v>0</v>
      </c>
      <c r="F1281" s="106" t="s">
        <v>2024</v>
      </c>
      <c r="G1281" s="8"/>
      <c r="H1281" s="8"/>
      <c r="I1281" s="107">
        <v>0</v>
      </c>
      <c r="J1281" s="8" t="s">
        <v>4722</v>
      </c>
    </row>
    <row r="1282" spans="1:10" ht="16.5" customHeight="1" x14ac:dyDescent="0.25">
      <c r="A1282" s="8" t="s">
        <v>5755</v>
      </c>
      <c r="B1282" s="8" t="s">
        <v>5756</v>
      </c>
      <c r="C1282" s="8" t="s">
        <v>5757</v>
      </c>
      <c r="D1282" s="8" t="s">
        <v>5756</v>
      </c>
      <c r="E1282" s="105">
        <v>0</v>
      </c>
      <c r="F1282" s="106" t="s">
        <v>2024</v>
      </c>
      <c r="G1282" s="8"/>
      <c r="H1282" s="8"/>
      <c r="I1282" s="107">
        <v>0</v>
      </c>
      <c r="J1282" s="8" t="s">
        <v>4722</v>
      </c>
    </row>
    <row r="1283" spans="1:10" ht="16.5" customHeight="1" x14ac:dyDescent="0.25">
      <c r="A1283" s="8" t="s">
        <v>5758</v>
      </c>
      <c r="B1283" s="8" t="s">
        <v>5759</v>
      </c>
      <c r="C1283" s="8" t="s">
        <v>5760</v>
      </c>
      <c r="D1283" s="8" t="s">
        <v>5759</v>
      </c>
      <c r="E1283" s="105">
        <v>0</v>
      </c>
      <c r="F1283" s="106" t="s">
        <v>2024</v>
      </c>
      <c r="G1283" s="8"/>
      <c r="H1283" s="8"/>
      <c r="I1283" s="107">
        <v>0</v>
      </c>
      <c r="J1283" s="8" t="s">
        <v>4722</v>
      </c>
    </row>
    <row r="1284" spans="1:10" ht="16.5" customHeight="1" x14ac:dyDescent="0.25">
      <c r="A1284" s="8" t="s">
        <v>5761</v>
      </c>
      <c r="B1284" s="8" t="s">
        <v>5762</v>
      </c>
      <c r="C1284" s="8" t="s">
        <v>5763</v>
      </c>
      <c r="D1284" s="8" t="s">
        <v>5762</v>
      </c>
      <c r="E1284" s="105">
        <v>0</v>
      </c>
      <c r="F1284" s="106" t="s">
        <v>2024</v>
      </c>
      <c r="G1284" s="8"/>
      <c r="H1284" s="8"/>
      <c r="I1284" s="107">
        <v>0</v>
      </c>
      <c r="J1284" s="8" t="s">
        <v>4722</v>
      </c>
    </row>
    <row r="1285" spans="1:10" ht="16.5" customHeight="1" x14ac:dyDescent="0.25">
      <c r="A1285" s="8" t="s">
        <v>5764</v>
      </c>
      <c r="B1285" s="8" t="s">
        <v>5765</v>
      </c>
      <c r="C1285" s="8" t="s">
        <v>5766</v>
      </c>
      <c r="D1285" s="8" t="s">
        <v>5765</v>
      </c>
      <c r="E1285" s="105">
        <v>20</v>
      </c>
      <c r="F1285" s="106" t="s">
        <v>2024</v>
      </c>
      <c r="G1285" s="8"/>
      <c r="H1285" s="8"/>
      <c r="I1285" s="107">
        <v>0</v>
      </c>
      <c r="J1285" s="8" t="s">
        <v>2019</v>
      </c>
    </row>
    <row r="1286" spans="1:10" ht="16.5" customHeight="1" x14ac:dyDescent="0.25">
      <c r="A1286" s="8" t="s">
        <v>5767</v>
      </c>
      <c r="B1286" s="8" t="s">
        <v>5768</v>
      </c>
      <c r="C1286" s="8" t="s">
        <v>3592</v>
      </c>
      <c r="D1286" s="8" t="s">
        <v>5768</v>
      </c>
      <c r="E1286" s="105">
        <v>1</v>
      </c>
      <c r="F1286" s="106" t="s">
        <v>2024</v>
      </c>
      <c r="G1286" s="8"/>
      <c r="H1286" s="8"/>
      <c r="I1286" s="107">
        <v>0</v>
      </c>
      <c r="J1286" s="8" t="s">
        <v>3580</v>
      </c>
    </row>
    <row r="1287" spans="1:10" ht="16.5" customHeight="1" x14ac:dyDescent="0.25">
      <c r="A1287" s="8" t="s">
        <v>5769</v>
      </c>
      <c r="B1287" s="8" t="s">
        <v>5770</v>
      </c>
      <c r="C1287" s="8" t="s">
        <v>3595</v>
      </c>
      <c r="D1287" s="8" t="s">
        <v>5770</v>
      </c>
      <c r="E1287" s="105">
        <v>1</v>
      </c>
      <c r="F1287" s="106" t="s">
        <v>2024</v>
      </c>
      <c r="G1287" s="8"/>
      <c r="H1287" s="8"/>
      <c r="I1287" s="107">
        <v>0</v>
      </c>
      <c r="J1287" s="8" t="s">
        <v>3580</v>
      </c>
    </row>
    <row r="1288" spans="1:10" ht="16.5" customHeight="1" x14ac:dyDescent="0.25">
      <c r="A1288" s="8" t="s">
        <v>5771</v>
      </c>
      <c r="B1288" s="8" t="s">
        <v>5772</v>
      </c>
      <c r="C1288" s="8" t="s">
        <v>5773</v>
      </c>
      <c r="D1288" s="8" t="s">
        <v>5772</v>
      </c>
      <c r="E1288" s="105">
        <v>1</v>
      </c>
      <c r="F1288" s="106" t="s">
        <v>2018</v>
      </c>
      <c r="G1288" s="8"/>
      <c r="H1288" s="8"/>
      <c r="I1288" s="107">
        <v>0</v>
      </c>
      <c r="J1288" s="8" t="s">
        <v>2019</v>
      </c>
    </row>
    <row r="1289" spans="1:10" ht="16.5" customHeight="1" x14ac:dyDescent="0.25">
      <c r="A1289" s="8" t="s">
        <v>5774</v>
      </c>
      <c r="B1289" s="8" t="s">
        <v>5775</v>
      </c>
      <c r="C1289" s="8" t="s">
        <v>5776</v>
      </c>
      <c r="D1289" s="8" t="s">
        <v>5777</v>
      </c>
      <c r="E1289" s="105">
        <v>1</v>
      </c>
      <c r="F1289" s="106" t="s">
        <v>2024</v>
      </c>
      <c r="G1289" s="8"/>
      <c r="H1289" s="8"/>
      <c r="I1289" s="107">
        <v>0</v>
      </c>
      <c r="J1289" s="8" t="s">
        <v>3695</v>
      </c>
    </row>
    <row r="1290" spans="1:10" ht="16.5" customHeight="1" x14ac:dyDescent="0.25">
      <c r="A1290" s="8" t="s">
        <v>5778</v>
      </c>
      <c r="B1290" s="8" t="s">
        <v>5691</v>
      </c>
      <c r="C1290" s="8" t="s">
        <v>5680</v>
      </c>
      <c r="D1290" s="8" t="s">
        <v>5691</v>
      </c>
      <c r="E1290" s="105">
        <v>2.4</v>
      </c>
      <c r="F1290" s="106" t="s">
        <v>2024</v>
      </c>
      <c r="G1290" s="8"/>
      <c r="H1290" s="8"/>
      <c r="I1290" s="107">
        <v>0</v>
      </c>
      <c r="J1290" s="8" t="s">
        <v>5779</v>
      </c>
    </row>
    <row r="1291" spans="1:10" ht="16.5" customHeight="1" x14ac:dyDescent="0.25">
      <c r="A1291" s="8" t="s">
        <v>5780</v>
      </c>
      <c r="B1291" s="8" t="s">
        <v>5679</v>
      </c>
      <c r="C1291" s="8" t="s">
        <v>5680</v>
      </c>
      <c r="D1291" s="8" t="s">
        <v>5679</v>
      </c>
      <c r="E1291" s="105">
        <v>0.4</v>
      </c>
      <c r="F1291" s="106" t="s">
        <v>2024</v>
      </c>
      <c r="G1291" s="8"/>
      <c r="H1291" s="8"/>
      <c r="I1291" s="107">
        <v>0</v>
      </c>
      <c r="J1291" s="8" t="s">
        <v>5779</v>
      </c>
    </row>
    <row r="1292" spans="1:10" ht="16.5" customHeight="1" x14ac:dyDescent="0.25">
      <c r="A1292" s="8" t="s">
        <v>5781</v>
      </c>
      <c r="B1292" s="8" t="s">
        <v>5689</v>
      </c>
      <c r="C1292" s="8" t="s">
        <v>5677</v>
      </c>
      <c r="D1292" s="8" t="s">
        <v>5689</v>
      </c>
      <c r="E1292" s="105">
        <v>3</v>
      </c>
      <c r="F1292" s="106" t="s">
        <v>2024</v>
      </c>
      <c r="G1292" s="8"/>
      <c r="H1292" s="8"/>
      <c r="I1292" s="107">
        <v>0</v>
      </c>
      <c r="J1292" s="8" t="s">
        <v>5779</v>
      </c>
    </row>
    <row r="1293" spans="1:10" ht="16.5" customHeight="1" x14ac:dyDescent="0.25">
      <c r="A1293" s="8" t="s">
        <v>5782</v>
      </c>
      <c r="B1293" s="8" t="s">
        <v>5676</v>
      </c>
      <c r="C1293" s="8" t="s">
        <v>5677</v>
      </c>
      <c r="D1293" s="8" t="s">
        <v>5676</v>
      </c>
      <c r="E1293" s="105">
        <v>0.5</v>
      </c>
      <c r="F1293" s="106" t="s">
        <v>2024</v>
      </c>
      <c r="G1293" s="8"/>
      <c r="H1293" s="8"/>
      <c r="I1293" s="107">
        <v>0</v>
      </c>
      <c r="J1293" s="8" t="s">
        <v>5779</v>
      </c>
    </row>
    <row r="1294" spans="1:10" ht="16.5" customHeight="1" x14ac:dyDescent="0.25">
      <c r="A1294" s="8" t="s">
        <v>5783</v>
      </c>
      <c r="B1294" s="8" t="s">
        <v>5693</v>
      </c>
      <c r="C1294" s="8" t="s">
        <v>5683</v>
      </c>
      <c r="D1294" s="8" t="s">
        <v>5693</v>
      </c>
      <c r="E1294" s="105">
        <v>2.4</v>
      </c>
      <c r="F1294" s="106" t="s">
        <v>2024</v>
      </c>
      <c r="G1294" s="8"/>
      <c r="H1294" s="8"/>
      <c r="I1294" s="107">
        <v>0</v>
      </c>
      <c r="J1294" s="8" t="s">
        <v>5779</v>
      </c>
    </row>
    <row r="1295" spans="1:10" ht="16.5" customHeight="1" x14ac:dyDescent="0.25">
      <c r="A1295" s="8" t="s">
        <v>5784</v>
      </c>
      <c r="B1295" s="8" t="s">
        <v>5682</v>
      </c>
      <c r="C1295" s="8" t="s">
        <v>5683</v>
      </c>
      <c r="D1295" s="8" t="s">
        <v>5682</v>
      </c>
      <c r="E1295" s="105">
        <v>0.4</v>
      </c>
      <c r="F1295" s="106" t="s">
        <v>2024</v>
      </c>
      <c r="G1295" s="8"/>
      <c r="H1295" s="8"/>
      <c r="I1295" s="107">
        <v>0</v>
      </c>
      <c r="J1295" s="8" t="s">
        <v>5671</v>
      </c>
    </row>
    <row r="1296" spans="1:10" ht="16.5" customHeight="1" x14ac:dyDescent="0.25">
      <c r="A1296" s="8" t="s">
        <v>5785</v>
      </c>
      <c r="B1296" s="8" t="s">
        <v>5786</v>
      </c>
      <c r="C1296" s="8" t="s">
        <v>5787</v>
      </c>
      <c r="D1296" s="8" t="s">
        <v>5788</v>
      </c>
      <c r="E1296" s="105">
        <v>20</v>
      </c>
      <c r="F1296" s="106" t="s">
        <v>2018</v>
      </c>
      <c r="G1296" s="8"/>
      <c r="H1296" s="8"/>
      <c r="I1296" s="107">
        <v>0</v>
      </c>
      <c r="J1296" s="8" t="s">
        <v>2019</v>
      </c>
    </row>
    <row r="1297" spans="1:10" ht="16.5" customHeight="1" x14ac:dyDescent="0.25">
      <c r="A1297" s="8" t="s">
        <v>5789</v>
      </c>
      <c r="B1297" s="8" t="s">
        <v>5790</v>
      </c>
      <c r="C1297" s="8" t="s">
        <v>3616</v>
      </c>
      <c r="D1297" s="8" t="s">
        <v>5790</v>
      </c>
      <c r="E1297" s="105">
        <v>1</v>
      </c>
      <c r="F1297" s="106" t="s">
        <v>2024</v>
      </c>
      <c r="G1297" s="8"/>
      <c r="H1297" s="8"/>
      <c r="I1297" s="107">
        <v>0</v>
      </c>
      <c r="J1297" s="8"/>
    </row>
    <row r="1298" spans="1:10" ht="16.5" customHeight="1" x14ac:dyDescent="0.25">
      <c r="A1298" s="8" t="s">
        <v>5791</v>
      </c>
      <c r="B1298" s="8" t="s">
        <v>5792</v>
      </c>
      <c r="C1298" s="8" t="s">
        <v>5793</v>
      </c>
      <c r="D1298" s="8" t="s">
        <v>5792</v>
      </c>
      <c r="E1298" s="105">
        <v>1</v>
      </c>
      <c r="F1298" s="106" t="s">
        <v>2024</v>
      </c>
      <c r="G1298" s="8"/>
      <c r="H1298" s="8"/>
      <c r="I1298" s="107">
        <v>0</v>
      </c>
      <c r="J1298" s="8"/>
    </row>
    <row r="1299" spans="1:10" ht="16.5" customHeight="1" x14ac:dyDescent="0.25">
      <c r="A1299" s="8" t="s">
        <v>5794</v>
      </c>
      <c r="B1299" s="8" t="s">
        <v>5795</v>
      </c>
      <c r="C1299" s="8" t="s">
        <v>5796</v>
      </c>
      <c r="D1299" s="8" t="s">
        <v>5795</v>
      </c>
      <c r="E1299" s="105">
        <v>0</v>
      </c>
      <c r="F1299" s="106" t="s">
        <v>2024</v>
      </c>
      <c r="G1299" s="8"/>
      <c r="H1299" s="8"/>
      <c r="I1299" s="107">
        <v>0</v>
      </c>
      <c r="J1299" s="8" t="s">
        <v>4722</v>
      </c>
    </row>
    <row r="1300" spans="1:10" ht="16.5" customHeight="1" x14ac:dyDescent="0.25">
      <c r="A1300" s="8" t="s">
        <v>5797</v>
      </c>
      <c r="B1300" s="8" t="s">
        <v>5798</v>
      </c>
      <c r="C1300" s="8" t="s">
        <v>5799</v>
      </c>
      <c r="D1300" s="8" t="s">
        <v>5798</v>
      </c>
      <c r="E1300" s="105">
        <v>0</v>
      </c>
      <c r="F1300" s="106" t="s">
        <v>2024</v>
      </c>
      <c r="G1300" s="8"/>
      <c r="H1300" s="8"/>
      <c r="I1300" s="107">
        <v>0</v>
      </c>
      <c r="J1300" s="8" t="s">
        <v>4722</v>
      </c>
    </row>
    <row r="1301" spans="1:10" ht="16.5" customHeight="1" x14ac:dyDescent="0.25">
      <c r="A1301" s="8" t="s">
        <v>5800</v>
      </c>
      <c r="B1301" s="8" t="s">
        <v>5801</v>
      </c>
      <c r="C1301" s="8" t="s">
        <v>5802</v>
      </c>
      <c r="D1301" s="8" t="s">
        <v>5801</v>
      </c>
      <c r="E1301" s="105">
        <v>0</v>
      </c>
      <c r="F1301" s="106" t="s">
        <v>2024</v>
      </c>
      <c r="G1301" s="8"/>
      <c r="H1301" s="8"/>
      <c r="I1301" s="107">
        <v>0</v>
      </c>
      <c r="J1301" s="8" t="s">
        <v>4722</v>
      </c>
    </row>
    <row r="1302" spans="1:10" ht="16.5" customHeight="1" x14ac:dyDescent="0.25">
      <c r="A1302" s="8" t="s">
        <v>5803</v>
      </c>
      <c r="B1302" s="8" t="s">
        <v>5804</v>
      </c>
      <c r="C1302" s="8" t="s">
        <v>5805</v>
      </c>
      <c r="D1302" s="8" t="s">
        <v>5804</v>
      </c>
      <c r="E1302" s="105">
        <v>0</v>
      </c>
      <c r="F1302" s="106" t="s">
        <v>2024</v>
      </c>
      <c r="G1302" s="8"/>
      <c r="H1302" s="8"/>
      <c r="I1302" s="107">
        <v>0</v>
      </c>
      <c r="J1302" s="8" t="s">
        <v>4722</v>
      </c>
    </row>
    <row r="1303" spans="1:10" ht="16.5" customHeight="1" x14ac:dyDescent="0.25">
      <c r="A1303" s="8" t="s">
        <v>5806</v>
      </c>
      <c r="B1303" s="8" t="s">
        <v>5807</v>
      </c>
      <c r="C1303" s="8" t="s">
        <v>5808</v>
      </c>
      <c r="D1303" s="8" t="s">
        <v>5807</v>
      </c>
      <c r="E1303" s="105">
        <v>0</v>
      </c>
      <c r="F1303" s="106" t="s">
        <v>2024</v>
      </c>
      <c r="G1303" s="8"/>
      <c r="H1303" s="8"/>
      <c r="I1303" s="107">
        <v>0</v>
      </c>
      <c r="J1303" s="8" t="s">
        <v>4722</v>
      </c>
    </row>
    <row r="1304" spans="1:10" ht="16.5" customHeight="1" x14ac:dyDescent="0.25">
      <c r="A1304" s="8" t="s">
        <v>5809</v>
      </c>
      <c r="B1304" s="8" t="s">
        <v>5810</v>
      </c>
      <c r="C1304" s="8" t="s">
        <v>5811</v>
      </c>
      <c r="D1304" s="8" t="s">
        <v>5810</v>
      </c>
      <c r="E1304" s="105">
        <v>0</v>
      </c>
      <c r="F1304" s="106" t="s">
        <v>2024</v>
      </c>
      <c r="G1304" s="8"/>
      <c r="H1304" s="8"/>
      <c r="I1304" s="107">
        <v>0</v>
      </c>
      <c r="J1304" s="8" t="s">
        <v>4722</v>
      </c>
    </row>
    <row r="1305" spans="1:10" ht="16.5" customHeight="1" x14ac:dyDescent="0.25">
      <c r="A1305" s="8" t="s">
        <v>5812</v>
      </c>
      <c r="B1305" s="8" t="s">
        <v>5813</v>
      </c>
      <c r="C1305" s="8" t="s">
        <v>5814</v>
      </c>
      <c r="D1305" s="8" t="s">
        <v>5813</v>
      </c>
      <c r="E1305" s="105">
        <v>18</v>
      </c>
      <c r="F1305" s="106" t="s">
        <v>2024</v>
      </c>
      <c r="G1305" s="8"/>
      <c r="H1305" s="8"/>
      <c r="I1305" s="107">
        <v>0</v>
      </c>
      <c r="J1305" s="8" t="s">
        <v>4722</v>
      </c>
    </row>
    <row r="1306" spans="1:10" ht="16.5" customHeight="1" x14ac:dyDescent="0.25">
      <c r="A1306" s="8" t="s">
        <v>5815</v>
      </c>
      <c r="B1306" s="8" t="s">
        <v>5816</v>
      </c>
      <c r="C1306" s="8" t="s">
        <v>5817</v>
      </c>
      <c r="D1306" s="8" t="s">
        <v>5816</v>
      </c>
      <c r="E1306" s="105">
        <v>2.4</v>
      </c>
      <c r="F1306" s="106" t="s">
        <v>2024</v>
      </c>
      <c r="G1306" s="8"/>
      <c r="H1306" s="8"/>
      <c r="I1306" s="107">
        <v>0</v>
      </c>
      <c r="J1306" s="8" t="s">
        <v>5671</v>
      </c>
    </row>
    <row r="1307" spans="1:10" ht="16.5" customHeight="1" x14ac:dyDescent="0.25">
      <c r="A1307" s="8" t="s">
        <v>5818</v>
      </c>
      <c r="B1307" s="8" t="s">
        <v>5819</v>
      </c>
      <c r="C1307" s="8" t="s">
        <v>5817</v>
      </c>
      <c r="D1307" s="8" t="s">
        <v>5819</v>
      </c>
      <c r="E1307" s="105">
        <v>0.2</v>
      </c>
      <c r="F1307" s="106" t="s">
        <v>2024</v>
      </c>
      <c r="G1307" s="8"/>
      <c r="H1307" s="8"/>
      <c r="I1307" s="107">
        <v>0</v>
      </c>
      <c r="J1307" s="8" t="s">
        <v>5671</v>
      </c>
    </row>
    <row r="1308" spans="1:10" ht="16.5" customHeight="1" x14ac:dyDescent="0.25">
      <c r="A1308" s="8" t="s">
        <v>5820</v>
      </c>
      <c r="B1308" s="8" t="s">
        <v>5821</v>
      </c>
      <c r="C1308" s="8" t="s">
        <v>5822</v>
      </c>
      <c r="D1308" s="8" t="s">
        <v>5821</v>
      </c>
      <c r="E1308" s="105">
        <v>0</v>
      </c>
      <c r="F1308" s="106" t="s">
        <v>2024</v>
      </c>
      <c r="G1308" s="8"/>
      <c r="H1308" s="8"/>
      <c r="I1308" s="107">
        <v>0</v>
      </c>
      <c r="J1308" s="8" t="s">
        <v>4722</v>
      </c>
    </row>
    <row r="1309" spans="1:10" ht="16.5" customHeight="1" x14ac:dyDescent="0.25">
      <c r="A1309" s="8" t="s">
        <v>5823</v>
      </c>
      <c r="B1309" s="8" t="s">
        <v>5824</v>
      </c>
      <c r="C1309" s="8" t="s">
        <v>5825</v>
      </c>
      <c r="D1309" s="8" t="s">
        <v>5824</v>
      </c>
      <c r="E1309" s="105">
        <v>0</v>
      </c>
      <c r="F1309" s="106" t="s">
        <v>2024</v>
      </c>
      <c r="G1309" s="8"/>
      <c r="H1309" s="8"/>
      <c r="I1309" s="107">
        <v>0</v>
      </c>
      <c r="J1309" s="8" t="s">
        <v>4722</v>
      </c>
    </row>
    <row r="1310" spans="1:10" ht="16.5" customHeight="1" x14ac:dyDescent="0.25">
      <c r="A1310" s="8" t="s">
        <v>5826</v>
      </c>
      <c r="B1310" s="8" t="s">
        <v>5827</v>
      </c>
      <c r="C1310" s="8" t="s">
        <v>2631</v>
      </c>
      <c r="D1310" s="8" t="s">
        <v>5827</v>
      </c>
      <c r="E1310" s="105">
        <v>1.82</v>
      </c>
      <c r="F1310" s="106" t="s">
        <v>2024</v>
      </c>
      <c r="G1310" s="8"/>
      <c r="H1310" s="8"/>
      <c r="I1310" s="107">
        <v>0</v>
      </c>
      <c r="J1310" s="8" t="s">
        <v>2019</v>
      </c>
    </row>
    <row r="1311" spans="1:10" ht="16.5" customHeight="1" x14ac:dyDescent="0.25">
      <c r="A1311" s="8" t="s">
        <v>5828</v>
      </c>
      <c r="B1311" s="8" t="s">
        <v>5829</v>
      </c>
      <c r="C1311" s="8" t="s">
        <v>2631</v>
      </c>
      <c r="D1311" s="8" t="s">
        <v>5829</v>
      </c>
      <c r="E1311" s="105">
        <v>1.82</v>
      </c>
      <c r="F1311" s="106" t="s">
        <v>2024</v>
      </c>
      <c r="G1311" s="8"/>
      <c r="H1311" s="8"/>
      <c r="I1311" s="107">
        <v>0</v>
      </c>
      <c r="J1311" s="8" t="s">
        <v>2019</v>
      </c>
    </row>
    <row r="1312" spans="1:10" ht="16.5" customHeight="1" x14ac:dyDescent="0.25">
      <c r="A1312" s="8" t="s">
        <v>5830</v>
      </c>
      <c r="B1312" s="8" t="s">
        <v>5831</v>
      </c>
      <c r="C1312" s="8" t="s">
        <v>2631</v>
      </c>
      <c r="D1312" s="8" t="s">
        <v>5831</v>
      </c>
      <c r="E1312" s="105">
        <v>1.82</v>
      </c>
      <c r="F1312" s="106" t="s">
        <v>2024</v>
      </c>
      <c r="G1312" s="8"/>
      <c r="H1312" s="8"/>
      <c r="I1312" s="107">
        <v>0</v>
      </c>
      <c r="J1312" s="8" t="s">
        <v>2019</v>
      </c>
    </row>
    <row r="1313" spans="1:10" ht="16.5" customHeight="1" x14ac:dyDescent="0.25">
      <c r="A1313" s="8" t="s">
        <v>5832</v>
      </c>
      <c r="B1313" s="8" t="s">
        <v>5833</v>
      </c>
      <c r="C1313" s="8" t="s">
        <v>5834</v>
      </c>
      <c r="D1313" s="8" t="s">
        <v>5833</v>
      </c>
      <c r="E1313" s="105">
        <v>20</v>
      </c>
      <c r="F1313" s="106" t="s">
        <v>2018</v>
      </c>
      <c r="G1313" s="8"/>
      <c r="H1313" s="8"/>
      <c r="I1313" s="107">
        <v>0</v>
      </c>
      <c r="J1313" s="8" t="s">
        <v>2019</v>
      </c>
    </row>
    <row r="1314" spans="1:10" ht="16.5" customHeight="1" x14ac:dyDescent="0.25">
      <c r="A1314" s="8" t="s">
        <v>5835</v>
      </c>
      <c r="B1314" s="8" t="s">
        <v>5836</v>
      </c>
      <c r="C1314" s="8" t="s">
        <v>5837</v>
      </c>
      <c r="D1314" s="8" t="s">
        <v>5836</v>
      </c>
      <c r="E1314" s="105">
        <v>20</v>
      </c>
      <c r="F1314" s="106" t="s">
        <v>2018</v>
      </c>
      <c r="G1314" s="8"/>
      <c r="H1314" s="8"/>
      <c r="I1314" s="107">
        <v>0</v>
      </c>
      <c r="J1314" s="8" t="s">
        <v>2019</v>
      </c>
    </row>
    <row r="1315" spans="1:10" ht="16.5" customHeight="1" x14ac:dyDescent="0.25">
      <c r="A1315" s="8" t="s">
        <v>5838</v>
      </c>
      <c r="B1315" s="8" t="s">
        <v>5839</v>
      </c>
      <c r="C1315" s="8" t="s">
        <v>5840</v>
      </c>
      <c r="D1315" s="8" t="s">
        <v>5839</v>
      </c>
      <c r="E1315" s="105">
        <v>0</v>
      </c>
      <c r="F1315" s="106" t="s">
        <v>2024</v>
      </c>
      <c r="G1315" s="8"/>
      <c r="H1315" s="8"/>
      <c r="I1315" s="107">
        <v>0</v>
      </c>
      <c r="J1315" s="8" t="s">
        <v>4722</v>
      </c>
    </row>
    <row r="1316" spans="1:10" ht="16.5" customHeight="1" x14ac:dyDescent="0.25">
      <c r="A1316" s="8" t="s">
        <v>5841</v>
      </c>
      <c r="B1316" s="8" t="s">
        <v>5842</v>
      </c>
      <c r="C1316" s="8" t="s">
        <v>5843</v>
      </c>
      <c r="D1316" s="8" t="s">
        <v>5842</v>
      </c>
      <c r="E1316" s="105">
        <v>0.55700000000000005</v>
      </c>
      <c r="F1316" s="106" t="s">
        <v>2024</v>
      </c>
      <c r="G1316" s="8"/>
      <c r="H1316" s="8"/>
      <c r="I1316" s="107">
        <v>0</v>
      </c>
      <c r="J1316" s="8" t="s">
        <v>4722</v>
      </c>
    </row>
    <row r="1317" spans="1:10" ht="16.5" customHeight="1" x14ac:dyDescent="0.25">
      <c r="A1317" s="8" t="s">
        <v>5844</v>
      </c>
      <c r="B1317" s="8" t="s">
        <v>5845</v>
      </c>
      <c r="C1317" s="8" t="s">
        <v>5846</v>
      </c>
      <c r="D1317" s="8" t="s">
        <v>5845</v>
      </c>
      <c r="E1317" s="105">
        <v>0.95</v>
      </c>
      <c r="F1317" s="106" t="s">
        <v>2024</v>
      </c>
      <c r="G1317" s="8"/>
      <c r="H1317" s="8"/>
      <c r="I1317" s="107">
        <v>0</v>
      </c>
      <c r="J1317" s="8" t="s">
        <v>4722</v>
      </c>
    </row>
    <row r="1318" spans="1:10" ht="16.5" customHeight="1" x14ac:dyDescent="0.25">
      <c r="A1318" s="8" t="s">
        <v>5847</v>
      </c>
      <c r="B1318" s="8" t="s">
        <v>5848</v>
      </c>
      <c r="C1318" s="8" t="s">
        <v>5849</v>
      </c>
      <c r="D1318" s="8" t="s">
        <v>5848</v>
      </c>
      <c r="E1318" s="105">
        <v>0</v>
      </c>
      <c r="F1318" s="106" t="s">
        <v>2024</v>
      </c>
      <c r="G1318" s="8"/>
      <c r="H1318" s="8"/>
      <c r="I1318" s="107">
        <v>0</v>
      </c>
      <c r="J1318" s="8" t="s">
        <v>2019</v>
      </c>
    </row>
    <row r="1319" spans="1:10" ht="16.5" customHeight="1" x14ac:dyDescent="0.25">
      <c r="A1319" s="8" t="s">
        <v>5850</v>
      </c>
      <c r="B1319" s="8" t="s">
        <v>5851</v>
      </c>
      <c r="C1319" s="8" t="s">
        <v>5852</v>
      </c>
      <c r="D1319" s="8" t="s">
        <v>5851</v>
      </c>
      <c r="E1319" s="105">
        <v>25</v>
      </c>
      <c r="F1319" s="106" t="s">
        <v>2024</v>
      </c>
      <c r="G1319" s="8"/>
      <c r="H1319" s="8"/>
      <c r="I1319" s="107">
        <v>0</v>
      </c>
      <c r="J1319" s="8" t="s">
        <v>3695</v>
      </c>
    </row>
    <row r="1320" spans="1:10" ht="16.5" customHeight="1" x14ac:dyDescent="0.25">
      <c r="A1320" s="8" t="s">
        <v>5853</v>
      </c>
      <c r="B1320" s="8" t="s">
        <v>5854</v>
      </c>
      <c r="C1320" s="8" t="s">
        <v>5855</v>
      </c>
      <c r="D1320" s="8" t="s">
        <v>5854</v>
      </c>
      <c r="E1320" s="105">
        <v>1</v>
      </c>
      <c r="F1320" s="106" t="s">
        <v>2018</v>
      </c>
      <c r="G1320" s="8"/>
      <c r="H1320" s="8"/>
      <c r="I1320" s="107">
        <v>0</v>
      </c>
      <c r="J1320" s="8" t="s">
        <v>3695</v>
      </c>
    </row>
    <row r="1321" spans="1:10" ht="16.5" customHeight="1" x14ac:dyDescent="0.25">
      <c r="A1321" s="8" t="s">
        <v>5856</v>
      </c>
      <c r="B1321" s="8" t="s">
        <v>5857</v>
      </c>
      <c r="C1321" s="8" t="s">
        <v>5858</v>
      </c>
      <c r="D1321" s="8" t="s">
        <v>5857</v>
      </c>
      <c r="E1321" s="105">
        <v>0</v>
      </c>
      <c r="F1321" s="106" t="s">
        <v>2024</v>
      </c>
      <c r="G1321" s="8"/>
      <c r="H1321" s="8"/>
      <c r="I1321" s="107">
        <v>0</v>
      </c>
      <c r="J1321" s="8" t="s">
        <v>4722</v>
      </c>
    </row>
    <row r="1322" spans="1:10" ht="16.5" customHeight="1" x14ac:dyDescent="0.25">
      <c r="A1322" s="8" t="s">
        <v>5859</v>
      </c>
      <c r="B1322" s="8" t="s">
        <v>5860</v>
      </c>
      <c r="C1322" s="8" t="s">
        <v>5861</v>
      </c>
      <c r="D1322" s="8" t="s">
        <v>5860</v>
      </c>
      <c r="E1322" s="105">
        <v>1</v>
      </c>
      <c r="F1322" s="106" t="s">
        <v>2018</v>
      </c>
      <c r="G1322" s="8"/>
      <c r="H1322" s="8"/>
      <c r="I1322" s="107">
        <v>0</v>
      </c>
      <c r="J1322" s="8" t="s">
        <v>2019</v>
      </c>
    </row>
    <row r="1323" spans="1:10" ht="16.5" customHeight="1" x14ac:dyDescent="0.25">
      <c r="A1323" s="8" t="s">
        <v>5862</v>
      </c>
      <c r="B1323" s="8" t="s">
        <v>5863</v>
      </c>
      <c r="C1323" s="8" t="s">
        <v>5864</v>
      </c>
      <c r="D1323" s="8" t="s">
        <v>5863</v>
      </c>
      <c r="E1323" s="105">
        <v>0</v>
      </c>
      <c r="F1323" s="106" t="s">
        <v>2024</v>
      </c>
      <c r="G1323" s="8"/>
      <c r="H1323" s="8"/>
      <c r="I1323" s="107">
        <v>0</v>
      </c>
      <c r="J1323" s="8" t="s">
        <v>2019</v>
      </c>
    </row>
    <row r="1324" spans="1:10" ht="16.5" customHeight="1" x14ac:dyDescent="0.25">
      <c r="A1324" s="8" t="s">
        <v>5865</v>
      </c>
      <c r="B1324" s="8" t="s">
        <v>5866</v>
      </c>
      <c r="C1324" s="8" t="s">
        <v>5867</v>
      </c>
      <c r="D1324" s="8" t="s">
        <v>5866</v>
      </c>
      <c r="E1324" s="105">
        <v>25</v>
      </c>
      <c r="F1324" s="106" t="s">
        <v>2018</v>
      </c>
      <c r="G1324" s="8"/>
      <c r="H1324" s="8"/>
      <c r="I1324" s="107">
        <v>0</v>
      </c>
      <c r="J1324" s="8" t="s">
        <v>2019</v>
      </c>
    </row>
    <row r="1325" spans="1:10" ht="16.5" customHeight="1" x14ac:dyDescent="0.25">
      <c r="A1325" s="8" t="s">
        <v>5868</v>
      </c>
      <c r="B1325" s="8" t="s">
        <v>5869</v>
      </c>
      <c r="C1325" s="8" t="s">
        <v>5870</v>
      </c>
      <c r="D1325" s="8" t="s">
        <v>5869</v>
      </c>
      <c r="E1325" s="105">
        <v>0</v>
      </c>
      <c r="F1325" s="106" t="s">
        <v>2024</v>
      </c>
      <c r="G1325" s="8"/>
      <c r="H1325" s="8"/>
      <c r="I1325" s="107">
        <v>0</v>
      </c>
      <c r="J1325" s="8" t="s">
        <v>4722</v>
      </c>
    </row>
    <row r="1326" spans="1:10" ht="16.5" customHeight="1" x14ac:dyDescent="0.25">
      <c r="A1326" s="8" t="s">
        <v>5871</v>
      </c>
      <c r="B1326" s="8" t="s">
        <v>5872</v>
      </c>
      <c r="C1326" s="8" t="s">
        <v>5873</v>
      </c>
      <c r="D1326" s="8" t="s">
        <v>5872</v>
      </c>
      <c r="E1326" s="105">
        <v>0</v>
      </c>
      <c r="F1326" s="106" t="s">
        <v>2024</v>
      </c>
      <c r="G1326" s="8"/>
      <c r="H1326" s="8"/>
      <c r="I1326" s="107">
        <v>0</v>
      </c>
      <c r="J1326" s="8" t="s">
        <v>4722</v>
      </c>
    </row>
    <row r="1327" spans="1:10" ht="16.5" customHeight="1" x14ac:dyDescent="0.25">
      <c r="A1327" s="8" t="s">
        <v>5874</v>
      </c>
      <c r="B1327" s="8" t="s">
        <v>5875</v>
      </c>
      <c r="C1327" s="8" t="s">
        <v>5876</v>
      </c>
      <c r="D1327" s="8" t="s">
        <v>5877</v>
      </c>
      <c r="E1327" s="105">
        <v>0</v>
      </c>
      <c r="F1327" s="106" t="s">
        <v>2024</v>
      </c>
      <c r="G1327" s="8"/>
      <c r="H1327" s="8"/>
      <c r="I1327" s="107">
        <v>0</v>
      </c>
      <c r="J1327" s="8" t="s">
        <v>4722</v>
      </c>
    </row>
    <row r="1328" spans="1:10" ht="16.5" customHeight="1" x14ac:dyDescent="0.25">
      <c r="A1328" s="8" t="s">
        <v>5878</v>
      </c>
      <c r="B1328" s="8" t="s">
        <v>5879</v>
      </c>
      <c r="C1328" s="8" t="s">
        <v>5880</v>
      </c>
      <c r="D1328" s="8" t="s">
        <v>5879</v>
      </c>
      <c r="E1328" s="105">
        <v>0</v>
      </c>
      <c r="F1328" s="106" t="s">
        <v>2024</v>
      </c>
      <c r="G1328" s="8"/>
      <c r="H1328" s="8"/>
      <c r="I1328" s="107">
        <v>0</v>
      </c>
      <c r="J1328" s="8" t="s">
        <v>4722</v>
      </c>
    </row>
    <row r="1329" spans="1:10" ht="16.5" customHeight="1" x14ac:dyDescent="0.25">
      <c r="A1329" s="8" t="s">
        <v>5881</v>
      </c>
      <c r="B1329" s="8" t="s">
        <v>5882</v>
      </c>
      <c r="C1329" s="8" t="s">
        <v>5883</v>
      </c>
      <c r="D1329" s="8" t="s">
        <v>5882</v>
      </c>
      <c r="E1329" s="105">
        <v>0</v>
      </c>
      <c r="F1329" s="106" t="s">
        <v>2024</v>
      </c>
      <c r="G1329" s="8"/>
      <c r="H1329" s="8"/>
      <c r="I1329" s="107">
        <v>0</v>
      </c>
      <c r="J1329" s="8" t="s">
        <v>4722</v>
      </c>
    </row>
    <row r="1330" spans="1:10" ht="16.5" customHeight="1" x14ac:dyDescent="0.25">
      <c r="A1330" s="8" t="s">
        <v>5884</v>
      </c>
      <c r="B1330" s="8" t="s">
        <v>5885</v>
      </c>
      <c r="C1330" s="8" t="s">
        <v>5886</v>
      </c>
      <c r="D1330" s="8" t="s">
        <v>5885</v>
      </c>
      <c r="E1330" s="105">
        <v>0</v>
      </c>
      <c r="F1330" s="106" t="s">
        <v>2018</v>
      </c>
      <c r="G1330" s="8"/>
      <c r="H1330" s="8"/>
      <c r="I1330" s="107">
        <v>0</v>
      </c>
      <c r="J1330" s="8" t="s">
        <v>4722</v>
      </c>
    </row>
    <row r="1331" spans="1:10" ht="16.5" customHeight="1" x14ac:dyDescent="0.25">
      <c r="A1331" s="8" t="s">
        <v>5887</v>
      </c>
      <c r="B1331" s="8" t="s">
        <v>5888</v>
      </c>
      <c r="C1331" s="8" t="s">
        <v>2638</v>
      </c>
      <c r="D1331" s="8" t="s">
        <v>5888</v>
      </c>
      <c r="E1331" s="105">
        <v>4.55</v>
      </c>
      <c r="F1331" s="106" t="s">
        <v>2024</v>
      </c>
      <c r="G1331" s="8"/>
      <c r="H1331" s="8"/>
      <c r="I1331" s="107">
        <v>0</v>
      </c>
      <c r="J1331" s="8" t="s">
        <v>2019</v>
      </c>
    </row>
    <row r="1332" spans="1:10" ht="16.5" customHeight="1" x14ac:dyDescent="0.25">
      <c r="A1332" s="8" t="s">
        <v>5889</v>
      </c>
      <c r="B1332" s="8" t="s">
        <v>5890</v>
      </c>
      <c r="C1332" s="8" t="s">
        <v>5891</v>
      </c>
      <c r="D1332" s="8" t="s">
        <v>5890</v>
      </c>
      <c r="E1332" s="105">
        <v>20</v>
      </c>
      <c r="F1332" s="106" t="s">
        <v>2018</v>
      </c>
      <c r="G1332" s="8"/>
      <c r="H1332" s="8"/>
      <c r="I1332" s="107">
        <v>0</v>
      </c>
      <c r="J1332" s="8" t="s">
        <v>2019</v>
      </c>
    </row>
    <row r="1333" spans="1:10" ht="16.5" customHeight="1" x14ac:dyDescent="0.25">
      <c r="A1333" s="8" t="s">
        <v>5892</v>
      </c>
      <c r="B1333" s="8" t="s">
        <v>5893</v>
      </c>
      <c r="C1333" s="8" t="s">
        <v>1006</v>
      </c>
      <c r="D1333" s="8" t="s">
        <v>5893</v>
      </c>
      <c r="E1333" s="105">
        <v>18</v>
      </c>
      <c r="F1333" s="106" t="s">
        <v>2018</v>
      </c>
      <c r="G1333" s="8"/>
      <c r="H1333" s="8"/>
      <c r="I1333" s="107">
        <v>0</v>
      </c>
      <c r="J1333" s="8" t="s">
        <v>2019</v>
      </c>
    </row>
    <row r="1334" spans="1:10" ht="16.5" customHeight="1" x14ac:dyDescent="0.25">
      <c r="A1334" s="8" t="s">
        <v>5894</v>
      </c>
      <c r="B1334" s="8" t="s">
        <v>5895</v>
      </c>
      <c r="C1334" s="8" t="s">
        <v>5896</v>
      </c>
      <c r="D1334" s="8" t="s">
        <v>5895</v>
      </c>
      <c r="E1334" s="105">
        <v>14.5</v>
      </c>
      <c r="F1334" s="106" t="s">
        <v>2018</v>
      </c>
      <c r="G1334" s="8"/>
      <c r="H1334" s="8"/>
      <c r="I1334" s="107">
        <v>0</v>
      </c>
      <c r="J1334" s="8" t="s">
        <v>2019</v>
      </c>
    </row>
    <row r="1335" spans="1:10" ht="16.5" customHeight="1" x14ac:dyDescent="0.25">
      <c r="A1335" s="8" t="s">
        <v>5897</v>
      </c>
      <c r="B1335" s="8" t="s">
        <v>5898</v>
      </c>
      <c r="C1335" s="8" t="s">
        <v>5899</v>
      </c>
      <c r="D1335" s="8" t="s">
        <v>5898</v>
      </c>
      <c r="E1335" s="105">
        <v>0</v>
      </c>
      <c r="F1335" s="106" t="s">
        <v>2024</v>
      </c>
      <c r="G1335" s="8"/>
      <c r="H1335" s="8"/>
      <c r="I1335" s="107">
        <v>0</v>
      </c>
      <c r="J1335" s="8" t="s">
        <v>4722</v>
      </c>
    </row>
    <row r="1336" spans="1:10" ht="16.5" customHeight="1" x14ac:dyDescent="0.25">
      <c r="A1336" s="8" t="s">
        <v>5900</v>
      </c>
      <c r="B1336" s="8" t="s">
        <v>5901</v>
      </c>
      <c r="C1336" s="8" t="s">
        <v>5902</v>
      </c>
      <c r="D1336" s="8" t="s">
        <v>5901</v>
      </c>
      <c r="E1336" s="105">
        <v>0</v>
      </c>
      <c r="F1336" s="106" t="s">
        <v>2024</v>
      </c>
      <c r="G1336" s="8"/>
      <c r="H1336" s="8"/>
      <c r="I1336" s="107">
        <v>0</v>
      </c>
      <c r="J1336" s="8" t="s">
        <v>4722</v>
      </c>
    </row>
    <row r="1337" spans="1:10" ht="16.5" customHeight="1" x14ac:dyDescent="0.25">
      <c r="A1337" s="8" t="s">
        <v>5903</v>
      </c>
      <c r="B1337" s="8" t="s">
        <v>5904</v>
      </c>
      <c r="C1337" s="8" t="s">
        <v>5905</v>
      </c>
      <c r="D1337" s="8" t="s">
        <v>5904</v>
      </c>
      <c r="E1337" s="105">
        <v>0</v>
      </c>
      <c r="F1337" s="106" t="s">
        <v>2024</v>
      </c>
      <c r="G1337" s="8"/>
      <c r="H1337" s="8"/>
      <c r="I1337" s="107">
        <v>0</v>
      </c>
      <c r="J1337" s="8" t="s">
        <v>4722</v>
      </c>
    </row>
    <row r="1338" spans="1:10" ht="16.5" customHeight="1" x14ac:dyDescent="0.25">
      <c r="A1338" s="8" t="s">
        <v>5906</v>
      </c>
      <c r="B1338" s="8" t="s">
        <v>5907</v>
      </c>
      <c r="C1338" s="8" t="s">
        <v>5908</v>
      </c>
      <c r="D1338" s="8" t="s">
        <v>5907</v>
      </c>
      <c r="E1338" s="105">
        <v>0</v>
      </c>
      <c r="F1338" s="106" t="s">
        <v>2024</v>
      </c>
      <c r="G1338" s="8"/>
      <c r="H1338" s="8"/>
      <c r="I1338" s="107">
        <v>0</v>
      </c>
      <c r="J1338" s="8" t="s">
        <v>4722</v>
      </c>
    </row>
    <row r="1339" spans="1:10" ht="16.5" customHeight="1" x14ac:dyDescent="0.25">
      <c r="A1339" s="8" t="s">
        <v>5909</v>
      </c>
      <c r="B1339" s="8" t="s">
        <v>5910</v>
      </c>
      <c r="C1339" s="8" t="s">
        <v>5911</v>
      </c>
      <c r="D1339" s="8" t="s">
        <v>5910</v>
      </c>
      <c r="E1339" s="105">
        <v>18</v>
      </c>
      <c r="F1339" s="106" t="s">
        <v>2018</v>
      </c>
      <c r="G1339" s="8"/>
      <c r="H1339" s="8"/>
      <c r="I1339" s="107">
        <v>0</v>
      </c>
      <c r="J1339" s="8" t="s">
        <v>2019</v>
      </c>
    </row>
    <row r="1340" spans="1:10" ht="16.5" customHeight="1" x14ac:dyDescent="0.25">
      <c r="A1340" s="8" t="s">
        <v>5912</v>
      </c>
      <c r="B1340" s="8" t="s">
        <v>5913</v>
      </c>
      <c r="C1340" s="8" t="s">
        <v>5914</v>
      </c>
      <c r="D1340" s="8" t="s">
        <v>5913</v>
      </c>
      <c r="E1340" s="105">
        <v>40</v>
      </c>
      <c r="F1340" s="106" t="s">
        <v>2024</v>
      </c>
      <c r="G1340" s="8"/>
      <c r="H1340" s="8"/>
      <c r="I1340" s="107">
        <v>0</v>
      </c>
      <c r="J1340" s="8" t="s">
        <v>3580</v>
      </c>
    </row>
    <row r="1341" spans="1:10" ht="16.5" customHeight="1" x14ac:dyDescent="0.25">
      <c r="A1341" s="8" t="s">
        <v>5915</v>
      </c>
      <c r="B1341" s="8" t="s">
        <v>5916</v>
      </c>
      <c r="C1341" s="8" t="s">
        <v>5917</v>
      </c>
      <c r="D1341" s="8" t="s">
        <v>5916</v>
      </c>
      <c r="E1341" s="105">
        <v>25</v>
      </c>
      <c r="F1341" s="106" t="s">
        <v>2024</v>
      </c>
      <c r="G1341" s="8"/>
      <c r="H1341" s="8"/>
      <c r="I1341" s="107">
        <v>0</v>
      </c>
      <c r="J1341" s="8" t="s">
        <v>3580</v>
      </c>
    </row>
    <row r="1342" spans="1:10" ht="16.5" customHeight="1" x14ac:dyDescent="0.25">
      <c r="A1342" s="8" t="s">
        <v>5918</v>
      </c>
      <c r="B1342" s="8" t="s">
        <v>5919</v>
      </c>
      <c r="C1342" s="8" t="s">
        <v>3592</v>
      </c>
      <c r="D1342" s="8" t="s">
        <v>5919</v>
      </c>
      <c r="E1342" s="105">
        <v>1</v>
      </c>
      <c r="F1342" s="106" t="s">
        <v>2024</v>
      </c>
      <c r="G1342" s="8"/>
      <c r="H1342" s="8"/>
      <c r="I1342" s="107">
        <v>0</v>
      </c>
      <c r="J1342" s="8" t="s">
        <v>3580</v>
      </c>
    </row>
    <row r="1343" spans="1:10" ht="16.5" customHeight="1" x14ac:dyDescent="0.25">
      <c r="A1343" s="8" t="s">
        <v>5920</v>
      </c>
      <c r="B1343" s="8" t="s">
        <v>5921</v>
      </c>
      <c r="C1343" s="8" t="s">
        <v>5922</v>
      </c>
      <c r="D1343" s="8" t="s">
        <v>5921</v>
      </c>
      <c r="E1343" s="105">
        <v>1</v>
      </c>
      <c r="F1343" s="106" t="s">
        <v>2024</v>
      </c>
      <c r="G1343" s="8"/>
      <c r="H1343" s="8"/>
      <c r="I1343" s="107">
        <v>0</v>
      </c>
      <c r="J1343" s="8" t="s">
        <v>3580</v>
      </c>
    </row>
    <row r="1344" spans="1:10" ht="16.5" customHeight="1" x14ac:dyDescent="0.25">
      <c r="A1344" s="8" t="s">
        <v>5923</v>
      </c>
      <c r="B1344" s="8" t="s">
        <v>5924</v>
      </c>
      <c r="C1344" s="8" t="s">
        <v>5925</v>
      </c>
      <c r="D1344" s="8" t="s">
        <v>5924</v>
      </c>
      <c r="E1344" s="105">
        <v>18</v>
      </c>
      <c r="F1344" s="106" t="s">
        <v>2018</v>
      </c>
      <c r="G1344" s="8"/>
      <c r="H1344" s="8"/>
      <c r="I1344" s="107">
        <v>0</v>
      </c>
      <c r="J1344" s="8" t="s">
        <v>2019</v>
      </c>
    </row>
    <row r="1345" spans="1:10" ht="16.5" customHeight="1" x14ac:dyDescent="0.25">
      <c r="A1345" s="8" t="s">
        <v>5926</v>
      </c>
      <c r="B1345" s="8" t="s">
        <v>5927</v>
      </c>
      <c r="C1345" s="8" t="s">
        <v>1710</v>
      </c>
      <c r="D1345" s="8" t="s">
        <v>5927</v>
      </c>
      <c r="E1345" s="105">
        <v>11.148</v>
      </c>
      <c r="F1345" s="106" t="s">
        <v>2024</v>
      </c>
      <c r="G1345" s="8" t="s">
        <v>1541</v>
      </c>
      <c r="H1345" s="8" t="s">
        <v>5928</v>
      </c>
      <c r="I1345" s="107">
        <v>20</v>
      </c>
      <c r="J1345" s="8" t="s">
        <v>5929</v>
      </c>
    </row>
    <row r="1346" spans="1:10" ht="16.5" customHeight="1" x14ac:dyDescent="0.25">
      <c r="A1346" s="8" t="s">
        <v>5930</v>
      </c>
      <c r="B1346" s="8" t="s">
        <v>5931</v>
      </c>
      <c r="C1346" s="8" t="s">
        <v>5932</v>
      </c>
      <c r="D1346" s="8" t="s">
        <v>5931</v>
      </c>
      <c r="E1346" s="105">
        <v>6</v>
      </c>
      <c r="F1346" s="106" t="s">
        <v>2024</v>
      </c>
      <c r="G1346" s="8"/>
      <c r="H1346" s="8"/>
      <c r="I1346" s="107">
        <v>0</v>
      </c>
      <c r="J1346" s="8" t="s">
        <v>5929</v>
      </c>
    </row>
    <row r="1347" spans="1:10" ht="16.5" customHeight="1" x14ac:dyDescent="0.25">
      <c r="A1347" s="8" t="s">
        <v>5933</v>
      </c>
      <c r="B1347" s="8" t="s">
        <v>5934</v>
      </c>
      <c r="C1347" s="8" t="s">
        <v>5935</v>
      </c>
      <c r="D1347" s="8" t="s">
        <v>5934</v>
      </c>
      <c r="E1347" s="105">
        <v>6.3</v>
      </c>
      <c r="F1347" s="106" t="s">
        <v>2024</v>
      </c>
      <c r="G1347" s="8"/>
      <c r="H1347" s="8"/>
      <c r="I1347" s="107">
        <v>0</v>
      </c>
      <c r="J1347" s="8" t="s">
        <v>5929</v>
      </c>
    </row>
    <row r="1348" spans="1:10" ht="16.5" customHeight="1" x14ac:dyDescent="0.25">
      <c r="A1348" s="8" t="s">
        <v>5936</v>
      </c>
      <c r="B1348" s="8" t="s">
        <v>5937</v>
      </c>
      <c r="C1348" s="8" t="s">
        <v>5938</v>
      </c>
      <c r="D1348" s="8" t="s">
        <v>5937</v>
      </c>
      <c r="E1348" s="105">
        <v>11.1</v>
      </c>
      <c r="F1348" s="106" t="s">
        <v>2024</v>
      </c>
      <c r="G1348" s="8"/>
      <c r="H1348" s="8"/>
      <c r="I1348" s="107">
        <v>0</v>
      </c>
      <c r="J1348" s="8" t="s">
        <v>5929</v>
      </c>
    </row>
    <row r="1349" spans="1:10" ht="16.5" customHeight="1" x14ac:dyDescent="0.25">
      <c r="A1349" s="8" t="s">
        <v>5939</v>
      </c>
      <c r="B1349" s="8" t="s">
        <v>5940</v>
      </c>
      <c r="C1349" s="8" t="s">
        <v>5941</v>
      </c>
      <c r="D1349" s="8" t="s">
        <v>5940</v>
      </c>
      <c r="E1349" s="105">
        <v>6.22</v>
      </c>
      <c r="F1349" s="106" t="s">
        <v>2024</v>
      </c>
      <c r="G1349" s="8"/>
      <c r="H1349" s="8"/>
      <c r="I1349" s="107">
        <v>0</v>
      </c>
      <c r="J1349" s="8" t="s">
        <v>5929</v>
      </c>
    </row>
    <row r="1350" spans="1:10" ht="16.5" customHeight="1" x14ac:dyDescent="0.25">
      <c r="A1350" s="8" t="s">
        <v>5942</v>
      </c>
      <c r="B1350" s="8" t="s">
        <v>5943</v>
      </c>
      <c r="C1350" s="8" t="s">
        <v>5944</v>
      </c>
      <c r="D1350" s="8" t="s">
        <v>5943</v>
      </c>
      <c r="E1350" s="105">
        <v>13</v>
      </c>
      <c r="F1350" s="106" t="s">
        <v>2024</v>
      </c>
      <c r="G1350" s="8"/>
      <c r="H1350" s="8"/>
      <c r="I1350" s="107">
        <v>0</v>
      </c>
      <c r="J1350" s="8" t="s">
        <v>5929</v>
      </c>
    </row>
    <row r="1351" spans="1:10" ht="16.5" customHeight="1" x14ac:dyDescent="0.25">
      <c r="A1351" s="8" t="s">
        <v>5945</v>
      </c>
      <c r="B1351" s="8" t="s">
        <v>5946</v>
      </c>
      <c r="C1351" s="8" t="s">
        <v>5947</v>
      </c>
      <c r="D1351" s="8" t="s">
        <v>5946</v>
      </c>
      <c r="E1351" s="105">
        <v>13.0692</v>
      </c>
      <c r="F1351" s="106" t="s">
        <v>2024</v>
      </c>
      <c r="G1351" s="8"/>
      <c r="H1351" s="8"/>
      <c r="I1351" s="107">
        <v>0</v>
      </c>
      <c r="J1351" s="8" t="s">
        <v>5929</v>
      </c>
    </row>
    <row r="1352" spans="1:10" ht="16.5" customHeight="1" x14ac:dyDescent="0.25">
      <c r="A1352" s="8" t="s">
        <v>5948</v>
      </c>
      <c r="B1352" s="8" t="s">
        <v>5949</v>
      </c>
      <c r="C1352" s="8" t="s">
        <v>5950</v>
      </c>
      <c r="D1352" s="8" t="s">
        <v>5949</v>
      </c>
      <c r="E1352" s="105">
        <v>4.6851000000000003</v>
      </c>
      <c r="F1352" s="106" t="s">
        <v>2024</v>
      </c>
      <c r="G1352" s="8" t="s">
        <v>1541</v>
      </c>
      <c r="H1352" s="8" t="s">
        <v>5951</v>
      </c>
      <c r="I1352" s="107">
        <v>20</v>
      </c>
      <c r="J1352" s="8" t="s">
        <v>5929</v>
      </c>
    </row>
    <row r="1353" spans="1:10" ht="16.5" customHeight="1" x14ac:dyDescent="0.25">
      <c r="A1353" s="8" t="s">
        <v>5952</v>
      </c>
      <c r="B1353" s="8" t="s">
        <v>5953</v>
      </c>
      <c r="C1353" s="8" t="s">
        <v>5954</v>
      </c>
      <c r="D1353" s="8" t="s">
        <v>5953</v>
      </c>
      <c r="E1353" s="105">
        <v>13.064399999999999</v>
      </c>
      <c r="F1353" s="106" t="s">
        <v>2024</v>
      </c>
      <c r="G1353" s="8"/>
      <c r="H1353" s="8"/>
      <c r="I1353" s="107">
        <v>0</v>
      </c>
      <c r="J1353" s="8" t="s">
        <v>5929</v>
      </c>
    </row>
    <row r="1354" spans="1:10" ht="16.5" customHeight="1" x14ac:dyDescent="0.25">
      <c r="A1354" s="8" t="s">
        <v>5955</v>
      </c>
      <c r="B1354" s="8" t="s">
        <v>5956</v>
      </c>
      <c r="C1354" s="8" t="s">
        <v>5957</v>
      </c>
      <c r="D1354" s="8" t="s">
        <v>5956</v>
      </c>
      <c r="E1354" s="105">
        <v>6</v>
      </c>
      <c r="F1354" s="106" t="s">
        <v>2024</v>
      </c>
      <c r="G1354" s="8" t="s">
        <v>1541</v>
      </c>
      <c r="H1354" s="8" t="s">
        <v>5958</v>
      </c>
      <c r="I1354" s="107">
        <v>24</v>
      </c>
      <c r="J1354" s="8" t="s">
        <v>5929</v>
      </c>
    </row>
    <row r="1355" spans="1:10" ht="16.5" customHeight="1" x14ac:dyDescent="0.25">
      <c r="A1355" s="8" t="s">
        <v>5959</v>
      </c>
      <c r="B1355" s="8" t="s">
        <v>5960</v>
      </c>
      <c r="C1355" s="8" t="s">
        <v>1618</v>
      </c>
      <c r="D1355" s="8" t="s">
        <v>5960</v>
      </c>
      <c r="E1355" s="105">
        <v>9.6</v>
      </c>
      <c r="F1355" s="106" t="s">
        <v>2024</v>
      </c>
      <c r="G1355" s="8" t="s">
        <v>1541</v>
      </c>
      <c r="H1355" s="8" t="s">
        <v>5961</v>
      </c>
      <c r="I1355" s="107">
        <v>24</v>
      </c>
      <c r="J1355" s="8" t="s">
        <v>5929</v>
      </c>
    </row>
    <row r="1356" spans="1:10" ht="16.5" customHeight="1" x14ac:dyDescent="0.25">
      <c r="A1356" s="8" t="s">
        <v>5962</v>
      </c>
      <c r="B1356" s="8" t="s">
        <v>5963</v>
      </c>
      <c r="C1356" s="8" t="s">
        <v>5964</v>
      </c>
      <c r="D1356" s="8" t="s">
        <v>5963</v>
      </c>
      <c r="E1356" s="105">
        <v>6</v>
      </c>
      <c r="F1356" s="106" t="s">
        <v>2024</v>
      </c>
      <c r="G1356" s="8" t="s">
        <v>1541</v>
      </c>
      <c r="H1356" s="8" t="s">
        <v>5965</v>
      </c>
      <c r="I1356" s="107">
        <v>24</v>
      </c>
      <c r="J1356" s="8" t="s">
        <v>5929</v>
      </c>
    </row>
    <row r="1357" spans="1:10" ht="16.5" customHeight="1" x14ac:dyDescent="0.25">
      <c r="A1357" s="8" t="s">
        <v>5966</v>
      </c>
      <c r="B1357" s="8" t="s">
        <v>5967</v>
      </c>
      <c r="C1357" s="8" t="s">
        <v>5968</v>
      </c>
      <c r="D1357" s="8" t="s">
        <v>5967</v>
      </c>
      <c r="E1357" s="105">
        <v>9.6</v>
      </c>
      <c r="F1357" s="106" t="s">
        <v>2024</v>
      </c>
      <c r="G1357" s="8"/>
      <c r="H1357" s="8"/>
      <c r="I1357" s="107">
        <v>0</v>
      </c>
      <c r="J1357" s="8" t="s">
        <v>5929</v>
      </c>
    </row>
    <row r="1358" spans="1:10" ht="16.5" customHeight="1" x14ac:dyDescent="0.25">
      <c r="A1358" s="8" t="s">
        <v>5969</v>
      </c>
      <c r="B1358" s="8" t="s">
        <v>5970</v>
      </c>
      <c r="C1358" s="8" t="s">
        <v>5971</v>
      </c>
      <c r="D1358" s="8" t="s">
        <v>5970</v>
      </c>
      <c r="E1358" s="105">
        <v>6</v>
      </c>
      <c r="F1358" s="106" t="s">
        <v>2024</v>
      </c>
      <c r="G1358" s="8"/>
      <c r="H1358" s="8"/>
      <c r="I1358" s="107">
        <v>0</v>
      </c>
      <c r="J1358" s="8" t="s">
        <v>5929</v>
      </c>
    </row>
    <row r="1359" spans="1:10" ht="16.5" customHeight="1" x14ac:dyDescent="0.25">
      <c r="A1359" s="8" t="s">
        <v>5972</v>
      </c>
      <c r="B1359" s="8" t="s">
        <v>5973</v>
      </c>
      <c r="C1359" s="8" t="s">
        <v>5974</v>
      </c>
      <c r="D1359" s="8" t="s">
        <v>5973</v>
      </c>
      <c r="E1359" s="105">
        <v>6</v>
      </c>
      <c r="F1359" s="106" t="s">
        <v>2024</v>
      </c>
      <c r="G1359" s="8"/>
      <c r="H1359" s="8"/>
      <c r="I1359" s="107">
        <v>0</v>
      </c>
      <c r="J1359" s="8" t="s">
        <v>5929</v>
      </c>
    </row>
    <row r="1360" spans="1:10" ht="16.5" customHeight="1" x14ac:dyDescent="0.25">
      <c r="A1360" s="8" t="s">
        <v>5975</v>
      </c>
      <c r="B1360" s="8" t="s">
        <v>5976</v>
      </c>
      <c r="C1360" s="8" t="s">
        <v>5977</v>
      </c>
      <c r="D1360" s="8" t="s">
        <v>5976</v>
      </c>
      <c r="E1360" s="105">
        <v>6</v>
      </c>
      <c r="F1360" s="106" t="s">
        <v>2024</v>
      </c>
      <c r="G1360" s="8"/>
      <c r="H1360" s="8"/>
      <c r="I1360" s="107">
        <v>0</v>
      </c>
      <c r="J1360" s="8" t="s">
        <v>5929</v>
      </c>
    </row>
    <row r="1361" spans="1:10" ht="16.5" customHeight="1" x14ac:dyDescent="0.25">
      <c r="A1361" s="8" t="s">
        <v>5978</v>
      </c>
      <c r="B1361" s="8" t="s">
        <v>5979</v>
      </c>
      <c r="C1361" s="8" t="s">
        <v>5980</v>
      </c>
      <c r="D1361" s="8" t="s">
        <v>5979</v>
      </c>
      <c r="E1361" s="105">
        <v>6</v>
      </c>
      <c r="F1361" s="106" t="s">
        <v>2024</v>
      </c>
      <c r="G1361" s="8"/>
      <c r="H1361" s="8"/>
      <c r="I1361" s="107">
        <v>0</v>
      </c>
      <c r="J1361" s="8" t="s">
        <v>5929</v>
      </c>
    </row>
    <row r="1362" spans="1:10" ht="16.5" customHeight="1" x14ac:dyDescent="0.25">
      <c r="A1362" s="8" t="s">
        <v>5981</v>
      </c>
      <c r="B1362" s="8" t="s">
        <v>5982</v>
      </c>
      <c r="C1362" s="8" t="s">
        <v>5983</v>
      </c>
      <c r="D1362" s="8" t="s">
        <v>5982</v>
      </c>
      <c r="E1362" s="105">
        <v>6.8</v>
      </c>
      <c r="F1362" s="106" t="s">
        <v>2024</v>
      </c>
      <c r="G1362" s="8"/>
      <c r="H1362" s="8"/>
      <c r="I1362" s="107">
        <v>0</v>
      </c>
      <c r="J1362" s="8" t="s">
        <v>5929</v>
      </c>
    </row>
    <row r="1363" spans="1:10" ht="16.5" customHeight="1" x14ac:dyDescent="0.25">
      <c r="A1363" s="8" t="s">
        <v>5984</v>
      </c>
      <c r="B1363" s="8" t="s">
        <v>5985</v>
      </c>
      <c r="C1363" s="8" t="s">
        <v>5986</v>
      </c>
      <c r="D1363" s="8" t="s">
        <v>5985</v>
      </c>
      <c r="E1363" s="105">
        <v>7.6</v>
      </c>
      <c r="F1363" s="106" t="s">
        <v>2024</v>
      </c>
      <c r="G1363" s="8"/>
      <c r="H1363" s="8"/>
      <c r="I1363" s="107">
        <v>0</v>
      </c>
      <c r="J1363" s="8" t="s">
        <v>5929</v>
      </c>
    </row>
    <row r="1364" spans="1:10" ht="16.5" customHeight="1" x14ac:dyDescent="0.25">
      <c r="A1364" s="8" t="s">
        <v>5987</v>
      </c>
      <c r="B1364" s="8" t="s">
        <v>5988</v>
      </c>
      <c r="C1364" s="8" t="s">
        <v>5989</v>
      </c>
      <c r="D1364" s="8" t="s">
        <v>5988</v>
      </c>
      <c r="E1364" s="105">
        <v>5</v>
      </c>
      <c r="F1364" s="106" t="s">
        <v>2024</v>
      </c>
      <c r="G1364" s="8"/>
      <c r="H1364" s="8"/>
      <c r="I1364" s="107">
        <v>0</v>
      </c>
      <c r="J1364" s="8" t="s">
        <v>5929</v>
      </c>
    </row>
    <row r="1365" spans="1:10" ht="16.5" customHeight="1" x14ac:dyDescent="0.25">
      <c r="A1365" s="8" t="s">
        <v>5990</v>
      </c>
      <c r="B1365" s="8" t="s">
        <v>5991</v>
      </c>
      <c r="C1365" s="8" t="s">
        <v>5992</v>
      </c>
      <c r="D1365" s="8" t="s">
        <v>5991</v>
      </c>
      <c r="E1365" s="105">
        <v>8.5</v>
      </c>
      <c r="F1365" s="106" t="s">
        <v>2024</v>
      </c>
      <c r="G1365" s="8"/>
      <c r="H1365" s="8"/>
      <c r="I1365" s="107">
        <v>0</v>
      </c>
      <c r="J1365" s="8" t="s">
        <v>5929</v>
      </c>
    </row>
    <row r="1366" spans="1:10" ht="16.5" customHeight="1" x14ac:dyDescent="0.25">
      <c r="A1366" s="8" t="s">
        <v>5993</v>
      </c>
      <c r="B1366" s="8" t="s">
        <v>5994</v>
      </c>
      <c r="C1366" s="8" t="s">
        <v>5995</v>
      </c>
      <c r="D1366" s="8" t="s">
        <v>5994</v>
      </c>
      <c r="E1366" s="105">
        <v>6.8</v>
      </c>
      <c r="F1366" s="106" t="s">
        <v>2024</v>
      </c>
      <c r="G1366" s="8"/>
      <c r="H1366" s="8"/>
      <c r="I1366" s="107">
        <v>0</v>
      </c>
      <c r="J1366" s="8" t="s">
        <v>5929</v>
      </c>
    </row>
    <row r="1367" spans="1:10" ht="16.5" customHeight="1" x14ac:dyDescent="0.25">
      <c r="A1367" s="8" t="s">
        <v>5996</v>
      </c>
      <c r="B1367" s="8" t="s">
        <v>5997</v>
      </c>
      <c r="C1367" s="8" t="s">
        <v>1573</v>
      </c>
      <c r="D1367" s="8" t="s">
        <v>5997</v>
      </c>
      <c r="E1367" s="105">
        <v>7.6</v>
      </c>
      <c r="F1367" s="106" t="s">
        <v>2024</v>
      </c>
      <c r="G1367" s="8" t="s">
        <v>1541</v>
      </c>
      <c r="H1367" s="8" t="s">
        <v>5998</v>
      </c>
      <c r="I1367" s="107">
        <v>20</v>
      </c>
      <c r="J1367" s="8" t="s">
        <v>5929</v>
      </c>
    </row>
    <row r="1368" spans="1:10" ht="16.5" customHeight="1" x14ac:dyDescent="0.25">
      <c r="A1368" s="8" t="s">
        <v>5999</v>
      </c>
      <c r="B1368" s="8" t="s">
        <v>6000</v>
      </c>
      <c r="C1368" s="8" t="s">
        <v>6001</v>
      </c>
      <c r="D1368" s="8" t="s">
        <v>6000</v>
      </c>
      <c r="E1368" s="105">
        <v>5</v>
      </c>
      <c r="F1368" s="106" t="s">
        <v>2024</v>
      </c>
      <c r="G1368" s="8"/>
      <c r="H1368" s="8"/>
      <c r="I1368" s="107">
        <v>0</v>
      </c>
      <c r="J1368" s="8" t="s">
        <v>5929</v>
      </c>
    </row>
    <row r="1369" spans="1:10" ht="16.5" customHeight="1" x14ac:dyDescent="0.25">
      <c r="A1369" s="8" t="s">
        <v>6002</v>
      </c>
      <c r="B1369" s="8" t="s">
        <v>6003</v>
      </c>
      <c r="C1369" s="8" t="s">
        <v>6004</v>
      </c>
      <c r="D1369" s="8" t="s">
        <v>6003</v>
      </c>
      <c r="E1369" s="105">
        <v>8.5</v>
      </c>
      <c r="F1369" s="106" t="s">
        <v>2024</v>
      </c>
      <c r="G1369" s="8"/>
      <c r="H1369" s="8"/>
      <c r="I1369" s="107">
        <v>0</v>
      </c>
      <c r="J1369" s="8" t="s">
        <v>5929</v>
      </c>
    </row>
    <row r="1370" spans="1:10" ht="16.5" customHeight="1" x14ac:dyDescent="0.25">
      <c r="A1370" s="8" t="s">
        <v>6005</v>
      </c>
      <c r="B1370" s="8" t="s">
        <v>6006</v>
      </c>
      <c r="C1370" s="8" t="s">
        <v>6007</v>
      </c>
      <c r="D1370" s="8" t="s">
        <v>6006</v>
      </c>
      <c r="E1370" s="105">
        <v>6.8</v>
      </c>
      <c r="F1370" s="106" t="s">
        <v>2024</v>
      </c>
      <c r="G1370" s="8"/>
      <c r="H1370" s="8"/>
      <c r="I1370" s="107">
        <v>0</v>
      </c>
      <c r="J1370" s="8" t="s">
        <v>5929</v>
      </c>
    </row>
    <row r="1371" spans="1:10" ht="16.5" customHeight="1" x14ac:dyDescent="0.25">
      <c r="A1371" s="8" t="s">
        <v>6008</v>
      </c>
      <c r="B1371" s="8" t="s">
        <v>6009</v>
      </c>
      <c r="C1371" s="8" t="s">
        <v>6010</v>
      </c>
      <c r="D1371" s="8" t="s">
        <v>6009</v>
      </c>
      <c r="E1371" s="105">
        <v>7.6</v>
      </c>
      <c r="F1371" s="106" t="s">
        <v>2024</v>
      </c>
      <c r="G1371" s="8"/>
      <c r="H1371" s="8"/>
      <c r="I1371" s="107">
        <v>0</v>
      </c>
      <c r="J1371" s="8" t="s">
        <v>5929</v>
      </c>
    </row>
    <row r="1372" spans="1:10" ht="16.5" customHeight="1" x14ac:dyDescent="0.25">
      <c r="A1372" s="8" t="s">
        <v>6011</v>
      </c>
      <c r="B1372" s="8" t="s">
        <v>6012</v>
      </c>
      <c r="C1372" s="8" t="s">
        <v>6013</v>
      </c>
      <c r="D1372" s="8" t="s">
        <v>6012</v>
      </c>
      <c r="E1372" s="105">
        <v>5</v>
      </c>
      <c r="F1372" s="106" t="s">
        <v>2024</v>
      </c>
      <c r="G1372" s="8"/>
      <c r="H1372" s="8"/>
      <c r="I1372" s="107">
        <v>0</v>
      </c>
      <c r="J1372" s="8" t="s">
        <v>5929</v>
      </c>
    </row>
    <row r="1373" spans="1:10" ht="16.5" customHeight="1" x14ac:dyDescent="0.25">
      <c r="A1373" s="8" t="s">
        <v>6014</v>
      </c>
      <c r="B1373" s="8" t="s">
        <v>6015</v>
      </c>
      <c r="C1373" s="8" t="s">
        <v>6016</v>
      </c>
      <c r="D1373" s="8" t="s">
        <v>6015</v>
      </c>
      <c r="E1373" s="105">
        <v>8.5</v>
      </c>
      <c r="F1373" s="106" t="s">
        <v>2024</v>
      </c>
      <c r="G1373" s="8"/>
      <c r="H1373" s="8"/>
      <c r="I1373" s="107">
        <v>0</v>
      </c>
      <c r="J1373" s="8" t="s">
        <v>5929</v>
      </c>
    </row>
    <row r="1374" spans="1:10" ht="16.5" customHeight="1" x14ac:dyDescent="0.25">
      <c r="A1374" s="8" t="s">
        <v>6017</v>
      </c>
      <c r="B1374" s="8" t="s">
        <v>6018</v>
      </c>
      <c r="C1374" s="8" t="s">
        <v>6019</v>
      </c>
      <c r="D1374" s="8" t="s">
        <v>6018</v>
      </c>
      <c r="E1374" s="105">
        <v>6</v>
      </c>
      <c r="F1374" s="106" t="s">
        <v>2024</v>
      </c>
      <c r="G1374" s="8"/>
      <c r="H1374" s="8"/>
      <c r="I1374" s="107">
        <v>0</v>
      </c>
      <c r="J1374" s="8" t="s">
        <v>5929</v>
      </c>
    </row>
    <row r="1375" spans="1:10" ht="16.5" customHeight="1" x14ac:dyDescent="0.25">
      <c r="A1375" s="8" t="s">
        <v>6020</v>
      </c>
      <c r="B1375" s="8" t="s">
        <v>6021</v>
      </c>
      <c r="C1375" s="8" t="s">
        <v>6022</v>
      </c>
      <c r="D1375" s="8" t="s">
        <v>6021</v>
      </c>
      <c r="E1375" s="105">
        <v>6.36</v>
      </c>
      <c r="F1375" s="106" t="s">
        <v>2024</v>
      </c>
      <c r="G1375" s="8"/>
      <c r="H1375" s="8"/>
      <c r="I1375" s="107">
        <v>0</v>
      </c>
      <c r="J1375" s="8" t="s">
        <v>5929</v>
      </c>
    </row>
    <row r="1376" spans="1:10" ht="16.5" customHeight="1" x14ac:dyDescent="0.25">
      <c r="A1376" s="8" t="s">
        <v>6023</v>
      </c>
      <c r="B1376" s="8" t="s">
        <v>6024</v>
      </c>
      <c r="C1376" s="8" t="s">
        <v>1567</v>
      </c>
      <c r="D1376" s="8" t="s">
        <v>6024</v>
      </c>
      <c r="E1376" s="105">
        <v>6</v>
      </c>
      <c r="F1376" s="106" t="s">
        <v>2024</v>
      </c>
      <c r="G1376" s="8" t="s">
        <v>1541</v>
      </c>
      <c r="H1376" s="8" t="s">
        <v>6025</v>
      </c>
      <c r="I1376" s="107">
        <v>24</v>
      </c>
      <c r="J1376" s="8" t="s">
        <v>5929</v>
      </c>
    </row>
    <row r="1377" spans="1:10" ht="16.5" customHeight="1" x14ac:dyDescent="0.25">
      <c r="A1377" s="8" t="s">
        <v>6026</v>
      </c>
      <c r="B1377" s="8" t="s">
        <v>6027</v>
      </c>
      <c r="C1377" s="8" t="s">
        <v>6028</v>
      </c>
      <c r="D1377" s="8" t="s">
        <v>6027</v>
      </c>
      <c r="E1377" s="105">
        <v>5.64</v>
      </c>
      <c r="F1377" s="106" t="s">
        <v>2024</v>
      </c>
      <c r="G1377" s="8"/>
      <c r="H1377" s="8"/>
      <c r="I1377" s="107">
        <v>0</v>
      </c>
      <c r="J1377" s="8" t="s">
        <v>5929</v>
      </c>
    </row>
    <row r="1378" spans="1:10" ht="16.5" customHeight="1" x14ac:dyDescent="0.25">
      <c r="A1378" s="8" t="s">
        <v>6029</v>
      </c>
      <c r="B1378" s="8" t="s">
        <v>6030</v>
      </c>
      <c r="C1378" s="8" t="s">
        <v>6031</v>
      </c>
      <c r="D1378" s="8" t="s">
        <v>6030</v>
      </c>
      <c r="E1378" s="105">
        <v>6</v>
      </c>
      <c r="F1378" s="106" t="s">
        <v>2024</v>
      </c>
      <c r="G1378" s="8"/>
      <c r="H1378" s="8"/>
      <c r="I1378" s="107">
        <v>0</v>
      </c>
      <c r="J1378" s="8" t="s">
        <v>5929</v>
      </c>
    </row>
    <row r="1379" spans="1:10" ht="16.5" customHeight="1" x14ac:dyDescent="0.25">
      <c r="A1379" s="8" t="s">
        <v>6032</v>
      </c>
      <c r="B1379" s="8" t="s">
        <v>4876</v>
      </c>
      <c r="C1379" s="8" t="s">
        <v>6033</v>
      </c>
      <c r="D1379" s="8" t="s">
        <v>4876</v>
      </c>
      <c r="E1379" s="105">
        <v>12.6</v>
      </c>
      <c r="F1379" s="106" t="s">
        <v>2024</v>
      </c>
      <c r="G1379" s="8" t="s">
        <v>1541</v>
      </c>
      <c r="H1379" s="8" t="s">
        <v>6034</v>
      </c>
      <c r="I1379" s="107">
        <v>6</v>
      </c>
      <c r="J1379" s="8" t="s">
        <v>5929</v>
      </c>
    </row>
    <row r="1380" spans="1:10" ht="16.5" customHeight="1" x14ac:dyDescent="0.25">
      <c r="A1380" s="8" t="s">
        <v>6035</v>
      </c>
      <c r="B1380" s="8" t="s">
        <v>6036</v>
      </c>
      <c r="C1380" s="8" t="s">
        <v>6037</v>
      </c>
      <c r="D1380" s="8" t="s">
        <v>6036</v>
      </c>
      <c r="E1380" s="105">
        <v>20</v>
      </c>
      <c r="F1380" s="106" t="s">
        <v>2024</v>
      </c>
      <c r="G1380" s="8"/>
      <c r="H1380" s="8"/>
      <c r="I1380" s="107">
        <v>0</v>
      </c>
      <c r="J1380" s="8" t="s">
        <v>5929</v>
      </c>
    </row>
    <row r="1381" spans="1:10" ht="16.5" customHeight="1" x14ac:dyDescent="0.25">
      <c r="A1381" s="8" t="s">
        <v>6038</v>
      </c>
      <c r="B1381" s="8" t="s">
        <v>6039</v>
      </c>
      <c r="C1381" s="8" t="s">
        <v>6040</v>
      </c>
      <c r="D1381" s="8" t="s">
        <v>6039</v>
      </c>
      <c r="E1381" s="105">
        <v>13.2</v>
      </c>
      <c r="F1381" s="106" t="s">
        <v>2024</v>
      </c>
      <c r="G1381" s="8"/>
      <c r="H1381" s="8"/>
      <c r="I1381" s="107">
        <v>0</v>
      </c>
      <c r="J1381" s="8" t="s">
        <v>5929</v>
      </c>
    </row>
    <row r="1382" spans="1:10" ht="16.5" customHeight="1" x14ac:dyDescent="0.25">
      <c r="A1382" s="8" t="s">
        <v>6041</v>
      </c>
      <c r="B1382" s="8" t="s">
        <v>6042</v>
      </c>
      <c r="C1382" s="8" t="s">
        <v>6043</v>
      </c>
      <c r="D1382" s="8" t="s">
        <v>6042</v>
      </c>
      <c r="E1382" s="105">
        <v>20</v>
      </c>
      <c r="F1382" s="106" t="s">
        <v>2024</v>
      </c>
      <c r="G1382" s="8"/>
      <c r="H1382" s="8"/>
      <c r="I1382" s="107">
        <v>0</v>
      </c>
      <c r="J1382" s="8" t="s">
        <v>5929</v>
      </c>
    </row>
    <row r="1383" spans="1:10" ht="16.5" customHeight="1" x14ac:dyDescent="0.25">
      <c r="A1383" s="8" t="s">
        <v>6044</v>
      </c>
      <c r="B1383" s="8" t="s">
        <v>6045</v>
      </c>
      <c r="C1383" s="8" t="s">
        <v>6046</v>
      </c>
      <c r="D1383" s="8" t="s">
        <v>6045</v>
      </c>
      <c r="E1383" s="105">
        <v>4.8</v>
      </c>
      <c r="F1383" s="106" t="s">
        <v>2024</v>
      </c>
      <c r="G1383" s="8" t="s">
        <v>1541</v>
      </c>
      <c r="H1383" s="8" t="s">
        <v>6047</v>
      </c>
      <c r="I1383" s="107">
        <v>60</v>
      </c>
      <c r="J1383" s="8" t="s">
        <v>5929</v>
      </c>
    </row>
    <row r="1384" spans="1:10" ht="16.5" customHeight="1" x14ac:dyDescent="0.25">
      <c r="A1384" s="8" t="s">
        <v>6048</v>
      </c>
      <c r="B1384" s="8" t="s">
        <v>6049</v>
      </c>
      <c r="C1384" s="8" t="s">
        <v>6050</v>
      </c>
      <c r="D1384" s="8" t="s">
        <v>6049</v>
      </c>
      <c r="E1384" s="105">
        <v>4.8</v>
      </c>
      <c r="F1384" s="106" t="s">
        <v>2024</v>
      </c>
      <c r="G1384" s="8"/>
      <c r="H1384" s="8"/>
      <c r="I1384" s="107">
        <v>0</v>
      </c>
      <c r="J1384" s="8" t="s">
        <v>5929</v>
      </c>
    </row>
    <row r="1385" spans="1:10" ht="16.5" customHeight="1" x14ac:dyDescent="0.25">
      <c r="A1385" s="8" t="s">
        <v>6051</v>
      </c>
      <c r="B1385" s="8" t="s">
        <v>6052</v>
      </c>
      <c r="C1385" s="8" t="s">
        <v>1633</v>
      </c>
      <c r="D1385" s="8" t="s">
        <v>6052</v>
      </c>
      <c r="E1385" s="105">
        <v>10</v>
      </c>
      <c r="F1385" s="106" t="s">
        <v>2024</v>
      </c>
      <c r="G1385" s="8"/>
      <c r="H1385" s="8"/>
      <c r="I1385" s="107">
        <v>0</v>
      </c>
      <c r="J1385" s="8" t="s">
        <v>5929</v>
      </c>
    </row>
    <row r="1386" spans="1:10" ht="16.5" customHeight="1" x14ac:dyDescent="0.25">
      <c r="A1386" s="8" t="s">
        <v>6053</v>
      </c>
      <c r="B1386" s="8" t="s">
        <v>6054</v>
      </c>
      <c r="C1386" s="8" t="s">
        <v>6055</v>
      </c>
      <c r="D1386" s="8" t="s">
        <v>6054</v>
      </c>
      <c r="E1386" s="105">
        <v>13.2</v>
      </c>
      <c r="F1386" s="106" t="s">
        <v>2024</v>
      </c>
      <c r="G1386" s="8"/>
      <c r="H1386" s="8"/>
      <c r="I1386" s="107">
        <v>0</v>
      </c>
      <c r="J1386" s="8" t="s">
        <v>5929</v>
      </c>
    </row>
    <row r="1387" spans="1:10" ht="16.5" customHeight="1" x14ac:dyDescent="0.25">
      <c r="A1387" s="8" t="s">
        <v>6056</v>
      </c>
      <c r="B1387" s="8" t="s">
        <v>6057</v>
      </c>
      <c r="C1387" s="8" t="s">
        <v>6058</v>
      </c>
      <c r="D1387" s="8" t="s">
        <v>6057</v>
      </c>
      <c r="E1387" s="105">
        <v>19.5336</v>
      </c>
      <c r="F1387" s="106" t="s">
        <v>2024</v>
      </c>
      <c r="G1387" s="8"/>
      <c r="H1387" s="8"/>
      <c r="I1387" s="107">
        <v>0</v>
      </c>
      <c r="J1387" s="8" t="s">
        <v>5929</v>
      </c>
    </row>
    <row r="1388" spans="1:10" ht="16.5" customHeight="1" x14ac:dyDescent="0.25">
      <c r="A1388" s="8" t="s">
        <v>6059</v>
      </c>
      <c r="B1388" s="8" t="s">
        <v>6060</v>
      </c>
      <c r="C1388" s="8" t="s">
        <v>6061</v>
      </c>
      <c r="D1388" s="8" t="s">
        <v>6060</v>
      </c>
      <c r="E1388" s="105">
        <v>12.2</v>
      </c>
      <c r="F1388" s="106" t="s">
        <v>2024</v>
      </c>
      <c r="G1388" s="8"/>
      <c r="H1388" s="8"/>
      <c r="I1388" s="107">
        <v>0</v>
      </c>
      <c r="J1388" s="8" t="s">
        <v>5929</v>
      </c>
    </row>
    <row r="1389" spans="1:10" ht="16.5" customHeight="1" x14ac:dyDescent="0.25">
      <c r="A1389" s="8" t="s">
        <v>6062</v>
      </c>
      <c r="B1389" s="8" t="s">
        <v>6063</v>
      </c>
      <c r="C1389" s="8" t="s">
        <v>6064</v>
      </c>
      <c r="D1389" s="8" t="s">
        <v>6063</v>
      </c>
      <c r="E1389" s="105">
        <v>12.14</v>
      </c>
      <c r="F1389" s="106" t="s">
        <v>2024</v>
      </c>
      <c r="G1389" s="8"/>
      <c r="H1389" s="8"/>
      <c r="I1389" s="107">
        <v>0</v>
      </c>
      <c r="J1389" s="8" t="s">
        <v>5929</v>
      </c>
    </row>
    <row r="1390" spans="1:10" ht="16.5" customHeight="1" x14ac:dyDescent="0.25">
      <c r="A1390" s="8" t="s">
        <v>6065</v>
      </c>
      <c r="B1390" s="8" t="s">
        <v>6066</v>
      </c>
      <c r="C1390" s="8" t="s">
        <v>6067</v>
      </c>
      <c r="D1390" s="8" t="s">
        <v>6066</v>
      </c>
      <c r="E1390" s="105">
        <v>12.2</v>
      </c>
      <c r="F1390" s="106" t="s">
        <v>2024</v>
      </c>
      <c r="G1390" s="8"/>
      <c r="H1390" s="8"/>
      <c r="I1390" s="107">
        <v>0</v>
      </c>
      <c r="J1390" s="8" t="s">
        <v>5929</v>
      </c>
    </row>
    <row r="1391" spans="1:10" ht="16.5" customHeight="1" x14ac:dyDescent="0.25">
      <c r="A1391" s="8" t="s">
        <v>5928</v>
      </c>
      <c r="B1391" s="8" t="s">
        <v>6068</v>
      </c>
      <c r="C1391" s="8" t="s">
        <v>1710</v>
      </c>
      <c r="D1391" s="8" t="s">
        <v>6068</v>
      </c>
      <c r="E1391" s="105">
        <v>0.55740000000000001</v>
      </c>
      <c r="F1391" s="106" t="s">
        <v>2024</v>
      </c>
      <c r="G1391" s="8" t="s">
        <v>1541</v>
      </c>
      <c r="H1391" s="8"/>
      <c r="I1391" s="107">
        <v>0</v>
      </c>
      <c r="J1391" s="8" t="s">
        <v>5929</v>
      </c>
    </row>
    <row r="1392" spans="1:10" ht="16.5" customHeight="1" x14ac:dyDescent="0.25">
      <c r="A1392" s="8" t="s">
        <v>6069</v>
      </c>
      <c r="B1392" s="8" t="s">
        <v>6070</v>
      </c>
      <c r="C1392" s="8" t="s">
        <v>5932</v>
      </c>
      <c r="D1392" s="8" t="s">
        <v>6070</v>
      </c>
      <c r="E1392" s="105">
        <v>0.2</v>
      </c>
      <c r="F1392" s="106" t="s">
        <v>2024</v>
      </c>
      <c r="G1392" s="8"/>
      <c r="H1392" s="8"/>
      <c r="I1392" s="107">
        <v>0</v>
      </c>
      <c r="J1392" s="8" t="s">
        <v>5929</v>
      </c>
    </row>
    <row r="1393" spans="1:10" ht="16.5" customHeight="1" x14ac:dyDescent="0.25">
      <c r="A1393" s="8" t="s">
        <v>6071</v>
      </c>
      <c r="B1393" s="8" t="s">
        <v>6072</v>
      </c>
      <c r="C1393" s="8" t="s">
        <v>5935</v>
      </c>
      <c r="D1393" s="8" t="s">
        <v>6072</v>
      </c>
      <c r="E1393" s="105">
        <v>0.21</v>
      </c>
      <c r="F1393" s="106" t="s">
        <v>2024</v>
      </c>
      <c r="G1393" s="8"/>
      <c r="H1393" s="8"/>
      <c r="I1393" s="107">
        <v>0</v>
      </c>
      <c r="J1393" s="8" t="s">
        <v>5929</v>
      </c>
    </row>
    <row r="1394" spans="1:10" ht="16.5" customHeight="1" x14ac:dyDescent="0.25">
      <c r="A1394" s="8" t="s">
        <v>6073</v>
      </c>
      <c r="B1394" s="8" t="s">
        <v>6074</v>
      </c>
      <c r="C1394" s="8" t="s">
        <v>5938</v>
      </c>
      <c r="D1394" s="8" t="s">
        <v>6074</v>
      </c>
      <c r="E1394" s="105">
        <v>0.56079999999999997</v>
      </c>
      <c r="F1394" s="106" t="s">
        <v>2024</v>
      </c>
      <c r="G1394" s="8" t="s">
        <v>1541</v>
      </c>
      <c r="H1394" s="8"/>
      <c r="I1394" s="107">
        <v>0</v>
      </c>
      <c r="J1394" s="8" t="s">
        <v>5929</v>
      </c>
    </row>
    <row r="1395" spans="1:10" ht="16.5" customHeight="1" x14ac:dyDescent="0.25">
      <c r="A1395" s="8" t="s">
        <v>6075</v>
      </c>
      <c r="B1395" s="8" t="s">
        <v>6076</v>
      </c>
      <c r="C1395" s="8" t="s">
        <v>5941</v>
      </c>
      <c r="D1395" s="8" t="s">
        <v>6076</v>
      </c>
      <c r="E1395" s="105">
        <v>0.314</v>
      </c>
      <c r="F1395" s="106" t="s">
        <v>2024</v>
      </c>
      <c r="G1395" s="8" t="s">
        <v>1541</v>
      </c>
      <c r="H1395" s="8"/>
      <c r="I1395" s="107">
        <v>0</v>
      </c>
      <c r="J1395" s="8" t="s">
        <v>5929</v>
      </c>
    </row>
    <row r="1396" spans="1:10" ht="16.5" customHeight="1" x14ac:dyDescent="0.25">
      <c r="A1396" s="8" t="s">
        <v>6077</v>
      </c>
      <c r="B1396" s="8" t="s">
        <v>6078</v>
      </c>
      <c r="C1396" s="8" t="s">
        <v>5944</v>
      </c>
      <c r="D1396" s="8" t="s">
        <v>6078</v>
      </c>
      <c r="E1396" s="105">
        <v>0.54</v>
      </c>
      <c r="F1396" s="106" t="s">
        <v>2024</v>
      </c>
      <c r="G1396" s="8"/>
      <c r="H1396" s="8"/>
      <c r="I1396" s="107">
        <v>0</v>
      </c>
      <c r="J1396" s="8" t="s">
        <v>5929</v>
      </c>
    </row>
    <row r="1397" spans="1:10" ht="16.5" customHeight="1" x14ac:dyDescent="0.25">
      <c r="A1397" s="8" t="s">
        <v>6079</v>
      </c>
      <c r="B1397" s="8" t="s">
        <v>6080</v>
      </c>
      <c r="C1397" s="8" t="s">
        <v>5947</v>
      </c>
      <c r="D1397" s="8" t="s">
        <v>6080</v>
      </c>
      <c r="E1397" s="105">
        <v>0.54459999999999997</v>
      </c>
      <c r="F1397" s="106" t="s">
        <v>2024</v>
      </c>
      <c r="G1397" s="8"/>
      <c r="H1397" s="8"/>
      <c r="I1397" s="107">
        <v>0</v>
      </c>
      <c r="J1397" s="8" t="s">
        <v>5929</v>
      </c>
    </row>
    <row r="1398" spans="1:10" ht="16.5" customHeight="1" x14ac:dyDescent="0.25">
      <c r="A1398" s="8" t="s">
        <v>5951</v>
      </c>
      <c r="B1398" s="8" t="s">
        <v>6081</v>
      </c>
      <c r="C1398" s="8" t="s">
        <v>5950</v>
      </c>
      <c r="D1398" s="8" t="s">
        <v>6081</v>
      </c>
      <c r="E1398" s="105">
        <v>0.23430000000000001</v>
      </c>
      <c r="F1398" s="106" t="s">
        <v>2024</v>
      </c>
      <c r="G1398" s="8" t="s">
        <v>1541</v>
      </c>
      <c r="H1398" s="8"/>
      <c r="I1398" s="107">
        <v>0</v>
      </c>
      <c r="J1398" s="8" t="s">
        <v>5929</v>
      </c>
    </row>
    <row r="1399" spans="1:10" ht="16.5" customHeight="1" x14ac:dyDescent="0.25">
      <c r="A1399" s="8" t="s">
        <v>6082</v>
      </c>
      <c r="B1399" s="8" t="s">
        <v>6083</v>
      </c>
      <c r="C1399" s="8" t="s">
        <v>5954</v>
      </c>
      <c r="D1399" s="8" t="s">
        <v>6083</v>
      </c>
      <c r="E1399" s="105">
        <v>0.5444</v>
      </c>
      <c r="F1399" s="106" t="s">
        <v>2024</v>
      </c>
      <c r="G1399" s="8"/>
      <c r="H1399" s="8"/>
      <c r="I1399" s="107">
        <v>0</v>
      </c>
      <c r="J1399" s="8" t="s">
        <v>5929</v>
      </c>
    </row>
    <row r="1400" spans="1:10" ht="16.5" customHeight="1" x14ac:dyDescent="0.25">
      <c r="A1400" s="8" t="s">
        <v>5958</v>
      </c>
      <c r="B1400" s="8" t="s">
        <v>6084</v>
      </c>
      <c r="C1400" s="8" t="s">
        <v>5957</v>
      </c>
      <c r="D1400" s="8" t="s">
        <v>6084</v>
      </c>
      <c r="E1400" s="105">
        <v>0.25</v>
      </c>
      <c r="F1400" s="106" t="s">
        <v>2024</v>
      </c>
      <c r="G1400" s="8" t="s">
        <v>1541</v>
      </c>
      <c r="H1400" s="8"/>
      <c r="I1400" s="107">
        <v>0</v>
      </c>
      <c r="J1400" s="8" t="s">
        <v>5929</v>
      </c>
    </row>
    <row r="1401" spans="1:10" ht="16.5" customHeight="1" x14ac:dyDescent="0.25">
      <c r="A1401" s="8" t="s">
        <v>5961</v>
      </c>
      <c r="B1401" s="8" t="s">
        <v>6085</v>
      </c>
      <c r="C1401" s="8" t="s">
        <v>1618</v>
      </c>
      <c r="D1401" s="8" t="s">
        <v>6085</v>
      </c>
      <c r="E1401" s="105">
        <v>0.4</v>
      </c>
      <c r="F1401" s="106" t="s">
        <v>2024</v>
      </c>
      <c r="G1401" s="8" t="s">
        <v>1541</v>
      </c>
      <c r="H1401" s="8"/>
      <c r="I1401" s="107">
        <v>0</v>
      </c>
      <c r="J1401" s="8" t="s">
        <v>5929</v>
      </c>
    </row>
    <row r="1402" spans="1:10" ht="16.5" customHeight="1" x14ac:dyDescent="0.25">
      <c r="A1402" s="8" t="s">
        <v>5965</v>
      </c>
      <c r="B1402" s="8" t="s">
        <v>6086</v>
      </c>
      <c r="C1402" s="8" t="s">
        <v>5964</v>
      </c>
      <c r="D1402" s="8" t="s">
        <v>6086</v>
      </c>
      <c r="E1402" s="105">
        <v>0.25</v>
      </c>
      <c r="F1402" s="106" t="s">
        <v>2024</v>
      </c>
      <c r="G1402" s="8" t="s">
        <v>1541</v>
      </c>
      <c r="H1402" s="8"/>
      <c r="I1402" s="107">
        <v>0</v>
      </c>
      <c r="J1402" s="8" t="s">
        <v>5929</v>
      </c>
    </row>
    <row r="1403" spans="1:10" ht="16.5" customHeight="1" x14ac:dyDescent="0.25">
      <c r="A1403" s="8" t="s">
        <v>6087</v>
      </c>
      <c r="B1403" s="8" t="s">
        <v>6088</v>
      </c>
      <c r="C1403" s="8" t="s">
        <v>5968</v>
      </c>
      <c r="D1403" s="8" t="s">
        <v>6088</v>
      </c>
      <c r="E1403" s="105">
        <v>0.4</v>
      </c>
      <c r="F1403" s="106" t="s">
        <v>2024</v>
      </c>
      <c r="G1403" s="8"/>
      <c r="H1403" s="8"/>
      <c r="I1403" s="107">
        <v>0</v>
      </c>
      <c r="J1403" s="8" t="s">
        <v>5929</v>
      </c>
    </row>
    <row r="1404" spans="1:10" ht="16.5" customHeight="1" x14ac:dyDescent="0.25">
      <c r="A1404" s="8" t="s">
        <v>6089</v>
      </c>
      <c r="B1404" s="8" t="s">
        <v>6090</v>
      </c>
      <c r="C1404" s="8" t="s">
        <v>5971</v>
      </c>
      <c r="D1404" s="8" t="s">
        <v>6091</v>
      </c>
      <c r="E1404" s="105">
        <v>0.2</v>
      </c>
      <c r="F1404" s="106" t="s">
        <v>2024</v>
      </c>
      <c r="G1404" s="8"/>
      <c r="H1404" s="8"/>
      <c r="I1404" s="107">
        <v>0</v>
      </c>
      <c r="J1404" s="8" t="s">
        <v>5929</v>
      </c>
    </row>
    <row r="1405" spans="1:10" ht="16.5" customHeight="1" x14ac:dyDescent="0.25">
      <c r="A1405" s="8" t="s">
        <v>6092</v>
      </c>
      <c r="B1405" s="8" t="s">
        <v>6093</v>
      </c>
      <c r="C1405" s="8" t="s">
        <v>5974</v>
      </c>
      <c r="D1405" s="8" t="s">
        <v>6093</v>
      </c>
      <c r="E1405" s="105">
        <v>0.2</v>
      </c>
      <c r="F1405" s="106" t="s">
        <v>2024</v>
      </c>
      <c r="G1405" s="8"/>
      <c r="H1405" s="8"/>
      <c r="I1405" s="107">
        <v>0</v>
      </c>
      <c r="J1405" s="8" t="s">
        <v>5929</v>
      </c>
    </row>
    <row r="1406" spans="1:10" ht="16.5" customHeight="1" x14ac:dyDescent="0.25">
      <c r="A1406" s="8" t="s">
        <v>6094</v>
      </c>
      <c r="B1406" s="8" t="s">
        <v>6095</v>
      </c>
      <c r="C1406" s="8" t="s">
        <v>5977</v>
      </c>
      <c r="D1406" s="8" t="s">
        <v>6096</v>
      </c>
      <c r="E1406" s="105">
        <v>0.2</v>
      </c>
      <c r="F1406" s="106" t="s">
        <v>2024</v>
      </c>
      <c r="G1406" s="8"/>
      <c r="H1406" s="8"/>
      <c r="I1406" s="107">
        <v>0</v>
      </c>
      <c r="J1406" s="8" t="s">
        <v>5929</v>
      </c>
    </row>
    <row r="1407" spans="1:10" ht="16.5" customHeight="1" x14ac:dyDescent="0.25">
      <c r="A1407" s="8" t="s">
        <v>6097</v>
      </c>
      <c r="B1407" s="8" t="s">
        <v>6098</v>
      </c>
      <c r="C1407" s="8" t="s">
        <v>5980</v>
      </c>
      <c r="D1407" s="8" t="s">
        <v>6099</v>
      </c>
      <c r="E1407" s="105">
        <v>0.2</v>
      </c>
      <c r="F1407" s="106" t="s">
        <v>2024</v>
      </c>
      <c r="G1407" s="8"/>
      <c r="H1407" s="8"/>
      <c r="I1407" s="107">
        <v>0</v>
      </c>
      <c r="J1407" s="8" t="s">
        <v>5929</v>
      </c>
    </row>
    <row r="1408" spans="1:10" ht="16.5" customHeight="1" x14ac:dyDescent="0.25">
      <c r="A1408" s="8" t="s">
        <v>6100</v>
      </c>
      <c r="B1408" s="8" t="s">
        <v>6101</v>
      </c>
      <c r="C1408" s="8" t="s">
        <v>5983</v>
      </c>
      <c r="D1408" s="8" t="s">
        <v>6102</v>
      </c>
      <c r="E1408" s="105">
        <v>0.17</v>
      </c>
      <c r="F1408" s="106" t="s">
        <v>2024</v>
      </c>
      <c r="G1408" s="8"/>
      <c r="H1408" s="8"/>
      <c r="I1408" s="107">
        <v>0</v>
      </c>
      <c r="J1408" s="8" t="s">
        <v>5929</v>
      </c>
    </row>
    <row r="1409" spans="1:10" ht="16.5" customHeight="1" x14ac:dyDescent="0.25">
      <c r="A1409" s="8" t="s">
        <v>6103</v>
      </c>
      <c r="B1409" s="8" t="s">
        <v>6104</v>
      </c>
      <c r="C1409" s="8" t="s">
        <v>5986</v>
      </c>
      <c r="D1409" s="8" t="s">
        <v>6105</v>
      </c>
      <c r="E1409" s="105">
        <v>0.38</v>
      </c>
      <c r="F1409" s="106" t="s">
        <v>2024</v>
      </c>
      <c r="G1409" s="8"/>
      <c r="H1409" s="8"/>
      <c r="I1409" s="107">
        <v>0</v>
      </c>
      <c r="J1409" s="8" t="s">
        <v>5929</v>
      </c>
    </row>
    <row r="1410" spans="1:10" ht="16.5" customHeight="1" x14ac:dyDescent="0.25">
      <c r="A1410" s="8" t="s">
        <v>6106</v>
      </c>
      <c r="B1410" s="8" t="s">
        <v>6107</v>
      </c>
      <c r="C1410" s="8" t="s">
        <v>5989</v>
      </c>
      <c r="D1410" s="8" t="s">
        <v>6107</v>
      </c>
      <c r="E1410" s="105">
        <v>0.05</v>
      </c>
      <c r="F1410" s="106" t="s">
        <v>2024</v>
      </c>
      <c r="G1410" s="8"/>
      <c r="H1410" s="8"/>
      <c r="I1410" s="107">
        <v>0</v>
      </c>
      <c r="J1410" s="8" t="s">
        <v>5929</v>
      </c>
    </row>
    <row r="1411" spans="1:10" ht="16.5" customHeight="1" x14ac:dyDescent="0.25">
      <c r="A1411" s="8" t="s">
        <v>6108</v>
      </c>
      <c r="B1411" s="8" t="s">
        <v>6109</v>
      </c>
      <c r="C1411" s="8" t="s">
        <v>5992</v>
      </c>
      <c r="D1411" s="8" t="s">
        <v>6109</v>
      </c>
      <c r="E1411" s="105">
        <v>0.85</v>
      </c>
      <c r="F1411" s="106" t="s">
        <v>2024</v>
      </c>
      <c r="G1411" s="8"/>
      <c r="H1411" s="8"/>
      <c r="I1411" s="107">
        <v>0</v>
      </c>
      <c r="J1411" s="8" t="s">
        <v>5929</v>
      </c>
    </row>
    <row r="1412" spans="1:10" ht="16.5" customHeight="1" x14ac:dyDescent="0.25">
      <c r="A1412" s="8" t="s">
        <v>6110</v>
      </c>
      <c r="B1412" s="8" t="s">
        <v>6111</v>
      </c>
      <c r="C1412" s="8" t="s">
        <v>5995</v>
      </c>
      <c r="D1412" s="8" t="s">
        <v>6112</v>
      </c>
      <c r="E1412" s="105">
        <v>0.17</v>
      </c>
      <c r="F1412" s="106" t="s">
        <v>2024</v>
      </c>
      <c r="G1412" s="8"/>
      <c r="H1412" s="8"/>
      <c r="I1412" s="107">
        <v>0</v>
      </c>
      <c r="J1412" s="8" t="s">
        <v>5929</v>
      </c>
    </row>
    <row r="1413" spans="1:10" ht="16.5" customHeight="1" x14ac:dyDescent="0.25">
      <c r="A1413" s="8" t="s">
        <v>5998</v>
      </c>
      <c r="B1413" s="8" t="s">
        <v>6113</v>
      </c>
      <c r="C1413" s="8" t="s">
        <v>1573</v>
      </c>
      <c r="D1413" s="8" t="s">
        <v>6113</v>
      </c>
      <c r="E1413" s="105">
        <v>0.38</v>
      </c>
      <c r="F1413" s="106" t="s">
        <v>2024</v>
      </c>
      <c r="G1413" s="8" t="s">
        <v>1541</v>
      </c>
      <c r="H1413" s="8"/>
      <c r="I1413" s="107">
        <v>0</v>
      </c>
      <c r="J1413" s="8" t="s">
        <v>5929</v>
      </c>
    </row>
    <row r="1414" spans="1:10" ht="16.5" customHeight="1" x14ac:dyDescent="0.25">
      <c r="A1414" s="8" t="s">
        <v>6114</v>
      </c>
      <c r="B1414" s="8" t="s">
        <v>6115</v>
      </c>
      <c r="C1414" s="8" t="s">
        <v>6001</v>
      </c>
      <c r="D1414" s="8" t="s">
        <v>6115</v>
      </c>
      <c r="E1414" s="105">
        <v>0.05</v>
      </c>
      <c r="F1414" s="106" t="s">
        <v>2024</v>
      </c>
      <c r="G1414" s="8"/>
      <c r="H1414" s="8"/>
      <c r="I1414" s="107">
        <v>0</v>
      </c>
      <c r="J1414" s="8" t="s">
        <v>5929</v>
      </c>
    </row>
    <row r="1415" spans="1:10" ht="16.5" customHeight="1" x14ac:dyDescent="0.25">
      <c r="A1415" s="8" t="s">
        <v>6116</v>
      </c>
      <c r="B1415" s="8" t="s">
        <v>6117</v>
      </c>
      <c r="C1415" s="8" t="s">
        <v>6004</v>
      </c>
      <c r="D1415" s="8" t="s">
        <v>6117</v>
      </c>
      <c r="E1415" s="105">
        <v>0.85</v>
      </c>
      <c r="F1415" s="106" t="s">
        <v>2024</v>
      </c>
      <c r="G1415" s="8"/>
      <c r="H1415" s="8"/>
      <c r="I1415" s="107">
        <v>0</v>
      </c>
      <c r="J1415" s="8" t="s">
        <v>5929</v>
      </c>
    </row>
    <row r="1416" spans="1:10" ht="16.5" customHeight="1" x14ac:dyDescent="0.25">
      <c r="A1416" s="8" t="s">
        <v>6118</v>
      </c>
      <c r="B1416" s="8" t="s">
        <v>6119</v>
      </c>
      <c r="C1416" s="8" t="s">
        <v>6007</v>
      </c>
      <c r="D1416" s="8" t="s">
        <v>6119</v>
      </c>
      <c r="E1416" s="105">
        <v>0.17</v>
      </c>
      <c r="F1416" s="106" t="s">
        <v>2024</v>
      </c>
      <c r="G1416" s="8"/>
      <c r="H1416" s="8"/>
      <c r="I1416" s="107">
        <v>0</v>
      </c>
      <c r="J1416" s="8" t="s">
        <v>5929</v>
      </c>
    </row>
    <row r="1417" spans="1:10" ht="16.5" customHeight="1" x14ac:dyDescent="0.25">
      <c r="A1417" s="8" t="s">
        <v>6120</v>
      </c>
      <c r="B1417" s="8" t="s">
        <v>6121</v>
      </c>
      <c r="C1417" s="8" t="s">
        <v>6010</v>
      </c>
      <c r="D1417" s="8" t="s">
        <v>6121</v>
      </c>
      <c r="E1417" s="105">
        <v>0.38</v>
      </c>
      <c r="F1417" s="106" t="s">
        <v>2024</v>
      </c>
      <c r="G1417" s="8"/>
      <c r="H1417" s="8"/>
      <c r="I1417" s="107">
        <v>0</v>
      </c>
      <c r="J1417" s="8" t="s">
        <v>5929</v>
      </c>
    </row>
    <row r="1418" spans="1:10" ht="16.5" customHeight="1" x14ac:dyDescent="0.25">
      <c r="A1418" s="8" t="s">
        <v>6122</v>
      </c>
      <c r="B1418" s="8" t="s">
        <v>6123</v>
      </c>
      <c r="C1418" s="8" t="s">
        <v>6013</v>
      </c>
      <c r="D1418" s="8" t="s">
        <v>6124</v>
      </c>
      <c r="E1418" s="105">
        <v>0.05</v>
      </c>
      <c r="F1418" s="106" t="s">
        <v>2024</v>
      </c>
      <c r="G1418" s="8"/>
      <c r="H1418" s="8"/>
      <c r="I1418" s="107">
        <v>0</v>
      </c>
      <c r="J1418" s="8" t="s">
        <v>5929</v>
      </c>
    </row>
    <row r="1419" spans="1:10" ht="16.5" customHeight="1" x14ac:dyDescent="0.25">
      <c r="A1419" s="8" t="s">
        <v>6125</v>
      </c>
      <c r="B1419" s="8" t="s">
        <v>6126</v>
      </c>
      <c r="C1419" s="8" t="s">
        <v>6016</v>
      </c>
      <c r="D1419" s="8" t="s">
        <v>6127</v>
      </c>
      <c r="E1419" s="105">
        <v>0.85</v>
      </c>
      <c r="F1419" s="106" t="s">
        <v>2024</v>
      </c>
      <c r="G1419" s="8"/>
      <c r="H1419" s="8"/>
      <c r="I1419" s="107">
        <v>0</v>
      </c>
      <c r="J1419" s="8" t="s">
        <v>5929</v>
      </c>
    </row>
    <row r="1420" spans="1:10" ht="16.5" customHeight="1" x14ac:dyDescent="0.25">
      <c r="A1420" s="8" t="s">
        <v>6128</v>
      </c>
      <c r="B1420" s="8" t="s">
        <v>6129</v>
      </c>
      <c r="C1420" s="8" t="s">
        <v>6019</v>
      </c>
      <c r="D1420" s="8" t="s">
        <v>6129</v>
      </c>
      <c r="E1420" s="105">
        <v>0.25</v>
      </c>
      <c r="F1420" s="106" t="s">
        <v>2024</v>
      </c>
      <c r="G1420" s="8"/>
      <c r="H1420" s="8"/>
      <c r="I1420" s="107">
        <v>0</v>
      </c>
      <c r="J1420" s="8" t="s">
        <v>5929</v>
      </c>
    </row>
    <row r="1421" spans="1:10" ht="16.5" customHeight="1" x14ac:dyDescent="0.25">
      <c r="A1421" s="8" t="s">
        <v>6130</v>
      </c>
      <c r="B1421" s="8" t="s">
        <v>6131</v>
      </c>
      <c r="C1421" s="8" t="s">
        <v>6022</v>
      </c>
      <c r="D1421" s="8" t="s">
        <v>6131</v>
      </c>
      <c r="E1421" s="105">
        <v>0.26500000000000001</v>
      </c>
      <c r="F1421" s="106" t="s">
        <v>2024</v>
      </c>
      <c r="G1421" s="8"/>
      <c r="H1421" s="8"/>
      <c r="I1421" s="107">
        <v>0</v>
      </c>
      <c r="J1421" s="8" t="s">
        <v>5929</v>
      </c>
    </row>
    <row r="1422" spans="1:10" ht="16.5" customHeight="1" x14ac:dyDescent="0.25">
      <c r="A1422" s="8" t="s">
        <v>6025</v>
      </c>
      <c r="B1422" s="8" t="s">
        <v>6132</v>
      </c>
      <c r="C1422" s="8" t="s">
        <v>1567</v>
      </c>
      <c r="D1422" s="8" t="s">
        <v>6132</v>
      </c>
      <c r="E1422" s="105">
        <v>0.25</v>
      </c>
      <c r="F1422" s="106" t="s">
        <v>2024</v>
      </c>
      <c r="G1422" s="8" t="s">
        <v>1541</v>
      </c>
      <c r="H1422" s="8"/>
      <c r="I1422" s="107">
        <v>0</v>
      </c>
      <c r="J1422" s="8" t="s">
        <v>5929</v>
      </c>
    </row>
    <row r="1423" spans="1:10" ht="16.5" customHeight="1" x14ac:dyDescent="0.25">
      <c r="A1423" s="8" t="s">
        <v>6133</v>
      </c>
      <c r="B1423" s="8" t="s">
        <v>6134</v>
      </c>
      <c r="C1423" s="8" t="s">
        <v>6028</v>
      </c>
      <c r="D1423" s="8" t="s">
        <v>6134</v>
      </c>
      <c r="E1423" s="105">
        <v>0.47</v>
      </c>
      <c r="F1423" s="106" t="s">
        <v>2024</v>
      </c>
      <c r="G1423" s="8"/>
      <c r="H1423" s="8"/>
      <c r="I1423" s="107">
        <v>0</v>
      </c>
      <c r="J1423" s="8" t="s">
        <v>5929</v>
      </c>
    </row>
    <row r="1424" spans="1:10" ht="16.5" customHeight="1" x14ac:dyDescent="0.25">
      <c r="A1424" s="8" t="s">
        <v>6135</v>
      </c>
      <c r="B1424" s="8" t="s">
        <v>6136</v>
      </c>
      <c r="C1424" s="8" t="s">
        <v>6031</v>
      </c>
      <c r="D1424" s="8" t="s">
        <v>6136</v>
      </c>
      <c r="E1424" s="105">
        <v>0.2</v>
      </c>
      <c r="F1424" s="106" t="s">
        <v>2024</v>
      </c>
      <c r="G1424" s="8"/>
      <c r="H1424" s="8"/>
      <c r="I1424" s="107">
        <v>0</v>
      </c>
      <c r="J1424" s="8" t="s">
        <v>5929</v>
      </c>
    </row>
    <row r="1425" spans="1:10" ht="16.5" customHeight="1" x14ac:dyDescent="0.25">
      <c r="A1425" s="8" t="s">
        <v>6034</v>
      </c>
      <c r="B1425" s="8" t="s">
        <v>6137</v>
      </c>
      <c r="C1425" s="8" t="s">
        <v>6033</v>
      </c>
      <c r="D1425" s="8" t="s">
        <v>6137</v>
      </c>
      <c r="E1425" s="105">
        <v>2.1</v>
      </c>
      <c r="F1425" s="106" t="s">
        <v>2024</v>
      </c>
      <c r="G1425" s="8" t="s">
        <v>1541</v>
      </c>
      <c r="H1425" s="8"/>
      <c r="I1425" s="107">
        <v>0</v>
      </c>
      <c r="J1425" s="8" t="s">
        <v>5929</v>
      </c>
    </row>
    <row r="1426" spans="1:10" ht="16.5" customHeight="1" x14ac:dyDescent="0.25">
      <c r="A1426" s="8" t="s">
        <v>6138</v>
      </c>
      <c r="B1426" s="8" t="s">
        <v>6139</v>
      </c>
      <c r="C1426" s="8" t="s">
        <v>6037</v>
      </c>
      <c r="D1426" s="8" t="s">
        <v>6140</v>
      </c>
      <c r="E1426" s="105">
        <v>5</v>
      </c>
      <c r="F1426" s="106" t="s">
        <v>2024</v>
      </c>
      <c r="G1426" s="8"/>
      <c r="H1426" s="8"/>
      <c r="I1426" s="107">
        <v>0</v>
      </c>
      <c r="J1426" s="8" t="s">
        <v>5929</v>
      </c>
    </row>
    <row r="1427" spans="1:10" ht="16.5" customHeight="1" x14ac:dyDescent="0.25">
      <c r="A1427" s="8" t="s">
        <v>6141</v>
      </c>
      <c r="B1427" s="8" t="s">
        <v>6142</v>
      </c>
      <c r="C1427" s="8" t="s">
        <v>6040</v>
      </c>
      <c r="D1427" s="8" t="s">
        <v>6142</v>
      </c>
      <c r="E1427" s="105">
        <v>2.2000000000000002</v>
      </c>
      <c r="F1427" s="106" t="s">
        <v>2024</v>
      </c>
      <c r="G1427" s="8"/>
      <c r="H1427" s="8"/>
      <c r="I1427" s="107">
        <v>0</v>
      </c>
      <c r="J1427" s="8" t="s">
        <v>5929</v>
      </c>
    </row>
    <row r="1428" spans="1:10" ht="16.5" customHeight="1" x14ac:dyDescent="0.25">
      <c r="A1428" s="8" t="s">
        <v>6143</v>
      </c>
      <c r="B1428" s="8" t="s">
        <v>6144</v>
      </c>
      <c r="C1428" s="8" t="s">
        <v>6043</v>
      </c>
      <c r="D1428" s="8" t="s">
        <v>6144</v>
      </c>
      <c r="E1428" s="105">
        <v>5</v>
      </c>
      <c r="F1428" s="106" t="s">
        <v>2024</v>
      </c>
      <c r="G1428" s="8"/>
      <c r="H1428" s="8"/>
      <c r="I1428" s="107">
        <v>0</v>
      </c>
      <c r="J1428" s="8" t="s">
        <v>5929</v>
      </c>
    </row>
    <row r="1429" spans="1:10" ht="16.5" customHeight="1" x14ac:dyDescent="0.25">
      <c r="A1429" s="8" t="s">
        <v>6047</v>
      </c>
      <c r="B1429" s="8" t="s">
        <v>6145</v>
      </c>
      <c r="C1429" s="8" t="s">
        <v>6046</v>
      </c>
      <c r="D1429" s="8" t="s">
        <v>6145</v>
      </c>
      <c r="E1429" s="105">
        <v>0.08</v>
      </c>
      <c r="F1429" s="106" t="s">
        <v>2024</v>
      </c>
      <c r="G1429" s="8" t="s">
        <v>1541</v>
      </c>
      <c r="H1429" s="8"/>
      <c r="I1429" s="107">
        <v>0</v>
      </c>
      <c r="J1429" s="8" t="s">
        <v>5929</v>
      </c>
    </row>
    <row r="1430" spans="1:10" ht="16.5" customHeight="1" x14ac:dyDescent="0.25">
      <c r="A1430" s="8" t="s">
        <v>6146</v>
      </c>
      <c r="B1430" s="8" t="s">
        <v>6147</v>
      </c>
      <c r="C1430" s="8" t="s">
        <v>6050</v>
      </c>
      <c r="D1430" s="8" t="s">
        <v>6147</v>
      </c>
      <c r="E1430" s="105">
        <v>0.08</v>
      </c>
      <c r="F1430" s="106" t="s">
        <v>2024</v>
      </c>
      <c r="G1430" s="8"/>
      <c r="H1430" s="8"/>
      <c r="I1430" s="107">
        <v>0</v>
      </c>
      <c r="J1430" s="8" t="s">
        <v>5929</v>
      </c>
    </row>
    <row r="1431" spans="1:10" ht="16.5" customHeight="1" x14ac:dyDescent="0.25">
      <c r="A1431" s="8" t="s">
        <v>6148</v>
      </c>
      <c r="B1431" s="8" t="s">
        <v>6149</v>
      </c>
      <c r="C1431" s="8" t="s">
        <v>1633</v>
      </c>
      <c r="D1431" s="8" t="s">
        <v>6149</v>
      </c>
      <c r="E1431" s="105">
        <v>1</v>
      </c>
      <c r="F1431" s="106" t="s">
        <v>2024</v>
      </c>
      <c r="G1431" s="8"/>
      <c r="H1431" s="8"/>
      <c r="I1431" s="107">
        <v>0</v>
      </c>
      <c r="J1431" s="8" t="s">
        <v>5929</v>
      </c>
    </row>
    <row r="1432" spans="1:10" ht="16.5" customHeight="1" x14ac:dyDescent="0.25">
      <c r="A1432" s="8" t="s">
        <v>6150</v>
      </c>
      <c r="B1432" s="8" t="s">
        <v>6151</v>
      </c>
      <c r="C1432" s="8" t="s">
        <v>6055</v>
      </c>
      <c r="D1432" s="8" t="s">
        <v>6151</v>
      </c>
      <c r="E1432" s="105">
        <v>2.2000000000000002</v>
      </c>
      <c r="F1432" s="106" t="s">
        <v>2024</v>
      </c>
      <c r="G1432" s="8"/>
      <c r="H1432" s="8"/>
      <c r="I1432" s="107">
        <v>0</v>
      </c>
      <c r="J1432" s="8" t="s">
        <v>5929</v>
      </c>
    </row>
    <row r="1433" spans="1:10" ht="16.5" customHeight="1" x14ac:dyDescent="0.25">
      <c r="A1433" s="8" t="s">
        <v>6152</v>
      </c>
      <c r="B1433" s="8" t="s">
        <v>6153</v>
      </c>
      <c r="C1433" s="8" t="s">
        <v>6058</v>
      </c>
      <c r="D1433" s="8" t="s">
        <v>6153</v>
      </c>
      <c r="E1433" s="105">
        <v>4.8834</v>
      </c>
      <c r="F1433" s="106" t="s">
        <v>2024</v>
      </c>
      <c r="G1433" s="8"/>
      <c r="H1433" s="8"/>
      <c r="I1433" s="107">
        <v>0</v>
      </c>
      <c r="J1433" s="8" t="s">
        <v>5929</v>
      </c>
    </row>
    <row r="1434" spans="1:10" ht="16.5" customHeight="1" x14ac:dyDescent="0.25">
      <c r="A1434" s="8" t="s">
        <v>6154</v>
      </c>
      <c r="B1434" s="8" t="s">
        <v>6155</v>
      </c>
      <c r="C1434" s="8" t="s">
        <v>6156</v>
      </c>
      <c r="D1434" s="8" t="s">
        <v>6155</v>
      </c>
      <c r="E1434" s="105">
        <v>0.61</v>
      </c>
      <c r="F1434" s="106" t="s">
        <v>2024</v>
      </c>
      <c r="G1434" s="8"/>
      <c r="H1434" s="8"/>
      <c r="I1434" s="107">
        <v>0</v>
      </c>
      <c r="J1434" s="8" t="s">
        <v>5929</v>
      </c>
    </row>
    <row r="1435" spans="1:10" ht="16.5" customHeight="1" x14ac:dyDescent="0.25">
      <c r="A1435" s="8" t="s">
        <v>6157</v>
      </c>
      <c r="B1435" s="8" t="s">
        <v>6158</v>
      </c>
      <c r="C1435" s="8" t="s">
        <v>6159</v>
      </c>
      <c r="D1435" s="8" t="s">
        <v>6158</v>
      </c>
      <c r="E1435" s="105">
        <v>1.214</v>
      </c>
      <c r="F1435" s="106" t="s">
        <v>2024</v>
      </c>
      <c r="G1435" s="8"/>
      <c r="H1435" s="8"/>
      <c r="I1435" s="107">
        <v>0</v>
      </c>
      <c r="J1435" s="8" t="s">
        <v>5929</v>
      </c>
    </row>
    <row r="1436" spans="1:10" ht="16.5" customHeight="1" x14ac:dyDescent="0.25">
      <c r="A1436" s="8" t="s">
        <v>6160</v>
      </c>
      <c r="B1436" s="8" t="s">
        <v>6161</v>
      </c>
      <c r="C1436" s="8" t="s">
        <v>6162</v>
      </c>
      <c r="D1436" s="8" t="s">
        <v>6161</v>
      </c>
      <c r="E1436" s="105">
        <v>0.61</v>
      </c>
      <c r="F1436" s="106" t="s">
        <v>2024</v>
      </c>
      <c r="G1436" s="8"/>
      <c r="H1436" s="8"/>
      <c r="I1436" s="107">
        <v>0</v>
      </c>
      <c r="J1436" s="8" t="s">
        <v>5929</v>
      </c>
    </row>
    <row r="1437" spans="1:10" ht="16.5" customHeight="1" x14ac:dyDescent="0.25">
      <c r="A1437" s="8" t="s">
        <v>6163</v>
      </c>
      <c r="B1437" s="8" t="s">
        <v>6164</v>
      </c>
      <c r="C1437" s="8" t="s">
        <v>6165</v>
      </c>
      <c r="D1437" s="8" t="s">
        <v>6164</v>
      </c>
      <c r="E1437" s="105">
        <v>0</v>
      </c>
      <c r="F1437" s="106" t="s">
        <v>2024</v>
      </c>
      <c r="G1437" s="8"/>
      <c r="H1437" s="8"/>
      <c r="I1437" s="107">
        <v>0</v>
      </c>
      <c r="J1437" s="8" t="s">
        <v>4722</v>
      </c>
    </row>
    <row r="1438" spans="1:10" ht="16.5" customHeight="1" x14ac:dyDescent="0.25">
      <c r="A1438" s="8" t="s">
        <v>6166</v>
      </c>
      <c r="B1438" s="8" t="s">
        <v>6167</v>
      </c>
      <c r="C1438" s="8" t="s">
        <v>3641</v>
      </c>
      <c r="D1438" s="8" t="s">
        <v>6167</v>
      </c>
      <c r="E1438" s="105">
        <v>1</v>
      </c>
      <c r="F1438" s="106" t="s">
        <v>2024</v>
      </c>
      <c r="G1438" s="8"/>
      <c r="H1438" s="8"/>
      <c r="I1438" s="107">
        <v>0</v>
      </c>
      <c r="J1438" s="8" t="s">
        <v>3580</v>
      </c>
    </row>
    <row r="1439" spans="1:10" ht="16.5" customHeight="1" x14ac:dyDescent="0.25">
      <c r="A1439" s="8" t="s">
        <v>6168</v>
      </c>
      <c r="B1439" s="8" t="s">
        <v>6169</v>
      </c>
      <c r="C1439" s="8" t="s">
        <v>6170</v>
      </c>
      <c r="D1439" s="8" t="s">
        <v>6169</v>
      </c>
      <c r="E1439" s="105">
        <v>0</v>
      </c>
      <c r="F1439" s="106" t="s">
        <v>2024</v>
      </c>
      <c r="G1439" s="8"/>
      <c r="H1439" s="8"/>
      <c r="I1439" s="107">
        <v>0</v>
      </c>
      <c r="J1439" s="8" t="s">
        <v>4722</v>
      </c>
    </row>
    <row r="1440" spans="1:10" ht="16.5" customHeight="1" x14ac:dyDescent="0.25">
      <c r="A1440" s="8" t="s">
        <v>6171</v>
      </c>
      <c r="B1440" s="8" t="s">
        <v>6172</v>
      </c>
      <c r="C1440" s="8" t="s">
        <v>6173</v>
      </c>
      <c r="D1440" s="8" t="s">
        <v>6172</v>
      </c>
      <c r="E1440" s="105">
        <v>0</v>
      </c>
      <c r="F1440" s="106" t="s">
        <v>2024</v>
      </c>
      <c r="G1440" s="8"/>
      <c r="H1440" s="8"/>
      <c r="I1440" s="107">
        <v>0</v>
      </c>
      <c r="J1440" s="8" t="s">
        <v>4722</v>
      </c>
    </row>
    <row r="1441" spans="1:10" ht="16.5" customHeight="1" x14ac:dyDescent="0.25">
      <c r="A1441" s="8" t="s">
        <v>1266</v>
      </c>
      <c r="B1441" s="8" t="s">
        <v>1268</v>
      </c>
      <c r="C1441" s="8" t="s">
        <v>1267</v>
      </c>
      <c r="D1441" s="8" t="s">
        <v>1268</v>
      </c>
      <c r="E1441" s="105">
        <v>18</v>
      </c>
      <c r="F1441" s="106" t="s">
        <v>2018</v>
      </c>
      <c r="G1441" s="8"/>
      <c r="H1441" s="8" t="s">
        <v>6174</v>
      </c>
      <c r="I1441" s="107">
        <v>2</v>
      </c>
      <c r="J1441" s="8" t="s">
        <v>2019</v>
      </c>
    </row>
    <row r="1442" spans="1:10" ht="16.5" customHeight="1" x14ac:dyDescent="0.25">
      <c r="A1442" s="8" t="s">
        <v>6174</v>
      </c>
      <c r="B1442" s="8" t="s">
        <v>6175</v>
      </c>
      <c r="C1442" s="8" t="s">
        <v>1267</v>
      </c>
      <c r="D1442" s="8" t="s">
        <v>6175</v>
      </c>
      <c r="E1442" s="105">
        <v>9</v>
      </c>
      <c r="F1442" s="106" t="s">
        <v>2018</v>
      </c>
      <c r="G1442" s="8"/>
      <c r="H1442" s="8"/>
      <c r="I1442" s="107">
        <v>0</v>
      </c>
      <c r="J1442" s="8" t="s">
        <v>2019</v>
      </c>
    </row>
    <row r="1443" spans="1:10" ht="16.5" customHeight="1" x14ac:dyDescent="0.25">
      <c r="A1443" s="8" t="s">
        <v>6176</v>
      </c>
      <c r="B1443" s="8" t="s">
        <v>6177</v>
      </c>
      <c r="C1443" s="8" t="s">
        <v>6178</v>
      </c>
      <c r="D1443" s="8" t="s">
        <v>6177</v>
      </c>
      <c r="E1443" s="105">
        <v>18</v>
      </c>
      <c r="F1443" s="106" t="s">
        <v>2024</v>
      </c>
      <c r="G1443" s="8"/>
      <c r="H1443" s="8"/>
      <c r="I1443" s="107">
        <v>0</v>
      </c>
      <c r="J1443" s="8" t="s">
        <v>2019</v>
      </c>
    </row>
    <row r="1444" spans="1:10" ht="16.5" customHeight="1" x14ac:dyDescent="0.25">
      <c r="A1444" s="8" t="s">
        <v>6179</v>
      </c>
      <c r="B1444" s="8" t="s">
        <v>6180</v>
      </c>
      <c r="C1444" s="8" t="s">
        <v>6178</v>
      </c>
      <c r="D1444" s="8" t="s">
        <v>6180</v>
      </c>
      <c r="E1444" s="105">
        <v>9</v>
      </c>
      <c r="F1444" s="106" t="s">
        <v>2024</v>
      </c>
      <c r="G1444" s="8"/>
      <c r="H1444" s="8"/>
      <c r="I1444" s="107">
        <v>0</v>
      </c>
      <c r="J1444" s="8" t="s">
        <v>2019</v>
      </c>
    </row>
    <row r="1445" spans="1:10" ht="16.5" customHeight="1" x14ac:dyDescent="0.25">
      <c r="A1445" s="8" t="s">
        <v>6181</v>
      </c>
      <c r="B1445" s="8" t="s">
        <v>6182</v>
      </c>
      <c r="C1445" s="8" t="s">
        <v>6182</v>
      </c>
      <c r="D1445" s="8" t="s">
        <v>6182</v>
      </c>
      <c r="E1445" s="105">
        <v>0</v>
      </c>
      <c r="F1445" s="106" t="s">
        <v>2024</v>
      </c>
      <c r="G1445" s="8"/>
      <c r="H1445" s="8"/>
      <c r="I1445" s="107">
        <v>0</v>
      </c>
      <c r="J1445" s="8" t="s">
        <v>4722</v>
      </c>
    </row>
    <row r="1446" spans="1:10" ht="16.5" customHeight="1" x14ac:dyDescent="0.25">
      <c r="A1446" s="8" t="s">
        <v>6183</v>
      </c>
      <c r="B1446" s="8" t="s">
        <v>6184</v>
      </c>
      <c r="C1446" s="8" t="s">
        <v>6185</v>
      </c>
      <c r="D1446" s="8" t="s">
        <v>6184</v>
      </c>
      <c r="E1446" s="105">
        <v>0</v>
      </c>
      <c r="F1446" s="106" t="s">
        <v>2024</v>
      </c>
      <c r="G1446" s="8"/>
      <c r="H1446" s="8"/>
      <c r="I1446" s="107">
        <v>0</v>
      </c>
      <c r="J1446" s="8" t="s">
        <v>4722</v>
      </c>
    </row>
    <row r="1447" spans="1:10" ht="16.5" customHeight="1" x14ac:dyDescent="0.25">
      <c r="A1447" s="8" t="s">
        <v>6186</v>
      </c>
      <c r="B1447" s="8" t="s">
        <v>6187</v>
      </c>
      <c r="C1447" s="8" t="s">
        <v>6188</v>
      </c>
      <c r="D1447" s="8" t="s">
        <v>6187</v>
      </c>
      <c r="E1447" s="105">
        <v>10.92</v>
      </c>
      <c r="F1447" s="106" t="s">
        <v>2024</v>
      </c>
      <c r="G1447" s="8"/>
      <c r="H1447" s="8"/>
      <c r="I1447" s="107">
        <v>0</v>
      </c>
      <c r="J1447" s="8" t="s">
        <v>2019</v>
      </c>
    </row>
    <row r="1448" spans="1:10" ht="16.5" customHeight="1" x14ac:dyDescent="0.25">
      <c r="A1448" s="8" t="s">
        <v>6189</v>
      </c>
      <c r="B1448" s="8" t="s">
        <v>6190</v>
      </c>
      <c r="C1448" s="8" t="s">
        <v>6191</v>
      </c>
      <c r="D1448" s="8" t="s">
        <v>6190</v>
      </c>
      <c r="E1448" s="105">
        <v>0</v>
      </c>
      <c r="F1448" s="106" t="s">
        <v>2024</v>
      </c>
      <c r="G1448" s="8"/>
      <c r="H1448" s="8"/>
      <c r="I1448" s="107">
        <v>0</v>
      </c>
      <c r="J1448" s="8" t="s">
        <v>4722</v>
      </c>
    </row>
    <row r="1449" spans="1:10" ht="16.5" customHeight="1" x14ac:dyDescent="0.25">
      <c r="A1449" s="8" t="s">
        <v>6192</v>
      </c>
      <c r="B1449" s="8" t="s">
        <v>6193</v>
      </c>
      <c r="C1449" s="8" t="s">
        <v>6194</v>
      </c>
      <c r="D1449" s="8" t="s">
        <v>6193</v>
      </c>
      <c r="E1449" s="105">
        <v>0</v>
      </c>
      <c r="F1449" s="106" t="s">
        <v>2024</v>
      </c>
      <c r="G1449" s="8"/>
      <c r="H1449" s="8"/>
      <c r="I1449" s="107">
        <v>0</v>
      </c>
      <c r="J1449" s="8" t="s">
        <v>4722</v>
      </c>
    </row>
    <row r="1450" spans="1:10" ht="16.5" customHeight="1" x14ac:dyDescent="0.25">
      <c r="A1450" s="8" t="s">
        <v>6195</v>
      </c>
      <c r="B1450" s="8" t="s">
        <v>6196</v>
      </c>
      <c r="C1450" s="8" t="s">
        <v>6197</v>
      </c>
      <c r="D1450" s="8" t="s">
        <v>6196</v>
      </c>
      <c r="E1450" s="105">
        <v>0</v>
      </c>
      <c r="F1450" s="106" t="s">
        <v>2024</v>
      </c>
      <c r="G1450" s="8"/>
      <c r="H1450" s="8"/>
      <c r="I1450" s="107">
        <v>0</v>
      </c>
      <c r="J1450" s="8" t="s">
        <v>4722</v>
      </c>
    </row>
    <row r="1451" spans="1:10" ht="16.5" customHeight="1" x14ac:dyDescent="0.25">
      <c r="A1451" s="8" t="s">
        <v>6198</v>
      </c>
      <c r="B1451" s="8" t="s">
        <v>6199</v>
      </c>
      <c r="C1451" s="8" t="s">
        <v>6200</v>
      </c>
      <c r="D1451" s="8" t="s">
        <v>6199</v>
      </c>
      <c r="E1451" s="105">
        <v>0</v>
      </c>
      <c r="F1451" s="106" t="s">
        <v>2024</v>
      </c>
      <c r="G1451" s="8"/>
      <c r="H1451" s="8"/>
      <c r="I1451" s="107">
        <v>0</v>
      </c>
      <c r="J1451" s="8" t="s">
        <v>4722</v>
      </c>
    </row>
    <row r="1452" spans="1:10" ht="16.5" customHeight="1" x14ac:dyDescent="0.25">
      <c r="A1452" s="8" t="s">
        <v>6201</v>
      </c>
      <c r="B1452" s="8" t="s">
        <v>6202</v>
      </c>
      <c r="C1452" s="8" t="s">
        <v>6203</v>
      </c>
      <c r="D1452" s="8" t="s">
        <v>6202</v>
      </c>
      <c r="E1452" s="105">
        <v>0</v>
      </c>
      <c r="F1452" s="106" t="s">
        <v>2024</v>
      </c>
      <c r="G1452" s="8"/>
      <c r="H1452" s="8"/>
      <c r="I1452" s="107">
        <v>0</v>
      </c>
      <c r="J1452" s="8" t="s">
        <v>4722</v>
      </c>
    </row>
    <row r="1453" spans="1:10" ht="16.5" customHeight="1" x14ac:dyDescent="0.25">
      <c r="A1453" s="8" t="s">
        <v>6204</v>
      </c>
      <c r="B1453" s="8" t="s">
        <v>6205</v>
      </c>
      <c r="C1453" s="8" t="s">
        <v>6206</v>
      </c>
      <c r="D1453" s="8" t="s">
        <v>6205</v>
      </c>
      <c r="E1453" s="105">
        <v>0</v>
      </c>
      <c r="F1453" s="106" t="s">
        <v>2024</v>
      </c>
      <c r="G1453" s="8"/>
      <c r="H1453" s="8"/>
      <c r="I1453" s="107">
        <v>0</v>
      </c>
      <c r="J1453" s="8" t="s">
        <v>4722</v>
      </c>
    </row>
    <row r="1454" spans="1:10" ht="16.5" customHeight="1" x14ac:dyDescent="0.25">
      <c r="A1454" s="8" t="s">
        <v>6207</v>
      </c>
      <c r="B1454" s="8" t="s">
        <v>6208</v>
      </c>
      <c r="C1454" s="8" t="s">
        <v>6209</v>
      </c>
      <c r="D1454" s="8" t="s">
        <v>6208</v>
      </c>
      <c r="E1454" s="105">
        <v>0</v>
      </c>
      <c r="F1454" s="106" t="s">
        <v>2024</v>
      </c>
      <c r="G1454" s="8"/>
      <c r="H1454" s="8"/>
      <c r="I1454" s="107">
        <v>0</v>
      </c>
      <c r="J1454" s="8" t="s">
        <v>4722</v>
      </c>
    </row>
    <row r="1455" spans="1:10" ht="16.5" customHeight="1" x14ac:dyDescent="0.25">
      <c r="A1455" s="8" t="s">
        <v>6210</v>
      </c>
      <c r="B1455" s="8" t="s">
        <v>6211</v>
      </c>
      <c r="C1455" s="8" t="s">
        <v>6212</v>
      </c>
      <c r="D1455" s="8" t="s">
        <v>6211</v>
      </c>
      <c r="E1455" s="105">
        <v>0</v>
      </c>
      <c r="F1455" s="106" t="s">
        <v>2024</v>
      </c>
      <c r="G1455" s="8"/>
      <c r="H1455" s="8"/>
      <c r="I1455" s="107">
        <v>0</v>
      </c>
      <c r="J1455" s="8" t="s">
        <v>4722</v>
      </c>
    </row>
    <row r="1456" spans="1:10" ht="16.5" customHeight="1" x14ac:dyDescent="0.25">
      <c r="A1456" s="8" t="s">
        <v>6213</v>
      </c>
      <c r="B1456" s="8" t="s">
        <v>6214</v>
      </c>
      <c r="C1456" s="8" t="s">
        <v>6215</v>
      </c>
      <c r="D1456" s="8" t="s">
        <v>6214</v>
      </c>
      <c r="E1456" s="105">
        <v>18</v>
      </c>
      <c r="F1456" s="106" t="s">
        <v>2024</v>
      </c>
      <c r="G1456" s="8"/>
      <c r="H1456" s="8"/>
      <c r="I1456" s="107">
        <v>0</v>
      </c>
      <c r="J1456" s="8" t="s">
        <v>2019</v>
      </c>
    </row>
    <row r="1457" spans="1:10" ht="16.5" customHeight="1" x14ac:dyDescent="0.25">
      <c r="A1457" s="8" t="s">
        <v>6216</v>
      </c>
      <c r="B1457" s="8" t="s">
        <v>6217</v>
      </c>
      <c r="C1457" s="8" t="s">
        <v>6218</v>
      </c>
      <c r="D1457" s="8" t="s">
        <v>6217</v>
      </c>
      <c r="E1457" s="105">
        <v>9</v>
      </c>
      <c r="F1457" s="106" t="s">
        <v>2024</v>
      </c>
      <c r="G1457" s="8"/>
      <c r="H1457" s="8"/>
      <c r="I1457" s="107">
        <v>0</v>
      </c>
      <c r="J1457" s="8" t="s">
        <v>2019</v>
      </c>
    </row>
    <row r="1458" spans="1:10" ht="16.5" customHeight="1" x14ac:dyDescent="0.25">
      <c r="A1458" s="8" t="s">
        <v>6219</v>
      </c>
      <c r="B1458" s="8" t="s">
        <v>6220</v>
      </c>
      <c r="C1458" s="8" t="s">
        <v>6221</v>
      </c>
      <c r="D1458" s="8" t="s">
        <v>6220</v>
      </c>
      <c r="E1458" s="105">
        <v>0</v>
      </c>
      <c r="F1458" s="106" t="s">
        <v>2024</v>
      </c>
      <c r="G1458" s="8"/>
      <c r="H1458" s="8"/>
      <c r="I1458" s="107">
        <v>0</v>
      </c>
      <c r="J1458" s="8" t="s">
        <v>4722</v>
      </c>
    </row>
    <row r="1459" spans="1:10" ht="16.5" customHeight="1" x14ac:dyDescent="0.25">
      <c r="A1459" s="8" t="s">
        <v>6222</v>
      </c>
      <c r="B1459" s="8" t="s">
        <v>6223</v>
      </c>
      <c r="C1459" s="8" t="s">
        <v>6224</v>
      </c>
      <c r="D1459" s="8" t="s">
        <v>6223</v>
      </c>
      <c r="E1459" s="105">
        <v>0</v>
      </c>
      <c r="F1459" s="106" t="s">
        <v>2024</v>
      </c>
      <c r="G1459" s="8"/>
      <c r="H1459" s="8"/>
      <c r="I1459" s="107">
        <v>0</v>
      </c>
      <c r="J1459" s="8" t="s">
        <v>4722</v>
      </c>
    </row>
    <row r="1460" spans="1:10" ht="16.5" customHeight="1" x14ac:dyDescent="0.25">
      <c r="A1460" s="8" t="s">
        <v>6225</v>
      </c>
      <c r="B1460" s="8" t="s">
        <v>6226</v>
      </c>
      <c r="C1460" s="8" t="s">
        <v>6227</v>
      </c>
      <c r="D1460" s="8" t="s">
        <v>6226</v>
      </c>
      <c r="E1460" s="105">
        <v>0</v>
      </c>
      <c r="F1460" s="106" t="s">
        <v>2024</v>
      </c>
      <c r="G1460" s="8"/>
      <c r="H1460" s="8"/>
      <c r="I1460" s="107">
        <v>0</v>
      </c>
      <c r="J1460" s="8" t="s">
        <v>4722</v>
      </c>
    </row>
    <row r="1461" spans="1:10" ht="16.5" customHeight="1" x14ac:dyDescent="0.25">
      <c r="A1461" s="8" t="s">
        <v>6228</v>
      </c>
      <c r="B1461" s="8" t="s">
        <v>6229</v>
      </c>
      <c r="C1461" s="8" t="s">
        <v>6230</v>
      </c>
      <c r="D1461" s="8" t="s">
        <v>6229</v>
      </c>
      <c r="E1461" s="105">
        <v>0</v>
      </c>
      <c r="F1461" s="106" t="s">
        <v>2024</v>
      </c>
      <c r="G1461" s="8"/>
      <c r="H1461" s="8"/>
      <c r="I1461" s="107">
        <v>0</v>
      </c>
      <c r="J1461" s="8" t="s">
        <v>4722</v>
      </c>
    </row>
    <row r="1462" spans="1:10" ht="16.5" customHeight="1" x14ac:dyDescent="0.25">
      <c r="A1462" s="8" t="s">
        <v>6231</v>
      </c>
      <c r="B1462" s="8" t="s">
        <v>6232</v>
      </c>
      <c r="C1462" s="8" t="s">
        <v>6233</v>
      </c>
      <c r="D1462" s="8" t="s">
        <v>6232</v>
      </c>
      <c r="E1462" s="105">
        <v>0</v>
      </c>
      <c r="F1462" s="106" t="s">
        <v>2024</v>
      </c>
      <c r="G1462" s="8"/>
      <c r="H1462" s="8"/>
      <c r="I1462" s="107">
        <v>0</v>
      </c>
      <c r="J1462" s="8" t="s">
        <v>4722</v>
      </c>
    </row>
    <row r="1463" spans="1:10" ht="16.5" customHeight="1" x14ac:dyDescent="0.25">
      <c r="A1463" s="8" t="s">
        <v>6234</v>
      </c>
      <c r="B1463" s="8" t="s">
        <v>6235</v>
      </c>
      <c r="C1463" s="8" t="s">
        <v>6236</v>
      </c>
      <c r="D1463" s="8" t="s">
        <v>6235</v>
      </c>
      <c r="E1463" s="105">
        <v>0</v>
      </c>
      <c r="F1463" s="106" t="s">
        <v>2024</v>
      </c>
      <c r="G1463" s="8"/>
      <c r="H1463" s="8"/>
      <c r="I1463" s="107">
        <v>0</v>
      </c>
      <c r="J1463" s="8" t="s">
        <v>4722</v>
      </c>
    </row>
    <row r="1464" spans="1:10" ht="16.5" customHeight="1" x14ac:dyDescent="0.25">
      <c r="A1464" s="8" t="s">
        <v>6237</v>
      </c>
      <c r="B1464" s="8" t="s">
        <v>6238</v>
      </c>
      <c r="C1464" s="8" t="s">
        <v>6239</v>
      </c>
      <c r="D1464" s="8" t="s">
        <v>6238</v>
      </c>
      <c r="E1464" s="105">
        <v>0</v>
      </c>
      <c r="F1464" s="106" t="s">
        <v>2024</v>
      </c>
      <c r="G1464" s="8"/>
      <c r="H1464" s="8"/>
      <c r="I1464" s="107">
        <v>0</v>
      </c>
      <c r="J1464" s="8" t="s">
        <v>4722</v>
      </c>
    </row>
    <row r="1465" spans="1:10" ht="16.5" customHeight="1" x14ac:dyDescent="0.25">
      <c r="A1465" s="8" t="s">
        <v>6240</v>
      </c>
      <c r="B1465" s="8" t="s">
        <v>6241</v>
      </c>
      <c r="C1465" s="8" t="s">
        <v>6242</v>
      </c>
      <c r="D1465" s="8" t="s">
        <v>6241</v>
      </c>
      <c r="E1465" s="105">
        <v>0</v>
      </c>
      <c r="F1465" s="106" t="s">
        <v>2024</v>
      </c>
      <c r="G1465" s="8"/>
      <c r="H1465" s="8"/>
      <c r="I1465" s="107">
        <v>0</v>
      </c>
      <c r="J1465" s="8" t="s">
        <v>4722</v>
      </c>
    </row>
    <row r="1466" spans="1:10" ht="16.5" customHeight="1" x14ac:dyDescent="0.25">
      <c r="A1466" s="8" t="s">
        <v>1233</v>
      </c>
      <c r="B1466" s="8" t="s">
        <v>1235</v>
      </c>
      <c r="C1466" s="8" t="s">
        <v>1234</v>
      </c>
      <c r="D1466" s="8" t="s">
        <v>1235</v>
      </c>
      <c r="E1466" s="105">
        <v>18</v>
      </c>
      <c r="F1466" s="106" t="s">
        <v>2018</v>
      </c>
      <c r="G1466" s="8"/>
      <c r="H1466" s="8"/>
      <c r="I1466" s="107">
        <v>0</v>
      </c>
      <c r="J1466" s="8" t="s">
        <v>2019</v>
      </c>
    </row>
    <row r="1467" spans="1:10" ht="16.5" customHeight="1" x14ac:dyDescent="0.25">
      <c r="A1467" s="8" t="s">
        <v>6243</v>
      </c>
      <c r="B1467" s="8" t="s">
        <v>6244</v>
      </c>
      <c r="C1467" s="8" t="s">
        <v>6245</v>
      </c>
      <c r="D1467" s="8" t="s">
        <v>6244</v>
      </c>
      <c r="E1467" s="105">
        <v>0</v>
      </c>
      <c r="F1467" s="106" t="s">
        <v>2024</v>
      </c>
      <c r="G1467" s="8"/>
      <c r="H1467" s="8"/>
      <c r="I1467" s="107">
        <v>0</v>
      </c>
      <c r="J1467" s="8" t="s">
        <v>5929</v>
      </c>
    </row>
    <row r="1468" spans="1:10" ht="16.5" customHeight="1" x14ac:dyDescent="0.25">
      <c r="A1468" s="8" t="s">
        <v>6246</v>
      </c>
      <c r="B1468" s="8" t="s">
        <v>6247</v>
      </c>
      <c r="C1468" s="8" t="s">
        <v>6248</v>
      </c>
      <c r="D1468" s="8" t="s">
        <v>6247</v>
      </c>
      <c r="E1468" s="105">
        <v>0</v>
      </c>
      <c r="F1468" s="106" t="s">
        <v>2018</v>
      </c>
      <c r="G1468" s="8"/>
      <c r="H1468" s="8"/>
      <c r="I1468" s="107">
        <v>0</v>
      </c>
      <c r="J1468" s="8" t="s">
        <v>5929</v>
      </c>
    </row>
    <row r="1469" spans="1:10" ht="16.5" customHeight="1" x14ac:dyDescent="0.25">
      <c r="A1469" s="8" t="s">
        <v>6249</v>
      </c>
      <c r="B1469" s="8" t="s">
        <v>6250</v>
      </c>
      <c r="C1469" s="8" t="s">
        <v>6251</v>
      </c>
      <c r="D1469" s="8" t="s">
        <v>6250</v>
      </c>
      <c r="E1469" s="105">
        <v>0</v>
      </c>
      <c r="F1469" s="106" t="s">
        <v>2024</v>
      </c>
      <c r="G1469" s="8"/>
      <c r="H1469" s="8"/>
      <c r="I1469" s="107">
        <v>0</v>
      </c>
      <c r="J1469" s="8" t="s">
        <v>5671</v>
      </c>
    </row>
    <row r="1470" spans="1:10" ht="16.5" customHeight="1" x14ac:dyDescent="0.25">
      <c r="A1470" s="8" t="s">
        <v>6252</v>
      </c>
      <c r="B1470" s="8" t="s">
        <v>6253</v>
      </c>
      <c r="C1470" s="8" t="s">
        <v>6254</v>
      </c>
      <c r="D1470" s="8" t="s">
        <v>6253</v>
      </c>
      <c r="E1470" s="105">
        <v>0</v>
      </c>
      <c r="F1470" s="106" t="s">
        <v>2024</v>
      </c>
      <c r="G1470" s="8"/>
      <c r="H1470" s="8"/>
      <c r="I1470" s="107">
        <v>0</v>
      </c>
      <c r="J1470" s="8" t="s">
        <v>4789</v>
      </c>
    </row>
    <row r="1471" spans="1:10" ht="16.5" customHeight="1" x14ac:dyDescent="0.25">
      <c r="A1471" s="8" t="s">
        <v>6255</v>
      </c>
      <c r="B1471" s="8" t="s">
        <v>6256</v>
      </c>
      <c r="C1471" s="8" t="s">
        <v>6257</v>
      </c>
      <c r="D1471" s="8" t="s">
        <v>6256</v>
      </c>
      <c r="E1471" s="105">
        <v>0</v>
      </c>
      <c r="F1471" s="106" t="s">
        <v>2024</v>
      </c>
      <c r="G1471" s="8"/>
      <c r="H1471" s="8"/>
      <c r="I1471" s="107">
        <v>0</v>
      </c>
      <c r="J1471" s="8" t="s">
        <v>4722</v>
      </c>
    </row>
    <row r="1472" spans="1:10" ht="16.5" customHeight="1" x14ac:dyDescent="0.25">
      <c r="A1472" s="8" t="s">
        <v>6258</v>
      </c>
      <c r="B1472" s="8" t="s">
        <v>6259</v>
      </c>
      <c r="C1472" s="8" t="s">
        <v>6260</v>
      </c>
      <c r="D1472" s="8" t="s">
        <v>6259</v>
      </c>
      <c r="E1472" s="105">
        <v>1</v>
      </c>
      <c r="F1472" s="106" t="s">
        <v>2024</v>
      </c>
      <c r="G1472" s="8"/>
      <c r="H1472" s="8"/>
      <c r="I1472" s="107">
        <v>0</v>
      </c>
      <c r="J1472" s="8" t="s">
        <v>3580</v>
      </c>
    </row>
    <row r="1473" spans="1:10" ht="16.5" customHeight="1" x14ac:dyDescent="0.25">
      <c r="A1473" s="8" t="s">
        <v>6261</v>
      </c>
      <c r="B1473" s="8" t="s">
        <v>6262</v>
      </c>
      <c r="C1473" s="8" t="s">
        <v>6263</v>
      </c>
      <c r="D1473" s="8" t="s">
        <v>6262</v>
      </c>
      <c r="E1473" s="105">
        <v>0</v>
      </c>
      <c r="F1473" s="106" t="s">
        <v>2024</v>
      </c>
      <c r="G1473" s="8"/>
      <c r="H1473" s="8"/>
      <c r="I1473" s="107">
        <v>0</v>
      </c>
      <c r="J1473" s="8" t="s">
        <v>4789</v>
      </c>
    </row>
    <row r="1474" spans="1:10" ht="16.5" customHeight="1" x14ac:dyDescent="0.25">
      <c r="A1474" s="8" t="s">
        <v>6264</v>
      </c>
      <c r="B1474" s="8" t="s">
        <v>6265</v>
      </c>
      <c r="C1474" s="8" t="s">
        <v>6266</v>
      </c>
      <c r="D1474" s="8" t="s">
        <v>6265</v>
      </c>
      <c r="E1474" s="105">
        <v>0</v>
      </c>
      <c r="F1474" s="106" t="s">
        <v>2018</v>
      </c>
      <c r="G1474" s="8"/>
      <c r="H1474" s="8"/>
      <c r="I1474" s="107">
        <v>0</v>
      </c>
      <c r="J1474" s="8" t="s">
        <v>4789</v>
      </c>
    </row>
    <row r="1475" spans="1:10" ht="16.5" customHeight="1" x14ac:dyDescent="0.25">
      <c r="A1475" s="8" t="s">
        <v>6267</v>
      </c>
      <c r="B1475" s="8" t="s">
        <v>6268</v>
      </c>
      <c r="C1475" s="8" t="s">
        <v>6269</v>
      </c>
      <c r="D1475" s="8" t="s">
        <v>6268</v>
      </c>
      <c r="E1475" s="105">
        <v>0</v>
      </c>
      <c r="F1475" s="106" t="s">
        <v>2024</v>
      </c>
      <c r="G1475" s="8"/>
      <c r="H1475" s="8"/>
      <c r="I1475" s="107">
        <v>0</v>
      </c>
      <c r="J1475" s="8" t="s">
        <v>4789</v>
      </c>
    </row>
    <row r="1476" spans="1:10" ht="16.5" customHeight="1" x14ac:dyDescent="0.25">
      <c r="A1476" s="8" t="s">
        <v>6270</v>
      </c>
      <c r="B1476" s="8" t="s">
        <v>6271</v>
      </c>
      <c r="C1476" s="8" t="s">
        <v>6272</v>
      </c>
      <c r="D1476" s="8" t="s">
        <v>6271</v>
      </c>
      <c r="E1476" s="105">
        <v>0</v>
      </c>
      <c r="F1476" s="106" t="s">
        <v>2024</v>
      </c>
      <c r="G1476" s="8"/>
      <c r="H1476" s="8"/>
      <c r="I1476" s="107">
        <v>0</v>
      </c>
      <c r="J1476" s="8" t="s">
        <v>4722</v>
      </c>
    </row>
    <row r="1477" spans="1:10" ht="16.5" customHeight="1" x14ac:dyDescent="0.25">
      <c r="A1477" s="8" t="s">
        <v>6273</v>
      </c>
      <c r="B1477" s="8" t="s">
        <v>6274</v>
      </c>
      <c r="C1477" s="8" t="s">
        <v>6275</v>
      </c>
      <c r="D1477" s="8" t="s">
        <v>6274</v>
      </c>
      <c r="E1477" s="105">
        <v>4</v>
      </c>
      <c r="F1477" s="106" t="s">
        <v>2024</v>
      </c>
      <c r="G1477" s="8"/>
      <c r="H1477" s="8"/>
      <c r="I1477" s="107">
        <v>0</v>
      </c>
      <c r="J1477" s="8" t="s">
        <v>2019</v>
      </c>
    </row>
    <row r="1478" spans="1:10" ht="16.5" customHeight="1" x14ac:dyDescent="0.25">
      <c r="A1478" s="8" t="s">
        <v>6276</v>
      </c>
      <c r="B1478" s="8" t="s">
        <v>6277</v>
      </c>
      <c r="C1478" s="8" t="s">
        <v>6278</v>
      </c>
      <c r="D1478" s="8" t="s">
        <v>6277</v>
      </c>
      <c r="E1478" s="105">
        <v>0</v>
      </c>
      <c r="F1478" s="106" t="s">
        <v>2024</v>
      </c>
      <c r="G1478" s="8"/>
      <c r="H1478" s="8"/>
      <c r="I1478" s="107">
        <v>0</v>
      </c>
      <c r="J1478" s="8" t="s">
        <v>4789</v>
      </c>
    </row>
    <row r="1479" spans="1:10" ht="16.5" customHeight="1" x14ac:dyDescent="0.25">
      <c r="A1479" s="8" t="s">
        <v>6279</v>
      </c>
      <c r="B1479" s="8" t="s">
        <v>6232</v>
      </c>
      <c r="C1479" s="8" t="s">
        <v>6233</v>
      </c>
      <c r="D1479" s="8" t="s">
        <v>6232</v>
      </c>
      <c r="E1479" s="105">
        <v>0</v>
      </c>
      <c r="F1479" s="106" t="s">
        <v>2024</v>
      </c>
      <c r="G1479" s="8"/>
      <c r="H1479" s="8"/>
      <c r="I1479" s="107">
        <v>0</v>
      </c>
      <c r="J1479" s="8" t="s">
        <v>4722</v>
      </c>
    </row>
    <row r="1480" spans="1:10" ht="16.5" customHeight="1" x14ac:dyDescent="0.25">
      <c r="A1480" s="8" t="s">
        <v>6280</v>
      </c>
      <c r="B1480" s="8" t="s">
        <v>994</v>
      </c>
      <c r="C1480" s="8" t="s">
        <v>993</v>
      </c>
      <c r="D1480" s="8" t="s">
        <v>3036</v>
      </c>
      <c r="E1480" s="105">
        <v>2.73</v>
      </c>
      <c r="F1480" s="106" t="s">
        <v>2024</v>
      </c>
      <c r="G1480" s="8"/>
      <c r="H1480" s="8"/>
      <c r="I1480" s="107">
        <v>0</v>
      </c>
      <c r="J1480" s="8" t="s">
        <v>4722</v>
      </c>
    </row>
    <row r="1481" spans="1:10" ht="16.5" customHeight="1" x14ac:dyDescent="0.25">
      <c r="A1481" s="8" t="s">
        <v>6281</v>
      </c>
      <c r="B1481" s="8" t="s">
        <v>3034</v>
      </c>
      <c r="C1481" s="8" t="s">
        <v>993</v>
      </c>
      <c r="D1481" s="8" t="s">
        <v>3035</v>
      </c>
      <c r="E1481" s="105">
        <v>0.22700000000000001</v>
      </c>
      <c r="F1481" s="106" t="s">
        <v>2024</v>
      </c>
      <c r="G1481" s="8"/>
      <c r="H1481" s="8"/>
      <c r="I1481" s="107">
        <v>0</v>
      </c>
      <c r="J1481" s="8" t="s">
        <v>4722</v>
      </c>
    </row>
    <row r="1482" spans="1:10" ht="16.5" customHeight="1" x14ac:dyDescent="0.25">
      <c r="A1482" s="8" t="s">
        <v>6282</v>
      </c>
      <c r="B1482" s="8" t="s">
        <v>6283</v>
      </c>
      <c r="C1482" s="8" t="s">
        <v>996</v>
      </c>
      <c r="D1482" s="8" t="s">
        <v>3528</v>
      </c>
      <c r="E1482" s="105">
        <v>2.73</v>
      </c>
      <c r="F1482" s="106" t="s">
        <v>2018</v>
      </c>
      <c r="G1482" s="8"/>
      <c r="H1482" s="8"/>
      <c r="I1482" s="107">
        <v>0</v>
      </c>
      <c r="J1482" s="8" t="s">
        <v>4722</v>
      </c>
    </row>
    <row r="1483" spans="1:10" ht="16.5" customHeight="1" x14ac:dyDescent="0.25">
      <c r="A1483" s="8" t="s">
        <v>6284</v>
      </c>
      <c r="B1483" s="8" t="s">
        <v>3530</v>
      </c>
      <c r="C1483" s="8" t="s">
        <v>996</v>
      </c>
      <c r="D1483" s="8" t="s">
        <v>3531</v>
      </c>
      <c r="E1483" s="105">
        <v>0.22800000000000001</v>
      </c>
      <c r="F1483" s="106" t="s">
        <v>2024</v>
      </c>
      <c r="G1483" s="8"/>
      <c r="H1483" s="8"/>
      <c r="I1483" s="107">
        <v>0</v>
      </c>
      <c r="J1483" s="8" t="s">
        <v>4722</v>
      </c>
    </row>
    <row r="1484" spans="1:10" ht="16.5" customHeight="1" x14ac:dyDescent="0.25">
      <c r="A1484" s="8" t="s">
        <v>6285</v>
      </c>
      <c r="B1484" s="8" t="s">
        <v>1000</v>
      </c>
      <c r="C1484" s="8" t="s">
        <v>999</v>
      </c>
      <c r="D1484" s="8" t="s">
        <v>3546</v>
      </c>
      <c r="E1484" s="105">
        <v>4.0949999999999998</v>
      </c>
      <c r="F1484" s="106" t="s">
        <v>2018</v>
      </c>
      <c r="G1484" s="8"/>
      <c r="H1484" s="8"/>
      <c r="I1484" s="107">
        <v>0</v>
      </c>
      <c r="J1484" s="8" t="s">
        <v>4722</v>
      </c>
    </row>
    <row r="1485" spans="1:10" ht="16.5" customHeight="1" x14ac:dyDescent="0.25">
      <c r="A1485" s="8" t="s">
        <v>6286</v>
      </c>
      <c r="B1485" s="8" t="s">
        <v>6287</v>
      </c>
      <c r="C1485" s="8" t="s">
        <v>999</v>
      </c>
      <c r="D1485" s="8" t="s">
        <v>3549</v>
      </c>
      <c r="E1485" s="105">
        <v>0.68200000000000005</v>
      </c>
      <c r="F1485" s="106" t="s">
        <v>2018</v>
      </c>
      <c r="G1485" s="8"/>
      <c r="H1485" s="8"/>
      <c r="I1485" s="107">
        <v>0</v>
      </c>
      <c r="J1485" s="8" t="s">
        <v>4722</v>
      </c>
    </row>
    <row r="1486" spans="1:10" ht="16.5" customHeight="1" x14ac:dyDescent="0.25">
      <c r="A1486" s="8" t="s">
        <v>6288</v>
      </c>
      <c r="B1486" s="8" t="s">
        <v>3537</v>
      </c>
      <c r="C1486" s="8" t="s">
        <v>6289</v>
      </c>
      <c r="D1486" s="8" t="s">
        <v>3538</v>
      </c>
      <c r="E1486" s="105">
        <v>2.73</v>
      </c>
      <c r="F1486" s="106" t="s">
        <v>2024</v>
      </c>
      <c r="G1486" s="8"/>
      <c r="H1486" s="8"/>
      <c r="I1486" s="107">
        <v>0</v>
      </c>
      <c r="J1486" s="8" t="s">
        <v>4722</v>
      </c>
    </row>
    <row r="1487" spans="1:10" ht="16.5" customHeight="1" x14ac:dyDescent="0.25">
      <c r="A1487" s="8" t="s">
        <v>6290</v>
      </c>
      <c r="B1487" s="8" t="s">
        <v>6291</v>
      </c>
      <c r="C1487" s="8" t="s">
        <v>6289</v>
      </c>
      <c r="D1487" s="8" t="s">
        <v>3535</v>
      </c>
      <c r="E1487" s="105">
        <v>0.22800000000000001</v>
      </c>
      <c r="F1487" s="106" t="s">
        <v>2024</v>
      </c>
      <c r="G1487" s="8"/>
      <c r="H1487" s="8"/>
      <c r="I1487" s="107">
        <v>0</v>
      </c>
      <c r="J1487" s="8" t="s">
        <v>4722</v>
      </c>
    </row>
    <row r="1488" spans="1:10" ht="16.5" customHeight="1" x14ac:dyDescent="0.25">
      <c r="A1488" s="8" t="s">
        <v>6292</v>
      </c>
      <c r="B1488" s="8" t="s">
        <v>3544</v>
      </c>
      <c r="C1488" s="8" t="s">
        <v>3541</v>
      </c>
      <c r="D1488" s="8" t="s">
        <v>3545</v>
      </c>
      <c r="E1488" s="105">
        <v>10.92</v>
      </c>
      <c r="F1488" s="106" t="s">
        <v>2024</v>
      </c>
      <c r="G1488" s="8"/>
      <c r="H1488" s="8"/>
      <c r="I1488" s="107">
        <v>0</v>
      </c>
      <c r="J1488" s="8" t="s">
        <v>4722</v>
      </c>
    </row>
    <row r="1489" spans="1:10" ht="16.5" customHeight="1" x14ac:dyDescent="0.25">
      <c r="A1489" s="8" t="s">
        <v>6293</v>
      </c>
      <c r="B1489" s="8" t="s">
        <v>6294</v>
      </c>
      <c r="C1489" s="8" t="s">
        <v>3541</v>
      </c>
      <c r="D1489" s="8" t="s">
        <v>3542</v>
      </c>
      <c r="E1489" s="105">
        <v>0.91</v>
      </c>
      <c r="F1489" s="106" t="s">
        <v>2024</v>
      </c>
      <c r="G1489" s="8"/>
      <c r="H1489" s="8"/>
      <c r="I1489" s="107">
        <v>0</v>
      </c>
      <c r="J1489" s="8" t="s">
        <v>4722</v>
      </c>
    </row>
    <row r="1490" spans="1:10" ht="16.5" customHeight="1" x14ac:dyDescent="0.25">
      <c r="A1490" s="8" t="s">
        <v>6295</v>
      </c>
      <c r="B1490" s="8" t="s">
        <v>6296</v>
      </c>
      <c r="C1490" s="8" t="s">
        <v>4475</v>
      </c>
      <c r="D1490" s="8" t="s">
        <v>6296</v>
      </c>
      <c r="E1490" s="105">
        <v>0</v>
      </c>
      <c r="F1490" s="106" t="s">
        <v>2024</v>
      </c>
      <c r="G1490" s="8"/>
      <c r="H1490" s="8"/>
      <c r="I1490" s="107">
        <v>0</v>
      </c>
      <c r="J1490" s="8" t="s">
        <v>4722</v>
      </c>
    </row>
    <row r="1491" spans="1:10" ht="16.5" customHeight="1" x14ac:dyDescent="0.25">
      <c r="A1491" s="8" t="s">
        <v>6297</v>
      </c>
      <c r="B1491" s="8" t="s">
        <v>6298</v>
      </c>
      <c r="C1491" s="8" t="s">
        <v>5289</v>
      </c>
      <c r="D1491" s="8" t="s">
        <v>6298</v>
      </c>
      <c r="E1491" s="105">
        <v>0.8</v>
      </c>
      <c r="F1491" s="106" t="s">
        <v>2024</v>
      </c>
      <c r="G1491" s="8"/>
      <c r="H1491" s="8"/>
      <c r="I1491" s="107">
        <v>0</v>
      </c>
      <c r="J1491" s="8" t="s">
        <v>4722</v>
      </c>
    </row>
    <row r="1492" spans="1:10" ht="16.5" customHeight="1" x14ac:dyDescent="0.25">
      <c r="A1492" s="8" t="s">
        <v>6299</v>
      </c>
      <c r="B1492" s="8" t="s">
        <v>6241</v>
      </c>
      <c r="C1492" s="8" t="s">
        <v>6300</v>
      </c>
      <c r="D1492" s="8" t="s">
        <v>6241</v>
      </c>
      <c r="E1492" s="105">
        <v>0</v>
      </c>
      <c r="F1492" s="106" t="s">
        <v>2024</v>
      </c>
      <c r="G1492" s="8"/>
      <c r="H1492" s="8"/>
      <c r="I1492" s="107">
        <v>0</v>
      </c>
      <c r="J1492" s="8" t="s">
        <v>4722</v>
      </c>
    </row>
    <row r="1493" spans="1:10" ht="16.5" customHeight="1" x14ac:dyDescent="0.25">
      <c r="A1493" s="8" t="s">
        <v>6301</v>
      </c>
      <c r="B1493" s="8" t="s">
        <v>4242</v>
      </c>
      <c r="C1493" s="8" t="s">
        <v>4243</v>
      </c>
      <c r="D1493" s="8" t="s">
        <v>4242</v>
      </c>
      <c r="E1493" s="105">
        <v>0.08</v>
      </c>
      <c r="F1493" s="106" t="s">
        <v>2024</v>
      </c>
      <c r="G1493" s="8"/>
      <c r="H1493" s="8"/>
      <c r="I1493" s="107">
        <v>0</v>
      </c>
      <c r="J1493" s="8" t="s">
        <v>4722</v>
      </c>
    </row>
    <row r="1494" spans="1:10" ht="16.5" customHeight="1" x14ac:dyDescent="0.25">
      <c r="A1494" s="8" t="s">
        <v>6302</v>
      </c>
      <c r="B1494" s="8" t="s">
        <v>5848</v>
      </c>
      <c r="C1494" s="8" t="s">
        <v>5849</v>
      </c>
      <c r="D1494" s="8" t="s">
        <v>5848</v>
      </c>
      <c r="E1494" s="105">
        <v>0</v>
      </c>
      <c r="F1494" s="106" t="s">
        <v>2024</v>
      </c>
      <c r="G1494" s="8"/>
      <c r="H1494" s="8"/>
      <c r="I1494" s="107">
        <v>0</v>
      </c>
      <c r="J1494" s="8" t="s">
        <v>4722</v>
      </c>
    </row>
    <row r="1495" spans="1:10" ht="16.5" customHeight="1" x14ac:dyDescent="0.25">
      <c r="A1495" s="8" t="s">
        <v>6303</v>
      </c>
      <c r="B1495" s="8" t="s">
        <v>4536</v>
      </c>
      <c r="C1495" s="8" t="s">
        <v>4537</v>
      </c>
      <c r="D1495" s="8" t="s">
        <v>4536</v>
      </c>
      <c r="E1495" s="105">
        <v>0</v>
      </c>
      <c r="F1495" s="106" t="s">
        <v>2024</v>
      </c>
      <c r="G1495" s="8"/>
      <c r="H1495" s="8"/>
      <c r="I1495" s="107">
        <v>0</v>
      </c>
      <c r="J1495" s="8" t="s">
        <v>4722</v>
      </c>
    </row>
    <row r="1496" spans="1:10" ht="16.5" customHeight="1" x14ac:dyDescent="0.25">
      <c r="A1496" s="8" t="s">
        <v>6304</v>
      </c>
      <c r="B1496" s="8" t="s">
        <v>4221</v>
      </c>
      <c r="C1496" s="8" t="s">
        <v>6305</v>
      </c>
      <c r="D1496" s="8" t="s">
        <v>4221</v>
      </c>
      <c r="E1496" s="105">
        <v>0</v>
      </c>
      <c r="F1496" s="106" t="s">
        <v>2024</v>
      </c>
      <c r="G1496" s="8"/>
      <c r="H1496" s="8"/>
      <c r="I1496" s="107">
        <v>0</v>
      </c>
      <c r="J1496" s="8" t="s">
        <v>4722</v>
      </c>
    </row>
    <row r="1497" spans="1:10" ht="16.5" customHeight="1" x14ac:dyDescent="0.25">
      <c r="A1497" s="8" t="s">
        <v>6306</v>
      </c>
      <c r="B1497" s="8" t="s">
        <v>6307</v>
      </c>
      <c r="C1497" s="8" t="s">
        <v>6308</v>
      </c>
      <c r="D1497" s="8" t="s">
        <v>6307</v>
      </c>
      <c r="E1497" s="105">
        <v>0</v>
      </c>
      <c r="F1497" s="106" t="s">
        <v>2024</v>
      </c>
      <c r="G1497" s="8"/>
      <c r="H1497" s="8"/>
      <c r="I1497" s="107">
        <v>0</v>
      </c>
      <c r="J1497" s="8" t="s">
        <v>4722</v>
      </c>
    </row>
    <row r="1498" spans="1:10" ht="16.5" customHeight="1" x14ac:dyDescent="0.25">
      <c r="A1498" s="8" t="s">
        <v>6309</v>
      </c>
      <c r="B1498" s="8" t="s">
        <v>6310</v>
      </c>
      <c r="C1498" s="8" t="s">
        <v>6311</v>
      </c>
      <c r="D1498" s="8" t="s">
        <v>6310</v>
      </c>
      <c r="E1498" s="105">
        <v>0</v>
      </c>
      <c r="F1498" s="106" t="s">
        <v>2024</v>
      </c>
      <c r="G1498" s="8"/>
      <c r="H1498" s="8"/>
      <c r="I1498" s="107">
        <v>0</v>
      </c>
      <c r="J1498" s="8" t="s">
        <v>4722</v>
      </c>
    </row>
    <row r="1499" spans="1:10" ht="16.5" customHeight="1" x14ac:dyDescent="0.25">
      <c r="A1499" s="8" t="s">
        <v>6312</v>
      </c>
      <c r="B1499" s="8" t="s">
        <v>4477</v>
      </c>
      <c r="C1499" s="8" t="s">
        <v>4478</v>
      </c>
      <c r="D1499" s="8" t="s">
        <v>4477</v>
      </c>
      <c r="E1499" s="105">
        <v>0.253</v>
      </c>
      <c r="F1499" s="106" t="s">
        <v>2024</v>
      </c>
      <c r="G1499" s="8"/>
      <c r="H1499" s="8"/>
      <c r="I1499" s="107">
        <v>0</v>
      </c>
      <c r="J1499" s="8" t="s">
        <v>4722</v>
      </c>
    </row>
    <row r="1500" spans="1:10" ht="16.5" customHeight="1" x14ac:dyDescent="0.25">
      <c r="A1500" s="8" t="s">
        <v>6313</v>
      </c>
      <c r="B1500" s="8" t="s">
        <v>5127</v>
      </c>
      <c r="C1500" s="8" t="s">
        <v>5128</v>
      </c>
      <c r="D1500" s="8" t="s">
        <v>5127</v>
      </c>
      <c r="E1500" s="105">
        <v>0.253</v>
      </c>
      <c r="F1500" s="106" t="s">
        <v>2024</v>
      </c>
      <c r="G1500" s="8"/>
      <c r="H1500" s="8"/>
      <c r="I1500" s="107">
        <v>0</v>
      </c>
      <c r="J1500" s="8" t="s">
        <v>4722</v>
      </c>
    </row>
    <row r="1501" spans="1:10" ht="16.5" customHeight="1" x14ac:dyDescent="0.25">
      <c r="A1501" s="8" t="s">
        <v>6314</v>
      </c>
      <c r="B1501" s="8" t="s">
        <v>6315</v>
      </c>
      <c r="C1501" s="8" t="s">
        <v>6316</v>
      </c>
      <c r="D1501" s="8" t="s">
        <v>6315</v>
      </c>
      <c r="E1501" s="105">
        <v>0</v>
      </c>
      <c r="F1501" s="106" t="s">
        <v>2024</v>
      </c>
      <c r="G1501" s="8"/>
      <c r="H1501" s="8"/>
      <c r="I1501" s="107">
        <v>0</v>
      </c>
      <c r="J1501" s="8" t="s">
        <v>4722</v>
      </c>
    </row>
    <row r="1502" spans="1:10" ht="16.5" customHeight="1" x14ac:dyDescent="0.25">
      <c r="A1502" s="8" t="s">
        <v>6317</v>
      </c>
      <c r="B1502" s="8" t="s">
        <v>6318</v>
      </c>
      <c r="C1502" s="8" t="s">
        <v>6319</v>
      </c>
      <c r="D1502" s="8" t="s">
        <v>6318</v>
      </c>
      <c r="E1502" s="105">
        <v>20</v>
      </c>
      <c r="F1502" s="106" t="s">
        <v>2018</v>
      </c>
      <c r="G1502" s="8"/>
      <c r="H1502" s="8"/>
      <c r="I1502" s="107">
        <v>0</v>
      </c>
      <c r="J1502" s="8" t="s">
        <v>2019</v>
      </c>
    </row>
    <row r="1503" spans="1:10" ht="16.5" customHeight="1" x14ac:dyDescent="0.25">
      <c r="A1503" s="8" t="s">
        <v>6320</v>
      </c>
      <c r="B1503" s="8" t="s">
        <v>4144</v>
      </c>
      <c r="C1503" s="8" t="s">
        <v>4142</v>
      </c>
      <c r="D1503" s="8" t="s">
        <v>4144</v>
      </c>
      <c r="E1503" s="105">
        <v>6.8250000000000002</v>
      </c>
      <c r="F1503" s="106" t="s">
        <v>2024</v>
      </c>
      <c r="G1503" s="8"/>
      <c r="H1503" s="8"/>
      <c r="I1503" s="107">
        <v>0</v>
      </c>
      <c r="J1503" s="8" t="s">
        <v>4722</v>
      </c>
    </row>
    <row r="1504" spans="1:10" ht="16.5" customHeight="1" x14ac:dyDescent="0.25">
      <c r="A1504" s="8" t="s">
        <v>6321</v>
      </c>
      <c r="B1504" s="8" t="s">
        <v>4141</v>
      </c>
      <c r="C1504" s="8" t="s">
        <v>4142</v>
      </c>
      <c r="D1504" s="8" t="s">
        <v>4141</v>
      </c>
      <c r="E1504" s="105">
        <v>0.22750000000000001</v>
      </c>
      <c r="F1504" s="106" t="s">
        <v>2024</v>
      </c>
      <c r="G1504" s="8"/>
      <c r="H1504" s="8"/>
      <c r="I1504" s="107">
        <v>0</v>
      </c>
      <c r="J1504" s="8" t="s">
        <v>4722</v>
      </c>
    </row>
    <row r="1505" spans="1:10" ht="16.5" customHeight="1" x14ac:dyDescent="0.25">
      <c r="A1505" s="8" t="s">
        <v>6322</v>
      </c>
      <c r="B1505" s="8" t="s">
        <v>4163</v>
      </c>
      <c r="C1505" s="8" t="s">
        <v>4164</v>
      </c>
      <c r="D1505" s="8" t="s">
        <v>4163</v>
      </c>
      <c r="E1505" s="105">
        <v>7.28</v>
      </c>
      <c r="F1505" s="106" t="s">
        <v>2024</v>
      </c>
      <c r="G1505" s="8"/>
      <c r="H1505" s="8"/>
      <c r="I1505" s="107">
        <v>0</v>
      </c>
      <c r="J1505" s="8" t="s">
        <v>4722</v>
      </c>
    </row>
    <row r="1506" spans="1:10" ht="16.5" customHeight="1" x14ac:dyDescent="0.25">
      <c r="A1506" s="8" t="s">
        <v>6323</v>
      </c>
      <c r="B1506" s="8" t="s">
        <v>6324</v>
      </c>
      <c r="C1506" s="8" t="s">
        <v>4164</v>
      </c>
      <c r="D1506" s="8" t="s">
        <v>6324</v>
      </c>
      <c r="E1506" s="105">
        <v>0.36399999999999999</v>
      </c>
      <c r="F1506" s="106" t="s">
        <v>2024</v>
      </c>
      <c r="G1506" s="8"/>
      <c r="H1506" s="8"/>
      <c r="I1506" s="107">
        <v>0</v>
      </c>
      <c r="J1506" s="8" t="s">
        <v>4722</v>
      </c>
    </row>
    <row r="1507" spans="1:10" ht="16.5" customHeight="1" x14ac:dyDescent="0.25">
      <c r="A1507" s="8" t="s">
        <v>6325</v>
      </c>
      <c r="B1507" s="8" t="s">
        <v>6326</v>
      </c>
      <c r="C1507" s="8" t="s">
        <v>4147</v>
      </c>
      <c r="D1507" s="8" t="s">
        <v>6326</v>
      </c>
      <c r="E1507" s="105">
        <v>10.92</v>
      </c>
      <c r="F1507" s="106" t="s">
        <v>2024</v>
      </c>
      <c r="G1507" s="8"/>
      <c r="H1507" s="8"/>
      <c r="I1507" s="107">
        <v>0</v>
      </c>
      <c r="J1507" s="8" t="s">
        <v>4722</v>
      </c>
    </row>
    <row r="1508" spans="1:10" ht="16.5" customHeight="1" x14ac:dyDescent="0.25">
      <c r="A1508" s="8" t="s">
        <v>6327</v>
      </c>
      <c r="B1508" s="8" t="s">
        <v>5100</v>
      </c>
      <c r="C1508" s="8" t="s">
        <v>5101</v>
      </c>
      <c r="D1508" s="8" t="s">
        <v>5100</v>
      </c>
      <c r="E1508" s="105">
        <v>7.28</v>
      </c>
      <c r="F1508" s="106" t="s">
        <v>2024</v>
      </c>
      <c r="G1508" s="8"/>
      <c r="H1508" s="8"/>
      <c r="I1508" s="107">
        <v>0</v>
      </c>
      <c r="J1508" s="8" t="s">
        <v>4722</v>
      </c>
    </row>
    <row r="1509" spans="1:10" ht="16.5" customHeight="1" x14ac:dyDescent="0.25">
      <c r="A1509" s="8" t="s">
        <v>6328</v>
      </c>
      <c r="B1509" s="8" t="s">
        <v>6329</v>
      </c>
      <c r="C1509" s="8" t="s">
        <v>5101</v>
      </c>
      <c r="D1509" s="8" t="s">
        <v>6329</v>
      </c>
      <c r="E1509" s="105">
        <v>0.36399999999999999</v>
      </c>
      <c r="F1509" s="106" t="s">
        <v>2024</v>
      </c>
      <c r="G1509" s="8"/>
      <c r="H1509" s="8"/>
      <c r="I1509" s="107">
        <v>0</v>
      </c>
      <c r="J1509" s="8" t="s">
        <v>4722</v>
      </c>
    </row>
    <row r="1510" spans="1:10" ht="16.5" customHeight="1" x14ac:dyDescent="0.25">
      <c r="A1510" s="8" t="s">
        <v>6330</v>
      </c>
      <c r="B1510" s="8" t="s">
        <v>1175</v>
      </c>
      <c r="C1510" s="8" t="s">
        <v>1174</v>
      </c>
      <c r="D1510" s="8" t="s">
        <v>1175</v>
      </c>
      <c r="E1510" s="105">
        <v>10.92</v>
      </c>
      <c r="F1510" s="106" t="s">
        <v>2018</v>
      </c>
      <c r="G1510" s="8"/>
      <c r="H1510" s="8"/>
      <c r="I1510" s="107">
        <v>0</v>
      </c>
      <c r="J1510" s="8" t="s">
        <v>4722</v>
      </c>
    </row>
    <row r="1511" spans="1:10" ht="16.5" customHeight="1" x14ac:dyDescent="0.25">
      <c r="A1511" s="8" t="s">
        <v>6331</v>
      </c>
      <c r="B1511" s="8" t="s">
        <v>6332</v>
      </c>
      <c r="C1511" s="8" t="s">
        <v>1215</v>
      </c>
      <c r="D1511" s="8" t="s">
        <v>6332</v>
      </c>
      <c r="E1511" s="105">
        <v>7.28</v>
      </c>
      <c r="F1511" s="106" t="s">
        <v>2024</v>
      </c>
      <c r="G1511" s="8"/>
      <c r="H1511" s="8"/>
      <c r="I1511" s="107">
        <v>0</v>
      </c>
      <c r="J1511" s="8" t="s">
        <v>4722</v>
      </c>
    </row>
    <row r="1512" spans="1:10" ht="16.5" customHeight="1" x14ac:dyDescent="0.25">
      <c r="A1512" s="8" t="s">
        <v>6333</v>
      </c>
      <c r="B1512" s="8" t="s">
        <v>6334</v>
      </c>
      <c r="C1512" s="8" t="s">
        <v>1215</v>
      </c>
      <c r="D1512" s="8" t="s">
        <v>6334</v>
      </c>
      <c r="E1512" s="105">
        <v>0.36399999999999999</v>
      </c>
      <c r="F1512" s="106" t="s">
        <v>2024</v>
      </c>
      <c r="G1512" s="8"/>
      <c r="H1512" s="8"/>
      <c r="I1512" s="107">
        <v>0</v>
      </c>
      <c r="J1512" s="8" t="s">
        <v>4722</v>
      </c>
    </row>
    <row r="1513" spans="1:10" ht="16.5" customHeight="1" x14ac:dyDescent="0.25">
      <c r="A1513" s="8" t="s">
        <v>6335</v>
      </c>
      <c r="B1513" s="8" t="s">
        <v>6336</v>
      </c>
      <c r="C1513" s="8" t="s">
        <v>1089</v>
      </c>
      <c r="D1513" s="8" t="s">
        <v>6336</v>
      </c>
      <c r="E1513" s="105">
        <v>10.92</v>
      </c>
      <c r="F1513" s="106" t="s">
        <v>2018</v>
      </c>
      <c r="G1513" s="8"/>
      <c r="H1513" s="8"/>
      <c r="I1513" s="107">
        <v>0</v>
      </c>
      <c r="J1513" s="8" t="s">
        <v>4722</v>
      </c>
    </row>
    <row r="1514" spans="1:10" ht="16.5" customHeight="1" x14ac:dyDescent="0.25">
      <c r="A1514" s="8" t="s">
        <v>6337</v>
      </c>
      <c r="B1514" s="8" t="s">
        <v>6338</v>
      </c>
      <c r="C1514" s="8" t="s">
        <v>1089</v>
      </c>
      <c r="D1514" s="8" t="s">
        <v>6338</v>
      </c>
      <c r="E1514" s="105">
        <v>0.91</v>
      </c>
      <c r="F1514" s="106" t="s">
        <v>2018</v>
      </c>
      <c r="G1514" s="8"/>
      <c r="H1514" s="8"/>
      <c r="I1514" s="107">
        <v>0</v>
      </c>
      <c r="J1514" s="8" t="s">
        <v>4722</v>
      </c>
    </row>
    <row r="1515" spans="1:10" ht="16.5" customHeight="1" x14ac:dyDescent="0.25">
      <c r="A1515" s="8" t="s">
        <v>6339</v>
      </c>
      <c r="B1515" s="8" t="s">
        <v>6340</v>
      </c>
      <c r="C1515" s="8" t="s">
        <v>6341</v>
      </c>
      <c r="D1515" s="8" t="s">
        <v>6340</v>
      </c>
      <c r="E1515" s="105">
        <v>0</v>
      </c>
      <c r="F1515" s="106" t="s">
        <v>2024</v>
      </c>
      <c r="G1515" s="8"/>
      <c r="H1515" s="8"/>
      <c r="I1515" s="107">
        <v>0</v>
      </c>
      <c r="J1515" s="8" t="s">
        <v>4722</v>
      </c>
    </row>
    <row r="1516" spans="1:10" ht="16.5" customHeight="1" x14ac:dyDescent="0.25">
      <c r="A1516" s="8" t="s">
        <v>6342</v>
      </c>
      <c r="B1516" s="8" t="s">
        <v>6343</v>
      </c>
      <c r="C1516" s="8" t="s">
        <v>6344</v>
      </c>
      <c r="D1516" s="8" t="s">
        <v>6343</v>
      </c>
      <c r="E1516" s="105">
        <v>0</v>
      </c>
      <c r="F1516" s="106" t="s">
        <v>2024</v>
      </c>
      <c r="G1516" s="8"/>
      <c r="H1516" s="8"/>
      <c r="I1516" s="107">
        <v>0</v>
      </c>
      <c r="J1516" s="8" t="s">
        <v>4722</v>
      </c>
    </row>
    <row r="1517" spans="1:10" ht="16.5" customHeight="1" x14ac:dyDescent="0.25">
      <c r="A1517" s="8" t="s">
        <v>6345</v>
      </c>
      <c r="B1517" s="8" t="s">
        <v>6346</v>
      </c>
      <c r="C1517" s="8" t="s">
        <v>6347</v>
      </c>
      <c r="D1517" s="8" t="s">
        <v>6346</v>
      </c>
      <c r="E1517" s="105">
        <v>1</v>
      </c>
      <c r="F1517" s="106" t="s">
        <v>2024</v>
      </c>
      <c r="G1517" s="8"/>
      <c r="H1517" s="8"/>
      <c r="I1517" s="107">
        <v>0</v>
      </c>
      <c r="J1517" s="8" t="s">
        <v>3580</v>
      </c>
    </row>
    <row r="1518" spans="1:10" ht="16.5" customHeight="1" x14ac:dyDescent="0.25">
      <c r="A1518" s="8" t="s">
        <v>6348</v>
      </c>
      <c r="B1518" s="8" t="s">
        <v>6349</v>
      </c>
      <c r="C1518" s="8" t="s">
        <v>6350</v>
      </c>
      <c r="D1518" s="8" t="s">
        <v>6349</v>
      </c>
      <c r="E1518" s="105">
        <v>1</v>
      </c>
      <c r="F1518" s="106" t="s">
        <v>2024</v>
      </c>
      <c r="G1518" s="8"/>
      <c r="H1518" s="8"/>
      <c r="I1518" s="107">
        <v>0</v>
      </c>
      <c r="J1518" s="8" t="s">
        <v>3695</v>
      </c>
    </row>
    <row r="1519" spans="1:10" ht="16.5" customHeight="1" x14ac:dyDescent="0.25">
      <c r="A1519" s="8" t="s">
        <v>6351</v>
      </c>
      <c r="B1519" s="8" t="s">
        <v>6352</v>
      </c>
      <c r="C1519" s="8" t="s">
        <v>6353</v>
      </c>
      <c r="D1519" s="8" t="s">
        <v>6352</v>
      </c>
      <c r="E1519" s="105">
        <v>1</v>
      </c>
      <c r="F1519" s="106" t="s">
        <v>2024</v>
      </c>
      <c r="G1519" s="8"/>
      <c r="H1519" s="8"/>
      <c r="I1519" s="107">
        <v>0</v>
      </c>
      <c r="J1519" s="8" t="s">
        <v>3695</v>
      </c>
    </row>
    <row r="1520" spans="1:10" ht="16.5" customHeight="1" x14ac:dyDescent="0.25">
      <c r="A1520" s="8" t="s">
        <v>6354</v>
      </c>
      <c r="B1520" s="8" t="s">
        <v>6355</v>
      </c>
      <c r="C1520" s="8" t="s">
        <v>6356</v>
      </c>
      <c r="D1520" s="8" t="s">
        <v>6355</v>
      </c>
      <c r="E1520" s="105">
        <v>3.8</v>
      </c>
      <c r="F1520" s="106" t="s">
        <v>2024</v>
      </c>
      <c r="G1520" s="8"/>
      <c r="H1520" s="8"/>
      <c r="I1520" s="107">
        <v>0</v>
      </c>
      <c r="J1520" s="8" t="s">
        <v>6357</v>
      </c>
    </row>
    <row r="1521" spans="1:10" ht="16.5" customHeight="1" x14ac:dyDescent="0.25">
      <c r="A1521" s="8" t="s">
        <v>6358</v>
      </c>
      <c r="B1521" s="8" t="s">
        <v>6359</v>
      </c>
      <c r="C1521" s="8" t="s">
        <v>6360</v>
      </c>
      <c r="D1521" s="8" t="s">
        <v>6359</v>
      </c>
      <c r="E1521" s="105">
        <v>15.2</v>
      </c>
      <c r="F1521" s="106" t="s">
        <v>2024</v>
      </c>
      <c r="G1521" s="8"/>
      <c r="H1521" s="8"/>
      <c r="I1521" s="107">
        <v>0</v>
      </c>
      <c r="J1521" s="8" t="s">
        <v>6357</v>
      </c>
    </row>
    <row r="1522" spans="1:10" ht="16.5" customHeight="1" x14ac:dyDescent="0.25">
      <c r="A1522" s="8" t="s">
        <v>6361</v>
      </c>
      <c r="B1522" s="8" t="s">
        <v>6362</v>
      </c>
      <c r="C1522" s="8" t="s">
        <v>6363</v>
      </c>
      <c r="D1522" s="8" t="s">
        <v>6362</v>
      </c>
      <c r="E1522" s="105">
        <v>9.5</v>
      </c>
      <c r="F1522" s="106" t="s">
        <v>2024</v>
      </c>
      <c r="G1522" s="8"/>
      <c r="H1522" s="8"/>
      <c r="I1522" s="107">
        <v>0</v>
      </c>
      <c r="J1522" s="8" t="s">
        <v>6357</v>
      </c>
    </row>
    <row r="1523" spans="1:10" ht="16.5" customHeight="1" x14ac:dyDescent="0.25">
      <c r="A1523" s="8" t="s">
        <v>6364</v>
      </c>
      <c r="B1523" s="8" t="s">
        <v>6365</v>
      </c>
      <c r="C1523" s="8" t="s">
        <v>5473</v>
      </c>
      <c r="D1523" s="8" t="s">
        <v>6365</v>
      </c>
      <c r="E1523" s="105">
        <v>1</v>
      </c>
      <c r="F1523" s="106" t="s">
        <v>2024</v>
      </c>
      <c r="G1523" s="8"/>
      <c r="H1523" s="8"/>
      <c r="I1523" s="107">
        <v>0</v>
      </c>
      <c r="J1523" s="8" t="s">
        <v>3580</v>
      </c>
    </row>
    <row r="1524" spans="1:10" ht="16.5" customHeight="1" x14ac:dyDescent="0.25">
      <c r="A1524" s="8" t="s">
        <v>6366</v>
      </c>
      <c r="B1524" s="8" t="s">
        <v>6367</v>
      </c>
      <c r="C1524" s="8" t="s">
        <v>1187</v>
      </c>
      <c r="D1524" s="8" t="s">
        <v>6367</v>
      </c>
      <c r="E1524" s="105">
        <v>10.92</v>
      </c>
      <c r="F1524" s="106" t="s">
        <v>2024</v>
      </c>
      <c r="G1524" s="8"/>
      <c r="H1524" s="8"/>
      <c r="I1524" s="107">
        <v>0</v>
      </c>
      <c r="J1524" s="8" t="s">
        <v>2019</v>
      </c>
    </row>
    <row r="1525" spans="1:10" ht="16.5" customHeight="1" x14ac:dyDescent="0.25">
      <c r="A1525" s="8" t="s">
        <v>971</v>
      </c>
      <c r="B1525" s="8" t="s">
        <v>973</v>
      </c>
      <c r="C1525" s="8" t="s">
        <v>972</v>
      </c>
      <c r="D1525" s="8" t="s">
        <v>973</v>
      </c>
      <c r="E1525" s="105">
        <v>10.92</v>
      </c>
      <c r="F1525" s="106" t="s">
        <v>2018</v>
      </c>
      <c r="G1525" s="8"/>
      <c r="H1525" s="8" t="s">
        <v>1338</v>
      </c>
      <c r="I1525" s="107">
        <v>6</v>
      </c>
      <c r="J1525" s="8" t="s">
        <v>2019</v>
      </c>
    </row>
    <row r="1526" spans="1:10" ht="16.5" customHeight="1" x14ac:dyDescent="0.25">
      <c r="A1526" s="8" t="s">
        <v>6368</v>
      </c>
      <c r="B1526" s="8" t="s">
        <v>6369</v>
      </c>
      <c r="C1526" s="8" t="s">
        <v>1383</v>
      </c>
      <c r="D1526" s="8" t="s">
        <v>6369</v>
      </c>
      <c r="E1526" s="105">
        <v>1</v>
      </c>
      <c r="F1526" s="106" t="s">
        <v>2018</v>
      </c>
      <c r="G1526" s="8"/>
      <c r="H1526" s="8"/>
      <c r="I1526" s="107">
        <v>0</v>
      </c>
      <c r="J1526" s="8" t="s">
        <v>2019</v>
      </c>
    </row>
    <row r="1527" spans="1:10" ht="16.5" customHeight="1" x14ac:dyDescent="0.25">
      <c r="A1527" s="8" t="s">
        <v>6370</v>
      </c>
      <c r="B1527" s="8" t="s">
        <v>6371</v>
      </c>
      <c r="C1527" s="8" t="s">
        <v>6372</v>
      </c>
      <c r="D1527" s="8" t="s">
        <v>6371</v>
      </c>
      <c r="E1527" s="105">
        <v>0</v>
      </c>
      <c r="F1527" s="106" t="s">
        <v>2024</v>
      </c>
      <c r="G1527" s="8"/>
      <c r="H1527" s="8"/>
      <c r="I1527" s="107">
        <v>0</v>
      </c>
      <c r="J1527" s="8" t="s">
        <v>4722</v>
      </c>
    </row>
    <row r="1528" spans="1:10" ht="16.5" customHeight="1" x14ac:dyDescent="0.25">
      <c r="A1528" s="8" t="s">
        <v>6373</v>
      </c>
      <c r="B1528" s="8" t="s">
        <v>6374</v>
      </c>
      <c r="C1528" s="8" t="s">
        <v>6375</v>
      </c>
      <c r="D1528" s="8" t="s">
        <v>6374</v>
      </c>
      <c r="E1528" s="105">
        <v>20</v>
      </c>
      <c r="F1528" s="106" t="s">
        <v>2024</v>
      </c>
      <c r="G1528" s="8"/>
      <c r="H1528" s="8"/>
      <c r="I1528" s="107">
        <v>0</v>
      </c>
      <c r="J1528" s="8" t="s">
        <v>2019</v>
      </c>
    </row>
    <row r="1529" spans="1:10" ht="16.5" customHeight="1" x14ac:dyDescent="0.25">
      <c r="A1529" s="8" t="s">
        <v>1382</v>
      </c>
      <c r="B1529" s="8" t="s">
        <v>1384</v>
      </c>
      <c r="C1529" s="8" t="s">
        <v>1383</v>
      </c>
      <c r="D1529" s="8" t="s">
        <v>1384</v>
      </c>
      <c r="E1529" s="105">
        <v>1</v>
      </c>
      <c r="F1529" s="106" t="s">
        <v>2018</v>
      </c>
      <c r="G1529" s="8"/>
      <c r="H1529" s="8"/>
      <c r="I1529" s="107">
        <v>0</v>
      </c>
      <c r="J1529" s="8" t="s">
        <v>2019</v>
      </c>
    </row>
    <row r="1530" spans="1:10" ht="16.5" customHeight="1" x14ac:dyDescent="0.25">
      <c r="A1530" s="8" t="s">
        <v>6376</v>
      </c>
      <c r="B1530" s="8" t="s">
        <v>6377</v>
      </c>
      <c r="C1530" s="8" t="s">
        <v>6378</v>
      </c>
      <c r="D1530" s="8" t="s">
        <v>6379</v>
      </c>
      <c r="E1530" s="105">
        <v>1</v>
      </c>
      <c r="F1530" s="106" t="s">
        <v>2024</v>
      </c>
      <c r="G1530" s="8"/>
      <c r="H1530" s="8"/>
      <c r="I1530" s="107">
        <v>0</v>
      </c>
      <c r="J1530" s="8" t="s">
        <v>4722</v>
      </c>
    </row>
    <row r="1531" spans="1:10" ht="16.5" customHeight="1" x14ac:dyDescent="0.25">
      <c r="A1531" s="8" t="s">
        <v>6380</v>
      </c>
      <c r="B1531" s="8" t="s">
        <v>6381</v>
      </c>
      <c r="C1531" s="8" t="s">
        <v>6382</v>
      </c>
      <c r="D1531" s="8" t="s">
        <v>6381</v>
      </c>
      <c r="E1531" s="105">
        <v>20</v>
      </c>
      <c r="F1531" s="106" t="s">
        <v>2024</v>
      </c>
      <c r="G1531" s="8"/>
      <c r="H1531" s="8"/>
      <c r="I1531" s="107">
        <v>0</v>
      </c>
      <c r="J1531" s="8" t="s">
        <v>4722</v>
      </c>
    </row>
    <row r="1532" spans="1:10" ht="16.5" customHeight="1" x14ac:dyDescent="0.25">
      <c r="A1532" s="8" t="s">
        <v>6383</v>
      </c>
      <c r="B1532" s="8" t="s">
        <v>6384</v>
      </c>
      <c r="C1532" s="8" t="s">
        <v>6385</v>
      </c>
      <c r="D1532" s="8" t="s">
        <v>6384</v>
      </c>
      <c r="E1532" s="105">
        <v>20</v>
      </c>
      <c r="F1532" s="106" t="s">
        <v>2024</v>
      </c>
      <c r="G1532" s="8"/>
      <c r="H1532" s="8"/>
      <c r="I1532" s="107">
        <v>0</v>
      </c>
      <c r="J1532" s="8" t="s">
        <v>4722</v>
      </c>
    </row>
    <row r="1533" spans="1:10" ht="16.5" customHeight="1" x14ac:dyDescent="0.25">
      <c r="A1533" s="8" t="s">
        <v>6386</v>
      </c>
      <c r="B1533" s="8" t="s">
        <v>6081</v>
      </c>
      <c r="C1533" s="8" t="s">
        <v>5950</v>
      </c>
      <c r="D1533" s="8" t="s">
        <v>6081</v>
      </c>
      <c r="E1533" s="105">
        <v>0.24</v>
      </c>
      <c r="F1533" s="106" t="s">
        <v>2024</v>
      </c>
      <c r="G1533" s="8"/>
      <c r="H1533" s="8"/>
      <c r="I1533" s="107">
        <v>0</v>
      </c>
      <c r="J1533" s="8" t="s">
        <v>4789</v>
      </c>
    </row>
    <row r="1534" spans="1:10" ht="16.5" customHeight="1" x14ac:dyDescent="0.25">
      <c r="A1534" s="8" t="s">
        <v>6387</v>
      </c>
      <c r="B1534" s="8" t="s">
        <v>5949</v>
      </c>
      <c r="C1534" s="8" t="s">
        <v>5950</v>
      </c>
      <c r="D1534" s="8" t="s">
        <v>5949</v>
      </c>
      <c r="E1534" s="105">
        <v>4.7</v>
      </c>
      <c r="F1534" s="106" t="s">
        <v>2024</v>
      </c>
      <c r="G1534" s="8"/>
      <c r="H1534" s="8"/>
      <c r="I1534" s="107">
        <v>0</v>
      </c>
      <c r="J1534" s="8" t="s">
        <v>4789</v>
      </c>
    </row>
    <row r="1535" spans="1:10" ht="16.5" customHeight="1" x14ac:dyDescent="0.25">
      <c r="A1535" s="8" t="s">
        <v>6388</v>
      </c>
      <c r="B1535" s="8" t="s">
        <v>6084</v>
      </c>
      <c r="C1535" s="8" t="s">
        <v>5957</v>
      </c>
      <c r="D1535" s="8" t="s">
        <v>6084</v>
      </c>
      <c r="E1535" s="105">
        <v>0.25</v>
      </c>
      <c r="F1535" s="106" t="s">
        <v>2024</v>
      </c>
      <c r="G1535" s="8"/>
      <c r="H1535" s="8"/>
      <c r="I1535" s="107">
        <v>0</v>
      </c>
      <c r="J1535" s="8" t="s">
        <v>4789</v>
      </c>
    </row>
    <row r="1536" spans="1:10" ht="16.5" customHeight="1" x14ac:dyDescent="0.25">
      <c r="A1536" s="8" t="s">
        <v>6389</v>
      </c>
      <c r="B1536" s="8" t="s">
        <v>5956</v>
      </c>
      <c r="C1536" s="8" t="s">
        <v>5957</v>
      </c>
      <c r="D1536" s="8" t="s">
        <v>5956</v>
      </c>
      <c r="E1536" s="105">
        <v>6</v>
      </c>
      <c r="F1536" s="106" t="s">
        <v>2024</v>
      </c>
      <c r="G1536" s="8"/>
      <c r="H1536" s="8"/>
      <c r="I1536" s="107">
        <v>0</v>
      </c>
      <c r="J1536" s="8" t="s">
        <v>4789</v>
      </c>
    </row>
    <row r="1537" spans="1:10" ht="16.5" customHeight="1" x14ac:dyDescent="0.25">
      <c r="A1537" s="8" t="s">
        <v>6390</v>
      </c>
      <c r="B1537" s="8" t="s">
        <v>6105</v>
      </c>
      <c r="C1537" s="8" t="s">
        <v>5986</v>
      </c>
      <c r="D1537" s="8" t="s">
        <v>6105</v>
      </c>
      <c r="E1537" s="105">
        <v>0.38</v>
      </c>
      <c r="F1537" s="106" t="s">
        <v>2024</v>
      </c>
      <c r="G1537" s="8"/>
      <c r="H1537" s="8"/>
      <c r="I1537" s="107">
        <v>0</v>
      </c>
      <c r="J1537" s="8" t="s">
        <v>4789</v>
      </c>
    </row>
    <row r="1538" spans="1:10" ht="16.5" customHeight="1" x14ac:dyDescent="0.25">
      <c r="A1538" s="8" t="s">
        <v>6391</v>
      </c>
      <c r="B1538" s="8" t="s">
        <v>6392</v>
      </c>
      <c r="C1538" s="8" t="s">
        <v>6393</v>
      </c>
      <c r="D1538" s="8" t="s">
        <v>6392</v>
      </c>
      <c r="E1538" s="105">
        <v>6</v>
      </c>
      <c r="F1538" s="106" t="s">
        <v>2024</v>
      </c>
      <c r="G1538" s="8"/>
      <c r="H1538" s="8"/>
      <c r="I1538" s="107">
        <v>0</v>
      </c>
      <c r="J1538" s="8" t="s">
        <v>5929</v>
      </c>
    </row>
    <row r="1539" spans="1:10" ht="16.5" customHeight="1" x14ac:dyDescent="0.25">
      <c r="A1539" s="8" t="s">
        <v>6394</v>
      </c>
      <c r="B1539" s="8" t="s">
        <v>5985</v>
      </c>
      <c r="C1539" s="8" t="s">
        <v>5986</v>
      </c>
      <c r="D1539" s="8" t="s">
        <v>5985</v>
      </c>
      <c r="E1539" s="105">
        <v>7.6</v>
      </c>
      <c r="F1539" s="106" t="s">
        <v>2024</v>
      </c>
      <c r="G1539" s="8"/>
      <c r="H1539" s="8"/>
      <c r="I1539" s="107">
        <v>0</v>
      </c>
      <c r="J1539" s="8" t="s">
        <v>4789</v>
      </c>
    </row>
    <row r="1540" spans="1:10" ht="16.5" customHeight="1" x14ac:dyDescent="0.25">
      <c r="A1540" s="8" t="s">
        <v>6395</v>
      </c>
      <c r="B1540" s="8" t="s">
        <v>6396</v>
      </c>
      <c r="C1540" s="8" t="s">
        <v>6393</v>
      </c>
      <c r="D1540" s="8" t="s">
        <v>6396</v>
      </c>
      <c r="E1540" s="105">
        <v>0.2</v>
      </c>
      <c r="F1540" s="106" t="s">
        <v>2024</v>
      </c>
      <c r="G1540" s="8"/>
      <c r="H1540" s="8"/>
      <c r="I1540" s="107">
        <v>0</v>
      </c>
      <c r="J1540" s="8" t="s">
        <v>5929</v>
      </c>
    </row>
    <row r="1541" spans="1:10" ht="16.5" customHeight="1" x14ac:dyDescent="0.25">
      <c r="A1541" s="8" t="s">
        <v>6397</v>
      </c>
      <c r="B1541" s="8" t="s">
        <v>6398</v>
      </c>
      <c r="C1541" s="8" t="s">
        <v>6399</v>
      </c>
      <c r="D1541" s="8" t="s">
        <v>6398</v>
      </c>
      <c r="E1541" s="105">
        <v>13.2</v>
      </c>
      <c r="F1541" s="106" t="s">
        <v>2024</v>
      </c>
      <c r="G1541" s="8" t="s">
        <v>1541</v>
      </c>
      <c r="H1541" s="8" t="s">
        <v>6400</v>
      </c>
      <c r="I1541" s="107">
        <v>6</v>
      </c>
      <c r="J1541" s="8" t="s">
        <v>5929</v>
      </c>
    </row>
    <row r="1542" spans="1:10" ht="16.5" customHeight="1" x14ac:dyDescent="0.25">
      <c r="A1542" s="8" t="s">
        <v>6400</v>
      </c>
      <c r="B1542" s="8" t="s">
        <v>6401</v>
      </c>
      <c r="C1542" s="8" t="s">
        <v>6399</v>
      </c>
      <c r="D1542" s="8" t="s">
        <v>6401</v>
      </c>
      <c r="E1542" s="105">
        <v>2.2000000000000002</v>
      </c>
      <c r="F1542" s="106" t="s">
        <v>2024</v>
      </c>
      <c r="G1542" s="8" t="s">
        <v>1541</v>
      </c>
      <c r="H1542" s="8"/>
      <c r="I1542" s="107">
        <v>0</v>
      </c>
      <c r="J1542" s="8" t="s">
        <v>5929</v>
      </c>
    </row>
    <row r="1543" spans="1:10" ht="16.5" customHeight="1" x14ac:dyDescent="0.25">
      <c r="A1543" s="8" t="s">
        <v>6402</v>
      </c>
      <c r="B1543" s="8" t="s">
        <v>6403</v>
      </c>
      <c r="C1543" s="8" t="s">
        <v>6404</v>
      </c>
      <c r="D1543" s="8" t="s">
        <v>6403</v>
      </c>
      <c r="E1543" s="105">
        <v>0</v>
      </c>
      <c r="F1543" s="106" t="s">
        <v>2024</v>
      </c>
      <c r="G1543" s="8"/>
      <c r="H1543" s="8"/>
      <c r="I1543" s="107">
        <v>0</v>
      </c>
      <c r="J1543" s="8" t="s">
        <v>4823</v>
      </c>
    </row>
    <row r="1544" spans="1:10" ht="16.5" customHeight="1" x14ac:dyDescent="0.25">
      <c r="A1544" s="8" t="s">
        <v>6405</v>
      </c>
      <c r="B1544" s="8" t="s">
        <v>6406</v>
      </c>
      <c r="C1544" s="8" t="s">
        <v>6407</v>
      </c>
      <c r="D1544" s="8" t="s">
        <v>6406</v>
      </c>
      <c r="E1544" s="105">
        <v>0</v>
      </c>
      <c r="F1544" s="106" t="s">
        <v>2024</v>
      </c>
      <c r="G1544" s="8"/>
      <c r="H1544" s="8"/>
      <c r="I1544" s="107">
        <v>0</v>
      </c>
      <c r="J1544" s="8" t="s">
        <v>4823</v>
      </c>
    </row>
    <row r="1545" spans="1:10" ht="16.5" customHeight="1" x14ac:dyDescent="0.25">
      <c r="A1545" s="8" t="s">
        <v>6408</v>
      </c>
      <c r="B1545" s="8" t="s">
        <v>6409</v>
      </c>
      <c r="C1545" s="8" t="s">
        <v>6410</v>
      </c>
      <c r="D1545" s="8" t="s">
        <v>6409</v>
      </c>
      <c r="E1545" s="105">
        <v>0</v>
      </c>
      <c r="F1545" s="106" t="s">
        <v>2024</v>
      </c>
      <c r="G1545" s="8"/>
      <c r="H1545" s="8"/>
      <c r="I1545" s="107">
        <v>0</v>
      </c>
      <c r="J1545" s="8" t="s">
        <v>4823</v>
      </c>
    </row>
    <row r="1546" spans="1:10" ht="16.5" customHeight="1" x14ac:dyDescent="0.25">
      <c r="A1546" s="8" t="s">
        <v>6411</v>
      </c>
      <c r="B1546" s="8" t="s">
        <v>6412</v>
      </c>
      <c r="C1546" s="8" t="s">
        <v>6413</v>
      </c>
      <c r="D1546" s="8" t="s">
        <v>6412</v>
      </c>
      <c r="E1546" s="105">
        <v>0</v>
      </c>
      <c r="F1546" s="106" t="s">
        <v>2024</v>
      </c>
      <c r="G1546" s="8"/>
      <c r="H1546" s="8"/>
      <c r="I1546" s="107">
        <v>0</v>
      </c>
      <c r="J1546" s="8" t="s">
        <v>4823</v>
      </c>
    </row>
    <row r="1547" spans="1:10" ht="16.5" customHeight="1" x14ac:dyDescent="0.25">
      <c r="A1547" s="8" t="s">
        <v>6414</v>
      </c>
      <c r="B1547" s="8" t="s">
        <v>6415</v>
      </c>
      <c r="C1547" s="8" t="s">
        <v>6416</v>
      </c>
      <c r="D1547" s="8" t="s">
        <v>6415</v>
      </c>
      <c r="E1547" s="105">
        <v>0</v>
      </c>
      <c r="F1547" s="106" t="s">
        <v>2024</v>
      </c>
      <c r="G1547" s="8"/>
      <c r="H1547" s="8"/>
      <c r="I1547" s="107">
        <v>0</v>
      </c>
      <c r="J1547" s="8" t="s">
        <v>4823</v>
      </c>
    </row>
    <row r="1548" spans="1:10" ht="16.5" customHeight="1" x14ac:dyDescent="0.25">
      <c r="A1548" s="8" t="s">
        <v>6417</v>
      </c>
      <c r="B1548" s="8" t="s">
        <v>6418</v>
      </c>
      <c r="C1548" s="8" t="s">
        <v>6416</v>
      </c>
      <c r="D1548" s="8" t="s">
        <v>6418</v>
      </c>
      <c r="E1548" s="105">
        <v>0</v>
      </c>
      <c r="F1548" s="106" t="s">
        <v>2024</v>
      </c>
      <c r="G1548" s="8"/>
      <c r="H1548" s="8"/>
      <c r="I1548" s="107">
        <v>0</v>
      </c>
      <c r="J1548" s="8" t="s">
        <v>4823</v>
      </c>
    </row>
    <row r="1549" spans="1:10" ht="16.5" customHeight="1" x14ac:dyDescent="0.25">
      <c r="A1549" s="8" t="s">
        <v>6419</v>
      </c>
      <c r="B1549" s="8" t="s">
        <v>6420</v>
      </c>
      <c r="C1549" s="8" t="s">
        <v>6421</v>
      </c>
      <c r="D1549" s="8" t="s">
        <v>6420</v>
      </c>
      <c r="E1549" s="105">
        <v>0</v>
      </c>
      <c r="F1549" s="106" t="s">
        <v>2024</v>
      </c>
      <c r="G1549" s="8"/>
      <c r="H1549" s="8"/>
      <c r="I1549" s="107">
        <v>0</v>
      </c>
      <c r="J1549" s="8" t="s">
        <v>4823</v>
      </c>
    </row>
    <row r="1550" spans="1:10" ht="16.5" customHeight="1" x14ac:dyDescent="0.25">
      <c r="A1550" s="8" t="s">
        <v>6422</v>
      </c>
      <c r="B1550" s="8" t="s">
        <v>6423</v>
      </c>
      <c r="C1550" s="8" t="s">
        <v>6424</v>
      </c>
      <c r="D1550" s="8" t="s">
        <v>6423</v>
      </c>
      <c r="E1550" s="105">
        <v>0</v>
      </c>
      <c r="F1550" s="106" t="s">
        <v>2024</v>
      </c>
      <c r="G1550" s="8"/>
      <c r="H1550" s="8"/>
      <c r="I1550" s="107">
        <v>0</v>
      </c>
      <c r="J1550" s="8" t="s">
        <v>4823</v>
      </c>
    </row>
    <row r="1551" spans="1:10" ht="16.5" customHeight="1" x14ac:dyDescent="0.25">
      <c r="A1551" s="8" t="s">
        <v>6425</v>
      </c>
      <c r="B1551" s="8" t="s">
        <v>6426</v>
      </c>
      <c r="C1551" s="8" t="s">
        <v>6427</v>
      </c>
      <c r="D1551" s="8" t="s">
        <v>6426</v>
      </c>
      <c r="E1551" s="105">
        <v>0</v>
      </c>
      <c r="F1551" s="106" t="s">
        <v>2024</v>
      </c>
      <c r="G1551" s="8"/>
      <c r="H1551" s="8"/>
      <c r="I1551" s="107">
        <v>0</v>
      </c>
      <c r="J1551" s="8" t="s">
        <v>4823</v>
      </c>
    </row>
    <row r="1552" spans="1:10" ht="16.5" customHeight="1" x14ac:dyDescent="0.25">
      <c r="A1552" s="8" t="s">
        <v>6428</v>
      </c>
      <c r="B1552" s="8" t="s">
        <v>6429</v>
      </c>
      <c r="C1552" s="8" t="s">
        <v>6430</v>
      </c>
      <c r="D1552" s="8" t="s">
        <v>6429</v>
      </c>
      <c r="E1552" s="105">
        <v>0</v>
      </c>
      <c r="F1552" s="106" t="s">
        <v>2024</v>
      </c>
      <c r="G1552" s="8"/>
      <c r="H1552" s="8"/>
      <c r="I1552" s="107">
        <v>0</v>
      </c>
      <c r="J1552" s="8" t="s">
        <v>4823</v>
      </c>
    </row>
    <row r="1553" spans="1:10" ht="16.5" customHeight="1" x14ac:dyDescent="0.25">
      <c r="A1553" s="8" t="s">
        <v>6431</v>
      </c>
      <c r="B1553" s="8" t="s">
        <v>6432</v>
      </c>
      <c r="C1553" s="8" t="s">
        <v>6433</v>
      </c>
      <c r="D1553" s="8" t="s">
        <v>6432</v>
      </c>
      <c r="E1553" s="105">
        <v>0</v>
      </c>
      <c r="F1553" s="106" t="s">
        <v>2024</v>
      </c>
      <c r="G1553" s="8"/>
      <c r="H1553" s="8"/>
      <c r="I1553" s="107">
        <v>0</v>
      </c>
      <c r="J1553" s="8" t="s">
        <v>4823</v>
      </c>
    </row>
    <row r="1554" spans="1:10" ht="16.5" customHeight="1" x14ac:dyDescent="0.25">
      <c r="A1554" s="8" t="s">
        <v>6434</v>
      </c>
      <c r="B1554" s="8" t="s">
        <v>6435</v>
      </c>
      <c r="C1554" s="8" t="s">
        <v>6436</v>
      </c>
      <c r="D1554" s="8" t="s">
        <v>6435</v>
      </c>
      <c r="E1554" s="105">
        <v>0</v>
      </c>
      <c r="F1554" s="106" t="s">
        <v>2024</v>
      </c>
      <c r="G1554" s="8"/>
      <c r="H1554" s="8"/>
      <c r="I1554" s="107">
        <v>0</v>
      </c>
      <c r="J1554" s="8" t="s">
        <v>4823</v>
      </c>
    </row>
    <row r="1555" spans="1:10" ht="16.5" customHeight="1" x14ac:dyDescent="0.25">
      <c r="A1555" s="8" t="s">
        <v>6437</v>
      </c>
      <c r="B1555" s="8" t="s">
        <v>6438</v>
      </c>
      <c r="C1555" s="8" t="s">
        <v>6439</v>
      </c>
      <c r="D1555" s="8" t="s">
        <v>6438</v>
      </c>
      <c r="E1555" s="105">
        <v>0</v>
      </c>
      <c r="F1555" s="106" t="s">
        <v>2024</v>
      </c>
      <c r="G1555" s="8"/>
      <c r="H1555" s="8"/>
      <c r="I1555" s="107">
        <v>0</v>
      </c>
      <c r="J1555" s="8" t="s">
        <v>4823</v>
      </c>
    </row>
    <row r="1556" spans="1:10" ht="16.5" customHeight="1" x14ac:dyDescent="0.25">
      <c r="A1556" s="8" t="s">
        <v>6440</v>
      </c>
      <c r="B1556" s="8" t="s">
        <v>6441</v>
      </c>
      <c r="C1556" s="8" t="s">
        <v>6442</v>
      </c>
      <c r="D1556" s="8" t="s">
        <v>6441</v>
      </c>
      <c r="E1556" s="105">
        <v>0</v>
      </c>
      <c r="F1556" s="106" t="s">
        <v>2024</v>
      </c>
      <c r="G1556" s="8"/>
      <c r="H1556" s="8"/>
      <c r="I1556" s="107">
        <v>0</v>
      </c>
      <c r="J1556" s="8" t="s">
        <v>4823</v>
      </c>
    </row>
    <row r="1557" spans="1:10" ht="16.5" customHeight="1" x14ac:dyDescent="0.25">
      <c r="A1557" s="8" t="s">
        <v>6443</v>
      </c>
      <c r="B1557" s="8" t="s">
        <v>6444</v>
      </c>
      <c r="C1557" s="8" t="s">
        <v>6445</v>
      </c>
      <c r="D1557" s="8" t="s">
        <v>6444</v>
      </c>
      <c r="E1557" s="105">
        <v>0</v>
      </c>
      <c r="F1557" s="106" t="s">
        <v>2024</v>
      </c>
      <c r="G1557" s="8"/>
      <c r="H1557" s="8"/>
      <c r="I1557" s="107">
        <v>0</v>
      </c>
      <c r="J1557" s="8" t="s">
        <v>6357</v>
      </c>
    </row>
    <row r="1558" spans="1:10" ht="16.5" customHeight="1" x14ac:dyDescent="0.25">
      <c r="A1558" s="8" t="s">
        <v>6446</v>
      </c>
      <c r="B1558" s="8" t="s">
        <v>6447</v>
      </c>
      <c r="C1558" s="8" t="s">
        <v>6448</v>
      </c>
      <c r="D1558" s="8" t="s">
        <v>6447</v>
      </c>
      <c r="E1558" s="105">
        <v>0</v>
      </c>
      <c r="F1558" s="106" t="s">
        <v>2024</v>
      </c>
      <c r="G1558" s="8"/>
      <c r="H1558" s="8"/>
      <c r="I1558" s="107">
        <v>0</v>
      </c>
      <c r="J1558" s="8" t="s">
        <v>3695</v>
      </c>
    </row>
    <row r="1559" spans="1:10" ht="16.5" customHeight="1" x14ac:dyDescent="0.25">
      <c r="A1559" s="8" t="s">
        <v>6449</v>
      </c>
      <c r="B1559" s="8" t="s">
        <v>6450</v>
      </c>
      <c r="C1559" s="8" t="s">
        <v>6451</v>
      </c>
      <c r="D1559" s="8" t="s">
        <v>6450</v>
      </c>
      <c r="E1559" s="105">
        <v>1</v>
      </c>
      <c r="F1559" s="106" t="s">
        <v>2024</v>
      </c>
      <c r="G1559" s="8"/>
      <c r="H1559" s="8"/>
      <c r="I1559" s="107">
        <v>0</v>
      </c>
      <c r="J1559" s="8" t="s">
        <v>3580</v>
      </c>
    </row>
    <row r="1560" spans="1:10" ht="16.5" customHeight="1" x14ac:dyDescent="0.25">
      <c r="A1560" s="8" t="s">
        <v>6452</v>
      </c>
      <c r="B1560" s="8" t="s">
        <v>6453</v>
      </c>
      <c r="C1560" s="8" t="s">
        <v>5473</v>
      </c>
      <c r="D1560" s="8" t="s">
        <v>6453</v>
      </c>
      <c r="E1560" s="105">
        <v>1</v>
      </c>
      <c r="F1560" s="106" t="s">
        <v>2024</v>
      </c>
      <c r="G1560" s="8"/>
      <c r="H1560" s="8"/>
      <c r="I1560" s="107">
        <v>0</v>
      </c>
      <c r="J1560" s="8" t="s">
        <v>3580</v>
      </c>
    </row>
    <row r="1561" spans="1:10" ht="16.5" customHeight="1" x14ac:dyDescent="0.25">
      <c r="A1561" s="8" t="s">
        <v>6454</v>
      </c>
      <c r="B1561" s="8" t="s">
        <v>6455</v>
      </c>
      <c r="C1561" s="8" t="s">
        <v>6456</v>
      </c>
      <c r="D1561" s="8" t="s">
        <v>6455</v>
      </c>
      <c r="E1561" s="105">
        <v>19.2</v>
      </c>
      <c r="F1561" s="106" t="s">
        <v>2024</v>
      </c>
      <c r="G1561" s="8" t="s">
        <v>1541</v>
      </c>
      <c r="H1561" s="8" t="s">
        <v>6457</v>
      </c>
      <c r="I1561" s="107">
        <v>4</v>
      </c>
      <c r="J1561" s="8" t="s">
        <v>5929</v>
      </c>
    </row>
    <row r="1562" spans="1:10" ht="16.5" customHeight="1" x14ac:dyDescent="0.25">
      <c r="A1562" s="8" t="s">
        <v>6457</v>
      </c>
      <c r="B1562" s="8" t="s">
        <v>6458</v>
      </c>
      <c r="C1562" s="8" t="s">
        <v>6456</v>
      </c>
      <c r="D1562" s="8" t="s">
        <v>6458</v>
      </c>
      <c r="E1562" s="105">
        <v>4.8</v>
      </c>
      <c r="F1562" s="106" t="s">
        <v>2024</v>
      </c>
      <c r="G1562" s="8" t="s">
        <v>1541</v>
      </c>
      <c r="H1562" s="8"/>
      <c r="I1562" s="107">
        <v>0</v>
      </c>
      <c r="J1562" s="8" t="s">
        <v>5929</v>
      </c>
    </row>
    <row r="1563" spans="1:10" ht="16.5" customHeight="1" x14ac:dyDescent="0.25">
      <c r="A1563" s="8" t="s">
        <v>6459</v>
      </c>
      <c r="B1563" s="8" t="s">
        <v>6460</v>
      </c>
      <c r="C1563" s="8" t="s">
        <v>6461</v>
      </c>
      <c r="D1563" s="8" t="s">
        <v>6460</v>
      </c>
      <c r="E1563" s="105">
        <v>0</v>
      </c>
      <c r="F1563" s="106" t="s">
        <v>2024</v>
      </c>
      <c r="G1563" s="8"/>
      <c r="H1563" s="8"/>
      <c r="I1563" s="107">
        <v>0</v>
      </c>
      <c r="J1563" s="8" t="s">
        <v>4789</v>
      </c>
    </row>
    <row r="1564" spans="1:10" ht="16.5" customHeight="1" x14ac:dyDescent="0.25">
      <c r="A1564" s="8" t="s">
        <v>6462</v>
      </c>
      <c r="B1564" s="8" t="s">
        <v>6463</v>
      </c>
      <c r="C1564" s="8" t="s">
        <v>6464</v>
      </c>
      <c r="D1564" s="8" t="s">
        <v>6463</v>
      </c>
      <c r="E1564" s="105">
        <v>0</v>
      </c>
      <c r="F1564" s="106" t="s">
        <v>2024</v>
      </c>
      <c r="G1564" s="8"/>
      <c r="H1564" s="8"/>
      <c r="I1564" s="107">
        <v>0</v>
      </c>
      <c r="J1564" s="8" t="s">
        <v>4789</v>
      </c>
    </row>
    <row r="1565" spans="1:10" ht="16.5" customHeight="1" x14ac:dyDescent="0.25">
      <c r="A1565" s="8" t="s">
        <v>6465</v>
      </c>
      <c r="B1565" s="8" t="s">
        <v>6466</v>
      </c>
      <c r="C1565" s="8" t="s">
        <v>6467</v>
      </c>
      <c r="D1565" s="8" t="s">
        <v>6466</v>
      </c>
      <c r="E1565" s="105">
        <v>0</v>
      </c>
      <c r="F1565" s="106" t="s">
        <v>2024</v>
      </c>
      <c r="G1565" s="8"/>
      <c r="H1565" s="8"/>
      <c r="I1565" s="107">
        <v>0</v>
      </c>
      <c r="J1565" s="8" t="s">
        <v>4789</v>
      </c>
    </row>
    <row r="1566" spans="1:10" ht="16.5" customHeight="1" x14ac:dyDescent="0.25">
      <c r="A1566" s="8" t="s">
        <v>6468</v>
      </c>
      <c r="B1566" s="8" t="s">
        <v>6469</v>
      </c>
      <c r="C1566" s="8" t="s">
        <v>6470</v>
      </c>
      <c r="D1566" s="8" t="s">
        <v>6469</v>
      </c>
      <c r="E1566" s="105">
        <v>3.6</v>
      </c>
      <c r="F1566" s="106" t="s">
        <v>2024</v>
      </c>
      <c r="G1566" s="8"/>
      <c r="H1566" s="8"/>
      <c r="I1566" s="107">
        <v>0</v>
      </c>
      <c r="J1566" s="8" t="s">
        <v>5671</v>
      </c>
    </row>
    <row r="1567" spans="1:10" ht="16.5" customHeight="1" x14ac:dyDescent="0.25">
      <c r="A1567" s="8" t="s">
        <v>6471</v>
      </c>
      <c r="B1567" s="8" t="s">
        <v>6472</v>
      </c>
      <c r="C1567" s="8" t="s">
        <v>6470</v>
      </c>
      <c r="D1567" s="8" t="s">
        <v>6472</v>
      </c>
      <c r="E1567" s="105">
        <v>0.15</v>
      </c>
      <c r="F1567" s="106" t="s">
        <v>2024</v>
      </c>
      <c r="G1567" s="8"/>
      <c r="H1567" s="8"/>
      <c r="I1567" s="107">
        <v>0</v>
      </c>
      <c r="J1567" s="8"/>
    </row>
    <row r="1568" spans="1:10" ht="16.5" customHeight="1" x14ac:dyDescent="0.25">
      <c r="A1568" s="8" t="s">
        <v>6473</v>
      </c>
      <c r="B1568" s="8" t="s">
        <v>6474</v>
      </c>
      <c r="C1568" s="8" t="s">
        <v>6475</v>
      </c>
      <c r="D1568" s="8" t="s">
        <v>6474</v>
      </c>
      <c r="E1568" s="105">
        <v>0</v>
      </c>
      <c r="F1568" s="106" t="s">
        <v>2024</v>
      </c>
      <c r="G1568" s="8"/>
      <c r="H1568" s="8"/>
      <c r="I1568" s="107">
        <v>0</v>
      </c>
      <c r="J1568" s="8" t="s">
        <v>6357</v>
      </c>
    </row>
    <row r="1569" spans="1:10" ht="16.5" customHeight="1" x14ac:dyDescent="0.25">
      <c r="A1569" s="8" t="s">
        <v>6476</v>
      </c>
      <c r="B1569" s="8" t="s">
        <v>2093</v>
      </c>
      <c r="C1569" s="8" t="s">
        <v>2094</v>
      </c>
      <c r="D1569" s="8" t="s">
        <v>2093</v>
      </c>
      <c r="E1569" s="105">
        <v>1</v>
      </c>
      <c r="F1569" s="106" t="s">
        <v>2024</v>
      </c>
      <c r="G1569" s="8"/>
      <c r="H1569" s="8"/>
      <c r="I1569" s="107">
        <v>0</v>
      </c>
      <c r="J1569" s="8" t="s">
        <v>4722</v>
      </c>
    </row>
    <row r="1570" spans="1:10" ht="16.5" customHeight="1" x14ac:dyDescent="0.25">
      <c r="A1570" s="8" t="s">
        <v>6477</v>
      </c>
      <c r="B1570" s="8" t="s">
        <v>2295</v>
      </c>
      <c r="C1570" s="8" t="s">
        <v>2296</v>
      </c>
      <c r="D1570" s="8" t="s">
        <v>2295</v>
      </c>
      <c r="E1570" s="105">
        <v>20</v>
      </c>
      <c r="F1570" s="106" t="s">
        <v>2024</v>
      </c>
      <c r="G1570" s="8"/>
      <c r="H1570" s="8"/>
      <c r="I1570" s="107">
        <v>0</v>
      </c>
      <c r="J1570" s="8" t="s">
        <v>4722</v>
      </c>
    </row>
    <row r="1571" spans="1:10" ht="16.5" customHeight="1" x14ac:dyDescent="0.25">
      <c r="A1571" s="8" t="s">
        <v>6478</v>
      </c>
      <c r="B1571" s="8" t="s">
        <v>6479</v>
      </c>
      <c r="C1571" s="8" t="s">
        <v>1187</v>
      </c>
      <c r="D1571" s="8" t="s">
        <v>6479</v>
      </c>
      <c r="E1571" s="105">
        <v>1.82</v>
      </c>
      <c r="F1571" s="106" t="s">
        <v>2024</v>
      </c>
      <c r="G1571" s="8"/>
      <c r="H1571" s="8"/>
      <c r="I1571" s="107">
        <v>0</v>
      </c>
      <c r="J1571" s="8" t="s">
        <v>2019</v>
      </c>
    </row>
    <row r="1572" spans="1:10" ht="16.5" customHeight="1" x14ac:dyDescent="0.25">
      <c r="A1572" s="8" t="s">
        <v>1338</v>
      </c>
      <c r="B1572" s="8" t="s">
        <v>1339</v>
      </c>
      <c r="C1572" s="8" t="s">
        <v>972</v>
      </c>
      <c r="D1572" s="8" t="s">
        <v>1339</v>
      </c>
      <c r="E1572" s="105">
        <v>1.82</v>
      </c>
      <c r="F1572" s="106" t="s">
        <v>2018</v>
      </c>
      <c r="G1572" s="8"/>
      <c r="H1572" s="8"/>
      <c r="I1572" s="107">
        <v>0</v>
      </c>
      <c r="J1572" s="8" t="s">
        <v>2019</v>
      </c>
    </row>
    <row r="1573" spans="1:10" ht="16.5" customHeight="1" x14ac:dyDescent="0.25">
      <c r="A1573" s="8" t="s">
        <v>6480</v>
      </c>
      <c r="B1573" s="8" t="s">
        <v>2891</v>
      </c>
      <c r="C1573" s="8" t="s">
        <v>2802</v>
      </c>
      <c r="D1573" s="8" t="s">
        <v>2891</v>
      </c>
      <c r="E1573" s="105">
        <v>7.28</v>
      </c>
      <c r="F1573" s="106" t="s">
        <v>2024</v>
      </c>
      <c r="G1573" s="8"/>
      <c r="H1573" s="8"/>
      <c r="I1573" s="107">
        <v>0</v>
      </c>
      <c r="J1573" s="8" t="s">
        <v>4722</v>
      </c>
    </row>
    <row r="1574" spans="1:10" ht="16.5" customHeight="1" x14ac:dyDescent="0.25">
      <c r="A1574" s="8" t="s">
        <v>6481</v>
      </c>
      <c r="B1574" s="8" t="s">
        <v>2897</v>
      </c>
      <c r="C1574" s="8" t="s">
        <v>2802</v>
      </c>
      <c r="D1574" s="8" t="s">
        <v>2897</v>
      </c>
      <c r="E1574" s="105">
        <v>0.36399999999999999</v>
      </c>
      <c r="F1574" s="106" t="s">
        <v>2018</v>
      </c>
      <c r="G1574" s="8"/>
      <c r="H1574" s="8"/>
      <c r="I1574" s="107">
        <v>0</v>
      </c>
      <c r="J1574" s="8" t="s">
        <v>4722</v>
      </c>
    </row>
    <row r="1575" spans="1:10" ht="16.5" customHeight="1" x14ac:dyDescent="0.25">
      <c r="A1575" s="8" t="s">
        <v>6482</v>
      </c>
      <c r="B1575" s="8" t="s">
        <v>2873</v>
      </c>
      <c r="C1575" s="8" t="s">
        <v>990</v>
      </c>
      <c r="D1575" s="8" t="s">
        <v>2873</v>
      </c>
      <c r="E1575" s="105">
        <v>10.92</v>
      </c>
      <c r="F1575" s="106" t="s">
        <v>2024</v>
      </c>
      <c r="G1575" s="8"/>
      <c r="H1575" s="8"/>
      <c r="I1575" s="107">
        <v>0</v>
      </c>
      <c r="J1575" s="8" t="s">
        <v>4722</v>
      </c>
    </row>
    <row r="1576" spans="1:10" ht="16.5" customHeight="1" x14ac:dyDescent="0.25">
      <c r="A1576" s="8" t="s">
        <v>6483</v>
      </c>
      <c r="B1576" s="8" t="s">
        <v>2876</v>
      </c>
      <c r="C1576" s="8" t="s">
        <v>990</v>
      </c>
      <c r="D1576" s="8" t="s">
        <v>2876</v>
      </c>
      <c r="E1576" s="105">
        <v>0.91</v>
      </c>
      <c r="F1576" s="106" t="s">
        <v>2018</v>
      </c>
      <c r="G1576" s="8"/>
      <c r="H1576" s="8"/>
      <c r="I1576" s="107">
        <v>0</v>
      </c>
      <c r="J1576" s="8" t="s">
        <v>4722</v>
      </c>
    </row>
    <row r="1577" spans="1:10" ht="16.5" customHeight="1" x14ac:dyDescent="0.25">
      <c r="A1577" s="8" t="s">
        <v>1254</v>
      </c>
      <c r="B1577" s="8" t="s">
        <v>1256</v>
      </c>
      <c r="C1577" s="8" t="s">
        <v>1255</v>
      </c>
      <c r="D1577" s="8" t="s">
        <v>1256</v>
      </c>
      <c r="E1577" s="105">
        <v>15</v>
      </c>
      <c r="F1577" s="106" t="s">
        <v>2018</v>
      </c>
      <c r="G1577" s="8"/>
      <c r="H1577" s="8"/>
      <c r="I1577" s="107">
        <v>0</v>
      </c>
      <c r="J1577" s="8" t="s">
        <v>2019</v>
      </c>
    </row>
    <row r="1578" spans="1:10" ht="16.5" customHeight="1" x14ac:dyDescent="0.25">
      <c r="A1578" s="8" t="s">
        <v>6484</v>
      </c>
      <c r="B1578" s="8" t="s">
        <v>6485</v>
      </c>
      <c r="C1578" s="8" t="s">
        <v>6486</v>
      </c>
      <c r="D1578" s="8" t="s">
        <v>6485</v>
      </c>
      <c r="E1578" s="105">
        <v>1</v>
      </c>
      <c r="F1578" s="106" t="s">
        <v>2024</v>
      </c>
      <c r="G1578" s="8"/>
      <c r="H1578" s="8"/>
      <c r="I1578" s="107">
        <v>0</v>
      </c>
      <c r="J1578" s="8" t="s">
        <v>3695</v>
      </c>
    </row>
    <row r="1579" spans="1:10" ht="16.5" customHeight="1" x14ac:dyDescent="0.25">
      <c r="A1579" s="8" t="s">
        <v>6487</v>
      </c>
      <c r="B1579" s="8" t="s">
        <v>6488</v>
      </c>
      <c r="C1579" s="8" t="s">
        <v>6489</v>
      </c>
      <c r="D1579" s="8" t="s">
        <v>6488</v>
      </c>
      <c r="E1579" s="105">
        <v>1</v>
      </c>
      <c r="F1579" s="106" t="s">
        <v>2024</v>
      </c>
      <c r="G1579" s="8"/>
      <c r="H1579" s="8"/>
      <c r="I1579" s="107">
        <v>0</v>
      </c>
      <c r="J1579" s="8" t="s">
        <v>3695</v>
      </c>
    </row>
    <row r="1580" spans="1:10" ht="16.5" customHeight="1" x14ac:dyDescent="0.25">
      <c r="A1580" s="8" t="s">
        <v>6490</v>
      </c>
      <c r="B1580" s="8" t="s">
        <v>6491</v>
      </c>
      <c r="C1580" s="8" t="s">
        <v>6492</v>
      </c>
      <c r="D1580" s="8" t="s">
        <v>6491</v>
      </c>
      <c r="E1580" s="105">
        <v>1</v>
      </c>
      <c r="F1580" s="106" t="s">
        <v>2018</v>
      </c>
      <c r="G1580" s="8"/>
      <c r="H1580" s="8"/>
      <c r="I1580" s="107">
        <v>0</v>
      </c>
      <c r="J1580" s="8" t="s">
        <v>4722</v>
      </c>
    </row>
    <row r="1581" spans="1:10" ht="16.5" customHeight="1" x14ac:dyDescent="0.25">
      <c r="A1581" s="8" t="s">
        <v>6493</v>
      </c>
      <c r="B1581" s="8" t="s">
        <v>6494</v>
      </c>
      <c r="C1581" s="8" t="s">
        <v>6495</v>
      </c>
      <c r="D1581" s="8" t="s">
        <v>6494</v>
      </c>
      <c r="E1581" s="105">
        <v>18</v>
      </c>
      <c r="F1581" s="106" t="s">
        <v>2024</v>
      </c>
      <c r="G1581" s="8"/>
      <c r="H1581" s="8"/>
      <c r="I1581" s="107">
        <v>0</v>
      </c>
      <c r="J1581" s="8" t="s">
        <v>4722</v>
      </c>
    </row>
    <row r="1582" spans="1:10" ht="16.5" customHeight="1" x14ac:dyDescent="0.25">
      <c r="A1582" s="8" t="s">
        <v>6496</v>
      </c>
      <c r="B1582" s="8" t="s">
        <v>6497</v>
      </c>
      <c r="C1582" s="8" t="s">
        <v>6498</v>
      </c>
      <c r="D1582" s="8" t="s">
        <v>6497</v>
      </c>
      <c r="E1582" s="105">
        <v>0</v>
      </c>
      <c r="F1582" s="106" t="s">
        <v>2024</v>
      </c>
      <c r="G1582" s="8"/>
      <c r="H1582" s="8"/>
      <c r="I1582" s="107">
        <v>0</v>
      </c>
      <c r="J1582" s="8" t="s">
        <v>4722</v>
      </c>
    </row>
    <row r="1583" spans="1:10" ht="16.5" customHeight="1" x14ac:dyDescent="0.25">
      <c r="A1583" s="8" t="s">
        <v>6499</v>
      </c>
      <c r="B1583" s="8" t="s">
        <v>6500</v>
      </c>
      <c r="C1583" s="8" t="s">
        <v>6501</v>
      </c>
      <c r="D1583" s="8" t="s">
        <v>6500</v>
      </c>
      <c r="E1583" s="105">
        <v>0</v>
      </c>
      <c r="F1583" s="106" t="s">
        <v>2024</v>
      </c>
      <c r="G1583" s="8"/>
      <c r="H1583" s="8"/>
      <c r="I1583" s="107">
        <v>0</v>
      </c>
      <c r="J1583" s="8" t="s">
        <v>4722</v>
      </c>
    </row>
    <row r="1584" spans="1:10" ht="16.5" customHeight="1" x14ac:dyDescent="0.25">
      <c r="A1584" s="8" t="s">
        <v>6502</v>
      </c>
      <c r="B1584" s="8" t="s">
        <v>6503</v>
      </c>
      <c r="C1584" s="8" t="s">
        <v>6504</v>
      </c>
      <c r="D1584" s="8" t="s">
        <v>6503</v>
      </c>
      <c r="E1584" s="105">
        <v>0</v>
      </c>
      <c r="F1584" s="106" t="s">
        <v>2024</v>
      </c>
      <c r="G1584" s="8"/>
      <c r="H1584" s="8"/>
      <c r="I1584" s="107">
        <v>0</v>
      </c>
      <c r="J1584" s="8" t="s">
        <v>4722</v>
      </c>
    </row>
    <row r="1585" spans="1:10" ht="16.5" customHeight="1" x14ac:dyDescent="0.25">
      <c r="A1585" s="8" t="s">
        <v>6505</v>
      </c>
      <c r="B1585" s="8" t="s">
        <v>6506</v>
      </c>
      <c r="C1585" s="8" t="s">
        <v>6507</v>
      </c>
      <c r="D1585" s="8" t="s">
        <v>6506</v>
      </c>
      <c r="E1585" s="105">
        <v>0</v>
      </c>
      <c r="F1585" s="106" t="s">
        <v>2024</v>
      </c>
      <c r="G1585" s="8"/>
      <c r="H1585" s="8"/>
      <c r="I1585" s="107">
        <v>0</v>
      </c>
      <c r="J1585" s="8" t="s">
        <v>4722</v>
      </c>
    </row>
    <row r="1586" spans="1:10" ht="16.5" customHeight="1" x14ac:dyDescent="0.25">
      <c r="A1586" s="8" t="s">
        <v>6508</v>
      </c>
      <c r="B1586" s="8" t="s">
        <v>6509</v>
      </c>
      <c r="C1586" s="8" t="s">
        <v>6510</v>
      </c>
      <c r="D1586" s="8" t="s">
        <v>6509</v>
      </c>
      <c r="E1586" s="105">
        <v>0</v>
      </c>
      <c r="F1586" s="106" t="s">
        <v>2024</v>
      </c>
      <c r="G1586" s="8"/>
      <c r="H1586" s="8"/>
      <c r="I1586" s="107">
        <v>0</v>
      </c>
      <c r="J1586" s="8" t="s">
        <v>4722</v>
      </c>
    </row>
    <row r="1587" spans="1:10" ht="16.5" customHeight="1" x14ac:dyDescent="0.25">
      <c r="A1587" s="8" t="s">
        <v>6511</v>
      </c>
      <c r="B1587" s="8" t="s">
        <v>6512</v>
      </c>
      <c r="C1587" s="8" t="s">
        <v>6513</v>
      </c>
      <c r="D1587" s="8" t="s">
        <v>6512</v>
      </c>
      <c r="E1587" s="105">
        <v>0</v>
      </c>
      <c r="F1587" s="106" t="s">
        <v>2024</v>
      </c>
      <c r="G1587" s="8"/>
      <c r="H1587" s="8"/>
      <c r="I1587" s="107">
        <v>0</v>
      </c>
      <c r="J1587" s="8" t="s">
        <v>4722</v>
      </c>
    </row>
    <row r="1588" spans="1:10" ht="16.5" customHeight="1" x14ac:dyDescent="0.25">
      <c r="A1588" s="8" t="s">
        <v>6514</v>
      </c>
      <c r="B1588" s="8" t="s">
        <v>6515</v>
      </c>
      <c r="C1588" s="8" t="s">
        <v>6516</v>
      </c>
      <c r="D1588" s="8" t="s">
        <v>6515</v>
      </c>
      <c r="E1588" s="105">
        <v>0</v>
      </c>
      <c r="F1588" s="106" t="s">
        <v>2024</v>
      </c>
      <c r="G1588" s="8"/>
      <c r="H1588" s="8"/>
      <c r="I1588" s="107">
        <v>0</v>
      </c>
      <c r="J1588" s="8" t="s">
        <v>4722</v>
      </c>
    </row>
    <row r="1589" spans="1:10" ht="16.5" customHeight="1" x14ac:dyDescent="0.25">
      <c r="A1589" s="8" t="s">
        <v>6517</v>
      </c>
      <c r="B1589" s="8" t="s">
        <v>6518</v>
      </c>
      <c r="C1589" s="8" t="s">
        <v>6519</v>
      </c>
      <c r="D1589" s="8" t="s">
        <v>6518</v>
      </c>
      <c r="E1589" s="105">
        <v>0</v>
      </c>
      <c r="F1589" s="106" t="s">
        <v>2018</v>
      </c>
      <c r="G1589" s="8"/>
      <c r="H1589" s="8"/>
      <c r="I1589" s="107">
        <v>0</v>
      </c>
      <c r="J1589" s="8" t="s">
        <v>4722</v>
      </c>
    </row>
    <row r="1590" spans="1:10" ht="16.5" customHeight="1" x14ac:dyDescent="0.25">
      <c r="A1590" s="8" t="s">
        <v>6520</v>
      </c>
      <c r="B1590" s="8" t="s">
        <v>6521</v>
      </c>
      <c r="C1590" s="8" t="s">
        <v>6522</v>
      </c>
      <c r="D1590" s="8" t="s">
        <v>6521</v>
      </c>
      <c r="E1590" s="105">
        <v>2.4</v>
      </c>
      <c r="F1590" s="106" t="s">
        <v>2024</v>
      </c>
      <c r="G1590" s="8"/>
      <c r="H1590" s="8"/>
      <c r="I1590" s="107">
        <v>0</v>
      </c>
      <c r="J1590" s="8" t="s">
        <v>5671</v>
      </c>
    </row>
    <row r="1591" spans="1:10" ht="16.5" customHeight="1" x14ac:dyDescent="0.25">
      <c r="A1591" s="8" t="s">
        <v>6523</v>
      </c>
      <c r="B1591" s="8" t="s">
        <v>6524</v>
      </c>
      <c r="C1591" s="8" t="s">
        <v>6525</v>
      </c>
      <c r="D1591" s="8" t="s">
        <v>6524</v>
      </c>
      <c r="E1591" s="105">
        <v>0.4</v>
      </c>
      <c r="F1591" s="106" t="s">
        <v>2024</v>
      </c>
      <c r="G1591" s="8"/>
      <c r="H1591" s="8"/>
      <c r="I1591" s="107">
        <v>0</v>
      </c>
      <c r="J1591" s="8" t="s">
        <v>5671</v>
      </c>
    </row>
    <row r="1592" spans="1:10" ht="16.5" customHeight="1" x14ac:dyDescent="0.25">
      <c r="A1592" s="8" t="s">
        <v>6526</v>
      </c>
      <c r="B1592" s="8" t="s">
        <v>6527</v>
      </c>
      <c r="C1592" s="8" t="s">
        <v>6528</v>
      </c>
      <c r="D1592" s="8" t="s">
        <v>6527</v>
      </c>
      <c r="E1592" s="105">
        <v>2.4</v>
      </c>
      <c r="F1592" s="106" t="s">
        <v>2024</v>
      </c>
      <c r="G1592" s="8"/>
      <c r="H1592" s="8"/>
      <c r="I1592" s="107">
        <v>0</v>
      </c>
      <c r="J1592" s="8" t="s">
        <v>5671</v>
      </c>
    </row>
    <row r="1593" spans="1:10" ht="16.5" customHeight="1" x14ac:dyDescent="0.25">
      <c r="A1593" s="8" t="s">
        <v>6529</v>
      </c>
      <c r="B1593" s="8" t="s">
        <v>6530</v>
      </c>
      <c r="C1593" s="8" t="s">
        <v>6531</v>
      </c>
      <c r="D1593" s="8" t="s">
        <v>6530</v>
      </c>
      <c r="E1593" s="105">
        <v>0.2</v>
      </c>
      <c r="F1593" s="106" t="s">
        <v>2024</v>
      </c>
      <c r="G1593" s="8"/>
      <c r="H1593" s="8"/>
      <c r="I1593" s="107">
        <v>0</v>
      </c>
      <c r="J1593" s="8" t="s">
        <v>5671</v>
      </c>
    </row>
    <row r="1594" spans="1:10" ht="16.5" customHeight="1" x14ac:dyDescent="0.25">
      <c r="A1594" s="8" t="s">
        <v>6532</v>
      </c>
      <c r="B1594" s="8" t="s">
        <v>6533</v>
      </c>
      <c r="C1594" s="8" t="s">
        <v>6534</v>
      </c>
      <c r="D1594" s="8" t="s">
        <v>6533</v>
      </c>
      <c r="E1594" s="105">
        <v>2.4</v>
      </c>
      <c r="F1594" s="106" t="s">
        <v>2024</v>
      </c>
      <c r="G1594" s="8"/>
      <c r="H1594" s="8"/>
      <c r="I1594" s="107">
        <v>0</v>
      </c>
      <c r="J1594" s="8" t="s">
        <v>5671</v>
      </c>
    </row>
    <row r="1595" spans="1:10" ht="16.5" customHeight="1" x14ac:dyDescent="0.25">
      <c r="A1595" s="8" t="s">
        <v>6535</v>
      </c>
      <c r="B1595" s="8" t="s">
        <v>6536</v>
      </c>
      <c r="C1595" s="8" t="s">
        <v>6537</v>
      </c>
      <c r="D1595" s="8" t="s">
        <v>6536</v>
      </c>
      <c r="E1595" s="105">
        <v>0.4</v>
      </c>
      <c r="F1595" s="106" t="s">
        <v>2024</v>
      </c>
      <c r="G1595" s="8"/>
      <c r="H1595" s="8"/>
      <c r="I1595" s="107">
        <v>0</v>
      </c>
      <c r="J1595" s="8" t="s">
        <v>5671</v>
      </c>
    </row>
    <row r="1596" spans="1:10" ht="16.5" customHeight="1" x14ac:dyDescent="0.25">
      <c r="A1596" s="8" t="s">
        <v>6538</v>
      </c>
      <c r="B1596" s="8" t="s">
        <v>6539</v>
      </c>
      <c r="C1596" s="8" t="s">
        <v>6540</v>
      </c>
      <c r="D1596" s="8" t="s">
        <v>6539</v>
      </c>
      <c r="E1596" s="105">
        <v>2.4</v>
      </c>
      <c r="F1596" s="106" t="s">
        <v>2024</v>
      </c>
      <c r="G1596" s="8"/>
      <c r="H1596" s="8"/>
      <c r="I1596" s="107">
        <v>0</v>
      </c>
      <c r="J1596" s="8" t="s">
        <v>5671</v>
      </c>
    </row>
    <row r="1597" spans="1:10" ht="16.5" customHeight="1" x14ac:dyDescent="0.25">
      <c r="A1597" s="8" t="s">
        <v>6541</v>
      </c>
      <c r="B1597" s="8" t="s">
        <v>6542</v>
      </c>
      <c r="C1597" s="8" t="s">
        <v>6543</v>
      </c>
      <c r="D1597" s="8" t="s">
        <v>6542</v>
      </c>
      <c r="E1597" s="105">
        <v>0.2</v>
      </c>
      <c r="F1597" s="106" t="s">
        <v>2024</v>
      </c>
      <c r="G1597" s="8"/>
      <c r="H1597" s="8"/>
      <c r="I1597" s="107">
        <v>0</v>
      </c>
      <c r="J1597" s="8" t="s">
        <v>5671</v>
      </c>
    </row>
    <row r="1598" spans="1:10" ht="16.5" customHeight="1" x14ac:dyDescent="0.25">
      <c r="A1598" s="8" t="s">
        <v>6544</v>
      </c>
      <c r="B1598" s="8" t="s">
        <v>6545</v>
      </c>
      <c r="C1598" s="8" t="s">
        <v>6546</v>
      </c>
      <c r="D1598" s="8" t="s">
        <v>6545</v>
      </c>
      <c r="E1598" s="105">
        <v>9.6</v>
      </c>
      <c r="F1598" s="106" t="s">
        <v>2024</v>
      </c>
      <c r="G1598" s="8"/>
      <c r="H1598" s="8"/>
      <c r="I1598" s="107">
        <v>0</v>
      </c>
      <c r="J1598" s="8" t="s">
        <v>6357</v>
      </c>
    </row>
    <row r="1599" spans="1:10" ht="16.5" customHeight="1" x14ac:dyDescent="0.25">
      <c r="A1599" s="8" t="s">
        <v>6547</v>
      </c>
      <c r="B1599" s="8" t="s">
        <v>6548</v>
      </c>
      <c r="C1599" s="8" t="s">
        <v>6549</v>
      </c>
      <c r="D1599" s="8" t="s">
        <v>6548</v>
      </c>
      <c r="E1599" s="105">
        <v>0.4</v>
      </c>
      <c r="F1599" s="106" t="s">
        <v>2024</v>
      </c>
      <c r="G1599" s="8"/>
      <c r="H1599" s="8"/>
      <c r="I1599" s="107">
        <v>0</v>
      </c>
      <c r="J1599" s="8" t="s">
        <v>6357</v>
      </c>
    </row>
    <row r="1600" spans="1:10" ht="16.5" customHeight="1" x14ac:dyDescent="0.25">
      <c r="A1600" s="8" t="s">
        <v>6550</v>
      </c>
      <c r="B1600" s="8" t="s">
        <v>6551</v>
      </c>
      <c r="C1600" s="8" t="s">
        <v>6552</v>
      </c>
      <c r="D1600" s="8" t="s">
        <v>6551</v>
      </c>
      <c r="E1600" s="105">
        <v>0</v>
      </c>
      <c r="F1600" s="106" t="s">
        <v>2024</v>
      </c>
      <c r="G1600" s="8"/>
      <c r="H1600" s="8"/>
      <c r="I1600" s="107">
        <v>0</v>
      </c>
      <c r="J1600" s="8" t="s">
        <v>4722</v>
      </c>
    </row>
    <row r="1601" spans="1:10" ht="16.5" customHeight="1" x14ac:dyDescent="0.25">
      <c r="A1601" s="8" t="s">
        <v>6553</v>
      </c>
      <c r="B1601" s="8" t="s">
        <v>6554</v>
      </c>
      <c r="C1601" s="8" t="s">
        <v>6555</v>
      </c>
      <c r="D1601" s="8" t="s">
        <v>6554</v>
      </c>
      <c r="E1601" s="105">
        <v>0</v>
      </c>
      <c r="F1601" s="106" t="s">
        <v>2024</v>
      </c>
      <c r="G1601" s="8"/>
      <c r="H1601" s="8"/>
      <c r="I1601" s="107">
        <v>0</v>
      </c>
      <c r="J1601" s="8" t="s">
        <v>4722</v>
      </c>
    </row>
    <row r="1602" spans="1:10" ht="16.5" customHeight="1" x14ac:dyDescent="0.25">
      <c r="A1602" s="8" t="s">
        <v>6556</v>
      </c>
      <c r="B1602" s="8" t="s">
        <v>6557</v>
      </c>
      <c r="C1602" s="8" t="s">
        <v>6558</v>
      </c>
      <c r="D1602" s="8" t="s">
        <v>6557</v>
      </c>
      <c r="E1602" s="105">
        <v>0</v>
      </c>
      <c r="F1602" s="106" t="s">
        <v>2024</v>
      </c>
      <c r="G1602" s="8"/>
      <c r="H1602" s="8"/>
      <c r="I1602" s="107">
        <v>0</v>
      </c>
      <c r="J1602" s="8" t="s">
        <v>4722</v>
      </c>
    </row>
    <row r="1603" spans="1:10" ht="16.5" customHeight="1" x14ac:dyDescent="0.25">
      <c r="A1603" s="8" t="s">
        <v>6559</v>
      </c>
      <c r="B1603" s="8" t="s">
        <v>6560</v>
      </c>
      <c r="C1603" s="8" t="s">
        <v>6561</v>
      </c>
      <c r="D1603" s="8" t="s">
        <v>6560</v>
      </c>
      <c r="E1603" s="105">
        <v>0</v>
      </c>
      <c r="F1603" s="106" t="s">
        <v>2024</v>
      </c>
      <c r="G1603" s="8"/>
      <c r="H1603" s="8"/>
      <c r="I1603" s="107">
        <v>0</v>
      </c>
      <c r="J1603" s="8" t="s">
        <v>4722</v>
      </c>
    </row>
    <row r="1604" spans="1:10" ht="16.5" customHeight="1" x14ac:dyDescent="0.25">
      <c r="A1604" s="8" t="s">
        <v>6562</v>
      </c>
      <c r="B1604" s="8" t="s">
        <v>6563</v>
      </c>
      <c r="C1604" s="8" t="s">
        <v>6564</v>
      </c>
      <c r="D1604" s="8" t="s">
        <v>6563</v>
      </c>
      <c r="E1604" s="105">
        <v>0</v>
      </c>
      <c r="F1604" s="106" t="s">
        <v>2024</v>
      </c>
      <c r="G1604" s="8"/>
      <c r="H1604" s="8"/>
      <c r="I1604" s="107">
        <v>0</v>
      </c>
      <c r="J1604" s="8" t="s">
        <v>4722</v>
      </c>
    </row>
    <row r="1605" spans="1:10" ht="16.5" customHeight="1" x14ac:dyDescent="0.25">
      <c r="A1605" s="8" t="s">
        <v>6565</v>
      </c>
      <c r="B1605" s="8" t="s">
        <v>6566</v>
      </c>
      <c r="C1605" s="8" t="s">
        <v>6567</v>
      </c>
      <c r="D1605" s="8" t="s">
        <v>6566</v>
      </c>
      <c r="E1605" s="105">
        <v>0</v>
      </c>
      <c r="F1605" s="106" t="s">
        <v>2024</v>
      </c>
      <c r="G1605" s="8"/>
      <c r="H1605" s="8"/>
      <c r="I1605" s="107">
        <v>0</v>
      </c>
      <c r="J1605" s="8" t="s">
        <v>4823</v>
      </c>
    </row>
    <row r="1606" spans="1:10" ht="16.5" customHeight="1" x14ac:dyDescent="0.25">
      <c r="A1606" s="8" t="s">
        <v>6568</v>
      </c>
      <c r="B1606" s="8" t="s">
        <v>6569</v>
      </c>
      <c r="C1606" s="8" t="s">
        <v>6570</v>
      </c>
      <c r="D1606" s="8" t="s">
        <v>6569</v>
      </c>
      <c r="E1606" s="105">
        <v>0</v>
      </c>
      <c r="F1606" s="106" t="s">
        <v>2024</v>
      </c>
      <c r="G1606" s="8"/>
      <c r="H1606" s="8"/>
      <c r="I1606" s="107">
        <v>0</v>
      </c>
      <c r="J1606" s="8" t="s">
        <v>4823</v>
      </c>
    </row>
    <row r="1607" spans="1:10" ht="16.5" customHeight="1" x14ac:dyDescent="0.25">
      <c r="A1607" s="8" t="s">
        <v>6571</v>
      </c>
      <c r="B1607" s="8" t="s">
        <v>6572</v>
      </c>
      <c r="C1607" s="8" t="s">
        <v>6573</v>
      </c>
      <c r="D1607" s="8" t="s">
        <v>6572</v>
      </c>
      <c r="E1607" s="105">
        <v>0</v>
      </c>
      <c r="F1607" s="106" t="s">
        <v>2024</v>
      </c>
      <c r="G1607" s="8"/>
      <c r="H1607" s="8"/>
      <c r="I1607" s="107">
        <v>0</v>
      </c>
      <c r="J1607" s="8" t="s">
        <v>4823</v>
      </c>
    </row>
    <row r="1608" spans="1:10" ht="16.5" customHeight="1" x14ac:dyDescent="0.25">
      <c r="A1608" s="8" t="s">
        <v>6574</v>
      </c>
      <c r="B1608" s="8" t="s">
        <v>6575</v>
      </c>
      <c r="C1608" s="8" t="s">
        <v>6576</v>
      </c>
      <c r="D1608" s="8" t="s">
        <v>6575</v>
      </c>
      <c r="E1608" s="105">
        <v>0</v>
      </c>
      <c r="F1608" s="106" t="s">
        <v>2024</v>
      </c>
      <c r="G1608" s="8"/>
      <c r="H1608" s="8"/>
      <c r="I1608" s="107">
        <v>0</v>
      </c>
      <c r="J1608" s="8" t="s">
        <v>4789</v>
      </c>
    </row>
    <row r="1609" spans="1:10" ht="16.5" customHeight="1" x14ac:dyDescent="0.25">
      <c r="A1609" s="8" t="s">
        <v>6577</v>
      </c>
      <c r="B1609" s="8" t="s">
        <v>6578</v>
      </c>
      <c r="C1609" s="8" t="s">
        <v>6578</v>
      </c>
      <c r="D1609" s="8" t="s">
        <v>6578</v>
      </c>
      <c r="E1609" s="105">
        <v>0</v>
      </c>
      <c r="F1609" s="106" t="s">
        <v>2024</v>
      </c>
      <c r="G1609" s="8"/>
      <c r="H1609" s="8"/>
      <c r="I1609" s="107">
        <v>0</v>
      </c>
      <c r="J1609" s="8" t="s">
        <v>4722</v>
      </c>
    </row>
    <row r="1610" spans="1:10" ht="16.5" customHeight="1" x14ac:dyDescent="0.25">
      <c r="A1610" s="8" t="s">
        <v>6579</v>
      </c>
      <c r="B1610" s="8" t="s">
        <v>6229</v>
      </c>
      <c r="C1610" s="8" t="s">
        <v>6230</v>
      </c>
      <c r="D1610" s="8" t="s">
        <v>6229</v>
      </c>
      <c r="E1610" s="105">
        <v>0</v>
      </c>
      <c r="F1610" s="106" t="s">
        <v>2024</v>
      </c>
      <c r="G1610" s="8"/>
      <c r="H1610" s="8"/>
      <c r="I1610" s="107">
        <v>0</v>
      </c>
      <c r="J1610" s="8" t="s">
        <v>4722</v>
      </c>
    </row>
    <row r="1611" spans="1:10" ht="16.5" customHeight="1" x14ac:dyDescent="0.25">
      <c r="A1611" s="8" t="s">
        <v>6580</v>
      </c>
      <c r="B1611" s="8" t="s">
        <v>6220</v>
      </c>
      <c r="C1611" s="8" t="s">
        <v>6221</v>
      </c>
      <c r="D1611" s="8" t="s">
        <v>6220</v>
      </c>
      <c r="E1611" s="105">
        <v>0</v>
      </c>
      <c r="F1611" s="106" t="s">
        <v>2024</v>
      </c>
      <c r="G1611" s="8"/>
      <c r="H1611" s="8"/>
      <c r="I1611" s="107">
        <v>0</v>
      </c>
      <c r="J1611" s="8" t="s">
        <v>4722</v>
      </c>
    </row>
    <row r="1612" spans="1:10" ht="16.5" customHeight="1" x14ac:dyDescent="0.25">
      <c r="A1612" s="8" t="s">
        <v>6581</v>
      </c>
      <c r="B1612" s="8" t="s">
        <v>6226</v>
      </c>
      <c r="C1612" s="8" t="s">
        <v>6227</v>
      </c>
      <c r="D1612" s="8" t="s">
        <v>6226</v>
      </c>
      <c r="E1612" s="105">
        <v>0</v>
      </c>
      <c r="F1612" s="106" t="s">
        <v>2024</v>
      </c>
      <c r="G1612" s="8"/>
      <c r="H1612" s="8"/>
      <c r="I1612" s="107">
        <v>0</v>
      </c>
      <c r="J1612" s="8" t="s">
        <v>4722</v>
      </c>
    </row>
    <row r="1613" spans="1:10" ht="16.5" customHeight="1" x14ac:dyDescent="0.25">
      <c r="A1613" s="8" t="s">
        <v>6582</v>
      </c>
      <c r="B1613" s="8" t="s">
        <v>6238</v>
      </c>
      <c r="C1613" s="8" t="s">
        <v>6239</v>
      </c>
      <c r="D1613" s="8" t="s">
        <v>6238</v>
      </c>
      <c r="E1613" s="105">
        <v>0</v>
      </c>
      <c r="F1613" s="106" t="s">
        <v>2024</v>
      </c>
      <c r="G1613" s="8"/>
      <c r="H1613" s="8"/>
      <c r="I1613" s="107">
        <v>0</v>
      </c>
      <c r="J1613" s="8" t="s">
        <v>4722</v>
      </c>
    </row>
    <row r="1614" spans="1:10" ht="16.5" customHeight="1" x14ac:dyDescent="0.25">
      <c r="A1614" s="8" t="s">
        <v>6583</v>
      </c>
      <c r="B1614" s="8" t="s">
        <v>6078</v>
      </c>
      <c r="C1614" s="8" t="s">
        <v>5944</v>
      </c>
      <c r="D1614" s="8" t="s">
        <v>6078</v>
      </c>
      <c r="E1614" s="105">
        <v>0.54</v>
      </c>
      <c r="F1614" s="106" t="s">
        <v>2024</v>
      </c>
      <c r="G1614" s="8"/>
      <c r="H1614" s="8"/>
      <c r="I1614" s="107">
        <v>0</v>
      </c>
      <c r="J1614" s="8" t="s">
        <v>4722</v>
      </c>
    </row>
    <row r="1615" spans="1:10" ht="16.5" customHeight="1" x14ac:dyDescent="0.25">
      <c r="A1615" s="8" t="s">
        <v>6584</v>
      </c>
      <c r="B1615" s="8" t="s">
        <v>6585</v>
      </c>
      <c r="C1615" s="8" t="s">
        <v>6586</v>
      </c>
      <c r="D1615" s="8" t="s">
        <v>6585</v>
      </c>
      <c r="E1615" s="105">
        <v>18</v>
      </c>
      <c r="F1615" s="106" t="s">
        <v>2024</v>
      </c>
      <c r="G1615" s="8"/>
      <c r="H1615" s="8"/>
      <c r="I1615" s="107">
        <v>0</v>
      </c>
      <c r="J1615" s="8" t="s">
        <v>2019</v>
      </c>
    </row>
    <row r="1616" spans="1:10" ht="16.5" customHeight="1" x14ac:dyDescent="0.25">
      <c r="A1616" s="8" t="s">
        <v>6587</v>
      </c>
      <c r="B1616" s="8" t="s">
        <v>6588</v>
      </c>
      <c r="C1616" s="8" t="s">
        <v>6589</v>
      </c>
      <c r="D1616" s="8" t="s">
        <v>6588</v>
      </c>
      <c r="E1616" s="105">
        <v>0</v>
      </c>
      <c r="F1616" s="106" t="s">
        <v>2024</v>
      </c>
      <c r="G1616" s="8"/>
      <c r="H1616" s="8"/>
      <c r="I1616" s="107">
        <v>0</v>
      </c>
      <c r="J1616" s="8" t="s">
        <v>4722</v>
      </c>
    </row>
    <row r="1617" spans="1:10" ht="16.5" customHeight="1" x14ac:dyDescent="0.25">
      <c r="A1617" s="8" t="s">
        <v>6590</v>
      </c>
      <c r="B1617" s="8" t="s">
        <v>6591</v>
      </c>
      <c r="C1617" s="8" t="s">
        <v>6592</v>
      </c>
      <c r="D1617" s="8" t="s">
        <v>6591</v>
      </c>
      <c r="E1617" s="105">
        <v>0</v>
      </c>
      <c r="F1617" s="106" t="s">
        <v>2024</v>
      </c>
      <c r="G1617" s="8"/>
      <c r="H1617" s="8"/>
      <c r="I1617" s="107">
        <v>0</v>
      </c>
      <c r="J1617" s="8" t="s">
        <v>4722</v>
      </c>
    </row>
    <row r="1618" spans="1:10" ht="16.5" customHeight="1" x14ac:dyDescent="0.25">
      <c r="A1618" s="8" t="s">
        <v>6593</v>
      </c>
      <c r="B1618" s="8" t="s">
        <v>6594</v>
      </c>
      <c r="C1618" s="8" t="s">
        <v>6595</v>
      </c>
      <c r="D1618" s="8" t="s">
        <v>6594</v>
      </c>
      <c r="E1618" s="105">
        <v>0.25</v>
      </c>
      <c r="F1618" s="106" t="s">
        <v>2024</v>
      </c>
      <c r="G1618" s="8"/>
      <c r="H1618" s="8"/>
      <c r="I1618" s="107">
        <v>0</v>
      </c>
      <c r="J1618" s="8" t="s">
        <v>5779</v>
      </c>
    </row>
    <row r="1619" spans="1:10" ht="16.5" customHeight="1" x14ac:dyDescent="0.25">
      <c r="A1619" s="8" t="s">
        <v>6596</v>
      </c>
      <c r="B1619" s="8" t="s">
        <v>6597</v>
      </c>
      <c r="C1619" s="8" t="s">
        <v>6598</v>
      </c>
      <c r="D1619" s="8" t="s">
        <v>6597</v>
      </c>
      <c r="E1619" s="105">
        <v>0.1</v>
      </c>
      <c r="F1619" s="106" t="s">
        <v>2024</v>
      </c>
      <c r="G1619" s="8"/>
      <c r="H1619" s="8"/>
      <c r="I1619" s="107">
        <v>0</v>
      </c>
      <c r="J1619" s="8" t="s">
        <v>5779</v>
      </c>
    </row>
    <row r="1620" spans="1:10" ht="16.5" customHeight="1" x14ac:dyDescent="0.25">
      <c r="A1620" s="8" t="s">
        <v>6599</v>
      </c>
      <c r="B1620" s="8" t="s">
        <v>6600</v>
      </c>
      <c r="C1620" s="8" t="s">
        <v>6601</v>
      </c>
      <c r="D1620" s="8" t="s">
        <v>6600</v>
      </c>
      <c r="E1620" s="105">
        <v>6.5</v>
      </c>
      <c r="F1620" s="106" t="s">
        <v>2024</v>
      </c>
      <c r="G1620" s="8"/>
      <c r="H1620" s="8"/>
      <c r="I1620" s="107">
        <v>0</v>
      </c>
      <c r="J1620" s="8" t="s">
        <v>5671</v>
      </c>
    </row>
    <row r="1621" spans="1:10" ht="16.5" customHeight="1" x14ac:dyDescent="0.25">
      <c r="A1621" s="8" t="s">
        <v>6602</v>
      </c>
      <c r="B1621" s="8" t="s">
        <v>6603</v>
      </c>
      <c r="C1621" s="8" t="s">
        <v>6604</v>
      </c>
      <c r="D1621" s="8" t="s">
        <v>6603</v>
      </c>
      <c r="E1621" s="105">
        <v>8.5</v>
      </c>
      <c r="F1621" s="106" t="s">
        <v>2024</v>
      </c>
      <c r="G1621" s="8"/>
      <c r="H1621" s="8"/>
      <c r="I1621" s="107">
        <v>0</v>
      </c>
      <c r="J1621" s="8" t="s">
        <v>5671</v>
      </c>
    </row>
    <row r="1622" spans="1:10" ht="16.5" customHeight="1" x14ac:dyDescent="0.25">
      <c r="A1622" s="8" t="s">
        <v>6605</v>
      </c>
      <c r="B1622" s="8" t="s">
        <v>6606</v>
      </c>
      <c r="C1622" s="8" t="s">
        <v>6607</v>
      </c>
      <c r="D1622" s="8" t="s">
        <v>6606</v>
      </c>
      <c r="E1622" s="105">
        <v>8</v>
      </c>
      <c r="F1622" s="106" t="s">
        <v>2024</v>
      </c>
      <c r="G1622" s="8"/>
      <c r="H1622" s="8"/>
      <c r="I1622" s="107">
        <v>0</v>
      </c>
      <c r="J1622" s="8" t="s">
        <v>5671</v>
      </c>
    </row>
    <row r="1623" spans="1:10" ht="16.5" customHeight="1" x14ac:dyDescent="0.25">
      <c r="A1623" s="8" t="s">
        <v>6608</v>
      </c>
      <c r="B1623" s="8" t="s">
        <v>6472</v>
      </c>
      <c r="C1623" s="8" t="s">
        <v>6470</v>
      </c>
      <c r="D1623" s="8" t="s">
        <v>6472</v>
      </c>
      <c r="E1623" s="105">
        <v>0.15</v>
      </c>
      <c r="F1623" s="106" t="s">
        <v>2024</v>
      </c>
      <c r="G1623" s="8"/>
      <c r="H1623" s="8"/>
      <c r="I1623" s="107">
        <v>0</v>
      </c>
      <c r="J1623" s="8" t="s">
        <v>4722</v>
      </c>
    </row>
    <row r="1624" spans="1:10" ht="16.5" customHeight="1" x14ac:dyDescent="0.25">
      <c r="A1624" s="8" t="s">
        <v>6609</v>
      </c>
      <c r="B1624" s="8" t="s">
        <v>6610</v>
      </c>
      <c r="C1624" s="8" t="s">
        <v>5941</v>
      </c>
      <c r="D1624" s="8" t="s">
        <v>6610</v>
      </c>
      <c r="E1624" s="105">
        <v>0.31</v>
      </c>
      <c r="F1624" s="106" t="s">
        <v>2024</v>
      </c>
      <c r="G1624" s="8"/>
      <c r="H1624" s="8"/>
      <c r="I1624" s="107">
        <v>0</v>
      </c>
      <c r="J1624" s="8" t="s">
        <v>4722</v>
      </c>
    </row>
    <row r="1625" spans="1:10" ht="16.5" customHeight="1" x14ac:dyDescent="0.25">
      <c r="A1625" s="8" t="s">
        <v>6611</v>
      </c>
      <c r="B1625" s="8" t="s">
        <v>6612</v>
      </c>
      <c r="C1625" s="8" t="s">
        <v>6613</v>
      </c>
      <c r="D1625" s="8" t="s">
        <v>6612</v>
      </c>
      <c r="E1625" s="105">
        <v>0</v>
      </c>
      <c r="F1625" s="106" t="s">
        <v>2024</v>
      </c>
      <c r="G1625" s="8"/>
      <c r="H1625" s="8"/>
      <c r="I1625" s="107">
        <v>0</v>
      </c>
      <c r="J1625" s="8" t="s">
        <v>4722</v>
      </c>
    </row>
    <row r="1626" spans="1:10" ht="16.5" customHeight="1" x14ac:dyDescent="0.25">
      <c r="A1626" s="8" t="s">
        <v>6614</v>
      </c>
      <c r="B1626" s="8" t="s">
        <v>6615</v>
      </c>
      <c r="C1626" s="8" t="s">
        <v>6616</v>
      </c>
      <c r="D1626" s="8" t="s">
        <v>6617</v>
      </c>
      <c r="E1626" s="105">
        <v>0</v>
      </c>
      <c r="F1626" s="106" t="s">
        <v>2024</v>
      </c>
      <c r="G1626" s="8"/>
      <c r="H1626" s="8"/>
      <c r="I1626" s="107">
        <v>0</v>
      </c>
      <c r="J1626" s="8" t="s">
        <v>4722</v>
      </c>
    </row>
    <row r="1627" spans="1:10" ht="16.5" customHeight="1" x14ac:dyDescent="0.25">
      <c r="A1627" s="8" t="s">
        <v>6618</v>
      </c>
      <c r="B1627" s="8" t="s">
        <v>4781</v>
      </c>
      <c r="C1627" s="8" t="s">
        <v>4782</v>
      </c>
      <c r="D1627" s="8" t="s">
        <v>4781</v>
      </c>
      <c r="E1627" s="105">
        <v>0</v>
      </c>
      <c r="F1627" s="106" t="s">
        <v>2024</v>
      </c>
      <c r="G1627" s="8"/>
      <c r="H1627" s="8"/>
      <c r="I1627" s="107">
        <v>0</v>
      </c>
      <c r="J1627" s="8" t="s">
        <v>4722</v>
      </c>
    </row>
    <row r="1628" spans="1:10" ht="16.5" customHeight="1" x14ac:dyDescent="0.25">
      <c r="A1628" s="8" t="s">
        <v>6619</v>
      </c>
      <c r="B1628" s="8" t="s">
        <v>6620</v>
      </c>
      <c r="C1628" s="8" t="s">
        <v>6621</v>
      </c>
      <c r="D1628" s="8" t="s">
        <v>6620</v>
      </c>
      <c r="E1628" s="105">
        <v>12.6</v>
      </c>
      <c r="F1628" s="106" t="s">
        <v>2024</v>
      </c>
      <c r="G1628" s="8" t="s">
        <v>1541</v>
      </c>
      <c r="H1628" s="8" t="s">
        <v>6622</v>
      </c>
      <c r="I1628" s="107">
        <v>6</v>
      </c>
      <c r="J1628" s="8" t="s">
        <v>5929</v>
      </c>
    </row>
    <row r="1629" spans="1:10" ht="16.5" customHeight="1" x14ac:dyDescent="0.25">
      <c r="A1629" s="8" t="s">
        <v>6622</v>
      </c>
      <c r="B1629" s="8" t="s">
        <v>6623</v>
      </c>
      <c r="C1629" s="8" t="s">
        <v>6621</v>
      </c>
      <c r="D1629" s="8" t="s">
        <v>6623</v>
      </c>
      <c r="E1629" s="105">
        <v>2.1</v>
      </c>
      <c r="F1629" s="106" t="s">
        <v>2024</v>
      </c>
      <c r="G1629" s="8" t="s">
        <v>1541</v>
      </c>
      <c r="H1629" s="8"/>
      <c r="I1629" s="107">
        <v>0</v>
      </c>
      <c r="J1629" s="8" t="s">
        <v>5929</v>
      </c>
    </row>
    <row r="1630" spans="1:10" ht="16.5" customHeight="1" x14ac:dyDescent="0.25">
      <c r="A1630" s="8" t="s">
        <v>6624</v>
      </c>
      <c r="B1630" s="8" t="s">
        <v>6625</v>
      </c>
      <c r="C1630" s="8" t="s">
        <v>6626</v>
      </c>
      <c r="D1630" s="8" t="s">
        <v>6625</v>
      </c>
      <c r="E1630" s="105">
        <v>0</v>
      </c>
      <c r="F1630" s="106" t="s">
        <v>2024</v>
      </c>
      <c r="G1630" s="8"/>
      <c r="H1630" s="8"/>
      <c r="I1630" s="107">
        <v>0</v>
      </c>
      <c r="J1630" s="8" t="s">
        <v>4789</v>
      </c>
    </row>
    <row r="1631" spans="1:10" ht="16.5" customHeight="1" x14ac:dyDescent="0.25">
      <c r="A1631" s="8" t="s">
        <v>6627</v>
      </c>
      <c r="B1631" s="8" t="s">
        <v>6628</v>
      </c>
      <c r="C1631" s="8" t="s">
        <v>6629</v>
      </c>
      <c r="D1631" s="8" t="s">
        <v>6628</v>
      </c>
      <c r="E1631" s="105">
        <v>0</v>
      </c>
      <c r="F1631" s="106" t="s">
        <v>2024</v>
      </c>
      <c r="G1631" s="8"/>
      <c r="H1631" s="8"/>
      <c r="I1631" s="107">
        <v>0</v>
      </c>
      <c r="J1631" s="8" t="s">
        <v>4789</v>
      </c>
    </row>
    <row r="1632" spans="1:10" ht="16.5" customHeight="1" x14ac:dyDescent="0.25">
      <c r="A1632" s="8" t="s">
        <v>6630</v>
      </c>
      <c r="B1632" s="8" t="s">
        <v>6631</v>
      </c>
      <c r="C1632" s="8" t="s">
        <v>6632</v>
      </c>
      <c r="D1632" s="8" t="s">
        <v>6631</v>
      </c>
      <c r="E1632" s="105">
        <v>0</v>
      </c>
      <c r="F1632" s="106" t="s">
        <v>2018</v>
      </c>
      <c r="G1632" s="8"/>
      <c r="H1632" s="8"/>
      <c r="I1632" s="107">
        <v>0</v>
      </c>
      <c r="J1632" s="8" t="s">
        <v>4789</v>
      </c>
    </row>
    <row r="1633" spans="1:10" ht="16.5" customHeight="1" x14ac:dyDescent="0.25">
      <c r="A1633" s="8" t="s">
        <v>6633</v>
      </c>
      <c r="B1633" s="8" t="s">
        <v>6634</v>
      </c>
      <c r="C1633" s="8" t="s">
        <v>6635</v>
      </c>
      <c r="D1633" s="8" t="s">
        <v>6634</v>
      </c>
      <c r="E1633" s="105">
        <v>0</v>
      </c>
      <c r="F1633" s="106" t="s">
        <v>2024</v>
      </c>
      <c r="G1633" s="8"/>
      <c r="H1633" s="8"/>
      <c r="I1633" s="107">
        <v>0</v>
      </c>
      <c r="J1633" s="8" t="s">
        <v>4722</v>
      </c>
    </row>
    <row r="1634" spans="1:10" ht="16.5" customHeight="1" x14ac:dyDescent="0.25">
      <c r="A1634" s="8" t="s">
        <v>6636</v>
      </c>
      <c r="B1634" s="8" t="s">
        <v>6637</v>
      </c>
      <c r="C1634" s="8" t="s">
        <v>6638</v>
      </c>
      <c r="D1634" s="8" t="s">
        <v>6637</v>
      </c>
      <c r="E1634" s="105">
        <v>0</v>
      </c>
      <c r="F1634" s="106" t="s">
        <v>2024</v>
      </c>
      <c r="G1634" s="8"/>
      <c r="H1634" s="8"/>
      <c r="I1634" s="107">
        <v>0</v>
      </c>
      <c r="J1634" s="8" t="s">
        <v>4722</v>
      </c>
    </row>
    <row r="1635" spans="1:10" ht="16.5" customHeight="1" x14ac:dyDescent="0.25">
      <c r="A1635" s="8" t="s">
        <v>6639</v>
      </c>
      <c r="B1635" s="8" t="s">
        <v>5819</v>
      </c>
      <c r="C1635" s="8" t="s">
        <v>5817</v>
      </c>
      <c r="D1635" s="8" t="s">
        <v>5819</v>
      </c>
      <c r="E1635" s="105">
        <v>0.2</v>
      </c>
      <c r="F1635" s="106" t="s">
        <v>2024</v>
      </c>
      <c r="G1635" s="8"/>
      <c r="H1635" s="8"/>
      <c r="I1635" s="107">
        <v>0</v>
      </c>
      <c r="J1635" s="8" t="s">
        <v>4722</v>
      </c>
    </row>
    <row r="1636" spans="1:10" ht="16.5" customHeight="1" x14ac:dyDescent="0.25">
      <c r="A1636" s="8" t="s">
        <v>6640</v>
      </c>
      <c r="B1636" s="8" t="s">
        <v>6641</v>
      </c>
      <c r="C1636" s="8" t="s">
        <v>6642</v>
      </c>
      <c r="D1636" s="8" t="s">
        <v>6641</v>
      </c>
      <c r="E1636" s="105">
        <v>0</v>
      </c>
      <c r="F1636" s="106" t="s">
        <v>2024</v>
      </c>
      <c r="G1636" s="8"/>
      <c r="H1636" s="8"/>
      <c r="I1636" s="107">
        <v>0</v>
      </c>
      <c r="J1636" s="8" t="s">
        <v>4789</v>
      </c>
    </row>
    <row r="1637" spans="1:10" ht="16.5" customHeight="1" x14ac:dyDescent="0.25">
      <c r="A1637" s="8" t="s">
        <v>6643</v>
      </c>
      <c r="B1637" s="8" t="s">
        <v>5679</v>
      </c>
      <c r="C1637" s="8" t="s">
        <v>5680</v>
      </c>
      <c r="D1637" s="8" t="s">
        <v>5679</v>
      </c>
      <c r="E1637" s="105">
        <v>0.4</v>
      </c>
      <c r="F1637" s="106" t="s">
        <v>2024</v>
      </c>
      <c r="G1637" s="8"/>
      <c r="H1637" s="8"/>
      <c r="I1637" s="107">
        <v>0</v>
      </c>
      <c r="J1637" s="8" t="s">
        <v>4722</v>
      </c>
    </row>
    <row r="1638" spans="1:10" ht="16.5" customHeight="1" x14ac:dyDescent="0.25">
      <c r="A1638" s="8" t="s">
        <v>6644</v>
      </c>
      <c r="B1638" s="8" t="s">
        <v>6645</v>
      </c>
      <c r="C1638" s="8" t="s">
        <v>6646</v>
      </c>
      <c r="D1638" s="8" t="s">
        <v>6645</v>
      </c>
      <c r="E1638" s="105">
        <v>20</v>
      </c>
      <c r="F1638" s="106" t="s">
        <v>2018</v>
      </c>
      <c r="G1638" s="8"/>
      <c r="H1638" s="8"/>
      <c r="I1638" s="107">
        <v>0</v>
      </c>
      <c r="J1638" s="8" t="s">
        <v>6357</v>
      </c>
    </row>
    <row r="1639" spans="1:10" ht="16.5" customHeight="1" x14ac:dyDescent="0.25">
      <c r="A1639" s="8" t="s">
        <v>6647</v>
      </c>
      <c r="B1639" s="8" t="s">
        <v>6648</v>
      </c>
      <c r="C1639" s="8" t="s">
        <v>6649</v>
      </c>
      <c r="D1639" s="8" t="s">
        <v>6648</v>
      </c>
      <c r="E1639" s="105">
        <v>12</v>
      </c>
      <c r="F1639" s="106" t="s">
        <v>2024</v>
      </c>
      <c r="G1639" s="8"/>
      <c r="H1639" s="8"/>
      <c r="I1639" s="107">
        <v>0</v>
      </c>
      <c r="J1639" s="8" t="s">
        <v>6357</v>
      </c>
    </row>
    <row r="1640" spans="1:10" ht="16.5" customHeight="1" x14ac:dyDescent="0.25">
      <c r="A1640" s="8" t="s">
        <v>6650</v>
      </c>
      <c r="B1640" s="8" t="s">
        <v>6651</v>
      </c>
      <c r="C1640" s="8" t="s">
        <v>6652</v>
      </c>
      <c r="D1640" s="8" t="s">
        <v>6651</v>
      </c>
      <c r="E1640" s="105">
        <v>1.5</v>
      </c>
      <c r="F1640" s="106" t="s">
        <v>2024</v>
      </c>
      <c r="G1640" s="8"/>
      <c r="H1640" s="8"/>
      <c r="I1640" s="107">
        <v>0</v>
      </c>
      <c r="J1640" s="8" t="s">
        <v>6357</v>
      </c>
    </row>
    <row r="1641" spans="1:10" ht="16.5" customHeight="1" x14ac:dyDescent="0.25">
      <c r="A1641" s="8" t="s">
        <v>6653</v>
      </c>
      <c r="B1641" s="8" t="s">
        <v>6654</v>
      </c>
      <c r="C1641" s="8" t="s">
        <v>6655</v>
      </c>
      <c r="D1641" s="8" t="s">
        <v>6654</v>
      </c>
      <c r="E1641" s="105">
        <v>1</v>
      </c>
      <c r="F1641" s="106" t="s">
        <v>2024</v>
      </c>
      <c r="G1641" s="8"/>
      <c r="H1641" s="8"/>
      <c r="I1641" s="107">
        <v>0</v>
      </c>
      <c r="J1641" s="8" t="s">
        <v>4823</v>
      </c>
    </row>
    <row r="1642" spans="1:10" ht="16.5" customHeight="1" x14ac:dyDescent="0.25">
      <c r="A1642" s="8" t="s">
        <v>6656</v>
      </c>
      <c r="B1642" s="8" t="s">
        <v>6657</v>
      </c>
      <c r="C1642" s="8" t="s">
        <v>6658</v>
      </c>
      <c r="D1642" s="8" t="s">
        <v>6657</v>
      </c>
      <c r="E1642" s="105">
        <v>16</v>
      </c>
      <c r="F1642" s="106" t="s">
        <v>2024</v>
      </c>
      <c r="G1642" s="8"/>
      <c r="H1642" s="8"/>
      <c r="I1642" s="107">
        <v>0</v>
      </c>
      <c r="J1642" s="8" t="s">
        <v>2019</v>
      </c>
    </row>
    <row r="1643" spans="1:10" ht="16.5" customHeight="1" x14ac:dyDescent="0.25">
      <c r="A1643" s="8" t="s">
        <v>6659</v>
      </c>
      <c r="B1643" s="8" t="s">
        <v>6660</v>
      </c>
      <c r="C1643" s="8" t="s">
        <v>6661</v>
      </c>
      <c r="D1643" s="8" t="s">
        <v>6660</v>
      </c>
      <c r="E1643" s="105">
        <v>4.3</v>
      </c>
      <c r="F1643" s="106" t="s">
        <v>2024</v>
      </c>
      <c r="G1643" s="8"/>
      <c r="H1643" s="8"/>
      <c r="I1643" s="107">
        <v>0</v>
      </c>
      <c r="J1643" s="8" t="s">
        <v>5779</v>
      </c>
    </row>
    <row r="1644" spans="1:10" ht="16.5" customHeight="1" x14ac:dyDescent="0.25">
      <c r="A1644" s="8" t="s">
        <v>6662</v>
      </c>
      <c r="B1644" s="8" t="s">
        <v>5682</v>
      </c>
      <c r="C1644" s="8" t="s">
        <v>5683</v>
      </c>
      <c r="D1644" s="8" t="s">
        <v>5682</v>
      </c>
      <c r="E1644" s="105">
        <v>0.4</v>
      </c>
      <c r="F1644" s="106" t="s">
        <v>2024</v>
      </c>
      <c r="G1644" s="8"/>
      <c r="H1644" s="8"/>
      <c r="I1644" s="107">
        <v>0</v>
      </c>
      <c r="J1644" s="8" t="s">
        <v>4722</v>
      </c>
    </row>
    <row r="1645" spans="1:10" ht="16.5" customHeight="1" x14ac:dyDescent="0.25">
      <c r="A1645" s="8" t="s">
        <v>6663</v>
      </c>
      <c r="B1645" s="8" t="s">
        <v>6664</v>
      </c>
      <c r="C1645" s="8" t="s">
        <v>6665</v>
      </c>
      <c r="D1645" s="8" t="s">
        <v>6664</v>
      </c>
      <c r="E1645" s="105">
        <v>0</v>
      </c>
      <c r="F1645" s="106" t="s">
        <v>2024</v>
      </c>
      <c r="G1645" s="8"/>
      <c r="H1645" s="8"/>
      <c r="I1645" s="107">
        <v>0</v>
      </c>
      <c r="J1645" s="8" t="s">
        <v>4722</v>
      </c>
    </row>
    <row r="1646" spans="1:10" ht="16.5" customHeight="1" x14ac:dyDescent="0.25">
      <c r="A1646" s="8" t="s">
        <v>6666</v>
      </c>
      <c r="B1646" s="8" t="s">
        <v>6667</v>
      </c>
      <c r="C1646" s="8" t="s">
        <v>6668</v>
      </c>
      <c r="D1646" s="8" t="s">
        <v>6667</v>
      </c>
      <c r="E1646" s="105">
        <v>0</v>
      </c>
      <c r="F1646" s="106" t="s">
        <v>2024</v>
      </c>
      <c r="G1646" s="8"/>
      <c r="H1646" s="8"/>
      <c r="I1646" s="107">
        <v>0</v>
      </c>
      <c r="J1646" s="8" t="s">
        <v>4722</v>
      </c>
    </row>
    <row r="1647" spans="1:10" ht="16.5" customHeight="1" x14ac:dyDescent="0.25">
      <c r="A1647" s="8" t="s">
        <v>6669</v>
      </c>
      <c r="B1647" s="8" t="s">
        <v>6670</v>
      </c>
      <c r="C1647" s="8" t="s">
        <v>6671</v>
      </c>
      <c r="D1647" s="8" t="s">
        <v>6670</v>
      </c>
      <c r="E1647" s="105">
        <v>850</v>
      </c>
      <c r="F1647" s="106" t="s">
        <v>2024</v>
      </c>
      <c r="G1647" s="8"/>
      <c r="H1647" s="8"/>
      <c r="I1647" s="107">
        <v>0</v>
      </c>
      <c r="J1647" s="8" t="s">
        <v>3695</v>
      </c>
    </row>
    <row r="1648" spans="1:10" ht="16.5" customHeight="1" x14ac:dyDescent="0.25">
      <c r="A1648" s="8" t="s">
        <v>6672</v>
      </c>
      <c r="B1648" s="8" t="s">
        <v>6104</v>
      </c>
      <c r="C1648" s="8" t="s">
        <v>6673</v>
      </c>
      <c r="D1648" s="8" t="s">
        <v>6104</v>
      </c>
      <c r="E1648" s="105">
        <v>0.38</v>
      </c>
      <c r="F1648" s="106" t="s">
        <v>2024</v>
      </c>
      <c r="G1648" s="8"/>
      <c r="H1648" s="8"/>
      <c r="I1648" s="107">
        <v>0</v>
      </c>
      <c r="J1648" s="8" t="s">
        <v>4722</v>
      </c>
    </row>
    <row r="1649" spans="1:10" ht="16.5" customHeight="1" x14ac:dyDescent="0.25">
      <c r="A1649" s="8" t="s">
        <v>6674</v>
      </c>
      <c r="B1649" s="8" t="s">
        <v>6102</v>
      </c>
      <c r="C1649" s="8" t="s">
        <v>5983</v>
      </c>
      <c r="D1649" s="8" t="s">
        <v>6102</v>
      </c>
      <c r="E1649" s="105">
        <v>0.17</v>
      </c>
      <c r="F1649" s="106" t="s">
        <v>2024</v>
      </c>
      <c r="G1649" s="8"/>
      <c r="H1649" s="8"/>
      <c r="I1649" s="107">
        <v>0</v>
      </c>
      <c r="J1649" s="8" t="s">
        <v>4722</v>
      </c>
    </row>
    <row r="1650" spans="1:10" ht="16.5" customHeight="1" x14ac:dyDescent="0.25">
      <c r="A1650" s="8" t="s">
        <v>6675</v>
      </c>
      <c r="B1650" s="8" t="s">
        <v>6676</v>
      </c>
      <c r="C1650" s="8" t="s">
        <v>6677</v>
      </c>
      <c r="D1650" s="8" t="s">
        <v>6676</v>
      </c>
      <c r="E1650" s="105">
        <v>40</v>
      </c>
      <c r="F1650" s="106" t="s">
        <v>2024</v>
      </c>
      <c r="G1650" s="8"/>
      <c r="H1650" s="8"/>
      <c r="I1650" s="107">
        <v>0</v>
      </c>
      <c r="J1650" s="8" t="s">
        <v>3580</v>
      </c>
    </row>
    <row r="1651" spans="1:10" ht="16.5" customHeight="1" x14ac:dyDescent="0.25">
      <c r="A1651" s="8" t="s">
        <v>6678</v>
      </c>
      <c r="B1651" s="8" t="s">
        <v>6679</v>
      </c>
      <c r="C1651" s="8" t="s">
        <v>6680</v>
      </c>
      <c r="D1651" s="8" t="s">
        <v>6679</v>
      </c>
      <c r="E1651" s="105">
        <v>40</v>
      </c>
      <c r="F1651" s="106" t="s">
        <v>2024</v>
      </c>
      <c r="G1651" s="8"/>
      <c r="H1651" s="8"/>
      <c r="I1651" s="107">
        <v>0</v>
      </c>
      <c r="J1651" s="8" t="s">
        <v>3580</v>
      </c>
    </row>
    <row r="1652" spans="1:10" ht="16.5" customHeight="1" x14ac:dyDescent="0.25">
      <c r="A1652" s="8" t="s">
        <v>6681</v>
      </c>
      <c r="B1652" s="8" t="s">
        <v>6682</v>
      </c>
      <c r="C1652" s="8" t="s">
        <v>6683</v>
      </c>
      <c r="D1652" s="8" t="s">
        <v>6682</v>
      </c>
      <c r="E1652" s="105">
        <v>40</v>
      </c>
      <c r="F1652" s="106" t="s">
        <v>2024</v>
      </c>
      <c r="G1652" s="8"/>
      <c r="H1652" s="8"/>
      <c r="I1652" s="107">
        <v>0</v>
      </c>
      <c r="J1652" s="8" t="s">
        <v>3580</v>
      </c>
    </row>
    <row r="1653" spans="1:10" ht="16.5" customHeight="1" x14ac:dyDescent="0.25">
      <c r="A1653" s="8" t="s">
        <v>6684</v>
      </c>
      <c r="B1653" s="8" t="s">
        <v>6685</v>
      </c>
      <c r="C1653" s="8" t="s">
        <v>6683</v>
      </c>
      <c r="D1653" s="8" t="s">
        <v>6685</v>
      </c>
      <c r="E1653" s="105">
        <v>40</v>
      </c>
      <c r="F1653" s="106" t="s">
        <v>2024</v>
      </c>
      <c r="G1653" s="8"/>
      <c r="H1653" s="8"/>
      <c r="I1653" s="107">
        <v>0</v>
      </c>
      <c r="J1653" s="8" t="s">
        <v>3580</v>
      </c>
    </row>
    <row r="1654" spans="1:10" ht="16.5" customHeight="1" x14ac:dyDescent="0.25">
      <c r="A1654" s="8" t="s">
        <v>6686</v>
      </c>
      <c r="B1654" s="8" t="s">
        <v>6687</v>
      </c>
      <c r="C1654" s="8" t="s">
        <v>6683</v>
      </c>
      <c r="D1654" s="8" t="s">
        <v>6687</v>
      </c>
      <c r="E1654" s="105">
        <v>40</v>
      </c>
      <c r="F1654" s="106" t="s">
        <v>2024</v>
      </c>
      <c r="G1654" s="8"/>
      <c r="H1654" s="8"/>
      <c r="I1654" s="107">
        <v>0</v>
      </c>
      <c r="J1654" s="8" t="s">
        <v>3580</v>
      </c>
    </row>
    <row r="1655" spans="1:10" ht="16.5" customHeight="1" x14ac:dyDescent="0.25">
      <c r="A1655" s="8" t="s">
        <v>6688</v>
      </c>
      <c r="B1655" s="8" t="s">
        <v>5676</v>
      </c>
      <c r="C1655" s="8" t="s">
        <v>5677</v>
      </c>
      <c r="D1655" s="8" t="s">
        <v>5676</v>
      </c>
      <c r="E1655" s="105">
        <v>0</v>
      </c>
      <c r="F1655" s="106" t="s">
        <v>2024</v>
      </c>
      <c r="G1655" s="8"/>
      <c r="H1655" s="8"/>
      <c r="I1655" s="107">
        <v>0</v>
      </c>
      <c r="J1655" s="8" t="s">
        <v>4722</v>
      </c>
    </row>
    <row r="1656" spans="1:10" ht="16.5" customHeight="1" x14ac:dyDescent="0.25">
      <c r="A1656" s="8" t="s">
        <v>6689</v>
      </c>
      <c r="B1656" s="8" t="s">
        <v>6690</v>
      </c>
      <c r="C1656" s="8" t="s">
        <v>6691</v>
      </c>
      <c r="D1656" s="8" t="s">
        <v>6690</v>
      </c>
      <c r="E1656" s="105">
        <v>0</v>
      </c>
      <c r="F1656" s="106" t="s">
        <v>2024</v>
      </c>
      <c r="G1656" s="8"/>
      <c r="H1656" s="8"/>
      <c r="I1656" s="107">
        <v>0</v>
      </c>
      <c r="J1656" s="8" t="s">
        <v>4722</v>
      </c>
    </row>
    <row r="1657" spans="1:10" ht="16.5" customHeight="1" x14ac:dyDescent="0.25">
      <c r="A1657" s="8" t="s">
        <v>6692</v>
      </c>
      <c r="B1657" s="8" t="s">
        <v>6693</v>
      </c>
      <c r="C1657" s="8" t="s">
        <v>6694</v>
      </c>
      <c r="D1657" s="8" t="s">
        <v>6693</v>
      </c>
      <c r="E1657" s="105">
        <v>3</v>
      </c>
      <c r="F1657" s="106" t="s">
        <v>2024</v>
      </c>
      <c r="G1657" s="8"/>
      <c r="H1657" s="8"/>
      <c r="I1657" s="107">
        <v>0</v>
      </c>
      <c r="J1657" s="8" t="s">
        <v>5671</v>
      </c>
    </row>
    <row r="1658" spans="1:10" ht="16.5" customHeight="1" x14ac:dyDescent="0.25">
      <c r="A1658" s="8" t="s">
        <v>6695</v>
      </c>
      <c r="B1658" s="8" t="s">
        <v>6696</v>
      </c>
      <c r="C1658" s="8" t="s">
        <v>6694</v>
      </c>
      <c r="D1658" s="8" t="s">
        <v>6696</v>
      </c>
      <c r="E1658" s="105">
        <v>0.25</v>
      </c>
      <c r="F1658" s="106" t="s">
        <v>2024</v>
      </c>
      <c r="G1658" s="8"/>
      <c r="H1658" s="8"/>
      <c r="I1658" s="107">
        <v>0</v>
      </c>
      <c r="J1658" s="8" t="s">
        <v>5671</v>
      </c>
    </row>
    <row r="1659" spans="1:10" ht="16.5" customHeight="1" x14ac:dyDescent="0.25">
      <c r="A1659" s="8" t="s">
        <v>6697</v>
      </c>
      <c r="B1659" s="8" t="s">
        <v>6698</v>
      </c>
      <c r="C1659" s="8" t="s">
        <v>1539</v>
      </c>
      <c r="D1659" s="8" t="s">
        <v>6698</v>
      </c>
      <c r="E1659" s="105">
        <v>6.5</v>
      </c>
      <c r="F1659" s="106" t="s">
        <v>2024</v>
      </c>
      <c r="G1659" s="8"/>
      <c r="H1659" s="8"/>
      <c r="I1659" s="107">
        <v>0</v>
      </c>
      <c r="J1659" s="8" t="s">
        <v>5671</v>
      </c>
    </row>
    <row r="1660" spans="1:10" ht="16.5" customHeight="1" x14ac:dyDescent="0.25">
      <c r="A1660" s="8" t="s">
        <v>6699</v>
      </c>
      <c r="B1660" s="8" t="s">
        <v>6700</v>
      </c>
      <c r="C1660" s="8" t="s">
        <v>6701</v>
      </c>
      <c r="D1660" s="8" t="s">
        <v>6700</v>
      </c>
      <c r="E1660" s="105">
        <v>0.2</v>
      </c>
      <c r="F1660" s="106" t="s">
        <v>2024</v>
      </c>
      <c r="G1660" s="8"/>
      <c r="H1660" s="8"/>
      <c r="I1660" s="107">
        <v>0</v>
      </c>
      <c r="J1660" s="8" t="s">
        <v>5779</v>
      </c>
    </row>
    <row r="1661" spans="1:10" ht="16.5" customHeight="1" x14ac:dyDescent="0.25">
      <c r="A1661" s="8" t="s">
        <v>6702</v>
      </c>
      <c r="B1661" s="8" t="s">
        <v>4136</v>
      </c>
      <c r="C1661" s="8" t="s">
        <v>6703</v>
      </c>
      <c r="D1661" s="8" t="s">
        <v>4136</v>
      </c>
      <c r="E1661" s="105">
        <v>20</v>
      </c>
      <c r="F1661" s="106" t="s">
        <v>2024</v>
      </c>
      <c r="G1661" s="8"/>
      <c r="H1661" s="8"/>
      <c r="I1661" s="107">
        <v>0</v>
      </c>
      <c r="J1661" s="8" t="s">
        <v>4722</v>
      </c>
    </row>
    <row r="1662" spans="1:10" ht="16.5" customHeight="1" x14ac:dyDescent="0.25">
      <c r="A1662" s="8" t="s">
        <v>6704</v>
      </c>
      <c r="B1662" s="8" t="s">
        <v>6705</v>
      </c>
      <c r="C1662" s="8" t="s">
        <v>6706</v>
      </c>
      <c r="D1662" s="8" t="s">
        <v>6705</v>
      </c>
      <c r="E1662" s="105">
        <v>8.6</v>
      </c>
      <c r="F1662" s="106" t="s">
        <v>2024</v>
      </c>
      <c r="G1662" s="8"/>
      <c r="H1662" s="8"/>
      <c r="I1662" s="107">
        <v>0</v>
      </c>
      <c r="J1662" s="8" t="s">
        <v>5929</v>
      </c>
    </row>
    <row r="1663" spans="1:10" ht="16.5" customHeight="1" x14ac:dyDescent="0.25">
      <c r="A1663" s="8" t="s">
        <v>6707</v>
      </c>
      <c r="B1663" s="8" t="s">
        <v>6708</v>
      </c>
      <c r="C1663" s="8" t="s">
        <v>6709</v>
      </c>
      <c r="D1663" s="8" t="s">
        <v>6708</v>
      </c>
      <c r="E1663" s="105">
        <v>0.215</v>
      </c>
      <c r="F1663" s="106" t="s">
        <v>2024</v>
      </c>
      <c r="G1663" s="8"/>
      <c r="H1663" s="8"/>
      <c r="I1663" s="107">
        <v>0</v>
      </c>
      <c r="J1663" s="8" t="s">
        <v>5929</v>
      </c>
    </row>
    <row r="1664" spans="1:10" ht="16.5" customHeight="1" x14ac:dyDescent="0.25">
      <c r="A1664" s="8" t="s">
        <v>6710</v>
      </c>
      <c r="B1664" s="8" t="s">
        <v>6711</v>
      </c>
      <c r="C1664" s="8" t="s">
        <v>6712</v>
      </c>
      <c r="D1664" s="8" t="s">
        <v>6711</v>
      </c>
      <c r="E1664" s="105">
        <v>13.82</v>
      </c>
      <c r="F1664" s="106" t="s">
        <v>2024</v>
      </c>
      <c r="G1664" s="8"/>
      <c r="H1664" s="8"/>
      <c r="I1664" s="107">
        <v>0</v>
      </c>
      <c r="J1664" s="8" t="s">
        <v>5929</v>
      </c>
    </row>
    <row r="1665" spans="1:10" ht="16.5" customHeight="1" x14ac:dyDescent="0.25">
      <c r="A1665" s="8" t="s">
        <v>6713</v>
      </c>
      <c r="B1665" s="8" t="s">
        <v>6714</v>
      </c>
      <c r="C1665" s="8" t="s">
        <v>6715</v>
      </c>
      <c r="D1665" s="8" t="s">
        <v>6716</v>
      </c>
      <c r="E1665" s="105">
        <v>0</v>
      </c>
      <c r="F1665" s="106" t="s">
        <v>2024</v>
      </c>
      <c r="G1665" s="8"/>
      <c r="H1665" s="8"/>
      <c r="I1665" s="107">
        <v>0</v>
      </c>
      <c r="J1665" s="8" t="s">
        <v>5929</v>
      </c>
    </row>
    <row r="1666" spans="1:10" ht="16.5" customHeight="1" x14ac:dyDescent="0.25">
      <c r="A1666" s="8" t="s">
        <v>6717</v>
      </c>
      <c r="B1666" s="8" t="s">
        <v>6718</v>
      </c>
      <c r="C1666" s="8" t="s">
        <v>6719</v>
      </c>
      <c r="D1666" s="8" t="s">
        <v>6718</v>
      </c>
      <c r="E1666" s="105">
        <v>12.6</v>
      </c>
      <c r="F1666" s="106" t="s">
        <v>2024</v>
      </c>
      <c r="G1666" s="8"/>
      <c r="H1666" s="8"/>
      <c r="I1666" s="107">
        <v>0</v>
      </c>
      <c r="J1666" s="8" t="s">
        <v>5929</v>
      </c>
    </row>
    <row r="1667" spans="1:10" ht="16.5" customHeight="1" x14ac:dyDescent="0.25">
      <c r="A1667" s="8" t="s">
        <v>6720</v>
      </c>
      <c r="B1667" s="8" t="s">
        <v>6721</v>
      </c>
      <c r="C1667" s="8" t="s">
        <v>6722</v>
      </c>
      <c r="D1667" s="8" t="s">
        <v>6721</v>
      </c>
      <c r="E1667" s="105">
        <v>0.63</v>
      </c>
      <c r="F1667" s="106" t="s">
        <v>2024</v>
      </c>
      <c r="G1667" s="8"/>
      <c r="H1667" s="8"/>
      <c r="I1667" s="107">
        <v>0</v>
      </c>
      <c r="J1667" s="8" t="s">
        <v>5929</v>
      </c>
    </row>
    <row r="1668" spans="1:10" ht="16.5" customHeight="1" x14ac:dyDescent="0.25">
      <c r="A1668" s="8" t="s">
        <v>6723</v>
      </c>
      <c r="B1668" s="8" t="s">
        <v>6724</v>
      </c>
      <c r="C1668" s="8" t="s">
        <v>6725</v>
      </c>
      <c r="D1668" s="8" t="s">
        <v>6724</v>
      </c>
      <c r="E1668" s="105">
        <v>2.72</v>
      </c>
      <c r="F1668" s="106" t="s">
        <v>2024</v>
      </c>
      <c r="G1668" s="8"/>
      <c r="H1668" s="8"/>
      <c r="I1668" s="107">
        <v>0</v>
      </c>
      <c r="J1668" s="8" t="s">
        <v>5929</v>
      </c>
    </row>
    <row r="1669" spans="1:10" ht="16.5" customHeight="1" x14ac:dyDescent="0.25">
      <c r="A1669" s="8" t="s">
        <v>6726</v>
      </c>
      <c r="B1669" s="8" t="s">
        <v>6727</v>
      </c>
      <c r="C1669" s="8" t="s">
        <v>6728</v>
      </c>
      <c r="D1669" s="8" t="s">
        <v>6727</v>
      </c>
      <c r="E1669" s="105">
        <v>0</v>
      </c>
      <c r="F1669" s="106" t="s">
        <v>2024</v>
      </c>
      <c r="G1669" s="8"/>
      <c r="H1669" s="8"/>
      <c r="I1669" s="107">
        <v>0</v>
      </c>
      <c r="J1669" s="8" t="s">
        <v>4722</v>
      </c>
    </row>
    <row r="1670" spans="1:10" ht="16.5" customHeight="1" x14ac:dyDescent="0.25">
      <c r="A1670" s="8" t="s">
        <v>6729</v>
      </c>
      <c r="B1670" s="8" t="s">
        <v>6730</v>
      </c>
      <c r="C1670" s="8" t="s">
        <v>6731</v>
      </c>
      <c r="D1670" s="8" t="s">
        <v>6730</v>
      </c>
      <c r="E1670" s="105">
        <v>0</v>
      </c>
      <c r="F1670" s="106" t="s">
        <v>2024</v>
      </c>
      <c r="G1670" s="8"/>
      <c r="H1670" s="8"/>
      <c r="I1670" s="107">
        <v>0</v>
      </c>
      <c r="J1670" s="8" t="s">
        <v>4722</v>
      </c>
    </row>
    <row r="1671" spans="1:10" ht="16.5" customHeight="1" x14ac:dyDescent="0.25">
      <c r="A1671" s="8" t="s">
        <v>6732</v>
      </c>
      <c r="B1671" s="8" t="s">
        <v>6733</v>
      </c>
      <c r="C1671" s="8" t="s">
        <v>6734</v>
      </c>
      <c r="D1671" s="8" t="s">
        <v>6733</v>
      </c>
      <c r="E1671" s="105">
        <v>0</v>
      </c>
      <c r="F1671" s="106" t="s">
        <v>2024</v>
      </c>
      <c r="G1671" s="8"/>
      <c r="H1671" s="8"/>
      <c r="I1671" s="107">
        <v>0</v>
      </c>
      <c r="J1671" s="8" t="s">
        <v>4722</v>
      </c>
    </row>
    <row r="1672" spans="1:10" ht="16.5" customHeight="1" x14ac:dyDescent="0.25">
      <c r="A1672" s="8" t="s">
        <v>6735</v>
      </c>
      <c r="B1672" s="8" t="s">
        <v>6736</v>
      </c>
      <c r="C1672" s="8" t="s">
        <v>6737</v>
      </c>
      <c r="D1672" s="8" t="s">
        <v>6736</v>
      </c>
      <c r="E1672" s="105">
        <v>0</v>
      </c>
      <c r="F1672" s="106" t="s">
        <v>2024</v>
      </c>
      <c r="G1672" s="8"/>
      <c r="H1672" s="8"/>
      <c r="I1672" s="107">
        <v>0</v>
      </c>
      <c r="J1672" s="8" t="s">
        <v>4722</v>
      </c>
    </row>
    <row r="1673" spans="1:10" ht="16.5" customHeight="1" x14ac:dyDescent="0.25">
      <c r="A1673" s="8" t="s">
        <v>6738</v>
      </c>
      <c r="B1673" s="8" t="s">
        <v>6739</v>
      </c>
      <c r="C1673" s="8" t="s">
        <v>6740</v>
      </c>
      <c r="D1673" s="8" t="s">
        <v>6739</v>
      </c>
      <c r="E1673" s="105">
        <v>0</v>
      </c>
      <c r="F1673" s="106" t="s">
        <v>2024</v>
      </c>
      <c r="G1673" s="8"/>
      <c r="H1673" s="8"/>
      <c r="I1673" s="107">
        <v>0</v>
      </c>
      <c r="J1673" s="8" t="s">
        <v>4722</v>
      </c>
    </row>
    <row r="1674" spans="1:10" ht="16.5" customHeight="1" x14ac:dyDescent="0.25">
      <c r="A1674" s="8" t="s">
        <v>6741</v>
      </c>
      <c r="B1674" s="8" t="s">
        <v>6742</v>
      </c>
      <c r="C1674" s="8" t="s">
        <v>6743</v>
      </c>
      <c r="D1674" s="8" t="s">
        <v>6742</v>
      </c>
      <c r="E1674" s="105">
        <v>0</v>
      </c>
      <c r="F1674" s="106" t="s">
        <v>2024</v>
      </c>
      <c r="G1674" s="8"/>
      <c r="H1674" s="8"/>
      <c r="I1674" s="107">
        <v>0</v>
      </c>
      <c r="J1674" s="8" t="s">
        <v>4722</v>
      </c>
    </row>
    <row r="1675" spans="1:10" ht="16.5" customHeight="1" x14ac:dyDescent="0.25">
      <c r="A1675" s="8" t="s">
        <v>6744</v>
      </c>
      <c r="B1675" s="8" t="s">
        <v>6745</v>
      </c>
      <c r="C1675" s="8" t="s">
        <v>6746</v>
      </c>
      <c r="D1675" s="8" t="s">
        <v>6745</v>
      </c>
      <c r="E1675" s="105">
        <v>0</v>
      </c>
      <c r="F1675" s="106" t="s">
        <v>2024</v>
      </c>
      <c r="G1675" s="8"/>
      <c r="H1675" s="8"/>
      <c r="I1675" s="107">
        <v>0</v>
      </c>
      <c r="J1675" s="8" t="s">
        <v>4722</v>
      </c>
    </row>
    <row r="1676" spans="1:10" ht="16.5" customHeight="1" x14ac:dyDescent="0.25">
      <c r="A1676" s="8" t="s">
        <v>6747</v>
      </c>
      <c r="B1676" s="8" t="s">
        <v>6748</v>
      </c>
      <c r="C1676" s="8" t="s">
        <v>6749</v>
      </c>
      <c r="D1676" s="8" t="s">
        <v>6748</v>
      </c>
      <c r="E1676" s="105">
        <v>0</v>
      </c>
      <c r="F1676" s="106" t="s">
        <v>2024</v>
      </c>
      <c r="G1676" s="8"/>
      <c r="H1676" s="8"/>
      <c r="I1676" s="107">
        <v>0</v>
      </c>
      <c r="J1676" s="8" t="s">
        <v>4722</v>
      </c>
    </row>
    <row r="1677" spans="1:10" ht="16.5" customHeight="1" x14ac:dyDescent="0.25">
      <c r="A1677" s="8" t="s">
        <v>6750</v>
      </c>
      <c r="B1677" s="8" t="s">
        <v>6751</v>
      </c>
      <c r="C1677" s="8" t="s">
        <v>6752</v>
      </c>
      <c r="D1677" s="8" t="s">
        <v>6751</v>
      </c>
      <c r="E1677" s="105">
        <v>0</v>
      </c>
      <c r="F1677" s="106" t="s">
        <v>2024</v>
      </c>
      <c r="G1677" s="8"/>
      <c r="H1677" s="8"/>
      <c r="I1677" s="107">
        <v>0</v>
      </c>
      <c r="J1677" s="8" t="s">
        <v>4722</v>
      </c>
    </row>
    <row r="1678" spans="1:10" ht="16.5" customHeight="1" x14ac:dyDescent="0.25">
      <c r="A1678" s="8" t="s">
        <v>6753</v>
      </c>
      <c r="B1678" s="8" t="s">
        <v>6754</v>
      </c>
      <c r="C1678" s="8" t="s">
        <v>6755</v>
      </c>
      <c r="D1678" s="8" t="s">
        <v>6754</v>
      </c>
      <c r="E1678" s="105">
        <v>20</v>
      </c>
      <c r="F1678" s="106" t="s">
        <v>2024</v>
      </c>
      <c r="G1678" s="8"/>
      <c r="H1678" s="8"/>
      <c r="I1678" s="107">
        <v>0</v>
      </c>
      <c r="J1678" s="8"/>
    </row>
    <row r="1679" spans="1:10" ht="16.5" customHeight="1" x14ac:dyDescent="0.25">
      <c r="A1679" s="8" t="s">
        <v>6756</v>
      </c>
      <c r="B1679" s="8" t="s">
        <v>6757</v>
      </c>
      <c r="C1679" s="8" t="s">
        <v>6758</v>
      </c>
      <c r="D1679" s="8" t="s">
        <v>6757</v>
      </c>
      <c r="E1679" s="105">
        <v>1</v>
      </c>
      <c r="F1679" s="106" t="s">
        <v>2024</v>
      </c>
      <c r="G1679" s="8"/>
      <c r="H1679" s="8"/>
      <c r="I1679" s="107">
        <v>0</v>
      </c>
      <c r="J1679" s="8" t="s">
        <v>4722</v>
      </c>
    </row>
    <row r="1680" spans="1:10" ht="16.5" customHeight="1" x14ac:dyDescent="0.25">
      <c r="A1680" s="8" t="s">
        <v>6759</v>
      </c>
      <c r="B1680" s="8" t="s">
        <v>6760</v>
      </c>
      <c r="C1680" s="8" t="s">
        <v>6761</v>
      </c>
      <c r="D1680" s="8" t="s">
        <v>6760</v>
      </c>
      <c r="E1680" s="105">
        <v>19.2</v>
      </c>
      <c r="F1680" s="106" t="s">
        <v>2024</v>
      </c>
      <c r="G1680" s="8"/>
      <c r="H1680" s="8"/>
      <c r="I1680" s="107">
        <v>0</v>
      </c>
      <c r="J1680" s="8" t="s">
        <v>5929</v>
      </c>
    </row>
    <row r="1681" spans="1:10" ht="16.5" customHeight="1" x14ac:dyDescent="0.25">
      <c r="A1681" s="8" t="s">
        <v>6762</v>
      </c>
      <c r="B1681" s="8" t="s">
        <v>6763</v>
      </c>
      <c r="C1681" s="8" t="s">
        <v>6761</v>
      </c>
      <c r="D1681" s="8" t="s">
        <v>6763</v>
      </c>
      <c r="E1681" s="105">
        <v>4.8</v>
      </c>
      <c r="F1681" s="106" t="s">
        <v>2024</v>
      </c>
      <c r="G1681" s="8"/>
      <c r="H1681" s="8"/>
      <c r="I1681" s="107">
        <v>0</v>
      </c>
      <c r="J1681" s="8" t="s">
        <v>5929</v>
      </c>
    </row>
    <row r="1682" spans="1:10" ht="16.5" customHeight="1" x14ac:dyDescent="0.25">
      <c r="A1682" s="8" t="s">
        <v>6764</v>
      </c>
      <c r="B1682" s="8" t="s">
        <v>4127</v>
      </c>
      <c r="C1682" s="8" t="s">
        <v>6765</v>
      </c>
      <c r="D1682" s="8" t="s">
        <v>4127</v>
      </c>
      <c r="E1682" s="105">
        <v>20</v>
      </c>
      <c r="F1682" s="106" t="s">
        <v>2024</v>
      </c>
      <c r="G1682" s="8"/>
      <c r="H1682" s="8"/>
      <c r="I1682" s="107">
        <v>0</v>
      </c>
      <c r="J1682" s="8" t="s">
        <v>4722</v>
      </c>
    </row>
    <row r="1683" spans="1:10" ht="16.5" customHeight="1" x14ac:dyDescent="0.25">
      <c r="A1683" s="8" t="s">
        <v>6766</v>
      </c>
      <c r="B1683" s="8" t="s">
        <v>4130</v>
      </c>
      <c r="C1683" s="8" t="s">
        <v>6767</v>
      </c>
      <c r="D1683" s="8" t="s">
        <v>4130</v>
      </c>
      <c r="E1683" s="105">
        <v>20</v>
      </c>
      <c r="F1683" s="106" t="s">
        <v>2024</v>
      </c>
      <c r="G1683" s="8"/>
      <c r="H1683" s="8"/>
      <c r="I1683" s="107">
        <v>0</v>
      </c>
      <c r="J1683" s="8" t="s">
        <v>4722</v>
      </c>
    </row>
    <row r="1684" spans="1:10" ht="16.5" customHeight="1" x14ac:dyDescent="0.25">
      <c r="A1684" s="8" t="s">
        <v>6768</v>
      </c>
      <c r="B1684" s="8" t="s">
        <v>6769</v>
      </c>
      <c r="C1684" s="8" t="s">
        <v>6770</v>
      </c>
      <c r="D1684" s="8" t="s">
        <v>6769</v>
      </c>
      <c r="E1684" s="105">
        <v>0</v>
      </c>
      <c r="F1684" s="106" t="s">
        <v>2024</v>
      </c>
      <c r="G1684" s="8"/>
      <c r="H1684" s="8"/>
      <c r="I1684" s="107">
        <v>0</v>
      </c>
      <c r="J1684" s="8" t="s">
        <v>4722</v>
      </c>
    </row>
    <row r="1685" spans="1:10" ht="16.5" customHeight="1" x14ac:dyDescent="0.25">
      <c r="A1685" s="8" t="s">
        <v>6771</v>
      </c>
      <c r="B1685" s="8" t="s">
        <v>6772</v>
      </c>
      <c r="C1685" s="8" t="s">
        <v>6773</v>
      </c>
      <c r="D1685" s="8" t="s">
        <v>6772</v>
      </c>
      <c r="E1685" s="105">
        <v>0</v>
      </c>
      <c r="F1685" s="106" t="s">
        <v>2024</v>
      </c>
      <c r="G1685" s="8"/>
      <c r="H1685" s="8"/>
      <c r="I1685" s="107">
        <v>0</v>
      </c>
      <c r="J1685" s="8" t="s">
        <v>4722</v>
      </c>
    </row>
    <row r="1686" spans="1:10" ht="16.5" customHeight="1" x14ac:dyDescent="0.25">
      <c r="A1686" s="8" t="s">
        <v>6774</v>
      </c>
      <c r="B1686" s="8" t="s">
        <v>6775</v>
      </c>
      <c r="C1686" s="8" t="s">
        <v>6776</v>
      </c>
      <c r="D1686" s="8" t="s">
        <v>6775</v>
      </c>
      <c r="E1686" s="105">
        <v>25</v>
      </c>
      <c r="F1686" s="106" t="s">
        <v>2024</v>
      </c>
      <c r="G1686" s="8"/>
      <c r="H1686" s="8"/>
      <c r="I1686" s="107">
        <v>0</v>
      </c>
      <c r="J1686" s="8" t="s">
        <v>3580</v>
      </c>
    </row>
    <row r="1687" spans="1:10" ht="16.5" customHeight="1" x14ac:dyDescent="0.25">
      <c r="A1687" s="8" t="s">
        <v>6777</v>
      </c>
      <c r="B1687" s="8" t="s">
        <v>6778</v>
      </c>
      <c r="C1687" s="8" t="s">
        <v>6347</v>
      </c>
      <c r="D1687" s="8" t="s">
        <v>6778</v>
      </c>
      <c r="E1687" s="105">
        <v>25</v>
      </c>
      <c r="F1687" s="106" t="s">
        <v>2024</v>
      </c>
      <c r="G1687" s="8"/>
      <c r="H1687" s="8"/>
      <c r="I1687" s="107">
        <v>0</v>
      </c>
      <c r="J1687" s="8" t="s">
        <v>3580</v>
      </c>
    </row>
    <row r="1688" spans="1:10" ht="16.5" customHeight="1" x14ac:dyDescent="0.25">
      <c r="A1688" s="8" t="s">
        <v>6779</v>
      </c>
      <c r="B1688" s="8" t="s">
        <v>6696</v>
      </c>
      <c r="C1688" s="8" t="s">
        <v>6694</v>
      </c>
      <c r="D1688" s="8" t="s">
        <v>6696</v>
      </c>
      <c r="E1688" s="105">
        <v>0</v>
      </c>
      <c r="F1688" s="106" t="s">
        <v>2024</v>
      </c>
      <c r="G1688" s="8"/>
      <c r="H1688" s="8"/>
      <c r="I1688" s="107">
        <v>0</v>
      </c>
      <c r="J1688" s="8" t="s">
        <v>4722</v>
      </c>
    </row>
    <row r="1689" spans="1:10" ht="16.5" customHeight="1" x14ac:dyDescent="0.25">
      <c r="A1689" s="8" t="s">
        <v>6780</v>
      </c>
      <c r="B1689" s="8" t="s">
        <v>6781</v>
      </c>
      <c r="C1689" s="8" t="s">
        <v>6782</v>
      </c>
      <c r="D1689" s="8" t="s">
        <v>6781</v>
      </c>
      <c r="E1689" s="105">
        <v>40</v>
      </c>
      <c r="F1689" s="106" t="s">
        <v>2024</v>
      </c>
      <c r="G1689" s="8"/>
      <c r="H1689" s="8"/>
      <c r="I1689" s="107">
        <v>0</v>
      </c>
      <c r="J1689" s="8" t="s">
        <v>3580</v>
      </c>
    </row>
    <row r="1690" spans="1:10" ht="16.5" customHeight="1" x14ac:dyDescent="0.25">
      <c r="A1690" s="8" t="s">
        <v>6783</v>
      </c>
      <c r="B1690" s="8" t="s">
        <v>6784</v>
      </c>
      <c r="C1690" s="8" t="s">
        <v>6785</v>
      </c>
      <c r="D1690" s="8" t="s">
        <v>6784</v>
      </c>
      <c r="E1690" s="105">
        <v>25</v>
      </c>
      <c r="F1690" s="106" t="s">
        <v>2024</v>
      </c>
      <c r="G1690" s="8"/>
      <c r="H1690" s="8"/>
      <c r="I1690" s="107">
        <v>0</v>
      </c>
      <c r="J1690" s="8" t="s">
        <v>3580</v>
      </c>
    </row>
    <row r="1691" spans="1:10" ht="16.5" customHeight="1" x14ac:dyDescent="0.25">
      <c r="A1691" s="8" t="s">
        <v>6786</v>
      </c>
      <c r="B1691" s="8" t="s">
        <v>6787</v>
      </c>
      <c r="C1691" s="8" t="s">
        <v>6788</v>
      </c>
      <c r="D1691" s="8" t="s">
        <v>6787</v>
      </c>
      <c r="E1691" s="105">
        <v>25</v>
      </c>
      <c r="F1691" s="106" t="s">
        <v>2024</v>
      </c>
      <c r="G1691" s="8"/>
      <c r="H1691" s="8"/>
      <c r="I1691" s="107">
        <v>0</v>
      </c>
      <c r="J1691" s="8" t="s">
        <v>3580</v>
      </c>
    </row>
    <row r="1692" spans="1:10" ht="16.5" customHeight="1" x14ac:dyDescent="0.25">
      <c r="A1692" s="8" t="s">
        <v>6789</v>
      </c>
      <c r="B1692" s="8" t="s">
        <v>6790</v>
      </c>
      <c r="C1692" s="8" t="s">
        <v>6791</v>
      </c>
      <c r="D1692" s="8" t="s">
        <v>6790</v>
      </c>
      <c r="E1692" s="105">
        <v>600</v>
      </c>
      <c r="F1692" s="106" t="s">
        <v>2024</v>
      </c>
      <c r="G1692" s="8"/>
      <c r="H1692" s="8"/>
      <c r="I1692" s="107">
        <v>0</v>
      </c>
      <c r="J1692" s="8" t="s">
        <v>3695</v>
      </c>
    </row>
    <row r="1693" spans="1:10" ht="16.5" customHeight="1" x14ac:dyDescent="0.25">
      <c r="A1693" s="8" t="s">
        <v>6792</v>
      </c>
      <c r="B1693" s="8" t="s">
        <v>6793</v>
      </c>
      <c r="C1693" s="8" t="s">
        <v>6794</v>
      </c>
      <c r="D1693" s="8" t="s">
        <v>6793</v>
      </c>
      <c r="E1693" s="105">
        <v>0</v>
      </c>
      <c r="F1693" s="106" t="s">
        <v>2024</v>
      </c>
      <c r="G1693" s="8"/>
      <c r="H1693" s="8"/>
      <c r="I1693" s="107">
        <v>0</v>
      </c>
      <c r="J1693" s="8" t="s">
        <v>4722</v>
      </c>
    </row>
    <row r="1694" spans="1:10" ht="16.5" customHeight="1" x14ac:dyDescent="0.25">
      <c r="A1694" s="8" t="s">
        <v>6795</v>
      </c>
      <c r="B1694" s="8" t="s">
        <v>6796</v>
      </c>
      <c r="C1694" s="8" t="s">
        <v>6797</v>
      </c>
      <c r="D1694" s="8" t="s">
        <v>6796</v>
      </c>
      <c r="E1694" s="105">
        <v>0</v>
      </c>
      <c r="F1694" s="106" t="s">
        <v>2024</v>
      </c>
      <c r="G1694" s="8"/>
      <c r="H1694" s="8"/>
      <c r="I1694" s="107">
        <v>0</v>
      </c>
      <c r="J1694" s="8" t="s">
        <v>4722</v>
      </c>
    </row>
    <row r="1695" spans="1:10" ht="16.5" customHeight="1" x14ac:dyDescent="0.25">
      <c r="A1695" s="8" t="s">
        <v>6798</v>
      </c>
      <c r="B1695" s="8" t="s">
        <v>6799</v>
      </c>
      <c r="C1695" s="8" t="s">
        <v>6800</v>
      </c>
      <c r="D1695" s="8" t="s">
        <v>6799</v>
      </c>
      <c r="E1695" s="105">
        <v>2.4</v>
      </c>
      <c r="F1695" s="106" t="s">
        <v>2024</v>
      </c>
      <c r="G1695" s="8"/>
      <c r="H1695" s="8"/>
      <c r="I1695" s="107">
        <v>0</v>
      </c>
      <c r="J1695" s="8" t="s">
        <v>5671</v>
      </c>
    </row>
    <row r="1696" spans="1:10" ht="16.5" customHeight="1" x14ac:dyDescent="0.25">
      <c r="A1696" s="8" t="s">
        <v>6801</v>
      </c>
      <c r="B1696" s="8" t="s">
        <v>6802</v>
      </c>
      <c r="C1696" s="8" t="s">
        <v>6800</v>
      </c>
      <c r="D1696" s="8" t="s">
        <v>6802</v>
      </c>
      <c r="E1696" s="105">
        <v>0.2</v>
      </c>
      <c r="F1696" s="106" t="s">
        <v>2024</v>
      </c>
      <c r="G1696" s="8"/>
      <c r="H1696" s="8"/>
      <c r="I1696" s="107">
        <v>0</v>
      </c>
      <c r="J1696" s="8" t="s">
        <v>5671</v>
      </c>
    </row>
    <row r="1697" spans="1:10" ht="16.5" customHeight="1" x14ac:dyDescent="0.25">
      <c r="A1697" s="8" t="s">
        <v>6803</v>
      </c>
      <c r="B1697" s="8" t="s">
        <v>6804</v>
      </c>
      <c r="C1697" s="8" t="s">
        <v>6805</v>
      </c>
      <c r="D1697" s="8" t="s">
        <v>6804</v>
      </c>
      <c r="E1697" s="105">
        <v>2.4</v>
      </c>
      <c r="F1697" s="106" t="s">
        <v>2024</v>
      </c>
      <c r="G1697" s="8"/>
      <c r="H1697" s="8"/>
      <c r="I1697" s="107">
        <v>0</v>
      </c>
      <c r="J1697" s="8" t="s">
        <v>5671</v>
      </c>
    </row>
    <row r="1698" spans="1:10" ht="16.5" customHeight="1" x14ac:dyDescent="0.25">
      <c r="A1698" s="8" t="s">
        <v>6806</v>
      </c>
      <c r="B1698" s="8" t="s">
        <v>6807</v>
      </c>
      <c r="C1698" s="8" t="s">
        <v>6805</v>
      </c>
      <c r="D1698" s="8" t="s">
        <v>6807</v>
      </c>
      <c r="E1698" s="105">
        <v>0.4</v>
      </c>
      <c r="F1698" s="106" t="s">
        <v>2024</v>
      </c>
      <c r="G1698" s="8"/>
      <c r="H1698" s="8"/>
      <c r="I1698" s="107">
        <v>0</v>
      </c>
      <c r="J1698" s="8" t="s">
        <v>5671</v>
      </c>
    </row>
    <row r="1699" spans="1:10" ht="16.5" customHeight="1" x14ac:dyDescent="0.25">
      <c r="A1699" s="8" t="s">
        <v>6808</v>
      </c>
      <c r="B1699" s="8" t="s">
        <v>6809</v>
      </c>
      <c r="C1699" s="8" t="s">
        <v>6810</v>
      </c>
      <c r="D1699" s="8" t="s">
        <v>6809</v>
      </c>
      <c r="E1699" s="105">
        <v>2.4</v>
      </c>
      <c r="F1699" s="106" t="s">
        <v>2024</v>
      </c>
      <c r="G1699" s="8"/>
      <c r="H1699" s="8"/>
      <c r="I1699" s="107">
        <v>0</v>
      </c>
      <c r="J1699" s="8" t="s">
        <v>5671</v>
      </c>
    </row>
    <row r="1700" spans="1:10" ht="16.5" customHeight="1" x14ac:dyDescent="0.25">
      <c r="A1700" s="8" t="s">
        <v>6811</v>
      </c>
      <c r="B1700" s="8" t="s">
        <v>6812</v>
      </c>
      <c r="C1700" s="8" t="s">
        <v>6810</v>
      </c>
      <c r="D1700" s="8" t="s">
        <v>6812</v>
      </c>
      <c r="E1700" s="105">
        <v>0.2</v>
      </c>
      <c r="F1700" s="106" t="s">
        <v>2024</v>
      </c>
      <c r="G1700" s="8"/>
      <c r="H1700" s="8"/>
      <c r="I1700" s="107">
        <v>0</v>
      </c>
      <c r="J1700" s="8" t="s">
        <v>5671</v>
      </c>
    </row>
    <row r="1701" spans="1:10" ht="16.5" customHeight="1" x14ac:dyDescent="0.25">
      <c r="A1701" s="8" t="s">
        <v>6813</v>
      </c>
      <c r="B1701" s="8" t="s">
        <v>6814</v>
      </c>
      <c r="C1701" s="8" t="s">
        <v>6815</v>
      </c>
      <c r="D1701" s="8" t="s">
        <v>6814</v>
      </c>
      <c r="E1701" s="105">
        <v>2.4</v>
      </c>
      <c r="F1701" s="106" t="s">
        <v>2024</v>
      </c>
      <c r="G1701" s="8"/>
      <c r="H1701" s="8"/>
      <c r="I1701" s="107">
        <v>0</v>
      </c>
      <c r="J1701" s="8" t="s">
        <v>5671</v>
      </c>
    </row>
    <row r="1702" spans="1:10" ht="16.5" customHeight="1" x14ac:dyDescent="0.25">
      <c r="A1702" s="8" t="s">
        <v>6816</v>
      </c>
      <c r="B1702" s="8" t="s">
        <v>6817</v>
      </c>
      <c r="C1702" s="8" t="s">
        <v>6815</v>
      </c>
      <c r="D1702" s="8" t="s">
        <v>6817</v>
      </c>
      <c r="E1702" s="105">
        <v>0.4</v>
      </c>
      <c r="F1702" s="106" t="s">
        <v>2024</v>
      </c>
      <c r="G1702" s="8"/>
      <c r="H1702" s="8"/>
      <c r="I1702" s="107">
        <v>0</v>
      </c>
      <c r="J1702" s="8" t="s">
        <v>5671</v>
      </c>
    </row>
    <row r="1703" spans="1:10" ht="16.5" customHeight="1" x14ac:dyDescent="0.25">
      <c r="A1703" s="8" t="s">
        <v>6818</v>
      </c>
      <c r="B1703" s="8" t="s">
        <v>6819</v>
      </c>
      <c r="C1703" s="8" t="s">
        <v>6820</v>
      </c>
      <c r="D1703" s="8" t="s">
        <v>6819</v>
      </c>
      <c r="E1703" s="105">
        <v>3</v>
      </c>
      <c r="F1703" s="106" t="s">
        <v>2024</v>
      </c>
      <c r="G1703" s="8"/>
      <c r="H1703" s="8"/>
      <c r="I1703" s="107">
        <v>0</v>
      </c>
      <c r="J1703" s="8" t="s">
        <v>5671</v>
      </c>
    </row>
    <row r="1704" spans="1:10" ht="16.5" customHeight="1" x14ac:dyDescent="0.25">
      <c r="A1704" s="8" t="s">
        <v>6821</v>
      </c>
      <c r="B1704" s="8" t="s">
        <v>6822</v>
      </c>
      <c r="C1704" s="8" t="s">
        <v>6820</v>
      </c>
      <c r="D1704" s="8" t="s">
        <v>6822</v>
      </c>
      <c r="E1704" s="105">
        <v>0.25</v>
      </c>
      <c r="F1704" s="106" t="s">
        <v>2024</v>
      </c>
      <c r="G1704" s="8"/>
      <c r="H1704" s="8"/>
      <c r="I1704" s="107">
        <v>0</v>
      </c>
      <c r="J1704" s="8" t="s">
        <v>5671</v>
      </c>
    </row>
    <row r="1705" spans="1:10" ht="16.5" customHeight="1" x14ac:dyDescent="0.25">
      <c r="A1705" s="8" t="s">
        <v>4120</v>
      </c>
      <c r="B1705" s="8" t="s">
        <v>6823</v>
      </c>
      <c r="C1705" s="8" t="s">
        <v>990</v>
      </c>
      <c r="D1705" s="8" t="s">
        <v>6823</v>
      </c>
      <c r="E1705" s="105">
        <v>0.91</v>
      </c>
      <c r="F1705" s="106" t="s">
        <v>2018</v>
      </c>
      <c r="G1705" s="8"/>
      <c r="H1705" s="8"/>
      <c r="I1705" s="107">
        <v>0</v>
      </c>
      <c r="J1705" s="8" t="s">
        <v>2019</v>
      </c>
    </row>
    <row r="1706" spans="1:10" ht="16.5" customHeight="1" x14ac:dyDescent="0.25">
      <c r="A1706" s="8" t="s">
        <v>6824</v>
      </c>
      <c r="B1706" s="8" t="s">
        <v>5673</v>
      </c>
      <c r="C1706" s="8" t="s">
        <v>6825</v>
      </c>
      <c r="D1706" s="8" t="s">
        <v>5673</v>
      </c>
      <c r="E1706" s="105">
        <v>1</v>
      </c>
      <c r="F1706" s="106" t="s">
        <v>2024</v>
      </c>
      <c r="G1706" s="8"/>
      <c r="H1706" s="8"/>
      <c r="I1706" s="107">
        <v>0</v>
      </c>
      <c r="J1706" s="8" t="s">
        <v>4722</v>
      </c>
    </row>
    <row r="1707" spans="1:10" ht="16.5" customHeight="1" x14ac:dyDescent="0.25">
      <c r="A1707" s="8" t="s">
        <v>6826</v>
      </c>
      <c r="B1707" s="8" t="s">
        <v>6827</v>
      </c>
      <c r="C1707" s="8" t="s">
        <v>6828</v>
      </c>
      <c r="D1707" s="8" t="s">
        <v>6827</v>
      </c>
      <c r="E1707" s="105">
        <v>0.24</v>
      </c>
      <c r="F1707" s="106" t="s">
        <v>2024</v>
      </c>
      <c r="G1707" s="8"/>
      <c r="H1707" s="8"/>
      <c r="I1707" s="107">
        <v>0</v>
      </c>
      <c r="J1707" s="8" t="s">
        <v>4722</v>
      </c>
    </row>
    <row r="1708" spans="1:10" ht="16.5" customHeight="1" x14ac:dyDescent="0.25">
      <c r="A1708" s="8" t="s">
        <v>6829</v>
      </c>
      <c r="B1708" s="8" t="s">
        <v>6107</v>
      </c>
      <c r="C1708" s="8" t="s">
        <v>5989</v>
      </c>
      <c r="D1708" s="8" t="s">
        <v>6107</v>
      </c>
      <c r="E1708" s="105">
        <v>0.05</v>
      </c>
      <c r="F1708" s="106" t="s">
        <v>2024</v>
      </c>
      <c r="G1708" s="8"/>
      <c r="H1708" s="8"/>
      <c r="I1708" s="107">
        <v>0</v>
      </c>
      <c r="J1708" s="8" t="s">
        <v>4722</v>
      </c>
    </row>
    <row r="1709" spans="1:10" ht="16.5" customHeight="1" x14ac:dyDescent="0.25">
      <c r="A1709" s="8" t="s">
        <v>6830</v>
      </c>
      <c r="B1709" s="8" t="s">
        <v>6831</v>
      </c>
      <c r="C1709" s="8" t="s">
        <v>5938</v>
      </c>
      <c r="D1709" s="8" t="s">
        <v>6831</v>
      </c>
      <c r="E1709" s="105">
        <v>0.56000000000000005</v>
      </c>
      <c r="F1709" s="106" t="s">
        <v>2024</v>
      </c>
      <c r="G1709" s="8"/>
      <c r="H1709" s="8"/>
      <c r="I1709" s="107">
        <v>0</v>
      </c>
      <c r="J1709" s="8" t="s">
        <v>4722</v>
      </c>
    </row>
    <row r="1710" spans="1:10" ht="16.5" customHeight="1" x14ac:dyDescent="0.25">
      <c r="A1710" s="8" t="s">
        <v>6832</v>
      </c>
      <c r="B1710" s="8" t="s">
        <v>6833</v>
      </c>
      <c r="C1710" s="8" t="s">
        <v>6834</v>
      </c>
      <c r="D1710" s="8" t="s">
        <v>6833</v>
      </c>
      <c r="E1710" s="105">
        <v>25</v>
      </c>
      <c r="F1710" s="106" t="s">
        <v>2024</v>
      </c>
      <c r="G1710" s="8"/>
      <c r="H1710" s="8"/>
      <c r="I1710" s="107">
        <v>0</v>
      </c>
      <c r="J1710" s="8" t="s">
        <v>2019</v>
      </c>
    </row>
    <row r="1711" spans="1:10" ht="16.5" customHeight="1" x14ac:dyDescent="0.25">
      <c r="A1711" s="8" t="s">
        <v>6835</v>
      </c>
      <c r="B1711" s="8" t="s">
        <v>6836</v>
      </c>
      <c r="C1711" s="8" t="s">
        <v>6837</v>
      </c>
      <c r="D1711" s="8" t="s">
        <v>6836</v>
      </c>
      <c r="E1711" s="105">
        <v>0</v>
      </c>
      <c r="F1711" s="106" t="s">
        <v>2024</v>
      </c>
      <c r="G1711" s="8"/>
      <c r="H1711" s="8"/>
      <c r="I1711" s="107">
        <v>0</v>
      </c>
      <c r="J1711" s="8" t="s">
        <v>4722</v>
      </c>
    </row>
    <row r="1712" spans="1:10" ht="16.5" customHeight="1" x14ac:dyDescent="0.25">
      <c r="A1712" s="8" t="s">
        <v>6838</v>
      </c>
      <c r="B1712" s="8" t="s">
        <v>5604</v>
      </c>
      <c r="C1712" s="8" t="s">
        <v>5605</v>
      </c>
      <c r="D1712" s="8" t="s">
        <v>5604</v>
      </c>
      <c r="E1712" s="105">
        <v>0</v>
      </c>
      <c r="F1712" s="106" t="s">
        <v>2018</v>
      </c>
      <c r="G1712" s="8"/>
      <c r="H1712" s="8"/>
      <c r="I1712" s="107">
        <v>0</v>
      </c>
      <c r="J1712" s="8" t="s">
        <v>4722</v>
      </c>
    </row>
    <row r="1713" spans="1:10" ht="16.5" customHeight="1" x14ac:dyDescent="0.25">
      <c r="A1713" s="8" t="s">
        <v>6839</v>
      </c>
      <c r="B1713" s="8" t="s">
        <v>5629</v>
      </c>
      <c r="C1713" s="8" t="s">
        <v>5630</v>
      </c>
      <c r="D1713" s="8" t="s">
        <v>5629</v>
      </c>
      <c r="E1713" s="105">
        <v>0</v>
      </c>
      <c r="F1713" s="106" t="s">
        <v>2024</v>
      </c>
      <c r="G1713" s="8"/>
      <c r="H1713" s="8"/>
      <c r="I1713" s="107">
        <v>0</v>
      </c>
      <c r="J1713" s="8" t="s">
        <v>4722</v>
      </c>
    </row>
    <row r="1714" spans="1:10" ht="16.5" customHeight="1" x14ac:dyDescent="0.25">
      <c r="A1714" s="8" t="s">
        <v>6840</v>
      </c>
      <c r="B1714" s="8" t="s">
        <v>5346</v>
      </c>
      <c r="C1714" s="8" t="s">
        <v>5347</v>
      </c>
      <c r="D1714" s="8" t="s">
        <v>5346</v>
      </c>
      <c r="E1714" s="105">
        <v>0</v>
      </c>
      <c r="F1714" s="106" t="s">
        <v>2024</v>
      </c>
      <c r="G1714" s="8"/>
      <c r="H1714" s="8"/>
      <c r="I1714" s="107">
        <v>0</v>
      </c>
      <c r="J1714" s="8" t="s">
        <v>4722</v>
      </c>
    </row>
    <row r="1715" spans="1:10" ht="16.5" customHeight="1" x14ac:dyDescent="0.25">
      <c r="A1715" s="8" t="s">
        <v>6841</v>
      </c>
      <c r="B1715" s="8" t="s">
        <v>6190</v>
      </c>
      <c r="C1715" s="8" t="s">
        <v>6191</v>
      </c>
      <c r="D1715" s="8" t="s">
        <v>6190</v>
      </c>
      <c r="E1715" s="105">
        <v>0</v>
      </c>
      <c r="F1715" s="106" t="s">
        <v>2024</v>
      </c>
      <c r="G1715" s="8"/>
      <c r="H1715" s="8"/>
      <c r="I1715" s="107">
        <v>0</v>
      </c>
      <c r="J1715" s="8" t="s">
        <v>4722</v>
      </c>
    </row>
    <row r="1716" spans="1:10" ht="16.5" customHeight="1" x14ac:dyDescent="0.25">
      <c r="A1716" s="8" t="s">
        <v>6842</v>
      </c>
      <c r="B1716" s="8" t="s">
        <v>6843</v>
      </c>
      <c r="C1716" s="8" t="s">
        <v>6844</v>
      </c>
      <c r="D1716" s="8" t="s">
        <v>6843</v>
      </c>
      <c r="E1716" s="105">
        <v>0</v>
      </c>
      <c r="F1716" s="106" t="s">
        <v>2024</v>
      </c>
      <c r="G1716" s="8"/>
      <c r="H1716" s="8"/>
      <c r="I1716" s="107">
        <v>0</v>
      </c>
      <c r="J1716" s="8" t="s">
        <v>4722</v>
      </c>
    </row>
    <row r="1717" spans="1:10" ht="16.5" customHeight="1" x14ac:dyDescent="0.25">
      <c r="A1717" s="8" t="s">
        <v>6845</v>
      </c>
      <c r="B1717" s="8" t="s">
        <v>6211</v>
      </c>
      <c r="C1717" s="8" t="s">
        <v>6212</v>
      </c>
      <c r="D1717" s="8" t="s">
        <v>6211</v>
      </c>
      <c r="E1717" s="105">
        <v>0</v>
      </c>
      <c r="F1717" s="106" t="s">
        <v>2024</v>
      </c>
      <c r="G1717" s="8"/>
      <c r="H1717" s="8"/>
      <c r="I1717" s="107">
        <v>0</v>
      </c>
      <c r="J1717" s="8" t="s">
        <v>4722</v>
      </c>
    </row>
    <row r="1718" spans="1:10" ht="16.5" customHeight="1" x14ac:dyDescent="0.25">
      <c r="A1718" s="8" t="s">
        <v>6846</v>
      </c>
      <c r="B1718" s="8" t="s">
        <v>6164</v>
      </c>
      <c r="C1718" s="8" t="s">
        <v>6165</v>
      </c>
      <c r="D1718" s="8" t="s">
        <v>6164</v>
      </c>
      <c r="E1718" s="105">
        <v>0</v>
      </c>
      <c r="F1718" s="106" t="s">
        <v>2024</v>
      </c>
      <c r="G1718" s="8"/>
      <c r="H1718" s="8"/>
      <c r="I1718" s="107">
        <v>0</v>
      </c>
      <c r="J1718" s="8" t="s">
        <v>4722</v>
      </c>
    </row>
    <row r="1719" spans="1:10" ht="16.5" customHeight="1" x14ac:dyDescent="0.25">
      <c r="A1719" s="8" t="s">
        <v>6847</v>
      </c>
      <c r="B1719" s="8" t="s">
        <v>5821</v>
      </c>
      <c r="C1719" s="8" t="s">
        <v>5822</v>
      </c>
      <c r="D1719" s="8" t="s">
        <v>5821</v>
      </c>
      <c r="E1719" s="105">
        <v>0</v>
      </c>
      <c r="F1719" s="106" t="s">
        <v>2024</v>
      </c>
      <c r="G1719" s="8"/>
      <c r="H1719" s="8"/>
      <c r="I1719" s="107">
        <v>0</v>
      </c>
      <c r="J1719" s="8" t="s">
        <v>4722</v>
      </c>
    </row>
    <row r="1720" spans="1:10" ht="16.5" customHeight="1" x14ac:dyDescent="0.25">
      <c r="A1720" s="8" t="s">
        <v>6848</v>
      </c>
      <c r="B1720" s="8" t="s">
        <v>6849</v>
      </c>
      <c r="C1720" s="8" t="s">
        <v>6850</v>
      </c>
      <c r="D1720" s="8" t="s">
        <v>6849</v>
      </c>
      <c r="E1720" s="105">
        <v>4.2999999999999997E-2</v>
      </c>
      <c r="F1720" s="106" t="s">
        <v>2024</v>
      </c>
      <c r="G1720" s="8"/>
      <c r="H1720" s="8"/>
      <c r="I1720" s="107">
        <v>0</v>
      </c>
      <c r="J1720" s="8" t="s">
        <v>4789</v>
      </c>
    </row>
    <row r="1721" spans="1:10" ht="16.5" customHeight="1" x14ac:dyDescent="0.25">
      <c r="A1721" s="8" t="s">
        <v>6851</v>
      </c>
      <c r="B1721" s="8" t="s">
        <v>6852</v>
      </c>
      <c r="C1721" s="8" t="s">
        <v>6853</v>
      </c>
      <c r="D1721" s="8" t="s">
        <v>6852</v>
      </c>
      <c r="E1721" s="105">
        <v>0.31</v>
      </c>
      <c r="F1721" s="106" t="s">
        <v>2024</v>
      </c>
      <c r="G1721" s="8"/>
      <c r="H1721" s="8"/>
      <c r="I1721" s="107">
        <v>0</v>
      </c>
      <c r="J1721" s="8" t="s">
        <v>5779</v>
      </c>
    </row>
    <row r="1722" spans="1:10" ht="16.5" customHeight="1" x14ac:dyDescent="0.25">
      <c r="A1722" s="8" t="s">
        <v>6854</v>
      </c>
      <c r="B1722" s="8" t="s">
        <v>6855</v>
      </c>
      <c r="C1722" s="8" t="s">
        <v>6856</v>
      </c>
      <c r="D1722" s="8" t="s">
        <v>6855</v>
      </c>
      <c r="E1722" s="105">
        <v>0</v>
      </c>
      <c r="F1722" s="106" t="s">
        <v>2024</v>
      </c>
      <c r="G1722" s="8"/>
      <c r="H1722" s="8"/>
      <c r="I1722" s="107">
        <v>0</v>
      </c>
      <c r="J1722" s="8" t="s">
        <v>4722</v>
      </c>
    </row>
    <row r="1723" spans="1:10" ht="16.5" customHeight="1" x14ac:dyDescent="0.25">
      <c r="A1723" s="8" t="s">
        <v>6857</v>
      </c>
      <c r="B1723" s="8" t="s">
        <v>6858</v>
      </c>
      <c r="C1723" s="8" t="s">
        <v>6859</v>
      </c>
      <c r="D1723" s="8" t="s">
        <v>6858</v>
      </c>
      <c r="E1723" s="105">
        <v>1</v>
      </c>
      <c r="F1723" s="106" t="s">
        <v>2024</v>
      </c>
      <c r="G1723" s="8"/>
      <c r="H1723" s="8"/>
      <c r="I1723" s="107">
        <v>0</v>
      </c>
      <c r="J1723" s="8" t="s">
        <v>3695</v>
      </c>
    </row>
    <row r="1724" spans="1:10" ht="16.5" customHeight="1" x14ac:dyDescent="0.25">
      <c r="A1724" s="8" t="s">
        <v>1391</v>
      </c>
      <c r="B1724" s="8" t="s">
        <v>1393</v>
      </c>
      <c r="C1724" s="8" t="s">
        <v>1392</v>
      </c>
      <c r="D1724" s="8" t="s">
        <v>1393</v>
      </c>
      <c r="E1724" s="105">
        <v>25</v>
      </c>
      <c r="F1724" s="106" t="s">
        <v>2018</v>
      </c>
      <c r="G1724" s="8"/>
      <c r="H1724" s="8"/>
      <c r="I1724" s="107">
        <v>0</v>
      </c>
      <c r="J1724" s="8" t="s">
        <v>2019</v>
      </c>
    </row>
    <row r="1725" spans="1:10" ht="16.5" customHeight="1" x14ac:dyDescent="0.25">
      <c r="A1725" s="8" t="s">
        <v>6860</v>
      </c>
      <c r="B1725" s="8" t="s">
        <v>6861</v>
      </c>
      <c r="C1725" s="8" t="s">
        <v>6862</v>
      </c>
      <c r="D1725" s="8" t="s">
        <v>6861</v>
      </c>
      <c r="E1725" s="105">
        <v>20</v>
      </c>
      <c r="F1725" s="106" t="s">
        <v>2024</v>
      </c>
      <c r="G1725" s="8"/>
      <c r="H1725" s="8"/>
      <c r="I1725" s="107">
        <v>0</v>
      </c>
      <c r="J1725" s="8" t="s">
        <v>4722</v>
      </c>
    </row>
    <row r="1726" spans="1:10" ht="16.5" customHeight="1" x14ac:dyDescent="0.25">
      <c r="A1726" s="8" t="s">
        <v>6863</v>
      </c>
      <c r="B1726" s="8" t="s">
        <v>6086</v>
      </c>
      <c r="C1726" s="8" t="s">
        <v>5964</v>
      </c>
      <c r="D1726" s="8" t="s">
        <v>6086</v>
      </c>
      <c r="E1726" s="105">
        <v>0</v>
      </c>
      <c r="F1726" s="106" t="s">
        <v>2024</v>
      </c>
      <c r="G1726" s="8"/>
      <c r="H1726" s="8"/>
      <c r="I1726" s="107">
        <v>0</v>
      </c>
      <c r="J1726" s="8" t="s">
        <v>4722</v>
      </c>
    </row>
    <row r="1727" spans="1:10" ht="16.5" customHeight="1" x14ac:dyDescent="0.25">
      <c r="A1727" s="8" t="s">
        <v>6864</v>
      </c>
      <c r="B1727" s="8" t="s">
        <v>6865</v>
      </c>
      <c r="C1727" s="8" t="s">
        <v>6866</v>
      </c>
      <c r="D1727" s="8" t="s">
        <v>6865</v>
      </c>
      <c r="E1727" s="105">
        <v>10.199999999999999</v>
      </c>
      <c r="F1727" s="106" t="s">
        <v>2024</v>
      </c>
      <c r="G1727" s="8"/>
      <c r="H1727" s="8"/>
      <c r="I1727" s="107">
        <v>0</v>
      </c>
      <c r="J1727" s="8" t="s">
        <v>5929</v>
      </c>
    </row>
    <row r="1728" spans="1:10" ht="16.5" customHeight="1" x14ac:dyDescent="0.25">
      <c r="A1728" s="8" t="s">
        <v>6867</v>
      </c>
      <c r="B1728" s="8" t="s">
        <v>6868</v>
      </c>
      <c r="C1728" s="8" t="s">
        <v>6869</v>
      </c>
      <c r="D1728" s="8" t="s">
        <v>6868</v>
      </c>
      <c r="E1728" s="105">
        <v>1.02</v>
      </c>
      <c r="F1728" s="106" t="s">
        <v>2024</v>
      </c>
      <c r="G1728" s="8"/>
      <c r="H1728" s="8"/>
      <c r="I1728" s="107">
        <v>0</v>
      </c>
      <c r="J1728" s="8" t="s">
        <v>5929</v>
      </c>
    </row>
    <row r="1729" spans="1:10" ht="16.5" customHeight="1" x14ac:dyDescent="0.25">
      <c r="A1729" s="8" t="s">
        <v>6870</v>
      </c>
      <c r="B1729" s="8" t="s">
        <v>6871</v>
      </c>
      <c r="C1729" s="8" t="s">
        <v>6872</v>
      </c>
      <c r="D1729" s="8" t="s">
        <v>6871</v>
      </c>
      <c r="E1729" s="105">
        <v>11.1</v>
      </c>
      <c r="F1729" s="106" t="s">
        <v>2024</v>
      </c>
      <c r="G1729" s="8"/>
      <c r="H1729" s="8"/>
      <c r="I1729" s="107">
        <v>0</v>
      </c>
      <c r="J1729" s="8" t="s">
        <v>5929</v>
      </c>
    </row>
    <row r="1730" spans="1:10" ht="16.5" customHeight="1" x14ac:dyDescent="0.25">
      <c r="A1730" s="8" t="s">
        <v>6873</v>
      </c>
      <c r="B1730" s="8" t="s">
        <v>6874</v>
      </c>
      <c r="C1730" s="8" t="s">
        <v>6875</v>
      </c>
      <c r="D1730" s="8" t="s">
        <v>6874</v>
      </c>
      <c r="E1730" s="105">
        <v>1.1100000000000001</v>
      </c>
      <c r="F1730" s="106" t="s">
        <v>2024</v>
      </c>
      <c r="G1730" s="8"/>
      <c r="H1730" s="8"/>
      <c r="I1730" s="107">
        <v>0</v>
      </c>
      <c r="J1730" s="8" t="s">
        <v>5929</v>
      </c>
    </row>
    <row r="1731" spans="1:10" ht="16.5" customHeight="1" x14ac:dyDescent="0.25">
      <c r="A1731" s="8" t="s">
        <v>6876</v>
      </c>
      <c r="B1731" s="8" t="s">
        <v>6877</v>
      </c>
      <c r="C1731" s="8" t="s">
        <v>1686</v>
      </c>
      <c r="D1731" s="8" t="s">
        <v>6877</v>
      </c>
      <c r="E1731" s="105">
        <v>12</v>
      </c>
      <c r="F1731" s="106" t="s">
        <v>2024</v>
      </c>
      <c r="G1731" s="8" t="s">
        <v>1541</v>
      </c>
      <c r="H1731" s="8" t="s">
        <v>6878</v>
      </c>
      <c r="I1731" s="107">
        <v>6</v>
      </c>
      <c r="J1731" s="8" t="s">
        <v>5929</v>
      </c>
    </row>
    <row r="1732" spans="1:10" ht="16.5" customHeight="1" x14ac:dyDescent="0.25">
      <c r="A1732" s="8" t="s">
        <v>6878</v>
      </c>
      <c r="B1732" s="8" t="s">
        <v>6879</v>
      </c>
      <c r="C1732" s="8" t="s">
        <v>6880</v>
      </c>
      <c r="D1732" s="8" t="s">
        <v>6879</v>
      </c>
      <c r="E1732" s="105">
        <v>2</v>
      </c>
      <c r="F1732" s="106" t="s">
        <v>2024</v>
      </c>
      <c r="G1732" s="8" t="s">
        <v>1541</v>
      </c>
      <c r="H1732" s="8"/>
      <c r="I1732" s="107">
        <v>0</v>
      </c>
      <c r="J1732" s="8" t="s">
        <v>5929</v>
      </c>
    </row>
    <row r="1733" spans="1:10" ht="16.5" customHeight="1" x14ac:dyDescent="0.25">
      <c r="A1733" s="8" t="s">
        <v>6881</v>
      </c>
      <c r="B1733" s="8" t="s">
        <v>6882</v>
      </c>
      <c r="C1733" s="8" t="s">
        <v>6883</v>
      </c>
      <c r="D1733" s="8" t="s">
        <v>6882</v>
      </c>
      <c r="E1733" s="105">
        <v>7.5365000000000002</v>
      </c>
      <c r="F1733" s="106" t="s">
        <v>2024</v>
      </c>
      <c r="G1733" s="8" t="s">
        <v>1541</v>
      </c>
      <c r="H1733" s="8" t="s">
        <v>6075</v>
      </c>
      <c r="I1733" s="107">
        <v>24</v>
      </c>
      <c r="J1733" s="8" t="s">
        <v>5929</v>
      </c>
    </row>
    <row r="1734" spans="1:10" ht="16.5" customHeight="1" x14ac:dyDescent="0.25">
      <c r="A1734" s="8" t="s">
        <v>6884</v>
      </c>
      <c r="B1734" s="8" t="s">
        <v>6885</v>
      </c>
      <c r="C1734" s="8" t="s">
        <v>6886</v>
      </c>
      <c r="D1734" s="8" t="s">
        <v>6885</v>
      </c>
      <c r="E1734" s="105">
        <v>13.458</v>
      </c>
      <c r="F1734" s="106" t="s">
        <v>2024</v>
      </c>
      <c r="G1734" s="8" t="s">
        <v>1541</v>
      </c>
      <c r="H1734" s="8" t="s">
        <v>6073</v>
      </c>
      <c r="I1734" s="107">
        <v>24</v>
      </c>
      <c r="J1734" s="8" t="s">
        <v>5929</v>
      </c>
    </row>
    <row r="1735" spans="1:10" ht="16.5" customHeight="1" x14ac:dyDescent="0.25">
      <c r="A1735" s="8" t="s">
        <v>6887</v>
      </c>
      <c r="B1735" s="8" t="s">
        <v>6888</v>
      </c>
      <c r="C1735" s="8" t="s">
        <v>6889</v>
      </c>
      <c r="D1735" s="8" t="s">
        <v>6888</v>
      </c>
      <c r="E1735" s="105">
        <v>0</v>
      </c>
      <c r="F1735" s="106" t="s">
        <v>2024</v>
      </c>
      <c r="G1735" s="8"/>
      <c r="H1735" s="8"/>
      <c r="I1735" s="107">
        <v>0</v>
      </c>
      <c r="J1735" s="8" t="s">
        <v>4722</v>
      </c>
    </row>
    <row r="1736" spans="1:10" ht="16.5" customHeight="1" x14ac:dyDescent="0.25">
      <c r="A1736" s="8" t="s">
        <v>6890</v>
      </c>
      <c r="B1736" s="8" t="s">
        <v>6891</v>
      </c>
      <c r="C1736" s="8" t="s">
        <v>6892</v>
      </c>
      <c r="D1736" s="8" t="s">
        <v>6891</v>
      </c>
      <c r="E1736" s="105">
        <v>0</v>
      </c>
      <c r="F1736" s="106" t="s">
        <v>2024</v>
      </c>
      <c r="G1736" s="8"/>
      <c r="H1736" s="8"/>
      <c r="I1736" s="107">
        <v>0</v>
      </c>
      <c r="J1736" s="8" t="s">
        <v>4789</v>
      </c>
    </row>
    <row r="1737" spans="1:10" ht="16.5" customHeight="1" x14ac:dyDescent="0.25">
      <c r="A1737" s="8" t="s">
        <v>6893</v>
      </c>
      <c r="B1737" s="8" t="s">
        <v>6894</v>
      </c>
      <c r="C1737" s="8" t="s">
        <v>6895</v>
      </c>
      <c r="D1737" s="8" t="s">
        <v>6894</v>
      </c>
      <c r="E1737" s="105">
        <v>6.83</v>
      </c>
      <c r="F1737" s="106" t="s">
        <v>2018</v>
      </c>
      <c r="G1737" s="8"/>
      <c r="H1737" s="8" t="s">
        <v>6896</v>
      </c>
      <c r="I1737" s="107">
        <v>30</v>
      </c>
      <c r="J1737" s="8" t="s">
        <v>2019</v>
      </c>
    </row>
    <row r="1738" spans="1:10" ht="16.5" customHeight="1" x14ac:dyDescent="0.25">
      <c r="A1738" s="8" t="s">
        <v>6897</v>
      </c>
      <c r="B1738" s="8" t="s">
        <v>6898</v>
      </c>
      <c r="C1738" s="8" t="s">
        <v>6899</v>
      </c>
      <c r="D1738" s="8" t="s">
        <v>6898</v>
      </c>
      <c r="E1738" s="105">
        <v>7.28</v>
      </c>
      <c r="F1738" s="106" t="s">
        <v>2024</v>
      </c>
      <c r="G1738" s="8"/>
      <c r="H1738" s="8"/>
      <c r="I1738" s="107">
        <v>0</v>
      </c>
      <c r="J1738" s="8" t="s">
        <v>2019</v>
      </c>
    </row>
    <row r="1739" spans="1:10" ht="16.5" customHeight="1" x14ac:dyDescent="0.25">
      <c r="A1739" s="8" t="s">
        <v>946</v>
      </c>
      <c r="B1739" s="8" t="s">
        <v>948</v>
      </c>
      <c r="C1739" s="8" t="s">
        <v>947</v>
      </c>
      <c r="D1739" s="8" t="s">
        <v>948</v>
      </c>
      <c r="E1739" s="105">
        <v>10.92</v>
      </c>
      <c r="F1739" s="106" t="s">
        <v>2018</v>
      </c>
      <c r="G1739" s="8"/>
      <c r="H1739" s="8" t="s">
        <v>6900</v>
      </c>
      <c r="I1739" s="107">
        <v>12</v>
      </c>
      <c r="J1739" s="8" t="s">
        <v>2019</v>
      </c>
    </row>
    <row r="1740" spans="1:10" ht="16.5" customHeight="1" x14ac:dyDescent="0.25">
      <c r="A1740" s="8" t="s">
        <v>1124</v>
      </c>
      <c r="B1740" s="8" t="s">
        <v>1126</v>
      </c>
      <c r="C1740" s="8" t="s">
        <v>1125</v>
      </c>
      <c r="D1740" s="8" t="s">
        <v>1126</v>
      </c>
      <c r="E1740" s="105">
        <v>10.92</v>
      </c>
      <c r="F1740" s="106" t="s">
        <v>2018</v>
      </c>
      <c r="G1740" s="8"/>
      <c r="H1740" s="8" t="s">
        <v>6901</v>
      </c>
      <c r="I1740" s="107">
        <v>6</v>
      </c>
      <c r="J1740" s="8" t="s">
        <v>2019</v>
      </c>
    </row>
    <row r="1741" spans="1:10" ht="16.5" customHeight="1" x14ac:dyDescent="0.25">
      <c r="A1741" s="8" t="s">
        <v>1067</v>
      </c>
      <c r="B1741" s="8" t="s">
        <v>1069</v>
      </c>
      <c r="C1741" s="8" t="s">
        <v>1068</v>
      </c>
      <c r="D1741" s="8" t="s">
        <v>1069</v>
      </c>
      <c r="E1741" s="105">
        <v>18.2</v>
      </c>
      <c r="F1741" s="106" t="s">
        <v>2018</v>
      </c>
      <c r="G1741" s="8"/>
      <c r="H1741" s="8" t="s">
        <v>6902</v>
      </c>
      <c r="I1741" s="107">
        <v>4</v>
      </c>
      <c r="J1741" s="8" t="s">
        <v>2019</v>
      </c>
    </row>
    <row r="1742" spans="1:10" ht="16.5" customHeight="1" x14ac:dyDescent="0.25">
      <c r="A1742" s="8" t="s">
        <v>6903</v>
      </c>
      <c r="B1742" s="8" t="s">
        <v>6904</v>
      </c>
      <c r="C1742" s="8" t="s">
        <v>6905</v>
      </c>
      <c r="D1742" s="8" t="s">
        <v>6904</v>
      </c>
      <c r="E1742" s="105">
        <v>18</v>
      </c>
      <c r="F1742" s="106" t="s">
        <v>2018</v>
      </c>
      <c r="G1742" s="8"/>
      <c r="H1742" s="8"/>
      <c r="I1742" s="107">
        <v>0</v>
      </c>
      <c r="J1742" s="8" t="s">
        <v>2019</v>
      </c>
    </row>
    <row r="1743" spans="1:10" ht="16.5" customHeight="1" x14ac:dyDescent="0.25">
      <c r="A1743" s="8" t="s">
        <v>6906</v>
      </c>
      <c r="B1743" s="8" t="s">
        <v>6907</v>
      </c>
      <c r="C1743" s="8" t="s">
        <v>6908</v>
      </c>
      <c r="D1743" s="8" t="s">
        <v>6907</v>
      </c>
      <c r="E1743" s="105">
        <v>0</v>
      </c>
      <c r="F1743" s="106" t="s">
        <v>2024</v>
      </c>
      <c r="G1743" s="8"/>
      <c r="H1743" s="8"/>
      <c r="I1743" s="107">
        <v>0</v>
      </c>
      <c r="J1743" s="8" t="s">
        <v>4789</v>
      </c>
    </row>
    <row r="1744" spans="1:10" ht="16.5" customHeight="1" x14ac:dyDescent="0.25">
      <c r="A1744" s="8" t="s">
        <v>6909</v>
      </c>
      <c r="B1744" s="8" t="s">
        <v>6910</v>
      </c>
      <c r="C1744" s="8" t="s">
        <v>6911</v>
      </c>
      <c r="D1744" s="8" t="s">
        <v>6910</v>
      </c>
      <c r="E1744" s="105">
        <v>0</v>
      </c>
      <c r="F1744" s="106" t="s">
        <v>2024</v>
      </c>
      <c r="G1744" s="8"/>
      <c r="H1744" s="8"/>
      <c r="I1744" s="107">
        <v>0</v>
      </c>
      <c r="J1744" s="8" t="s">
        <v>4722</v>
      </c>
    </row>
    <row r="1745" spans="1:10" ht="16.5" customHeight="1" x14ac:dyDescent="0.25">
      <c r="A1745" s="8" t="s">
        <v>6912</v>
      </c>
      <c r="B1745" s="8" t="s">
        <v>6913</v>
      </c>
      <c r="C1745" s="8" t="s">
        <v>6914</v>
      </c>
      <c r="D1745" s="8" t="s">
        <v>6913</v>
      </c>
      <c r="E1745" s="105">
        <v>40</v>
      </c>
      <c r="F1745" s="106" t="s">
        <v>2024</v>
      </c>
      <c r="G1745" s="8"/>
      <c r="H1745" s="8"/>
      <c r="I1745" s="107">
        <v>0</v>
      </c>
      <c r="J1745" s="8" t="s">
        <v>3580</v>
      </c>
    </row>
    <row r="1746" spans="1:10" ht="16.5" customHeight="1" x14ac:dyDescent="0.25">
      <c r="A1746" s="8" t="s">
        <v>6915</v>
      </c>
      <c r="B1746" s="8" t="s">
        <v>6916</v>
      </c>
      <c r="C1746" s="8" t="s">
        <v>6917</v>
      </c>
      <c r="D1746" s="8" t="s">
        <v>6916</v>
      </c>
      <c r="E1746" s="105">
        <v>12</v>
      </c>
      <c r="F1746" s="106" t="s">
        <v>2024</v>
      </c>
      <c r="G1746" s="8"/>
      <c r="H1746" s="8"/>
      <c r="I1746" s="107">
        <v>0</v>
      </c>
      <c r="J1746" s="8" t="s">
        <v>5929</v>
      </c>
    </row>
    <row r="1747" spans="1:10" ht="16.5" customHeight="1" x14ac:dyDescent="0.25">
      <c r="A1747" s="8" t="s">
        <v>6918</v>
      </c>
      <c r="B1747" s="8" t="s">
        <v>6919</v>
      </c>
      <c r="C1747" s="8" t="s">
        <v>6920</v>
      </c>
      <c r="D1747" s="8" t="s">
        <v>6919</v>
      </c>
      <c r="E1747" s="105">
        <v>2</v>
      </c>
      <c r="F1747" s="106" t="s">
        <v>2024</v>
      </c>
      <c r="G1747" s="8"/>
      <c r="H1747" s="8"/>
      <c r="I1747" s="107">
        <v>0</v>
      </c>
      <c r="J1747" s="8" t="s">
        <v>5929</v>
      </c>
    </row>
    <row r="1748" spans="1:10" ht="16.5" customHeight="1" x14ac:dyDescent="0.25">
      <c r="A1748" s="8" t="s">
        <v>6921</v>
      </c>
      <c r="B1748" s="8" t="s">
        <v>6922</v>
      </c>
      <c r="C1748" s="8" t="s">
        <v>6923</v>
      </c>
      <c r="D1748" s="8" t="s">
        <v>6922</v>
      </c>
      <c r="E1748" s="105">
        <v>2.15</v>
      </c>
      <c r="F1748" s="106" t="s">
        <v>2024</v>
      </c>
      <c r="G1748" s="8"/>
      <c r="H1748" s="8"/>
      <c r="I1748" s="107">
        <v>0</v>
      </c>
      <c r="J1748" s="8" t="s">
        <v>4789</v>
      </c>
    </row>
    <row r="1749" spans="1:10" ht="16.5" customHeight="1" x14ac:dyDescent="0.25">
      <c r="A1749" s="8" t="s">
        <v>6924</v>
      </c>
      <c r="B1749" s="8" t="s">
        <v>5898</v>
      </c>
      <c r="C1749" s="8" t="s">
        <v>5899</v>
      </c>
      <c r="D1749" s="8" t="s">
        <v>5898</v>
      </c>
      <c r="E1749" s="105">
        <v>0</v>
      </c>
      <c r="F1749" s="106" t="s">
        <v>2024</v>
      </c>
      <c r="G1749" s="8"/>
      <c r="H1749" s="8"/>
      <c r="I1749" s="107">
        <v>0</v>
      </c>
      <c r="J1749" s="8" t="s">
        <v>4722</v>
      </c>
    </row>
    <row r="1750" spans="1:10" ht="16.5" customHeight="1" x14ac:dyDescent="0.25">
      <c r="A1750" s="8" t="s">
        <v>6925</v>
      </c>
      <c r="B1750" s="8" t="s">
        <v>6926</v>
      </c>
      <c r="C1750" s="8" t="s">
        <v>6927</v>
      </c>
      <c r="D1750" s="8" t="s">
        <v>6926</v>
      </c>
      <c r="E1750" s="105">
        <v>2</v>
      </c>
      <c r="F1750" s="106" t="s">
        <v>2024</v>
      </c>
      <c r="G1750" s="8"/>
      <c r="H1750" s="8"/>
      <c r="I1750" s="107">
        <v>0</v>
      </c>
      <c r="J1750" s="8" t="s">
        <v>4722</v>
      </c>
    </row>
    <row r="1751" spans="1:10" ht="16.5" customHeight="1" x14ac:dyDescent="0.25">
      <c r="A1751" s="8" t="s">
        <v>6928</v>
      </c>
      <c r="B1751" s="8" t="s">
        <v>6929</v>
      </c>
      <c r="C1751" s="8" t="s">
        <v>6930</v>
      </c>
      <c r="D1751" s="8" t="s">
        <v>6929</v>
      </c>
      <c r="E1751" s="105">
        <v>1.2</v>
      </c>
      <c r="F1751" s="106" t="s">
        <v>2024</v>
      </c>
      <c r="G1751" s="8"/>
      <c r="H1751" s="8"/>
      <c r="I1751" s="107">
        <v>0</v>
      </c>
      <c r="J1751" s="8" t="s">
        <v>4722</v>
      </c>
    </row>
    <row r="1752" spans="1:10" ht="16.5" customHeight="1" x14ac:dyDescent="0.25">
      <c r="A1752" s="8" t="s">
        <v>6931</v>
      </c>
      <c r="B1752" s="8" t="s">
        <v>6932</v>
      </c>
      <c r="C1752" s="8" t="s">
        <v>6933</v>
      </c>
      <c r="D1752" s="8" t="s">
        <v>6932</v>
      </c>
      <c r="E1752" s="105">
        <v>10</v>
      </c>
      <c r="F1752" s="106" t="s">
        <v>2024</v>
      </c>
      <c r="G1752" s="8"/>
      <c r="H1752" s="8"/>
      <c r="I1752" s="107">
        <v>0</v>
      </c>
      <c r="J1752" s="8" t="s">
        <v>6357</v>
      </c>
    </row>
    <row r="1753" spans="1:10" ht="16.5" customHeight="1" x14ac:dyDescent="0.25">
      <c r="A1753" s="8" t="s">
        <v>6934</v>
      </c>
      <c r="B1753" s="8" t="s">
        <v>6935</v>
      </c>
      <c r="C1753" s="8" t="s">
        <v>6936</v>
      </c>
      <c r="D1753" s="8" t="s">
        <v>6935</v>
      </c>
      <c r="E1753" s="105">
        <v>0.2</v>
      </c>
      <c r="F1753" s="106" t="s">
        <v>2024</v>
      </c>
      <c r="G1753" s="8"/>
      <c r="H1753" s="8"/>
      <c r="I1753" s="107">
        <v>0</v>
      </c>
      <c r="J1753" s="8" t="s">
        <v>6357</v>
      </c>
    </row>
    <row r="1754" spans="1:10" ht="16.5" customHeight="1" x14ac:dyDescent="0.25">
      <c r="A1754" s="8" t="s">
        <v>6937</v>
      </c>
      <c r="B1754" s="8" t="s">
        <v>6938</v>
      </c>
      <c r="C1754" s="8" t="s">
        <v>6939</v>
      </c>
      <c r="D1754" s="8" t="s">
        <v>6938</v>
      </c>
      <c r="E1754" s="105">
        <v>0.16</v>
      </c>
      <c r="F1754" s="106" t="s">
        <v>2018</v>
      </c>
      <c r="G1754" s="8"/>
      <c r="H1754" s="8"/>
      <c r="I1754" s="107">
        <v>0</v>
      </c>
      <c r="J1754" s="8"/>
    </row>
    <row r="1755" spans="1:10" ht="16.5" customHeight="1" x14ac:dyDescent="0.25">
      <c r="A1755" s="8" t="s">
        <v>6940</v>
      </c>
      <c r="B1755" s="8" t="s">
        <v>6941</v>
      </c>
      <c r="C1755" s="8" t="s">
        <v>6942</v>
      </c>
      <c r="D1755" s="8" t="s">
        <v>6941</v>
      </c>
      <c r="E1755" s="105">
        <v>25</v>
      </c>
      <c r="F1755" s="106" t="s">
        <v>2024</v>
      </c>
      <c r="G1755" s="8"/>
      <c r="H1755" s="8"/>
      <c r="I1755" s="107">
        <v>0</v>
      </c>
      <c r="J1755" s="8" t="s">
        <v>3580</v>
      </c>
    </row>
    <row r="1756" spans="1:10" ht="16.5" customHeight="1" x14ac:dyDescent="0.25">
      <c r="A1756" s="8" t="s">
        <v>6943</v>
      </c>
      <c r="B1756" s="8" t="s">
        <v>6944</v>
      </c>
      <c r="C1756" s="8" t="s">
        <v>6945</v>
      </c>
      <c r="D1756" s="8" t="s">
        <v>6944</v>
      </c>
      <c r="E1756" s="105">
        <v>20</v>
      </c>
      <c r="F1756" s="106" t="s">
        <v>2024</v>
      </c>
      <c r="G1756" s="8"/>
      <c r="H1756" s="8"/>
      <c r="I1756" s="107">
        <v>0</v>
      </c>
      <c r="J1756" s="8" t="s">
        <v>4722</v>
      </c>
    </row>
    <row r="1757" spans="1:10" ht="16.5" customHeight="1" x14ac:dyDescent="0.25">
      <c r="A1757" s="8" t="s">
        <v>6946</v>
      </c>
      <c r="B1757" s="8" t="s">
        <v>6947</v>
      </c>
      <c r="C1757" s="8" t="s">
        <v>6948</v>
      </c>
      <c r="D1757" s="8" t="s">
        <v>6947</v>
      </c>
      <c r="E1757" s="105">
        <v>1.75</v>
      </c>
      <c r="F1757" s="106" t="s">
        <v>2024</v>
      </c>
      <c r="G1757" s="8"/>
      <c r="H1757" s="8"/>
      <c r="I1757" s="107">
        <v>0</v>
      </c>
      <c r="J1757" s="8" t="s">
        <v>4789</v>
      </c>
    </row>
    <row r="1758" spans="1:10" ht="16.5" customHeight="1" x14ac:dyDescent="0.25">
      <c r="A1758" s="8" t="s">
        <v>6949</v>
      </c>
      <c r="B1758" s="8" t="s">
        <v>6950</v>
      </c>
      <c r="C1758" s="8" t="s">
        <v>6951</v>
      </c>
      <c r="D1758" s="8" t="s">
        <v>6950</v>
      </c>
      <c r="E1758" s="105">
        <v>25</v>
      </c>
      <c r="F1758" s="106" t="s">
        <v>2024</v>
      </c>
      <c r="G1758" s="8"/>
      <c r="H1758" s="8"/>
      <c r="I1758" s="107">
        <v>0</v>
      </c>
      <c r="J1758" s="8" t="s">
        <v>6952</v>
      </c>
    </row>
    <row r="1759" spans="1:10" ht="16.5" customHeight="1" x14ac:dyDescent="0.25">
      <c r="A1759" s="8" t="s">
        <v>6953</v>
      </c>
      <c r="B1759" s="8" t="s">
        <v>6954</v>
      </c>
      <c r="C1759" s="8" t="s">
        <v>6955</v>
      </c>
      <c r="D1759" s="8" t="s">
        <v>6954</v>
      </c>
      <c r="E1759" s="105">
        <v>25</v>
      </c>
      <c r="F1759" s="106" t="s">
        <v>2024</v>
      </c>
      <c r="G1759" s="8"/>
      <c r="H1759" s="8"/>
      <c r="I1759" s="107">
        <v>0</v>
      </c>
      <c r="J1759" s="8" t="s">
        <v>3580</v>
      </c>
    </row>
    <row r="1760" spans="1:10" ht="16.5" customHeight="1" x14ac:dyDescent="0.25">
      <c r="A1760" s="8" t="s">
        <v>6956</v>
      </c>
      <c r="B1760" s="8" t="s">
        <v>6957</v>
      </c>
      <c r="C1760" s="8" t="s">
        <v>6958</v>
      </c>
      <c r="D1760" s="8" t="s">
        <v>6957</v>
      </c>
      <c r="E1760" s="105">
        <v>25</v>
      </c>
      <c r="F1760" s="106" t="s">
        <v>2024</v>
      </c>
      <c r="G1760" s="8"/>
      <c r="H1760" s="8"/>
      <c r="I1760" s="107">
        <v>0</v>
      </c>
      <c r="J1760" s="8" t="s">
        <v>3580</v>
      </c>
    </row>
    <row r="1761" spans="1:10" ht="16.5" customHeight="1" x14ac:dyDescent="0.25">
      <c r="A1761" s="8" t="s">
        <v>6959</v>
      </c>
      <c r="B1761" s="8" t="s">
        <v>6960</v>
      </c>
      <c r="C1761" s="8" t="s">
        <v>6961</v>
      </c>
      <c r="D1761" s="8" t="s">
        <v>6960</v>
      </c>
      <c r="E1761" s="105">
        <v>25</v>
      </c>
      <c r="F1761" s="106" t="s">
        <v>2024</v>
      </c>
      <c r="G1761" s="8"/>
      <c r="H1761" s="8"/>
      <c r="I1761" s="107">
        <v>0</v>
      </c>
      <c r="J1761" s="8" t="s">
        <v>3580</v>
      </c>
    </row>
    <row r="1762" spans="1:10" ht="16.5" customHeight="1" x14ac:dyDescent="0.25">
      <c r="A1762" s="8" t="s">
        <v>6962</v>
      </c>
      <c r="B1762" s="8" t="s">
        <v>6963</v>
      </c>
      <c r="C1762" s="8" t="s">
        <v>6964</v>
      </c>
      <c r="D1762" s="8" t="s">
        <v>6963</v>
      </c>
      <c r="E1762" s="105">
        <v>6</v>
      </c>
      <c r="F1762" s="106" t="s">
        <v>2024</v>
      </c>
      <c r="G1762" s="8"/>
      <c r="H1762" s="8"/>
      <c r="I1762" s="107">
        <v>0</v>
      </c>
      <c r="J1762" s="8" t="s">
        <v>5671</v>
      </c>
    </row>
    <row r="1763" spans="1:10" ht="16.5" customHeight="1" x14ac:dyDescent="0.25">
      <c r="A1763" s="8" t="s">
        <v>6965</v>
      </c>
      <c r="B1763" s="8" t="s">
        <v>6966</v>
      </c>
      <c r="C1763" s="8" t="s">
        <v>6964</v>
      </c>
      <c r="D1763" s="8" t="s">
        <v>6966</v>
      </c>
      <c r="E1763" s="105">
        <v>0.1</v>
      </c>
      <c r="F1763" s="106" t="s">
        <v>2024</v>
      </c>
      <c r="G1763" s="8"/>
      <c r="H1763" s="8"/>
      <c r="I1763" s="107">
        <v>0</v>
      </c>
      <c r="J1763" s="8" t="s">
        <v>5671</v>
      </c>
    </row>
    <row r="1764" spans="1:10" ht="16.5" customHeight="1" x14ac:dyDescent="0.25">
      <c r="A1764" s="8" t="s">
        <v>6967</v>
      </c>
      <c r="B1764" s="8" t="s">
        <v>6968</v>
      </c>
      <c r="C1764" s="8" t="s">
        <v>6969</v>
      </c>
      <c r="D1764" s="8" t="s">
        <v>6968</v>
      </c>
      <c r="E1764" s="105">
        <v>10</v>
      </c>
      <c r="F1764" s="106" t="s">
        <v>2024</v>
      </c>
      <c r="G1764" s="8"/>
      <c r="H1764" s="8"/>
      <c r="I1764" s="107">
        <v>0</v>
      </c>
      <c r="J1764" s="8" t="s">
        <v>5671</v>
      </c>
    </row>
    <row r="1765" spans="1:10" ht="16.5" customHeight="1" x14ac:dyDescent="0.25">
      <c r="A1765" s="8" t="s">
        <v>6970</v>
      </c>
      <c r="B1765" s="8" t="s">
        <v>6971</v>
      </c>
      <c r="C1765" s="8" t="s">
        <v>6969</v>
      </c>
      <c r="D1765" s="8" t="s">
        <v>6971</v>
      </c>
      <c r="E1765" s="105">
        <v>1</v>
      </c>
      <c r="F1765" s="106" t="s">
        <v>2024</v>
      </c>
      <c r="G1765" s="8"/>
      <c r="H1765" s="8"/>
      <c r="I1765" s="107">
        <v>0</v>
      </c>
      <c r="J1765" s="8" t="s">
        <v>5671</v>
      </c>
    </row>
    <row r="1766" spans="1:10" ht="16.5" customHeight="1" x14ac:dyDescent="0.25">
      <c r="A1766" s="8" t="s">
        <v>6972</v>
      </c>
      <c r="B1766" s="8" t="s">
        <v>6973</v>
      </c>
      <c r="C1766" s="8" t="s">
        <v>6974</v>
      </c>
      <c r="D1766" s="8" t="s">
        <v>6973</v>
      </c>
      <c r="E1766" s="105">
        <v>25</v>
      </c>
      <c r="F1766" s="106" t="s">
        <v>2024</v>
      </c>
      <c r="G1766" s="8"/>
      <c r="H1766" s="8"/>
      <c r="I1766" s="107">
        <v>0</v>
      </c>
      <c r="J1766" s="8" t="s">
        <v>3580</v>
      </c>
    </row>
    <row r="1767" spans="1:10" ht="16.5" customHeight="1" x14ac:dyDescent="0.25">
      <c r="A1767" s="8" t="s">
        <v>6975</v>
      </c>
      <c r="B1767" s="8" t="s">
        <v>6976</v>
      </c>
      <c r="C1767" s="8" t="s">
        <v>6977</v>
      </c>
      <c r="D1767" s="8" t="s">
        <v>6976</v>
      </c>
      <c r="E1767" s="105">
        <v>8.52</v>
      </c>
      <c r="F1767" s="106" t="s">
        <v>2024</v>
      </c>
      <c r="G1767" s="8"/>
      <c r="H1767" s="8"/>
      <c r="I1767" s="107">
        <v>0</v>
      </c>
      <c r="J1767" s="8" t="s">
        <v>5929</v>
      </c>
    </row>
    <row r="1768" spans="1:10" ht="16.5" customHeight="1" x14ac:dyDescent="0.25">
      <c r="A1768" s="8" t="s">
        <v>6978</v>
      </c>
      <c r="B1768" s="8" t="s">
        <v>6979</v>
      </c>
      <c r="C1768" s="8" t="s">
        <v>6980</v>
      </c>
      <c r="D1768" s="8" t="s">
        <v>6979</v>
      </c>
      <c r="E1768" s="105">
        <v>0.21</v>
      </c>
      <c r="F1768" s="106" t="s">
        <v>2024</v>
      </c>
      <c r="G1768" s="8"/>
      <c r="H1768" s="8"/>
      <c r="I1768" s="107">
        <v>0</v>
      </c>
      <c r="J1768" s="8" t="s">
        <v>5929</v>
      </c>
    </row>
    <row r="1769" spans="1:10" ht="16.5" customHeight="1" x14ac:dyDescent="0.25">
      <c r="A1769" s="8" t="s">
        <v>1371</v>
      </c>
      <c r="B1769" s="8" t="s">
        <v>1373</v>
      </c>
      <c r="C1769" s="8" t="s">
        <v>1372</v>
      </c>
      <c r="D1769" s="8" t="s">
        <v>1373</v>
      </c>
      <c r="E1769" s="105">
        <v>18</v>
      </c>
      <c r="F1769" s="106" t="s">
        <v>2018</v>
      </c>
      <c r="G1769" s="8"/>
      <c r="H1769" s="8"/>
      <c r="I1769" s="107">
        <v>0</v>
      </c>
      <c r="J1769" s="8" t="s">
        <v>2019</v>
      </c>
    </row>
    <row r="1770" spans="1:10" ht="16.5" customHeight="1" x14ac:dyDescent="0.25">
      <c r="A1770" s="8" t="s">
        <v>1342</v>
      </c>
      <c r="B1770" s="8" t="s">
        <v>1344</v>
      </c>
      <c r="C1770" s="8" t="s">
        <v>1343</v>
      </c>
      <c r="D1770" s="8" t="s">
        <v>1344</v>
      </c>
      <c r="E1770" s="105">
        <v>18</v>
      </c>
      <c r="F1770" s="106" t="s">
        <v>2018</v>
      </c>
      <c r="G1770" s="8"/>
      <c r="H1770" s="8"/>
      <c r="I1770" s="107">
        <v>0</v>
      </c>
      <c r="J1770" s="8" t="s">
        <v>2019</v>
      </c>
    </row>
    <row r="1771" spans="1:10" ht="16.5" customHeight="1" x14ac:dyDescent="0.25">
      <c r="A1771" s="8" t="s">
        <v>6981</v>
      </c>
      <c r="B1771" s="8" t="s">
        <v>6982</v>
      </c>
      <c r="C1771" s="8" t="s">
        <v>6983</v>
      </c>
      <c r="D1771" s="8" t="s">
        <v>6982</v>
      </c>
      <c r="E1771" s="105">
        <v>0</v>
      </c>
      <c r="F1771" s="106" t="s">
        <v>2024</v>
      </c>
      <c r="G1771" s="8"/>
      <c r="H1771" s="8"/>
      <c r="I1771" s="107">
        <v>0</v>
      </c>
      <c r="J1771" s="8" t="s">
        <v>4722</v>
      </c>
    </row>
    <row r="1772" spans="1:10" ht="16.5" customHeight="1" x14ac:dyDescent="0.25">
      <c r="A1772" s="8" t="s">
        <v>6984</v>
      </c>
      <c r="B1772" s="8" t="s">
        <v>6982</v>
      </c>
      <c r="C1772" s="8" t="s">
        <v>6985</v>
      </c>
      <c r="D1772" s="8" t="s">
        <v>6982</v>
      </c>
      <c r="E1772" s="105">
        <v>0</v>
      </c>
      <c r="F1772" s="106" t="s">
        <v>2024</v>
      </c>
      <c r="G1772" s="8"/>
      <c r="H1772" s="8"/>
      <c r="I1772" s="107">
        <v>0</v>
      </c>
      <c r="J1772" s="8" t="s">
        <v>2019</v>
      </c>
    </row>
    <row r="1773" spans="1:10" ht="16.5" customHeight="1" x14ac:dyDescent="0.25">
      <c r="A1773" s="8" t="s">
        <v>6900</v>
      </c>
      <c r="B1773" s="8" t="s">
        <v>6986</v>
      </c>
      <c r="C1773" s="8" t="s">
        <v>947</v>
      </c>
      <c r="D1773" s="8" t="s">
        <v>6986</v>
      </c>
      <c r="E1773" s="105">
        <v>0.91</v>
      </c>
      <c r="F1773" s="106" t="s">
        <v>2018</v>
      </c>
      <c r="G1773" s="8"/>
      <c r="H1773" s="8"/>
      <c r="I1773" s="107">
        <v>0</v>
      </c>
      <c r="J1773" s="8" t="s">
        <v>2019</v>
      </c>
    </row>
    <row r="1774" spans="1:10" ht="16.5" customHeight="1" x14ac:dyDescent="0.25">
      <c r="A1774" s="8" t="s">
        <v>6987</v>
      </c>
      <c r="B1774" s="8" t="s">
        <v>6988</v>
      </c>
      <c r="C1774" s="8" t="s">
        <v>2034</v>
      </c>
      <c r="D1774" s="8" t="s">
        <v>6988</v>
      </c>
      <c r="E1774" s="105">
        <v>1</v>
      </c>
      <c r="F1774" s="106" t="s">
        <v>2024</v>
      </c>
      <c r="G1774" s="8"/>
      <c r="H1774" s="8"/>
      <c r="I1774" s="107">
        <v>0</v>
      </c>
      <c r="J1774" s="8" t="s">
        <v>2019</v>
      </c>
    </row>
    <row r="1775" spans="1:10" ht="16.5" customHeight="1" x14ac:dyDescent="0.25">
      <c r="A1775" s="8" t="s">
        <v>6989</v>
      </c>
      <c r="B1775" s="8" t="s">
        <v>6990</v>
      </c>
      <c r="C1775" s="8" t="s">
        <v>6683</v>
      </c>
      <c r="D1775" s="8" t="s">
        <v>6990</v>
      </c>
      <c r="E1775" s="105">
        <v>40</v>
      </c>
      <c r="F1775" s="106" t="s">
        <v>2024</v>
      </c>
      <c r="G1775" s="8"/>
      <c r="H1775" s="8"/>
      <c r="I1775" s="107">
        <v>0</v>
      </c>
      <c r="J1775" s="8" t="s">
        <v>3580</v>
      </c>
    </row>
    <row r="1776" spans="1:10" ht="16.5" customHeight="1" x14ac:dyDescent="0.25">
      <c r="A1776" s="8" t="s">
        <v>6991</v>
      </c>
      <c r="B1776" s="8" t="s">
        <v>6992</v>
      </c>
      <c r="C1776" s="8" t="s">
        <v>6993</v>
      </c>
      <c r="D1776" s="8" t="s">
        <v>6992</v>
      </c>
      <c r="E1776" s="105">
        <v>0</v>
      </c>
      <c r="F1776" s="106" t="s">
        <v>2024</v>
      </c>
      <c r="G1776" s="8"/>
      <c r="H1776" s="8"/>
      <c r="I1776" s="107">
        <v>0</v>
      </c>
      <c r="J1776" s="8" t="s">
        <v>4722</v>
      </c>
    </row>
    <row r="1777" spans="1:10" ht="16.5" customHeight="1" x14ac:dyDescent="0.25">
      <c r="A1777" s="8" t="s">
        <v>6994</v>
      </c>
      <c r="B1777" s="8" t="s">
        <v>6995</v>
      </c>
      <c r="C1777" s="8" t="s">
        <v>6996</v>
      </c>
      <c r="D1777" s="8" t="s">
        <v>6995</v>
      </c>
      <c r="E1777" s="105">
        <v>40</v>
      </c>
      <c r="F1777" s="106" t="s">
        <v>2024</v>
      </c>
      <c r="G1777" s="8"/>
      <c r="H1777" s="8"/>
      <c r="I1777" s="107">
        <v>0</v>
      </c>
      <c r="J1777" s="8" t="s">
        <v>3580</v>
      </c>
    </row>
    <row r="1778" spans="1:10" ht="16.5" customHeight="1" x14ac:dyDescent="0.25">
      <c r="A1778" s="8" t="s">
        <v>6997</v>
      </c>
      <c r="B1778" s="8" t="s">
        <v>6998</v>
      </c>
      <c r="C1778" s="8" t="s">
        <v>6999</v>
      </c>
      <c r="D1778" s="8" t="s">
        <v>6998</v>
      </c>
      <c r="E1778" s="105">
        <v>0</v>
      </c>
      <c r="F1778" s="106" t="s">
        <v>2024</v>
      </c>
      <c r="G1778" s="8"/>
      <c r="H1778" s="8"/>
      <c r="I1778" s="107">
        <v>0</v>
      </c>
      <c r="J1778" s="8" t="s">
        <v>4722</v>
      </c>
    </row>
    <row r="1779" spans="1:10" ht="16.5" customHeight="1" x14ac:dyDescent="0.25">
      <c r="A1779" s="8" t="s">
        <v>7000</v>
      </c>
      <c r="B1779" s="8" t="s">
        <v>7001</v>
      </c>
      <c r="C1779" s="8" t="s">
        <v>7002</v>
      </c>
      <c r="D1779" s="8" t="s">
        <v>7001</v>
      </c>
      <c r="E1779" s="105">
        <v>0</v>
      </c>
      <c r="F1779" s="106" t="s">
        <v>2024</v>
      </c>
      <c r="G1779" s="8"/>
      <c r="H1779" s="8"/>
      <c r="I1779" s="107">
        <v>0</v>
      </c>
      <c r="J1779" s="8" t="s">
        <v>4722</v>
      </c>
    </row>
    <row r="1780" spans="1:10" ht="16.5" customHeight="1" x14ac:dyDescent="0.25">
      <c r="A1780" s="8" t="s">
        <v>6896</v>
      </c>
      <c r="B1780" s="8" t="s">
        <v>7003</v>
      </c>
      <c r="C1780" s="8" t="s">
        <v>7004</v>
      </c>
      <c r="D1780" s="8" t="s">
        <v>7003</v>
      </c>
      <c r="E1780" s="105">
        <v>0.23</v>
      </c>
      <c r="F1780" s="106" t="s">
        <v>2018</v>
      </c>
      <c r="G1780" s="8"/>
      <c r="H1780" s="8"/>
      <c r="I1780" s="107">
        <v>0</v>
      </c>
      <c r="J1780" s="8" t="s">
        <v>2019</v>
      </c>
    </row>
    <row r="1781" spans="1:10" ht="16.5" customHeight="1" x14ac:dyDescent="0.25">
      <c r="A1781" s="8" t="s">
        <v>7005</v>
      </c>
      <c r="B1781" s="8" t="s">
        <v>7006</v>
      </c>
      <c r="C1781" s="8" t="s">
        <v>7007</v>
      </c>
      <c r="D1781" s="8" t="s">
        <v>7006</v>
      </c>
      <c r="E1781" s="105">
        <v>0</v>
      </c>
      <c r="F1781" s="106" t="s">
        <v>2024</v>
      </c>
      <c r="G1781" s="8"/>
      <c r="H1781" s="8"/>
      <c r="I1781" s="107">
        <v>0</v>
      </c>
      <c r="J1781" s="8" t="s">
        <v>4722</v>
      </c>
    </row>
    <row r="1782" spans="1:10" ht="16.5" customHeight="1" x14ac:dyDescent="0.25">
      <c r="A1782" s="8" t="s">
        <v>7008</v>
      </c>
      <c r="B1782" s="8" t="s">
        <v>7009</v>
      </c>
      <c r="C1782" s="8" t="s">
        <v>7010</v>
      </c>
      <c r="D1782" s="8" t="s">
        <v>7009</v>
      </c>
      <c r="E1782" s="105">
        <v>1</v>
      </c>
      <c r="F1782" s="106" t="s">
        <v>2018</v>
      </c>
      <c r="G1782" s="8"/>
      <c r="H1782" s="8"/>
      <c r="I1782" s="107">
        <v>0</v>
      </c>
      <c r="J1782" s="8" t="s">
        <v>2019</v>
      </c>
    </row>
    <row r="1783" spans="1:10" ht="16.5" customHeight="1" x14ac:dyDescent="0.25">
      <c r="A1783" s="8" t="s">
        <v>7011</v>
      </c>
      <c r="B1783" s="8" t="s">
        <v>7012</v>
      </c>
      <c r="C1783" s="8" t="s">
        <v>7013</v>
      </c>
      <c r="D1783" s="8" t="s">
        <v>7012</v>
      </c>
      <c r="E1783" s="105">
        <v>1.8</v>
      </c>
      <c r="F1783" s="106" t="s">
        <v>2024</v>
      </c>
      <c r="G1783" s="8"/>
      <c r="H1783" s="8"/>
      <c r="I1783" s="107">
        <v>0</v>
      </c>
      <c r="J1783" s="8" t="s">
        <v>5671</v>
      </c>
    </row>
    <row r="1784" spans="1:10" ht="16.5" customHeight="1" x14ac:dyDescent="0.25">
      <c r="A1784" s="8" t="s">
        <v>7014</v>
      </c>
      <c r="B1784" s="8" t="s">
        <v>7015</v>
      </c>
      <c r="C1784" s="8" t="s">
        <v>7013</v>
      </c>
      <c r="D1784" s="8" t="s">
        <v>7015</v>
      </c>
      <c r="E1784" s="105">
        <v>0.3</v>
      </c>
      <c r="F1784" s="106" t="s">
        <v>2024</v>
      </c>
      <c r="G1784" s="8"/>
      <c r="H1784" s="8"/>
      <c r="I1784" s="107">
        <v>0</v>
      </c>
      <c r="J1784" s="8" t="s">
        <v>5671</v>
      </c>
    </row>
    <row r="1785" spans="1:10" ht="16.5" customHeight="1" x14ac:dyDescent="0.25">
      <c r="A1785" s="8" t="s">
        <v>7016</v>
      </c>
      <c r="B1785" s="8" t="s">
        <v>7017</v>
      </c>
      <c r="C1785" s="8" t="s">
        <v>7018</v>
      </c>
      <c r="D1785" s="8" t="s">
        <v>7017</v>
      </c>
      <c r="E1785" s="105">
        <v>10.19</v>
      </c>
      <c r="F1785" s="106" t="s">
        <v>2024</v>
      </c>
      <c r="G1785" s="8"/>
      <c r="H1785" s="8"/>
      <c r="I1785" s="107">
        <v>0</v>
      </c>
      <c r="J1785" s="8" t="s">
        <v>5671</v>
      </c>
    </row>
    <row r="1786" spans="1:10" ht="16.5" customHeight="1" x14ac:dyDescent="0.25">
      <c r="A1786" s="8" t="s">
        <v>7019</v>
      </c>
      <c r="B1786" s="8" t="s">
        <v>7020</v>
      </c>
      <c r="C1786" s="8" t="s">
        <v>1306</v>
      </c>
      <c r="D1786" s="8" t="s">
        <v>7020</v>
      </c>
      <c r="E1786" s="105">
        <v>0.36399999999999999</v>
      </c>
      <c r="F1786" s="106" t="s">
        <v>2018</v>
      </c>
      <c r="G1786" s="8"/>
      <c r="H1786" s="8"/>
      <c r="I1786" s="107">
        <v>0</v>
      </c>
      <c r="J1786" s="8" t="s">
        <v>2019</v>
      </c>
    </row>
    <row r="1787" spans="1:10" ht="16.5" customHeight="1" x14ac:dyDescent="0.25">
      <c r="A1787" s="8" t="s">
        <v>7021</v>
      </c>
      <c r="B1787" s="8" t="s">
        <v>7022</v>
      </c>
      <c r="C1787" s="8" t="s">
        <v>7023</v>
      </c>
      <c r="D1787" s="8" t="s">
        <v>7022</v>
      </c>
      <c r="E1787" s="105">
        <v>1.0580000000000001</v>
      </c>
      <c r="F1787" s="106" t="s">
        <v>2024</v>
      </c>
      <c r="G1787" s="8"/>
      <c r="H1787" s="8"/>
      <c r="I1787" s="107">
        <v>0</v>
      </c>
      <c r="J1787" s="8" t="s">
        <v>5671</v>
      </c>
    </row>
    <row r="1788" spans="1:10" ht="16.5" customHeight="1" x14ac:dyDescent="0.25">
      <c r="A1788" s="8" t="s">
        <v>7024</v>
      </c>
      <c r="B1788" s="8" t="s">
        <v>7025</v>
      </c>
      <c r="C1788" s="8" t="s">
        <v>7026</v>
      </c>
      <c r="D1788" s="8" t="s">
        <v>7025</v>
      </c>
      <c r="E1788" s="105">
        <v>0</v>
      </c>
      <c r="F1788" s="106" t="s">
        <v>2024</v>
      </c>
      <c r="G1788" s="8"/>
      <c r="H1788" s="8"/>
      <c r="I1788" s="107">
        <v>0</v>
      </c>
      <c r="J1788" s="8" t="s">
        <v>4722</v>
      </c>
    </row>
    <row r="1789" spans="1:10" ht="16.5" customHeight="1" x14ac:dyDescent="0.25">
      <c r="A1789" s="8" t="s">
        <v>7027</v>
      </c>
      <c r="B1789" s="8" t="s">
        <v>7028</v>
      </c>
      <c r="C1789" s="8" t="s">
        <v>7029</v>
      </c>
      <c r="D1789" s="8" t="s">
        <v>7028</v>
      </c>
      <c r="E1789" s="105">
        <v>9.61</v>
      </c>
      <c r="F1789" s="106" t="s">
        <v>2018</v>
      </c>
      <c r="G1789" s="8"/>
      <c r="H1789" s="8" t="s">
        <v>4321</v>
      </c>
      <c r="I1789" s="107">
        <v>12</v>
      </c>
      <c r="J1789" s="8" t="s">
        <v>2019</v>
      </c>
    </row>
    <row r="1790" spans="1:10" ht="16.5" customHeight="1" x14ac:dyDescent="0.25">
      <c r="A1790" s="8" t="s">
        <v>7030</v>
      </c>
      <c r="B1790" s="8" t="s">
        <v>7031</v>
      </c>
      <c r="C1790" s="8" t="s">
        <v>7032</v>
      </c>
      <c r="D1790" s="8" t="s">
        <v>7031</v>
      </c>
      <c r="E1790" s="105">
        <v>9.8279999999999994</v>
      </c>
      <c r="F1790" s="106" t="s">
        <v>2024</v>
      </c>
      <c r="G1790" s="8"/>
      <c r="H1790" s="8"/>
      <c r="I1790" s="107">
        <v>0</v>
      </c>
      <c r="J1790" s="8" t="s">
        <v>2019</v>
      </c>
    </row>
    <row r="1791" spans="1:10" ht="16.5" customHeight="1" x14ac:dyDescent="0.25">
      <c r="A1791" s="8" t="s">
        <v>7033</v>
      </c>
      <c r="B1791" s="8" t="s">
        <v>7034</v>
      </c>
      <c r="C1791" s="8" t="s">
        <v>7035</v>
      </c>
      <c r="D1791" s="8" t="s">
        <v>7034</v>
      </c>
      <c r="E1791" s="105">
        <v>16.38</v>
      </c>
      <c r="F1791" s="106" t="s">
        <v>2018</v>
      </c>
      <c r="G1791" s="8"/>
      <c r="H1791" s="8" t="s">
        <v>7036</v>
      </c>
      <c r="I1791" s="107">
        <v>4</v>
      </c>
      <c r="J1791" s="8" t="s">
        <v>2019</v>
      </c>
    </row>
    <row r="1792" spans="1:10" ht="16.5" customHeight="1" x14ac:dyDescent="0.25">
      <c r="A1792" s="8" t="s">
        <v>7036</v>
      </c>
      <c r="B1792" s="8" t="s">
        <v>7037</v>
      </c>
      <c r="C1792" s="8" t="s">
        <v>7035</v>
      </c>
      <c r="D1792" s="8" t="s">
        <v>7037</v>
      </c>
      <c r="E1792" s="105">
        <v>4.0949999999999998</v>
      </c>
      <c r="F1792" s="106" t="s">
        <v>2018</v>
      </c>
      <c r="G1792" s="8"/>
      <c r="H1792" s="8"/>
      <c r="I1792" s="107">
        <v>0</v>
      </c>
      <c r="J1792" s="8" t="s">
        <v>2019</v>
      </c>
    </row>
    <row r="1793" spans="1:10" ht="16.5" customHeight="1" x14ac:dyDescent="0.25">
      <c r="A1793" s="8" t="s">
        <v>7038</v>
      </c>
      <c r="B1793" s="8" t="s">
        <v>7039</v>
      </c>
      <c r="C1793" s="8" t="s">
        <v>7032</v>
      </c>
      <c r="D1793" s="8" t="s">
        <v>7039</v>
      </c>
      <c r="E1793" s="105">
        <v>1.6379999999999999</v>
      </c>
      <c r="F1793" s="106" t="s">
        <v>2018</v>
      </c>
      <c r="G1793" s="8"/>
      <c r="H1793" s="8"/>
      <c r="I1793" s="107">
        <v>0</v>
      </c>
      <c r="J1793" s="8" t="s">
        <v>2019</v>
      </c>
    </row>
    <row r="1794" spans="1:10" ht="16.5" customHeight="1" x14ac:dyDescent="0.25">
      <c r="A1794" s="8" t="s">
        <v>7040</v>
      </c>
      <c r="B1794" s="8" t="s">
        <v>7041</v>
      </c>
      <c r="C1794" s="8" t="s">
        <v>7042</v>
      </c>
      <c r="D1794" s="8" t="s">
        <v>7041</v>
      </c>
      <c r="E1794" s="105">
        <v>9.36</v>
      </c>
      <c r="F1794" s="106" t="s">
        <v>2024</v>
      </c>
      <c r="G1794" s="8"/>
      <c r="H1794" s="8"/>
      <c r="I1794" s="107">
        <v>0</v>
      </c>
      <c r="J1794" s="8" t="s">
        <v>6357</v>
      </c>
    </row>
    <row r="1795" spans="1:10" ht="16.5" customHeight="1" x14ac:dyDescent="0.25">
      <c r="A1795" s="8" t="s">
        <v>7043</v>
      </c>
      <c r="B1795" s="8" t="s">
        <v>7044</v>
      </c>
      <c r="C1795" s="8" t="s">
        <v>7045</v>
      </c>
      <c r="D1795" s="8" t="s">
        <v>7044</v>
      </c>
      <c r="E1795" s="105">
        <v>0.78</v>
      </c>
      <c r="F1795" s="106" t="s">
        <v>2024</v>
      </c>
      <c r="G1795" s="8"/>
      <c r="H1795" s="8"/>
      <c r="I1795" s="107">
        <v>0</v>
      </c>
      <c r="J1795" s="8" t="s">
        <v>6357</v>
      </c>
    </row>
    <row r="1796" spans="1:10" ht="16.5" customHeight="1" x14ac:dyDescent="0.25">
      <c r="A1796" s="8" t="s">
        <v>7046</v>
      </c>
      <c r="B1796" s="8" t="s">
        <v>7047</v>
      </c>
      <c r="C1796" s="8" t="s">
        <v>7048</v>
      </c>
      <c r="D1796" s="8" t="s">
        <v>7047</v>
      </c>
      <c r="E1796" s="105">
        <v>0</v>
      </c>
      <c r="F1796" s="106" t="s">
        <v>2024</v>
      </c>
      <c r="G1796" s="8"/>
      <c r="H1796" s="8"/>
      <c r="I1796" s="107">
        <v>0</v>
      </c>
      <c r="J1796" s="8" t="s">
        <v>4789</v>
      </c>
    </row>
    <row r="1797" spans="1:10" ht="16.5" customHeight="1" x14ac:dyDescent="0.25">
      <c r="A1797" s="8" t="s">
        <v>7049</v>
      </c>
      <c r="B1797" s="8" t="s">
        <v>7050</v>
      </c>
      <c r="C1797" s="8" t="s">
        <v>7032</v>
      </c>
      <c r="D1797" s="8" t="s">
        <v>7050</v>
      </c>
      <c r="E1797" s="105">
        <v>9.83</v>
      </c>
      <c r="F1797" s="106" t="s">
        <v>2024</v>
      </c>
      <c r="G1797" s="8"/>
      <c r="H1797" s="8"/>
      <c r="I1797" s="107">
        <v>0</v>
      </c>
      <c r="J1797" s="8" t="s">
        <v>2019</v>
      </c>
    </row>
    <row r="1798" spans="1:10" ht="16.5" customHeight="1" x14ac:dyDescent="0.25">
      <c r="A1798" s="8" t="s">
        <v>7051</v>
      </c>
      <c r="B1798" s="8" t="s">
        <v>7052</v>
      </c>
      <c r="C1798" s="8" t="s">
        <v>7053</v>
      </c>
      <c r="D1798" s="8" t="s">
        <v>7052</v>
      </c>
      <c r="E1798" s="105">
        <v>9.61</v>
      </c>
      <c r="F1798" s="106" t="s">
        <v>2024</v>
      </c>
      <c r="G1798" s="8"/>
      <c r="H1798" s="8"/>
      <c r="I1798" s="107">
        <v>0</v>
      </c>
      <c r="J1798" s="8" t="s">
        <v>2019</v>
      </c>
    </row>
    <row r="1799" spans="1:10" ht="16.5" customHeight="1" x14ac:dyDescent="0.25">
      <c r="A1799" s="8" t="s">
        <v>7054</v>
      </c>
      <c r="B1799" s="8" t="s">
        <v>7055</v>
      </c>
      <c r="C1799" s="8" t="s">
        <v>7053</v>
      </c>
      <c r="D1799" s="8" t="s">
        <v>7055</v>
      </c>
      <c r="E1799" s="105">
        <v>0.8</v>
      </c>
      <c r="F1799" s="106" t="s">
        <v>2024</v>
      </c>
      <c r="G1799" s="8"/>
      <c r="H1799" s="8"/>
      <c r="I1799" s="107">
        <v>0</v>
      </c>
      <c r="J1799" s="8" t="s">
        <v>2019</v>
      </c>
    </row>
    <row r="1800" spans="1:10" ht="16.5" customHeight="1" x14ac:dyDescent="0.25">
      <c r="A1800" s="8" t="s">
        <v>7056</v>
      </c>
      <c r="B1800" s="8" t="s">
        <v>7057</v>
      </c>
      <c r="C1800" s="8" t="s">
        <v>7032</v>
      </c>
      <c r="D1800" s="8" t="s">
        <v>7057</v>
      </c>
      <c r="E1800" s="105">
        <v>9.83</v>
      </c>
      <c r="F1800" s="106" t="s">
        <v>2024</v>
      </c>
      <c r="G1800" s="8"/>
      <c r="H1800" s="8"/>
      <c r="I1800" s="107">
        <v>0</v>
      </c>
      <c r="J1800" s="8" t="s">
        <v>2019</v>
      </c>
    </row>
    <row r="1801" spans="1:10" ht="16.5" customHeight="1" x14ac:dyDescent="0.25">
      <c r="A1801" s="8" t="s">
        <v>7058</v>
      </c>
      <c r="B1801" s="8" t="s">
        <v>7059</v>
      </c>
      <c r="C1801" s="8" t="s">
        <v>7032</v>
      </c>
      <c r="D1801" s="8" t="s">
        <v>7059</v>
      </c>
      <c r="E1801" s="105">
        <v>1.64</v>
      </c>
      <c r="F1801" s="106" t="s">
        <v>2024</v>
      </c>
      <c r="G1801" s="8"/>
      <c r="H1801" s="8"/>
      <c r="I1801" s="107">
        <v>0</v>
      </c>
      <c r="J1801" s="8" t="s">
        <v>2019</v>
      </c>
    </row>
    <row r="1802" spans="1:10" ht="16.5" customHeight="1" x14ac:dyDescent="0.25">
      <c r="A1802" s="8" t="s">
        <v>7060</v>
      </c>
      <c r="B1802" s="8" t="s">
        <v>7061</v>
      </c>
      <c r="C1802" s="8" t="s">
        <v>7035</v>
      </c>
      <c r="D1802" s="8" t="s">
        <v>7061</v>
      </c>
      <c r="E1802" s="105">
        <v>16.38</v>
      </c>
      <c r="F1802" s="106" t="s">
        <v>2024</v>
      </c>
      <c r="G1802" s="8"/>
      <c r="H1802" s="8"/>
      <c r="I1802" s="107">
        <v>0</v>
      </c>
      <c r="J1802" s="8" t="s">
        <v>2019</v>
      </c>
    </row>
    <row r="1803" spans="1:10" ht="16.5" customHeight="1" x14ac:dyDescent="0.25">
      <c r="A1803" s="8" t="s">
        <v>7062</v>
      </c>
      <c r="B1803" s="8" t="s">
        <v>7063</v>
      </c>
      <c r="C1803" s="8" t="s">
        <v>7035</v>
      </c>
      <c r="D1803" s="8" t="s">
        <v>7063</v>
      </c>
      <c r="E1803" s="105">
        <v>4.0999999999999996</v>
      </c>
      <c r="F1803" s="106" t="s">
        <v>2024</v>
      </c>
      <c r="G1803" s="8"/>
      <c r="H1803" s="8"/>
      <c r="I1803" s="107">
        <v>0</v>
      </c>
      <c r="J1803" s="8" t="s">
        <v>2019</v>
      </c>
    </row>
    <row r="1804" spans="1:10" ht="16.5" customHeight="1" x14ac:dyDescent="0.25">
      <c r="A1804" s="8" t="s">
        <v>1153</v>
      </c>
      <c r="B1804" s="8" t="s">
        <v>1155</v>
      </c>
      <c r="C1804" s="8" t="s">
        <v>1154</v>
      </c>
      <c r="D1804" s="8" t="s">
        <v>1155</v>
      </c>
      <c r="E1804" s="105">
        <v>20</v>
      </c>
      <c r="F1804" s="106" t="s">
        <v>2018</v>
      </c>
      <c r="G1804" s="8"/>
      <c r="H1804" s="8"/>
      <c r="I1804" s="107">
        <v>0</v>
      </c>
      <c r="J1804" s="8" t="s">
        <v>2019</v>
      </c>
    </row>
    <row r="1805" spans="1:10" ht="16.5" customHeight="1" x14ac:dyDescent="0.25">
      <c r="A1805" s="8" t="s">
        <v>7064</v>
      </c>
      <c r="B1805" s="8" t="s">
        <v>4581</v>
      </c>
      <c r="C1805" s="8" t="s">
        <v>4582</v>
      </c>
      <c r="D1805" s="8" t="s">
        <v>4581</v>
      </c>
      <c r="E1805" s="105">
        <v>0</v>
      </c>
      <c r="F1805" s="106" t="s">
        <v>2024</v>
      </c>
      <c r="G1805" s="8"/>
      <c r="H1805" s="8"/>
      <c r="I1805" s="107">
        <v>0</v>
      </c>
      <c r="J1805" s="8" t="s">
        <v>4722</v>
      </c>
    </row>
    <row r="1806" spans="1:10" ht="16.5" customHeight="1" x14ac:dyDescent="0.25">
      <c r="A1806" s="8" t="s">
        <v>7065</v>
      </c>
      <c r="B1806" s="8" t="s">
        <v>7066</v>
      </c>
      <c r="C1806" s="8" t="s">
        <v>7067</v>
      </c>
      <c r="D1806" s="8" t="s">
        <v>7066</v>
      </c>
      <c r="E1806" s="105">
        <v>2</v>
      </c>
      <c r="F1806" s="106" t="s">
        <v>2024</v>
      </c>
      <c r="G1806" s="8"/>
      <c r="H1806" s="8"/>
      <c r="I1806" s="107">
        <v>0</v>
      </c>
      <c r="J1806" s="8" t="s">
        <v>5671</v>
      </c>
    </row>
    <row r="1807" spans="1:10" ht="16.5" customHeight="1" x14ac:dyDescent="0.25">
      <c r="A1807" s="8" t="s">
        <v>7068</v>
      </c>
      <c r="B1807" s="8" t="s">
        <v>7069</v>
      </c>
      <c r="C1807" s="8" t="s">
        <v>7070</v>
      </c>
      <c r="D1807" s="8" t="s">
        <v>7069</v>
      </c>
      <c r="E1807" s="105">
        <v>10</v>
      </c>
      <c r="F1807" s="106" t="s">
        <v>2024</v>
      </c>
      <c r="G1807" s="8"/>
      <c r="H1807" s="8"/>
      <c r="I1807" s="107">
        <v>0</v>
      </c>
      <c r="J1807" s="8" t="s">
        <v>5671</v>
      </c>
    </row>
    <row r="1808" spans="1:10" ht="16.5" customHeight="1" x14ac:dyDescent="0.25">
      <c r="A1808" s="8" t="s">
        <v>7071</v>
      </c>
      <c r="B1808" s="8" t="s">
        <v>7072</v>
      </c>
      <c r="C1808" s="8" t="s">
        <v>7070</v>
      </c>
      <c r="D1808" s="8" t="s">
        <v>7072</v>
      </c>
      <c r="E1808" s="105">
        <v>1</v>
      </c>
      <c r="F1808" s="106" t="s">
        <v>2024</v>
      </c>
      <c r="G1808" s="8"/>
      <c r="H1808" s="8"/>
      <c r="I1808" s="107">
        <v>0</v>
      </c>
      <c r="J1808" s="8" t="s">
        <v>5671</v>
      </c>
    </row>
    <row r="1809" spans="1:10" ht="16.5" customHeight="1" x14ac:dyDescent="0.25">
      <c r="A1809" s="8" t="s">
        <v>7073</v>
      </c>
      <c r="B1809" s="8" t="s">
        <v>7074</v>
      </c>
      <c r="C1809" s="8" t="s">
        <v>7075</v>
      </c>
      <c r="D1809" s="8" t="s">
        <v>7074</v>
      </c>
      <c r="E1809" s="105">
        <v>3.3</v>
      </c>
      <c r="F1809" s="106" t="s">
        <v>2024</v>
      </c>
      <c r="G1809" s="8"/>
      <c r="H1809" s="8"/>
      <c r="I1809" s="107">
        <v>0</v>
      </c>
      <c r="J1809" s="8" t="s">
        <v>5671</v>
      </c>
    </row>
    <row r="1810" spans="1:10" ht="16.5" customHeight="1" x14ac:dyDescent="0.25">
      <c r="A1810" s="8" t="s">
        <v>7076</v>
      </c>
      <c r="B1810" s="8" t="s">
        <v>7077</v>
      </c>
      <c r="C1810" s="8" t="s">
        <v>7075</v>
      </c>
      <c r="D1810" s="8" t="s">
        <v>7077</v>
      </c>
      <c r="E1810" s="105">
        <v>0.15</v>
      </c>
      <c r="F1810" s="106" t="s">
        <v>2024</v>
      </c>
      <c r="G1810" s="8"/>
      <c r="H1810" s="8"/>
      <c r="I1810" s="107">
        <v>0</v>
      </c>
      <c r="J1810" s="8" t="s">
        <v>5671</v>
      </c>
    </row>
    <row r="1811" spans="1:10" ht="16.5" customHeight="1" x14ac:dyDescent="0.25">
      <c r="A1811" s="8" t="s">
        <v>7078</v>
      </c>
      <c r="B1811" s="8" t="s">
        <v>7079</v>
      </c>
      <c r="C1811" s="8" t="s">
        <v>6964</v>
      </c>
      <c r="D1811" s="8" t="s">
        <v>7079</v>
      </c>
      <c r="E1811" s="105">
        <v>2.8</v>
      </c>
      <c r="F1811" s="106" t="s">
        <v>2024</v>
      </c>
      <c r="G1811" s="8"/>
      <c r="H1811" s="8"/>
      <c r="I1811" s="107">
        <v>0</v>
      </c>
      <c r="J1811" s="8" t="s">
        <v>5671</v>
      </c>
    </row>
    <row r="1812" spans="1:10" ht="16.5" customHeight="1" x14ac:dyDescent="0.25">
      <c r="A1812" s="8" t="s">
        <v>7080</v>
      </c>
      <c r="B1812" s="8" t="s">
        <v>7081</v>
      </c>
      <c r="C1812" s="8" t="s">
        <v>7082</v>
      </c>
      <c r="D1812" s="8" t="s">
        <v>7081</v>
      </c>
      <c r="E1812" s="105">
        <v>12</v>
      </c>
      <c r="F1812" s="106" t="s">
        <v>2024</v>
      </c>
      <c r="G1812" s="8"/>
      <c r="H1812" s="8"/>
      <c r="I1812" s="107">
        <v>0</v>
      </c>
      <c r="J1812" s="8" t="s">
        <v>6357</v>
      </c>
    </row>
    <row r="1813" spans="1:10" ht="16.5" customHeight="1" x14ac:dyDescent="0.25">
      <c r="A1813" s="8" t="s">
        <v>7083</v>
      </c>
      <c r="B1813" s="8" t="s">
        <v>7084</v>
      </c>
      <c r="C1813" s="8" t="s">
        <v>7085</v>
      </c>
      <c r="D1813" s="8" t="s">
        <v>7084</v>
      </c>
      <c r="E1813" s="105">
        <v>1.5</v>
      </c>
      <c r="F1813" s="106" t="s">
        <v>2024</v>
      </c>
      <c r="G1813" s="8"/>
      <c r="H1813" s="8"/>
      <c r="I1813" s="107">
        <v>0</v>
      </c>
      <c r="J1813" s="8" t="s">
        <v>6357</v>
      </c>
    </row>
    <row r="1814" spans="1:10" ht="16.5" customHeight="1" x14ac:dyDescent="0.25">
      <c r="A1814" s="8" t="s">
        <v>7086</v>
      </c>
      <c r="B1814" s="8" t="s">
        <v>7087</v>
      </c>
      <c r="C1814" s="8" t="s">
        <v>7088</v>
      </c>
      <c r="D1814" s="8" t="s">
        <v>7087</v>
      </c>
      <c r="E1814" s="105">
        <v>15.2</v>
      </c>
      <c r="F1814" s="106" t="s">
        <v>2024</v>
      </c>
      <c r="G1814" s="8"/>
      <c r="H1814" s="8"/>
      <c r="I1814" s="107">
        <v>0</v>
      </c>
      <c r="J1814" s="8" t="s">
        <v>7089</v>
      </c>
    </row>
    <row r="1815" spans="1:10" ht="16.5" customHeight="1" x14ac:dyDescent="0.25">
      <c r="A1815" s="8" t="s">
        <v>7090</v>
      </c>
      <c r="B1815" s="8" t="s">
        <v>7091</v>
      </c>
      <c r="C1815" s="8" t="s">
        <v>7092</v>
      </c>
      <c r="D1815" s="8" t="s">
        <v>7091</v>
      </c>
      <c r="E1815" s="105">
        <v>3.8</v>
      </c>
      <c r="F1815" s="106" t="s">
        <v>2024</v>
      </c>
      <c r="G1815" s="8"/>
      <c r="H1815" s="8"/>
      <c r="I1815" s="107">
        <v>0</v>
      </c>
      <c r="J1815" s="8" t="s">
        <v>6357</v>
      </c>
    </row>
    <row r="1816" spans="1:10" ht="16.5" customHeight="1" x14ac:dyDescent="0.25">
      <c r="A1816" s="8" t="s">
        <v>7093</v>
      </c>
      <c r="B1816" s="8" t="s">
        <v>7094</v>
      </c>
      <c r="C1816" s="8" t="s">
        <v>7095</v>
      </c>
      <c r="D1816" s="8" t="s">
        <v>7094</v>
      </c>
      <c r="E1816" s="105">
        <v>4.5</v>
      </c>
      <c r="F1816" s="106" t="s">
        <v>2018</v>
      </c>
      <c r="G1816" s="8"/>
      <c r="H1816" s="8"/>
      <c r="I1816" s="107">
        <v>0</v>
      </c>
      <c r="J1816" s="8" t="s">
        <v>2019</v>
      </c>
    </row>
    <row r="1817" spans="1:10" ht="16.5" customHeight="1" x14ac:dyDescent="0.25">
      <c r="A1817" s="8" t="s">
        <v>7096</v>
      </c>
      <c r="B1817" s="8" t="s">
        <v>6151</v>
      </c>
      <c r="C1817" s="8" t="s">
        <v>6055</v>
      </c>
      <c r="D1817" s="8" t="s">
        <v>6151</v>
      </c>
      <c r="E1817" s="105">
        <v>0</v>
      </c>
      <c r="F1817" s="106" t="s">
        <v>2024</v>
      </c>
      <c r="G1817" s="8"/>
      <c r="H1817" s="8"/>
      <c r="I1817" s="107">
        <v>0</v>
      </c>
      <c r="J1817" s="8" t="s">
        <v>4722</v>
      </c>
    </row>
    <row r="1818" spans="1:10" ht="16.5" customHeight="1" x14ac:dyDescent="0.25">
      <c r="A1818" s="8" t="s">
        <v>7097</v>
      </c>
      <c r="B1818" s="8" t="s">
        <v>7098</v>
      </c>
      <c r="C1818" s="8" t="s">
        <v>7099</v>
      </c>
      <c r="D1818" s="8" t="s">
        <v>7098</v>
      </c>
      <c r="E1818" s="105">
        <v>19</v>
      </c>
      <c r="F1818" s="106" t="s">
        <v>2024</v>
      </c>
      <c r="G1818" s="8"/>
      <c r="H1818" s="8"/>
      <c r="I1818" s="107">
        <v>0</v>
      </c>
      <c r="J1818" s="8" t="s">
        <v>6357</v>
      </c>
    </row>
    <row r="1819" spans="1:10" ht="16.5" customHeight="1" x14ac:dyDescent="0.25">
      <c r="A1819" s="8" t="s">
        <v>7100</v>
      </c>
      <c r="B1819" s="8" t="s">
        <v>7101</v>
      </c>
      <c r="C1819" s="8" t="s">
        <v>7102</v>
      </c>
      <c r="D1819" s="8" t="s">
        <v>7101</v>
      </c>
      <c r="E1819" s="105">
        <v>0</v>
      </c>
      <c r="F1819" s="106" t="s">
        <v>2024</v>
      </c>
      <c r="G1819" s="8"/>
      <c r="H1819" s="8"/>
      <c r="I1819" s="107">
        <v>0</v>
      </c>
      <c r="J1819" s="8" t="s">
        <v>4722</v>
      </c>
    </row>
    <row r="1820" spans="1:10" ht="16.5" customHeight="1" x14ac:dyDescent="0.25">
      <c r="A1820" s="8" t="s">
        <v>1251</v>
      </c>
      <c r="B1820" s="8" t="s">
        <v>1253</v>
      </c>
      <c r="C1820" s="8" t="s">
        <v>1252</v>
      </c>
      <c r="D1820" s="8" t="s">
        <v>1253</v>
      </c>
      <c r="E1820" s="105">
        <v>20</v>
      </c>
      <c r="F1820" s="106" t="s">
        <v>2018</v>
      </c>
      <c r="G1820" s="8"/>
      <c r="H1820" s="8"/>
      <c r="I1820" s="107">
        <v>0</v>
      </c>
      <c r="J1820" s="8" t="s">
        <v>2019</v>
      </c>
    </row>
    <row r="1821" spans="1:10" ht="16.5" customHeight="1" x14ac:dyDescent="0.25">
      <c r="A1821" s="8" t="s">
        <v>7103</v>
      </c>
      <c r="B1821" s="8" t="s">
        <v>6111</v>
      </c>
      <c r="C1821" s="8" t="s">
        <v>5995</v>
      </c>
      <c r="D1821" s="8" t="s">
        <v>6112</v>
      </c>
      <c r="E1821" s="105">
        <v>0.17</v>
      </c>
      <c r="F1821" s="106" t="s">
        <v>2024</v>
      </c>
      <c r="G1821" s="8"/>
      <c r="H1821" s="8"/>
      <c r="I1821" s="107">
        <v>0</v>
      </c>
      <c r="J1821" s="8" t="s">
        <v>5929</v>
      </c>
    </row>
    <row r="1822" spans="1:10" ht="16.5" customHeight="1" x14ac:dyDescent="0.25">
      <c r="A1822" s="8" t="s">
        <v>7104</v>
      </c>
      <c r="B1822" s="8" t="s">
        <v>7105</v>
      </c>
      <c r="C1822" s="8" t="s">
        <v>7106</v>
      </c>
      <c r="D1822" s="8" t="s">
        <v>7105</v>
      </c>
      <c r="E1822" s="105">
        <v>7.8</v>
      </c>
      <c r="F1822" s="106" t="s">
        <v>2024</v>
      </c>
      <c r="G1822" s="8"/>
      <c r="H1822" s="8"/>
      <c r="I1822" s="107">
        <v>0</v>
      </c>
      <c r="J1822" s="8" t="s">
        <v>5929</v>
      </c>
    </row>
    <row r="1823" spans="1:10" ht="16.5" customHeight="1" x14ac:dyDescent="0.25">
      <c r="A1823" s="8" t="s">
        <v>7107</v>
      </c>
      <c r="B1823" s="8" t="s">
        <v>7108</v>
      </c>
      <c r="C1823" s="8" t="s">
        <v>7109</v>
      </c>
      <c r="D1823" s="8" t="s">
        <v>7108</v>
      </c>
      <c r="E1823" s="105">
        <v>0.19500000000000001</v>
      </c>
      <c r="F1823" s="106" t="s">
        <v>2024</v>
      </c>
      <c r="G1823" s="8"/>
      <c r="H1823" s="8"/>
      <c r="I1823" s="107">
        <v>0</v>
      </c>
      <c r="J1823" s="8" t="s">
        <v>5929</v>
      </c>
    </row>
    <row r="1824" spans="1:10" ht="16.5" customHeight="1" x14ac:dyDescent="0.25">
      <c r="A1824" s="8" t="s">
        <v>7110</v>
      </c>
      <c r="B1824" s="8" t="s">
        <v>7111</v>
      </c>
      <c r="C1824" s="8" t="s">
        <v>7112</v>
      </c>
      <c r="D1824" s="8" t="s">
        <v>7111</v>
      </c>
      <c r="E1824" s="105">
        <v>7.8</v>
      </c>
      <c r="F1824" s="106" t="s">
        <v>2024</v>
      </c>
      <c r="G1824" s="8"/>
      <c r="H1824" s="8"/>
      <c r="I1824" s="107">
        <v>0</v>
      </c>
      <c r="J1824" s="8" t="s">
        <v>5929</v>
      </c>
    </row>
    <row r="1825" spans="1:10" ht="16.5" customHeight="1" x14ac:dyDescent="0.25">
      <c r="A1825" s="8" t="s">
        <v>7113</v>
      </c>
      <c r="B1825" s="8" t="s">
        <v>7114</v>
      </c>
      <c r="C1825" s="8" t="s">
        <v>7115</v>
      </c>
      <c r="D1825" s="8" t="s">
        <v>7114</v>
      </c>
      <c r="E1825" s="105">
        <v>0.19500000000000001</v>
      </c>
      <c r="F1825" s="106" t="s">
        <v>2024</v>
      </c>
      <c r="G1825" s="8"/>
      <c r="H1825" s="8"/>
      <c r="I1825" s="107">
        <v>0</v>
      </c>
      <c r="J1825" s="8" t="s">
        <v>5929</v>
      </c>
    </row>
    <row r="1826" spans="1:10" ht="16.5" customHeight="1" x14ac:dyDescent="0.25">
      <c r="A1826" s="8" t="s">
        <v>7116</v>
      </c>
      <c r="B1826" s="8" t="s">
        <v>7117</v>
      </c>
      <c r="C1826" s="8" t="s">
        <v>7118</v>
      </c>
      <c r="D1826" s="8" t="s">
        <v>7117</v>
      </c>
      <c r="E1826" s="105">
        <v>25</v>
      </c>
      <c r="F1826" s="106" t="s">
        <v>2024</v>
      </c>
      <c r="G1826" s="8"/>
      <c r="H1826" s="8"/>
      <c r="I1826" s="107">
        <v>0</v>
      </c>
      <c r="J1826" s="8" t="s">
        <v>3580</v>
      </c>
    </row>
    <row r="1827" spans="1:10" ht="16.5" customHeight="1" x14ac:dyDescent="0.25">
      <c r="A1827" s="8" t="s">
        <v>7119</v>
      </c>
      <c r="B1827" s="8" t="s">
        <v>7120</v>
      </c>
      <c r="C1827" s="8" t="s">
        <v>7121</v>
      </c>
      <c r="D1827" s="8" t="s">
        <v>7120</v>
      </c>
      <c r="E1827" s="105">
        <v>25</v>
      </c>
      <c r="F1827" s="106" t="s">
        <v>2024</v>
      </c>
      <c r="G1827" s="8"/>
      <c r="H1827" s="8"/>
      <c r="I1827" s="107">
        <v>0</v>
      </c>
      <c r="J1827" s="8" t="s">
        <v>3580</v>
      </c>
    </row>
    <row r="1828" spans="1:10" ht="16.5" customHeight="1" x14ac:dyDescent="0.25">
      <c r="A1828" s="8" t="s">
        <v>7122</v>
      </c>
      <c r="B1828" s="8" t="s">
        <v>7123</v>
      </c>
      <c r="C1828" s="8" t="s">
        <v>7124</v>
      </c>
      <c r="D1828" s="8" t="s">
        <v>7123</v>
      </c>
      <c r="E1828" s="105">
        <v>15</v>
      </c>
      <c r="F1828" s="106" t="s">
        <v>2024</v>
      </c>
      <c r="G1828" s="8"/>
      <c r="H1828" s="8"/>
      <c r="I1828" s="107">
        <v>0</v>
      </c>
      <c r="J1828" s="8" t="s">
        <v>3580</v>
      </c>
    </row>
    <row r="1829" spans="1:10" ht="16.5" customHeight="1" x14ac:dyDescent="0.25">
      <c r="A1829" s="8" t="s">
        <v>7125</v>
      </c>
      <c r="B1829" s="8" t="s">
        <v>7126</v>
      </c>
      <c r="C1829" s="8" t="s">
        <v>7127</v>
      </c>
      <c r="D1829" s="8" t="s">
        <v>7126</v>
      </c>
      <c r="E1829" s="105">
        <v>9</v>
      </c>
      <c r="F1829" s="106" t="s">
        <v>2018</v>
      </c>
      <c r="G1829" s="8"/>
      <c r="H1829" s="8"/>
      <c r="I1829" s="107">
        <v>0</v>
      </c>
      <c r="J1829" s="8" t="s">
        <v>2019</v>
      </c>
    </row>
    <row r="1830" spans="1:10" ht="16.5" customHeight="1" x14ac:dyDescent="0.25">
      <c r="A1830" s="8" t="s">
        <v>7128</v>
      </c>
      <c r="B1830" s="8" t="s">
        <v>7129</v>
      </c>
      <c r="C1830" s="8" t="s">
        <v>7127</v>
      </c>
      <c r="D1830" s="8" t="s">
        <v>7129</v>
      </c>
      <c r="E1830" s="105">
        <v>18</v>
      </c>
      <c r="F1830" s="106" t="s">
        <v>2018</v>
      </c>
      <c r="G1830" s="8"/>
      <c r="H1830" s="8" t="s">
        <v>7125</v>
      </c>
      <c r="I1830" s="107">
        <v>2</v>
      </c>
      <c r="J1830" s="8" t="s">
        <v>2019</v>
      </c>
    </row>
    <row r="1831" spans="1:10" ht="16.5" customHeight="1" x14ac:dyDescent="0.25">
      <c r="A1831" s="8" t="s">
        <v>7130</v>
      </c>
      <c r="B1831" s="8" t="s">
        <v>7131</v>
      </c>
      <c r="C1831" s="8" t="s">
        <v>7132</v>
      </c>
      <c r="D1831" s="8" t="s">
        <v>7131</v>
      </c>
      <c r="E1831" s="105">
        <v>18</v>
      </c>
      <c r="F1831" s="106" t="s">
        <v>2018</v>
      </c>
      <c r="G1831" s="8"/>
      <c r="H1831" s="8"/>
      <c r="I1831" s="107">
        <v>0</v>
      </c>
      <c r="J1831" s="8" t="s">
        <v>2019</v>
      </c>
    </row>
    <row r="1832" spans="1:10" ht="16.5" customHeight="1" x14ac:dyDescent="0.25">
      <c r="A1832" s="8" t="s">
        <v>1103</v>
      </c>
      <c r="B1832" s="8" t="s">
        <v>1105</v>
      </c>
      <c r="C1832" s="8" t="s">
        <v>1104</v>
      </c>
      <c r="D1832" s="8" t="s">
        <v>1105</v>
      </c>
      <c r="E1832" s="105">
        <v>25</v>
      </c>
      <c r="F1832" s="106" t="s">
        <v>2018</v>
      </c>
      <c r="G1832" s="8"/>
      <c r="H1832" s="8"/>
      <c r="I1832" s="107">
        <v>0</v>
      </c>
      <c r="J1832" s="8" t="s">
        <v>2019</v>
      </c>
    </row>
    <row r="1833" spans="1:10" ht="16.5" customHeight="1" x14ac:dyDescent="0.25">
      <c r="A1833" s="8" t="s">
        <v>7133</v>
      </c>
      <c r="B1833" s="8" t="s">
        <v>7134</v>
      </c>
      <c r="C1833" s="8" t="s">
        <v>7135</v>
      </c>
      <c r="D1833" s="8" t="s">
        <v>7134</v>
      </c>
      <c r="E1833" s="105">
        <v>0</v>
      </c>
      <c r="F1833" s="106" t="s">
        <v>2024</v>
      </c>
      <c r="G1833" s="8"/>
      <c r="H1833" s="8"/>
      <c r="I1833" s="107">
        <v>0</v>
      </c>
      <c r="J1833" s="8" t="s">
        <v>4722</v>
      </c>
    </row>
    <row r="1834" spans="1:10" ht="16.5" customHeight="1" x14ac:dyDescent="0.25">
      <c r="A1834" s="8" t="s">
        <v>7136</v>
      </c>
      <c r="B1834" s="8" t="s">
        <v>7137</v>
      </c>
      <c r="C1834" s="8" t="s">
        <v>7138</v>
      </c>
      <c r="D1834" s="8" t="s">
        <v>7137</v>
      </c>
      <c r="E1834" s="105">
        <v>0</v>
      </c>
      <c r="F1834" s="106" t="s">
        <v>2024</v>
      </c>
      <c r="G1834" s="8"/>
      <c r="H1834" s="8"/>
      <c r="I1834" s="107">
        <v>0</v>
      </c>
      <c r="J1834" s="8" t="s">
        <v>4722</v>
      </c>
    </row>
    <row r="1835" spans="1:10" ht="16.5" customHeight="1" x14ac:dyDescent="0.25">
      <c r="A1835" s="8" t="s">
        <v>7139</v>
      </c>
      <c r="B1835" s="8" t="s">
        <v>6112</v>
      </c>
      <c r="C1835" s="8" t="s">
        <v>5995</v>
      </c>
      <c r="D1835" s="8" t="s">
        <v>6112</v>
      </c>
      <c r="E1835" s="105">
        <v>0</v>
      </c>
      <c r="F1835" s="106" t="s">
        <v>2024</v>
      </c>
      <c r="G1835" s="8"/>
      <c r="H1835" s="8"/>
      <c r="I1835" s="107">
        <v>0</v>
      </c>
      <c r="J1835" s="8" t="s">
        <v>4722</v>
      </c>
    </row>
    <row r="1836" spans="1:10" ht="16.5" customHeight="1" x14ac:dyDescent="0.25">
      <c r="A1836" s="8" t="s">
        <v>7140</v>
      </c>
      <c r="B1836" s="8" t="s">
        <v>7141</v>
      </c>
      <c r="C1836" s="8" t="s">
        <v>7142</v>
      </c>
      <c r="D1836" s="8" t="s">
        <v>7141</v>
      </c>
      <c r="E1836" s="105">
        <v>0</v>
      </c>
      <c r="F1836" s="106" t="s">
        <v>2024</v>
      </c>
      <c r="G1836" s="8"/>
      <c r="H1836" s="8"/>
      <c r="I1836" s="107">
        <v>0</v>
      </c>
      <c r="J1836" s="8" t="s">
        <v>4722</v>
      </c>
    </row>
    <row r="1837" spans="1:10" ht="16.5" customHeight="1" x14ac:dyDescent="0.25">
      <c r="A1837" s="8" t="s">
        <v>7143</v>
      </c>
      <c r="B1837" s="8" t="s">
        <v>7144</v>
      </c>
      <c r="C1837" s="8" t="s">
        <v>7145</v>
      </c>
      <c r="D1837" s="8" t="s">
        <v>7144</v>
      </c>
      <c r="E1837" s="105">
        <v>0</v>
      </c>
      <c r="F1837" s="106" t="s">
        <v>2024</v>
      </c>
      <c r="G1837" s="8"/>
      <c r="H1837" s="8"/>
      <c r="I1837" s="107">
        <v>0</v>
      </c>
      <c r="J1837" s="8" t="s">
        <v>4722</v>
      </c>
    </row>
    <row r="1838" spans="1:10" ht="16.5" customHeight="1" x14ac:dyDescent="0.25">
      <c r="A1838" s="8" t="s">
        <v>7146</v>
      </c>
      <c r="B1838" s="8" t="s">
        <v>3506</v>
      </c>
      <c r="C1838" s="8" t="s">
        <v>3507</v>
      </c>
      <c r="D1838" s="8" t="s">
        <v>3508</v>
      </c>
      <c r="E1838" s="105">
        <v>5.46</v>
      </c>
      <c r="F1838" s="106" t="s">
        <v>2024</v>
      </c>
      <c r="G1838" s="8"/>
      <c r="H1838" s="8"/>
      <c r="I1838" s="107">
        <v>0</v>
      </c>
      <c r="J1838" s="8" t="s">
        <v>4722</v>
      </c>
    </row>
    <row r="1839" spans="1:10" ht="16.5" customHeight="1" x14ac:dyDescent="0.25">
      <c r="A1839" s="8" t="s">
        <v>7147</v>
      </c>
      <c r="B1839" s="8" t="s">
        <v>970</v>
      </c>
      <c r="C1839" s="8" t="s">
        <v>969</v>
      </c>
      <c r="D1839" s="8" t="s">
        <v>3469</v>
      </c>
      <c r="E1839" s="105">
        <v>10.92</v>
      </c>
      <c r="F1839" s="106" t="s">
        <v>2024</v>
      </c>
      <c r="G1839" s="8"/>
      <c r="H1839" s="8"/>
      <c r="I1839" s="107">
        <v>0</v>
      </c>
      <c r="J1839" s="8" t="s">
        <v>2019</v>
      </c>
    </row>
    <row r="1840" spans="1:10" ht="16.5" customHeight="1" x14ac:dyDescent="0.25">
      <c r="A1840" s="8" t="s">
        <v>7148</v>
      </c>
      <c r="B1840" s="8" t="s">
        <v>7149</v>
      </c>
      <c r="C1840" s="8" t="s">
        <v>7150</v>
      </c>
      <c r="D1840" s="8" t="s">
        <v>7149</v>
      </c>
      <c r="E1840" s="105">
        <v>0</v>
      </c>
      <c r="F1840" s="106" t="s">
        <v>2024</v>
      </c>
      <c r="G1840" s="8"/>
      <c r="H1840" s="8"/>
      <c r="I1840" s="107">
        <v>0</v>
      </c>
      <c r="J1840" s="8" t="s">
        <v>4722</v>
      </c>
    </row>
    <row r="1841" spans="1:10" ht="16.5" customHeight="1" x14ac:dyDescent="0.25">
      <c r="A1841" s="8" t="s">
        <v>7151</v>
      </c>
      <c r="B1841" s="8" t="s">
        <v>5879</v>
      </c>
      <c r="C1841" s="8" t="s">
        <v>7152</v>
      </c>
      <c r="D1841" s="8" t="s">
        <v>5879</v>
      </c>
      <c r="E1841" s="105">
        <v>0</v>
      </c>
      <c r="F1841" s="106" t="s">
        <v>2024</v>
      </c>
      <c r="G1841" s="8"/>
      <c r="H1841" s="8"/>
      <c r="I1841" s="107">
        <v>0</v>
      </c>
      <c r="J1841" s="8" t="s">
        <v>4722</v>
      </c>
    </row>
    <row r="1842" spans="1:10" ht="16.5" customHeight="1" x14ac:dyDescent="0.25">
      <c r="A1842" s="8" t="s">
        <v>7153</v>
      </c>
      <c r="B1842" s="8" t="s">
        <v>7154</v>
      </c>
      <c r="C1842" s="8" t="s">
        <v>7155</v>
      </c>
      <c r="D1842" s="8" t="s">
        <v>7154</v>
      </c>
      <c r="E1842" s="105">
        <v>0</v>
      </c>
      <c r="F1842" s="106" t="s">
        <v>2024</v>
      </c>
      <c r="G1842" s="8"/>
      <c r="H1842" s="8"/>
      <c r="I1842" s="107">
        <v>0</v>
      </c>
      <c r="J1842" s="8" t="s">
        <v>4722</v>
      </c>
    </row>
    <row r="1843" spans="1:10" ht="16.5" customHeight="1" x14ac:dyDescent="0.25">
      <c r="A1843" s="8" t="s">
        <v>7156</v>
      </c>
      <c r="B1843" s="8" t="s">
        <v>7157</v>
      </c>
      <c r="C1843" s="8" t="s">
        <v>7158</v>
      </c>
      <c r="D1843" s="8" t="s">
        <v>7157</v>
      </c>
      <c r="E1843" s="105">
        <v>9</v>
      </c>
      <c r="F1843" s="106" t="s">
        <v>2024</v>
      </c>
      <c r="G1843" s="8"/>
      <c r="H1843" s="8"/>
      <c r="I1843" s="107">
        <v>0</v>
      </c>
      <c r="J1843" s="8" t="s">
        <v>2019</v>
      </c>
    </row>
    <row r="1844" spans="1:10" ht="16.5" customHeight="1" x14ac:dyDescent="0.25">
      <c r="A1844" s="8" t="s">
        <v>7159</v>
      </c>
      <c r="B1844" s="8" t="s">
        <v>7160</v>
      </c>
      <c r="C1844" s="8" t="s">
        <v>7161</v>
      </c>
      <c r="D1844" s="8" t="s">
        <v>7160</v>
      </c>
      <c r="E1844" s="105">
        <v>18</v>
      </c>
      <c r="F1844" s="106" t="s">
        <v>2024</v>
      </c>
      <c r="G1844" s="8"/>
      <c r="H1844" s="8"/>
      <c r="I1844" s="107">
        <v>0</v>
      </c>
      <c r="J1844" s="8" t="s">
        <v>2019</v>
      </c>
    </row>
    <row r="1845" spans="1:10" ht="16.5" customHeight="1" x14ac:dyDescent="0.25">
      <c r="A1845" s="8" t="s">
        <v>7162</v>
      </c>
      <c r="B1845" s="8" t="s">
        <v>7141</v>
      </c>
      <c r="C1845" s="8" t="s">
        <v>7142</v>
      </c>
      <c r="D1845" s="8" t="s">
        <v>7141</v>
      </c>
      <c r="E1845" s="105">
        <v>5</v>
      </c>
      <c r="F1845" s="106" t="s">
        <v>2024</v>
      </c>
      <c r="G1845" s="8"/>
      <c r="H1845" s="8"/>
      <c r="I1845" s="107">
        <v>0</v>
      </c>
      <c r="J1845" s="8" t="s">
        <v>5366</v>
      </c>
    </row>
    <row r="1846" spans="1:10" ht="16.5" customHeight="1" x14ac:dyDescent="0.25">
      <c r="A1846" s="8" t="s">
        <v>7163</v>
      </c>
      <c r="B1846" s="8" t="s">
        <v>7144</v>
      </c>
      <c r="C1846" s="8" t="s">
        <v>7145</v>
      </c>
      <c r="D1846" s="8" t="s">
        <v>7144</v>
      </c>
      <c r="E1846" s="105">
        <v>5</v>
      </c>
      <c r="F1846" s="106" t="s">
        <v>2024</v>
      </c>
      <c r="G1846" s="8"/>
      <c r="H1846" s="8"/>
      <c r="I1846" s="107">
        <v>0</v>
      </c>
      <c r="J1846" s="8" t="s">
        <v>5366</v>
      </c>
    </row>
    <row r="1847" spans="1:10" ht="16.5" customHeight="1" x14ac:dyDescent="0.25">
      <c r="A1847" s="8" t="s">
        <v>7164</v>
      </c>
      <c r="B1847" s="8" t="s">
        <v>7165</v>
      </c>
      <c r="C1847" s="8" t="s">
        <v>7166</v>
      </c>
      <c r="D1847" s="8" t="s">
        <v>7165</v>
      </c>
      <c r="E1847" s="105">
        <v>20</v>
      </c>
      <c r="F1847" s="106" t="s">
        <v>2024</v>
      </c>
      <c r="G1847" s="8"/>
      <c r="H1847" s="8"/>
      <c r="I1847" s="107">
        <v>0</v>
      </c>
      <c r="J1847" s="8" t="s">
        <v>2019</v>
      </c>
    </row>
    <row r="1848" spans="1:10" ht="16.5" customHeight="1" x14ac:dyDescent="0.25">
      <c r="A1848" s="8" t="s">
        <v>7167</v>
      </c>
      <c r="B1848" s="8" t="s">
        <v>5239</v>
      </c>
      <c r="C1848" s="8" t="s">
        <v>5240</v>
      </c>
      <c r="D1848" s="8" t="s">
        <v>5239</v>
      </c>
      <c r="E1848" s="105">
        <v>0</v>
      </c>
      <c r="F1848" s="106" t="s">
        <v>2018</v>
      </c>
      <c r="G1848" s="8"/>
      <c r="H1848" s="8"/>
      <c r="I1848" s="107">
        <v>0</v>
      </c>
      <c r="J1848" s="8" t="s">
        <v>4722</v>
      </c>
    </row>
    <row r="1849" spans="1:10" ht="16.5" customHeight="1" x14ac:dyDescent="0.25">
      <c r="A1849" s="8" t="s">
        <v>7168</v>
      </c>
      <c r="B1849" s="8" t="s">
        <v>7169</v>
      </c>
      <c r="C1849" s="8" t="s">
        <v>6621</v>
      </c>
      <c r="D1849" s="8" t="s">
        <v>7169</v>
      </c>
      <c r="E1849" s="105">
        <v>0</v>
      </c>
      <c r="F1849" s="106" t="s">
        <v>2024</v>
      </c>
      <c r="G1849" s="8"/>
      <c r="H1849" s="8"/>
      <c r="I1849" s="107">
        <v>0</v>
      </c>
      <c r="J1849" s="8" t="s">
        <v>4722</v>
      </c>
    </row>
    <row r="1850" spans="1:10" ht="16.5" customHeight="1" x14ac:dyDescent="0.25">
      <c r="A1850" s="8" t="s">
        <v>1269</v>
      </c>
      <c r="B1850" s="8" t="s">
        <v>1271</v>
      </c>
      <c r="C1850" s="8" t="s">
        <v>1270</v>
      </c>
      <c r="D1850" s="8" t="s">
        <v>1271</v>
      </c>
      <c r="E1850" s="105">
        <v>20</v>
      </c>
      <c r="F1850" s="106" t="s">
        <v>2018</v>
      </c>
      <c r="G1850" s="8"/>
      <c r="H1850" s="8"/>
      <c r="I1850" s="107">
        <v>0</v>
      </c>
      <c r="J1850" s="8" t="s">
        <v>2019</v>
      </c>
    </row>
    <row r="1851" spans="1:10" ht="16.5" customHeight="1" x14ac:dyDescent="0.25">
      <c r="A1851" s="8" t="s">
        <v>7170</v>
      </c>
      <c r="B1851" s="8" t="s">
        <v>7171</v>
      </c>
      <c r="C1851" s="8" t="s">
        <v>7172</v>
      </c>
      <c r="D1851" s="8" t="s">
        <v>7171</v>
      </c>
      <c r="E1851" s="105">
        <v>12</v>
      </c>
      <c r="F1851" s="106" t="s">
        <v>2024</v>
      </c>
      <c r="G1851" s="8"/>
      <c r="H1851" s="8"/>
      <c r="I1851" s="107">
        <v>0</v>
      </c>
      <c r="J1851" s="8" t="s">
        <v>5929</v>
      </c>
    </row>
    <row r="1852" spans="1:10" ht="16.5" customHeight="1" x14ac:dyDescent="0.25">
      <c r="A1852" s="8" t="s">
        <v>7173</v>
      </c>
      <c r="B1852" s="8" t="s">
        <v>7174</v>
      </c>
      <c r="C1852" s="8" t="s">
        <v>7174</v>
      </c>
      <c r="D1852" s="8" t="s">
        <v>7174</v>
      </c>
      <c r="E1852" s="105">
        <v>3</v>
      </c>
      <c r="F1852" s="106" t="s">
        <v>2024</v>
      </c>
      <c r="G1852" s="8"/>
      <c r="H1852" s="8"/>
      <c r="I1852" s="107">
        <v>0</v>
      </c>
      <c r="J1852" s="8" t="s">
        <v>5929</v>
      </c>
    </row>
    <row r="1853" spans="1:10" ht="16.5" customHeight="1" x14ac:dyDescent="0.25">
      <c r="A1853" s="8" t="s">
        <v>7175</v>
      </c>
      <c r="B1853" s="8" t="s">
        <v>7176</v>
      </c>
      <c r="C1853" s="8" t="s">
        <v>7177</v>
      </c>
      <c r="D1853" s="8" t="s">
        <v>7176</v>
      </c>
      <c r="E1853" s="105">
        <v>0</v>
      </c>
      <c r="F1853" s="106" t="s">
        <v>2024</v>
      </c>
      <c r="G1853" s="8"/>
      <c r="H1853" s="8"/>
      <c r="I1853" s="107">
        <v>0</v>
      </c>
      <c r="J1853" s="8" t="s">
        <v>4722</v>
      </c>
    </row>
    <row r="1854" spans="1:10" ht="16.5" customHeight="1" x14ac:dyDescent="0.25">
      <c r="A1854" s="8" t="s">
        <v>7178</v>
      </c>
      <c r="B1854" s="8" t="s">
        <v>7179</v>
      </c>
      <c r="C1854" s="8" t="s">
        <v>7180</v>
      </c>
      <c r="D1854" s="8" t="s">
        <v>7179</v>
      </c>
      <c r="E1854" s="105">
        <v>7.28</v>
      </c>
      <c r="F1854" s="106" t="s">
        <v>2024</v>
      </c>
      <c r="G1854" s="8"/>
      <c r="H1854" s="8"/>
      <c r="I1854" s="107">
        <v>0</v>
      </c>
      <c r="J1854" s="8" t="s">
        <v>2019</v>
      </c>
    </row>
    <row r="1855" spans="1:10" ht="16.5" customHeight="1" x14ac:dyDescent="0.25">
      <c r="A1855" s="8" t="s">
        <v>7181</v>
      </c>
      <c r="B1855" s="8" t="s">
        <v>7182</v>
      </c>
      <c r="C1855" s="8" t="s">
        <v>7183</v>
      </c>
      <c r="D1855" s="8" t="s">
        <v>7182</v>
      </c>
      <c r="E1855" s="105">
        <v>10.92</v>
      </c>
      <c r="F1855" s="106" t="s">
        <v>2018</v>
      </c>
      <c r="G1855" s="8"/>
      <c r="H1855" s="8"/>
      <c r="I1855" s="107">
        <v>0</v>
      </c>
      <c r="J1855" s="8" t="s">
        <v>2019</v>
      </c>
    </row>
    <row r="1856" spans="1:10" ht="16.5" customHeight="1" x14ac:dyDescent="0.25">
      <c r="A1856" s="8" t="s">
        <v>7184</v>
      </c>
      <c r="B1856" s="8" t="s">
        <v>7185</v>
      </c>
      <c r="C1856" s="8" t="s">
        <v>7186</v>
      </c>
      <c r="D1856" s="8" t="s">
        <v>7185</v>
      </c>
      <c r="E1856" s="105">
        <v>18.2</v>
      </c>
      <c r="F1856" s="106" t="s">
        <v>2018</v>
      </c>
      <c r="G1856" s="8"/>
      <c r="H1856" s="8"/>
      <c r="I1856" s="107">
        <v>0</v>
      </c>
      <c r="J1856" s="8" t="s">
        <v>2019</v>
      </c>
    </row>
    <row r="1857" spans="1:10" ht="16.5" customHeight="1" x14ac:dyDescent="0.25">
      <c r="A1857" s="8" t="s">
        <v>7187</v>
      </c>
      <c r="B1857" s="8" t="s">
        <v>7188</v>
      </c>
      <c r="C1857" s="8" t="s">
        <v>7189</v>
      </c>
      <c r="D1857" s="8" t="s">
        <v>7188</v>
      </c>
      <c r="E1857" s="105">
        <v>0</v>
      </c>
      <c r="F1857" s="106" t="s">
        <v>2024</v>
      </c>
      <c r="G1857" s="8"/>
      <c r="H1857" s="8"/>
      <c r="I1857" s="107">
        <v>0</v>
      </c>
      <c r="J1857" s="8" t="s">
        <v>4722</v>
      </c>
    </row>
    <row r="1858" spans="1:10" ht="16.5" customHeight="1" x14ac:dyDescent="0.25">
      <c r="A1858" s="8" t="s">
        <v>7190</v>
      </c>
      <c r="B1858" s="8" t="s">
        <v>7191</v>
      </c>
      <c r="C1858" s="8" t="s">
        <v>7192</v>
      </c>
      <c r="D1858" s="8" t="s">
        <v>7191</v>
      </c>
      <c r="E1858" s="105">
        <v>0</v>
      </c>
      <c r="F1858" s="106" t="s">
        <v>2024</v>
      </c>
      <c r="G1858" s="8"/>
      <c r="H1858" s="8"/>
      <c r="I1858" s="107">
        <v>0</v>
      </c>
      <c r="J1858" s="8" t="s">
        <v>4722</v>
      </c>
    </row>
    <row r="1859" spans="1:10" ht="16.5" customHeight="1" x14ac:dyDescent="0.25">
      <c r="A1859" s="8" t="s">
        <v>7193</v>
      </c>
      <c r="B1859" s="8" t="s">
        <v>7194</v>
      </c>
      <c r="C1859" s="8" t="s">
        <v>7195</v>
      </c>
      <c r="D1859" s="8" t="s">
        <v>7194</v>
      </c>
      <c r="E1859" s="105">
        <v>0</v>
      </c>
      <c r="F1859" s="106" t="s">
        <v>2024</v>
      </c>
      <c r="G1859" s="8"/>
      <c r="H1859" s="8"/>
      <c r="I1859" s="107">
        <v>0</v>
      </c>
      <c r="J1859" s="8" t="s">
        <v>4722</v>
      </c>
    </row>
    <row r="1860" spans="1:10" ht="16.5" customHeight="1" x14ac:dyDescent="0.25">
      <c r="A1860" s="8" t="s">
        <v>7196</v>
      </c>
      <c r="B1860" s="8" t="s">
        <v>7197</v>
      </c>
      <c r="C1860" s="8" t="s">
        <v>7198</v>
      </c>
      <c r="D1860" s="8" t="s">
        <v>7197</v>
      </c>
      <c r="E1860" s="105">
        <v>12.047000000000001</v>
      </c>
      <c r="F1860" s="106" t="s">
        <v>2024</v>
      </c>
      <c r="G1860" s="8" t="s">
        <v>1541</v>
      </c>
      <c r="H1860" s="8" t="s">
        <v>7199</v>
      </c>
      <c r="I1860" s="107">
        <v>24</v>
      </c>
      <c r="J1860" s="8" t="s">
        <v>4789</v>
      </c>
    </row>
    <row r="1861" spans="1:10" ht="16.5" customHeight="1" x14ac:dyDescent="0.25">
      <c r="A1861" s="8" t="s">
        <v>7199</v>
      </c>
      <c r="B1861" s="8" t="s">
        <v>7200</v>
      </c>
      <c r="C1861" s="8" t="s">
        <v>7201</v>
      </c>
      <c r="D1861" s="8" t="s">
        <v>7200</v>
      </c>
      <c r="E1861" s="105">
        <v>0.502</v>
      </c>
      <c r="F1861" s="106" t="s">
        <v>2024</v>
      </c>
      <c r="G1861" s="8" t="s">
        <v>1541</v>
      </c>
      <c r="H1861" s="8"/>
      <c r="I1861" s="107">
        <v>0</v>
      </c>
      <c r="J1861" s="8" t="s">
        <v>5929</v>
      </c>
    </row>
    <row r="1862" spans="1:10" ht="16.5" customHeight="1" x14ac:dyDescent="0.25">
      <c r="A1862" s="8" t="s">
        <v>7202</v>
      </c>
      <c r="B1862" s="8" t="s">
        <v>7203</v>
      </c>
      <c r="C1862" s="8" t="s">
        <v>7204</v>
      </c>
      <c r="D1862" s="8" t="s">
        <v>7203</v>
      </c>
      <c r="E1862" s="105">
        <v>12.8607</v>
      </c>
      <c r="F1862" s="106" t="s">
        <v>2024</v>
      </c>
      <c r="G1862" s="8" t="s">
        <v>1541</v>
      </c>
      <c r="H1862" s="8" t="s">
        <v>7205</v>
      </c>
      <c r="I1862" s="107">
        <v>6</v>
      </c>
      <c r="J1862" s="8" t="s">
        <v>5929</v>
      </c>
    </row>
    <row r="1863" spans="1:10" ht="16.5" customHeight="1" x14ac:dyDescent="0.25">
      <c r="A1863" s="8" t="s">
        <v>7205</v>
      </c>
      <c r="B1863" s="8" t="s">
        <v>7206</v>
      </c>
      <c r="C1863" s="8" t="s">
        <v>7207</v>
      </c>
      <c r="D1863" s="8" t="s">
        <v>7206</v>
      </c>
      <c r="E1863" s="105">
        <v>2.1435</v>
      </c>
      <c r="F1863" s="106" t="s">
        <v>2024</v>
      </c>
      <c r="G1863" s="8" t="s">
        <v>1541</v>
      </c>
      <c r="H1863" s="8"/>
      <c r="I1863" s="107">
        <v>0</v>
      </c>
      <c r="J1863" s="8" t="s">
        <v>5929</v>
      </c>
    </row>
    <row r="1864" spans="1:10" ht="16.5" customHeight="1" x14ac:dyDescent="0.25">
      <c r="A1864" s="8" t="s">
        <v>7208</v>
      </c>
      <c r="B1864" s="8" t="s">
        <v>7209</v>
      </c>
      <c r="C1864" s="8" t="s">
        <v>7210</v>
      </c>
      <c r="D1864" s="8" t="s">
        <v>7209</v>
      </c>
      <c r="E1864" s="105">
        <v>0</v>
      </c>
      <c r="F1864" s="106" t="s">
        <v>2024</v>
      </c>
      <c r="G1864" s="8"/>
      <c r="H1864" s="8"/>
      <c r="I1864" s="107">
        <v>0</v>
      </c>
      <c r="J1864" s="8" t="s">
        <v>2019</v>
      </c>
    </row>
    <row r="1865" spans="1:10" ht="16.5" customHeight="1" x14ac:dyDescent="0.25">
      <c r="A1865" s="8" t="s">
        <v>7211</v>
      </c>
      <c r="B1865" s="8" t="s">
        <v>7212</v>
      </c>
      <c r="C1865" s="8" t="s">
        <v>7213</v>
      </c>
      <c r="D1865" s="8" t="s">
        <v>7212</v>
      </c>
      <c r="E1865" s="105">
        <v>28</v>
      </c>
      <c r="F1865" s="106" t="s">
        <v>2024</v>
      </c>
      <c r="G1865" s="8"/>
      <c r="H1865" s="8"/>
      <c r="I1865" s="107">
        <v>0</v>
      </c>
      <c r="J1865" s="8" t="s">
        <v>2019</v>
      </c>
    </row>
    <row r="1866" spans="1:10" ht="16.5" customHeight="1" x14ac:dyDescent="0.25">
      <c r="A1866" s="8" t="s">
        <v>7214</v>
      </c>
      <c r="B1866" s="8" t="s">
        <v>7215</v>
      </c>
      <c r="C1866" s="8" t="s">
        <v>7216</v>
      </c>
      <c r="D1866" s="8" t="s">
        <v>7215</v>
      </c>
      <c r="E1866" s="105">
        <v>25</v>
      </c>
      <c r="F1866" s="106" t="s">
        <v>2024</v>
      </c>
      <c r="G1866" s="8"/>
      <c r="H1866" s="8"/>
      <c r="I1866" s="107">
        <v>0</v>
      </c>
      <c r="J1866" s="8" t="s">
        <v>2019</v>
      </c>
    </row>
    <row r="1867" spans="1:10" ht="16.5" customHeight="1" x14ac:dyDescent="0.25">
      <c r="A1867" s="8" t="s">
        <v>7217</v>
      </c>
      <c r="B1867" s="8" t="s">
        <v>7218</v>
      </c>
      <c r="C1867" s="8" t="s">
        <v>7219</v>
      </c>
      <c r="D1867" s="8" t="s">
        <v>7218</v>
      </c>
      <c r="E1867" s="105">
        <v>0</v>
      </c>
      <c r="F1867" s="106" t="s">
        <v>2024</v>
      </c>
      <c r="G1867" s="8"/>
      <c r="H1867" s="8"/>
      <c r="I1867" s="107">
        <v>0</v>
      </c>
      <c r="J1867" s="8" t="s">
        <v>4789</v>
      </c>
    </row>
    <row r="1868" spans="1:10" ht="16.5" customHeight="1" x14ac:dyDescent="0.25">
      <c r="A1868" s="8" t="s">
        <v>7220</v>
      </c>
      <c r="B1868" s="8" t="s">
        <v>6536</v>
      </c>
      <c r="C1868" s="8" t="s">
        <v>6537</v>
      </c>
      <c r="D1868" s="8" t="s">
        <v>6536</v>
      </c>
      <c r="E1868" s="105">
        <v>0.4</v>
      </c>
      <c r="F1868" s="106" t="s">
        <v>2024</v>
      </c>
      <c r="G1868" s="8"/>
      <c r="H1868" s="8"/>
      <c r="I1868" s="107">
        <v>0</v>
      </c>
      <c r="J1868" s="8" t="s">
        <v>2019</v>
      </c>
    </row>
    <row r="1869" spans="1:10" ht="16.5" customHeight="1" x14ac:dyDescent="0.25">
      <c r="A1869" s="8" t="s">
        <v>7221</v>
      </c>
      <c r="B1869" s="8" t="s">
        <v>7222</v>
      </c>
      <c r="C1869" s="8" t="s">
        <v>7223</v>
      </c>
      <c r="D1869" s="8" t="s">
        <v>7222</v>
      </c>
      <c r="E1869" s="105">
        <v>0</v>
      </c>
      <c r="F1869" s="106" t="s">
        <v>2024</v>
      </c>
      <c r="G1869" s="8"/>
      <c r="H1869" s="8"/>
      <c r="I1869" s="107">
        <v>0</v>
      </c>
      <c r="J1869" s="8" t="s">
        <v>4722</v>
      </c>
    </row>
    <row r="1870" spans="1:10" ht="16.5" customHeight="1" x14ac:dyDescent="0.25">
      <c r="A1870" s="8" t="s">
        <v>7224</v>
      </c>
      <c r="B1870" s="8" t="s">
        <v>7154</v>
      </c>
      <c r="C1870" s="8" t="s">
        <v>7155</v>
      </c>
      <c r="D1870" s="8" t="s">
        <v>7154</v>
      </c>
      <c r="E1870" s="105">
        <v>0</v>
      </c>
      <c r="F1870" s="106" t="s">
        <v>2018</v>
      </c>
      <c r="G1870" s="8"/>
      <c r="H1870" s="8"/>
      <c r="I1870" s="107">
        <v>0</v>
      </c>
      <c r="J1870" s="8" t="s">
        <v>4722</v>
      </c>
    </row>
    <row r="1871" spans="1:10" ht="16.5" customHeight="1" x14ac:dyDescent="0.25">
      <c r="A1871" s="8" t="s">
        <v>7225</v>
      </c>
      <c r="B1871" s="8" t="s">
        <v>6193</v>
      </c>
      <c r="C1871" s="8" t="s">
        <v>6194</v>
      </c>
      <c r="D1871" s="8" t="s">
        <v>6193</v>
      </c>
      <c r="E1871" s="105">
        <v>0</v>
      </c>
      <c r="F1871" s="106" t="s">
        <v>2024</v>
      </c>
      <c r="G1871" s="8"/>
      <c r="H1871" s="8"/>
      <c r="I1871" s="107">
        <v>0</v>
      </c>
      <c r="J1871" s="8" t="s">
        <v>4722</v>
      </c>
    </row>
    <row r="1872" spans="1:10" ht="16.5" customHeight="1" x14ac:dyDescent="0.25">
      <c r="A1872" s="8" t="s">
        <v>7226</v>
      </c>
      <c r="B1872" s="8" t="s">
        <v>7227</v>
      </c>
      <c r="C1872" s="8" t="s">
        <v>7228</v>
      </c>
      <c r="D1872" s="8" t="s">
        <v>7227</v>
      </c>
      <c r="E1872" s="105">
        <v>25</v>
      </c>
      <c r="F1872" s="106" t="s">
        <v>2024</v>
      </c>
      <c r="G1872" s="8"/>
      <c r="H1872" s="8"/>
      <c r="I1872" s="107">
        <v>0</v>
      </c>
      <c r="J1872" s="8" t="s">
        <v>5779</v>
      </c>
    </row>
    <row r="1873" spans="1:10" ht="16.5" customHeight="1" x14ac:dyDescent="0.25">
      <c r="A1873" s="8" t="s">
        <v>7229</v>
      </c>
      <c r="B1873" s="8" t="s">
        <v>7230</v>
      </c>
      <c r="C1873" s="8" t="s">
        <v>4152</v>
      </c>
      <c r="D1873" s="8" t="s">
        <v>7230</v>
      </c>
      <c r="E1873" s="105">
        <v>1.82</v>
      </c>
      <c r="F1873" s="106" t="s">
        <v>2024</v>
      </c>
      <c r="G1873" s="8"/>
      <c r="H1873" s="8"/>
      <c r="I1873" s="107">
        <v>0</v>
      </c>
      <c r="J1873" s="8" t="s">
        <v>2019</v>
      </c>
    </row>
    <row r="1874" spans="1:10" ht="16.5" customHeight="1" x14ac:dyDescent="0.25">
      <c r="A1874" s="8" t="s">
        <v>7231</v>
      </c>
      <c r="B1874" s="8" t="s">
        <v>7232</v>
      </c>
      <c r="C1874" s="8" t="s">
        <v>4155</v>
      </c>
      <c r="D1874" s="8" t="s">
        <v>7232</v>
      </c>
      <c r="E1874" s="105">
        <v>4.55</v>
      </c>
      <c r="F1874" s="106" t="s">
        <v>2024</v>
      </c>
      <c r="G1874" s="8"/>
      <c r="H1874" s="8"/>
      <c r="I1874" s="107">
        <v>0</v>
      </c>
      <c r="J1874" s="8" t="s">
        <v>2019</v>
      </c>
    </row>
    <row r="1875" spans="1:10" ht="16.5" customHeight="1" x14ac:dyDescent="0.25">
      <c r="A1875" s="8" t="s">
        <v>6901</v>
      </c>
      <c r="B1875" s="8" t="s">
        <v>7233</v>
      </c>
      <c r="C1875" s="8" t="s">
        <v>1125</v>
      </c>
      <c r="D1875" s="8" t="s">
        <v>7233</v>
      </c>
      <c r="E1875" s="105">
        <v>1.82</v>
      </c>
      <c r="F1875" s="106" t="s">
        <v>2018</v>
      </c>
      <c r="G1875" s="8"/>
      <c r="H1875" s="8"/>
      <c r="I1875" s="107">
        <v>0</v>
      </c>
      <c r="J1875" s="8" t="s">
        <v>2019</v>
      </c>
    </row>
    <row r="1876" spans="1:10" ht="16.5" customHeight="1" x14ac:dyDescent="0.25">
      <c r="A1876" s="8" t="s">
        <v>7234</v>
      </c>
      <c r="B1876" s="8" t="s">
        <v>7235</v>
      </c>
      <c r="C1876" s="8" t="s">
        <v>7236</v>
      </c>
      <c r="D1876" s="8" t="s">
        <v>7235</v>
      </c>
      <c r="E1876" s="105">
        <v>0</v>
      </c>
      <c r="F1876" s="106" t="s">
        <v>2024</v>
      </c>
      <c r="G1876" s="8"/>
      <c r="H1876" s="8"/>
      <c r="I1876" s="107">
        <v>0</v>
      </c>
      <c r="J1876" s="8" t="s">
        <v>4789</v>
      </c>
    </row>
    <row r="1877" spans="1:10" ht="16.5" customHeight="1" x14ac:dyDescent="0.25">
      <c r="A1877" s="8" t="s">
        <v>7237</v>
      </c>
      <c r="B1877" s="8" t="s">
        <v>7238</v>
      </c>
      <c r="C1877" s="8" t="s">
        <v>7239</v>
      </c>
      <c r="D1877" s="8" t="s">
        <v>7238</v>
      </c>
      <c r="E1877" s="105">
        <v>0</v>
      </c>
      <c r="F1877" s="106" t="s">
        <v>2024</v>
      </c>
      <c r="G1877" s="8"/>
      <c r="H1877" s="8"/>
      <c r="I1877" s="107">
        <v>0</v>
      </c>
      <c r="J1877" s="8" t="s">
        <v>4722</v>
      </c>
    </row>
    <row r="1878" spans="1:10" ht="16.5" customHeight="1" x14ac:dyDescent="0.25">
      <c r="A1878" s="8" t="s">
        <v>7240</v>
      </c>
      <c r="B1878" s="8" t="s">
        <v>7241</v>
      </c>
      <c r="C1878" s="8" t="s">
        <v>7242</v>
      </c>
      <c r="D1878" s="8" t="s">
        <v>7241</v>
      </c>
      <c r="E1878" s="105">
        <v>0</v>
      </c>
      <c r="F1878" s="106" t="s">
        <v>2024</v>
      </c>
      <c r="G1878" s="8"/>
      <c r="H1878" s="8"/>
      <c r="I1878" s="107">
        <v>0</v>
      </c>
      <c r="J1878" s="8" t="s">
        <v>4722</v>
      </c>
    </row>
    <row r="1879" spans="1:10" ht="16.5" customHeight="1" x14ac:dyDescent="0.25">
      <c r="A1879" s="8" t="s">
        <v>7243</v>
      </c>
      <c r="B1879" s="8" t="s">
        <v>7244</v>
      </c>
      <c r="C1879" s="8" t="s">
        <v>7245</v>
      </c>
      <c r="D1879" s="8" t="s">
        <v>7244</v>
      </c>
      <c r="E1879" s="105">
        <v>0</v>
      </c>
      <c r="F1879" s="106" t="s">
        <v>2024</v>
      </c>
      <c r="G1879" s="8"/>
      <c r="H1879" s="8"/>
      <c r="I1879" s="107">
        <v>0</v>
      </c>
      <c r="J1879" s="8" t="s">
        <v>4722</v>
      </c>
    </row>
    <row r="1880" spans="1:10" ht="16.5" customHeight="1" x14ac:dyDescent="0.25">
      <c r="A1880" s="8" t="s">
        <v>7246</v>
      </c>
      <c r="B1880" s="8" t="s">
        <v>7247</v>
      </c>
      <c r="C1880" s="8" t="s">
        <v>7248</v>
      </c>
      <c r="D1880" s="8" t="s">
        <v>7247</v>
      </c>
      <c r="E1880" s="105">
        <v>0</v>
      </c>
      <c r="F1880" s="106" t="s">
        <v>2024</v>
      </c>
      <c r="G1880" s="8"/>
      <c r="H1880" s="8"/>
      <c r="I1880" s="107">
        <v>0</v>
      </c>
      <c r="J1880" s="8" t="s">
        <v>4722</v>
      </c>
    </row>
    <row r="1881" spans="1:10" ht="16.5" customHeight="1" x14ac:dyDescent="0.25">
      <c r="A1881" s="8" t="s">
        <v>7249</v>
      </c>
      <c r="B1881" s="8" t="s">
        <v>7250</v>
      </c>
      <c r="C1881" s="8" t="s">
        <v>7251</v>
      </c>
      <c r="D1881" s="8" t="s">
        <v>7250</v>
      </c>
      <c r="E1881" s="105">
        <v>0</v>
      </c>
      <c r="F1881" s="106" t="s">
        <v>2024</v>
      </c>
      <c r="G1881" s="8"/>
      <c r="H1881" s="8"/>
      <c r="I1881" s="107">
        <v>0</v>
      </c>
      <c r="J1881" s="8" t="s">
        <v>4722</v>
      </c>
    </row>
    <row r="1882" spans="1:10" ht="16.5" customHeight="1" x14ac:dyDescent="0.25">
      <c r="A1882" s="8" t="s">
        <v>7252</v>
      </c>
      <c r="B1882" s="8" t="s">
        <v>7253</v>
      </c>
      <c r="C1882" s="8" t="s">
        <v>7254</v>
      </c>
      <c r="D1882" s="8" t="s">
        <v>7253</v>
      </c>
      <c r="E1882" s="105">
        <v>0</v>
      </c>
      <c r="F1882" s="106" t="s">
        <v>2024</v>
      </c>
      <c r="G1882" s="8"/>
      <c r="H1882" s="8"/>
      <c r="I1882" s="107">
        <v>0</v>
      </c>
      <c r="J1882" s="8" t="s">
        <v>4722</v>
      </c>
    </row>
    <row r="1883" spans="1:10" ht="16.5" customHeight="1" x14ac:dyDescent="0.25">
      <c r="A1883" s="8" t="s">
        <v>7255</v>
      </c>
      <c r="B1883" s="8" t="s">
        <v>7256</v>
      </c>
      <c r="C1883" s="8" t="s">
        <v>7257</v>
      </c>
      <c r="D1883" s="8" t="s">
        <v>7256</v>
      </c>
      <c r="E1883" s="105">
        <v>0</v>
      </c>
      <c r="F1883" s="106" t="s">
        <v>2024</v>
      </c>
      <c r="G1883" s="8"/>
      <c r="H1883" s="8"/>
      <c r="I1883" s="107">
        <v>0</v>
      </c>
      <c r="J1883" s="8" t="s">
        <v>4722</v>
      </c>
    </row>
    <row r="1884" spans="1:10" ht="16.5" customHeight="1" x14ac:dyDescent="0.25">
      <c r="A1884" s="8" t="s">
        <v>7258</v>
      </c>
      <c r="B1884" s="8" t="s">
        <v>7259</v>
      </c>
      <c r="C1884" s="8" t="s">
        <v>7260</v>
      </c>
      <c r="D1884" s="8" t="s">
        <v>7259</v>
      </c>
      <c r="E1884" s="105">
        <v>0</v>
      </c>
      <c r="F1884" s="106" t="s">
        <v>2024</v>
      </c>
      <c r="G1884" s="8"/>
      <c r="H1884" s="8"/>
      <c r="I1884" s="107">
        <v>0</v>
      </c>
      <c r="J1884" s="8" t="s">
        <v>4722</v>
      </c>
    </row>
    <row r="1885" spans="1:10" ht="16.5" customHeight="1" x14ac:dyDescent="0.25">
      <c r="A1885" s="8" t="s">
        <v>7261</v>
      </c>
      <c r="B1885" s="8" t="s">
        <v>7262</v>
      </c>
      <c r="C1885" s="8" t="s">
        <v>7263</v>
      </c>
      <c r="D1885" s="8" t="s">
        <v>7262</v>
      </c>
      <c r="E1885" s="105">
        <v>1</v>
      </c>
      <c r="F1885" s="106" t="s">
        <v>2024</v>
      </c>
      <c r="G1885" s="8"/>
      <c r="H1885" s="8"/>
      <c r="I1885" s="107">
        <v>0</v>
      </c>
      <c r="J1885" s="8" t="s">
        <v>3695</v>
      </c>
    </row>
    <row r="1886" spans="1:10" ht="16.5" customHeight="1" x14ac:dyDescent="0.25">
      <c r="A1886" s="8" t="s">
        <v>7264</v>
      </c>
      <c r="B1886" s="8" t="s">
        <v>7265</v>
      </c>
      <c r="C1886" s="8" t="s">
        <v>7266</v>
      </c>
      <c r="D1886" s="8" t="s">
        <v>7265</v>
      </c>
      <c r="E1886" s="105">
        <v>1</v>
      </c>
      <c r="F1886" s="106" t="s">
        <v>2024</v>
      </c>
      <c r="G1886" s="8"/>
      <c r="H1886" s="8"/>
      <c r="I1886" s="107">
        <v>0</v>
      </c>
      <c r="J1886" s="8" t="s">
        <v>3695</v>
      </c>
    </row>
    <row r="1887" spans="1:10" ht="16.5" customHeight="1" x14ac:dyDescent="0.25">
      <c r="A1887" s="8" t="s">
        <v>7267</v>
      </c>
      <c r="B1887" s="8" t="s">
        <v>7268</v>
      </c>
      <c r="C1887" s="8" t="s">
        <v>7269</v>
      </c>
      <c r="D1887" s="8" t="s">
        <v>7268</v>
      </c>
      <c r="E1887" s="105">
        <v>0</v>
      </c>
      <c r="F1887" s="106" t="s">
        <v>2024</v>
      </c>
      <c r="G1887" s="8"/>
      <c r="H1887" s="8"/>
      <c r="I1887" s="107">
        <v>0</v>
      </c>
      <c r="J1887" s="8" t="s">
        <v>4722</v>
      </c>
    </row>
    <row r="1888" spans="1:10" ht="16.5" customHeight="1" x14ac:dyDescent="0.25">
      <c r="A1888" s="8" t="s">
        <v>6902</v>
      </c>
      <c r="B1888" s="8" t="s">
        <v>7270</v>
      </c>
      <c r="C1888" s="8" t="s">
        <v>1068</v>
      </c>
      <c r="D1888" s="8" t="s">
        <v>7270</v>
      </c>
      <c r="E1888" s="105">
        <v>4.55</v>
      </c>
      <c r="F1888" s="106" t="s">
        <v>2018</v>
      </c>
      <c r="G1888" s="8"/>
      <c r="H1888" s="8"/>
      <c r="I1888" s="107">
        <v>0</v>
      </c>
      <c r="J1888" s="8" t="s">
        <v>2019</v>
      </c>
    </row>
    <row r="1889" spans="1:10" ht="16.5" customHeight="1" x14ac:dyDescent="0.25">
      <c r="A1889" s="8" t="s">
        <v>7271</v>
      </c>
      <c r="B1889" s="8" t="s">
        <v>7272</v>
      </c>
      <c r="C1889" s="8" t="s">
        <v>7273</v>
      </c>
      <c r="D1889" s="8" t="s">
        <v>7272</v>
      </c>
      <c r="E1889" s="105">
        <v>15.2</v>
      </c>
      <c r="F1889" s="106" t="s">
        <v>2024</v>
      </c>
      <c r="G1889" s="8"/>
      <c r="H1889" s="8"/>
      <c r="I1889" s="107">
        <v>0</v>
      </c>
      <c r="J1889" s="8" t="s">
        <v>5929</v>
      </c>
    </row>
    <row r="1890" spans="1:10" ht="16.5" customHeight="1" x14ac:dyDescent="0.25">
      <c r="A1890" s="8" t="s">
        <v>7274</v>
      </c>
      <c r="B1890" s="8" t="s">
        <v>6104</v>
      </c>
      <c r="C1890" s="8" t="s">
        <v>7275</v>
      </c>
      <c r="D1890" s="8" t="s">
        <v>6104</v>
      </c>
      <c r="E1890" s="105">
        <v>0.38</v>
      </c>
      <c r="F1890" s="106" t="s">
        <v>2024</v>
      </c>
      <c r="G1890" s="8"/>
      <c r="H1890" s="8"/>
      <c r="I1890" s="107">
        <v>0</v>
      </c>
      <c r="J1890" s="8" t="s">
        <v>5929</v>
      </c>
    </row>
    <row r="1891" spans="1:10" ht="16.5" customHeight="1" x14ac:dyDescent="0.25">
      <c r="A1891" s="8" t="s">
        <v>7276</v>
      </c>
      <c r="B1891" s="8" t="s">
        <v>7277</v>
      </c>
      <c r="C1891" s="8" t="s">
        <v>7278</v>
      </c>
      <c r="D1891" s="8" t="s">
        <v>7277</v>
      </c>
      <c r="E1891" s="105">
        <v>12</v>
      </c>
      <c r="F1891" s="106" t="s">
        <v>2024</v>
      </c>
      <c r="G1891" s="8" t="s">
        <v>1541</v>
      </c>
      <c r="H1891" s="8" t="s">
        <v>7279</v>
      </c>
      <c r="I1891" s="107">
        <v>1200</v>
      </c>
      <c r="J1891" s="8" t="s">
        <v>5929</v>
      </c>
    </row>
    <row r="1892" spans="1:10" ht="16.5" customHeight="1" x14ac:dyDescent="0.25">
      <c r="A1892" s="8" t="s">
        <v>7279</v>
      </c>
      <c r="B1892" s="8" t="s">
        <v>7280</v>
      </c>
      <c r="C1892" s="8" t="s">
        <v>7281</v>
      </c>
      <c r="D1892" s="8" t="s">
        <v>7282</v>
      </c>
      <c r="E1892" s="105">
        <v>0.01</v>
      </c>
      <c r="F1892" s="106" t="s">
        <v>2024</v>
      </c>
      <c r="G1892" s="8" t="s">
        <v>1541</v>
      </c>
      <c r="H1892" s="8"/>
      <c r="I1892" s="107">
        <v>0</v>
      </c>
      <c r="J1892" s="8" t="s">
        <v>5929</v>
      </c>
    </row>
    <row r="1893" spans="1:10" ht="16.5" customHeight="1" x14ac:dyDescent="0.25">
      <c r="A1893" s="8" t="s">
        <v>7283</v>
      </c>
      <c r="B1893" s="8" t="s">
        <v>7284</v>
      </c>
      <c r="C1893" s="8" t="s">
        <v>6810</v>
      </c>
      <c r="D1893" s="8" t="s">
        <v>7284</v>
      </c>
      <c r="E1893" s="105">
        <v>0</v>
      </c>
      <c r="F1893" s="106" t="s">
        <v>2024</v>
      </c>
      <c r="G1893" s="8"/>
      <c r="H1893" s="8"/>
      <c r="I1893" s="107">
        <v>0</v>
      </c>
      <c r="J1893" s="8" t="s">
        <v>4722</v>
      </c>
    </row>
    <row r="1894" spans="1:10" ht="16.5" customHeight="1" x14ac:dyDescent="0.25">
      <c r="A1894" s="8" t="s">
        <v>7285</v>
      </c>
      <c r="B1894" s="8" t="s">
        <v>1102</v>
      </c>
      <c r="C1894" s="8" t="s">
        <v>1101</v>
      </c>
      <c r="D1894" s="8" t="s">
        <v>3394</v>
      </c>
      <c r="E1894" s="105">
        <v>18.2</v>
      </c>
      <c r="F1894" s="106" t="s">
        <v>2018</v>
      </c>
      <c r="G1894" s="8"/>
      <c r="H1894" s="8"/>
      <c r="I1894" s="107">
        <v>0</v>
      </c>
      <c r="J1894" s="8" t="s">
        <v>4722</v>
      </c>
    </row>
    <row r="1895" spans="1:10" ht="16.5" customHeight="1" x14ac:dyDescent="0.25">
      <c r="A1895" s="8" t="s">
        <v>7286</v>
      </c>
      <c r="B1895" s="8" t="s">
        <v>1335</v>
      </c>
      <c r="C1895" s="8" t="s">
        <v>1101</v>
      </c>
      <c r="D1895" s="8" t="s">
        <v>3395</v>
      </c>
      <c r="E1895" s="105">
        <v>4.55</v>
      </c>
      <c r="F1895" s="106" t="s">
        <v>2018</v>
      </c>
      <c r="G1895" s="8"/>
      <c r="H1895" s="8"/>
      <c r="I1895" s="107">
        <v>0</v>
      </c>
      <c r="J1895" s="8" t="s">
        <v>4722</v>
      </c>
    </row>
    <row r="1896" spans="1:10" ht="16.5" customHeight="1" x14ac:dyDescent="0.25">
      <c r="A1896" s="8" t="s">
        <v>7287</v>
      </c>
      <c r="B1896" s="8" t="s">
        <v>7288</v>
      </c>
      <c r="C1896" s="8" t="s">
        <v>7289</v>
      </c>
      <c r="D1896" s="8" t="s">
        <v>7288</v>
      </c>
      <c r="E1896" s="105">
        <v>0</v>
      </c>
      <c r="F1896" s="106" t="s">
        <v>2024</v>
      </c>
      <c r="G1896" s="8"/>
      <c r="H1896" s="8"/>
      <c r="I1896" s="107">
        <v>0</v>
      </c>
      <c r="J1896" s="8" t="s">
        <v>4722</v>
      </c>
    </row>
    <row r="1897" spans="1:10" ht="16.5" customHeight="1" x14ac:dyDescent="0.25">
      <c r="A1897" s="8" t="s">
        <v>7290</v>
      </c>
      <c r="B1897" s="8" t="s">
        <v>7291</v>
      </c>
      <c r="C1897" s="8" t="s">
        <v>7275</v>
      </c>
      <c r="D1897" s="8" t="s">
        <v>7291</v>
      </c>
      <c r="E1897" s="105">
        <v>0</v>
      </c>
      <c r="F1897" s="106" t="s">
        <v>2024</v>
      </c>
      <c r="G1897" s="8"/>
      <c r="H1897" s="8"/>
      <c r="I1897" s="107">
        <v>0</v>
      </c>
      <c r="J1897" s="8" t="s">
        <v>4722</v>
      </c>
    </row>
    <row r="1898" spans="1:10" ht="16.5" customHeight="1" x14ac:dyDescent="0.25">
      <c r="A1898" s="8" t="s">
        <v>7292</v>
      </c>
      <c r="B1898" s="8" t="s">
        <v>7293</v>
      </c>
      <c r="C1898" s="8" t="s">
        <v>7294</v>
      </c>
      <c r="D1898" s="8" t="s">
        <v>7293</v>
      </c>
      <c r="E1898" s="105">
        <v>0</v>
      </c>
      <c r="F1898" s="106" t="s">
        <v>2024</v>
      </c>
      <c r="G1898" s="8"/>
      <c r="H1898" s="8"/>
      <c r="I1898" s="107">
        <v>0</v>
      </c>
      <c r="J1898" s="8" t="s">
        <v>4722</v>
      </c>
    </row>
    <row r="1899" spans="1:10" ht="16.5" customHeight="1" x14ac:dyDescent="0.25">
      <c r="A1899" s="8" t="s">
        <v>7295</v>
      </c>
      <c r="B1899" s="8" t="s">
        <v>7296</v>
      </c>
      <c r="C1899" s="8" t="s">
        <v>7297</v>
      </c>
      <c r="D1899" s="8" t="s">
        <v>7296</v>
      </c>
      <c r="E1899" s="105">
        <v>5</v>
      </c>
      <c r="F1899" s="106" t="s">
        <v>2024</v>
      </c>
      <c r="G1899" s="8"/>
      <c r="H1899" s="8"/>
      <c r="I1899" s="107">
        <v>0</v>
      </c>
      <c r="J1899" s="8" t="s">
        <v>3580</v>
      </c>
    </row>
    <row r="1900" spans="1:10" ht="16.5" customHeight="1" x14ac:dyDescent="0.25">
      <c r="A1900" s="8" t="s">
        <v>7298</v>
      </c>
      <c r="B1900" s="8" t="s">
        <v>7299</v>
      </c>
      <c r="C1900" s="8" t="s">
        <v>7300</v>
      </c>
      <c r="D1900" s="8" t="s">
        <v>7299</v>
      </c>
      <c r="E1900" s="105">
        <v>5</v>
      </c>
      <c r="F1900" s="106" t="s">
        <v>2024</v>
      </c>
      <c r="G1900" s="8"/>
      <c r="H1900" s="8"/>
      <c r="I1900" s="107">
        <v>0</v>
      </c>
      <c r="J1900" s="8" t="s">
        <v>3580</v>
      </c>
    </row>
    <row r="1901" spans="1:10" ht="16.5" customHeight="1" x14ac:dyDescent="0.25">
      <c r="A1901" s="8" t="s">
        <v>7301</v>
      </c>
      <c r="B1901" s="8" t="s">
        <v>7302</v>
      </c>
      <c r="C1901" s="8" t="s">
        <v>7303</v>
      </c>
      <c r="D1901" s="8" t="s">
        <v>7302</v>
      </c>
      <c r="E1901" s="105">
        <v>5</v>
      </c>
      <c r="F1901" s="106" t="s">
        <v>2024</v>
      </c>
      <c r="G1901" s="8"/>
      <c r="H1901" s="8"/>
      <c r="I1901" s="107">
        <v>0</v>
      </c>
      <c r="J1901" s="8" t="s">
        <v>3580</v>
      </c>
    </row>
    <row r="1902" spans="1:10" ht="16.5" customHeight="1" x14ac:dyDescent="0.25">
      <c r="A1902" s="8" t="s">
        <v>7304</v>
      </c>
      <c r="B1902" s="8" t="s">
        <v>7305</v>
      </c>
      <c r="C1902" s="8" t="s">
        <v>7306</v>
      </c>
      <c r="D1902" s="8" t="s">
        <v>7305</v>
      </c>
      <c r="E1902" s="105">
        <v>25</v>
      </c>
      <c r="F1902" s="106" t="s">
        <v>2024</v>
      </c>
      <c r="G1902" s="8"/>
      <c r="H1902" s="8"/>
      <c r="I1902" s="107">
        <v>0</v>
      </c>
      <c r="J1902" s="8" t="s">
        <v>3580</v>
      </c>
    </row>
    <row r="1903" spans="1:10" ht="16.5" customHeight="1" x14ac:dyDescent="0.25">
      <c r="A1903" s="8" t="s">
        <v>7307</v>
      </c>
      <c r="B1903" s="8" t="s">
        <v>7308</v>
      </c>
      <c r="C1903" s="8" t="s">
        <v>7309</v>
      </c>
      <c r="D1903" s="8" t="s">
        <v>7308</v>
      </c>
      <c r="E1903" s="105">
        <v>15</v>
      </c>
      <c r="F1903" s="106" t="s">
        <v>2024</v>
      </c>
      <c r="G1903" s="8" t="s">
        <v>1541</v>
      </c>
      <c r="H1903" s="8" t="s">
        <v>7310</v>
      </c>
      <c r="I1903" s="107">
        <v>3</v>
      </c>
      <c r="J1903" s="8" t="s">
        <v>5929</v>
      </c>
    </row>
    <row r="1904" spans="1:10" ht="16.5" customHeight="1" x14ac:dyDescent="0.25">
      <c r="A1904" s="8" t="s">
        <v>7310</v>
      </c>
      <c r="B1904" s="8" t="s">
        <v>7311</v>
      </c>
      <c r="C1904" s="8" t="s">
        <v>7312</v>
      </c>
      <c r="D1904" s="8" t="s">
        <v>7311</v>
      </c>
      <c r="E1904" s="105">
        <v>5.0659999999999998</v>
      </c>
      <c r="F1904" s="106" t="s">
        <v>2024</v>
      </c>
      <c r="G1904" s="8" t="s">
        <v>1541</v>
      </c>
      <c r="H1904" s="8"/>
      <c r="I1904" s="107">
        <v>0</v>
      </c>
      <c r="J1904" s="8" t="s">
        <v>5929</v>
      </c>
    </row>
    <row r="1905" spans="1:10" ht="16.5" customHeight="1" x14ac:dyDescent="0.25">
      <c r="A1905" s="8" t="s">
        <v>7313</v>
      </c>
      <c r="B1905" s="8" t="s">
        <v>7314</v>
      </c>
      <c r="C1905" s="8" t="s">
        <v>7315</v>
      </c>
      <c r="D1905" s="8" t="s">
        <v>7314</v>
      </c>
      <c r="E1905" s="105">
        <v>0</v>
      </c>
      <c r="F1905" s="106" t="s">
        <v>2024</v>
      </c>
      <c r="G1905" s="8"/>
      <c r="H1905" s="8"/>
      <c r="I1905" s="107">
        <v>0</v>
      </c>
      <c r="J1905" s="8" t="s">
        <v>4722</v>
      </c>
    </row>
    <row r="1906" spans="1:10" ht="16.5" customHeight="1" x14ac:dyDescent="0.25">
      <c r="A1906" s="8" t="s">
        <v>7316</v>
      </c>
      <c r="B1906" s="8" t="s">
        <v>7317</v>
      </c>
      <c r="C1906" s="8" t="s">
        <v>7318</v>
      </c>
      <c r="D1906" s="8" t="s">
        <v>7317</v>
      </c>
      <c r="E1906" s="105">
        <v>0</v>
      </c>
      <c r="F1906" s="106" t="s">
        <v>2024</v>
      </c>
      <c r="G1906" s="8"/>
      <c r="H1906" s="8"/>
      <c r="I1906" s="107">
        <v>0</v>
      </c>
      <c r="J1906" s="8" t="s">
        <v>4722</v>
      </c>
    </row>
    <row r="1907" spans="1:10" ht="16.5" customHeight="1" x14ac:dyDescent="0.25">
      <c r="A1907" s="8" t="s">
        <v>7319</v>
      </c>
      <c r="B1907" s="8" t="s">
        <v>7179</v>
      </c>
      <c r="C1907" s="8" t="s">
        <v>7180</v>
      </c>
      <c r="D1907" s="8" t="s">
        <v>7179</v>
      </c>
      <c r="E1907" s="105">
        <v>7.28</v>
      </c>
      <c r="F1907" s="106" t="s">
        <v>2024</v>
      </c>
      <c r="G1907" s="8"/>
      <c r="H1907" s="8"/>
      <c r="I1907" s="107">
        <v>0</v>
      </c>
      <c r="J1907" s="8" t="s">
        <v>2019</v>
      </c>
    </row>
    <row r="1908" spans="1:10" ht="16.5" customHeight="1" x14ac:dyDescent="0.25">
      <c r="A1908" s="8" t="s">
        <v>7320</v>
      </c>
      <c r="B1908" s="8" t="s">
        <v>7321</v>
      </c>
      <c r="C1908" s="8" t="s">
        <v>7322</v>
      </c>
      <c r="D1908" s="8" t="s">
        <v>7321</v>
      </c>
      <c r="E1908" s="105">
        <v>0</v>
      </c>
      <c r="F1908" s="106" t="s">
        <v>2024</v>
      </c>
      <c r="G1908" s="8"/>
      <c r="H1908" s="8"/>
      <c r="I1908" s="107">
        <v>0</v>
      </c>
      <c r="J1908" s="8" t="s">
        <v>4789</v>
      </c>
    </row>
    <row r="1909" spans="1:10" ht="16.5" customHeight="1" x14ac:dyDescent="0.25">
      <c r="A1909" s="8" t="s">
        <v>7323</v>
      </c>
      <c r="B1909" s="8" t="s">
        <v>7324</v>
      </c>
      <c r="C1909" s="8" t="s">
        <v>7325</v>
      </c>
      <c r="D1909" s="8" t="s">
        <v>7324</v>
      </c>
      <c r="E1909" s="105">
        <v>0</v>
      </c>
      <c r="F1909" s="106" t="s">
        <v>2024</v>
      </c>
      <c r="G1909" s="8"/>
      <c r="H1909" s="8"/>
      <c r="I1909" s="107">
        <v>0</v>
      </c>
      <c r="J1909" s="8" t="s">
        <v>4789</v>
      </c>
    </row>
    <row r="1910" spans="1:10" ht="16.5" customHeight="1" x14ac:dyDescent="0.25">
      <c r="A1910" s="8" t="s">
        <v>7326</v>
      </c>
      <c r="B1910" s="8" t="s">
        <v>7327</v>
      </c>
      <c r="C1910" s="8" t="s">
        <v>7328</v>
      </c>
      <c r="D1910" s="8" t="s">
        <v>7327</v>
      </c>
      <c r="E1910" s="105">
        <v>25</v>
      </c>
      <c r="F1910" s="106" t="s">
        <v>2024</v>
      </c>
      <c r="G1910" s="8"/>
      <c r="H1910" s="8"/>
      <c r="I1910" s="107">
        <v>0</v>
      </c>
      <c r="J1910" s="8" t="s">
        <v>7329</v>
      </c>
    </row>
    <row r="1911" spans="1:10" ht="16.5" customHeight="1" x14ac:dyDescent="0.25">
      <c r="A1911" s="8" t="s">
        <v>7330</v>
      </c>
      <c r="B1911" s="8" t="s">
        <v>7331</v>
      </c>
      <c r="C1911" s="8" t="s">
        <v>7332</v>
      </c>
      <c r="D1911" s="8" t="s">
        <v>7331</v>
      </c>
      <c r="E1911" s="105">
        <v>25</v>
      </c>
      <c r="F1911" s="106" t="s">
        <v>2024</v>
      </c>
      <c r="G1911" s="8"/>
      <c r="H1911" s="8"/>
      <c r="I1911" s="107">
        <v>0</v>
      </c>
      <c r="J1911" s="8" t="s">
        <v>7329</v>
      </c>
    </row>
    <row r="1912" spans="1:10" ht="16.5" customHeight="1" x14ac:dyDescent="0.25">
      <c r="A1912" s="8" t="s">
        <v>7333</v>
      </c>
      <c r="B1912" s="8" t="s">
        <v>7334</v>
      </c>
      <c r="C1912" s="8" t="s">
        <v>7335</v>
      </c>
      <c r="D1912" s="8" t="s">
        <v>7334</v>
      </c>
      <c r="E1912" s="105">
        <v>1</v>
      </c>
      <c r="F1912" s="106" t="s">
        <v>2024</v>
      </c>
      <c r="G1912" s="8"/>
      <c r="H1912" s="8"/>
      <c r="I1912" s="107">
        <v>0</v>
      </c>
      <c r="J1912" s="8" t="s">
        <v>4722</v>
      </c>
    </row>
    <row r="1913" spans="1:10" ht="16.5" customHeight="1" x14ac:dyDescent="0.25">
      <c r="A1913" s="8" t="s">
        <v>7336</v>
      </c>
      <c r="B1913" s="8" t="s">
        <v>7337</v>
      </c>
      <c r="C1913" s="8" t="s">
        <v>7338</v>
      </c>
      <c r="D1913" s="8" t="s">
        <v>7337</v>
      </c>
      <c r="E1913" s="105">
        <v>1</v>
      </c>
      <c r="F1913" s="106" t="s">
        <v>2024</v>
      </c>
      <c r="G1913" s="8"/>
      <c r="H1913" s="8"/>
      <c r="I1913" s="107">
        <v>0</v>
      </c>
      <c r="J1913" s="8" t="s">
        <v>3695</v>
      </c>
    </row>
    <row r="1914" spans="1:10" ht="16.5" customHeight="1" x14ac:dyDescent="0.25">
      <c r="A1914" s="8" t="s">
        <v>7339</v>
      </c>
      <c r="B1914" s="8" t="s">
        <v>7340</v>
      </c>
      <c r="C1914" s="8" t="s">
        <v>7341</v>
      </c>
      <c r="D1914" s="8" t="s">
        <v>7340</v>
      </c>
      <c r="E1914" s="105">
        <v>1.82</v>
      </c>
      <c r="F1914" s="106" t="s">
        <v>2024</v>
      </c>
      <c r="G1914" s="8"/>
      <c r="H1914" s="8"/>
      <c r="I1914" s="107">
        <v>0</v>
      </c>
      <c r="J1914" s="8" t="s">
        <v>2019</v>
      </c>
    </row>
    <row r="1915" spans="1:10" ht="16.5" customHeight="1" x14ac:dyDescent="0.25">
      <c r="A1915" s="8" t="s">
        <v>7342</v>
      </c>
      <c r="B1915" s="8" t="s">
        <v>7343</v>
      </c>
      <c r="C1915" s="8" t="s">
        <v>7344</v>
      </c>
      <c r="D1915" s="8" t="s">
        <v>7343</v>
      </c>
      <c r="E1915" s="105">
        <v>1</v>
      </c>
      <c r="F1915" s="106" t="s">
        <v>2024</v>
      </c>
      <c r="G1915" s="8"/>
      <c r="H1915" s="8"/>
      <c r="I1915" s="107">
        <v>0</v>
      </c>
      <c r="J1915" s="8" t="s">
        <v>3695</v>
      </c>
    </row>
    <row r="1916" spans="1:10" ht="16.5" customHeight="1" x14ac:dyDescent="0.25">
      <c r="A1916" s="8" t="s">
        <v>7345</v>
      </c>
      <c r="B1916" s="8" t="s">
        <v>7346</v>
      </c>
      <c r="C1916" s="8" t="s">
        <v>7347</v>
      </c>
      <c r="D1916" s="8" t="s">
        <v>7346</v>
      </c>
      <c r="E1916" s="105">
        <v>0</v>
      </c>
      <c r="F1916" s="106" t="s">
        <v>2024</v>
      </c>
      <c r="G1916" s="8"/>
      <c r="H1916" s="8"/>
      <c r="I1916" s="107">
        <v>0</v>
      </c>
      <c r="J1916" s="8" t="s">
        <v>4722</v>
      </c>
    </row>
    <row r="1917" spans="1:10" ht="16.5" customHeight="1" x14ac:dyDescent="0.25">
      <c r="A1917" s="8" t="s">
        <v>7348</v>
      </c>
      <c r="B1917" s="8" t="s">
        <v>7349</v>
      </c>
      <c r="C1917" s="8" t="s">
        <v>7350</v>
      </c>
      <c r="D1917" s="8" t="s">
        <v>7349</v>
      </c>
      <c r="E1917" s="105">
        <v>0</v>
      </c>
      <c r="F1917" s="106" t="s">
        <v>2024</v>
      </c>
      <c r="G1917" s="8"/>
      <c r="H1917" s="8"/>
      <c r="I1917" s="107">
        <v>0</v>
      </c>
      <c r="J1917" s="8" t="s">
        <v>4722</v>
      </c>
    </row>
    <row r="1918" spans="1:10" ht="16.5" customHeight="1" x14ac:dyDescent="0.25">
      <c r="A1918" s="8" t="s">
        <v>7351</v>
      </c>
      <c r="B1918" s="8" t="s">
        <v>7352</v>
      </c>
      <c r="C1918" s="8" t="s">
        <v>7353</v>
      </c>
      <c r="D1918" s="8" t="s">
        <v>7352</v>
      </c>
      <c r="E1918" s="105">
        <v>0</v>
      </c>
      <c r="F1918" s="106" t="s">
        <v>2024</v>
      </c>
      <c r="G1918" s="8"/>
      <c r="H1918" s="8"/>
      <c r="I1918" s="107">
        <v>0</v>
      </c>
      <c r="J1918" s="8" t="s">
        <v>4722</v>
      </c>
    </row>
    <row r="1919" spans="1:10" ht="16.5" customHeight="1" x14ac:dyDescent="0.25">
      <c r="A1919" s="8" t="s">
        <v>7354</v>
      </c>
      <c r="B1919" s="8" t="s">
        <v>7355</v>
      </c>
      <c r="C1919" s="8" t="s">
        <v>7356</v>
      </c>
      <c r="D1919" s="8" t="s">
        <v>7355</v>
      </c>
      <c r="E1919" s="105">
        <v>25</v>
      </c>
      <c r="F1919" s="106" t="s">
        <v>2024</v>
      </c>
      <c r="G1919" s="8"/>
      <c r="H1919" s="8"/>
      <c r="I1919" s="107">
        <v>0</v>
      </c>
      <c r="J1919" s="8" t="s">
        <v>3580</v>
      </c>
    </row>
    <row r="1920" spans="1:10" ht="16.5" customHeight="1" x14ac:dyDescent="0.25">
      <c r="A1920" s="8" t="s">
        <v>7357</v>
      </c>
      <c r="B1920" s="8" t="s">
        <v>7358</v>
      </c>
      <c r="C1920" s="8" t="s">
        <v>7359</v>
      </c>
      <c r="D1920" s="8" t="s">
        <v>7358</v>
      </c>
      <c r="E1920" s="105">
        <v>1</v>
      </c>
      <c r="F1920" s="106" t="s">
        <v>2024</v>
      </c>
      <c r="G1920" s="8"/>
      <c r="H1920" s="8"/>
      <c r="I1920" s="107">
        <v>0</v>
      </c>
      <c r="J1920" s="8" t="s">
        <v>3580</v>
      </c>
    </row>
    <row r="1921" spans="1:10" ht="16.5" customHeight="1" x14ac:dyDescent="0.25">
      <c r="A1921" s="8" t="s">
        <v>7360</v>
      </c>
      <c r="B1921" s="8" t="s">
        <v>7361</v>
      </c>
      <c r="C1921" s="8" t="s">
        <v>7362</v>
      </c>
      <c r="D1921" s="8" t="s">
        <v>7361</v>
      </c>
      <c r="E1921" s="105">
        <v>1</v>
      </c>
      <c r="F1921" s="106" t="s">
        <v>2024</v>
      </c>
      <c r="G1921" s="8"/>
      <c r="H1921" s="8"/>
      <c r="I1921" s="107">
        <v>0</v>
      </c>
      <c r="J1921" s="8" t="s">
        <v>3580</v>
      </c>
    </row>
    <row r="1922" spans="1:10" ht="16.5" customHeight="1" x14ac:dyDescent="0.25">
      <c r="A1922" s="8" t="s">
        <v>7363</v>
      </c>
      <c r="B1922" s="8" t="s">
        <v>7364</v>
      </c>
      <c r="C1922" s="8" t="s">
        <v>7365</v>
      </c>
      <c r="D1922" s="8" t="s">
        <v>7364</v>
      </c>
      <c r="E1922" s="105">
        <v>1</v>
      </c>
      <c r="F1922" s="106" t="s">
        <v>2024</v>
      </c>
      <c r="G1922" s="8"/>
      <c r="H1922" s="8"/>
      <c r="I1922" s="107">
        <v>0</v>
      </c>
      <c r="J1922" s="8" t="s">
        <v>3580</v>
      </c>
    </row>
    <row r="1923" spans="1:10" ht="16.5" customHeight="1" x14ac:dyDescent="0.25">
      <c r="A1923" s="8" t="s">
        <v>7366</v>
      </c>
      <c r="B1923" s="8" t="s">
        <v>6359</v>
      </c>
      <c r="C1923" s="8" t="s">
        <v>6360</v>
      </c>
      <c r="D1923" s="8" t="s">
        <v>6359</v>
      </c>
      <c r="E1923" s="105">
        <v>15.2</v>
      </c>
      <c r="F1923" s="106" t="s">
        <v>2024</v>
      </c>
      <c r="G1923" s="8"/>
      <c r="H1923" s="8"/>
      <c r="I1923" s="107">
        <v>0</v>
      </c>
      <c r="J1923" s="8" t="s">
        <v>6357</v>
      </c>
    </row>
    <row r="1924" spans="1:10" ht="16.5" customHeight="1" x14ac:dyDescent="0.25">
      <c r="A1924" s="8" t="s">
        <v>7367</v>
      </c>
      <c r="B1924" s="8" t="s">
        <v>6362</v>
      </c>
      <c r="C1924" s="8" t="s">
        <v>6363</v>
      </c>
      <c r="D1924" s="8" t="s">
        <v>6362</v>
      </c>
      <c r="E1924" s="105">
        <v>9.5</v>
      </c>
      <c r="F1924" s="106" t="s">
        <v>2024</v>
      </c>
      <c r="G1924" s="8"/>
      <c r="H1924" s="8"/>
      <c r="I1924" s="107">
        <v>0</v>
      </c>
      <c r="J1924" s="8" t="s">
        <v>6357</v>
      </c>
    </row>
    <row r="1925" spans="1:10" ht="16.5" customHeight="1" x14ac:dyDescent="0.25">
      <c r="A1925" s="8" t="s">
        <v>7368</v>
      </c>
      <c r="B1925" s="8" t="s">
        <v>7369</v>
      </c>
      <c r="C1925" s="8" t="s">
        <v>7370</v>
      </c>
      <c r="D1925" s="8" t="s">
        <v>7369</v>
      </c>
      <c r="E1925" s="105">
        <v>25</v>
      </c>
      <c r="F1925" s="106" t="s">
        <v>2024</v>
      </c>
      <c r="G1925" s="8"/>
      <c r="H1925" s="8"/>
      <c r="I1925" s="107">
        <v>0</v>
      </c>
      <c r="J1925" s="8" t="s">
        <v>3580</v>
      </c>
    </row>
    <row r="1926" spans="1:10" ht="16.5" customHeight="1" x14ac:dyDescent="0.25">
      <c r="A1926" s="8" t="s">
        <v>7371</v>
      </c>
      <c r="B1926" s="8" t="s">
        <v>7372</v>
      </c>
      <c r="C1926" s="8" t="s">
        <v>7373</v>
      </c>
      <c r="D1926" s="8" t="s">
        <v>7372</v>
      </c>
      <c r="E1926" s="105">
        <v>0</v>
      </c>
      <c r="F1926" s="106" t="s">
        <v>2018</v>
      </c>
      <c r="G1926" s="8"/>
      <c r="H1926" s="8"/>
      <c r="I1926" s="107">
        <v>0</v>
      </c>
      <c r="J1926" s="8" t="s">
        <v>4722</v>
      </c>
    </row>
    <row r="1927" spans="1:10" ht="16.5" customHeight="1" x14ac:dyDescent="0.25">
      <c r="A1927" s="8" t="s">
        <v>7374</v>
      </c>
      <c r="B1927" s="8" t="s">
        <v>7375</v>
      </c>
      <c r="C1927" s="8" t="s">
        <v>1621</v>
      </c>
      <c r="D1927" s="8" t="s">
        <v>7375</v>
      </c>
      <c r="E1927" s="105">
        <v>5.64</v>
      </c>
      <c r="F1927" s="106" t="s">
        <v>2024</v>
      </c>
      <c r="G1927" s="8" t="s">
        <v>1541</v>
      </c>
      <c r="H1927" s="8" t="s">
        <v>7376</v>
      </c>
      <c r="I1927" s="107">
        <v>12</v>
      </c>
      <c r="J1927" s="8" t="s">
        <v>5929</v>
      </c>
    </row>
    <row r="1928" spans="1:10" ht="16.5" customHeight="1" x14ac:dyDescent="0.25">
      <c r="A1928" s="8" t="s">
        <v>7376</v>
      </c>
      <c r="B1928" s="8" t="s">
        <v>6134</v>
      </c>
      <c r="C1928" s="8" t="s">
        <v>7377</v>
      </c>
      <c r="D1928" s="8" t="s">
        <v>6134</v>
      </c>
      <c r="E1928" s="105">
        <v>0.47</v>
      </c>
      <c r="F1928" s="106" t="s">
        <v>2024</v>
      </c>
      <c r="G1928" s="8" t="s">
        <v>1541</v>
      </c>
      <c r="H1928" s="8"/>
      <c r="I1928" s="107">
        <v>0</v>
      </c>
      <c r="J1928" s="8" t="s">
        <v>5929</v>
      </c>
    </row>
    <row r="1929" spans="1:10" ht="16.5" customHeight="1" x14ac:dyDescent="0.25">
      <c r="A1929" s="8" t="s">
        <v>7378</v>
      </c>
      <c r="B1929" s="8" t="s">
        <v>7379</v>
      </c>
      <c r="C1929" s="8" t="s">
        <v>7380</v>
      </c>
      <c r="D1929" s="8" t="s">
        <v>7379</v>
      </c>
      <c r="E1929" s="105">
        <v>6.15</v>
      </c>
      <c r="F1929" s="106" t="s">
        <v>2024</v>
      </c>
      <c r="G1929" s="8"/>
      <c r="H1929" s="8"/>
      <c r="I1929" s="107">
        <v>0</v>
      </c>
      <c r="J1929" s="8" t="s">
        <v>5929</v>
      </c>
    </row>
    <row r="1930" spans="1:10" ht="16.5" customHeight="1" x14ac:dyDescent="0.25">
      <c r="A1930" s="8" t="s">
        <v>7381</v>
      </c>
      <c r="B1930" s="8" t="s">
        <v>7382</v>
      </c>
      <c r="C1930" s="8" t="s">
        <v>7383</v>
      </c>
      <c r="D1930" s="8" t="s">
        <v>7382</v>
      </c>
      <c r="E1930" s="105">
        <v>0.20499999999999999</v>
      </c>
      <c r="F1930" s="106" t="s">
        <v>2024</v>
      </c>
      <c r="G1930" s="8"/>
      <c r="H1930" s="8"/>
      <c r="I1930" s="107">
        <v>0</v>
      </c>
      <c r="J1930" s="8" t="s">
        <v>5929</v>
      </c>
    </row>
    <row r="1931" spans="1:10" ht="16.5" customHeight="1" x14ac:dyDescent="0.25">
      <c r="A1931" s="8" t="s">
        <v>7384</v>
      </c>
      <c r="B1931" s="8" t="s">
        <v>7385</v>
      </c>
      <c r="C1931" s="8" t="s">
        <v>7386</v>
      </c>
      <c r="D1931" s="8" t="s">
        <v>7385</v>
      </c>
      <c r="E1931" s="105">
        <v>0</v>
      </c>
      <c r="F1931" s="106" t="s">
        <v>2024</v>
      </c>
      <c r="G1931" s="8"/>
      <c r="H1931" s="8"/>
      <c r="I1931" s="107">
        <v>0</v>
      </c>
      <c r="J1931" s="8" t="s">
        <v>4722</v>
      </c>
    </row>
    <row r="1932" spans="1:10" ht="16.5" customHeight="1" x14ac:dyDescent="0.25">
      <c r="A1932" s="8" t="s">
        <v>7387</v>
      </c>
      <c r="B1932" s="8" t="s">
        <v>7388</v>
      </c>
      <c r="C1932" s="8" t="s">
        <v>7389</v>
      </c>
      <c r="D1932" s="8" t="s">
        <v>7388</v>
      </c>
      <c r="E1932" s="105">
        <v>0</v>
      </c>
      <c r="F1932" s="106" t="s">
        <v>2024</v>
      </c>
      <c r="G1932" s="8"/>
      <c r="H1932" s="8"/>
      <c r="I1932" s="107">
        <v>0</v>
      </c>
      <c r="J1932" s="8" t="s">
        <v>4722</v>
      </c>
    </row>
    <row r="1933" spans="1:10" ht="16.5" customHeight="1" x14ac:dyDescent="0.25">
      <c r="A1933" s="8" t="s">
        <v>7390</v>
      </c>
      <c r="B1933" s="8" t="s">
        <v>7391</v>
      </c>
      <c r="C1933" s="8" t="s">
        <v>7392</v>
      </c>
      <c r="D1933" s="8" t="s">
        <v>7391</v>
      </c>
      <c r="E1933" s="105">
        <v>0</v>
      </c>
      <c r="F1933" s="106" t="s">
        <v>2024</v>
      </c>
      <c r="G1933" s="8"/>
      <c r="H1933" s="8"/>
      <c r="I1933" s="107">
        <v>0</v>
      </c>
      <c r="J1933" s="8" t="s">
        <v>4722</v>
      </c>
    </row>
    <row r="1934" spans="1:10" ht="16.5" customHeight="1" x14ac:dyDescent="0.25">
      <c r="A1934" s="8" t="s">
        <v>7393</v>
      </c>
      <c r="B1934" s="8" t="s">
        <v>7394</v>
      </c>
      <c r="C1934" s="8" t="s">
        <v>7395</v>
      </c>
      <c r="D1934" s="8" t="s">
        <v>7394</v>
      </c>
      <c r="E1934" s="105">
        <v>0</v>
      </c>
      <c r="F1934" s="106" t="s">
        <v>2024</v>
      </c>
      <c r="G1934" s="8"/>
      <c r="H1934" s="8"/>
      <c r="I1934" s="107">
        <v>0</v>
      </c>
      <c r="J1934" s="8" t="s">
        <v>4722</v>
      </c>
    </row>
    <row r="1935" spans="1:10" ht="16.5" customHeight="1" x14ac:dyDescent="0.25">
      <c r="A1935" s="8" t="s">
        <v>7396</v>
      </c>
      <c r="B1935" s="8" t="s">
        <v>7397</v>
      </c>
      <c r="C1935" s="8" t="s">
        <v>7398</v>
      </c>
      <c r="D1935" s="8" t="s">
        <v>7397</v>
      </c>
      <c r="E1935" s="105">
        <v>0</v>
      </c>
      <c r="F1935" s="106" t="s">
        <v>2024</v>
      </c>
      <c r="G1935" s="8"/>
      <c r="H1935" s="8"/>
      <c r="I1935" s="107">
        <v>0</v>
      </c>
      <c r="J1935" s="8" t="s">
        <v>4722</v>
      </c>
    </row>
    <row r="1936" spans="1:10" ht="16.5" customHeight="1" x14ac:dyDescent="0.25">
      <c r="A1936" s="8" t="s">
        <v>7399</v>
      </c>
      <c r="B1936" s="8" t="s">
        <v>7400</v>
      </c>
      <c r="C1936" s="8" t="s">
        <v>7401</v>
      </c>
      <c r="D1936" s="8" t="s">
        <v>7400</v>
      </c>
      <c r="E1936" s="105">
        <v>0</v>
      </c>
      <c r="F1936" s="106" t="s">
        <v>2024</v>
      </c>
      <c r="G1936" s="8"/>
      <c r="H1936" s="8"/>
      <c r="I1936" s="107">
        <v>0</v>
      </c>
      <c r="J1936" s="8" t="s">
        <v>4722</v>
      </c>
    </row>
    <row r="1937" spans="1:10" ht="16.5" customHeight="1" x14ac:dyDescent="0.25">
      <c r="A1937" s="8" t="s">
        <v>7402</v>
      </c>
      <c r="B1937" s="8" t="s">
        <v>7403</v>
      </c>
      <c r="C1937" s="8" t="s">
        <v>7404</v>
      </c>
      <c r="D1937" s="8" t="s">
        <v>7403</v>
      </c>
      <c r="E1937" s="105">
        <v>0</v>
      </c>
      <c r="F1937" s="106" t="s">
        <v>2024</v>
      </c>
      <c r="G1937" s="8"/>
      <c r="H1937" s="8"/>
      <c r="I1937" s="107">
        <v>0</v>
      </c>
      <c r="J1937" s="8" t="s">
        <v>4722</v>
      </c>
    </row>
    <row r="1938" spans="1:10" ht="16.5" customHeight="1" x14ac:dyDescent="0.25">
      <c r="A1938" s="8" t="s">
        <v>7405</v>
      </c>
      <c r="B1938" s="8" t="s">
        <v>7406</v>
      </c>
      <c r="C1938" s="8" t="s">
        <v>7407</v>
      </c>
      <c r="D1938" s="8" t="s">
        <v>7406</v>
      </c>
      <c r="E1938" s="105">
        <v>0</v>
      </c>
      <c r="F1938" s="106" t="s">
        <v>2024</v>
      </c>
      <c r="G1938" s="8"/>
      <c r="H1938" s="8"/>
      <c r="I1938" s="107">
        <v>0</v>
      </c>
      <c r="J1938" s="8" t="s">
        <v>4722</v>
      </c>
    </row>
    <row r="1939" spans="1:10" ht="16.5" customHeight="1" x14ac:dyDescent="0.25">
      <c r="A1939" s="8" t="s">
        <v>7408</v>
      </c>
      <c r="B1939" s="8" t="s">
        <v>7409</v>
      </c>
      <c r="C1939" s="8" t="s">
        <v>7410</v>
      </c>
      <c r="D1939" s="8" t="s">
        <v>7409</v>
      </c>
      <c r="E1939" s="105">
        <v>20</v>
      </c>
      <c r="F1939" s="106" t="s">
        <v>2024</v>
      </c>
      <c r="G1939" s="8"/>
      <c r="H1939" s="8"/>
      <c r="I1939" s="107">
        <v>0</v>
      </c>
      <c r="J1939" s="8" t="s">
        <v>3695</v>
      </c>
    </row>
    <row r="1940" spans="1:10" ht="16.5" customHeight="1" x14ac:dyDescent="0.25">
      <c r="A1940" s="8" t="s">
        <v>7411</v>
      </c>
      <c r="B1940" s="8" t="s">
        <v>7412</v>
      </c>
      <c r="C1940" s="8" t="s">
        <v>7413</v>
      </c>
      <c r="D1940" s="8" t="s">
        <v>7412</v>
      </c>
      <c r="E1940" s="105">
        <v>20</v>
      </c>
      <c r="F1940" s="106" t="s">
        <v>2024</v>
      </c>
      <c r="G1940" s="8"/>
      <c r="H1940" s="8"/>
      <c r="I1940" s="107">
        <v>0</v>
      </c>
      <c r="J1940" s="8" t="s">
        <v>5929</v>
      </c>
    </row>
    <row r="1941" spans="1:10" ht="16.5" customHeight="1" x14ac:dyDescent="0.25">
      <c r="A1941" s="8" t="s">
        <v>7414</v>
      </c>
      <c r="B1941" s="8" t="s">
        <v>7415</v>
      </c>
      <c r="C1941" s="8" t="s">
        <v>7415</v>
      </c>
      <c r="D1941" s="8" t="s">
        <v>7415</v>
      </c>
      <c r="E1941" s="105">
        <v>5</v>
      </c>
      <c r="F1941" s="106" t="s">
        <v>2024</v>
      </c>
      <c r="G1941" s="8"/>
      <c r="H1941" s="8"/>
      <c r="I1941" s="107">
        <v>0</v>
      </c>
      <c r="J1941" s="8" t="s">
        <v>5929</v>
      </c>
    </row>
    <row r="1942" spans="1:10" ht="16.5" customHeight="1" x14ac:dyDescent="0.25">
      <c r="A1942" s="8" t="s">
        <v>7416</v>
      </c>
      <c r="B1942" s="8" t="s">
        <v>7417</v>
      </c>
      <c r="C1942" s="8" t="s">
        <v>7418</v>
      </c>
      <c r="D1942" s="8" t="s">
        <v>7417</v>
      </c>
      <c r="E1942" s="105">
        <v>1.75</v>
      </c>
      <c r="F1942" s="106" t="s">
        <v>2024</v>
      </c>
      <c r="G1942" s="8"/>
      <c r="H1942" s="8"/>
      <c r="I1942" s="107">
        <v>0</v>
      </c>
      <c r="J1942" s="8" t="s">
        <v>4789</v>
      </c>
    </row>
    <row r="1943" spans="1:10" ht="16.5" customHeight="1" x14ac:dyDescent="0.25">
      <c r="A1943" s="8" t="s">
        <v>7419</v>
      </c>
      <c r="B1943" s="8" t="s">
        <v>7420</v>
      </c>
      <c r="C1943" s="8" t="s">
        <v>7421</v>
      </c>
      <c r="D1943" s="8" t="s">
        <v>7420</v>
      </c>
      <c r="E1943" s="105">
        <v>25</v>
      </c>
      <c r="F1943" s="106" t="s">
        <v>2024</v>
      </c>
      <c r="G1943" s="8"/>
      <c r="H1943" s="8"/>
      <c r="I1943" s="107">
        <v>0</v>
      </c>
      <c r="J1943" s="8" t="s">
        <v>3580</v>
      </c>
    </row>
    <row r="1944" spans="1:10" ht="16.5" customHeight="1" x14ac:dyDescent="0.25">
      <c r="A1944" s="8" t="s">
        <v>7422</v>
      </c>
      <c r="B1944" s="8" t="s">
        <v>7423</v>
      </c>
      <c r="C1944" s="8" t="s">
        <v>7424</v>
      </c>
      <c r="D1944" s="8" t="s">
        <v>7423</v>
      </c>
      <c r="E1944" s="105">
        <v>0</v>
      </c>
      <c r="F1944" s="106" t="s">
        <v>2024</v>
      </c>
      <c r="G1944" s="8"/>
      <c r="H1944" s="8"/>
      <c r="I1944" s="107">
        <v>0</v>
      </c>
      <c r="J1944" s="8" t="s">
        <v>4722</v>
      </c>
    </row>
    <row r="1945" spans="1:10" ht="16.5" customHeight="1" x14ac:dyDescent="0.25">
      <c r="A1945" s="8" t="s">
        <v>7425</v>
      </c>
      <c r="B1945" s="8" t="s">
        <v>7426</v>
      </c>
      <c r="C1945" s="8" t="s">
        <v>7427</v>
      </c>
      <c r="D1945" s="8" t="s">
        <v>7426</v>
      </c>
      <c r="E1945" s="105">
        <v>25</v>
      </c>
      <c r="F1945" s="106" t="s">
        <v>2024</v>
      </c>
      <c r="G1945" s="8"/>
      <c r="H1945" s="8"/>
      <c r="I1945" s="107">
        <v>0</v>
      </c>
      <c r="J1945" s="8" t="s">
        <v>3580</v>
      </c>
    </row>
    <row r="1946" spans="1:10" ht="16.5" customHeight="1" x14ac:dyDescent="0.25">
      <c r="A1946" s="8" t="s">
        <v>7428</v>
      </c>
      <c r="B1946" s="8" t="s">
        <v>7429</v>
      </c>
      <c r="C1946" s="8" t="s">
        <v>7430</v>
      </c>
      <c r="D1946" s="8" t="s">
        <v>7429</v>
      </c>
      <c r="E1946" s="105">
        <v>40</v>
      </c>
      <c r="F1946" s="106" t="s">
        <v>2024</v>
      </c>
      <c r="G1946" s="8"/>
      <c r="H1946" s="8"/>
      <c r="I1946" s="107">
        <v>0</v>
      </c>
      <c r="J1946" s="8" t="s">
        <v>3580</v>
      </c>
    </row>
    <row r="1947" spans="1:10" ht="16.5" customHeight="1" x14ac:dyDescent="0.25">
      <c r="A1947" s="8" t="s">
        <v>7431</v>
      </c>
      <c r="B1947" s="8" t="s">
        <v>7432</v>
      </c>
      <c r="C1947" s="8" t="s">
        <v>7433</v>
      </c>
      <c r="D1947" s="8" t="s">
        <v>7432</v>
      </c>
      <c r="E1947" s="105">
        <v>5</v>
      </c>
      <c r="F1947" s="106" t="s">
        <v>2024</v>
      </c>
      <c r="G1947" s="8"/>
      <c r="H1947" s="8"/>
      <c r="I1947" s="107">
        <v>0</v>
      </c>
      <c r="J1947" s="8" t="s">
        <v>3580</v>
      </c>
    </row>
    <row r="1948" spans="1:10" ht="16.5" customHeight="1" x14ac:dyDescent="0.25">
      <c r="A1948" s="8" t="s">
        <v>7434</v>
      </c>
      <c r="B1948" s="8" t="s">
        <v>7435</v>
      </c>
      <c r="C1948" s="8" t="s">
        <v>7436</v>
      </c>
      <c r="D1948" s="8" t="s">
        <v>7435</v>
      </c>
      <c r="E1948" s="105">
        <v>5</v>
      </c>
      <c r="F1948" s="106" t="s">
        <v>2024</v>
      </c>
      <c r="G1948" s="8"/>
      <c r="H1948" s="8"/>
      <c r="I1948" s="107">
        <v>0</v>
      </c>
      <c r="J1948" s="8" t="s">
        <v>3580</v>
      </c>
    </row>
    <row r="1949" spans="1:10" ht="16.5" customHeight="1" x14ac:dyDescent="0.25">
      <c r="A1949" s="8" t="s">
        <v>7437</v>
      </c>
      <c r="B1949" s="8" t="s">
        <v>7438</v>
      </c>
      <c r="C1949" s="8" t="s">
        <v>7439</v>
      </c>
      <c r="D1949" s="8" t="s">
        <v>7438</v>
      </c>
      <c r="E1949" s="105">
        <v>40</v>
      </c>
      <c r="F1949" s="106" t="s">
        <v>2024</v>
      </c>
      <c r="G1949" s="8"/>
      <c r="H1949" s="8"/>
      <c r="I1949" s="107">
        <v>0</v>
      </c>
      <c r="J1949" s="8" t="s">
        <v>3580</v>
      </c>
    </row>
    <row r="1950" spans="1:10" ht="16.5" customHeight="1" x14ac:dyDescent="0.25">
      <c r="A1950" s="8" t="s">
        <v>7440</v>
      </c>
      <c r="B1950" s="8" t="s">
        <v>7441</v>
      </c>
      <c r="C1950" s="8" t="s">
        <v>7442</v>
      </c>
      <c r="D1950" s="8" t="s">
        <v>7441</v>
      </c>
      <c r="E1950" s="105">
        <v>12</v>
      </c>
      <c r="F1950" s="106" t="s">
        <v>2024</v>
      </c>
      <c r="G1950" s="8"/>
      <c r="H1950" s="8"/>
      <c r="I1950" s="107">
        <v>0</v>
      </c>
      <c r="J1950" s="8" t="s">
        <v>6357</v>
      </c>
    </row>
    <row r="1951" spans="1:10" ht="16.5" customHeight="1" x14ac:dyDescent="0.25">
      <c r="A1951" s="8" t="s">
        <v>7443</v>
      </c>
      <c r="B1951" s="8" t="s">
        <v>7444</v>
      </c>
      <c r="C1951" s="8" t="s">
        <v>7445</v>
      </c>
      <c r="D1951" s="8" t="s">
        <v>7444</v>
      </c>
      <c r="E1951" s="105">
        <v>0.75</v>
      </c>
      <c r="F1951" s="106" t="s">
        <v>2024</v>
      </c>
      <c r="G1951" s="8"/>
      <c r="H1951" s="8"/>
      <c r="I1951" s="107">
        <v>0</v>
      </c>
      <c r="J1951" s="8" t="s">
        <v>6357</v>
      </c>
    </row>
    <row r="1952" spans="1:10" ht="16.5" customHeight="1" x14ac:dyDescent="0.25">
      <c r="A1952" s="8" t="s">
        <v>7446</v>
      </c>
      <c r="B1952" s="8" t="s">
        <v>7447</v>
      </c>
      <c r="C1952" s="8" t="s">
        <v>7070</v>
      </c>
      <c r="D1952" s="8" t="s">
        <v>7447</v>
      </c>
      <c r="E1952" s="105">
        <v>1</v>
      </c>
      <c r="F1952" s="106" t="s">
        <v>2024</v>
      </c>
      <c r="G1952" s="8"/>
      <c r="H1952" s="8"/>
      <c r="I1952" s="107">
        <v>0</v>
      </c>
      <c r="J1952" s="8" t="s">
        <v>4722</v>
      </c>
    </row>
    <row r="1953" spans="1:10" ht="16.5" customHeight="1" x14ac:dyDescent="0.25">
      <c r="A1953" s="8" t="s">
        <v>7448</v>
      </c>
      <c r="B1953" s="8" t="s">
        <v>7449</v>
      </c>
      <c r="C1953" s="8" t="s">
        <v>7450</v>
      </c>
      <c r="D1953" s="8" t="s">
        <v>7449</v>
      </c>
      <c r="E1953" s="105">
        <v>0</v>
      </c>
      <c r="F1953" s="106" t="s">
        <v>2024</v>
      </c>
      <c r="G1953" s="8"/>
      <c r="H1953" s="8"/>
      <c r="I1953" s="107">
        <v>0</v>
      </c>
      <c r="J1953" s="8" t="s">
        <v>4722</v>
      </c>
    </row>
    <row r="1954" spans="1:10" ht="16.5" customHeight="1" x14ac:dyDescent="0.25">
      <c r="A1954" s="8" t="s">
        <v>7451</v>
      </c>
      <c r="B1954" s="8" t="s">
        <v>7452</v>
      </c>
      <c r="C1954" s="8" t="s">
        <v>7453</v>
      </c>
      <c r="D1954" s="8" t="s">
        <v>7452</v>
      </c>
      <c r="E1954" s="105">
        <v>6.36</v>
      </c>
      <c r="F1954" s="106" t="s">
        <v>2024</v>
      </c>
      <c r="G1954" s="8" t="s">
        <v>1541</v>
      </c>
      <c r="H1954" s="8" t="s">
        <v>7454</v>
      </c>
      <c r="I1954" s="107">
        <v>24</v>
      </c>
      <c r="J1954" s="8" t="s">
        <v>5929</v>
      </c>
    </row>
    <row r="1955" spans="1:10" ht="16.5" customHeight="1" x14ac:dyDescent="0.25">
      <c r="A1955" s="8" t="s">
        <v>7454</v>
      </c>
      <c r="B1955" s="8" t="s">
        <v>7455</v>
      </c>
      <c r="C1955" s="8" t="s">
        <v>7456</v>
      </c>
      <c r="D1955" s="8" t="s">
        <v>7455</v>
      </c>
      <c r="E1955" s="105">
        <v>0.26500000000000001</v>
      </c>
      <c r="F1955" s="106" t="s">
        <v>2024</v>
      </c>
      <c r="G1955" s="8" t="s">
        <v>1541</v>
      </c>
      <c r="H1955" s="8"/>
      <c r="I1955" s="107">
        <v>0</v>
      </c>
      <c r="J1955" s="8" t="s">
        <v>5929</v>
      </c>
    </row>
    <row r="1956" spans="1:10" ht="16.5" customHeight="1" x14ac:dyDescent="0.25">
      <c r="A1956" s="8" t="s">
        <v>7457</v>
      </c>
      <c r="B1956" s="8" t="s">
        <v>7077</v>
      </c>
      <c r="C1956" s="8" t="s">
        <v>7075</v>
      </c>
      <c r="D1956" s="8" t="s">
        <v>7077</v>
      </c>
      <c r="E1956" s="105">
        <v>0.15</v>
      </c>
      <c r="F1956" s="106" t="s">
        <v>2024</v>
      </c>
      <c r="G1956" s="8"/>
      <c r="H1956" s="8"/>
      <c r="I1956" s="107">
        <v>0</v>
      </c>
      <c r="J1956" s="8" t="s">
        <v>4722</v>
      </c>
    </row>
    <row r="1957" spans="1:10" ht="16.5" customHeight="1" x14ac:dyDescent="0.25">
      <c r="A1957" s="8" t="s">
        <v>7458</v>
      </c>
      <c r="B1957" s="8" t="s">
        <v>6966</v>
      </c>
      <c r="C1957" s="8" t="s">
        <v>6964</v>
      </c>
      <c r="D1957" s="8" t="s">
        <v>6966</v>
      </c>
      <c r="E1957" s="105">
        <v>0.1</v>
      </c>
      <c r="F1957" s="106" t="s">
        <v>2024</v>
      </c>
      <c r="G1957" s="8"/>
      <c r="H1957" s="8"/>
      <c r="I1957" s="107">
        <v>0</v>
      </c>
      <c r="J1957" s="8" t="s">
        <v>4722</v>
      </c>
    </row>
    <row r="1958" spans="1:10" ht="16.5" customHeight="1" x14ac:dyDescent="0.25">
      <c r="A1958" s="8" t="s">
        <v>7459</v>
      </c>
      <c r="B1958" s="8" t="s">
        <v>7460</v>
      </c>
      <c r="C1958" s="8" t="s">
        <v>7461</v>
      </c>
      <c r="D1958" s="8" t="s">
        <v>7460</v>
      </c>
      <c r="E1958" s="105">
        <v>11.03</v>
      </c>
      <c r="F1958" s="106" t="s">
        <v>2024</v>
      </c>
      <c r="G1958" s="8"/>
      <c r="H1958" s="8"/>
      <c r="I1958" s="107">
        <v>0</v>
      </c>
      <c r="J1958" s="8" t="s">
        <v>5929</v>
      </c>
    </row>
    <row r="1959" spans="1:10" ht="16.5" customHeight="1" x14ac:dyDescent="0.25">
      <c r="A1959" s="8" t="s">
        <v>7462</v>
      </c>
      <c r="B1959" s="8" t="s">
        <v>7463</v>
      </c>
      <c r="C1959" s="8" t="s">
        <v>7464</v>
      </c>
      <c r="D1959" s="8" t="s">
        <v>7463</v>
      </c>
      <c r="E1959" s="105">
        <v>1.103</v>
      </c>
      <c r="F1959" s="106" t="s">
        <v>2024</v>
      </c>
      <c r="G1959" s="8"/>
      <c r="H1959" s="8"/>
      <c r="I1959" s="107">
        <v>0</v>
      </c>
      <c r="J1959" s="8" t="s">
        <v>5929</v>
      </c>
    </row>
    <row r="1960" spans="1:10" ht="16.5" customHeight="1" x14ac:dyDescent="0.25">
      <c r="A1960" s="8" t="s">
        <v>7465</v>
      </c>
      <c r="B1960" s="8" t="s">
        <v>7466</v>
      </c>
      <c r="C1960" s="8" t="s">
        <v>7467</v>
      </c>
      <c r="D1960" s="8" t="s">
        <v>7466</v>
      </c>
      <c r="E1960" s="105">
        <v>20</v>
      </c>
      <c r="F1960" s="106" t="s">
        <v>2024</v>
      </c>
      <c r="G1960" s="8"/>
      <c r="H1960" s="8"/>
      <c r="I1960" s="107">
        <v>0</v>
      </c>
      <c r="J1960" s="8" t="s">
        <v>3695</v>
      </c>
    </row>
    <row r="1961" spans="1:10" ht="16.5" customHeight="1" x14ac:dyDescent="0.25">
      <c r="A1961" s="8" t="s">
        <v>7468</v>
      </c>
      <c r="B1961" s="8" t="s">
        <v>7469</v>
      </c>
      <c r="C1961" s="8" t="s">
        <v>7470</v>
      </c>
      <c r="D1961" s="8" t="s">
        <v>7469</v>
      </c>
      <c r="E1961" s="105">
        <v>20</v>
      </c>
      <c r="F1961" s="106" t="s">
        <v>2018</v>
      </c>
      <c r="G1961" s="8"/>
      <c r="H1961" s="8"/>
      <c r="I1961" s="107">
        <v>0</v>
      </c>
      <c r="J1961" s="8" t="s">
        <v>2019</v>
      </c>
    </row>
    <row r="1962" spans="1:10" ht="16.5" customHeight="1" x14ac:dyDescent="0.25">
      <c r="A1962" s="8" t="s">
        <v>7471</v>
      </c>
      <c r="B1962" s="8" t="s">
        <v>7472</v>
      </c>
      <c r="C1962" s="8" t="s">
        <v>7473</v>
      </c>
      <c r="D1962" s="8" t="s">
        <v>7472</v>
      </c>
      <c r="E1962" s="105">
        <v>1</v>
      </c>
      <c r="F1962" s="106" t="s">
        <v>2024</v>
      </c>
      <c r="G1962" s="8"/>
      <c r="H1962" s="8"/>
      <c r="I1962" s="107">
        <v>0</v>
      </c>
      <c r="J1962" s="8" t="s">
        <v>3580</v>
      </c>
    </row>
    <row r="1963" spans="1:10" ht="16.5" customHeight="1" x14ac:dyDescent="0.25">
      <c r="A1963" s="8" t="s">
        <v>7474</v>
      </c>
      <c r="B1963" s="8" t="s">
        <v>7475</v>
      </c>
      <c r="C1963" s="8" t="s">
        <v>7476</v>
      </c>
      <c r="D1963" s="8" t="s">
        <v>7475</v>
      </c>
      <c r="E1963" s="105">
        <v>12.5</v>
      </c>
      <c r="F1963" s="106" t="s">
        <v>2024</v>
      </c>
      <c r="G1963" s="8"/>
      <c r="H1963" s="8"/>
      <c r="I1963" s="107">
        <v>0</v>
      </c>
      <c r="J1963" s="8" t="s">
        <v>4789</v>
      </c>
    </row>
    <row r="1964" spans="1:10" ht="16.5" customHeight="1" x14ac:dyDescent="0.25">
      <c r="A1964" s="8" t="s">
        <v>7477</v>
      </c>
      <c r="B1964" s="8" t="s">
        <v>7478</v>
      </c>
      <c r="C1964" s="8" t="s">
        <v>7479</v>
      </c>
      <c r="D1964" s="8" t="s">
        <v>7480</v>
      </c>
      <c r="E1964" s="105">
        <v>0.25</v>
      </c>
      <c r="F1964" s="106" t="s">
        <v>2024</v>
      </c>
      <c r="G1964" s="8"/>
      <c r="H1964" s="8"/>
      <c r="I1964" s="107">
        <v>0</v>
      </c>
      <c r="J1964" s="8" t="s">
        <v>4789</v>
      </c>
    </row>
    <row r="1965" spans="1:10" ht="16.5" customHeight="1" x14ac:dyDescent="0.25">
      <c r="A1965" s="8" t="s">
        <v>7481</v>
      </c>
      <c r="B1965" s="8" t="s">
        <v>7482</v>
      </c>
      <c r="C1965" s="8" t="s">
        <v>7483</v>
      </c>
      <c r="D1965" s="8" t="s">
        <v>7482</v>
      </c>
      <c r="E1965" s="105">
        <v>25</v>
      </c>
      <c r="F1965" s="106" t="s">
        <v>2018</v>
      </c>
      <c r="G1965" s="8"/>
      <c r="H1965" s="8"/>
      <c r="I1965" s="107">
        <v>0</v>
      </c>
      <c r="J1965" s="8" t="s">
        <v>3695</v>
      </c>
    </row>
    <row r="1966" spans="1:10" ht="16.5" customHeight="1" x14ac:dyDescent="0.25">
      <c r="A1966" s="8" t="s">
        <v>7484</v>
      </c>
      <c r="B1966" s="8" t="s">
        <v>7485</v>
      </c>
      <c r="C1966" s="8" t="s">
        <v>7486</v>
      </c>
      <c r="D1966" s="8" t="s">
        <v>7485</v>
      </c>
      <c r="E1966" s="105">
        <v>9</v>
      </c>
      <c r="F1966" s="106" t="s">
        <v>2018</v>
      </c>
      <c r="G1966" s="8"/>
      <c r="H1966" s="8"/>
      <c r="I1966" s="107">
        <v>0</v>
      </c>
      <c r="J1966" s="8" t="s">
        <v>2019</v>
      </c>
    </row>
    <row r="1967" spans="1:10" ht="16.5" customHeight="1" x14ac:dyDescent="0.25">
      <c r="A1967" s="8" t="s">
        <v>7487</v>
      </c>
      <c r="B1967" s="8" t="s">
        <v>7488</v>
      </c>
      <c r="C1967" s="8" t="s">
        <v>7486</v>
      </c>
      <c r="D1967" s="8" t="s">
        <v>7489</v>
      </c>
      <c r="E1967" s="105">
        <v>18</v>
      </c>
      <c r="F1967" s="106" t="s">
        <v>2018</v>
      </c>
      <c r="G1967" s="8"/>
      <c r="H1967" s="8" t="s">
        <v>7484</v>
      </c>
      <c r="I1967" s="107">
        <v>2</v>
      </c>
      <c r="J1967" s="8" t="s">
        <v>2019</v>
      </c>
    </row>
    <row r="1968" spans="1:10" ht="16.5" customHeight="1" x14ac:dyDescent="0.25">
      <c r="A1968" s="8" t="s">
        <v>7490</v>
      </c>
      <c r="B1968" s="8" t="s">
        <v>7491</v>
      </c>
      <c r="C1968" s="8" t="s">
        <v>7492</v>
      </c>
      <c r="D1968" s="8" t="s">
        <v>7491</v>
      </c>
      <c r="E1968" s="105">
        <v>1</v>
      </c>
      <c r="F1968" s="106" t="s">
        <v>2024</v>
      </c>
      <c r="G1968" s="8"/>
      <c r="H1968" s="8"/>
      <c r="I1968" s="107">
        <v>0</v>
      </c>
      <c r="J1968" s="8" t="s">
        <v>3580</v>
      </c>
    </row>
    <row r="1969" spans="1:10" ht="16.5" customHeight="1" x14ac:dyDescent="0.25">
      <c r="A1969" s="8" t="s">
        <v>7493</v>
      </c>
      <c r="B1969" s="8" t="s">
        <v>7494</v>
      </c>
      <c r="C1969" s="8" t="s">
        <v>7495</v>
      </c>
      <c r="D1969" s="8" t="s">
        <v>7494</v>
      </c>
      <c r="E1969" s="105">
        <v>1</v>
      </c>
      <c r="F1969" s="106" t="s">
        <v>2024</v>
      </c>
      <c r="G1969" s="8"/>
      <c r="H1969" s="8"/>
      <c r="I1969" s="107">
        <v>0</v>
      </c>
      <c r="J1969" s="8" t="s">
        <v>3580</v>
      </c>
    </row>
    <row r="1970" spans="1:10" ht="16.5" customHeight="1" x14ac:dyDescent="0.25">
      <c r="A1970" s="8" t="s">
        <v>7496</v>
      </c>
      <c r="B1970" s="8" t="s">
        <v>7497</v>
      </c>
      <c r="C1970" s="8" t="s">
        <v>7498</v>
      </c>
      <c r="D1970" s="8" t="s">
        <v>7497</v>
      </c>
      <c r="E1970" s="105">
        <v>1</v>
      </c>
      <c r="F1970" s="106" t="s">
        <v>2024</v>
      </c>
      <c r="G1970" s="8"/>
      <c r="H1970" s="8"/>
      <c r="I1970" s="107">
        <v>0</v>
      </c>
      <c r="J1970" s="8" t="s">
        <v>3580</v>
      </c>
    </row>
    <row r="1971" spans="1:10" ht="16.5" customHeight="1" x14ac:dyDescent="0.25">
      <c r="A1971" s="8" t="s">
        <v>7499</v>
      </c>
      <c r="B1971" s="8" t="s">
        <v>7500</v>
      </c>
      <c r="C1971" s="8" t="s">
        <v>7501</v>
      </c>
      <c r="D1971" s="8" t="s">
        <v>7500</v>
      </c>
      <c r="E1971" s="105">
        <v>1</v>
      </c>
      <c r="F1971" s="106" t="s">
        <v>2024</v>
      </c>
      <c r="G1971" s="8"/>
      <c r="H1971" s="8"/>
      <c r="I1971" s="107">
        <v>0</v>
      </c>
      <c r="J1971" s="8" t="s">
        <v>3580</v>
      </c>
    </row>
    <row r="1972" spans="1:10" ht="16.5" customHeight="1" x14ac:dyDescent="0.25">
      <c r="A1972" s="8" t="s">
        <v>7502</v>
      </c>
      <c r="B1972" s="8" t="s">
        <v>7503</v>
      </c>
      <c r="C1972" s="8" t="s">
        <v>7504</v>
      </c>
      <c r="D1972" s="8" t="s">
        <v>7503</v>
      </c>
      <c r="E1972" s="105">
        <v>0</v>
      </c>
      <c r="F1972" s="106" t="s">
        <v>2018</v>
      </c>
      <c r="G1972" s="8"/>
      <c r="H1972" s="8"/>
      <c r="I1972" s="107">
        <v>0</v>
      </c>
      <c r="J1972" s="8" t="s">
        <v>4722</v>
      </c>
    </row>
    <row r="1973" spans="1:10" ht="16.5" customHeight="1" x14ac:dyDescent="0.25">
      <c r="A1973" s="8" t="s">
        <v>7505</v>
      </c>
      <c r="B1973" s="8" t="s">
        <v>7506</v>
      </c>
      <c r="C1973" s="8" t="s">
        <v>7507</v>
      </c>
      <c r="D1973" s="8" t="s">
        <v>7506</v>
      </c>
      <c r="E1973" s="105">
        <v>2</v>
      </c>
      <c r="F1973" s="106" t="s">
        <v>2024</v>
      </c>
      <c r="G1973" s="8"/>
      <c r="H1973" s="8"/>
      <c r="I1973" s="107">
        <v>0</v>
      </c>
      <c r="J1973" s="8" t="s">
        <v>3580</v>
      </c>
    </row>
    <row r="1974" spans="1:10" ht="16.5" customHeight="1" x14ac:dyDescent="0.25">
      <c r="A1974" s="8" t="s">
        <v>7508</v>
      </c>
      <c r="B1974" s="8" t="s">
        <v>7509</v>
      </c>
      <c r="C1974" s="8" t="s">
        <v>7510</v>
      </c>
      <c r="D1974" s="8" t="s">
        <v>7509</v>
      </c>
      <c r="E1974" s="105">
        <v>8.4331999999999994</v>
      </c>
      <c r="F1974" s="106" t="s">
        <v>2024</v>
      </c>
      <c r="G1974" s="8"/>
      <c r="H1974" s="8"/>
      <c r="I1974" s="107">
        <v>0</v>
      </c>
      <c r="J1974" s="8" t="s">
        <v>5929</v>
      </c>
    </row>
    <row r="1975" spans="1:10" ht="16.5" customHeight="1" x14ac:dyDescent="0.25">
      <c r="A1975" s="8" t="s">
        <v>7511</v>
      </c>
      <c r="B1975" s="8" t="s">
        <v>7512</v>
      </c>
      <c r="C1975" s="8" t="s">
        <v>7513</v>
      </c>
      <c r="D1975" s="8" t="s">
        <v>7512</v>
      </c>
      <c r="E1975" s="105">
        <v>11.3047</v>
      </c>
      <c r="F1975" s="106" t="s">
        <v>2024</v>
      </c>
      <c r="G1975" s="8"/>
      <c r="H1975" s="8"/>
      <c r="I1975" s="107">
        <v>0</v>
      </c>
      <c r="J1975" s="8" t="s">
        <v>5929</v>
      </c>
    </row>
    <row r="1976" spans="1:10" ht="16.5" customHeight="1" x14ac:dyDescent="0.25">
      <c r="A1976" s="8" t="s">
        <v>7514</v>
      </c>
      <c r="B1976" s="8" t="s">
        <v>7515</v>
      </c>
      <c r="C1976" s="8" t="s">
        <v>7516</v>
      </c>
      <c r="D1976" s="8" t="s">
        <v>7515</v>
      </c>
      <c r="E1976" s="105">
        <v>20.187000000000001</v>
      </c>
      <c r="F1976" s="106" t="s">
        <v>2024</v>
      </c>
      <c r="G1976" s="8"/>
      <c r="H1976" s="8"/>
      <c r="I1976" s="107">
        <v>0</v>
      </c>
      <c r="J1976" s="8" t="s">
        <v>5929</v>
      </c>
    </row>
    <row r="1977" spans="1:10" ht="16.5" customHeight="1" x14ac:dyDescent="0.25">
      <c r="A1977" s="8" t="s">
        <v>7517</v>
      </c>
      <c r="B1977" s="8" t="s">
        <v>7518</v>
      </c>
      <c r="C1977" s="8" t="s">
        <v>7519</v>
      </c>
      <c r="D1977" s="8" t="s">
        <v>7518</v>
      </c>
      <c r="E1977" s="105">
        <v>19.6434</v>
      </c>
      <c r="F1977" s="106" t="s">
        <v>2024</v>
      </c>
      <c r="G1977" s="8"/>
      <c r="H1977" s="8"/>
      <c r="I1977" s="107">
        <v>0</v>
      </c>
      <c r="J1977" s="8" t="s">
        <v>5929</v>
      </c>
    </row>
    <row r="1978" spans="1:10" ht="16.5" customHeight="1" x14ac:dyDescent="0.25">
      <c r="A1978" s="8" t="s">
        <v>7520</v>
      </c>
      <c r="B1978" s="8" t="s">
        <v>7521</v>
      </c>
      <c r="C1978" s="8" t="s">
        <v>7522</v>
      </c>
      <c r="D1978" s="8" t="s">
        <v>7521</v>
      </c>
      <c r="E1978" s="105">
        <v>6.12</v>
      </c>
      <c r="F1978" s="106" t="s">
        <v>2024</v>
      </c>
      <c r="G1978" s="8"/>
      <c r="H1978" s="8"/>
      <c r="I1978" s="107">
        <v>0</v>
      </c>
      <c r="J1978" s="8" t="s">
        <v>5929</v>
      </c>
    </row>
    <row r="1979" spans="1:10" ht="16.5" customHeight="1" x14ac:dyDescent="0.25">
      <c r="A1979" s="8" t="s">
        <v>7523</v>
      </c>
      <c r="B1979" s="8" t="s">
        <v>7524</v>
      </c>
      <c r="C1979" s="8" t="s">
        <v>7525</v>
      </c>
      <c r="D1979" s="8" t="s">
        <v>7524</v>
      </c>
      <c r="E1979" s="105">
        <v>9.1199999999999992</v>
      </c>
      <c r="F1979" s="106" t="s">
        <v>2024</v>
      </c>
      <c r="G1979" s="8"/>
      <c r="H1979" s="8"/>
      <c r="I1979" s="107">
        <v>0</v>
      </c>
      <c r="J1979" s="8" t="s">
        <v>5929</v>
      </c>
    </row>
    <row r="1980" spans="1:10" ht="16.5" customHeight="1" x14ac:dyDescent="0.25">
      <c r="A1980" s="8" t="s">
        <v>7526</v>
      </c>
      <c r="B1980" s="8" t="s">
        <v>7527</v>
      </c>
      <c r="C1980" s="8" t="s">
        <v>7528</v>
      </c>
      <c r="D1980" s="8" t="s">
        <v>7527</v>
      </c>
      <c r="E1980" s="105">
        <v>10.199999999999999</v>
      </c>
      <c r="F1980" s="106" t="s">
        <v>2024</v>
      </c>
      <c r="G1980" s="8"/>
      <c r="H1980" s="8"/>
      <c r="I1980" s="107">
        <v>0</v>
      </c>
      <c r="J1980" s="8" t="s">
        <v>5929</v>
      </c>
    </row>
    <row r="1981" spans="1:10" ht="16.5" customHeight="1" x14ac:dyDescent="0.25">
      <c r="A1981" s="8" t="s">
        <v>7529</v>
      </c>
      <c r="B1981" s="8" t="s">
        <v>7530</v>
      </c>
      <c r="C1981" s="8" t="s">
        <v>7531</v>
      </c>
      <c r="D1981" s="8" t="s">
        <v>7530</v>
      </c>
      <c r="E1981" s="105">
        <v>6.8879999999999999</v>
      </c>
      <c r="F1981" s="106" t="s">
        <v>2024</v>
      </c>
      <c r="G1981" s="8"/>
      <c r="H1981" s="8"/>
      <c r="I1981" s="107">
        <v>0</v>
      </c>
      <c r="J1981" s="8" t="s">
        <v>6357</v>
      </c>
    </row>
    <row r="1982" spans="1:10" ht="16.5" customHeight="1" x14ac:dyDescent="0.25">
      <c r="A1982" s="8" t="s">
        <v>7532</v>
      </c>
      <c r="B1982" s="8" t="s">
        <v>7533</v>
      </c>
      <c r="C1982" s="8" t="s">
        <v>7534</v>
      </c>
      <c r="D1982" s="8" t="s">
        <v>7533</v>
      </c>
      <c r="E1982" s="105">
        <v>0.57399999999999995</v>
      </c>
      <c r="F1982" s="106" t="s">
        <v>2024</v>
      </c>
      <c r="G1982" s="8"/>
      <c r="H1982" s="8"/>
      <c r="I1982" s="107">
        <v>0</v>
      </c>
      <c r="J1982" s="8" t="s">
        <v>6357</v>
      </c>
    </row>
    <row r="1983" spans="1:10" ht="16.5" customHeight="1" x14ac:dyDescent="0.25">
      <c r="A1983" s="8" t="s">
        <v>7535</v>
      </c>
      <c r="B1983" s="8" t="s">
        <v>7536</v>
      </c>
      <c r="C1983" s="8" t="s">
        <v>7537</v>
      </c>
      <c r="D1983" s="8" t="s">
        <v>7536</v>
      </c>
      <c r="E1983" s="105">
        <v>1</v>
      </c>
      <c r="F1983" s="106" t="s">
        <v>2024</v>
      </c>
      <c r="G1983" s="8"/>
      <c r="H1983" s="8"/>
      <c r="I1983" s="107">
        <v>0</v>
      </c>
      <c r="J1983" s="8" t="s">
        <v>3580</v>
      </c>
    </row>
    <row r="1984" spans="1:10" ht="16.5" customHeight="1" x14ac:dyDescent="0.25">
      <c r="A1984" s="8" t="s">
        <v>7538</v>
      </c>
      <c r="B1984" s="8" t="s">
        <v>7539</v>
      </c>
      <c r="C1984" s="8" t="s">
        <v>7540</v>
      </c>
      <c r="D1984" s="8" t="s">
        <v>7539</v>
      </c>
      <c r="E1984" s="105">
        <v>1</v>
      </c>
      <c r="F1984" s="106" t="s">
        <v>2024</v>
      </c>
      <c r="G1984" s="8"/>
      <c r="H1984" s="8"/>
      <c r="I1984" s="107">
        <v>0</v>
      </c>
      <c r="J1984" s="8" t="s">
        <v>3580</v>
      </c>
    </row>
    <row r="1985" spans="1:10" ht="16.5" customHeight="1" x14ac:dyDescent="0.25">
      <c r="A1985" s="8" t="s">
        <v>7541</v>
      </c>
      <c r="B1985" s="8" t="s">
        <v>7542</v>
      </c>
      <c r="C1985" s="8" t="s">
        <v>7543</v>
      </c>
      <c r="D1985" s="8" t="s">
        <v>7542</v>
      </c>
      <c r="E1985" s="105">
        <v>1</v>
      </c>
      <c r="F1985" s="106" t="s">
        <v>2024</v>
      </c>
      <c r="G1985" s="8"/>
      <c r="H1985" s="8"/>
      <c r="I1985" s="107">
        <v>0</v>
      </c>
      <c r="J1985" s="8" t="s">
        <v>3580</v>
      </c>
    </row>
    <row r="1986" spans="1:10" ht="16.5" customHeight="1" x14ac:dyDescent="0.25">
      <c r="A1986" s="8" t="s">
        <v>7544</v>
      </c>
      <c r="B1986" s="8" t="s">
        <v>7545</v>
      </c>
      <c r="C1986" s="8" t="s">
        <v>7546</v>
      </c>
      <c r="D1986" s="8" t="s">
        <v>7545</v>
      </c>
      <c r="E1986" s="105">
        <v>20</v>
      </c>
      <c r="F1986" s="106" t="s">
        <v>2024</v>
      </c>
      <c r="G1986" s="8"/>
      <c r="H1986" s="8"/>
      <c r="I1986" s="107">
        <v>0</v>
      </c>
      <c r="J1986" s="8" t="s">
        <v>4722</v>
      </c>
    </row>
    <row r="1987" spans="1:10" ht="16.5" customHeight="1" x14ac:dyDescent="0.25">
      <c r="A1987" s="8" t="s">
        <v>7547</v>
      </c>
      <c r="B1987" s="8" t="s">
        <v>7044</v>
      </c>
      <c r="C1987" s="8" t="s">
        <v>7045</v>
      </c>
      <c r="D1987" s="8" t="s">
        <v>7044</v>
      </c>
      <c r="E1987" s="105">
        <v>0</v>
      </c>
      <c r="F1987" s="106" t="s">
        <v>2024</v>
      </c>
      <c r="G1987" s="8"/>
      <c r="H1987" s="8"/>
      <c r="I1987" s="107">
        <v>0</v>
      </c>
      <c r="J1987" s="8" t="s">
        <v>4722</v>
      </c>
    </row>
    <row r="1988" spans="1:10" ht="16.5" customHeight="1" x14ac:dyDescent="0.25">
      <c r="A1988" s="8" t="s">
        <v>7548</v>
      </c>
      <c r="B1988" s="8" t="s">
        <v>7549</v>
      </c>
      <c r="C1988" s="8" t="s">
        <v>7550</v>
      </c>
      <c r="D1988" s="8" t="s">
        <v>7549</v>
      </c>
      <c r="E1988" s="105">
        <v>1</v>
      </c>
      <c r="F1988" s="106" t="s">
        <v>2024</v>
      </c>
      <c r="G1988" s="8"/>
      <c r="H1988" s="8"/>
      <c r="I1988" s="107">
        <v>0</v>
      </c>
      <c r="J1988" s="8" t="s">
        <v>3580</v>
      </c>
    </row>
    <row r="1989" spans="1:10" ht="16.5" customHeight="1" x14ac:dyDescent="0.25">
      <c r="A1989" s="8" t="s">
        <v>7551</v>
      </c>
      <c r="B1989" s="8" t="s">
        <v>7552</v>
      </c>
      <c r="C1989" s="8" t="s">
        <v>7553</v>
      </c>
      <c r="D1989" s="8" t="s">
        <v>7552</v>
      </c>
      <c r="E1989" s="105">
        <v>1</v>
      </c>
      <c r="F1989" s="106" t="s">
        <v>2024</v>
      </c>
      <c r="G1989" s="8"/>
      <c r="H1989" s="8"/>
      <c r="I1989" s="107">
        <v>0</v>
      </c>
      <c r="J1989" s="8" t="s">
        <v>3580</v>
      </c>
    </row>
    <row r="1990" spans="1:10" ht="16.5" customHeight="1" x14ac:dyDescent="0.25">
      <c r="A1990" s="8" t="s">
        <v>7554</v>
      </c>
      <c r="B1990" s="8" t="s">
        <v>7555</v>
      </c>
      <c r="C1990" s="8" t="s">
        <v>7556</v>
      </c>
      <c r="D1990" s="8" t="s">
        <v>7555</v>
      </c>
      <c r="E1990" s="105">
        <v>12.5</v>
      </c>
      <c r="F1990" s="106" t="s">
        <v>2024</v>
      </c>
      <c r="G1990" s="8"/>
      <c r="H1990" s="8"/>
      <c r="I1990" s="107">
        <v>0</v>
      </c>
      <c r="J1990" s="8" t="s">
        <v>5929</v>
      </c>
    </row>
    <row r="1991" spans="1:10" ht="16.5" customHeight="1" x14ac:dyDescent="0.25">
      <c r="A1991" s="8" t="s">
        <v>7557</v>
      </c>
      <c r="B1991" s="8" t="s">
        <v>7558</v>
      </c>
      <c r="C1991" s="8" t="s">
        <v>7210</v>
      </c>
      <c r="D1991" s="8" t="s">
        <v>7209</v>
      </c>
      <c r="E1991" s="105">
        <v>0.25</v>
      </c>
      <c r="F1991" s="106" t="s">
        <v>2024</v>
      </c>
      <c r="G1991" s="8"/>
      <c r="H1991" s="8"/>
      <c r="I1991" s="107">
        <v>0</v>
      </c>
      <c r="J1991" s="8" t="s">
        <v>5929</v>
      </c>
    </row>
    <row r="1992" spans="1:10" ht="16.5" customHeight="1" x14ac:dyDescent="0.25">
      <c r="A1992" s="8" t="s">
        <v>7559</v>
      </c>
      <c r="B1992" s="8" t="s">
        <v>7560</v>
      </c>
      <c r="C1992" s="8" t="s">
        <v>7561</v>
      </c>
      <c r="D1992" s="8" t="s">
        <v>7560</v>
      </c>
      <c r="E1992" s="105">
        <v>1</v>
      </c>
      <c r="F1992" s="106" t="s">
        <v>2024</v>
      </c>
      <c r="G1992" s="8"/>
      <c r="H1992" s="8"/>
      <c r="I1992" s="107">
        <v>0</v>
      </c>
      <c r="J1992" s="8" t="s">
        <v>3580</v>
      </c>
    </row>
    <row r="1993" spans="1:10" ht="16.5" customHeight="1" x14ac:dyDescent="0.25">
      <c r="A1993" s="8" t="s">
        <v>7562</v>
      </c>
      <c r="B1993" s="8" t="s">
        <v>7563</v>
      </c>
      <c r="C1993" s="8" t="s">
        <v>7564</v>
      </c>
      <c r="D1993" s="8" t="s">
        <v>7563</v>
      </c>
      <c r="E1993" s="105">
        <v>1</v>
      </c>
      <c r="F1993" s="106" t="s">
        <v>2024</v>
      </c>
      <c r="G1993" s="8"/>
      <c r="H1993" s="8"/>
      <c r="I1993" s="107">
        <v>0</v>
      </c>
      <c r="J1993" s="8" t="s">
        <v>3580</v>
      </c>
    </row>
    <row r="1994" spans="1:10" ht="16.5" customHeight="1" x14ac:dyDescent="0.25">
      <c r="A1994" s="8" t="s">
        <v>7565</v>
      </c>
      <c r="B1994" s="8" t="s">
        <v>7566</v>
      </c>
      <c r="C1994" s="8" t="s">
        <v>7567</v>
      </c>
      <c r="D1994" s="8" t="s">
        <v>7566</v>
      </c>
      <c r="E1994" s="105">
        <v>1</v>
      </c>
      <c r="F1994" s="106" t="s">
        <v>2024</v>
      </c>
      <c r="G1994" s="8"/>
      <c r="H1994" s="8"/>
      <c r="I1994" s="107">
        <v>0</v>
      </c>
      <c r="J1994" s="8" t="s">
        <v>3580</v>
      </c>
    </row>
    <row r="1995" spans="1:10" ht="16.5" customHeight="1" x14ac:dyDescent="0.25">
      <c r="A1995" s="8" t="s">
        <v>7568</v>
      </c>
      <c r="B1995" s="8" t="s">
        <v>7569</v>
      </c>
      <c r="C1995" s="8" t="s">
        <v>7570</v>
      </c>
      <c r="D1995" s="8" t="s">
        <v>7569</v>
      </c>
      <c r="E1995" s="105">
        <v>1</v>
      </c>
      <c r="F1995" s="106" t="s">
        <v>2024</v>
      </c>
      <c r="G1995" s="8"/>
      <c r="H1995" s="8"/>
      <c r="I1995" s="107">
        <v>0</v>
      </c>
      <c r="J1995" s="8" t="s">
        <v>3580</v>
      </c>
    </row>
    <row r="1996" spans="1:10" ht="16.5" customHeight="1" x14ac:dyDescent="0.25">
      <c r="A1996" s="8" t="s">
        <v>7571</v>
      </c>
      <c r="B1996" s="8" t="s">
        <v>7572</v>
      </c>
      <c r="C1996" s="8" t="s">
        <v>7573</v>
      </c>
      <c r="D1996" s="8" t="s">
        <v>7572</v>
      </c>
      <c r="E1996" s="105">
        <v>1</v>
      </c>
      <c r="F1996" s="106" t="s">
        <v>2024</v>
      </c>
      <c r="G1996" s="8"/>
      <c r="H1996" s="8"/>
      <c r="I1996" s="107">
        <v>0</v>
      </c>
      <c r="J1996" s="8" t="s">
        <v>3580</v>
      </c>
    </row>
    <row r="1997" spans="1:10" ht="16.5" customHeight="1" x14ac:dyDescent="0.25">
      <c r="A1997" s="8" t="s">
        <v>7574</v>
      </c>
      <c r="B1997" s="8" t="s">
        <v>7575</v>
      </c>
      <c r="C1997" s="8" t="s">
        <v>7576</v>
      </c>
      <c r="D1997" s="8" t="s">
        <v>7575</v>
      </c>
      <c r="E1997" s="105">
        <v>1</v>
      </c>
      <c r="F1997" s="106" t="s">
        <v>2024</v>
      </c>
      <c r="G1997" s="8"/>
      <c r="H1997" s="8"/>
      <c r="I1997" s="107">
        <v>0</v>
      </c>
      <c r="J1997" s="8" t="s">
        <v>3580</v>
      </c>
    </row>
    <row r="1998" spans="1:10" ht="16.5" customHeight="1" x14ac:dyDescent="0.25">
      <c r="A1998" s="8" t="s">
        <v>7577</v>
      </c>
      <c r="B1998" s="8" t="s">
        <v>7578</v>
      </c>
      <c r="C1998" s="8" t="s">
        <v>7579</v>
      </c>
      <c r="D1998" s="8" t="s">
        <v>7578</v>
      </c>
      <c r="E1998" s="105">
        <v>1</v>
      </c>
      <c r="F1998" s="106" t="s">
        <v>2024</v>
      </c>
      <c r="G1998" s="8"/>
      <c r="H1998" s="8"/>
      <c r="I1998" s="107">
        <v>0</v>
      </c>
      <c r="J1998" s="8" t="s">
        <v>3580</v>
      </c>
    </row>
    <row r="1999" spans="1:10" ht="16.5" customHeight="1" x14ac:dyDescent="0.25">
      <c r="A1999" s="8" t="s">
        <v>7580</v>
      </c>
      <c r="B1999" s="8" t="s">
        <v>6539</v>
      </c>
      <c r="C1999" s="8" t="s">
        <v>6540</v>
      </c>
      <c r="D1999" s="8" t="s">
        <v>6539</v>
      </c>
      <c r="E1999" s="105">
        <v>2.4</v>
      </c>
      <c r="F1999" s="106" t="s">
        <v>2024</v>
      </c>
      <c r="G1999" s="8"/>
      <c r="H1999" s="8"/>
      <c r="I1999" s="107">
        <v>0</v>
      </c>
      <c r="J1999" s="8" t="s">
        <v>5779</v>
      </c>
    </row>
    <row r="2000" spans="1:10" ht="16.5" customHeight="1" x14ac:dyDescent="0.25">
      <c r="A2000" s="8" t="s">
        <v>7581</v>
      </c>
      <c r="B2000" s="8" t="s">
        <v>6542</v>
      </c>
      <c r="C2000" s="8" t="s">
        <v>6543</v>
      </c>
      <c r="D2000" s="8" t="s">
        <v>6542</v>
      </c>
      <c r="E2000" s="105">
        <v>0.2</v>
      </c>
      <c r="F2000" s="106" t="s">
        <v>2024</v>
      </c>
      <c r="G2000" s="8"/>
      <c r="H2000" s="8"/>
      <c r="I2000" s="107">
        <v>0</v>
      </c>
      <c r="J2000" s="8" t="s">
        <v>5779</v>
      </c>
    </row>
    <row r="2001" spans="1:10" ht="16.5" customHeight="1" x14ac:dyDescent="0.25">
      <c r="A2001" s="8" t="s">
        <v>7582</v>
      </c>
      <c r="B2001" s="8" t="s">
        <v>7583</v>
      </c>
      <c r="C2001" s="8" t="s">
        <v>7584</v>
      </c>
      <c r="D2001" s="8" t="s">
        <v>7583</v>
      </c>
      <c r="E2001" s="105">
        <v>3</v>
      </c>
      <c r="F2001" s="106" t="s">
        <v>2024</v>
      </c>
      <c r="G2001" s="8"/>
      <c r="H2001" s="8"/>
      <c r="I2001" s="107">
        <v>0</v>
      </c>
      <c r="J2001" s="8" t="s">
        <v>5671</v>
      </c>
    </row>
    <row r="2002" spans="1:10" ht="16.5" customHeight="1" x14ac:dyDescent="0.25">
      <c r="A2002" s="8" t="s">
        <v>7585</v>
      </c>
      <c r="B2002" s="8" t="s">
        <v>7586</v>
      </c>
      <c r="C2002" s="8" t="s">
        <v>7584</v>
      </c>
      <c r="D2002" s="8" t="s">
        <v>7586</v>
      </c>
      <c r="E2002" s="105">
        <v>0.05</v>
      </c>
      <c r="F2002" s="106" t="s">
        <v>2024</v>
      </c>
      <c r="G2002" s="8"/>
      <c r="H2002" s="8"/>
      <c r="I2002" s="107">
        <v>0</v>
      </c>
      <c r="J2002" s="8" t="s">
        <v>5671</v>
      </c>
    </row>
    <row r="2003" spans="1:10" ht="16.5" customHeight="1" x14ac:dyDescent="0.25">
      <c r="A2003" s="8" t="s">
        <v>7587</v>
      </c>
      <c r="B2003" s="8" t="s">
        <v>7588</v>
      </c>
      <c r="C2003" s="8" t="s">
        <v>7589</v>
      </c>
      <c r="D2003" s="8" t="s">
        <v>7588</v>
      </c>
      <c r="E2003" s="105">
        <v>9</v>
      </c>
      <c r="F2003" s="106" t="s">
        <v>2024</v>
      </c>
      <c r="G2003" s="8"/>
      <c r="H2003" s="8"/>
      <c r="I2003" s="107">
        <v>0</v>
      </c>
      <c r="J2003" s="8" t="s">
        <v>5929</v>
      </c>
    </row>
    <row r="2004" spans="1:10" ht="16.5" customHeight="1" x14ac:dyDescent="0.25">
      <c r="A2004" s="8" t="s">
        <v>7590</v>
      </c>
      <c r="B2004" s="8" t="s">
        <v>7591</v>
      </c>
      <c r="C2004" s="8" t="s">
        <v>7592</v>
      </c>
      <c r="D2004" s="8" t="s">
        <v>7591</v>
      </c>
      <c r="E2004" s="105">
        <v>9</v>
      </c>
      <c r="F2004" s="106" t="s">
        <v>2024</v>
      </c>
      <c r="G2004" s="8"/>
      <c r="H2004" s="8"/>
      <c r="I2004" s="107">
        <v>0</v>
      </c>
      <c r="J2004" s="8" t="s">
        <v>5929</v>
      </c>
    </row>
    <row r="2005" spans="1:10" ht="16.5" customHeight="1" x14ac:dyDescent="0.25">
      <c r="A2005" s="8" t="s">
        <v>7593</v>
      </c>
      <c r="B2005" s="8" t="s">
        <v>7594</v>
      </c>
      <c r="C2005" s="8" t="s">
        <v>7595</v>
      </c>
      <c r="D2005" s="8" t="s">
        <v>7594</v>
      </c>
      <c r="E2005" s="105">
        <v>6.12</v>
      </c>
      <c r="F2005" s="106" t="s">
        <v>2024</v>
      </c>
      <c r="G2005" s="8"/>
      <c r="H2005" s="8"/>
      <c r="I2005" s="107">
        <v>0</v>
      </c>
      <c r="J2005" s="8" t="s">
        <v>4789</v>
      </c>
    </row>
    <row r="2006" spans="1:10" ht="16.5" customHeight="1" x14ac:dyDescent="0.25">
      <c r="A2006" s="8" t="s">
        <v>7596</v>
      </c>
      <c r="B2006" s="8" t="s">
        <v>7597</v>
      </c>
      <c r="C2006" s="8" t="s">
        <v>7598</v>
      </c>
      <c r="D2006" s="8" t="s">
        <v>7597</v>
      </c>
      <c r="E2006" s="105">
        <v>0.17</v>
      </c>
      <c r="F2006" s="106" t="s">
        <v>2024</v>
      </c>
      <c r="G2006" s="8"/>
      <c r="H2006" s="8"/>
      <c r="I2006" s="107">
        <v>0</v>
      </c>
      <c r="J2006" s="8" t="s">
        <v>4789</v>
      </c>
    </row>
    <row r="2007" spans="1:10" ht="16.5" customHeight="1" x14ac:dyDescent="0.25">
      <c r="A2007" s="8" t="s">
        <v>7599</v>
      </c>
      <c r="B2007" s="8" t="s">
        <v>7600</v>
      </c>
      <c r="C2007" s="8" t="s">
        <v>7601</v>
      </c>
      <c r="D2007" s="8" t="s">
        <v>7600</v>
      </c>
      <c r="E2007" s="105">
        <v>1</v>
      </c>
      <c r="F2007" s="106" t="s">
        <v>2024</v>
      </c>
      <c r="G2007" s="8"/>
      <c r="H2007" s="8"/>
      <c r="I2007" s="107">
        <v>0</v>
      </c>
      <c r="J2007" s="8" t="s">
        <v>3580</v>
      </c>
    </row>
    <row r="2008" spans="1:10" ht="16.5" customHeight="1" x14ac:dyDescent="0.25">
      <c r="A2008" s="8" t="s">
        <v>7602</v>
      </c>
      <c r="B2008" s="8" t="s">
        <v>7423</v>
      </c>
      <c r="C2008" s="8" t="s">
        <v>7424</v>
      </c>
      <c r="D2008" s="8" t="s">
        <v>7423</v>
      </c>
      <c r="E2008" s="105">
        <v>1</v>
      </c>
      <c r="F2008" s="106" t="s">
        <v>2024</v>
      </c>
      <c r="G2008" s="8"/>
      <c r="H2008" s="8"/>
      <c r="I2008" s="107">
        <v>0</v>
      </c>
      <c r="J2008" s="8" t="s">
        <v>4722</v>
      </c>
    </row>
    <row r="2009" spans="1:10" ht="16.5" customHeight="1" x14ac:dyDescent="0.25">
      <c r="A2009" s="8" t="s">
        <v>7603</v>
      </c>
      <c r="B2009" s="8" t="s">
        <v>7604</v>
      </c>
      <c r="C2009" s="8" t="s">
        <v>7605</v>
      </c>
      <c r="D2009" s="8" t="s">
        <v>7604</v>
      </c>
      <c r="E2009" s="105">
        <v>0</v>
      </c>
      <c r="F2009" s="106" t="s">
        <v>2024</v>
      </c>
      <c r="G2009" s="8"/>
      <c r="H2009" s="8"/>
      <c r="I2009" s="107">
        <v>0</v>
      </c>
      <c r="J2009" s="8" t="s">
        <v>4722</v>
      </c>
    </row>
    <row r="2010" spans="1:10" ht="16.5" customHeight="1" x14ac:dyDescent="0.25">
      <c r="A2010" s="8" t="s">
        <v>7606</v>
      </c>
      <c r="B2010" s="8" t="s">
        <v>7607</v>
      </c>
      <c r="C2010" s="8" t="s">
        <v>7608</v>
      </c>
      <c r="D2010" s="8" t="s">
        <v>7607</v>
      </c>
      <c r="E2010" s="105">
        <v>0</v>
      </c>
      <c r="F2010" s="106" t="s">
        <v>2024</v>
      </c>
      <c r="G2010" s="8"/>
      <c r="H2010" s="8"/>
      <c r="I2010" s="107">
        <v>0</v>
      </c>
      <c r="J2010" s="8" t="s">
        <v>4722</v>
      </c>
    </row>
    <row r="2011" spans="1:10" ht="16.5" customHeight="1" x14ac:dyDescent="0.25">
      <c r="A2011" s="8" t="s">
        <v>7609</v>
      </c>
      <c r="B2011" s="8" t="s">
        <v>7610</v>
      </c>
      <c r="C2011" s="8" t="s">
        <v>7611</v>
      </c>
      <c r="D2011" s="8" t="s">
        <v>7610</v>
      </c>
      <c r="E2011" s="105">
        <v>0</v>
      </c>
      <c r="F2011" s="106" t="s">
        <v>2024</v>
      </c>
      <c r="G2011" s="8"/>
      <c r="H2011" s="8"/>
      <c r="I2011" s="107">
        <v>0</v>
      </c>
      <c r="J2011" s="8" t="s">
        <v>4722</v>
      </c>
    </row>
    <row r="2012" spans="1:10" ht="16.5" customHeight="1" x14ac:dyDescent="0.25">
      <c r="A2012" s="8" t="s">
        <v>7612</v>
      </c>
      <c r="B2012" s="8" t="s">
        <v>7613</v>
      </c>
      <c r="C2012" s="8" t="s">
        <v>7614</v>
      </c>
      <c r="D2012" s="8" t="s">
        <v>7613</v>
      </c>
      <c r="E2012" s="105">
        <v>0</v>
      </c>
      <c r="F2012" s="106" t="s">
        <v>2024</v>
      </c>
      <c r="G2012" s="8"/>
      <c r="H2012" s="8"/>
      <c r="I2012" s="107">
        <v>0</v>
      </c>
      <c r="J2012" s="8" t="s">
        <v>4722</v>
      </c>
    </row>
    <row r="2013" spans="1:10" ht="16.5" customHeight="1" x14ac:dyDescent="0.25">
      <c r="A2013" s="8" t="s">
        <v>7615</v>
      </c>
      <c r="B2013" s="8" t="s">
        <v>7616</v>
      </c>
      <c r="C2013" s="8" t="s">
        <v>7617</v>
      </c>
      <c r="D2013" s="8" t="s">
        <v>7616</v>
      </c>
      <c r="E2013" s="105">
        <v>1.82</v>
      </c>
      <c r="F2013" s="106" t="s">
        <v>2024</v>
      </c>
      <c r="G2013" s="8"/>
      <c r="H2013" s="8"/>
      <c r="I2013" s="107">
        <v>0</v>
      </c>
      <c r="J2013" s="8" t="s">
        <v>4722</v>
      </c>
    </row>
    <row r="2014" spans="1:10" ht="16.5" customHeight="1" x14ac:dyDescent="0.25">
      <c r="A2014" s="8" t="s">
        <v>7618</v>
      </c>
      <c r="B2014" s="8" t="s">
        <v>7619</v>
      </c>
      <c r="C2014" s="8" t="s">
        <v>1159</v>
      </c>
      <c r="D2014" s="8" t="s">
        <v>7619</v>
      </c>
      <c r="E2014" s="105">
        <v>1.82</v>
      </c>
      <c r="F2014" s="106" t="s">
        <v>2018</v>
      </c>
      <c r="G2014" s="8"/>
      <c r="H2014" s="8"/>
      <c r="I2014" s="107">
        <v>0</v>
      </c>
      <c r="J2014" s="8" t="s">
        <v>4722</v>
      </c>
    </row>
    <row r="2015" spans="1:10" ht="16.5" customHeight="1" x14ac:dyDescent="0.25">
      <c r="A2015" s="8" t="s">
        <v>7620</v>
      </c>
      <c r="B2015" s="8" t="s">
        <v>7621</v>
      </c>
      <c r="C2015" s="8" t="s">
        <v>7622</v>
      </c>
      <c r="D2015" s="8" t="s">
        <v>7621</v>
      </c>
      <c r="E2015" s="105">
        <v>8.5</v>
      </c>
      <c r="F2015" s="106" t="s">
        <v>2024</v>
      </c>
      <c r="G2015" s="8"/>
      <c r="H2015" s="8"/>
      <c r="I2015" s="107">
        <v>0</v>
      </c>
      <c r="J2015" s="8" t="s">
        <v>4789</v>
      </c>
    </row>
    <row r="2016" spans="1:10" ht="16.5" customHeight="1" x14ac:dyDescent="0.25">
      <c r="A2016" s="8" t="s">
        <v>7623</v>
      </c>
      <c r="B2016" s="8" t="s">
        <v>7624</v>
      </c>
      <c r="C2016" s="8" t="s">
        <v>7625</v>
      </c>
      <c r="D2016" s="8" t="s">
        <v>7624</v>
      </c>
      <c r="E2016" s="105">
        <v>18.2</v>
      </c>
      <c r="F2016" s="106" t="s">
        <v>2024</v>
      </c>
      <c r="G2016" s="8"/>
      <c r="H2016" s="8"/>
      <c r="I2016" s="107">
        <v>0</v>
      </c>
      <c r="J2016" s="8" t="s">
        <v>4722</v>
      </c>
    </row>
    <row r="2017" spans="1:10" ht="16.5" customHeight="1" x14ac:dyDescent="0.25">
      <c r="A2017" s="8" t="s">
        <v>7626</v>
      </c>
      <c r="B2017" s="8" t="s">
        <v>7627</v>
      </c>
      <c r="C2017" s="8" t="s">
        <v>7628</v>
      </c>
      <c r="D2017" s="8" t="s">
        <v>7627</v>
      </c>
      <c r="E2017" s="105">
        <v>0.2</v>
      </c>
      <c r="F2017" s="106" t="s">
        <v>2024</v>
      </c>
      <c r="G2017" s="8"/>
      <c r="H2017" s="8"/>
      <c r="I2017" s="107">
        <v>0</v>
      </c>
      <c r="J2017" s="8" t="s">
        <v>4789</v>
      </c>
    </row>
    <row r="2018" spans="1:10" ht="16.5" customHeight="1" x14ac:dyDescent="0.25">
      <c r="A2018" s="8" t="s">
        <v>7629</v>
      </c>
      <c r="B2018" s="8" t="s">
        <v>7630</v>
      </c>
      <c r="C2018" s="8" t="s">
        <v>7631</v>
      </c>
      <c r="D2018" s="8" t="s">
        <v>7630</v>
      </c>
      <c r="E2018" s="105">
        <v>10</v>
      </c>
      <c r="F2018" s="106" t="s">
        <v>2024</v>
      </c>
      <c r="G2018" s="8"/>
      <c r="H2018" s="8"/>
      <c r="I2018" s="107">
        <v>0</v>
      </c>
      <c r="J2018" s="8" t="s">
        <v>6357</v>
      </c>
    </row>
    <row r="2019" spans="1:10" ht="16.5" customHeight="1" x14ac:dyDescent="0.25">
      <c r="A2019" s="8" t="s">
        <v>7632</v>
      </c>
      <c r="B2019" s="8" t="s">
        <v>7633</v>
      </c>
      <c r="C2019" s="8" t="s">
        <v>7634</v>
      </c>
      <c r="D2019" s="8" t="s">
        <v>7633</v>
      </c>
      <c r="E2019" s="105">
        <v>0.2</v>
      </c>
      <c r="F2019" s="106" t="s">
        <v>2024</v>
      </c>
      <c r="G2019" s="8"/>
      <c r="H2019" s="8"/>
      <c r="I2019" s="107">
        <v>0</v>
      </c>
      <c r="J2019" s="8" t="s">
        <v>6357</v>
      </c>
    </row>
    <row r="2020" spans="1:10" ht="16.5" customHeight="1" x14ac:dyDescent="0.25">
      <c r="A2020" s="8" t="s">
        <v>7635</v>
      </c>
      <c r="B2020" s="8" t="s">
        <v>7636</v>
      </c>
      <c r="C2020" s="8" t="s">
        <v>7637</v>
      </c>
      <c r="D2020" s="8" t="s">
        <v>7636</v>
      </c>
      <c r="E2020" s="105">
        <v>9.6</v>
      </c>
      <c r="F2020" s="106" t="s">
        <v>2024</v>
      </c>
      <c r="G2020" s="8"/>
      <c r="H2020" s="8"/>
      <c r="I2020" s="107">
        <v>0</v>
      </c>
      <c r="J2020" s="8" t="s">
        <v>6357</v>
      </c>
    </row>
    <row r="2021" spans="1:10" ht="16.5" customHeight="1" x14ac:dyDescent="0.25">
      <c r="A2021" s="8" t="s">
        <v>7638</v>
      </c>
      <c r="B2021" s="8" t="s">
        <v>7639</v>
      </c>
      <c r="C2021" s="8" t="s">
        <v>7640</v>
      </c>
      <c r="D2021" s="8" t="s">
        <v>7639</v>
      </c>
      <c r="E2021" s="105">
        <v>0.4</v>
      </c>
      <c r="F2021" s="106" t="s">
        <v>2024</v>
      </c>
      <c r="G2021" s="8"/>
      <c r="H2021" s="8"/>
      <c r="I2021" s="107">
        <v>0</v>
      </c>
      <c r="J2021" s="8" t="s">
        <v>6357</v>
      </c>
    </row>
    <row r="2022" spans="1:10" ht="16.5" customHeight="1" x14ac:dyDescent="0.25">
      <c r="A2022" s="8" t="s">
        <v>7641</v>
      </c>
      <c r="B2022" s="8" t="s">
        <v>7642</v>
      </c>
      <c r="C2022" s="8" t="s">
        <v>7643</v>
      </c>
      <c r="D2022" s="8" t="s">
        <v>7642</v>
      </c>
      <c r="E2022" s="105">
        <v>12</v>
      </c>
      <c r="F2022" s="106" t="s">
        <v>2024</v>
      </c>
      <c r="G2022" s="8"/>
      <c r="H2022" s="8"/>
      <c r="I2022" s="107">
        <v>0</v>
      </c>
      <c r="J2022" s="8" t="s">
        <v>6357</v>
      </c>
    </row>
    <row r="2023" spans="1:10" ht="16.5" customHeight="1" x14ac:dyDescent="0.25">
      <c r="A2023" s="8" t="s">
        <v>7644</v>
      </c>
      <c r="B2023" s="8" t="s">
        <v>7645</v>
      </c>
      <c r="C2023" s="8" t="s">
        <v>7646</v>
      </c>
      <c r="D2023" s="8" t="s">
        <v>7645</v>
      </c>
      <c r="E2023" s="105">
        <v>0.75</v>
      </c>
      <c r="F2023" s="106" t="s">
        <v>2024</v>
      </c>
      <c r="G2023" s="8"/>
      <c r="H2023" s="8"/>
      <c r="I2023" s="107">
        <v>0</v>
      </c>
      <c r="J2023" s="8" t="s">
        <v>6357</v>
      </c>
    </row>
    <row r="2024" spans="1:10" ht="16.5" customHeight="1" x14ac:dyDescent="0.25">
      <c r="A2024" s="8" t="s">
        <v>7647</v>
      </c>
      <c r="B2024" s="8" t="s">
        <v>7648</v>
      </c>
      <c r="C2024" s="8" t="s">
        <v>7649</v>
      </c>
      <c r="D2024" s="8" t="s">
        <v>7648</v>
      </c>
      <c r="E2024" s="105">
        <v>12</v>
      </c>
      <c r="F2024" s="106" t="s">
        <v>2024</v>
      </c>
      <c r="G2024" s="8"/>
      <c r="H2024" s="8"/>
      <c r="I2024" s="107">
        <v>0</v>
      </c>
      <c r="J2024" s="8" t="s">
        <v>6357</v>
      </c>
    </row>
    <row r="2025" spans="1:10" ht="16.5" customHeight="1" x14ac:dyDescent="0.25">
      <c r="A2025" s="8" t="s">
        <v>7650</v>
      </c>
      <c r="B2025" s="8" t="s">
        <v>7651</v>
      </c>
      <c r="C2025" s="8" t="s">
        <v>7652</v>
      </c>
      <c r="D2025" s="8" t="s">
        <v>7651</v>
      </c>
      <c r="E2025" s="105">
        <v>1.5</v>
      </c>
      <c r="F2025" s="106" t="s">
        <v>2024</v>
      </c>
      <c r="G2025" s="8"/>
      <c r="H2025" s="8"/>
      <c r="I2025" s="107">
        <v>0</v>
      </c>
      <c r="J2025" s="8" t="s">
        <v>6357</v>
      </c>
    </row>
    <row r="2026" spans="1:10" ht="16.5" customHeight="1" x14ac:dyDescent="0.25">
      <c r="A2026" s="8" t="s">
        <v>7653</v>
      </c>
      <c r="B2026" s="8" t="s">
        <v>7654</v>
      </c>
      <c r="C2026" s="8" t="s">
        <v>7655</v>
      </c>
      <c r="D2026" s="8" t="s">
        <v>7654</v>
      </c>
      <c r="E2026" s="105">
        <v>15.2</v>
      </c>
      <c r="F2026" s="106" t="s">
        <v>2024</v>
      </c>
      <c r="G2026" s="8"/>
      <c r="H2026" s="8"/>
      <c r="I2026" s="107">
        <v>0</v>
      </c>
      <c r="J2026" s="8" t="s">
        <v>6357</v>
      </c>
    </row>
    <row r="2027" spans="1:10" ht="16.5" customHeight="1" x14ac:dyDescent="0.25">
      <c r="A2027" s="8" t="s">
        <v>7656</v>
      </c>
      <c r="B2027" s="8" t="s">
        <v>7657</v>
      </c>
      <c r="C2027" s="8" t="s">
        <v>7658</v>
      </c>
      <c r="D2027" s="8" t="s">
        <v>7657</v>
      </c>
      <c r="E2027" s="105">
        <v>3.8</v>
      </c>
      <c r="F2027" s="106" t="s">
        <v>2024</v>
      </c>
      <c r="G2027" s="8"/>
      <c r="H2027" s="8"/>
      <c r="I2027" s="107">
        <v>0</v>
      </c>
      <c r="J2027" s="8" t="s">
        <v>6357</v>
      </c>
    </row>
    <row r="2028" spans="1:10" ht="16.5" customHeight="1" x14ac:dyDescent="0.25">
      <c r="A2028" s="8" t="s">
        <v>7659</v>
      </c>
      <c r="B2028" s="8" t="s">
        <v>7660</v>
      </c>
      <c r="C2028" s="8" t="s">
        <v>7661</v>
      </c>
      <c r="D2028" s="8" t="s">
        <v>7660</v>
      </c>
      <c r="E2028" s="105">
        <v>19</v>
      </c>
      <c r="F2028" s="106" t="s">
        <v>2024</v>
      </c>
      <c r="G2028" s="8"/>
      <c r="H2028" s="8"/>
      <c r="I2028" s="107">
        <v>0</v>
      </c>
      <c r="J2028" s="8" t="s">
        <v>6357</v>
      </c>
    </row>
    <row r="2029" spans="1:10" ht="16.5" customHeight="1" x14ac:dyDescent="0.25">
      <c r="A2029" s="8" t="s">
        <v>7662</v>
      </c>
      <c r="B2029" s="8" t="s">
        <v>7663</v>
      </c>
      <c r="C2029" s="8" t="s">
        <v>7664</v>
      </c>
      <c r="D2029" s="8" t="s">
        <v>7663</v>
      </c>
      <c r="E2029" s="105">
        <v>9.5</v>
      </c>
      <c r="F2029" s="106" t="s">
        <v>2024</v>
      </c>
      <c r="G2029" s="8"/>
      <c r="H2029" s="8"/>
      <c r="I2029" s="107">
        <v>0</v>
      </c>
      <c r="J2029" s="8" t="s">
        <v>6357</v>
      </c>
    </row>
    <row r="2030" spans="1:10" ht="16.5" customHeight="1" x14ac:dyDescent="0.25">
      <c r="A2030" s="8" t="s">
        <v>7665</v>
      </c>
      <c r="B2030" s="8" t="s">
        <v>7666</v>
      </c>
      <c r="C2030" s="8" t="s">
        <v>7667</v>
      </c>
      <c r="D2030" s="8" t="s">
        <v>7666</v>
      </c>
      <c r="E2030" s="105">
        <v>9.36</v>
      </c>
      <c r="F2030" s="106" t="s">
        <v>2024</v>
      </c>
      <c r="G2030" s="8"/>
      <c r="H2030" s="8"/>
      <c r="I2030" s="107">
        <v>0</v>
      </c>
      <c r="J2030" s="8" t="s">
        <v>6357</v>
      </c>
    </row>
    <row r="2031" spans="1:10" ht="16.5" customHeight="1" x14ac:dyDescent="0.25">
      <c r="A2031" s="8" t="s">
        <v>7668</v>
      </c>
      <c r="B2031" s="8" t="s">
        <v>7669</v>
      </c>
      <c r="C2031" s="8" t="s">
        <v>7670</v>
      </c>
      <c r="D2031" s="8" t="s">
        <v>7671</v>
      </c>
      <c r="E2031" s="105">
        <v>0.78</v>
      </c>
      <c r="F2031" s="106" t="s">
        <v>2024</v>
      </c>
      <c r="G2031" s="8"/>
      <c r="H2031" s="8"/>
      <c r="I2031" s="107">
        <v>0</v>
      </c>
      <c r="J2031" s="8" t="s">
        <v>6357</v>
      </c>
    </row>
    <row r="2032" spans="1:10" ht="16.5" customHeight="1" x14ac:dyDescent="0.25">
      <c r="A2032" s="8" t="s">
        <v>7672</v>
      </c>
      <c r="B2032" s="8" t="s">
        <v>7673</v>
      </c>
      <c r="C2032" s="8" t="s">
        <v>7674</v>
      </c>
      <c r="D2032" s="8" t="s">
        <v>7673</v>
      </c>
      <c r="E2032" s="105">
        <v>12</v>
      </c>
      <c r="F2032" s="106" t="s">
        <v>2024</v>
      </c>
      <c r="G2032" s="8"/>
      <c r="H2032" s="8"/>
      <c r="I2032" s="107">
        <v>0</v>
      </c>
      <c r="J2032" s="8" t="s">
        <v>6357</v>
      </c>
    </row>
    <row r="2033" spans="1:10" ht="16.5" customHeight="1" x14ac:dyDescent="0.25">
      <c r="A2033" s="8" t="s">
        <v>7675</v>
      </c>
      <c r="B2033" s="8" t="s">
        <v>7676</v>
      </c>
      <c r="C2033" s="8" t="s">
        <v>7677</v>
      </c>
      <c r="D2033" s="8" t="s">
        <v>7676</v>
      </c>
      <c r="E2033" s="105">
        <v>1.5</v>
      </c>
      <c r="F2033" s="106" t="s">
        <v>2024</v>
      </c>
      <c r="G2033" s="8"/>
      <c r="H2033" s="8"/>
      <c r="I2033" s="107">
        <v>0</v>
      </c>
      <c r="J2033" s="8" t="s">
        <v>6357</v>
      </c>
    </row>
    <row r="2034" spans="1:10" ht="16.5" customHeight="1" x14ac:dyDescent="0.25">
      <c r="A2034" s="8" t="s">
        <v>7678</v>
      </c>
      <c r="B2034" s="8" t="s">
        <v>7679</v>
      </c>
      <c r="C2034" s="8" t="s">
        <v>7680</v>
      </c>
      <c r="D2034" s="8" t="s">
        <v>7679</v>
      </c>
      <c r="E2034" s="105">
        <v>15.2</v>
      </c>
      <c r="F2034" s="106" t="s">
        <v>2024</v>
      </c>
      <c r="G2034" s="8"/>
      <c r="H2034" s="8"/>
      <c r="I2034" s="107">
        <v>0</v>
      </c>
      <c r="J2034" s="8" t="s">
        <v>6357</v>
      </c>
    </row>
    <row r="2035" spans="1:10" ht="16.5" customHeight="1" x14ac:dyDescent="0.25">
      <c r="A2035" s="8" t="s">
        <v>7681</v>
      </c>
      <c r="B2035" s="8" t="s">
        <v>7682</v>
      </c>
      <c r="C2035" s="8" t="s">
        <v>7683</v>
      </c>
      <c r="D2035" s="8" t="s">
        <v>7682</v>
      </c>
      <c r="E2035" s="105">
        <v>3.8</v>
      </c>
      <c r="F2035" s="106" t="s">
        <v>2024</v>
      </c>
      <c r="G2035" s="8"/>
      <c r="H2035" s="8"/>
      <c r="I2035" s="107">
        <v>0</v>
      </c>
      <c r="J2035" s="8" t="s">
        <v>6357</v>
      </c>
    </row>
    <row r="2036" spans="1:10" ht="16.5" customHeight="1" x14ac:dyDescent="0.25">
      <c r="A2036" s="8" t="s">
        <v>7684</v>
      </c>
      <c r="B2036" s="8" t="s">
        <v>7685</v>
      </c>
      <c r="C2036" s="8" t="s">
        <v>7686</v>
      </c>
      <c r="D2036" s="8" t="s">
        <v>7685</v>
      </c>
      <c r="E2036" s="105">
        <v>0</v>
      </c>
      <c r="F2036" s="106" t="s">
        <v>2024</v>
      </c>
      <c r="G2036" s="8"/>
      <c r="H2036" s="8"/>
      <c r="I2036" s="107">
        <v>0</v>
      </c>
      <c r="J2036" s="8" t="s">
        <v>4722</v>
      </c>
    </row>
    <row r="2037" spans="1:10" ht="16.5" customHeight="1" x14ac:dyDescent="0.25">
      <c r="A2037" s="8" t="s">
        <v>7687</v>
      </c>
      <c r="B2037" s="8" t="s">
        <v>7688</v>
      </c>
      <c r="C2037" s="8" t="s">
        <v>7689</v>
      </c>
      <c r="D2037" s="8" t="s">
        <v>7688</v>
      </c>
      <c r="E2037" s="105">
        <v>0</v>
      </c>
      <c r="F2037" s="106" t="s">
        <v>2024</v>
      </c>
      <c r="G2037" s="8"/>
      <c r="H2037" s="8"/>
      <c r="I2037" s="107">
        <v>0</v>
      </c>
      <c r="J2037" s="8" t="s">
        <v>4789</v>
      </c>
    </row>
    <row r="2038" spans="1:10" ht="16.5" customHeight="1" x14ac:dyDescent="0.25">
      <c r="A2038" s="8" t="s">
        <v>7690</v>
      </c>
      <c r="B2038" s="8" t="s">
        <v>4221</v>
      </c>
      <c r="C2038" s="8" t="s">
        <v>4222</v>
      </c>
      <c r="D2038" s="8" t="s">
        <v>4221</v>
      </c>
      <c r="E2038" s="105">
        <v>0</v>
      </c>
      <c r="F2038" s="106" t="s">
        <v>2024</v>
      </c>
      <c r="G2038" s="8"/>
      <c r="H2038" s="8"/>
      <c r="I2038" s="107">
        <v>0</v>
      </c>
      <c r="J2038" s="8" t="s">
        <v>2019</v>
      </c>
    </row>
    <row r="2039" spans="1:10" ht="16.5" customHeight="1" x14ac:dyDescent="0.25">
      <c r="A2039" s="8" t="s">
        <v>7691</v>
      </c>
      <c r="B2039" s="8" t="s">
        <v>7692</v>
      </c>
      <c r="C2039" s="8" t="s">
        <v>7693</v>
      </c>
      <c r="D2039" s="8" t="s">
        <v>7692</v>
      </c>
      <c r="E2039" s="105">
        <v>0</v>
      </c>
      <c r="F2039" s="106" t="s">
        <v>2024</v>
      </c>
      <c r="G2039" s="8"/>
      <c r="H2039" s="8"/>
      <c r="I2039" s="107">
        <v>0</v>
      </c>
      <c r="J2039" s="8" t="s">
        <v>4789</v>
      </c>
    </row>
    <row r="2040" spans="1:10" ht="16.5" customHeight="1" x14ac:dyDescent="0.25">
      <c r="A2040" s="8" t="s">
        <v>7694</v>
      </c>
      <c r="B2040" s="8" t="s">
        <v>7695</v>
      </c>
      <c r="C2040" s="8" t="s">
        <v>7696</v>
      </c>
      <c r="D2040" s="8" t="s">
        <v>7695</v>
      </c>
      <c r="E2040" s="105">
        <v>0</v>
      </c>
      <c r="F2040" s="106" t="s">
        <v>2024</v>
      </c>
      <c r="G2040" s="8"/>
      <c r="H2040" s="8"/>
      <c r="I2040" s="107">
        <v>0</v>
      </c>
      <c r="J2040" s="8" t="s">
        <v>4789</v>
      </c>
    </row>
    <row r="2041" spans="1:10" ht="16.5" customHeight="1" x14ac:dyDescent="0.25">
      <c r="A2041" s="8" t="s">
        <v>7697</v>
      </c>
      <c r="B2041" s="8" t="s">
        <v>7698</v>
      </c>
      <c r="C2041" s="8" t="s">
        <v>1597</v>
      </c>
      <c r="D2041" s="8" t="s">
        <v>7698</v>
      </c>
      <c r="E2041" s="105">
        <v>12.3</v>
      </c>
      <c r="F2041" s="106" t="s">
        <v>2024</v>
      </c>
      <c r="G2041" s="8" t="s">
        <v>1541</v>
      </c>
      <c r="H2041" s="8" t="s">
        <v>7699</v>
      </c>
      <c r="I2041" s="107">
        <v>20</v>
      </c>
      <c r="J2041" s="8" t="s">
        <v>4789</v>
      </c>
    </row>
    <row r="2042" spans="1:10" ht="16.5" customHeight="1" x14ac:dyDescent="0.25">
      <c r="A2042" s="8" t="s">
        <v>7699</v>
      </c>
      <c r="B2042" s="8" t="s">
        <v>7700</v>
      </c>
      <c r="C2042" s="8" t="s">
        <v>7701</v>
      </c>
      <c r="D2042" s="8" t="s">
        <v>7702</v>
      </c>
      <c r="E2042" s="105">
        <v>0.61499999999999999</v>
      </c>
      <c r="F2042" s="106" t="s">
        <v>2024</v>
      </c>
      <c r="G2042" s="8" t="s">
        <v>1541</v>
      </c>
      <c r="H2042" s="8"/>
      <c r="I2042" s="107">
        <v>0</v>
      </c>
      <c r="J2042" s="8" t="s">
        <v>4789</v>
      </c>
    </row>
    <row r="2043" spans="1:10" ht="16.5" customHeight="1" x14ac:dyDescent="0.25">
      <c r="A2043" s="8" t="s">
        <v>7703</v>
      </c>
      <c r="B2043" s="8" t="s">
        <v>7704</v>
      </c>
      <c r="C2043" s="8" t="s">
        <v>7705</v>
      </c>
      <c r="D2043" s="8" t="s">
        <v>7704</v>
      </c>
      <c r="E2043" s="105">
        <v>9.6</v>
      </c>
      <c r="F2043" s="106" t="s">
        <v>2024</v>
      </c>
      <c r="G2043" s="8"/>
      <c r="H2043" s="8"/>
      <c r="I2043" s="107">
        <v>0</v>
      </c>
      <c r="J2043" s="8" t="s">
        <v>6357</v>
      </c>
    </row>
    <row r="2044" spans="1:10" ht="16.5" customHeight="1" x14ac:dyDescent="0.25">
      <c r="A2044" s="8" t="s">
        <v>7706</v>
      </c>
      <c r="B2044" s="8" t="s">
        <v>7707</v>
      </c>
      <c r="C2044" s="8" t="s">
        <v>7708</v>
      </c>
      <c r="D2044" s="8" t="s">
        <v>7707</v>
      </c>
      <c r="E2044" s="105">
        <v>0.4</v>
      </c>
      <c r="F2044" s="106" t="s">
        <v>2024</v>
      </c>
      <c r="G2044" s="8"/>
      <c r="H2044" s="8"/>
      <c r="I2044" s="107">
        <v>0</v>
      </c>
      <c r="J2044" s="8" t="s">
        <v>6357</v>
      </c>
    </row>
    <row r="2045" spans="1:10" ht="16.5" customHeight="1" x14ac:dyDescent="0.25">
      <c r="A2045" s="8" t="s">
        <v>7709</v>
      </c>
      <c r="B2045" s="8" t="s">
        <v>7710</v>
      </c>
      <c r="C2045" s="8" t="s">
        <v>7711</v>
      </c>
      <c r="D2045" s="8" t="s">
        <v>7710</v>
      </c>
      <c r="E2045" s="105">
        <v>12</v>
      </c>
      <c r="F2045" s="106" t="s">
        <v>2024</v>
      </c>
      <c r="G2045" s="8"/>
      <c r="H2045" s="8"/>
      <c r="I2045" s="107">
        <v>0</v>
      </c>
      <c r="J2045" s="8" t="s">
        <v>6357</v>
      </c>
    </row>
    <row r="2046" spans="1:10" ht="16.5" customHeight="1" x14ac:dyDescent="0.25">
      <c r="A2046" s="8" t="s">
        <v>7712</v>
      </c>
      <c r="B2046" s="8" t="s">
        <v>7713</v>
      </c>
      <c r="C2046" s="8" t="s">
        <v>7714</v>
      </c>
      <c r="D2046" s="8" t="s">
        <v>7713</v>
      </c>
      <c r="E2046" s="105">
        <v>0.75</v>
      </c>
      <c r="F2046" s="106" t="s">
        <v>2024</v>
      </c>
      <c r="G2046" s="8"/>
      <c r="H2046" s="8"/>
      <c r="I2046" s="107">
        <v>0</v>
      </c>
      <c r="J2046" s="8" t="s">
        <v>6357</v>
      </c>
    </row>
    <row r="2047" spans="1:10" ht="16.5" customHeight="1" x14ac:dyDescent="0.25">
      <c r="A2047" s="8" t="s">
        <v>7715</v>
      </c>
      <c r="B2047" s="8" t="s">
        <v>7716</v>
      </c>
      <c r="C2047" s="8" t="s">
        <v>7717</v>
      </c>
      <c r="D2047" s="8" t="s">
        <v>7716</v>
      </c>
      <c r="E2047" s="105">
        <v>1</v>
      </c>
      <c r="F2047" s="106" t="s">
        <v>2024</v>
      </c>
      <c r="G2047" s="8"/>
      <c r="H2047" s="8"/>
      <c r="I2047" s="107">
        <v>0</v>
      </c>
      <c r="J2047" s="8" t="s">
        <v>3580</v>
      </c>
    </row>
    <row r="2048" spans="1:10" ht="16.5" customHeight="1" x14ac:dyDescent="0.25">
      <c r="A2048" s="8" t="s">
        <v>7718</v>
      </c>
      <c r="B2048" s="8" t="s">
        <v>7719</v>
      </c>
      <c r="C2048" s="8" t="s">
        <v>7720</v>
      </c>
      <c r="D2048" s="8" t="s">
        <v>7719</v>
      </c>
      <c r="E2048" s="105">
        <v>0</v>
      </c>
      <c r="F2048" s="106" t="s">
        <v>2024</v>
      </c>
      <c r="G2048" s="8"/>
      <c r="H2048" s="8"/>
      <c r="I2048" s="107">
        <v>0</v>
      </c>
      <c r="J2048" s="8" t="s">
        <v>4722</v>
      </c>
    </row>
    <row r="2049" spans="1:10" ht="16.5" customHeight="1" x14ac:dyDescent="0.25">
      <c r="A2049" s="8" t="s">
        <v>7721</v>
      </c>
      <c r="B2049" s="8" t="s">
        <v>7722</v>
      </c>
      <c r="C2049" s="8" t="s">
        <v>7723</v>
      </c>
      <c r="D2049" s="8" t="s">
        <v>7722</v>
      </c>
      <c r="E2049" s="105">
        <v>0</v>
      </c>
      <c r="F2049" s="106" t="s">
        <v>2024</v>
      </c>
      <c r="G2049" s="8"/>
      <c r="H2049" s="8"/>
      <c r="I2049" s="107">
        <v>0</v>
      </c>
      <c r="J2049" s="8" t="s">
        <v>4722</v>
      </c>
    </row>
    <row r="2050" spans="1:10" ht="16.5" customHeight="1" x14ac:dyDescent="0.25">
      <c r="A2050" s="8" t="s">
        <v>7724</v>
      </c>
      <c r="B2050" s="8" t="s">
        <v>7725</v>
      </c>
      <c r="C2050" s="8" t="s">
        <v>7726</v>
      </c>
      <c r="D2050" s="8" t="s">
        <v>7725</v>
      </c>
      <c r="E2050" s="105">
        <v>0</v>
      </c>
      <c r="F2050" s="106" t="s">
        <v>2024</v>
      </c>
      <c r="G2050" s="8"/>
      <c r="H2050" s="8"/>
      <c r="I2050" s="107">
        <v>0</v>
      </c>
      <c r="J2050" s="8" t="s">
        <v>4722</v>
      </c>
    </row>
    <row r="2051" spans="1:10" ht="16.5" customHeight="1" x14ac:dyDescent="0.25">
      <c r="A2051" s="8" t="s">
        <v>7727</v>
      </c>
      <c r="B2051" s="8" t="s">
        <v>7728</v>
      </c>
      <c r="C2051" s="8" t="s">
        <v>7729</v>
      </c>
      <c r="D2051" s="8" t="s">
        <v>7728</v>
      </c>
      <c r="E2051" s="105">
        <v>0</v>
      </c>
      <c r="F2051" s="106" t="s">
        <v>2024</v>
      </c>
      <c r="G2051" s="8"/>
      <c r="H2051" s="8"/>
      <c r="I2051" s="107">
        <v>0</v>
      </c>
      <c r="J2051" s="8" t="s">
        <v>4722</v>
      </c>
    </row>
    <row r="2052" spans="1:10" ht="16.5" customHeight="1" x14ac:dyDescent="0.25">
      <c r="A2052" s="8" t="s">
        <v>7730</v>
      </c>
      <c r="B2052" s="8" t="s">
        <v>7731</v>
      </c>
      <c r="C2052" s="8" t="s">
        <v>7732</v>
      </c>
      <c r="D2052" s="8" t="s">
        <v>7731</v>
      </c>
      <c r="E2052" s="105">
        <v>1</v>
      </c>
      <c r="F2052" s="106" t="s">
        <v>2024</v>
      </c>
      <c r="G2052" s="8"/>
      <c r="H2052" s="8"/>
      <c r="I2052" s="107">
        <v>0</v>
      </c>
      <c r="J2052" s="8" t="s">
        <v>4722</v>
      </c>
    </row>
    <row r="2053" spans="1:10" ht="16.5" customHeight="1" x14ac:dyDescent="0.25">
      <c r="A2053" s="8" t="s">
        <v>7733</v>
      </c>
      <c r="B2053" s="8" t="s">
        <v>7734</v>
      </c>
      <c r="C2053" s="8" t="s">
        <v>7735</v>
      </c>
      <c r="D2053" s="8" t="s">
        <v>7734</v>
      </c>
      <c r="E2053" s="105">
        <v>0</v>
      </c>
      <c r="F2053" s="106" t="s">
        <v>2024</v>
      </c>
      <c r="G2053" s="8"/>
      <c r="H2053" s="8"/>
      <c r="I2053" s="107">
        <v>0</v>
      </c>
      <c r="J2053" s="8" t="s">
        <v>4722</v>
      </c>
    </row>
    <row r="2054" spans="1:10" ht="16.5" customHeight="1" x14ac:dyDescent="0.25">
      <c r="A2054" s="8" t="s">
        <v>7736</v>
      </c>
      <c r="B2054" s="8" t="s">
        <v>7737</v>
      </c>
      <c r="C2054" s="8" t="s">
        <v>7738</v>
      </c>
      <c r="D2054" s="8" t="s">
        <v>7737</v>
      </c>
      <c r="E2054" s="105">
        <v>0</v>
      </c>
      <c r="F2054" s="106" t="s">
        <v>2024</v>
      </c>
      <c r="G2054" s="8"/>
      <c r="H2054" s="8"/>
      <c r="I2054" s="107">
        <v>0</v>
      </c>
      <c r="J2054" s="8" t="s">
        <v>4722</v>
      </c>
    </row>
    <row r="2055" spans="1:10" ht="16.5" customHeight="1" x14ac:dyDescent="0.25">
      <c r="A2055" s="8" t="s">
        <v>7739</v>
      </c>
      <c r="B2055" s="8" t="s">
        <v>7740</v>
      </c>
      <c r="C2055" s="8" t="s">
        <v>7741</v>
      </c>
      <c r="D2055" s="8" t="s">
        <v>7740</v>
      </c>
      <c r="E2055" s="105">
        <v>0</v>
      </c>
      <c r="F2055" s="106" t="s">
        <v>2024</v>
      </c>
      <c r="G2055" s="8"/>
      <c r="H2055" s="8"/>
      <c r="I2055" s="107">
        <v>0</v>
      </c>
      <c r="J2055" s="8" t="s">
        <v>4722</v>
      </c>
    </row>
    <row r="2056" spans="1:10" ht="16.5" customHeight="1" x14ac:dyDescent="0.25">
      <c r="A2056" s="8" t="s">
        <v>7742</v>
      </c>
      <c r="B2056" s="8" t="s">
        <v>7743</v>
      </c>
      <c r="C2056" s="8" t="s">
        <v>7744</v>
      </c>
      <c r="D2056" s="8" t="s">
        <v>7743</v>
      </c>
      <c r="E2056" s="105">
        <v>0</v>
      </c>
      <c r="F2056" s="106" t="s">
        <v>2024</v>
      </c>
      <c r="G2056" s="8"/>
      <c r="H2056" s="8"/>
      <c r="I2056" s="107">
        <v>0</v>
      </c>
      <c r="J2056" s="8" t="s">
        <v>4722</v>
      </c>
    </row>
    <row r="2057" spans="1:10" ht="16.5" customHeight="1" x14ac:dyDescent="0.25">
      <c r="A2057" s="8" t="s">
        <v>7745</v>
      </c>
      <c r="B2057" s="8" t="s">
        <v>7746</v>
      </c>
      <c r="C2057" s="8" t="s">
        <v>7747</v>
      </c>
      <c r="D2057" s="8" t="s">
        <v>7746</v>
      </c>
      <c r="E2057" s="105">
        <v>0</v>
      </c>
      <c r="F2057" s="106" t="s">
        <v>2024</v>
      </c>
      <c r="G2057" s="8"/>
      <c r="H2057" s="8"/>
      <c r="I2057" s="107">
        <v>0</v>
      </c>
      <c r="J2057" s="8" t="s">
        <v>4722</v>
      </c>
    </row>
    <row r="2058" spans="1:10" ht="16.5" customHeight="1" x14ac:dyDescent="0.25">
      <c r="A2058" s="8" t="s">
        <v>7748</v>
      </c>
      <c r="B2058" s="8" t="s">
        <v>7749</v>
      </c>
      <c r="C2058" s="8" t="s">
        <v>7750</v>
      </c>
      <c r="D2058" s="8" t="s">
        <v>7749</v>
      </c>
      <c r="E2058" s="105">
        <v>0</v>
      </c>
      <c r="F2058" s="106" t="s">
        <v>2024</v>
      </c>
      <c r="G2058" s="8"/>
      <c r="H2058" s="8"/>
      <c r="I2058" s="107">
        <v>0</v>
      </c>
      <c r="J2058" s="8" t="s">
        <v>4722</v>
      </c>
    </row>
    <row r="2059" spans="1:10" ht="16.5" customHeight="1" x14ac:dyDescent="0.25">
      <c r="A2059" s="8" t="s">
        <v>7751</v>
      </c>
      <c r="B2059" s="8" t="s">
        <v>7752</v>
      </c>
      <c r="C2059" s="8" t="s">
        <v>7753</v>
      </c>
      <c r="D2059" s="8" t="s">
        <v>7752</v>
      </c>
      <c r="E2059" s="105">
        <v>6</v>
      </c>
      <c r="F2059" s="106" t="s">
        <v>2024</v>
      </c>
      <c r="G2059" s="8"/>
      <c r="H2059" s="8"/>
      <c r="I2059" s="107">
        <v>0</v>
      </c>
      <c r="J2059" s="8" t="s">
        <v>5929</v>
      </c>
    </row>
    <row r="2060" spans="1:10" ht="16.5" customHeight="1" x14ac:dyDescent="0.25">
      <c r="A2060" s="8" t="s">
        <v>7754</v>
      </c>
      <c r="B2060" s="8" t="s">
        <v>7755</v>
      </c>
      <c r="C2060" s="8" t="s">
        <v>7756</v>
      </c>
      <c r="D2060" s="8" t="s">
        <v>7755</v>
      </c>
      <c r="E2060" s="105">
        <v>0</v>
      </c>
      <c r="F2060" s="106" t="s">
        <v>2024</v>
      </c>
      <c r="G2060" s="8"/>
      <c r="H2060" s="8"/>
      <c r="I2060" s="107">
        <v>0</v>
      </c>
      <c r="J2060" s="8" t="s">
        <v>4722</v>
      </c>
    </row>
    <row r="2061" spans="1:10" ht="16.5" customHeight="1" x14ac:dyDescent="0.25">
      <c r="A2061" s="8" t="s">
        <v>7757</v>
      </c>
      <c r="B2061" s="8" t="s">
        <v>7758</v>
      </c>
      <c r="C2061" s="8" t="s">
        <v>7759</v>
      </c>
      <c r="D2061" s="8" t="s">
        <v>7758</v>
      </c>
      <c r="E2061" s="105">
        <v>0</v>
      </c>
      <c r="F2061" s="106" t="s">
        <v>2024</v>
      </c>
      <c r="G2061" s="8"/>
      <c r="H2061" s="8"/>
      <c r="I2061" s="107">
        <v>0</v>
      </c>
      <c r="J2061" s="8" t="s">
        <v>4722</v>
      </c>
    </row>
    <row r="2062" spans="1:10" ht="16.5" customHeight="1" x14ac:dyDescent="0.25">
      <c r="A2062" s="8" t="s">
        <v>7760</v>
      </c>
      <c r="B2062" s="8" t="s">
        <v>7761</v>
      </c>
      <c r="C2062" s="8" t="s">
        <v>7762</v>
      </c>
      <c r="D2062" s="8" t="s">
        <v>7761</v>
      </c>
      <c r="E2062" s="105">
        <v>0</v>
      </c>
      <c r="F2062" s="106" t="s">
        <v>2024</v>
      </c>
      <c r="G2062" s="8"/>
      <c r="H2062" s="8"/>
      <c r="I2062" s="107">
        <v>0</v>
      </c>
      <c r="J2062" s="8" t="s">
        <v>4722</v>
      </c>
    </row>
    <row r="2063" spans="1:10" ht="16.5" customHeight="1" x14ac:dyDescent="0.25">
      <c r="A2063" s="8" t="s">
        <v>7763</v>
      </c>
      <c r="B2063" s="8" t="s">
        <v>7764</v>
      </c>
      <c r="C2063" s="8" t="s">
        <v>7765</v>
      </c>
      <c r="D2063" s="8" t="s">
        <v>7764</v>
      </c>
      <c r="E2063" s="105">
        <v>16</v>
      </c>
      <c r="F2063" s="106" t="s">
        <v>2018</v>
      </c>
      <c r="G2063" s="8"/>
      <c r="H2063" s="8"/>
      <c r="I2063" s="107">
        <v>0</v>
      </c>
      <c r="J2063" s="8" t="s">
        <v>2019</v>
      </c>
    </row>
    <row r="2064" spans="1:10" ht="16.5" customHeight="1" x14ac:dyDescent="0.25">
      <c r="A2064" s="8" t="s">
        <v>7766</v>
      </c>
      <c r="B2064" s="8" t="s">
        <v>7767</v>
      </c>
      <c r="C2064" s="8" t="s">
        <v>7670</v>
      </c>
      <c r="D2064" s="8" t="s">
        <v>7767</v>
      </c>
      <c r="E2064" s="105">
        <v>0</v>
      </c>
      <c r="F2064" s="106" t="s">
        <v>2024</v>
      </c>
      <c r="G2064" s="8"/>
      <c r="H2064" s="8"/>
      <c r="I2064" s="107">
        <v>0</v>
      </c>
      <c r="J2064" s="8" t="s">
        <v>4722</v>
      </c>
    </row>
    <row r="2065" spans="1:10" ht="16.5" customHeight="1" x14ac:dyDescent="0.25">
      <c r="A2065" s="8" t="s">
        <v>7768</v>
      </c>
      <c r="B2065" s="8" t="s">
        <v>7769</v>
      </c>
      <c r="C2065" s="8" t="s">
        <v>7770</v>
      </c>
      <c r="D2065" s="8" t="s">
        <v>7769</v>
      </c>
      <c r="E2065" s="105">
        <v>1</v>
      </c>
      <c r="F2065" s="106" t="s">
        <v>2024</v>
      </c>
      <c r="G2065" s="8"/>
      <c r="H2065" s="8"/>
      <c r="I2065" s="107">
        <v>0</v>
      </c>
      <c r="J2065" s="8" t="s">
        <v>2019</v>
      </c>
    </row>
    <row r="2066" spans="1:10" ht="16.5" customHeight="1" x14ac:dyDescent="0.25">
      <c r="A2066" s="8" t="s">
        <v>7771</v>
      </c>
      <c r="B2066" s="8" t="s">
        <v>7772</v>
      </c>
      <c r="C2066" s="8" t="s">
        <v>7773</v>
      </c>
      <c r="D2066" s="8" t="s">
        <v>7772</v>
      </c>
      <c r="E2066" s="105">
        <v>0</v>
      </c>
      <c r="F2066" s="106" t="s">
        <v>2024</v>
      </c>
      <c r="G2066" s="8"/>
      <c r="H2066" s="8"/>
      <c r="I2066" s="107">
        <v>0</v>
      </c>
      <c r="J2066" s="8" t="s">
        <v>4722</v>
      </c>
    </row>
    <row r="2067" spans="1:10" ht="16.5" customHeight="1" x14ac:dyDescent="0.25">
      <c r="A2067" s="8" t="s">
        <v>7774</v>
      </c>
      <c r="B2067" s="8" t="s">
        <v>7775</v>
      </c>
      <c r="C2067" s="8" t="s">
        <v>7776</v>
      </c>
      <c r="D2067" s="8" t="s">
        <v>7775</v>
      </c>
      <c r="E2067" s="105">
        <v>0</v>
      </c>
      <c r="F2067" s="106" t="s">
        <v>2024</v>
      </c>
      <c r="G2067" s="8"/>
      <c r="H2067" s="8"/>
      <c r="I2067" s="107">
        <v>0</v>
      </c>
      <c r="J2067" s="8" t="s">
        <v>4722</v>
      </c>
    </row>
    <row r="2068" spans="1:10" ht="16.5" customHeight="1" x14ac:dyDescent="0.25">
      <c r="A2068" s="8" t="s">
        <v>7777</v>
      </c>
      <c r="B2068" s="8" t="s">
        <v>7778</v>
      </c>
      <c r="C2068" s="8" t="s">
        <v>7779</v>
      </c>
      <c r="D2068" s="8" t="s">
        <v>7778</v>
      </c>
      <c r="E2068" s="105">
        <v>0</v>
      </c>
      <c r="F2068" s="106" t="s">
        <v>2024</v>
      </c>
      <c r="G2068" s="8"/>
      <c r="H2068" s="8"/>
      <c r="I2068" s="107">
        <v>0</v>
      </c>
      <c r="J2068" s="8" t="s">
        <v>4722</v>
      </c>
    </row>
    <row r="2069" spans="1:10" ht="16.5" customHeight="1" x14ac:dyDescent="0.25">
      <c r="A2069" s="8" t="s">
        <v>7780</v>
      </c>
      <c r="B2069" s="8" t="s">
        <v>7781</v>
      </c>
      <c r="C2069" s="8" t="s">
        <v>7782</v>
      </c>
      <c r="D2069" s="8" t="s">
        <v>7781</v>
      </c>
      <c r="E2069" s="105">
        <v>0</v>
      </c>
      <c r="F2069" s="106" t="s">
        <v>2024</v>
      </c>
      <c r="G2069" s="8"/>
      <c r="H2069" s="8"/>
      <c r="I2069" s="107">
        <v>0</v>
      </c>
      <c r="J2069" s="8" t="s">
        <v>4722</v>
      </c>
    </row>
    <row r="2070" spans="1:10" ht="16.5" customHeight="1" x14ac:dyDescent="0.25">
      <c r="A2070" s="8" t="s">
        <v>7783</v>
      </c>
      <c r="B2070" s="8" t="s">
        <v>7784</v>
      </c>
      <c r="C2070" s="8" t="s">
        <v>7785</v>
      </c>
      <c r="D2070" s="8" t="s">
        <v>7784</v>
      </c>
      <c r="E2070" s="105">
        <v>0</v>
      </c>
      <c r="F2070" s="106" t="s">
        <v>2024</v>
      </c>
      <c r="G2070" s="8"/>
      <c r="H2070" s="8"/>
      <c r="I2070" s="107">
        <v>0</v>
      </c>
      <c r="J2070" s="8" t="s">
        <v>4722</v>
      </c>
    </row>
    <row r="2071" spans="1:10" ht="16.5" customHeight="1" x14ac:dyDescent="0.25">
      <c r="A2071" s="8" t="s">
        <v>7786</v>
      </c>
      <c r="B2071" s="8" t="s">
        <v>7787</v>
      </c>
      <c r="C2071" s="8" t="s">
        <v>7788</v>
      </c>
      <c r="D2071" s="8" t="s">
        <v>7787</v>
      </c>
      <c r="E2071" s="105">
        <v>0</v>
      </c>
      <c r="F2071" s="106" t="s">
        <v>2024</v>
      </c>
      <c r="G2071" s="8"/>
      <c r="H2071" s="8"/>
      <c r="I2071" s="107">
        <v>0</v>
      </c>
      <c r="J2071" s="8" t="s">
        <v>4722</v>
      </c>
    </row>
    <row r="2072" spans="1:10" ht="16.5" customHeight="1" x14ac:dyDescent="0.25">
      <c r="A2072" s="8" t="s">
        <v>7789</v>
      </c>
      <c r="B2072" s="8" t="s">
        <v>7790</v>
      </c>
      <c r="C2072" s="8" t="s">
        <v>7790</v>
      </c>
      <c r="D2072" s="8" t="s">
        <v>7790</v>
      </c>
      <c r="E2072" s="105">
        <v>0</v>
      </c>
      <c r="F2072" s="106" t="s">
        <v>2024</v>
      </c>
      <c r="G2072" s="8"/>
      <c r="H2072" s="8"/>
      <c r="I2072" s="107">
        <v>0</v>
      </c>
      <c r="J2072" s="8" t="s">
        <v>4722</v>
      </c>
    </row>
    <row r="2073" spans="1:10" ht="16.5" customHeight="1" x14ac:dyDescent="0.25">
      <c r="A2073" s="8" t="s">
        <v>7791</v>
      </c>
      <c r="B2073" s="8" t="s">
        <v>7792</v>
      </c>
      <c r="C2073" s="8" t="s">
        <v>7793</v>
      </c>
      <c r="D2073" s="8" t="s">
        <v>7792</v>
      </c>
      <c r="E2073" s="105">
        <v>18</v>
      </c>
      <c r="F2073" s="106" t="s">
        <v>2018</v>
      </c>
      <c r="G2073" s="8"/>
      <c r="H2073" s="8"/>
      <c r="I2073" s="107">
        <v>0</v>
      </c>
      <c r="J2073" s="8" t="s">
        <v>2019</v>
      </c>
    </row>
    <row r="2074" spans="1:10" ht="16.5" customHeight="1" x14ac:dyDescent="0.25">
      <c r="A2074" s="8" t="s">
        <v>7794</v>
      </c>
      <c r="B2074" s="8" t="s">
        <v>7795</v>
      </c>
      <c r="C2074" s="8" t="s">
        <v>7796</v>
      </c>
      <c r="D2074" s="8" t="s">
        <v>7795</v>
      </c>
      <c r="E2074" s="105">
        <v>0</v>
      </c>
      <c r="F2074" s="106" t="s">
        <v>2024</v>
      </c>
      <c r="G2074" s="8"/>
      <c r="H2074" s="8"/>
      <c r="I2074" s="107">
        <v>0</v>
      </c>
      <c r="J2074" s="8" t="s">
        <v>4722</v>
      </c>
    </row>
    <row r="2075" spans="1:10" ht="16.5" customHeight="1" x14ac:dyDescent="0.25">
      <c r="A2075" s="8" t="s">
        <v>7797</v>
      </c>
      <c r="B2075" s="8" t="s">
        <v>7798</v>
      </c>
      <c r="C2075" s="8" t="s">
        <v>1567</v>
      </c>
      <c r="D2075" s="8" t="s">
        <v>7798</v>
      </c>
      <c r="E2075" s="105">
        <v>0.25</v>
      </c>
      <c r="F2075" s="106" t="s">
        <v>2024</v>
      </c>
      <c r="G2075" s="8"/>
      <c r="H2075" s="8"/>
      <c r="I2075" s="107">
        <v>0</v>
      </c>
      <c r="J2075" s="8" t="s">
        <v>4789</v>
      </c>
    </row>
    <row r="2076" spans="1:10" ht="16.5" customHeight="1" x14ac:dyDescent="0.25">
      <c r="A2076" s="8" t="s">
        <v>7799</v>
      </c>
      <c r="B2076" s="8" t="s">
        <v>7455</v>
      </c>
      <c r="C2076" s="8" t="s">
        <v>7456</v>
      </c>
      <c r="D2076" s="8" t="s">
        <v>7455</v>
      </c>
      <c r="E2076" s="105">
        <v>0.26500000000000001</v>
      </c>
      <c r="F2076" s="106" t="s">
        <v>2024</v>
      </c>
      <c r="G2076" s="8"/>
      <c r="H2076" s="8"/>
      <c r="I2076" s="107">
        <v>0</v>
      </c>
      <c r="J2076" s="8" t="s">
        <v>4789</v>
      </c>
    </row>
    <row r="2077" spans="1:10" ht="16.5" customHeight="1" x14ac:dyDescent="0.25">
      <c r="A2077" s="8" t="s">
        <v>7800</v>
      </c>
      <c r="B2077" s="8" t="s">
        <v>6074</v>
      </c>
      <c r="C2077" s="8" t="s">
        <v>5938</v>
      </c>
      <c r="D2077" s="8" t="s">
        <v>6074</v>
      </c>
      <c r="E2077" s="105">
        <v>0.56000000000000005</v>
      </c>
      <c r="F2077" s="106" t="s">
        <v>2024</v>
      </c>
      <c r="G2077" s="8"/>
      <c r="H2077" s="8"/>
      <c r="I2077" s="107">
        <v>0</v>
      </c>
      <c r="J2077" s="8" t="s">
        <v>4789</v>
      </c>
    </row>
    <row r="2078" spans="1:10" ht="16.5" customHeight="1" x14ac:dyDescent="0.25">
      <c r="A2078" s="8" t="s">
        <v>7801</v>
      </c>
      <c r="B2078" s="8" t="s">
        <v>7802</v>
      </c>
      <c r="C2078" s="8" t="s">
        <v>7803</v>
      </c>
      <c r="D2078" s="8" t="s">
        <v>7802</v>
      </c>
      <c r="E2078" s="105">
        <v>6.3583999999999996</v>
      </c>
      <c r="F2078" s="106" t="s">
        <v>2024</v>
      </c>
      <c r="G2078" s="8" t="s">
        <v>1541</v>
      </c>
      <c r="H2078" s="8" t="s">
        <v>7804</v>
      </c>
      <c r="I2078" s="107">
        <v>60</v>
      </c>
      <c r="J2078" s="8" t="s">
        <v>5929</v>
      </c>
    </row>
    <row r="2079" spans="1:10" ht="16.5" customHeight="1" x14ac:dyDescent="0.25">
      <c r="A2079" s="8" t="s">
        <v>7805</v>
      </c>
      <c r="B2079" s="8" t="s">
        <v>7806</v>
      </c>
      <c r="C2079" s="8" t="s">
        <v>7807</v>
      </c>
      <c r="D2079" s="8" t="s">
        <v>7806</v>
      </c>
      <c r="E2079" s="105">
        <v>0</v>
      </c>
      <c r="F2079" s="106" t="s">
        <v>2024</v>
      </c>
      <c r="G2079" s="8"/>
      <c r="H2079" s="8"/>
      <c r="I2079" s="107">
        <v>0</v>
      </c>
      <c r="J2079" s="8" t="s">
        <v>4722</v>
      </c>
    </row>
    <row r="2080" spans="1:10" ht="16.5" customHeight="1" x14ac:dyDescent="0.25">
      <c r="A2080" s="8" t="s">
        <v>7804</v>
      </c>
      <c r="B2080" s="8" t="s">
        <v>7808</v>
      </c>
      <c r="C2080" s="8" t="s">
        <v>7809</v>
      </c>
      <c r="D2080" s="8" t="s">
        <v>7808</v>
      </c>
      <c r="E2080" s="105">
        <v>0.12509999999999999</v>
      </c>
      <c r="F2080" s="106" t="s">
        <v>2024</v>
      </c>
      <c r="G2080" s="8" t="s">
        <v>1541</v>
      </c>
      <c r="H2080" s="8"/>
      <c r="I2080" s="107">
        <v>0</v>
      </c>
      <c r="J2080" s="8" t="s">
        <v>5929</v>
      </c>
    </row>
    <row r="2081" spans="1:10" ht="16.5" customHeight="1" x14ac:dyDescent="0.25">
      <c r="A2081" s="8" t="s">
        <v>7810</v>
      </c>
      <c r="B2081" s="8" t="s">
        <v>7811</v>
      </c>
      <c r="C2081" s="8" t="s">
        <v>7812</v>
      </c>
      <c r="D2081" s="8" t="s">
        <v>7811</v>
      </c>
      <c r="E2081" s="105">
        <v>0</v>
      </c>
      <c r="F2081" s="106" t="s">
        <v>2024</v>
      </c>
      <c r="G2081" s="8"/>
      <c r="H2081" s="8"/>
      <c r="I2081" s="107">
        <v>0</v>
      </c>
      <c r="J2081" s="8" t="s">
        <v>4722</v>
      </c>
    </row>
    <row r="2082" spans="1:10" ht="16.5" customHeight="1" x14ac:dyDescent="0.25">
      <c r="A2082" s="8" t="s">
        <v>7813</v>
      </c>
      <c r="B2082" s="8" t="s">
        <v>7814</v>
      </c>
      <c r="C2082" s="8" t="s">
        <v>7815</v>
      </c>
      <c r="D2082" s="8" t="s">
        <v>7814</v>
      </c>
      <c r="E2082" s="105">
        <v>0</v>
      </c>
      <c r="F2082" s="106" t="s">
        <v>2024</v>
      </c>
      <c r="G2082" s="8"/>
      <c r="H2082" s="8"/>
      <c r="I2082" s="107">
        <v>0</v>
      </c>
      <c r="J2082" s="8" t="s">
        <v>4722</v>
      </c>
    </row>
    <row r="2083" spans="1:10" ht="16.5" customHeight="1" x14ac:dyDescent="0.25">
      <c r="A2083" s="8" t="s">
        <v>7816</v>
      </c>
      <c r="B2083" s="8" t="s">
        <v>7817</v>
      </c>
      <c r="C2083" s="8" t="s">
        <v>7818</v>
      </c>
      <c r="D2083" s="8" t="s">
        <v>7817</v>
      </c>
      <c r="E2083" s="105">
        <v>0</v>
      </c>
      <c r="F2083" s="106" t="s">
        <v>2024</v>
      </c>
      <c r="G2083" s="8"/>
      <c r="H2083" s="8"/>
      <c r="I2083" s="107">
        <v>0</v>
      </c>
      <c r="J2083" s="8" t="s">
        <v>4722</v>
      </c>
    </row>
    <row r="2084" spans="1:10" ht="16.5" customHeight="1" x14ac:dyDescent="0.25">
      <c r="A2084" s="8" t="s">
        <v>7819</v>
      </c>
      <c r="B2084" s="8" t="s">
        <v>7820</v>
      </c>
      <c r="C2084" s="8" t="s">
        <v>7821</v>
      </c>
      <c r="D2084" s="8" t="s">
        <v>7820</v>
      </c>
      <c r="E2084" s="105">
        <v>0</v>
      </c>
      <c r="F2084" s="106" t="s">
        <v>2024</v>
      </c>
      <c r="G2084" s="8"/>
      <c r="H2084" s="8"/>
      <c r="I2084" s="107">
        <v>0</v>
      </c>
      <c r="J2084" s="8" t="s">
        <v>4722</v>
      </c>
    </row>
    <row r="2085" spans="1:10" ht="16.5" customHeight="1" x14ac:dyDescent="0.25">
      <c r="A2085" s="8" t="s">
        <v>7822</v>
      </c>
      <c r="B2085" s="8" t="s">
        <v>7823</v>
      </c>
      <c r="C2085" s="8" t="s">
        <v>7824</v>
      </c>
      <c r="D2085" s="8" t="s">
        <v>7823</v>
      </c>
      <c r="E2085" s="105">
        <v>1</v>
      </c>
      <c r="F2085" s="106" t="s">
        <v>2024</v>
      </c>
      <c r="G2085" s="8"/>
      <c r="H2085" s="8"/>
      <c r="I2085" s="107">
        <v>0</v>
      </c>
      <c r="J2085" s="8" t="s">
        <v>3580</v>
      </c>
    </row>
    <row r="2086" spans="1:10" ht="16.5" customHeight="1" x14ac:dyDescent="0.25">
      <c r="A2086" s="8" t="s">
        <v>7825</v>
      </c>
      <c r="B2086" s="8" t="s">
        <v>7826</v>
      </c>
      <c r="C2086" s="8" t="s">
        <v>7827</v>
      </c>
      <c r="D2086" s="8" t="s">
        <v>7826</v>
      </c>
      <c r="E2086" s="105">
        <v>1</v>
      </c>
      <c r="F2086" s="106" t="s">
        <v>2024</v>
      </c>
      <c r="G2086" s="8"/>
      <c r="H2086" s="8"/>
      <c r="I2086" s="107">
        <v>0</v>
      </c>
      <c r="J2086" s="8" t="s">
        <v>3580</v>
      </c>
    </row>
    <row r="2087" spans="1:10" ht="16.5" customHeight="1" x14ac:dyDescent="0.25">
      <c r="A2087" s="8" t="s">
        <v>7828</v>
      </c>
      <c r="B2087" s="8" t="s">
        <v>7829</v>
      </c>
      <c r="C2087" s="8" t="s">
        <v>7830</v>
      </c>
      <c r="D2087" s="8" t="s">
        <v>7829</v>
      </c>
      <c r="E2087" s="105">
        <v>0</v>
      </c>
      <c r="F2087" s="106" t="s">
        <v>2024</v>
      </c>
      <c r="G2087" s="8"/>
      <c r="H2087" s="8"/>
      <c r="I2087" s="107">
        <v>0</v>
      </c>
      <c r="J2087" s="8" t="s">
        <v>4789</v>
      </c>
    </row>
    <row r="2088" spans="1:10" ht="16.5" customHeight="1" x14ac:dyDescent="0.25">
      <c r="A2088" s="8" t="s">
        <v>7831</v>
      </c>
      <c r="B2088" s="8" t="s">
        <v>7832</v>
      </c>
      <c r="C2088" s="8" t="s">
        <v>7833</v>
      </c>
      <c r="D2088" s="8" t="s">
        <v>7832</v>
      </c>
      <c r="E2088" s="105">
        <v>1</v>
      </c>
      <c r="F2088" s="106" t="s">
        <v>2024</v>
      </c>
      <c r="G2088" s="8"/>
      <c r="H2088" s="8"/>
      <c r="I2088" s="107">
        <v>0</v>
      </c>
      <c r="J2088" s="8" t="s">
        <v>3580</v>
      </c>
    </row>
    <row r="2089" spans="1:10" ht="16.5" customHeight="1" x14ac:dyDescent="0.25">
      <c r="A2089" s="8" t="s">
        <v>7834</v>
      </c>
      <c r="B2089" s="8" t="s">
        <v>7835</v>
      </c>
      <c r="C2089" s="8" t="s">
        <v>7836</v>
      </c>
      <c r="D2089" s="8" t="s">
        <v>7835</v>
      </c>
      <c r="E2089" s="105">
        <v>10</v>
      </c>
      <c r="F2089" s="106" t="s">
        <v>2024</v>
      </c>
      <c r="G2089" s="8"/>
      <c r="H2089" s="8"/>
      <c r="I2089" s="107">
        <v>0</v>
      </c>
      <c r="J2089" s="8" t="s">
        <v>5929</v>
      </c>
    </row>
    <row r="2090" spans="1:10" ht="16.5" customHeight="1" x14ac:dyDescent="0.25">
      <c r="A2090" s="8" t="s">
        <v>7837</v>
      </c>
      <c r="B2090" s="8" t="s">
        <v>7415</v>
      </c>
      <c r="C2090" s="8" t="s">
        <v>7415</v>
      </c>
      <c r="D2090" s="8" t="s">
        <v>7415</v>
      </c>
      <c r="E2090" s="105">
        <v>5</v>
      </c>
      <c r="F2090" s="106" t="s">
        <v>2024</v>
      </c>
      <c r="G2090" s="8"/>
      <c r="H2090" s="8"/>
      <c r="I2090" s="107">
        <v>0</v>
      </c>
      <c r="J2090" s="8" t="s">
        <v>5929</v>
      </c>
    </row>
    <row r="2091" spans="1:10" ht="16.5" customHeight="1" x14ac:dyDescent="0.25">
      <c r="A2091" s="8" t="s">
        <v>7838</v>
      </c>
      <c r="B2091" s="8" t="s">
        <v>7839</v>
      </c>
      <c r="C2091" s="8" t="s">
        <v>7840</v>
      </c>
      <c r="D2091" s="8" t="s">
        <v>7839</v>
      </c>
      <c r="E2091" s="105">
        <v>1</v>
      </c>
      <c r="F2091" s="106" t="s">
        <v>2024</v>
      </c>
      <c r="G2091" s="8"/>
      <c r="H2091" s="8"/>
      <c r="I2091" s="107">
        <v>0</v>
      </c>
      <c r="J2091" s="8" t="s">
        <v>3580</v>
      </c>
    </row>
    <row r="2092" spans="1:10" ht="16.5" customHeight="1" x14ac:dyDescent="0.25">
      <c r="A2092" s="8" t="s">
        <v>7841</v>
      </c>
      <c r="B2092" s="8" t="s">
        <v>7842</v>
      </c>
      <c r="C2092" s="8" t="s">
        <v>7843</v>
      </c>
      <c r="D2092" s="8" t="s">
        <v>7842</v>
      </c>
      <c r="E2092" s="105">
        <v>1</v>
      </c>
      <c r="F2092" s="106" t="s">
        <v>2024</v>
      </c>
      <c r="G2092" s="8"/>
      <c r="H2092" s="8"/>
      <c r="I2092" s="107">
        <v>0</v>
      </c>
      <c r="J2092" s="8" t="s">
        <v>3580</v>
      </c>
    </row>
    <row r="2093" spans="1:10" ht="16.5" customHeight="1" x14ac:dyDescent="0.25">
      <c r="A2093" s="8" t="s">
        <v>7844</v>
      </c>
      <c r="B2093" s="8" t="s">
        <v>7845</v>
      </c>
      <c r="C2093" s="8" t="s">
        <v>7846</v>
      </c>
      <c r="D2093" s="8" t="s">
        <v>7845</v>
      </c>
      <c r="E2093" s="105">
        <v>4.8</v>
      </c>
      <c r="F2093" s="106" t="s">
        <v>2024</v>
      </c>
      <c r="G2093" s="8"/>
      <c r="H2093" s="8"/>
      <c r="I2093" s="107">
        <v>0</v>
      </c>
      <c r="J2093" s="8" t="s">
        <v>5671</v>
      </c>
    </row>
    <row r="2094" spans="1:10" ht="16.5" customHeight="1" x14ac:dyDescent="0.25">
      <c r="A2094" s="8" t="s">
        <v>7847</v>
      </c>
      <c r="B2094" s="8" t="s">
        <v>7848</v>
      </c>
      <c r="C2094" s="8" t="s">
        <v>7846</v>
      </c>
      <c r="D2094" s="8" t="s">
        <v>7848</v>
      </c>
      <c r="E2094" s="105">
        <v>0.4</v>
      </c>
      <c r="F2094" s="106" t="s">
        <v>2024</v>
      </c>
      <c r="G2094" s="8"/>
      <c r="H2094" s="8"/>
      <c r="I2094" s="107">
        <v>0</v>
      </c>
      <c r="J2094" s="8" t="s">
        <v>5671</v>
      </c>
    </row>
    <row r="2095" spans="1:10" ht="16.5" customHeight="1" x14ac:dyDescent="0.25">
      <c r="A2095" s="8" t="s">
        <v>7849</v>
      </c>
      <c r="B2095" s="8" t="s">
        <v>7586</v>
      </c>
      <c r="C2095" s="8" t="s">
        <v>7584</v>
      </c>
      <c r="D2095" s="8" t="s">
        <v>7586</v>
      </c>
      <c r="E2095" s="105">
        <v>0</v>
      </c>
      <c r="F2095" s="106" t="s">
        <v>2024</v>
      </c>
      <c r="G2095" s="8"/>
      <c r="H2095" s="8"/>
      <c r="I2095" s="107">
        <v>0</v>
      </c>
      <c r="J2095" s="8" t="s">
        <v>4722</v>
      </c>
    </row>
    <row r="2096" spans="1:10" ht="16.5" customHeight="1" x14ac:dyDescent="0.25">
      <c r="A2096" s="8" t="s">
        <v>7850</v>
      </c>
      <c r="B2096" s="8" t="s">
        <v>7851</v>
      </c>
      <c r="C2096" s="8" t="s">
        <v>7852</v>
      </c>
      <c r="D2096" s="8" t="s">
        <v>7851</v>
      </c>
      <c r="E2096" s="105">
        <v>10</v>
      </c>
      <c r="F2096" s="106" t="s">
        <v>2024</v>
      </c>
      <c r="G2096" s="8"/>
      <c r="H2096" s="8"/>
      <c r="I2096" s="107">
        <v>0</v>
      </c>
      <c r="J2096" s="8" t="s">
        <v>3580</v>
      </c>
    </row>
    <row r="2097" spans="1:10" ht="16.5" customHeight="1" x14ac:dyDescent="0.25">
      <c r="A2097" s="8" t="s">
        <v>7853</v>
      </c>
      <c r="B2097" s="8" t="s">
        <v>7854</v>
      </c>
      <c r="C2097" s="8" t="s">
        <v>7855</v>
      </c>
      <c r="D2097" s="8" t="s">
        <v>7854</v>
      </c>
      <c r="E2097" s="105">
        <v>10</v>
      </c>
      <c r="F2097" s="106" t="s">
        <v>2024</v>
      </c>
      <c r="G2097" s="8"/>
      <c r="H2097" s="8"/>
      <c r="I2097" s="107">
        <v>0</v>
      </c>
      <c r="J2097" s="8" t="s">
        <v>3580</v>
      </c>
    </row>
    <row r="2098" spans="1:10" ht="16.5" customHeight="1" x14ac:dyDescent="0.25">
      <c r="A2098" s="8" t="s">
        <v>7856</v>
      </c>
      <c r="B2098" s="8" t="s">
        <v>7857</v>
      </c>
      <c r="C2098" s="8" t="s">
        <v>7858</v>
      </c>
      <c r="D2098" s="8" t="s">
        <v>7857</v>
      </c>
      <c r="E2098" s="105">
        <v>0</v>
      </c>
      <c r="F2098" s="106" t="s">
        <v>2024</v>
      </c>
      <c r="G2098" s="8"/>
      <c r="H2098" s="8"/>
      <c r="I2098" s="107">
        <v>0</v>
      </c>
      <c r="J2098" s="8" t="s">
        <v>4722</v>
      </c>
    </row>
    <row r="2099" spans="1:10" ht="16.5" customHeight="1" x14ac:dyDescent="0.25">
      <c r="A2099" s="8" t="s">
        <v>7859</v>
      </c>
      <c r="B2099" s="8" t="s">
        <v>7860</v>
      </c>
      <c r="C2099" s="8" t="s">
        <v>7861</v>
      </c>
      <c r="D2099" s="8" t="s">
        <v>7860</v>
      </c>
      <c r="E2099" s="105">
        <v>0</v>
      </c>
      <c r="F2099" s="106" t="s">
        <v>2024</v>
      </c>
      <c r="G2099" s="8"/>
      <c r="H2099" s="8"/>
      <c r="I2099" s="107">
        <v>0</v>
      </c>
      <c r="J2099" s="8" t="s">
        <v>4722</v>
      </c>
    </row>
    <row r="2100" spans="1:10" ht="16.5" customHeight="1" x14ac:dyDescent="0.25">
      <c r="A2100" s="8" t="s">
        <v>7862</v>
      </c>
      <c r="B2100" s="8" t="s">
        <v>7863</v>
      </c>
      <c r="C2100" s="8" t="s">
        <v>7864</v>
      </c>
      <c r="D2100" s="8" t="s">
        <v>7863</v>
      </c>
      <c r="E2100" s="105">
        <v>0</v>
      </c>
      <c r="F2100" s="106" t="s">
        <v>2024</v>
      </c>
      <c r="G2100" s="8"/>
      <c r="H2100" s="8"/>
      <c r="I2100" s="107">
        <v>0</v>
      </c>
      <c r="J2100" s="8" t="s">
        <v>4722</v>
      </c>
    </row>
    <row r="2101" spans="1:10" ht="16.5" customHeight="1" x14ac:dyDescent="0.25">
      <c r="A2101" s="8" t="s">
        <v>7865</v>
      </c>
      <c r="B2101" s="8" t="s">
        <v>7866</v>
      </c>
      <c r="C2101" s="8" t="s">
        <v>7867</v>
      </c>
      <c r="D2101" s="8" t="s">
        <v>7866</v>
      </c>
      <c r="E2101" s="105">
        <v>0</v>
      </c>
      <c r="F2101" s="106" t="s">
        <v>2024</v>
      </c>
      <c r="G2101" s="8"/>
      <c r="H2101" s="8"/>
      <c r="I2101" s="107">
        <v>0</v>
      </c>
      <c r="J2101" s="8" t="s">
        <v>4722</v>
      </c>
    </row>
    <row r="2102" spans="1:10" ht="16.5" customHeight="1" x14ac:dyDescent="0.25">
      <c r="A2102" s="8" t="s">
        <v>7868</v>
      </c>
      <c r="B2102" s="8" t="s">
        <v>7869</v>
      </c>
      <c r="C2102" s="8" t="s">
        <v>7870</v>
      </c>
      <c r="D2102" s="8" t="s">
        <v>7869</v>
      </c>
      <c r="E2102" s="105">
        <v>12.183999999999999</v>
      </c>
      <c r="F2102" s="106" t="s">
        <v>2024</v>
      </c>
      <c r="G2102" s="8"/>
      <c r="H2102" s="8"/>
      <c r="I2102" s="107">
        <v>0</v>
      </c>
      <c r="J2102" s="8" t="s">
        <v>5929</v>
      </c>
    </row>
    <row r="2103" spans="1:10" ht="16.5" customHeight="1" x14ac:dyDescent="0.25">
      <c r="A2103" s="8" t="s">
        <v>7871</v>
      </c>
      <c r="B2103" s="8" t="s">
        <v>7872</v>
      </c>
      <c r="C2103" s="8" t="s">
        <v>7873</v>
      </c>
      <c r="D2103" s="8" t="s">
        <v>7872</v>
      </c>
      <c r="E2103" s="105">
        <v>0.29499999999999998</v>
      </c>
      <c r="F2103" s="106" t="s">
        <v>2024</v>
      </c>
      <c r="G2103" s="8"/>
      <c r="H2103" s="8"/>
      <c r="I2103" s="107">
        <v>0</v>
      </c>
      <c r="J2103" s="8" t="s">
        <v>5929</v>
      </c>
    </row>
    <row r="2104" spans="1:10" ht="16.5" customHeight="1" x14ac:dyDescent="0.25">
      <c r="A2104" s="8" t="s">
        <v>1082</v>
      </c>
      <c r="B2104" s="8" t="s">
        <v>1084</v>
      </c>
      <c r="C2104" s="8" t="s">
        <v>1083</v>
      </c>
      <c r="D2104" s="8" t="s">
        <v>1084</v>
      </c>
      <c r="E2104" s="105">
        <v>20</v>
      </c>
      <c r="F2104" s="106" t="s">
        <v>2018</v>
      </c>
      <c r="G2104" s="8"/>
      <c r="H2104" s="8"/>
      <c r="I2104" s="107">
        <v>0</v>
      </c>
      <c r="J2104" s="8" t="s">
        <v>2019</v>
      </c>
    </row>
    <row r="2105" spans="1:10" ht="16.5" customHeight="1" x14ac:dyDescent="0.25">
      <c r="A2105" s="8" t="s">
        <v>1058</v>
      </c>
      <c r="B2105" s="8" t="s">
        <v>1060</v>
      </c>
      <c r="C2105" s="8" t="s">
        <v>1059</v>
      </c>
      <c r="D2105" s="8" t="s">
        <v>1060</v>
      </c>
      <c r="E2105" s="105">
        <v>20</v>
      </c>
      <c r="F2105" s="106" t="s">
        <v>2018</v>
      </c>
      <c r="G2105" s="8"/>
      <c r="H2105" s="8"/>
      <c r="I2105" s="107">
        <v>0</v>
      </c>
      <c r="J2105" s="8" t="s">
        <v>2019</v>
      </c>
    </row>
    <row r="2106" spans="1:10" ht="16.5" customHeight="1" x14ac:dyDescent="0.25">
      <c r="A2106" s="8" t="s">
        <v>7874</v>
      </c>
      <c r="B2106" s="8" t="s">
        <v>7875</v>
      </c>
      <c r="C2106" s="8" t="s">
        <v>7876</v>
      </c>
      <c r="D2106" s="8" t="s">
        <v>7875</v>
      </c>
      <c r="E2106" s="105">
        <v>1</v>
      </c>
      <c r="F2106" s="106" t="s">
        <v>2024</v>
      </c>
      <c r="G2106" s="8"/>
      <c r="H2106" s="8"/>
      <c r="I2106" s="107">
        <v>0</v>
      </c>
      <c r="J2106" s="8" t="s">
        <v>3580</v>
      </c>
    </row>
    <row r="2107" spans="1:10" ht="16.5" customHeight="1" x14ac:dyDescent="0.25">
      <c r="A2107" s="8" t="s">
        <v>7877</v>
      </c>
      <c r="B2107" s="8" t="s">
        <v>7878</v>
      </c>
      <c r="C2107" s="8" t="s">
        <v>7879</v>
      </c>
      <c r="D2107" s="8" t="s">
        <v>7878</v>
      </c>
      <c r="E2107" s="105">
        <v>1</v>
      </c>
      <c r="F2107" s="106" t="s">
        <v>2024</v>
      </c>
      <c r="G2107" s="8"/>
      <c r="H2107" s="8"/>
      <c r="I2107" s="107">
        <v>0</v>
      </c>
      <c r="J2107" s="8" t="s">
        <v>3580</v>
      </c>
    </row>
    <row r="2108" spans="1:10" ht="16.5" customHeight="1" x14ac:dyDescent="0.25">
      <c r="A2108" s="8" t="s">
        <v>7880</v>
      </c>
      <c r="B2108" s="8" t="s">
        <v>7881</v>
      </c>
      <c r="C2108" s="8" t="s">
        <v>7882</v>
      </c>
      <c r="D2108" s="8" t="s">
        <v>7881</v>
      </c>
      <c r="E2108" s="105">
        <v>1</v>
      </c>
      <c r="F2108" s="106" t="s">
        <v>2024</v>
      </c>
      <c r="G2108" s="8"/>
      <c r="H2108" s="8"/>
      <c r="I2108" s="107">
        <v>0</v>
      </c>
      <c r="J2108" s="8" t="s">
        <v>3580</v>
      </c>
    </row>
    <row r="2109" spans="1:10" ht="16.5" customHeight="1" x14ac:dyDescent="0.25">
      <c r="A2109" s="8" t="s">
        <v>7883</v>
      </c>
      <c r="B2109" s="8" t="s">
        <v>7884</v>
      </c>
      <c r="C2109" s="8" t="s">
        <v>7885</v>
      </c>
      <c r="D2109" s="8" t="s">
        <v>7884</v>
      </c>
      <c r="E2109" s="105">
        <v>1</v>
      </c>
      <c r="F2109" s="106" t="s">
        <v>2024</v>
      </c>
      <c r="G2109" s="8"/>
      <c r="H2109" s="8"/>
      <c r="I2109" s="107">
        <v>0</v>
      </c>
      <c r="J2109" s="8" t="s">
        <v>3580</v>
      </c>
    </row>
    <row r="2110" spans="1:10" ht="16.5" customHeight="1" x14ac:dyDescent="0.25">
      <c r="A2110" s="8" t="s">
        <v>7886</v>
      </c>
      <c r="B2110" s="8" t="s">
        <v>7887</v>
      </c>
      <c r="C2110" s="8" t="s">
        <v>7888</v>
      </c>
      <c r="D2110" s="8" t="s">
        <v>7887</v>
      </c>
      <c r="E2110" s="105">
        <v>1</v>
      </c>
      <c r="F2110" s="106" t="s">
        <v>2024</v>
      </c>
      <c r="G2110" s="8"/>
      <c r="H2110" s="8"/>
      <c r="I2110" s="107">
        <v>0</v>
      </c>
      <c r="J2110" s="8" t="s">
        <v>3580</v>
      </c>
    </row>
    <row r="2111" spans="1:10" ht="16.5" customHeight="1" x14ac:dyDescent="0.25">
      <c r="A2111" s="8" t="s">
        <v>7889</v>
      </c>
      <c r="B2111" s="8" t="s">
        <v>7890</v>
      </c>
      <c r="C2111" s="8" t="s">
        <v>7891</v>
      </c>
      <c r="D2111" s="8" t="s">
        <v>7890</v>
      </c>
      <c r="E2111" s="105">
        <v>1</v>
      </c>
      <c r="F2111" s="106" t="s">
        <v>2024</v>
      </c>
      <c r="G2111" s="8"/>
      <c r="H2111" s="8"/>
      <c r="I2111" s="107">
        <v>0</v>
      </c>
      <c r="J2111" s="8" t="s">
        <v>3580</v>
      </c>
    </row>
    <row r="2112" spans="1:10" ht="16.5" customHeight="1" x14ac:dyDescent="0.25">
      <c r="A2112" s="8" t="s">
        <v>7892</v>
      </c>
      <c r="B2112" s="8" t="s">
        <v>7893</v>
      </c>
      <c r="C2112" s="8" t="s">
        <v>7894</v>
      </c>
      <c r="D2112" s="8" t="s">
        <v>7893</v>
      </c>
      <c r="E2112" s="105">
        <v>1</v>
      </c>
      <c r="F2112" s="106" t="s">
        <v>2024</v>
      </c>
      <c r="G2112" s="8"/>
      <c r="H2112" s="8"/>
      <c r="I2112" s="107">
        <v>0</v>
      </c>
      <c r="J2112" s="8" t="s">
        <v>3580</v>
      </c>
    </row>
    <row r="2113" spans="1:10" ht="16.5" customHeight="1" x14ac:dyDescent="0.25">
      <c r="A2113" s="8" t="s">
        <v>7895</v>
      </c>
      <c r="B2113" s="8" t="s">
        <v>7896</v>
      </c>
      <c r="C2113" s="8" t="s">
        <v>7897</v>
      </c>
      <c r="D2113" s="8" t="s">
        <v>7896</v>
      </c>
      <c r="E2113" s="105">
        <v>1</v>
      </c>
      <c r="F2113" s="106" t="s">
        <v>2024</v>
      </c>
      <c r="G2113" s="8"/>
      <c r="H2113" s="8"/>
      <c r="I2113" s="107">
        <v>0</v>
      </c>
      <c r="J2113" s="8" t="s">
        <v>3580</v>
      </c>
    </row>
    <row r="2114" spans="1:10" ht="16.5" customHeight="1" x14ac:dyDescent="0.25">
      <c r="A2114" s="8" t="s">
        <v>7898</v>
      </c>
      <c r="B2114" s="8" t="s">
        <v>7899</v>
      </c>
      <c r="C2114" s="8" t="s">
        <v>7900</v>
      </c>
      <c r="D2114" s="8" t="s">
        <v>7899</v>
      </c>
      <c r="E2114" s="105">
        <v>1</v>
      </c>
      <c r="F2114" s="106" t="s">
        <v>2024</v>
      </c>
      <c r="G2114" s="8"/>
      <c r="H2114" s="8"/>
      <c r="I2114" s="107">
        <v>0</v>
      </c>
      <c r="J2114" s="8" t="s">
        <v>3580</v>
      </c>
    </row>
    <row r="2115" spans="1:10" ht="16.5" customHeight="1" x14ac:dyDescent="0.25">
      <c r="A2115" s="8" t="s">
        <v>7901</v>
      </c>
      <c r="B2115" s="8" t="s">
        <v>7902</v>
      </c>
      <c r="C2115" s="8" t="s">
        <v>7903</v>
      </c>
      <c r="D2115" s="8" t="s">
        <v>7902</v>
      </c>
      <c r="E2115" s="105">
        <v>1</v>
      </c>
      <c r="F2115" s="106" t="s">
        <v>2024</v>
      </c>
      <c r="G2115" s="8"/>
      <c r="H2115" s="8"/>
      <c r="I2115" s="107">
        <v>0</v>
      </c>
      <c r="J2115" s="8" t="s">
        <v>3580</v>
      </c>
    </row>
    <row r="2116" spans="1:10" ht="16.5" customHeight="1" x14ac:dyDescent="0.25">
      <c r="A2116" s="8" t="s">
        <v>7904</v>
      </c>
      <c r="B2116" s="8" t="s">
        <v>7905</v>
      </c>
      <c r="C2116" s="8" t="s">
        <v>7906</v>
      </c>
      <c r="D2116" s="8" t="s">
        <v>7905</v>
      </c>
      <c r="E2116" s="105">
        <v>1</v>
      </c>
      <c r="F2116" s="106" t="s">
        <v>2024</v>
      </c>
      <c r="G2116" s="8"/>
      <c r="H2116" s="8"/>
      <c r="I2116" s="107">
        <v>0</v>
      </c>
      <c r="J2116" s="8" t="s">
        <v>3580</v>
      </c>
    </row>
    <row r="2117" spans="1:10" ht="16.5" customHeight="1" x14ac:dyDescent="0.25">
      <c r="A2117" s="8" t="s">
        <v>7907</v>
      </c>
      <c r="B2117" s="8" t="s">
        <v>7908</v>
      </c>
      <c r="C2117" s="8" t="s">
        <v>7909</v>
      </c>
      <c r="D2117" s="8" t="s">
        <v>7908</v>
      </c>
      <c r="E2117" s="105">
        <v>1</v>
      </c>
      <c r="F2117" s="106" t="s">
        <v>2024</v>
      </c>
      <c r="G2117" s="8"/>
      <c r="H2117" s="8"/>
      <c r="I2117" s="107">
        <v>0</v>
      </c>
      <c r="J2117" s="8" t="s">
        <v>3580</v>
      </c>
    </row>
    <row r="2118" spans="1:10" ht="16.5" customHeight="1" x14ac:dyDescent="0.25">
      <c r="A2118" s="8" t="s">
        <v>7910</v>
      </c>
      <c r="B2118" s="8" t="s">
        <v>7911</v>
      </c>
      <c r="C2118" s="8" t="s">
        <v>7912</v>
      </c>
      <c r="D2118" s="8" t="s">
        <v>7911</v>
      </c>
      <c r="E2118" s="105">
        <v>25</v>
      </c>
      <c r="F2118" s="106" t="s">
        <v>2024</v>
      </c>
      <c r="G2118" s="8"/>
      <c r="H2118" s="8"/>
      <c r="I2118" s="107">
        <v>0</v>
      </c>
      <c r="J2118" s="8" t="s">
        <v>7329</v>
      </c>
    </row>
    <row r="2119" spans="1:10" ht="16.5" customHeight="1" x14ac:dyDescent="0.25">
      <c r="A2119" s="8" t="s">
        <v>7913</v>
      </c>
      <c r="B2119" s="8" t="s">
        <v>7914</v>
      </c>
      <c r="C2119" s="8" t="s">
        <v>7915</v>
      </c>
      <c r="D2119" s="8" t="s">
        <v>7914</v>
      </c>
      <c r="E2119" s="105">
        <v>25</v>
      </c>
      <c r="F2119" s="106" t="s">
        <v>2024</v>
      </c>
      <c r="G2119" s="8"/>
      <c r="H2119" s="8"/>
      <c r="I2119" s="107">
        <v>0</v>
      </c>
      <c r="J2119" s="8" t="s">
        <v>7329</v>
      </c>
    </row>
    <row r="2120" spans="1:10" ht="16.5" customHeight="1" x14ac:dyDescent="0.25">
      <c r="A2120" s="8" t="s">
        <v>7916</v>
      </c>
      <c r="B2120" s="8" t="s">
        <v>7917</v>
      </c>
      <c r="C2120" s="8" t="s">
        <v>7918</v>
      </c>
      <c r="D2120" s="8" t="s">
        <v>7917</v>
      </c>
      <c r="E2120" s="105">
        <v>0</v>
      </c>
      <c r="F2120" s="106" t="s">
        <v>2024</v>
      </c>
      <c r="G2120" s="8"/>
      <c r="H2120" s="8"/>
      <c r="I2120" s="107">
        <v>0</v>
      </c>
      <c r="J2120" s="8" t="s">
        <v>4722</v>
      </c>
    </row>
    <row r="2121" spans="1:10" ht="16.5" customHeight="1" x14ac:dyDescent="0.25">
      <c r="A2121" s="8" t="s">
        <v>7919</v>
      </c>
      <c r="B2121" s="8" t="s">
        <v>7920</v>
      </c>
      <c r="C2121" s="8" t="s">
        <v>7921</v>
      </c>
      <c r="D2121" s="8" t="s">
        <v>7920</v>
      </c>
      <c r="E2121" s="105">
        <v>1</v>
      </c>
      <c r="F2121" s="106" t="s">
        <v>2024</v>
      </c>
      <c r="G2121" s="8"/>
      <c r="H2121" s="8"/>
      <c r="I2121" s="107">
        <v>0</v>
      </c>
      <c r="J2121" s="8" t="s">
        <v>3580</v>
      </c>
    </row>
    <row r="2122" spans="1:10" ht="16.5" customHeight="1" x14ac:dyDescent="0.25">
      <c r="A2122" s="8" t="s">
        <v>7922</v>
      </c>
      <c r="B2122" s="8" t="s">
        <v>7923</v>
      </c>
      <c r="C2122" s="8" t="s">
        <v>7924</v>
      </c>
      <c r="D2122" s="8" t="s">
        <v>7923</v>
      </c>
      <c r="E2122" s="105">
        <v>1</v>
      </c>
      <c r="F2122" s="106" t="s">
        <v>2024</v>
      </c>
      <c r="G2122" s="8"/>
      <c r="H2122" s="8"/>
      <c r="I2122" s="107">
        <v>0</v>
      </c>
      <c r="J2122" s="8" t="s">
        <v>3580</v>
      </c>
    </row>
    <row r="2123" spans="1:10" ht="16.5" customHeight="1" x14ac:dyDescent="0.25">
      <c r="A2123" s="8" t="s">
        <v>7925</v>
      </c>
      <c r="B2123" s="8" t="s">
        <v>7926</v>
      </c>
      <c r="C2123" s="8" t="s">
        <v>7927</v>
      </c>
      <c r="D2123" s="8" t="s">
        <v>7926</v>
      </c>
      <c r="E2123" s="105">
        <v>1</v>
      </c>
      <c r="F2123" s="106" t="s">
        <v>2024</v>
      </c>
      <c r="G2123" s="8"/>
      <c r="H2123" s="8"/>
      <c r="I2123" s="107">
        <v>0</v>
      </c>
      <c r="J2123" s="8" t="s">
        <v>3580</v>
      </c>
    </row>
    <row r="2124" spans="1:10" ht="16.5" customHeight="1" x14ac:dyDescent="0.25">
      <c r="A2124" s="8" t="s">
        <v>7928</v>
      </c>
      <c r="B2124" s="8" t="s">
        <v>7929</v>
      </c>
      <c r="C2124" s="8" t="s">
        <v>7930</v>
      </c>
      <c r="D2124" s="8" t="s">
        <v>7929</v>
      </c>
      <c r="E2124" s="105">
        <v>1</v>
      </c>
      <c r="F2124" s="106" t="s">
        <v>2024</v>
      </c>
      <c r="G2124" s="8"/>
      <c r="H2124" s="8"/>
      <c r="I2124" s="107">
        <v>0</v>
      </c>
      <c r="J2124" s="8" t="s">
        <v>3580</v>
      </c>
    </row>
    <row r="2125" spans="1:10" ht="16.5" customHeight="1" x14ac:dyDescent="0.25">
      <c r="A2125" s="8" t="s">
        <v>7931</v>
      </c>
      <c r="B2125" s="8" t="s">
        <v>7932</v>
      </c>
      <c r="C2125" s="8" t="s">
        <v>7933</v>
      </c>
      <c r="D2125" s="8" t="s">
        <v>7932</v>
      </c>
      <c r="E2125" s="105">
        <v>1</v>
      </c>
      <c r="F2125" s="106" t="s">
        <v>2024</v>
      </c>
      <c r="G2125" s="8"/>
      <c r="H2125" s="8"/>
      <c r="I2125" s="107">
        <v>0</v>
      </c>
      <c r="J2125" s="8" t="s">
        <v>3580</v>
      </c>
    </row>
    <row r="2126" spans="1:10" ht="16.5" customHeight="1" x14ac:dyDescent="0.25">
      <c r="A2126" s="8" t="s">
        <v>7934</v>
      </c>
      <c r="B2126" s="8" t="s">
        <v>7935</v>
      </c>
      <c r="C2126" s="8" t="s">
        <v>7936</v>
      </c>
      <c r="D2126" s="8" t="s">
        <v>7935</v>
      </c>
      <c r="E2126" s="105">
        <v>1</v>
      </c>
      <c r="F2126" s="106" t="s">
        <v>2024</v>
      </c>
      <c r="G2126" s="8"/>
      <c r="H2126" s="8"/>
      <c r="I2126" s="107">
        <v>0</v>
      </c>
      <c r="J2126" s="8" t="s">
        <v>3580</v>
      </c>
    </row>
    <row r="2127" spans="1:10" ht="16.5" customHeight="1" x14ac:dyDescent="0.25">
      <c r="A2127" s="8" t="s">
        <v>7937</v>
      </c>
      <c r="B2127" s="8" t="s">
        <v>7938</v>
      </c>
      <c r="C2127" s="8" t="s">
        <v>7939</v>
      </c>
      <c r="D2127" s="8" t="s">
        <v>7938</v>
      </c>
      <c r="E2127" s="105">
        <v>6</v>
      </c>
      <c r="F2127" s="106" t="s">
        <v>2024</v>
      </c>
      <c r="G2127" s="8"/>
      <c r="H2127" s="8"/>
      <c r="I2127" s="107">
        <v>0</v>
      </c>
      <c r="J2127" s="8" t="s">
        <v>5929</v>
      </c>
    </row>
    <row r="2128" spans="1:10" ht="16.5" customHeight="1" x14ac:dyDescent="0.25">
      <c r="A2128" s="8" t="s">
        <v>7940</v>
      </c>
      <c r="B2128" s="8" t="s">
        <v>7941</v>
      </c>
      <c r="C2128" s="8" t="s">
        <v>7942</v>
      </c>
      <c r="D2128" s="8" t="s">
        <v>7941</v>
      </c>
      <c r="E2128" s="105">
        <v>0.25</v>
      </c>
      <c r="F2128" s="106" t="s">
        <v>2024</v>
      </c>
      <c r="G2128" s="8"/>
      <c r="H2128" s="8"/>
      <c r="I2128" s="107">
        <v>0</v>
      </c>
      <c r="J2128" s="8" t="s">
        <v>5929</v>
      </c>
    </row>
    <row r="2129" spans="1:10" ht="16.5" customHeight="1" x14ac:dyDescent="0.25">
      <c r="A2129" s="8" t="s">
        <v>7943</v>
      </c>
      <c r="B2129" s="8" t="s">
        <v>7944</v>
      </c>
      <c r="C2129" s="8" t="s">
        <v>7945</v>
      </c>
      <c r="D2129" s="8" t="s">
        <v>7944</v>
      </c>
      <c r="E2129" s="105">
        <v>9.6</v>
      </c>
      <c r="F2129" s="106" t="s">
        <v>2024</v>
      </c>
      <c r="G2129" s="8" t="s">
        <v>1541</v>
      </c>
      <c r="H2129" s="8" t="s">
        <v>7946</v>
      </c>
      <c r="I2129" s="107">
        <v>12</v>
      </c>
      <c r="J2129" s="8" t="s">
        <v>5929</v>
      </c>
    </row>
    <row r="2130" spans="1:10" ht="16.5" customHeight="1" x14ac:dyDescent="0.25">
      <c r="A2130" s="8" t="s">
        <v>7946</v>
      </c>
      <c r="B2130" s="8" t="s">
        <v>7947</v>
      </c>
      <c r="C2130" s="8" t="s">
        <v>7948</v>
      </c>
      <c r="D2130" s="8" t="s">
        <v>7947</v>
      </c>
      <c r="E2130" s="105">
        <v>0.8</v>
      </c>
      <c r="F2130" s="106" t="s">
        <v>2024</v>
      </c>
      <c r="G2130" s="8" t="s">
        <v>1541</v>
      </c>
      <c r="H2130" s="8"/>
      <c r="I2130" s="107">
        <v>0</v>
      </c>
      <c r="J2130" s="8" t="s">
        <v>5929</v>
      </c>
    </row>
    <row r="2131" spans="1:10" ht="16.5" customHeight="1" x14ac:dyDescent="0.25">
      <c r="A2131" s="8" t="s">
        <v>7949</v>
      </c>
      <c r="B2131" s="8" t="s">
        <v>7950</v>
      </c>
      <c r="C2131" s="8" t="s">
        <v>7951</v>
      </c>
      <c r="D2131" s="8" t="s">
        <v>7950</v>
      </c>
      <c r="E2131" s="105">
        <v>0.6</v>
      </c>
      <c r="F2131" s="106" t="s">
        <v>2024</v>
      </c>
      <c r="G2131" s="8"/>
      <c r="H2131" s="8"/>
      <c r="I2131" s="107">
        <v>0</v>
      </c>
      <c r="J2131" s="8" t="s">
        <v>5779</v>
      </c>
    </row>
    <row r="2132" spans="1:10" ht="16.5" customHeight="1" x14ac:dyDescent="0.25">
      <c r="A2132" s="8" t="s">
        <v>7952</v>
      </c>
      <c r="B2132" s="8" t="s">
        <v>7953</v>
      </c>
      <c r="C2132" s="8" t="s">
        <v>7954</v>
      </c>
      <c r="D2132" s="8" t="s">
        <v>7953</v>
      </c>
      <c r="E2132" s="105">
        <v>5.4</v>
      </c>
      <c r="F2132" s="106" t="s">
        <v>2024</v>
      </c>
      <c r="G2132" s="8"/>
      <c r="H2132" s="8"/>
      <c r="I2132" s="107">
        <v>0</v>
      </c>
      <c r="J2132" s="8" t="s">
        <v>5929</v>
      </c>
    </row>
    <row r="2133" spans="1:10" ht="16.5" customHeight="1" x14ac:dyDescent="0.25">
      <c r="A2133" s="8" t="s">
        <v>7955</v>
      </c>
      <c r="B2133" s="8" t="s">
        <v>7956</v>
      </c>
      <c r="C2133" s="8" t="s">
        <v>7957</v>
      </c>
      <c r="D2133" s="8" t="s">
        <v>7956</v>
      </c>
      <c r="E2133" s="105">
        <v>0.15</v>
      </c>
      <c r="F2133" s="106" t="s">
        <v>2024</v>
      </c>
      <c r="G2133" s="8"/>
      <c r="H2133" s="8"/>
      <c r="I2133" s="107">
        <v>0</v>
      </c>
      <c r="J2133" s="8" t="s">
        <v>5929</v>
      </c>
    </row>
    <row r="2134" spans="1:10" ht="16.5" customHeight="1" x14ac:dyDescent="0.25">
      <c r="A2134" s="8" t="s">
        <v>7958</v>
      </c>
      <c r="B2134" s="8" t="s">
        <v>7959</v>
      </c>
      <c r="C2134" s="8" t="s">
        <v>7960</v>
      </c>
      <c r="D2134" s="8" t="s">
        <v>7959</v>
      </c>
      <c r="E2134" s="105">
        <v>8.4</v>
      </c>
      <c r="F2134" s="106" t="s">
        <v>2024</v>
      </c>
      <c r="G2134" s="8"/>
      <c r="H2134" s="8"/>
      <c r="I2134" s="107">
        <v>0</v>
      </c>
      <c r="J2134" s="8" t="s">
        <v>5929</v>
      </c>
    </row>
    <row r="2135" spans="1:10" ht="16.5" customHeight="1" x14ac:dyDescent="0.25">
      <c r="A2135" s="8" t="s">
        <v>7961</v>
      </c>
      <c r="B2135" s="8" t="s">
        <v>7962</v>
      </c>
      <c r="C2135" s="8" t="s">
        <v>7963</v>
      </c>
      <c r="D2135" s="8" t="s">
        <v>7962</v>
      </c>
      <c r="E2135" s="105">
        <v>0.36480000000000001</v>
      </c>
      <c r="F2135" s="106" t="s">
        <v>2024</v>
      </c>
      <c r="G2135" s="8"/>
      <c r="H2135" s="8"/>
      <c r="I2135" s="107">
        <v>0</v>
      </c>
      <c r="J2135" s="8" t="s">
        <v>5929</v>
      </c>
    </row>
    <row r="2136" spans="1:10" ht="16.5" customHeight="1" x14ac:dyDescent="0.25">
      <c r="A2136" s="8" t="s">
        <v>7964</v>
      </c>
      <c r="B2136" s="8" t="s">
        <v>7965</v>
      </c>
      <c r="C2136" s="8" t="s">
        <v>7966</v>
      </c>
      <c r="D2136" s="8" t="s">
        <v>7965</v>
      </c>
      <c r="E2136" s="105">
        <v>1</v>
      </c>
      <c r="F2136" s="106" t="s">
        <v>2018</v>
      </c>
      <c r="G2136" s="8"/>
      <c r="H2136" s="8"/>
      <c r="I2136" s="107">
        <v>0</v>
      </c>
      <c r="J2136" s="8" t="s">
        <v>3695</v>
      </c>
    </row>
    <row r="2137" spans="1:10" ht="16.5" customHeight="1" x14ac:dyDescent="0.25">
      <c r="A2137" s="8" t="s">
        <v>7967</v>
      </c>
      <c r="B2137" s="8" t="s">
        <v>7968</v>
      </c>
      <c r="C2137" s="8" t="s">
        <v>7969</v>
      </c>
      <c r="D2137" s="8" t="s">
        <v>7968</v>
      </c>
      <c r="E2137" s="105">
        <v>4.5</v>
      </c>
      <c r="F2137" s="106" t="s">
        <v>2024</v>
      </c>
      <c r="G2137" s="8"/>
      <c r="H2137" s="8"/>
      <c r="I2137" s="107">
        <v>0</v>
      </c>
      <c r="J2137" s="8" t="s">
        <v>5779</v>
      </c>
    </row>
    <row r="2138" spans="1:10" ht="16.5" customHeight="1" x14ac:dyDescent="0.25">
      <c r="A2138" s="8" t="s">
        <v>7970</v>
      </c>
      <c r="B2138" s="8" t="s">
        <v>7971</v>
      </c>
      <c r="C2138" s="8" t="s">
        <v>7972</v>
      </c>
      <c r="D2138" s="8" t="s">
        <v>7971</v>
      </c>
      <c r="E2138" s="105">
        <v>1</v>
      </c>
      <c r="F2138" s="106" t="s">
        <v>2024</v>
      </c>
      <c r="G2138" s="8"/>
      <c r="H2138" s="8"/>
      <c r="I2138" s="107">
        <v>0</v>
      </c>
      <c r="J2138" s="8" t="s">
        <v>3580</v>
      </c>
    </row>
    <row r="2139" spans="1:10" ht="16.5" customHeight="1" x14ac:dyDescent="0.25">
      <c r="A2139" s="8" t="s">
        <v>7973</v>
      </c>
      <c r="B2139" s="8" t="s">
        <v>7974</v>
      </c>
      <c r="C2139" s="8" t="s">
        <v>7975</v>
      </c>
      <c r="D2139" s="8" t="s">
        <v>7974</v>
      </c>
      <c r="E2139" s="105">
        <v>5.21</v>
      </c>
      <c r="F2139" s="106" t="s">
        <v>2024</v>
      </c>
      <c r="G2139" s="8"/>
      <c r="H2139" s="8"/>
      <c r="I2139" s="107">
        <v>0</v>
      </c>
      <c r="J2139" s="8" t="s">
        <v>5779</v>
      </c>
    </row>
    <row r="2140" spans="1:10" ht="16.5" customHeight="1" x14ac:dyDescent="0.25">
      <c r="A2140" s="8" t="s">
        <v>7976</v>
      </c>
      <c r="B2140" s="8" t="s">
        <v>7977</v>
      </c>
      <c r="C2140" s="8" t="s">
        <v>7978</v>
      </c>
      <c r="D2140" s="8" t="s">
        <v>7977</v>
      </c>
      <c r="E2140" s="105">
        <v>5.21</v>
      </c>
      <c r="F2140" s="106" t="s">
        <v>2024</v>
      </c>
      <c r="G2140" s="8"/>
      <c r="H2140" s="8"/>
      <c r="I2140" s="107">
        <v>0</v>
      </c>
      <c r="J2140" s="8" t="s">
        <v>5779</v>
      </c>
    </row>
    <row r="2141" spans="1:10" ht="16.5" customHeight="1" x14ac:dyDescent="0.25">
      <c r="A2141" s="8" t="s">
        <v>7979</v>
      </c>
      <c r="B2141" s="8" t="s">
        <v>7980</v>
      </c>
      <c r="C2141" s="8" t="s">
        <v>7981</v>
      </c>
      <c r="D2141" s="8" t="s">
        <v>7980</v>
      </c>
      <c r="E2141" s="105">
        <v>0</v>
      </c>
      <c r="F2141" s="106" t="s">
        <v>2018</v>
      </c>
      <c r="G2141" s="8"/>
      <c r="H2141" s="8"/>
      <c r="I2141" s="107">
        <v>0</v>
      </c>
      <c r="J2141" s="8" t="s">
        <v>4722</v>
      </c>
    </row>
    <row r="2142" spans="1:10" ht="16.5" customHeight="1" x14ac:dyDescent="0.25">
      <c r="A2142" s="8" t="s">
        <v>7982</v>
      </c>
      <c r="B2142" s="8" t="s">
        <v>7983</v>
      </c>
      <c r="C2142" s="8" t="s">
        <v>7984</v>
      </c>
      <c r="D2142" s="8" t="s">
        <v>7983</v>
      </c>
      <c r="E2142" s="105">
        <v>1</v>
      </c>
      <c r="F2142" s="106" t="s">
        <v>2024</v>
      </c>
      <c r="G2142" s="8"/>
      <c r="H2142" s="8"/>
      <c r="I2142" s="107">
        <v>0</v>
      </c>
      <c r="J2142" s="8" t="s">
        <v>3580</v>
      </c>
    </row>
    <row r="2143" spans="1:10" ht="16.5" customHeight="1" x14ac:dyDescent="0.25">
      <c r="A2143" s="8" t="s">
        <v>7985</v>
      </c>
      <c r="B2143" s="8" t="s">
        <v>7986</v>
      </c>
      <c r="C2143" s="8" t="s">
        <v>7987</v>
      </c>
      <c r="D2143" s="8" t="s">
        <v>7986</v>
      </c>
      <c r="E2143" s="105">
        <v>1</v>
      </c>
      <c r="F2143" s="106" t="s">
        <v>2024</v>
      </c>
      <c r="G2143" s="8"/>
      <c r="H2143" s="8"/>
      <c r="I2143" s="107">
        <v>0</v>
      </c>
      <c r="J2143" s="8" t="s">
        <v>3580</v>
      </c>
    </row>
    <row r="2144" spans="1:10" ht="16.5" customHeight="1" x14ac:dyDescent="0.25">
      <c r="A2144" s="8" t="s">
        <v>7988</v>
      </c>
      <c r="B2144" s="8" t="s">
        <v>7989</v>
      </c>
      <c r="C2144" s="8" t="s">
        <v>7990</v>
      </c>
      <c r="D2144" s="8" t="s">
        <v>7989</v>
      </c>
      <c r="E2144" s="105">
        <v>1</v>
      </c>
      <c r="F2144" s="106" t="s">
        <v>2024</v>
      </c>
      <c r="G2144" s="8"/>
      <c r="H2144" s="8"/>
      <c r="I2144" s="107">
        <v>0</v>
      </c>
      <c r="J2144" s="8" t="s">
        <v>3580</v>
      </c>
    </row>
    <row r="2145" spans="1:10" ht="16.5" customHeight="1" x14ac:dyDescent="0.25">
      <c r="A2145" s="8" t="s">
        <v>7991</v>
      </c>
      <c r="B2145" s="8" t="s">
        <v>7992</v>
      </c>
      <c r="C2145" s="8" t="s">
        <v>7993</v>
      </c>
      <c r="D2145" s="8" t="s">
        <v>7992</v>
      </c>
      <c r="E2145" s="105">
        <v>1</v>
      </c>
      <c r="F2145" s="106" t="s">
        <v>2024</v>
      </c>
      <c r="G2145" s="8"/>
      <c r="H2145" s="8"/>
      <c r="I2145" s="107">
        <v>0</v>
      </c>
      <c r="J2145" s="8" t="s">
        <v>3580</v>
      </c>
    </row>
    <row r="2146" spans="1:10" ht="16.5" customHeight="1" x14ac:dyDescent="0.25">
      <c r="A2146" s="8" t="s">
        <v>7994</v>
      </c>
      <c r="B2146" s="8" t="s">
        <v>7995</v>
      </c>
      <c r="C2146" s="8" t="s">
        <v>7996</v>
      </c>
      <c r="D2146" s="8" t="s">
        <v>7995</v>
      </c>
      <c r="E2146" s="105">
        <v>1</v>
      </c>
      <c r="F2146" s="106" t="s">
        <v>2024</v>
      </c>
      <c r="G2146" s="8"/>
      <c r="H2146" s="8"/>
      <c r="I2146" s="107">
        <v>0</v>
      </c>
      <c r="J2146" s="8" t="s">
        <v>3580</v>
      </c>
    </row>
    <row r="2147" spans="1:10" ht="16.5" customHeight="1" x14ac:dyDescent="0.25">
      <c r="A2147" s="8" t="s">
        <v>7997</v>
      </c>
      <c r="B2147" s="8" t="s">
        <v>7998</v>
      </c>
      <c r="C2147" s="8" t="s">
        <v>7999</v>
      </c>
      <c r="D2147" s="8" t="s">
        <v>7998</v>
      </c>
      <c r="E2147" s="105">
        <v>1</v>
      </c>
      <c r="F2147" s="106" t="s">
        <v>2024</v>
      </c>
      <c r="G2147" s="8"/>
      <c r="H2147" s="8"/>
      <c r="I2147" s="107">
        <v>0</v>
      </c>
      <c r="J2147" s="8" t="s">
        <v>3580</v>
      </c>
    </row>
    <row r="2148" spans="1:10" ht="16.5" customHeight="1" x14ac:dyDescent="0.25">
      <c r="A2148" s="8" t="s">
        <v>8000</v>
      </c>
      <c r="B2148" s="8" t="s">
        <v>8001</v>
      </c>
      <c r="C2148" s="8" t="s">
        <v>8002</v>
      </c>
      <c r="D2148" s="8" t="s">
        <v>8001</v>
      </c>
      <c r="E2148" s="105">
        <v>1</v>
      </c>
      <c r="F2148" s="106" t="s">
        <v>2024</v>
      </c>
      <c r="G2148" s="8"/>
      <c r="H2148" s="8"/>
      <c r="I2148" s="107">
        <v>0</v>
      </c>
      <c r="J2148" s="8" t="s">
        <v>3580</v>
      </c>
    </row>
    <row r="2149" spans="1:10" ht="16.5" customHeight="1" x14ac:dyDescent="0.25">
      <c r="A2149" s="8" t="s">
        <v>8003</v>
      </c>
      <c r="B2149" s="8" t="s">
        <v>8004</v>
      </c>
      <c r="C2149" s="8" t="s">
        <v>8005</v>
      </c>
      <c r="D2149" s="8" t="s">
        <v>8004</v>
      </c>
      <c r="E2149" s="105">
        <v>1</v>
      </c>
      <c r="F2149" s="106" t="s">
        <v>2024</v>
      </c>
      <c r="G2149" s="8"/>
      <c r="H2149" s="8"/>
      <c r="I2149" s="107">
        <v>0</v>
      </c>
      <c r="J2149" s="8" t="s">
        <v>3580</v>
      </c>
    </row>
    <row r="2150" spans="1:10" ht="16.5" customHeight="1" x14ac:dyDescent="0.25">
      <c r="A2150" s="8" t="s">
        <v>8006</v>
      </c>
      <c r="B2150" s="8" t="s">
        <v>8007</v>
      </c>
      <c r="C2150" s="8" t="s">
        <v>8008</v>
      </c>
      <c r="D2150" s="8" t="s">
        <v>8007</v>
      </c>
      <c r="E2150" s="105">
        <v>1</v>
      </c>
      <c r="F2150" s="106" t="s">
        <v>2024</v>
      </c>
      <c r="G2150" s="8"/>
      <c r="H2150" s="8"/>
      <c r="I2150" s="107">
        <v>0</v>
      </c>
      <c r="J2150" s="8" t="s">
        <v>3580</v>
      </c>
    </row>
    <row r="2151" spans="1:10" ht="16.5" customHeight="1" x14ac:dyDescent="0.25">
      <c r="A2151" s="8" t="s">
        <v>8009</v>
      </c>
      <c r="B2151" s="8" t="s">
        <v>8010</v>
      </c>
      <c r="C2151" s="8" t="s">
        <v>8011</v>
      </c>
      <c r="D2151" s="8" t="s">
        <v>8010</v>
      </c>
      <c r="E2151" s="105">
        <v>1</v>
      </c>
      <c r="F2151" s="106" t="s">
        <v>2024</v>
      </c>
      <c r="G2151" s="8"/>
      <c r="H2151" s="8"/>
      <c r="I2151" s="107">
        <v>0</v>
      </c>
      <c r="J2151" s="8" t="s">
        <v>3580</v>
      </c>
    </row>
    <row r="2152" spans="1:10" ht="16.5" customHeight="1" x14ac:dyDescent="0.25">
      <c r="A2152" s="8" t="s">
        <v>8012</v>
      </c>
      <c r="B2152" s="8" t="s">
        <v>8013</v>
      </c>
      <c r="C2152" s="8" t="s">
        <v>8014</v>
      </c>
      <c r="D2152" s="8" t="s">
        <v>8013</v>
      </c>
      <c r="E2152" s="105">
        <v>1</v>
      </c>
      <c r="F2152" s="106" t="s">
        <v>2024</v>
      </c>
      <c r="G2152" s="8"/>
      <c r="H2152" s="8"/>
      <c r="I2152" s="107">
        <v>0</v>
      </c>
      <c r="J2152" s="8" t="s">
        <v>3580</v>
      </c>
    </row>
    <row r="2153" spans="1:10" ht="16.5" customHeight="1" x14ac:dyDescent="0.25">
      <c r="A2153" s="8" t="s">
        <v>8015</v>
      </c>
      <c r="B2153" s="8" t="s">
        <v>8016</v>
      </c>
      <c r="C2153" s="8" t="s">
        <v>8017</v>
      </c>
      <c r="D2153" s="8" t="s">
        <v>8016</v>
      </c>
      <c r="E2153" s="105">
        <v>1</v>
      </c>
      <c r="F2153" s="106" t="s">
        <v>2024</v>
      </c>
      <c r="G2153" s="8"/>
      <c r="H2153" s="8"/>
      <c r="I2153" s="107">
        <v>0</v>
      </c>
      <c r="J2153" s="8" t="s">
        <v>3580</v>
      </c>
    </row>
    <row r="2154" spans="1:10" ht="16.5" customHeight="1" x14ac:dyDescent="0.25">
      <c r="A2154" s="8" t="s">
        <v>8018</v>
      </c>
      <c r="B2154" s="8" t="s">
        <v>8019</v>
      </c>
      <c r="C2154" s="8" t="s">
        <v>8020</v>
      </c>
      <c r="D2154" s="8" t="s">
        <v>8019</v>
      </c>
      <c r="E2154" s="105">
        <v>1</v>
      </c>
      <c r="F2154" s="106" t="s">
        <v>2024</v>
      </c>
      <c r="G2154" s="8"/>
      <c r="H2154" s="8"/>
      <c r="I2154" s="107">
        <v>0</v>
      </c>
      <c r="J2154" s="8" t="s">
        <v>3580</v>
      </c>
    </row>
    <row r="2155" spans="1:10" ht="16.5" customHeight="1" x14ac:dyDescent="0.25">
      <c r="A2155" s="8" t="s">
        <v>8021</v>
      </c>
      <c r="B2155" s="8" t="s">
        <v>8022</v>
      </c>
      <c r="C2155" s="8" t="s">
        <v>8023</v>
      </c>
      <c r="D2155" s="8" t="s">
        <v>8022</v>
      </c>
      <c r="E2155" s="105">
        <v>1</v>
      </c>
      <c r="F2155" s="106" t="s">
        <v>2024</v>
      </c>
      <c r="G2155" s="8"/>
      <c r="H2155" s="8"/>
      <c r="I2155" s="107">
        <v>0</v>
      </c>
      <c r="J2155" s="8" t="s">
        <v>3580</v>
      </c>
    </row>
    <row r="2156" spans="1:10" ht="16.5" customHeight="1" x14ac:dyDescent="0.25">
      <c r="A2156" s="8" t="s">
        <v>8024</v>
      </c>
      <c r="B2156" s="8" t="s">
        <v>8025</v>
      </c>
      <c r="C2156" s="8" t="s">
        <v>8026</v>
      </c>
      <c r="D2156" s="8" t="s">
        <v>8025</v>
      </c>
      <c r="E2156" s="105">
        <v>1</v>
      </c>
      <c r="F2156" s="106" t="s">
        <v>2024</v>
      </c>
      <c r="G2156" s="8"/>
      <c r="H2156" s="8"/>
      <c r="I2156" s="107">
        <v>0</v>
      </c>
      <c r="J2156" s="8" t="s">
        <v>3580</v>
      </c>
    </row>
    <row r="2157" spans="1:10" ht="16.5" customHeight="1" x14ac:dyDescent="0.25">
      <c r="A2157" s="8" t="s">
        <v>8027</v>
      </c>
      <c r="B2157" s="8" t="s">
        <v>8028</v>
      </c>
      <c r="C2157" s="8" t="s">
        <v>8029</v>
      </c>
      <c r="D2157" s="8" t="s">
        <v>8028</v>
      </c>
      <c r="E2157" s="105">
        <v>1</v>
      </c>
      <c r="F2157" s="106" t="s">
        <v>2024</v>
      </c>
      <c r="G2157" s="8"/>
      <c r="H2157" s="8"/>
      <c r="I2157" s="107">
        <v>0</v>
      </c>
      <c r="J2157" s="8" t="s">
        <v>3580</v>
      </c>
    </row>
    <row r="2158" spans="1:10" ht="16.5" customHeight="1" x14ac:dyDescent="0.25">
      <c r="A2158" s="8" t="s">
        <v>8030</v>
      </c>
      <c r="B2158" s="8" t="s">
        <v>8031</v>
      </c>
      <c r="C2158" s="8" t="s">
        <v>8032</v>
      </c>
      <c r="D2158" s="8" t="s">
        <v>8031</v>
      </c>
      <c r="E2158" s="105">
        <v>1</v>
      </c>
      <c r="F2158" s="106" t="s">
        <v>2024</v>
      </c>
      <c r="G2158" s="8"/>
      <c r="H2158" s="8"/>
      <c r="I2158" s="107">
        <v>0</v>
      </c>
      <c r="J2158" s="8" t="s">
        <v>3580</v>
      </c>
    </row>
    <row r="2159" spans="1:10" ht="16.5" customHeight="1" x14ac:dyDescent="0.25">
      <c r="A2159" s="8" t="s">
        <v>8033</v>
      </c>
      <c r="B2159" s="8" t="s">
        <v>8034</v>
      </c>
      <c r="C2159" s="8" t="s">
        <v>8035</v>
      </c>
      <c r="D2159" s="8" t="s">
        <v>8034</v>
      </c>
      <c r="E2159" s="105">
        <v>1</v>
      </c>
      <c r="F2159" s="106" t="s">
        <v>2024</v>
      </c>
      <c r="G2159" s="8"/>
      <c r="H2159" s="8"/>
      <c r="I2159" s="107">
        <v>0</v>
      </c>
      <c r="J2159" s="8" t="s">
        <v>3580</v>
      </c>
    </row>
    <row r="2160" spans="1:10" ht="16.5" customHeight="1" x14ac:dyDescent="0.25">
      <c r="A2160" s="8" t="s">
        <v>8036</v>
      </c>
      <c r="B2160" s="8" t="s">
        <v>8037</v>
      </c>
      <c r="C2160" s="8" t="s">
        <v>8038</v>
      </c>
      <c r="D2160" s="8" t="s">
        <v>8037</v>
      </c>
      <c r="E2160" s="105">
        <v>1</v>
      </c>
      <c r="F2160" s="106" t="s">
        <v>2024</v>
      </c>
      <c r="G2160" s="8"/>
      <c r="H2160" s="8"/>
      <c r="I2160" s="107">
        <v>0</v>
      </c>
      <c r="J2160" s="8" t="s">
        <v>3580</v>
      </c>
    </row>
    <row r="2161" spans="1:10" ht="16.5" customHeight="1" x14ac:dyDescent="0.25">
      <c r="A2161" s="8" t="s">
        <v>8039</v>
      </c>
      <c r="B2161" s="8" t="s">
        <v>8040</v>
      </c>
      <c r="C2161" s="8" t="s">
        <v>8041</v>
      </c>
      <c r="D2161" s="8" t="s">
        <v>8040</v>
      </c>
      <c r="E2161" s="105">
        <v>1</v>
      </c>
      <c r="F2161" s="106" t="s">
        <v>2024</v>
      </c>
      <c r="G2161" s="8"/>
      <c r="H2161" s="8"/>
      <c r="I2161" s="107">
        <v>0</v>
      </c>
      <c r="J2161" s="8" t="s">
        <v>3580</v>
      </c>
    </row>
    <row r="2162" spans="1:10" ht="16.5" customHeight="1" x14ac:dyDescent="0.25">
      <c r="A2162" s="8" t="s">
        <v>8042</v>
      </c>
      <c r="B2162" s="8" t="s">
        <v>8043</v>
      </c>
      <c r="C2162" s="8" t="s">
        <v>8044</v>
      </c>
      <c r="D2162" s="8" t="s">
        <v>8043</v>
      </c>
      <c r="E2162" s="105">
        <v>1</v>
      </c>
      <c r="F2162" s="106" t="s">
        <v>2024</v>
      </c>
      <c r="G2162" s="8"/>
      <c r="H2162" s="8"/>
      <c r="I2162" s="107">
        <v>0</v>
      </c>
      <c r="J2162" s="8" t="s">
        <v>3580</v>
      </c>
    </row>
    <row r="2163" spans="1:10" ht="16.5" customHeight="1" x14ac:dyDescent="0.25">
      <c r="A2163" s="8" t="s">
        <v>8045</v>
      </c>
      <c r="B2163" s="8" t="s">
        <v>8046</v>
      </c>
      <c r="C2163" s="8" t="s">
        <v>8047</v>
      </c>
      <c r="D2163" s="8" t="s">
        <v>8046</v>
      </c>
      <c r="E2163" s="105">
        <v>1</v>
      </c>
      <c r="F2163" s="106" t="s">
        <v>2024</v>
      </c>
      <c r="G2163" s="8"/>
      <c r="H2163" s="8"/>
      <c r="I2163" s="107">
        <v>0</v>
      </c>
      <c r="J2163" s="8" t="s">
        <v>3580</v>
      </c>
    </row>
    <row r="2164" spans="1:10" ht="16.5" customHeight="1" x14ac:dyDescent="0.25">
      <c r="A2164" s="8" t="s">
        <v>8048</v>
      </c>
      <c r="B2164" s="8" t="s">
        <v>8049</v>
      </c>
      <c r="C2164" s="8" t="s">
        <v>8050</v>
      </c>
      <c r="D2164" s="8" t="s">
        <v>8049</v>
      </c>
      <c r="E2164" s="105">
        <v>1</v>
      </c>
      <c r="F2164" s="106" t="s">
        <v>2024</v>
      </c>
      <c r="G2164" s="8"/>
      <c r="H2164" s="8"/>
      <c r="I2164" s="107">
        <v>0</v>
      </c>
      <c r="J2164" s="8" t="s">
        <v>3580</v>
      </c>
    </row>
    <row r="2165" spans="1:10" ht="16.5" customHeight="1" x14ac:dyDescent="0.25">
      <c r="A2165" s="8" t="s">
        <v>8051</v>
      </c>
      <c r="B2165" s="8" t="s">
        <v>8052</v>
      </c>
      <c r="C2165" s="8" t="s">
        <v>8053</v>
      </c>
      <c r="D2165" s="8" t="s">
        <v>8052</v>
      </c>
      <c r="E2165" s="105">
        <v>1</v>
      </c>
      <c r="F2165" s="106" t="s">
        <v>2024</v>
      </c>
      <c r="G2165" s="8"/>
      <c r="H2165" s="8"/>
      <c r="I2165" s="107">
        <v>0</v>
      </c>
      <c r="J2165" s="8" t="s">
        <v>3580</v>
      </c>
    </row>
    <row r="2166" spans="1:10" ht="16.5" customHeight="1" x14ac:dyDescent="0.25">
      <c r="A2166" s="8" t="s">
        <v>8054</v>
      </c>
      <c r="B2166" s="8" t="s">
        <v>8055</v>
      </c>
      <c r="C2166" s="8" t="s">
        <v>8056</v>
      </c>
      <c r="D2166" s="8" t="s">
        <v>8055</v>
      </c>
      <c r="E2166" s="105">
        <v>20</v>
      </c>
      <c r="F2166" s="106" t="s">
        <v>2018</v>
      </c>
      <c r="G2166" s="8"/>
      <c r="H2166" s="8"/>
      <c r="I2166" s="107">
        <v>0</v>
      </c>
      <c r="J2166" s="8" t="s">
        <v>2019</v>
      </c>
    </row>
    <row r="2167" spans="1:10" ht="16.5" customHeight="1" x14ac:dyDescent="0.25">
      <c r="A2167" s="8" t="s">
        <v>8057</v>
      </c>
      <c r="B2167" s="8" t="s">
        <v>8058</v>
      </c>
      <c r="C2167" s="8" t="s">
        <v>8059</v>
      </c>
      <c r="D2167" s="8" t="s">
        <v>8058</v>
      </c>
      <c r="E2167" s="105">
        <v>0</v>
      </c>
      <c r="F2167" s="106" t="s">
        <v>2024</v>
      </c>
      <c r="G2167" s="8"/>
      <c r="H2167" s="8"/>
      <c r="I2167" s="107">
        <v>0</v>
      </c>
      <c r="J2167" s="8" t="s">
        <v>4722</v>
      </c>
    </row>
    <row r="2168" spans="1:10" ht="16.5" customHeight="1" x14ac:dyDescent="0.25">
      <c r="A2168" s="8" t="s">
        <v>8060</v>
      </c>
      <c r="B2168" s="8" t="s">
        <v>7956</v>
      </c>
      <c r="C2168" s="8" t="s">
        <v>8061</v>
      </c>
      <c r="D2168" s="8" t="s">
        <v>7956</v>
      </c>
      <c r="E2168" s="105">
        <v>0</v>
      </c>
      <c r="F2168" s="106" t="s">
        <v>2024</v>
      </c>
      <c r="G2168" s="8"/>
      <c r="H2168" s="8"/>
      <c r="I2168" s="107">
        <v>0</v>
      </c>
      <c r="J2168" s="8" t="s">
        <v>4722</v>
      </c>
    </row>
    <row r="2169" spans="1:10" ht="16.5" customHeight="1" x14ac:dyDescent="0.25">
      <c r="A2169" s="8" t="s">
        <v>8062</v>
      </c>
      <c r="B2169" s="8" t="s">
        <v>8063</v>
      </c>
      <c r="C2169" s="8" t="s">
        <v>7963</v>
      </c>
      <c r="D2169" s="8" t="s">
        <v>8063</v>
      </c>
      <c r="E2169" s="105">
        <v>0</v>
      </c>
      <c r="F2169" s="106" t="s">
        <v>2024</v>
      </c>
      <c r="G2169" s="8"/>
      <c r="H2169" s="8"/>
      <c r="I2169" s="107">
        <v>0</v>
      </c>
      <c r="J2169" s="8" t="s">
        <v>4722</v>
      </c>
    </row>
    <row r="2170" spans="1:10" ht="16.5" customHeight="1" x14ac:dyDescent="0.25">
      <c r="A2170" s="8" t="s">
        <v>8064</v>
      </c>
      <c r="B2170" s="8" t="s">
        <v>8065</v>
      </c>
      <c r="C2170" s="8" t="s">
        <v>8066</v>
      </c>
      <c r="D2170" s="8" t="s">
        <v>8065</v>
      </c>
      <c r="E2170" s="105">
        <v>10</v>
      </c>
      <c r="F2170" s="106" t="s">
        <v>2024</v>
      </c>
      <c r="G2170" s="8"/>
      <c r="H2170" s="8"/>
      <c r="I2170" s="107">
        <v>0</v>
      </c>
      <c r="J2170" s="8" t="s">
        <v>4722</v>
      </c>
    </row>
    <row r="2171" spans="1:10" ht="16.5" customHeight="1" x14ac:dyDescent="0.25">
      <c r="A2171" s="8" t="s">
        <v>8067</v>
      </c>
      <c r="B2171" s="8" t="s">
        <v>8068</v>
      </c>
      <c r="C2171" s="8" t="s">
        <v>8069</v>
      </c>
      <c r="D2171" s="8" t="s">
        <v>8068</v>
      </c>
      <c r="E2171" s="105">
        <v>9.6</v>
      </c>
      <c r="F2171" s="106" t="s">
        <v>2024</v>
      </c>
      <c r="G2171" s="8"/>
      <c r="H2171" s="8"/>
      <c r="I2171" s="107">
        <v>0</v>
      </c>
      <c r="J2171" s="8" t="s">
        <v>5671</v>
      </c>
    </row>
    <row r="2172" spans="1:10" ht="16.5" customHeight="1" x14ac:dyDescent="0.25">
      <c r="A2172" s="8" t="s">
        <v>8070</v>
      </c>
      <c r="B2172" s="8" t="s">
        <v>8071</v>
      </c>
      <c r="C2172" s="8" t="s">
        <v>8072</v>
      </c>
      <c r="D2172" s="8" t="s">
        <v>8071</v>
      </c>
      <c r="E2172" s="105">
        <v>0</v>
      </c>
      <c r="F2172" s="106" t="s">
        <v>2024</v>
      </c>
      <c r="G2172" s="8"/>
      <c r="H2172" s="8"/>
      <c r="I2172" s="107">
        <v>0</v>
      </c>
      <c r="J2172" s="8" t="s">
        <v>2019</v>
      </c>
    </row>
    <row r="2173" spans="1:10" ht="16.5" customHeight="1" x14ac:dyDescent="0.25">
      <c r="A2173" s="8" t="s">
        <v>8073</v>
      </c>
      <c r="B2173" s="8" t="s">
        <v>8074</v>
      </c>
      <c r="C2173" s="8" t="s">
        <v>8075</v>
      </c>
      <c r="D2173" s="8" t="s">
        <v>8074</v>
      </c>
      <c r="E2173" s="105">
        <v>7.28</v>
      </c>
      <c r="F2173" s="106" t="s">
        <v>2024</v>
      </c>
      <c r="G2173" s="8"/>
      <c r="H2173" s="8"/>
      <c r="I2173" s="107">
        <v>0</v>
      </c>
      <c r="J2173" s="8" t="s">
        <v>2019</v>
      </c>
    </row>
    <row r="2174" spans="1:10" ht="16.5" customHeight="1" x14ac:dyDescent="0.25">
      <c r="A2174" s="8" t="s">
        <v>8076</v>
      </c>
      <c r="B2174" s="8" t="s">
        <v>8077</v>
      </c>
      <c r="C2174" s="8" t="s">
        <v>8078</v>
      </c>
      <c r="D2174" s="8" t="s">
        <v>8077</v>
      </c>
      <c r="E2174" s="105">
        <v>0.3</v>
      </c>
      <c r="F2174" s="106" t="s">
        <v>2024</v>
      </c>
      <c r="G2174" s="8"/>
      <c r="H2174" s="8"/>
      <c r="I2174" s="107">
        <v>0</v>
      </c>
      <c r="J2174" s="8" t="s">
        <v>5779</v>
      </c>
    </row>
    <row r="2175" spans="1:10" ht="16.5" customHeight="1" x14ac:dyDescent="0.25">
      <c r="A2175" s="8" t="s">
        <v>8079</v>
      </c>
      <c r="B2175" s="8" t="s">
        <v>8080</v>
      </c>
      <c r="C2175" s="8" t="s">
        <v>8081</v>
      </c>
      <c r="D2175" s="8" t="s">
        <v>8080</v>
      </c>
      <c r="E2175" s="105">
        <v>0.1</v>
      </c>
      <c r="F2175" s="106" t="s">
        <v>2024</v>
      </c>
      <c r="G2175" s="8"/>
      <c r="H2175" s="8"/>
      <c r="I2175" s="107">
        <v>0</v>
      </c>
      <c r="J2175" s="8" t="s">
        <v>4789</v>
      </c>
    </row>
    <row r="2176" spans="1:10" ht="16.5" customHeight="1" x14ac:dyDescent="0.25">
      <c r="A2176" s="8" t="s">
        <v>8082</v>
      </c>
      <c r="B2176" s="8" t="s">
        <v>8083</v>
      </c>
      <c r="C2176" s="8" t="s">
        <v>8084</v>
      </c>
      <c r="D2176" s="8" t="s">
        <v>8083</v>
      </c>
      <c r="E2176" s="105">
        <v>1</v>
      </c>
      <c r="F2176" s="106" t="s">
        <v>2024</v>
      </c>
      <c r="G2176" s="8"/>
      <c r="H2176" s="8"/>
      <c r="I2176" s="107">
        <v>0</v>
      </c>
      <c r="J2176" s="8" t="s">
        <v>3580</v>
      </c>
    </row>
    <row r="2177" spans="1:10" ht="16.5" customHeight="1" x14ac:dyDescent="0.25">
      <c r="A2177" s="8" t="s">
        <v>8085</v>
      </c>
      <c r="B2177" s="8" t="s">
        <v>8086</v>
      </c>
      <c r="C2177" s="8" t="s">
        <v>8087</v>
      </c>
      <c r="D2177" s="8" t="s">
        <v>8086</v>
      </c>
      <c r="E2177" s="105">
        <v>12</v>
      </c>
      <c r="F2177" s="106" t="s">
        <v>2024</v>
      </c>
      <c r="G2177" s="8"/>
      <c r="H2177" s="8"/>
      <c r="I2177" s="107">
        <v>0</v>
      </c>
      <c r="J2177" s="8" t="s">
        <v>8088</v>
      </c>
    </row>
    <row r="2178" spans="1:10" ht="16.5" customHeight="1" x14ac:dyDescent="0.25">
      <c r="A2178" s="8" t="s">
        <v>8089</v>
      </c>
      <c r="B2178" s="8" t="s">
        <v>8090</v>
      </c>
      <c r="C2178" s="8" t="s">
        <v>8091</v>
      </c>
      <c r="D2178" s="8" t="s">
        <v>8090</v>
      </c>
      <c r="E2178" s="105">
        <v>1</v>
      </c>
      <c r="F2178" s="106" t="s">
        <v>2024</v>
      </c>
      <c r="G2178" s="8"/>
      <c r="H2178" s="8"/>
      <c r="I2178" s="107">
        <v>0</v>
      </c>
      <c r="J2178" s="8" t="s">
        <v>8088</v>
      </c>
    </row>
    <row r="2179" spans="1:10" ht="16.5" customHeight="1" x14ac:dyDescent="0.25">
      <c r="A2179" s="8" t="s">
        <v>8092</v>
      </c>
      <c r="B2179" s="8" t="s">
        <v>8093</v>
      </c>
      <c r="C2179" s="8" t="s">
        <v>140</v>
      </c>
      <c r="D2179" s="8" t="s">
        <v>8093</v>
      </c>
      <c r="E2179" s="105">
        <v>12</v>
      </c>
      <c r="F2179" s="106" t="s">
        <v>2024</v>
      </c>
      <c r="G2179" s="8"/>
      <c r="H2179" s="8"/>
      <c r="I2179" s="107">
        <v>0</v>
      </c>
      <c r="J2179" s="8" t="s">
        <v>8088</v>
      </c>
    </row>
    <row r="2180" spans="1:10" ht="16.5" customHeight="1" x14ac:dyDescent="0.25">
      <c r="A2180" s="8" t="s">
        <v>8094</v>
      </c>
      <c r="B2180" s="8" t="s">
        <v>8095</v>
      </c>
      <c r="C2180" s="8" t="s">
        <v>8096</v>
      </c>
      <c r="D2180" s="8" t="s">
        <v>8095</v>
      </c>
      <c r="E2180" s="105">
        <v>1</v>
      </c>
      <c r="F2180" s="106" t="s">
        <v>2024</v>
      </c>
      <c r="G2180" s="8"/>
      <c r="H2180" s="8"/>
      <c r="I2180" s="107">
        <v>0</v>
      </c>
      <c r="J2180" s="8" t="s">
        <v>8097</v>
      </c>
    </row>
    <row r="2181" spans="1:10" ht="16.5" customHeight="1" x14ac:dyDescent="0.25">
      <c r="A2181" s="8" t="s">
        <v>8098</v>
      </c>
      <c r="B2181" s="8" t="s">
        <v>8099</v>
      </c>
      <c r="C2181" s="8" t="s">
        <v>8100</v>
      </c>
      <c r="D2181" s="8" t="s">
        <v>8099</v>
      </c>
      <c r="E2181" s="105">
        <v>12</v>
      </c>
      <c r="F2181" s="106" t="s">
        <v>2024</v>
      </c>
      <c r="G2181" s="8"/>
      <c r="H2181" s="8"/>
      <c r="I2181" s="107">
        <v>0</v>
      </c>
      <c r="J2181" s="8" t="s">
        <v>8088</v>
      </c>
    </row>
    <row r="2182" spans="1:10" ht="16.5" customHeight="1" x14ac:dyDescent="0.25">
      <c r="A2182" s="8" t="s">
        <v>8101</v>
      </c>
      <c r="B2182" s="8" t="s">
        <v>8102</v>
      </c>
      <c r="C2182" s="8" t="s">
        <v>8103</v>
      </c>
      <c r="D2182" s="8" t="s">
        <v>8102</v>
      </c>
      <c r="E2182" s="105">
        <v>1</v>
      </c>
      <c r="F2182" s="106" t="s">
        <v>2024</v>
      </c>
      <c r="G2182" s="8"/>
      <c r="H2182" s="8"/>
      <c r="I2182" s="107">
        <v>0</v>
      </c>
      <c r="J2182" s="8" t="s">
        <v>8088</v>
      </c>
    </row>
    <row r="2183" spans="1:10" ht="16.5" customHeight="1" x14ac:dyDescent="0.25">
      <c r="A2183" s="8" t="s">
        <v>8104</v>
      </c>
      <c r="B2183" s="8" t="s">
        <v>8105</v>
      </c>
      <c r="C2183" s="8" t="s">
        <v>40</v>
      </c>
      <c r="D2183" s="8" t="s">
        <v>8105</v>
      </c>
      <c r="E2183" s="105">
        <v>12</v>
      </c>
      <c r="F2183" s="106" t="s">
        <v>2024</v>
      </c>
      <c r="G2183" s="8"/>
      <c r="H2183" s="8"/>
      <c r="I2183" s="107">
        <v>0</v>
      </c>
      <c r="J2183" s="8" t="s">
        <v>8097</v>
      </c>
    </row>
    <row r="2184" spans="1:10" ht="16.5" customHeight="1" x14ac:dyDescent="0.25">
      <c r="A2184" s="8" t="s">
        <v>8106</v>
      </c>
      <c r="B2184" s="8" t="s">
        <v>8107</v>
      </c>
      <c r="C2184" s="8" t="s">
        <v>8108</v>
      </c>
      <c r="D2184" s="8" t="s">
        <v>8107</v>
      </c>
      <c r="E2184" s="105">
        <v>1</v>
      </c>
      <c r="F2184" s="106" t="s">
        <v>2024</v>
      </c>
      <c r="G2184" s="8"/>
      <c r="H2184" s="8"/>
      <c r="I2184" s="107">
        <v>0</v>
      </c>
      <c r="J2184" s="8" t="s">
        <v>8088</v>
      </c>
    </row>
    <row r="2185" spans="1:10" ht="16.5" customHeight="1" x14ac:dyDescent="0.25">
      <c r="A2185" s="8" t="s">
        <v>8109</v>
      </c>
      <c r="B2185" s="8" t="s">
        <v>8110</v>
      </c>
      <c r="C2185" s="8" t="s">
        <v>8111</v>
      </c>
      <c r="D2185" s="8" t="s">
        <v>8110</v>
      </c>
      <c r="E2185" s="105">
        <v>4.8</v>
      </c>
      <c r="F2185" s="106" t="s">
        <v>2024</v>
      </c>
      <c r="G2185" s="8"/>
      <c r="H2185" s="8"/>
      <c r="I2185" s="107">
        <v>0</v>
      </c>
      <c r="J2185" s="8" t="s">
        <v>8088</v>
      </c>
    </row>
    <row r="2186" spans="1:10" ht="16.5" customHeight="1" x14ac:dyDescent="0.25">
      <c r="A2186" s="8" t="s">
        <v>8112</v>
      </c>
      <c r="B2186" s="8" t="s">
        <v>8113</v>
      </c>
      <c r="C2186" s="8" t="s">
        <v>8114</v>
      </c>
      <c r="D2186" s="8" t="s">
        <v>8113</v>
      </c>
      <c r="E2186" s="105">
        <v>0.2</v>
      </c>
      <c r="F2186" s="106" t="s">
        <v>2024</v>
      </c>
      <c r="G2186" s="8"/>
      <c r="H2186" s="8"/>
      <c r="I2186" s="107">
        <v>0</v>
      </c>
      <c r="J2186" s="8" t="s">
        <v>8088</v>
      </c>
    </row>
    <row r="2187" spans="1:10" ht="16.5" customHeight="1" x14ac:dyDescent="0.25">
      <c r="A2187" s="8" t="s">
        <v>8115</v>
      </c>
      <c r="B2187" s="8" t="s">
        <v>8116</v>
      </c>
      <c r="C2187" s="8" t="s">
        <v>8117</v>
      </c>
      <c r="D2187" s="8" t="s">
        <v>8116</v>
      </c>
      <c r="E2187" s="105">
        <v>4.8</v>
      </c>
      <c r="F2187" s="106" t="s">
        <v>2024</v>
      </c>
      <c r="G2187" s="8"/>
      <c r="H2187" s="8"/>
      <c r="I2187" s="107">
        <v>0</v>
      </c>
      <c r="J2187" s="8" t="s">
        <v>8088</v>
      </c>
    </row>
    <row r="2188" spans="1:10" ht="16.5" customHeight="1" x14ac:dyDescent="0.25">
      <c r="A2188" s="8" t="s">
        <v>8118</v>
      </c>
      <c r="B2188" s="8" t="s">
        <v>8119</v>
      </c>
      <c r="C2188" s="8" t="s">
        <v>8120</v>
      </c>
      <c r="D2188" s="8" t="s">
        <v>8119</v>
      </c>
      <c r="E2188" s="105">
        <v>0.2</v>
      </c>
      <c r="F2188" s="106" t="s">
        <v>2024</v>
      </c>
      <c r="G2188" s="8"/>
      <c r="H2188" s="8"/>
      <c r="I2188" s="107">
        <v>0</v>
      </c>
      <c r="J2188" s="8" t="s">
        <v>8088</v>
      </c>
    </row>
    <row r="2189" spans="1:10" ht="16.5" customHeight="1" x14ac:dyDescent="0.25">
      <c r="A2189" s="8" t="s">
        <v>8121</v>
      </c>
      <c r="B2189" s="8" t="s">
        <v>8122</v>
      </c>
      <c r="C2189" s="8" t="s">
        <v>8123</v>
      </c>
      <c r="D2189" s="8" t="s">
        <v>8122</v>
      </c>
      <c r="E2189" s="105">
        <v>4.8</v>
      </c>
      <c r="F2189" s="106" t="s">
        <v>2024</v>
      </c>
      <c r="G2189" s="8"/>
      <c r="H2189" s="8"/>
      <c r="I2189" s="107">
        <v>0</v>
      </c>
      <c r="J2189" s="8" t="s">
        <v>8088</v>
      </c>
    </row>
    <row r="2190" spans="1:10" ht="16.5" customHeight="1" x14ac:dyDescent="0.25">
      <c r="A2190" s="8" t="s">
        <v>8124</v>
      </c>
      <c r="B2190" s="8" t="s">
        <v>8125</v>
      </c>
      <c r="C2190" s="8" t="s">
        <v>8126</v>
      </c>
      <c r="D2190" s="8" t="s">
        <v>8125</v>
      </c>
      <c r="E2190" s="105">
        <v>0.2</v>
      </c>
      <c r="F2190" s="106" t="s">
        <v>2024</v>
      </c>
      <c r="G2190" s="8"/>
      <c r="H2190" s="8"/>
      <c r="I2190" s="107">
        <v>0</v>
      </c>
      <c r="J2190" s="8" t="s">
        <v>8088</v>
      </c>
    </row>
    <row r="2191" spans="1:10" ht="16.5" customHeight="1" x14ac:dyDescent="0.25">
      <c r="A2191" s="8" t="s">
        <v>8127</v>
      </c>
      <c r="B2191" s="8" t="s">
        <v>8128</v>
      </c>
      <c r="C2191" s="8" t="s">
        <v>8129</v>
      </c>
      <c r="D2191" s="8" t="s">
        <v>8128</v>
      </c>
      <c r="E2191" s="105">
        <v>4.8</v>
      </c>
      <c r="F2191" s="106" t="s">
        <v>2024</v>
      </c>
      <c r="G2191" s="8"/>
      <c r="H2191" s="8"/>
      <c r="I2191" s="107">
        <v>0</v>
      </c>
      <c r="J2191" s="8" t="s">
        <v>8088</v>
      </c>
    </row>
    <row r="2192" spans="1:10" ht="16.5" customHeight="1" x14ac:dyDescent="0.25">
      <c r="A2192" s="8" t="s">
        <v>8130</v>
      </c>
      <c r="B2192" s="8" t="s">
        <v>8131</v>
      </c>
      <c r="C2192" s="8" t="s">
        <v>8132</v>
      </c>
      <c r="D2192" s="8" t="s">
        <v>8131</v>
      </c>
      <c r="E2192" s="105">
        <v>0.2</v>
      </c>
      <c r="F2192" s="106" t="s">
        <v>2024</v>
      </c>
      <c r="G2192" s="8"/>
      <c r="H2192" s="8"/>
      <c r="I2192" s="107">
        <v>0</v>
      </c>
      <c r="J2192" s="8" t="s">
        <v>8088</v>
      </c>
    </row>
    <row r="2193" spans="1:10" ht="16.5" customHeight="1" x14ac:dyDescent="0.25">
      <c r="A2193" s="8" t="s">
        <v>8133</v>
      </c>
      <c r="B2193" s="8" t="s">
        <v>8134</v>
      </c>
      <c r="C2193" s="8" t="s">
        <v>8135</v>
      </c>
      <c r="D2193" s="8" t="s">
        <v>8134</v>
      </c>
      <c r="E2193" s="105">
        <v>4.8</v>
      </c>
      <c r="F2193" s="106" t="s">
        <v>2024</v>
      </c>
      <c r="G2193" s="8"/>
      <c r="H2193" s="8"/>
      <c r="I2193" s="107">
        <v>0</v>
      </c>
      <c r="J2193" s="8" t="s">
        <v>8088</v>
      </c>
    </row>
    <row r="2194" spans="1:10" ht="16.5" customHeight="1" x14ac:dyDescent="0.25">
      <c r="A2194" s="8" t="s">
        <v>8136</v>
      </c>
      <c r="B2194" s="8" t="s">
        <v>8137</v>
      </c>
      <c r="C2194" s="8" t="s">
        <v>8138</v>
      </c>
      <c r="D2194" s="8" t="s">
        <v>8137</v>
      </c>
      <c r="E2194" s="105">
        <v>0.2</v>
      </c>
      <c r="F2194" s="106" t="s">
        <v>2024</v>
      </c>
      <c r="G2194" s="8"/>
      <c r="H2194" s="8"/>
      <c r="I2194" s="107">
        <v>0</v>
      </c>
      <c r="J2194" s="8" t="s">
        <v>8088</v>
      </c>
    </row>
    <row r="2195" spans="1:10" ht="16.5" customHeight="1" x14ac:dyDescent="0.25">
      <c r="A2195" s="8" t="s">
        <v>8139</v>
      </c>
      <c r="B2195" s="8" t="s">
        <v>8140</v>
      </c>
      <c r="C2195" s="8" t="s">
        <v>8141</v>
      </c>
      <c r="D2195" s="8" t="s">
        <v>8140</v>
      </c>
      <c r="E2195" s="105">
        <v>1</v>
      </c>
      <c r="F2195" s="106" t="s">
        <v>2024</v>
      </c>
      <c r="G2195" s="8"/>
      <c r="H2195" s="8"/>
      <c r="I2195" s="107">
        <v>0</v>
      </c>
      <c r="J2195" s="8" t="s">
        <v>3580</v>
      </c>
    </row>
    <row r="2196" spans="1:10" ht="16.5" customHeight="1" x14ac:dyDescent="0.25">
      <c r="A2196" s="8" t="s">
        <v>8142</v>
      </c>
      <c r="B2196" s="8" t="s">
        <v>8143</v>
      </c>
      <c r="C2196" s="8" t="s">
        <v>1615</v>
      </c>
      <c r="D2196" s="8" t="s">
        <v>8143</v>
      </c>
      <c r="E2196" s="105">
        <v>6.48</v>
      </c>
      <c r="F2196" s="106" t="s">
        <v>2024</v>
      </c>
      <c r="G2196" s="8" t="s">
        <v>1541</v>
      </c>
      <c r="H2196" s="8" t="s">
        <v>8144</v>
      </c>
      <c r="I2196" s="107">
        <v>24</v>
      </c>
      <c r="J2196" s="8" t="s">
        <v>5929</v>
      </c>
    </row>
    <row r="2197" spans="1:10" ht="16.5" customHeight="1" x14ac:dyDescent="0.25">
      <c r="A2197" s="8" t="s">
        <v>8144</v>
      </c>
      <c r="B2197" s="8" t="s">
        <v>8145</v>
      </c>
      <c r="C2197" s="8" t="s">
        <v>8146</v>
      </c>
      <c r="D2197" s="8" t="s">
        <v>8145</v>
      </c>
      <c r="E2197" s="105">
        <v>0.27</v>
      </c>
      <c r="F2197" s="106" t="s">
        <v>2024</v>
      </c>
      <c r="G2197" s="8" t="s">
        <v>1541</v>
      </c>
      <c r="H2197" s="8"/>
      <c r="I2197" s="107">
        <v>0</v>
      </c>
      <c r="J2197" s="8" t="s">
        <v>5929</v>
      </c>
    </row>
    <row r="2198" spans="1:10" ht="16.5" customHeight="1" x14ac:dyDescent="0.25">
      <c r="A2198" s="8" t="s">
        <v>8147</v>
      </c>
      <c r="B2198" s="8" t="s">
        <v>8148</v>
      </c>
      <c r="C2198" s="8" t="s">
        <v>8149</v>
      </c>
      <c r="D2198" s="8" t="s">
        <v>8148</v>
      </c>
      <c r="E2198" s="105">
        <v>1.4E-2</v>
      </c>
      <c r="F2198" s="106" t="s">
        <v>2024</v>
      </c>
      <c r="G2198" s="8"/>
      <c r="H2198" s="8"/>
      <c r="I2198" s="107">
        <v>0</v>
      </c>
      <c r="J2198" s="8" t="s">
        <v>4789</v>
      </c>
    </row>
    <row r="2199" spans="1:10" ht="16.5" customHeight="1" x14ac:dyDescent="0.25">
      <c r="A2199" s="8" t="s">
        <v>8150</v>
      </c>
      <c r="B2199" s="8" t="s">
        <v>8151</v>
      </c>
      <c r="C2199" s="8" t="s">
        <v>8152</v>
      </c>
      <c r="D2199" s="8" t="s">
        <v>8151</v>
      </c>
      <c r="E2199" s="105">
        <v>0</v>
      </c>
      <c r="F2199" s="106" t="s">
        <v>2024</v>
      </c>
      <c r="G2199" s="8"/>
      <c r="H2199" s="8"/>
      <c r="I2199" s="107">
        <v>0</v>
      </c>
      <c r="J2199" s="8" t="s">
        <v>4722</v>
      </c>
    </row>
    <row r="2200" spans="1:10" ht="16.5" customHeight="1" x14ac:dyDescent="0.25">
      <c r="A2200" s="8" t="s">
        <v>8153</v>
      </c>
      <c r="B2200" s="8" t="s">
        <v>8154</v>
      </c>
      <c r="C2200" s="8" t="s">
        <v>8155</v>
      </c>
      <c r="D2200" s="8" t="s">
        <v>8154</v>
      </c>
      <c r="E2200" s="105">
        <v>0</v>
      </c>
      <c r="F2200" s="106" t="s">
        <v>2024</v>
      </c>
      <c r="G2200" s="8"/>
      <c r="H2200" s="8"/>
      <c r="I2200" s="107">
        <v>0</v>
      </c>
      <c r="J2200" s="8" t="s">
        <v>4722</v>
      </c>
    </row>
    <row r="2201" spans="1:10" ht="16.5" customHeight="1" x14ac:dyDescent="0.25">
      <c r="A2201" s="8" t="s">
        <v>8156</v>
      </c>
      <c r="B2201" s="8" t="s">
        <v>8157</v>
      </c>
      <c r="C2201" s="8" t="s">
        <v>8158</v>
      </c>
      <c r="D2201" s="8" t="s">
        <v>8157</v>
      </c>
      <c r="E2201" s="105">
        <v>0</v>
      </c>
      <c r="F2201" s="106" t="s">
        <v>2024</v>
      </c>
      <c r="G2201" s="8"/>
      <c r="H2201" s="8"/>
      <c r="I2201" s="107">
        <v>0</v>
      </c>
      <c r="J2201" s="8" t="s">
        <v>4722</v>
      </c>
    </row>
    <row r="2202" spans="1:10" ht="16.5" customHeight="1" x14ac:dyDescent="0.25">
      <c r="A2202" s="8" t="s">
        <v>8159</v>
      </c>
      <c r="B2202" s="8" t="s">
        <v>8160</v>
      </c>
      <c r="C2202" s="8" t="s">
        <v>8161</v>
      </c>
      <c r="D2202" s="8" t="s">
        <v>8160</v>
      </c>
      <c r="E2202" s="105">
        <v>0</v>
      </c>
      <c r="F2202" s="106" t="s">
        <v>2024</v>
      </c>
      <c r="G2202" s="8"/>
      <c r="H2202" s="8"/>
      <c r="I2202" s="107">
        <v>0</v>
      </c>
      <c r="J2202" s="8" t="s">
        <v>4722</v>
      </c>
    </row>
    <row r="2203" spans="1:10" ht="16.5" customHeight="1" x14ac:dyDescent="0.25">
      <c r="A2203" s="8" t="s">
        <v>8162</v>
      </c>
      <c r="B2203" s="8" t="s">
        <v>8163</v>
      </c>
      <c r="C2203" s="8" t="s">
        <v>8164</v>
      </c>
      <c r="D2203" s="8" t="s">
        <v>8163</v>
      </c>
      <c r="E2203" s="105">
        <v>0</v>
      </c>
      <c r="F2203" s="106" t="s">
        <v>2024</v>
      </c>
      <c r="G2203" s="8"/>
      <c r="H2203" s="8"/>
      <c r="I2203" s="107">
        <v>0</v>
      </c>
      <c r="J2203" s="8" t="s">
        <v>4722</v>
      </c>
    </row>
    <row r="2204" spans="1:10" ht="16.5" customHeight="1" x14ac:dyDescent="0.25">
      <c r="A2204" s="8" t="s">
        <v>8165</v>
      </c>
      <c r="B2204" s="8" t="s">
        <v>8166</v>
      </c>
      <c r="C2204" s="8" t="s">
        <v>8166</v>
      </c>
      <c r="D2204" s="8" t="s">
        <v>8166</v>
      </c>
      <c r="E2204" s="105">
        <v>0</v>
      </c>
      <c r="F2204" s="106" t="s">
        <v>2024</v>
      </c>
      <c r="G2204" s="8"/>
      <c r="H2204" s="8"/>
      <c r="I2204" s="107">
        <v>0</v>
      </c>
      <c r="J2204" s="8" t="s">
        <v>4722</v>
      </c>
    </row>
    <row r="2205" spans="1:10" ht="16.5" customHeight="1" x14ac:dyDescent="0.25">
      <c r="A2205" s="8" t="s">
        <v>8167</v>
      </c>
      <c r="B2205" s="8" t="s">
        <v>8168</v>
      </c>
      <c r="C2205" s="8" t="s">
        <v>8169</v>
      </c>
      <c r="D2205" s="8" t="s">
        <v>8168</v>
      </c>
      <c r="E2205" s="105">
        <v>0</v>
      </c>
      <c r="F2205" s="106" t="s">
        <v>2024</v>
      </c>
      <c r="G2205" s="8"/>
      <c r="H2205" s="8"/>
      <c r="I2205" s="107">
        <v>0</v>
      </c>
      <c r="J2205" s="8" t="s">
        <v>4722</v>
      </c>
    </row>
    <row r="2206" spans="1:10" ht="16.5" customHeight="1" x14ac:dyDescent="0.25">
      <c r="A2206" s="8" t="s">
        <v>8170</v>
      </c>
      <c r="B2206" s="8" t="s">
        <v>8171</v>
      </c>
      <c r="C2206" s="8" t="s">
        <v>8171</v>
      </c>
      <c r="D2206" s="8" t="s">
        <v>8171</v>
      </c>
      <c r="E2206" s="105">
        <v>0</v>
      </c>
      <c r="F2206" s="106" t="s">
        <v>2024</v>
      </c>
      <c r="G2206" s="8"/>
      <c r="H2206" s="8"/>
      <c r="I2206" s="107">
        <v>0</v>
      </c>
      <c r="J2206" s="8" t="s">
        <v>4722</v>
      </c>
    </row>
    <row r="2207" spans="1:10" ht="16.5" customHeight="1" x14ac:dyDescent="0.25">
      <c r="A2207" s="8" t="s">
        <v>8172</v>
      </c>
      <c r="B2207" s="8" t="s">
        <v>8173</v>
      </c>
      <c r="C2207" s="8" t="s">
        <v>8174</v>
      </c>
      <c r="D2207" s="8" t="s">
        <v>8173</v>
      </c>
      <c r="E2207" s="105">
        <v>0</v>
      </c>
      <c r="F2207" s="106" t="s">
        <v>2024</v>
      </c>
      <c r="G2207" s="8"/>
      <c r="H2207" s="8"/>
      <c r="I2207" s="107">
        <v>0</v>
      </c>
      <c r="J2207" s="8" t="s">
        <v>4722</v>
      </c>
    </row>
    <row r="2208" spans="1:10" ht="16.5" customHeight="1" x14ac:dyDescent="0.25">
      <c r="A2208" s="8" t="s">
        <v>8175</v>
      </c>
      <c r="B2208" s="8" t="s">
        <v>8176</v>
      </c>
      <c r="C2208" s="8" t="s">
        <v>8177</v>
      </c>
      <c r="D2208" s="8" t="s">
        <v>8176</v>
      </c>
      <c r="E2208" s="105">
        <v>0</v>
      </c>
      <c r="F2208" s="106" t="s">
        <v>2024</v>
      </c>
      <c r="G2208" s="8"/>
      <c r="H2208" s="8"/>
      <c r="I2208" s="107">
        <v>0</v>
      </c>
      <c r="J2208" s="8" t="s">
        <v>4722</v>
      </c>
    </row>
    <row r="2209" spans="1:10" ht="16.5" customHeight="1" x14ac:dyDescent="0.25">
      <c r="A2209" s="8" t="s">
        <v>8178</v>
      </c>
      <c r="B2209" s="8" t="s">
        <v>8179</v>
      </c>
      <c r="C2209" s="8" t="s">
        <v>7338</v>
      </c>
      <c r="D2209" s="8" t="s">
        <v>8179</v>
      </c>
      <c r="E2209" s="105">
        <v>1</v>
      </c>
      <c r="F2209" s="106" t="s">
        <v>2024</v>
      </c>
      <c r="G2209" s="8"/>
      <c r="H2209" s="8"/>
      <c r="I2209" s="107">
        <v>0</v>
      </c>
      <c r="J2209" s="8" t="s">
        <v>3695</v>
      </c>
    </row>
    <row r="2210" spans="1:10" ht="16.5" customHeight="1" x14ac:dyDescent="0.25">
      <c r="A2210" s="8" t="s">
        <v>8180</v>
      </c>
      <c r="B2210" s="8" t="s">
        <v>8181</v>
      </c>
      <c r="C2210" s="8" t="s">
        <v>7652</v>
      </c>
      <c r="D2210" s="8" t="s">
        <v>8181</v>
      </c>
      <c r="E2210" s="105">
        <v>0</v>
      </c>
      <c r="F2210" s="106" t="s">
        <v>2024</v>
      </c>
      <c r="G2210" s="8"/>
      <c r="H2210" s="8"/>
      <c r="I2210" s="107">
        <v>0</v>
      </c>
      <c r="J2210" s="8" t="s">
        <v>4722</v>
      </c>
    </row>
    <row r="2211" spans="1:10" ht="16.5" customHeight="1" x14ac:dyDescent="0.25">
      <c r="A2211" s="8" t="s">
        <v>8182</v>
      </c>
      <c r="B2211" s="8" t="s">
        <v>8183</v>
      </c>
      <c r="C2211" s="8" t="s">
        <v>8184</v>
      </c>
      <c r="D2211" s="8" t="s">
        <v>8183</v>
      </c>
      <c r="E2211" s="105">
        <v>0</v>
      </c>
      <c r="F2211" s="106" t="s">
        <v>2024</v>
      </c>
      <c r="G2211" s="8"/>
      <c r="H2211" s="8"/>
      <c r="I2211" s="107">
        <v>0</v>
      </c>
      <c r="J2211" s="8" t="s">
        <v>4722</v>
      </c>
    </row>
    <row r="2212" spans="1:10" ht="16.5" customHeight="1" x14ac:dyDescent="0.25">
      <c r="A2212" s="8" t="s">
        <v>8185</v>
      </c>
      <c r="B2212" s="8" t="s">
        <v>8186</v>
      </c>
      <c r="C2212" s="8" t="s">
        <v>8187</v>
      </c>
      <c r="D2212" s="8" t="s">
        <v>8186</v>
      </c>
      <c r="E2212" s="105">
        <v>0</v>
      </c>
      <c r="F2212" s="106" t="s">
        <v>2024</v>
      </c>
      <c r="G2212" s="8"/>
      <c r="H2212" s="8"/>
      <c r="I2212" s="107">
        <v>0</v>
      </c>
      <c r="J2212" s="8" t="s">
        <v>4722</v>
      </c>
    </row>
    <row r="2213" spans="1:10" ht="16.5" customHeight="1" x14ac:dyDescent="0.25">
      <c r="A2213" s="8" t="s">
        <v>8188</v>
      </c>
      <c r="B2213" s="8" t="s">
        <v>8189</v>
      </c>
      <c r="C2213" s="8" t="s">
        <v>8190</v>
      </c>
      <c r="D2213" s="8" t="s">
        <v>8189</v>
      </c>
      <c r="E2213" s="105">
        <v>0</v>
      </c>
      <c r="F2213" s="106" t="s">
        <v>2024</v>
      </c>
      <c r="G2213" s="8"/>
      <c r="H2213" s="8"/>
      <c r="I2213" s="107">
        <v>0</v>
      </c>
      <c r="J2213" s="8" t="s">
        <v>4722</v>
      </c>
    </row>
    <row r="2214" spans="1:10" ht="16.5" customHeight="1" x14ac:dyDescent="0.25">
      <c r="A2214" s="8" t="s">
        <v>8191</v>
      </c>
      <c r="B2214" s="8" t="s">
        <v>8192</v>
      </c>
      <c r="C2214" s="8" t="s">
        <v>8193</v>
      </c>
      <c r="D2214" s="8" t="s">
        <v>8192</v>
      </c>
      <c r="E2214" s="105">
        <v>1</v>
      </c>
      <c r="F2214" s="106" t="s">
        <v>2024</v>
      </c>
      <c r="G2214" s="8"/>
      <c r="H2214" s="8"/>
      <c r="I2214" s="107">
        <v>0</v>
      </c>
      <c r="J2214" s="8" t="s">
        <v>3580</v>
      </c>
    </row>
    <row r="2215" spans="1:10" ht="16.5" customHeight="1" x14ac:dyDescent="0.25">
      <c r="A2215" s="8" t="s">
        <v>8194</v>
      </c>
      <c r="B2215" s="8" t="s">
        <v>8195</v>
      </c>
      <c r="C2215" s="8" t="s">
        <v>8193</v>
      </c>
      <c r="D2215" s="8" t="s">
        <v>8195</v>
      </c>
      <c r="E2215" s="105">
        <v>1</v>
      </c>
      <c r="F2215" s="106" t="s">
        <v>2024</v>
      </c>
      <c r="G2215" s="8"/>
      <c r="H2215" s="8"/>
      <c r="I2215" s="107">
        <v>0</v>
      </c>
      <c r="J2215" s="8" t="s">
        <v>3580</v>
      </c>
    </row>
    <row r="2216" spans="1:10" ht="16.5" customHeight="1" x14ac:dyDescent="0.25">
      <c r="A2216" s="8" t="s">
        <v>8196</v>
      </c>
      <c r="B2216" s="8" t="s">
        <v>8197</v>
      </c>
      <c r="C2216" s="8" t="s">
        <v>8193</v>
      </c>
      <c r="D2216" s="8" t="s">
        <v>8197</v>
      </c>
      <c r="E2216" s="105">
        <v>1</v>
      </c>
      <c r="F2216" s="106" t="s">
        <v>2024</v>
      </c>
      <c r="G2216" s="8"/>
      <c r="H2216" s="8"/>
      <c r="I2216" s="107">
        <v>0</v>
      </c>
      <c r="J2216" s="8" t="s">
        <v>3580</v>
      </c>
    </row>
    <row r="2217" spans="1:10" ht="16.5" customHeight="1" x14ac:dyDescent="0.25">
      <c r="A2217" s="8" t="s">
        <v>8198</v>
      </c>
      <c r="B2217" s="8" t="s">
        <v>8199</v>
      </c>
      <c r="C2217" s="8" t="s">
        <v>8200</v>
      </c>
      <c r="D2217" s="8" t="s">
        <v>8199</v>
      </c>
      <c r="E2217" s="105">
        <v>12</v>
      </c>
      <c r="F2217" s="106" t="s">
        <v>2024</v>
      </c>
      <c r="G2217" s="8"/>
      <c r="H2217" s="8"/>
      <c r="I2217" s="107">
        <v>0</v>
      </c>
      <c r="J2217" s="8" t="s">
        <v>6357</v>
      </c>
    </row>
    <row r="2218" spans="1:10" ht="16.5" customHeight="1" x14ac:dyDescent="0.25">
      <c r="A2218" s="8" t="s">
        <v>8201</v>
      </c>
      <c r="B2218" s="8" t="s">
        <v>7676</v>
      </c>
      <c r="C2218" s="8" t="s">
        <v>8202</v>
      </c>
      <c r="D2218" s="8" t="s">
        <v>8203</v>
      </c>
      <c r="E2218" s="105">
        <v>1.5</v>
      </c>
      <c r="F2218" s="106" t="s">
        <v>2024</v>
      </c>
      <c r="G2218" s="8"/>
      <c r="H2218" s="8"/>
      <c r="I2218" s="107">
        <v>0</v>
      </c>
      <c r="J2218" s="8" t="s">
        <v>6357</v>
      </c>
    </row>
    <row r="2219" spans="1:10" ht="16.5" customHeight="1" x14ac:dyDescent="0.25">
      <c r="A2219" s="8" t="s">
        <v>8204</v>
      </c>
      <c r="B2219" s="8" t="s">
        <v>8205</v>
      </c>
      <c r="C2219" s="8" t="s">
        <v>8206</v>
      </c>
      <c r="D2219" s="8" t="s">
        <v>8205</v>
      </c>
      <c r="E2219" s="105">
        <v>15.2</v>
      </c>
      <c r="F2219" s="106" t="s">
        <v>2024</v>
      </c>
      <c r="G2219" s="8"/>
      <c r="H2219" s="8"/>
      <c r="I2219" s="107">
        <v>0</v>
      </c>
      <c r="J2219" s="8" t="s">
        <v>6357</v>
      </c>
    </row>
    <row r="2220" spans="1:10" ht="16.5" customHeight="1" x14ac:dyDescent="0.25">
      <c r="A2220" s="8" t="s">
        <v>8207</v>
      </c>
      <c r="B2220" s="8" t="s">
        <v>8208</v>
      </c>
      <c r="C2220" s="8" t="s">
        <v>8209</v>
      </c>
      <c r="D2220" s="8" t="s">
        <v>8208</v>
      </c>
      <c r="E2220" s="105">
        <v>3.8</v>
      </c>
      <c r="F2220" s="106" t="s">
        <v>2024</v>
      </c>
      <c r="G2220" s="8"/>
      <c r="H2220" s="8"/>
      <c r="I2220" s="107">
        <v>0</v>
      </c>
      <c r="J2220" s="8" t="s">
        <v>6357</v>
      </c>
    </row>
    <row r="2221" spans="1:10" ht="16.5" customHeight="1" x14ac:dyDescent="0.25">
      <c r="A2221" s="8" t="s">
        <v>8210</v>
      </c>
      <c r="B2221" s="8" t="s">
        <v>8211</v>
      </c>
      <c r="C2221" s="8" t="s">
        <v>8212</v>
      </c>
      <c r="D2221" s="8" t="s">
        <v>8211</v>
      </c>
      <c r="E2221" s="105">
        <v>15.2</v>
      </c>
      <c r="F2221" s="106" t="s">
        <v>2024</v>
      </c>
      <c r="G2221" s="8"/>
      <c r="H2221" s="8"/>
      <c r="I2221" s="107">
        <v>0</v>
      </c>
      <c r="J2221" s="8" t="s">
        <v>6357</v>
      </c>
    </row>
    <row r="2222" spans="1:10" ht="16.5" customHeight="1" x14ac:dyDescent="0.25">
      <c r="A2222" s="8" t="s">
        <v>8213</v>
      </c>
      <c r="B2222" s="8" t="s">
        <v>8214</v>
      </c>
      <c r="C2222" s="8" t="s">
        <v>8215</v>
      </c>
      <c r="D2222" s="8" t="s">
        <v>8214</v>
      </c>
      <c r="E2222" s="105">
        <v>3.8</v>
      </c>
      <c r="F2222" s="106" t="s">
        <v>2024</v>
      </c>
      <c r="G2222" s="8"/>
      <c r="H2222" s="8"/>
      <c r="I2222" s="107">
        <v>0</v>
      </c>
      <c r="J2222" s="8" t="s">
        <v>6357</v>
      </c>
    </row>
    <row r="2223" spans="1:10" ht="16.5" customHeight="1" x14ac:dyDescent="0.25">
      <c r="A2223" s="8" t="s">
        <v>8216</v>
      </c>
      <c r="B2223" s="8" t="s">
        <v>948</v>
      </c>
      <c r="C2223" s="8" t="s">
        <v>947</v>
      </c>
      <c r="D2223" s="8" t="s">
        <v>948</v>
      </c>
      <c r="E2223" s="105">
        <v>10.92</v>
      </c>
      <c r="F2223" s="106" t="s">
        <v>2018</v>
      </c>
      <c r="G2223" s="8"/>
      <c r="H2223" s="8"/>
      <c r="I2223" s="107">
        <v>0</v>
      </c>
      <c r="J2223" s="8" t="s">
        <v>4722</v>
      </c>
    </row>
    <row r="2224" spans="1:10" ht="16.5" customHeight="1" x14ac:dyDescent="0.25">
      <c r="A2224" s="8" t="s">
        <v>8217</v>
      </c>
      <c r="B2224" s="8" t="s">
        <v>8218</v>
      </c>
      <c r="C2224" s="8" t="s">
        <v>8219</v>
      </c>
      <c r="D2224" s="8" t="s">
        <v>8218</v>
      </c>
      <c r="E2224" s="105">
        <v>0</v>
      </c>
      <c r="F2224" s="106" t="s">
        <v>2024</v>
      </c>
      <c r="G2224" s="8"/>
      <c r="H2224" s="8"/>
      <c r="I2224" s="107">
        <v>0</v>
      </c>
      <c r="J2224" s="8" t="s">
        <v>4722</v>
      </c>
    </row>
    <row r="2225" spans="1:10" ht="16.5" customHeight="1" x14ac:dyDescent="0.25">
      <c r="A2225" s="8" t="s">
        <v>8220</v>
      </c>
      <c r="B2225" s="8" t="s">
        <v>8221</v>
      </c>
      <c r="C2225" s="8" t="s">
        <v>8222</v>
      </c>
      <c r="D2225" s="8" t="s">
        <v>8221</v>
      </c>
      <c r="E2225" s="105">
        <v>0</v>
      </c>
      <c r="F2225" s="106" t="s">
        <v>2024</v>
      </c>
      <c r="G2225" s="8"/>
      <c r="H2225" s="8"/>
      <c r="I2225" s="107">
        <v>0</v>
      </c>
      <c r="J2225" s="8" t="s">
        <v>3695</v>
      </c>
    </row>
    <row r="2226" spans="1:10" ht="16.5" customHeight="1" x14ac:dyDescent="0.25">
      <c r="A2226" s="8" t="s">
        <v>8223</v>
      </c>
      <c r="B2226" s="8" t="s">
        <v>8224</v>
      </c>
      <c r="C2226" s="8" t="s">
        <v>8225</v>
      </c>
      <c r="D2226" s="8" t="s">
        <v>8224</v>
      </c>
      <c r="E2226" s="105">
        <v>0</v>
      </c>
      <c r="F2226" s="106" t="s">
        <v>2024</v>
      </c>
      <c r="G2226" s="8"/>
      <c r="H2226" s="8"/>
      <c r="I2226" s="107">
        <v>0</v>
      </c>
      <c r="J2226" s="8" t="s">
        <v>3695</v>
      </c>
    </row>
    <row r="2227" spans="1:10" ht="16.5" customHeight="1" x14ac:dyDescent="0.25">
      <c r="A2227" s="8" t="s">
        <v>8226</v>
      </c>
      <c r="B2227" s="8" t="s">
        <v>8227</v>
      </c>
      <c r="C2227" s="8" t="s">
        <v>8228</v>
      </c>
      <c r="D2227" s="8" t="s">
        <v>8227</v>
      </c>
      <c r="E2227" s="105">
        <v>0</v>
      </c>
      <c r="F2227" s="106" t="s">
        <v>2024</v>
      </c>
      <c r="G2227" s="8"/>
      <c r="H2227" s="8"/>
      <c r="I2227" s="107">
        <v>0</v>
      </c>
      <c r="J2227" s="8" t="s">
        <v>3695</v>
      </c>
    </row>
    <row r="2228" spans="1:10" ht="16.5" customHeight="1" x14ac:dyDescent="0.25">
      <c r="A2228" s="8" t="s">
        <v>8229</v>
      </c>
      <c r="B2228" s="8" t="s">
        <v>8230</v>
      </c>
      <c r="C2228" s="8" t="s">
        <v>8231</v>
      </c>
      <c r="D2228" s="8" t="s">
        <v>8230</v>
      </c>
      <c r="E2228" s="105">
        <v>0</v>
      </c>
      <c r="F2228" s="106" t="s">
        <v>2024</v>
      </c>
      <c r="G2228" s="8"/>
      <c r="H2228" s="8"/>
      <c r="I2228" s="107">
        <v>0</v>
      </c>
      <c r="J2228" s="8" t="s">
        <v>4722</v>
      </c>
    </row>
    <row r="2229" spans="1:10" ht="16.5" customHeight="1" x14ac:dyDescent="0.25">
      <c r="A2229" s="8" t="s">
        <v>8232</v>
      </c>
      <c r="B2229" s="8" t="s">
        <v>8233</v>
      </c>
      <c r="C2229" s="8" t="s">
        <v>8234</v>
      </c>
      <c r="D2229" s="8" t="s">
        <v>8233</v>
      </c>
      <c r="E2229" s="105">
        <v>0</v>
      </c>
      <c r="F2229" s="106" t="s">
        <v>2024</v>
      </c>
      <c r="G2229" s="8"/>
      <c r="H2229" s="8"/>
      <c r="I2229" s="107">
        <v>0</v>
      </c>
      <c r="J2229" s="8" t="s">
        <v>4722</v>
      </c>
    </row>
    <row r="2230" spans="1:10" ht="16.5" customHeight="1" x14ac:dyDescent="0.25">
      <c r="A2230" s="8" t="s">
        <v>8235</v>
      </c>
      <c r="B2230" s="8" t="s">
        <v>8236</v>
      </c>
      <c r="C2230" s="8" t="s">
        <v>8237</v>
      </c>
      <c r="D2230" s="8" t="s">
        <v>8236</v>
      </c>
      <c r="E2230" s="105">
        <v>0</v>
      </c>
      <c r="F2230" s="106" t="s">
        <v>2024</v>
      </c>
      <c r="G2230" s="8"/>
      <c r="H2230" s="8"/>
      <c r="I2230" s="107">
        <v>0</v>
      </c>
      <c r="J2230" s="8" t="s">
        <v>4722</v>
      </c>
    </row>
    <row r="2231" spans="1:10" ht="16.5" customHeight="1" x14ac:dyDescent="0.25">
      <c r="A2231" s="8" t="s">
        <v>8238</v>
      </c>
      <c r="B2231" s="8" t="s">
        <v>8239</v>
      </c>
      <c r="C2231" s="8" t="s">
        <v>8240</v>
      </c>
      <c r="D2231" s="8" t="s">
        <v>8239</v>
      </c>
      <c r="E2231" s="105">
        <v>3</v>
      </c>
      <c r="F2231" s="106" t="s">
        <v>2024</v>
      </c>
      <c r="G2231" s="8"/>
      <c r="H2231" s="8"/>
      <c r="I2231" s="107">
        <v>0</v>
      </c>
      <c r="J2231" s="8" t="s">
        <v>3580</v>
      </c>
    </row>
    <row r="2232" spans="1:10" ht="16.5" customHeight="1" x14ac:dyDescent="0.25">
      <c r="A2232" s="8" t="s">
        <v>8241</v>
      </c>
      <c r="B2232" s="8" t="s">
        <v>8242</v>
      </c>
      <c r="C2232" s="8" t="s">
        <v>1718</v>
      </c>
      <c r="D2232" s="8" t="s">
        <v>8242</v>
      </c>
      <c r="E2232" s="105">
        <v>7.44</v>
      </c>
      <c r="F2232" s="106" t="s">
        <v>2024</v>
      </c>
      <c r="G2232" s="8" t="s">
        <v>1541</v>
      </c>
      <c r="H2232" s="8" t="s">
        <v>8243</v>
      </c>
      <c r="I2232" s="107">
        <v>24</v>
      </c>
      <c r="J2232" s="8" t="s">
        <v>5929</v>
      </c>
    </row>
    <row r="2233" spans="1:10" ht="16.5" customHeight="1" x14ac:dyDescent="0.25">
      <c r="A2233" s="8" t="s">
        <v>8243</v>
      </c>
      <c r="B2233" s="8" t="s">
        <v>8244</v>
      </c>
      <c r="C2233" s="8" t="s">
        <v>8245</v>
      </c>
      <c r="D2233" s="8" t="s">
        <v>8244</v>
      </c>
      <c r="E2233" s="105">
        <v>0.31</v>
      </c>
      <c r="F2233" s="106" t="s">
        <v>2024</v>
      </c>
      <c r="G2233" s="8" t="s">
        <v>1541</v>
      </c>
      <c r="H2233" s="8"/>
      <c r="I2233" s="107">
        <v>0</v>
      </c>
      <c r="J2233" s="8" t="s">
        <v>5929</v>
      </c>
    </row>
    <row r="2234" spans="1:10" ht="16.5" customHeight="1" x14ac:dyDescent="0.25">
      <c r="A2234" s="8" t="s">
        <v>8246</v>
      </c>
      <c r="B2234" s="8" t="s">
        <v>8247</v>
      </c>
      <c r="C2234" s="8" t="s">
        <v>8248</v>
      </c>
      <c r="D2234" s="8" t="s">
        <v>8247</v>
      </c>
      <c r="E2234" s="105">
        <v>1</v>
      </c>
      <c r="F2234" s="106" t="s">
        <v>2024</v>
      </c>
      <c r="G2234" s="8"/>
      <c r="H2234" s="8"/>
      <c r="I2234" s="107">
        <v>0</v>
      </c>
      <c r="J2234" s="8" t="s">
        <v>3580</v>
      </c>
    </row>
    <row r="2235" spans="1:10" ht="16.5" customHeight="1" x14ac:dyDescent="0.25">
      <c r="A2235" s="8" t="s">
        <v>8249</v>
      </c>
      <c r="B2235" s="8" t="s">
        <v>8250</v>
      </c>
      <c r="C2235" s="8" t="s">
        <v>8251</v>
      </c>
      <c r="D2235" s="8" t="s">
        <v>8250</v>
      </c>
      <c r="E2235" s="105">
        <v>1</v>
      </c>
      <c r="F2235" s="106" t="s">
        <v>2024</v>
      </c>
      <c r="G2235" s="8"/>
      <c r="H2235" s="8"/>
      <c r="I2235" s="107">
        <v>0</v>
      </c>
      <c r="J2235" s="8" t="s">
        <v>3580</v>
      </c>
    </row>
    <row r="2236" spans="1:10" ht="16.5" customHeight="1" x14ac:dyDescent="0.25">
      <c r="A2236" s="8" t="s">
        <v>8252</v>
      </c>
      <c r="B2236" s="8" t="s">
        <v>8253</v>
      </c>
      <c r="C2236" s="8" t="s">
        <v>8254</v>
      </c>
      <c r="D2236" s="8" t="s">
        <v>8253</v>
      </c>
      <c r="E2236" s="105">
        <v>1</v>
      </c>
      <c r="F2236" s="106" t="s">
        <v>2024</v>
      </c>
      <c r="G2236" s="8"/>
      <c r="H2236" s="8"/>
      <c r="I2236" s="107">
        <v>0</v>
      </c>
      <c r="J2236" s="8" t="s">
        <v>3695</v>
      </c>
    </row>
    <row r="2237" spans="1:10" ht="16.5" customHeight="1" x14ac:dyDescent="0.25">
      <c r="A2237" s="8" t="s">
        <v>8255</v>
      </c>
      <c r="B2237" s="8" t="s">
        <v>8256</v>
      </c>
      <c r="C2237" s="8" t="s">
        <v>8257</v>
      </c>
      <c r="D2237" s="8" t="s">
        <v>8256</v>
      </c>
      <c r="E2237" s="105">
        <v>11.28</v>
      </c>
      <c r="F2237" s="106" t="s">
        <v>2024</v>
      </c>
      <c r="G2237" s="8"/>
      <c r="H2237" s="8"/>
      <c r="I2237" s="107">
        <v>0</v>
      </c>
      <c r="J2237" s="8" t="s">
        <v>5929</v>
      </c>
    </row>
    <row r="2238" spans="1:10" ht="16.5" customHeight="1" x14ac:dyDescent="0.25">
      <c r="A2238" s="8" t="s">
        <v>8258</v>
      </c>
      <c r="B2238" s="8" t="s">
        <v>8259</v>
      </c>
      <c r="C2238" s="8" t="s">
        <v>8260</v>
      </c>
      <c r="D2238" s="8" t="s">
        <v>8259</v>
      </c>
      <c r="E2238" s="105">
        <v>0</v>
      </c>
      <c r="F2238" s="106" t="s">
        <v>2024</v>
      </c>
      <c r="G2238" s="8"/>
      <c r="H2238" s="8"/>
      <c r="I2238" s="107">
        <v>0</v>
      </c>
      <c r="J2238" s="8" t="s">
        <v>4722</v>
      </c>
    </row>
    <row r="2239" spans="1:10" ht="16.5" customHeight="1" x14ac:dyDescent="0.25">
      <c r="A2239" s="8" t="s">
        <v>8261</v>
      </c>
      <c r="B2239" s="8" t="s">
        <v>8262</v>
      </c>
      <c r="C2239" s="8" t="s">
        <v>8263</v>
      </c>
      <c r="D2239" s="8" t="s">
        <v>8262</v>
      </c>
      <c r="E2239" s="105">
        <v>0</v>
      </c>
      <c r="F2239" s="106" t="s">
        <v>2024</v>
      </c>
      <c r="G2239" s="8"/>
      <c r="H2239" s="8"/>
      <c r="I2239" s="107">
        <v>0</v>
      </c>
      <c r="J2239" s="8" t="s">
        <v>4722</v>
      </c>
    </row>
    <row r="2240" spans="1:10" ht="16.5" customHeight="1" x14ac:dyDescent="0.25">
      <c r="A2240" s="8" t="s">
        <v>8264</v>
      </c>
      <c r="B2240" s="8" t="s">
        <v>8265</v>
      </c>
      <c r="C2240" s="8" t="s">
        <v>8266</v>
      </c>
      <c r="D2240" s="8" t="s">
        <v>8265</v>
      </c>
      <c r="E2240" s="105">
        <v>1</v>
      </c>
      <c r="F2240" s="106" t="s">
        <v>2018</v>
      </c>
      <c r="G2240" s="8"/>
      <c r="H2240" s="8"/>
      <c r="I2240" s="107">
        <v>0</v>
      </c>
      <c r="J2240" s="8"/>
    </row>
    <row r="2241" spans="1:10" ht="16.5" customHeight="1" x14ac:dyDescent="0.25">
      <c r="A2241" s="8" t="s">
        <v>8267</v>
      </c>
      <c r="B2241" s="8" t="s">
        <v>8268</v>
      </c>
      <c r="C2241" s="8" t="s">
        <v>8269</v>
      </c>
      <c r="D2241" s="8" t="s">
        <v>8268</v>
      </c>
      <c r="E2241" s="105">
        <v>12.9</v>
      </c>
      <c r="F2241" s="106" t="s">
        <v>2024</v>
      </c>
      <c r="G2241" s="8"/>
      <c r="H2241" s="8"/>
      <c r="I2241" s="107">
        <v>0</v>
      </c>
      <c r="J2241" s="8" t="s">
        <v>5929</v>
      </c>
    </row>
    <row r="2242" spans="1:10" ht="16.5" customHeight="1" x14ac:dyDescent="0.25">
      <c r="A2242" s="8" t="s">
        <v>8270</v>
      </c>
      <c r="B2242" s="8" t="s">
        <v>8271</v>
      </c>
      <c r="C2242" s="8" t="s">
        <v>8272</v>
      </c>
      <c r="D2242" s="8" t="s">
        <v>8271</v>
      </c>
      <c r="E2242" s="105">
        <v>1.21</v>
      </c>
      <c r="F2242" s="106" t="s">
        <v>2024</v>
      </c>
      <c r="G2242" s="8"/>
      <c r="H2242" s="8"/>
      <c r="I2242" s="107">
        <v>0</v>
      </c>
      <c r="J2242" s="8" t="s">
        <v>5929</v>
      </c>
    </row>
    <row r="2243" spans="1:10" ht="16.5" customHeight="1" x14ac:dyDescent="0.25">
      <c r="A2243" s="8" t="s">
        <v>8273</v>
      </c>
      <c r="B2243" s="8" t="s">
        <v>7382</v>
      </c>
      <c r="C2243" s="8" t="s">
        <v>7383</v>
      </c>
      <c r="D2243" s="8" t="s">
        <v>7382</v>
      </c>
      <c r="E2243" s="105">
        <v>0.20499999999999999</v>
      </c>
      <c r="F2243" s="106" t="s">
        <v>2024</v>
      </c>
      <c r="G2243" s="8"/>
      <c r="H2243" s="8"/>
      <c r="I2243" s="107">
        <v>0</v>
      </c>
      <c r="J2243" s="8" t="s">
        <v>4789</v>
      </c>
    </row>
    <row r="2244" spans="1:10" ht="16.5" customHeight="1" x14ac:dyDescent="0.25">
      <c r="A2244" s="8" t="s">
        <v>8274</v>
      </c>
      <c r="B2244" s="8" t="s">
        <v>8275</v>
      </c>
      <c r="C2244" s="8" t="s">
        <v>7942</v>
      </c>
      <c r="D2244" s="8" t="s">
        <v>8275</v>
      </c>
      <c r="E2244" s="105">
        <v>0.25</v>
      </c>
      <c r="F2244" s="106" t="s">
        <v>2024</v>
      </c>
      <c r="G2244" s="8"/>
      <c r="H2244" s="8"/>
      <c r="I2244" s="107">
        <v>0</v>
      </c>
      <c r="J2244" s="8" t="s">
        <v>4789</v>
      </c>
    </row>
    <row r="2245" spans="1:10" ht="16.5" customHeight="1" x14ac:dyDescent="0.25">
      <c r="A2245" s="8" t="s">
        <v>8276</v>
      </c>
      <c r="B2245" s="8" t="s">
        <v>8277</v>
      </c>
      <c r="C2245" s="8" t="s">
        <v>8278</v>
      </c>
      <c r="D2245" s="8" t="s">
        <v>8277</v>
      </c>
      <c r="E2245" s="105">
        <v>1.1519999999999999</v>
      </c>
      <c r="F2245" s="106" t="s">
        <v>2024</v>
      </c>
      <c r="G2245" s="8"/>
      <c r="H2245" s="8"/>
      <c r="I2245" s="107">
        <v>0</v>
      </c>
      <c r="J2245" s="8" t="s">
        <v>4789</v>
      </c>
    </row>
    <row r="2246" spans="1:10" ht="16.5" customHeight="1" x14ac:dyDescent="0.25">
      <c r="A2246" s="8" t="s">
        <v>8279</v>
      </c>
      <c r="B2246" s="8" t="s">
        <v>8280</v>
      </c>
      <c r="C2246" s="8" t="s">
        <v>8084</v>
      </c>
      <c r="D2246" s="8" t="s">
        <v>8280</v>
      </c>
      <c r="E2246" s="105">
        <v>1</v>
      </c>
      <c r="F2246" s="106" t="s">
        <v>2024</v>
      </c>
      <c r="G2246" s="8"/>
      <c r="H2246" s="8"/>
      <c r="I2246" s="107">
        <v>0</v>
      </c>
      <c r="J2246" s="8" t="s">
        <v>3580</v>
      </c>
    </row>
    <row r="2247" spans="1:10" ht="16.5" customHeight="1" x14ac:dyDescent="0.25">
      <c r="A2247" s="8" t="s">
        <v>8281</v>
      </c>
      <c r="B2247" s="8" t="s">
        <v>8282</v>
      </c>
      <c r="C2247" s="8" t="s">
        <v>8084</v>
      </c>
      <c r="D2247" s="8" t="s">
        <v>8282</v>
      </c>
      <c r="E2247" s="105">
        <v>1</v>
      </c>
      <c r="F2247" s="106" t="s">
        <v>2024</v>
      </c>
      <c r="G2247" s="8"/>
      <c r="H2247" s="8"/>
      <c r="I2247" s="107">
        <v>0</v>
      </c>
      <c r="J2247" s="8" t="s">
        <v>3580</v>
      </c>
    </row>
    <row r="2248" spans="1:10" ht="16.5" customHeight="1" x14ac:dyDescent="0.25">
      <c r="A2248" s="8" t="s">
        <v>8283</v>
      </c>
      <c r="B2248" s="8" t="s">
        <v>8284</v>
      </c>
      <c r="C2248" s="8" t="s">
        <v>8084</v>
      </c>
      <c r="D2248" s="8" t="s">
        <v>8284</v>
      </c>
      <c r="E2248" s="105">
        <v>1</v>
      </c>
      <c r="F2248" s="106" t="s">
        <v>2024</v>
      </c>
      <c r="G2248" s="8"/>
      <c r="H2248" s="8"/>
      <c r="I2248" s="107">
        <v>0</v>
      </c>
      <c r="J2248" s="8" t="s">
        <v>3580</v>
      </c>
    </row>
    <row r="2249" spans="1:10" ht="16.5" customHeight="1" x14ac:dyDescent="0.25">
      <c r="A2249" s="8" t="s">
        <v>8285</v>
      </c>
      <c r="B2249" s="8" t="s">
        <v>8286</v>
      </c>
      <c r="C2249" s="8" t="s">
        <v>8084</v>
      </c>
      <c r="D2249" s="8" t="s">
        <v>8286</v>
      </c>
      <c r="E2249" s="105">
        <v>1</v>
      </c>
      <c r="F2249" s="106" t="s">
        <v>2024</v>
      </c>
      <c r="G2249" s="8"/>
      <c r="H2249" s="8"/>
      <c r="I2249" s="107">
        <v>0</v>
      </c>
      <c r="J2249" s="8" t="s">
        <v>3580</v>
      </c>
    </row>
    <row r="2250" spans="1:10" ht="16.5" customHeight="1" x14ac:dyDescent="0.25">
      <c r="A2250" s="8" t="s">
        <v>8287</v>
      </c>
      <c r="B2250" s="8" t="s">
        <v>8288</v>
      </c>
      <c r="C2250" s="8" t="s">
        <v>8289</v>
      </c>
      <c r="D2250" s="8" t="s">
        <v>8288</v>
      </c>
      <c r="E2250" s="105">
        <v>0</v>
      </c>
      <c r="F2250" s="106" t="s">
        <v>2024</v>
      </c>
      <c r="G2250" s="8"/>
      <c r="H2250" s="8"/>
      <c r="I2250" s="107">
        <v>0</v>
      </c>
      <c r="J2250" s="8" t="s">
        <v>2019</v>
      </c>
    </row>
    <row r="2251" spans="1:10" ht="16.5" customHeight="1" x14ac:dyDescent="0.25">
      <c r="A2251" s="8" t="s">
        <v>8290</v>
      </c>
      <c r="B2251" s="8" t="s">
        <v>8291</v>
      </c>
      <c r="C2251" s="8" t="s">
        <v>8292</v>
      </c>
      <c r="D2251" s="8" t="s">
        <v>8291</v>
      </c>
      <c r="E2251" s="105">
        <v>0</v>
      </c>
      <c r="F2251" s="106" t="s">
        <v>2024</v>
      </c>
      <c r="G2251" s="8"/>
      <c r="H2251" s="8"/>
      <c r="I2251" s="107">
        <v>0</v>
      </c>
      <c r="J2251" s="8" t="s">
        <v>4722</v>
      </c>
    </row>
    <row r="2252" spans="1:10" ht="16.5" customHeight="1" x14ac:dyDescent="0.25">
      <c r="A2252" s="8" t="s">
        <v>8293</v>
      </c>
      <c r="B2252" s="8" t="s">
        <v>8294</v>
      </c>
      <c r="C2252" s="8" t="s">
        <v>8295</v>
      </c>
      <c r="D2252" s="8" t="s">
        <v>8294</v>
      </c>
      <c r="E2252" s="105">
        <v>0</v>
      </c>
      <c r="F2252" s="106" t="s">
        <v>2024</v>
      </c>
      <c r="G2252" s="8"/>
      <c r="H2252" s="8"/>
      <c r="I2252" s="107">
        <v>0</v>
      </c>
      <c r="J2252" s="8" t="s">
        <v>4722</v>
      </c>
    </row>
    <row r="2253" spans="1:10" ht="16.5" customHeight="1" x14ac:dyDescent="0.25">
      <c r="A2253" s="8" t="s">
        <v>8296</v>
      </c>
      <c r="B2253" s="8" t="s">
        <v>8297</v>
      </c>
      <c r="C2253" s="8" t="s">
        <v>8298</v>
      </c>
      <c r="D2253" s="8" t="s">
        <v>8297</v>
      </c>
      <c r="E2253" s="105">
        <v>0</v>
      </c>
      <c r="F2253" s="106" t="s">
        <v>2024</v>
      </c>
      <c r="G2253" s="8"/>
      <c r="H2253" s="8"/>
      <c r="I2253" s="107">
        <v>0</v>
      </c>
      <c r="J2253" s="8" t="s">
        <v>4722</v>
      </c>
    </row>
    <row r="2254" spans="1:10" ht="16.5" customHeight="1" x14ac:dyDescent="0.25">
      <c r="A2254" s="8" t="s">
        <v>8299</v>
      </c>
      <c r="B2254" s="8" t="s">
        <v>8300</v>
      </c>
      <c r="C2254" s="8" t="s">
        <v>8301</v>
      </c>
      <c r="D2254" s="8" t="s">
        <v>8300</v>
      </c>
      <c r="E2254" s="105">
        <v>0</v>
      </c>
      <c r="F2254" s="106" t="s">
        <v>2024</v>
      </c>
      <c r="G2254" s="8"/>
      <c r="H2254" s="8"/>
      <c r="I2254" s="107">
        <v>0</v>
      </c>
      <c r="J2254" s="8" t="s">
        <v>4722</v>
      </c>
    </row>
    <row r="2255" spans="1:10" ht="16.5" customHeight="1" x14ac:dyDescent="0.25">
      <c r="A2255" s="8" t="s">
        <v>8302</v>
      </c>
      <c r="B2255" s="8" t="s">
        <v>8303</v>
      </c>
      <c r="C2255" s="8" t="s">
        <v>8304</v>
      </c>
      <c r="D2255" s="8" t="s">
        <v>8303</v>
      </c>
      <c r="E2255" s="105">
        <v>0</v>
      </c>
      <c r="F2255" s="106" t="s">
        <v>2024</v>
      </c>
      <c r="G2255" s="8"/>
      <c r="H2255" s="8"/>
      <c r="I2255" s="107">
        <v>0</v>
      </c>
      <c r="J2255" s="8" t="s">
        <v>4722</v>
      </c>
    </row>
    <row r="2256" spans="1:10" ht="16.5" customHeight="1" x14ac:dyDescent="0.25">
      <c r="A2256" s="8" t="s">
        <v>8305</v>
      </c>
      <c r="B2256" s="8" t="s">
        <v>8306</v>
      </c>
      <c r="C2256" s="8" t="s">
        <v>8307</v>
      </c>
      <c r="D2256" s="8" t="s">
        <v>8306</v>
      </c>
      <c r="E2256" s="105">
        <v>12</v>
      </c>
      <c r="F2256" s="106" t="s">
        <v>2024</v>
      </c>
      <c r="G2256" s="8"/>
      <c r="H2256" s="8"/>
      <c r="I2256" s="107">
        <v>0</v>
      </c>
      <c r="J2256" s="8" t="s">
        <v>5929</v>
      </c>
    </row>
    <row r="2257" spans="1:10" ht="16.5" customHeight="1" x14ac:dyDescent="0.25">
      <c r="A2257" s="8" t="s">
        <v>8308</v>
      </c>
      <c r="B2257" s="8" t="s">
        <v>8309</v>
      </c>
      <c r="C2257" s="8" t="s">
        <v>8310</v>
      </c>
      <c r="D2257" s="8" t="s">
        <v>8309</v>
      </c>
      <c r="E2257" s="105">
        <v>0.01</v>
      </c>
      <c r="F2257" s="106" t="s">
        <v>2024</v>
      </c>
      <c r="G2257" s="8"/>
      <c r="H2257" s="8"/>
      <c r="I2257" s="107">
        <v>0</v>
      </c>
      <c r="J2257" s="8" t="s">
        <v>5929</v>
      </c>
    </row>
    <row r="2258" spans="1:10" ht="16.5" customHeight="1" x14ac:dyDescent="0.25">
      <c r="A2258" s="8" t="s">
        <v>8311</v>
      </c>
      <c r="B2258" s="8" t="s">
        <v>8312</v>
      </c>
      <c r="C2258" s="8" t="s">
        <v>8313</v>
      </c>
      <c r="D2258" s="8" t="s">
        <v>8312</v>
      </c>
      <c r="E2258" s="105">
        <v>12</v>
      </c>
      <c r="F2258" s="106" t="s">
        <v>2024</v>
      </c>
      <c r="G2258" s="8"/>
      <c r="H2258" s="8"/>
      <c r="I2258" s="107">
        <v>0</v>
      </c>
      <c r="J2258" s="8" t="s">
        <v>5929</v>
      </c>
    </row>
    <row r="2259" spans="1:10" ht="16.5" customHeight="1" x14ac:dyDescent="0.25">
      <c r="A2259" s="8" t="s">
        <v>8314</v>
      </c>
      <c r="B2259" s="8" t="s">
        <v>8315</v>
      </c>
      <c r="C2259" s="8" t="s">
        <v>8316</v>
      </c>
      <c r="D2259" s="8" t="s">
        <v>8315</v>
      </c>
      <c r="E2259" s="105">
        <v>0.01</v>
      </c>
      <c r="F2259" s="106" t="s">
        <v>2024</v>
      </c>
      <c r="G2259" s="8"/>
      <c r="H2259" s="8"/>
      <c r="I2259" s="107">
        <v>0</v>
      </c>
      <c r="J2259" s="8" t="s">
        <v>5929</v>
      </c>
    </row>
    <row r="2260" spans="1:10" ht="16.5" customHeight="1" x14ac:dyDescent="0.25">
      <c r="A2260" s="8" t="s">
        <v>8317</v>
      </c>
      <c r="B2260" s="8" t="s">
        <v>8318</v>
      </c>
      <c r="C2260" s="8" t="s">
        <v>8319</v>
      </c>
      <c r="D2260" s="8" t="s">
        <v>8318</v>
      </c>
      <c r="E2260" s="105">
        <v>5</v>
      </c>
      <c r="F2260" s="106" t="s">
        <v>2024</v>
      </c>
      <c r="G2260" s="8"/>
      <c r="H2260" s="8"/>
      <c r="I2260" s="107">
        <v>0</v>
      </c>
      <c r="J2260" s="8" t="s">
        <v>3580</v>
      </c>
    </row>
    <row r="2261" spans="1:10" ht="16.5" customHeight="1" x14ac:dyDescent="0.25">
      <c r="A2261" s="8" t="s">
        <v>8320</v>
      </c>
      <c r="B2261" s="8" t="s">
        <v>8321</v>
      </c>
      <c r="C2261" s="8" t="s">
        <v>8322</v>
      </c>
      <c r="D2261" s="8" t="s">
        <v>8321</v>
      </c>
      <c r="E2261" s="105">
        <v>0</v>
      </c>
      <c r="F2261" s="106" t="s">
        <v>2024</v>
      </c>
      <c r="G2261" s="8"/>
      <c r="H2261" s="8"/>
      <c r="I2261" s="107">
        <v>0</v>
      </c>
      <c r="J2261" s="8" t="s">
        <v>2019</v>
      </c>
    </row>
    <row r="2262" spans="1:10" ht="16.5" customHeight="1" x14ac:dyDescent="0.25">
      <c r="A2262" s="8" t="s">
        <v>8323</v>
      </c>
      <c r="B2262" s="8" t="s">
        <v>8324</v>
      </c>
      <c r="C2262" s="8" t="s">
        <v>8325</v>
      </c>
      <c r="D2262" s="8" t="s">
        <v>8324</v>
      </c>
      <c r="E2262" s="105">
        <v>0</v>
      </c>
      <c r="F2262" s="106" t="s">
        <v>2024</v>
      </c>
      <c r="G2262" s="8"/>
      <c r="H2262" s="8"/>
      <c r="I2262" s="107">
        <v>0</v>
      </c>
      <c r="J2262" s="8" t="s">
        <v>4789</v>
      </c>
    </row>
    <row r="2263" spans="1:10" ht="16.5" customHeight="1" x14ac:dyDescent="0.25">
      <c r="A2263" s="8" t="s">
        <v>8326</v>
      </c>
      <c r="B2263" s="8" t="s">
        <v>8327</v>
      </c>
      <c r="C2263" s="8" t="s">
        <v>8328</v>
      </c>
      <c r="D2263" s="8" t="s">
        <v>8327</v>
      </c>
      <c r="E2263" s="105">
        <v>0</v>
      </c>
      <c r="F2263" s="106" t="s">
        <v>2024</v>
      </c>
      <c r="G2263" s="8"/>
      <c r="H2263" s="8"/>
      <c r="I2263" s="107">
        <v>0</v>
      </c>
      <c r="J2263" s="8" t="s">
        <v>4789</v>
      </c>
    </row>
    <row r="2264" spans="1:10" ht="16.5" customHeight="1" x14ac:dyDescent="0.25">
      <c r="A2264" s="8" t="s">
        <v>8329</v>
      </c>
      <c r="B2264" s="8" t="s">
        <v>8330</v>
      </c>
      <c r="C2264" s="8" t="s">
        <v>8331</v>
      </c>
      <c r="D2264" s="8" t="s">
        <v>8330</v>
      </c>
      <c r="E2264" s="105">
        <v>0</v>
      </c>
      <c r="F2264" s="106" t="s">
        <v>2024</v>
      </c>
      <c r="G2264" s="8"/>
      <c r="H2264" s="8"/>
      <c r="I2264" s="107">
        <v>0</v>
      </c>
      <c r="J2264" s="8" t="s">
        <v>4789</v>
      </c>
    </row>
    <row r="2265" spans="1:10" ht="16.5" customHeight="1" x14ac:dyDescent="0.25">
      <c r="A2265" s="8" t="s">
        <v>8332</v>
      </c>
      <c r="B2265" s="8" t="s">
        <v>8333</v>
      </c>
      <c r="C2265" s="8" t="s">
        <v>8334</v>
      </c>
      <c r="D2265" s="8" t="s">
        <v>8333</v>
      </c>
      <c r="E2265" s="105">
        <v>20</v>
      </c>
      <c r="F2265" s="106" t="s">
        <v>2024</v>
      </c>
      <c r="G2265" s="8"/>
      <c r="H2265" s="8"/>
      <c r="I2265" s="107">
        <v>0</v>
      </c>
      <c r="J2265" s="8" t="s">
        <v>6357</v>
      </c>
    </row>
    <row r="2266" spans="1:10" ht="16.5" customHeight="1" x14ac:dyDescent="0.25">
      <c r="A2266" s="8" t="s">
        <v>8335</v>
      </c>
      <c r="B2266" s="8" t="s">
        <v>8336</v>
      </c>
      <c r="C2266" s="8" t="s">
        <v>8337</v>
      </c>
      <c r="D2266" s="8" t="s">
        <v>8336</v>
      </c>
      <c r="E2266" s="105">
        <v>5</v>
      </c>
      <c r="F2266" s="106" t="s">
        <v>2024</v>
      </c>
      <c r="G2266" s="8"/>
      <c r="H2266" s="8"/>
      <c r="I2266" s="107">
        <v>0</v>
      </c>
      <c r="J2266" s="8" t="s">
        <v>6357</v>
      </c>
    </row>
    <row r="2267" spans="1:10" ht="16.5" customHeight="1" x14ac:dyDescent="0.25">
      <c r="A2267" s="8" t="s">
        <v>1091</v>
      </c>
      <c r="B2267" s="8" t="s">
        <v>1093</v>
      </c>
      <c r="C2267" s="8" t="s">
        <v>1092</v>
      </c>
      <c r="D2267" s="8" t="s">
        <v>1093</v>
      </c>
      <c r="E2267" s="105">
        <v>25</v>
      </c>
      <c r="F2267" s="106" t="s">
        <v>2018</v>
      </c>
      <c r="G2267" s="8"/>
      <c r="H2267" s="8"/>
      <c r="I2267" s="107">
        <v>0</v>
      </c>
      <c r="J2267" s="8" t="s">
        <v>2019</v>
      </c>
    </row>
    <row r="2268" spans="1:10" ht="16.5" customHeight="1" x14ac:dyDescent="0.25">
      <c r="A2268" s="8" t="s">
        <v>8338</v>
      </c>
      <c r="B2268" s="8" t="s">
        <v>8339</v>
      </c>
      <c r="C2268" s="8" t="s">
        <v>8340</v>
      </c>
      <c r="D2268" s="8" t="s">
        <v>8339</v>
      </c>
      <c r="E2268" s="105">
        <v>1</v>
      </c>
      <c r="F2268" s="106" t="s">
        <v>2024</v>
      </c>
      <c r="G2268" s="8"/>
      <c r="H2268" s="8"/>
      <c r="I2268" s="107">
        <v>0</v>
      </c>
      <c r="J2268" s="8" t="s">
        <v>3695</v>
      </c>
    </row>
    <row r="2269" spans="1:10" ht="16.5" customHeight="1" x14ac:dyDescent="0.25">
      <c r="A2269" s="8" t="s">
        <v>8341</v>
      </c>
      <c r="B2269" s="8" t="s">
        <v>6134</v>
      </c>
      <c r="C2269" s="8" t="s">
        <v>7377</v>
      </c>
      <c r="D2269" s="8" t="s">
        <v>6134</v>
      </c>
      <c r="E2269" s="105">
        <v>0</v>
      </c>
      <c r="F2269" s="106" t="s">
        <v>2024</v>
      </c>
      <c r="G2269" s="8"/>
      <c r="H2269" s="8"/>
      <c r="I2269" s="107">
        <v>0</v>
      </c>
      <c r="J2269" s="8" t="s">
        <v>2019</v>
      </c>
    </row>
    <row r="2270" spans="1:10" ht="16.5" customHeight="1" x14ac:dyDescent="0.25">
      <c r="A2270" s="8" t="s">
        <v>8342</v>
      </c>
      <c r="B2270" s="8" t="s">
        <v>8343</v>
      </c>
      <c r="C2270" s="8" t="s">
        <v>8344</v>
      </c>
      <c r="D2270" s="8" t="s">
        <v>8343</v>
      </c>
      <c r="E2270" s="105">
        <v>10</v>
      </c>
      <c r="F2270" s="106" t="s">
        <v>2024</v>
      </c>
      <c r="G2270" s="8"/>
      <c r="H2270" s="8"/>
      <c r="I2270" s="107">
        <v>0</v>
      </c>
      <c r="J2270" s="8" t="s">
        <v>3580</v>
      </c>
    </row>
    <row r="2271" spans="1:10" ht="16.5" customHeight="1" x14ac:dyDescent="0.25">
      <c r="A2271" s="8" t="s">
        <v>8345</v>
      </c>
      <c r="B2271" s="8" t="s">
        <v>8346</v>
      </c>
      <c r="C2271" s="8" t="s">
        <v>8347</v>
      </c>
      <c r="D2271" s="8" t="s">
        <v>8346</v>
      </c>
      <c r="E2271" s="105">
        <v>10</v>
      </c>
      <c r="F2271" s="106" t="s">
        <v>2024</v>
      </c>
      <c r="G2271" s="8"/>
      <c r="H2271" s="8"/>
      <c r="I2271" s="107">
        <v>0</v>
      </c>
      <c r="J2271" s="8" t="s">
        <v>3580</v>
      </c>
    </row>
    <row r="2272" spans="1:10" ht="16.5" customHeight="1" x14ac:dyDescent="0.25">
      <c r="A2272" s="8" t="s">
        <v>8348</v>
      </c>
      <c r="B2272" s="8" t="s">
        <v>8349</v>
      </c>
      <c r="C2272" s="8" t="s">
        <v>8350</v>
      </c>
      <c r="D2272" s="8" t="s">
        <v>8349</v>
      </c>
      <c r="E2272" s="105">
        <v>0.5</v>
      </c>
      <c r="F2272" s="106" t="s">
        <v>2024</v>
      </c>
      <c r="G2272" s="8"/>
      <c r="H2272" s="8"/>
      <c r="I2272" s="107">
        <v>0</v>
      </c>
      <c r="J2272" s="8" t="s">
        <v>3580</v>
      </c>
    </row>
    <row r="2273" spans="1:10" ht="16.5" customHeight="1" x14ac:dyDescent="0.25">
      <c r="A2273" s="8" t="s">
        <v>8351</v>
      </c>
      <c r="B2273" s="8" t="s">
        <v>8352</v>
      </c>
      <c r="C2273" s="8" t="s">
        <v>8353</v>
      </c>
      <c r="D2273" s="8" t="s">
        <v>8352</v>
      </c>
      <c r="E2273" s="105">
        <v>1</v>
      </c>
      <c r="F2273" s="106" t="s">
        <v>2024</v>
      </c>
      <c r="G2273" s="8"/>
      <c r="H2273" s="8"/>
      <c r="I2273" s="107">
        <v>0</v>
      </c>
      <c r="J2273" s="8" t="s">
        <v>3580</v>
      </c>
    </row>
    <row r="2274" spans="1:10" ht="16.5" customHeight="1" x14ac:dyDescent="0.25">
      <c r="A2274" s="8" t="s">
        <v>8354</v>
      </c>
      <c r="B2274" s="8" t="s">
        <v>7848</v>
      </c>
      <c r="C2274" s="8" t="s">
        <v>7846</v>
      </c>
      <c r="D2274" s="8" t="s">
        <v>7848</v>
      </c>
      <c r="E2274" s="105">
        <v>0</v>
      </c>
      <c r="F2274" s="106" t="s">
        <v>2024</v>
      </c>
      <c r="G2274" s="8"/>
      <c r="H2274" s="8"/>
      <c r="I2274" s="107">
        <v>0</v>
      </c>
      <c r="J2274" s="8" t="s">
        <v>4722</v>
      </c>
    </row>
    <row r="2275" spans="1:10" ht="16.5" customHeight="1" x14ac:dyDescent="0.25">
      <c r="A2275" s="8" t="s">
        <v>8355</v>
      </c>
      <c r="B2275" s="8" t="s">
        <v>8356</v>
      </c>
      <c r="C2275" s="8" t="s">
        <v>8357</v>
      </c>
      <c r="D2275" s="8" t="s">
        <v>8356</v>
      </c>
      <c r="E2275" s="105">
        <v>30</v>
      </c>
      <c r="F2275" s="106" t="s">
        <v>2024</v>
      </c>
      <c r="G2275" s="8"/>
      <c r="H2275" s="8"/>
      <c r="I2275" s="107">
        <v>0</v>
      </c>
      <c r="J2275" s="8" t="s">
        <v>7329</v>
      </c>
    </row>
    <row r="2276" spans="1:10" ht="16.5" customHeight="1" x14ac:dyDescent="0.25">
      <c r="A2276" s="8" t="s">
        <v>8358</v>
      </c>
      <c r="B2276" s="8" t="s">
        <v>8359</v>
      </c>
      <c r="C2276" s="8" t="s">
        <v>7207</v>
      </c>
      <c r="D2276" s="8" t="s">
        <v>8359</v>
      </c>
      <c r="E2276" s="105">
        <v>0</v>
      </c>
      <c r="F2276" s="106" t="s">
        <v>2024</v>
      </c>
      <c r="G2276" s="8"/>
      <c r="H2276" s="8"/>
      <c r="I2276" s="107">
        <v>0</v>
      </c>
      <c r="J2276" s="8" t="s">
        <v>2019</v>
      </c>
    </row>
    <row r="2277" spans="1:10" ht="16.5" customHeight="1" x14ac:dyDescent="0.25">
      <c r="A2277" s="8" t="s">
        <v>8360</v>
      </c>
      <c r="B2277" s="8" t="s">
        <v>8361</v>
      </c>
      <c r="C2277" s="8" t="s">
        <v>7720</v>
      </c>
      <c r="D2277" s="8" t="s">
        <v>8361</v>
      </c>
      <c r="E2277" s="105">
        <v>0</v>
      </c>
      <c r="F2277" s="106" t="s">
        <v>2024</v>
      </c>
      <c r="G2277" s="8"/>
      <c r="H2277" s="8"/>
      <c r="I2277" s="107">
        <v>0</v>
      </c>
      <c r="J2277" s="8" t="s">
        <v>4722</v>
      </c>
    </row>
    <row r="2278" spans="1:10" ht="16.5" customHeight="1" x14ac:dyDescent="0.25">
      <c r="A2278" s="8" t="s">
        <v>8362</v>
      </c>
      <c r="B2278" s="8" t="s">
        <v>8363</v>
      </c>
      <c r="C2278" s="8" t="s">
        <v>7809</v>
      </c>
      <c r="D2278" s="8" t="s">
        <v>8363</v>
      </c>
      <c r="E2278" s="105">
        <v>0</v>
      </c>
      <c r="F2278" s="106" t="s">
        <v>2024</v>
      </c>
      <c r="G2278" s="8"/>
      <c r="H2278" s="8"/>
      <c r="I2278" s="107">
        <v>0</v>
      </c>
      <c r="J2278" s="8" t="s">
        <v>2019</v>
      </c>
    </row>
    <row r="2279" spans="1:10" ht="16.5" customHeight="1" x14ac:dyDescent="0.25">
      <c r="A2279" s="8" t="s">
        <v>8364</v>
      </c>
      <c r="B2279" s="8" t="s">
        <v>8365</v>
      </c>
      <c r="C2279" s="8" t="s">
        <v>8366</v>
      </c>
      <c r="D2279" s="8" t="s">
        <v>8365</v>
      </c>
      <c r="E2279" s="105">
        <v>0</v>
      </c>
      <c r="F2279" s="106" t="s">
        <v>2024</v>
      </c>
      <c r="G2279" s="8"/>
      <c r="H2279" s="8"/>
      <c r="I2279" s="107">
        <v>0</v>
      </c>
      <c r="J2279" s="8" t="s">
        <v>4789</v>
      </c>
    </row>
    <row r="2280" spans="1:10" ht="16.5" customHeight="1" x14ac:dyDescent="0.25">
      <c r="A2280" s="8" t="s">
        <v>8367</v>
      </c>
      <c r="B2280" s="8" t="s">
        <v>8368</v>
      </c>
      <c r="C2280" s="8" t="s">
        <v>8369</v>
      </c>
      <c r="D2280" s="8" t="s">
        <v>8368</v>
      </c>
      <c r="E2280" s="105">
        <v>18</v>
      </c>
      <c r="F2280" s="106" t="s">
        <v>2018</v>
      </c>
      <c r="G2280" s="8"/>
      <c r="H2280" s="8"/>
      <c r="I2280" s="107">
        <v>0</v>
      </c>
      <c r="J2280" s="8" t="s">
        <v>2019</v>
      </c>
    </row>
    <row r="2281" spans="1:10" ht="16.5" customHeight="1" x14ac:dyDescent="0.25">
      <c r="A2281" s="8" t="s">
        <v>8370</v>
      </c>
      <c r="B2281" s="8" t="s">
        <v>8371</v>
      </c>
      <c r="C2281" s="8" t="s">
        <v>1419</v>
      </c>
      <c r="D2281" s="8" t="s">
        <v>8371</v>
      </c>
      <c r="E2281" s="105">
        <v>9</v>
      </c>
      <c r="F2281" s="106" t="s">
        <v>2024</v>
      </c>
      <c r="G2281" s="8"/>
      <c r="H2281" s="8"/>
      <c r="I2281" s="107">
        <v>0</v>
      </c>
      <c r="J2281" s="8" t="s">
        <v>5671</v>
      </c>
    </row>
    <row r="2282" spans="1:10" ht="16.5" customHeight="1" x14ac:dyDescent="0.25">
      <c r="A2282" s="8" t="s">
        <v>8372</v>
      </c>
      <c r="B2282" s="8" t="s">
        <v>8373</v>
      </c>
      <c r="C2282" s="8" t="s">
        <v>1504</v>
      </c>
      <c r="D2282" s="8" t="s">
        <v>8373</v>
      </c>
      <c r="E2282" s="105">
        <v>9</v>
      </c>
      <c r="F2282" s="106" t="s">
        <v>2024</v>
      </c>
      <c r="G2282" s="8"/>
      <c r="H2282" s="8"/>
      <c r="I2282" s="107">
        <v>0</v>
      </c>
      <c r="J2282" s="8" t="s">
        <v>5671</v>
      </c>
    </row>
    <row r="2283" spans="1:10" ht="16.5" customHeight="1" x14ac:dyDescent="0.25">
      <c r="A2283" s="8" t="s">
        <v>8374</v>
      </c>
      <c r="B2283" s="8" t="s">
        <v>8375</v>
      </c>
      <c r="C2283" s="8" t="s">
        <v>1434</v>
      </c>
      <c r="D2283" s="8" t="s">
        <v>8375</v>
      </c>
      <c r="E2283" s="105">
        <v>6</v>
      </c>
      <c r="F2283" s="106" t="s">
        <v>2024</v>
      </c>
      <c r="G2283" s="8"/>
      <c r="H2283" s="8"/>
      <c r="I2283" s="107">
        <v>0</v>
      </c>
      <c r="J2283" s="8" t="s">
        <v>5671</v>
      </c>
    </row>
    <row r="2284" spans="1:10" ht="16.5" customHeight="1" x14ac:dyDescent="0.25">
      <c r="A2284" s="8" t="s">
        <v>8376</v>
      </c>
      <c r="B2284" s="8" t="s">
        <v>8377</v>
      </c>
      <c r="C2284" s="8" t="s">
        <v>1476</v>
      </c>
      <c r="D2284" s="8" t="s">
        <v>8377</v>
      </c>
      <c r="E2284" s="105">
        <v>3.6</v>
      </c>
      <c r="F2284" s="106" t="s">
        <v>2024</v>
      </c>
      <c r="G2284" s="8"/>
      <c r="H2284" s="8"/>
      <c r="I2284" s="107">
        <v>0</v>
      </c>
      <c r="J2284" s="8" t="s">
        <v>5671</v>
      </c>
    </row>
    <row r="2285" spans="1:10" ht="16.5" customHeight="1" x14ac:dyDescent="0.25">
      <c r="A2285" s="8" t="s">
        <v>8378</v>
      </c>
      <c r="B2285" s="8" t="s">
        <v>8379</v>
      </c>
      <c r="C2285" s="8" t="s">
        <v>1525</v>
      </c>
      <c r="D2285" s="8" t="s">
        <v>8379</v>
      </c>
      <c r="E2285" s="105">
        <v>4.8</v>
      </c>
      <c r="F2285" s="106" t="s">
        <v>2024</v>
      </c>
      <c r="G2285" s="8"/>
      <c r="H2285" s="8"/>
      <c r="I2285" s="107">
        <v>0</v>
      </c>
      <c r="J2285" s="8" t="s">
        <v>5671</v>
      </c>
    </row>
    <row r="2286" spans="1:10" ht="16.5" customHeight="1" x14ac:dyDescent="0.25">
      <c r="A2286" s="8" t="s">
        <v>8380</v>
      </c>
      <c r="B2286" s="8" t="s">
        <v>8381</v>
      </c>
      <c r="C2286" s="8" t="s">
        <v>1452</v>
      </c>
      <c r="D2286" s="8" t="s">
        <v>8381</v>
      </c>
      <c r="E2286" s="105">
        <v>6</v>
      </c>
      <c r="F2286" s="106" t="s">
        <v>2024</v>
      </c>
      <c r="G2286" s="8"/>
      <c r="H2286" s="8"/>
      <c r="I2286" s="107">
        <v>0</v>
      </c>
      <c r="J2286" s="8" t="s">
        <v>5671</v>
      </c>
    </row>
    <row r="2287" spans="1:10" ht="16.5" customHeight="1" x14ac:dyDescent="0.25">
      <c r="A2287" s="8" t="s">
        <v>8382</v>
      </c>
      <c r="B2287" s="8" t="s">
        <v>8383</v>
      </c>
      <c r="C2287" s="8" t="s">
        <v>1428</v>
      </c>
      <c r="D2287" s="8" t="s">
        <v>8383</v>
      </c>
      <c r="E2287" s="105">
        <v>4.8</v>
      </c>
      <c r="F2287" s="106" t="s">
        <v>2024</v>
      </c>
      <c r="G2287" s="8"/>
      <c r="H2287" s="8"/>
      <c r="I2287" s="107">
        <v>0</v>
      </c>
      <c r="J2287" s="8" t="s">
        <v>5671</v>
      </c>
    </row>
    <row r="2288" spans="1:10" ht="16.5" customHeight="1" x14ac:dyDescent="0.25">
      <c r="A2288" s="8" t="s">
        <v>8384</v>
      </c>
      <c r="B2288" s="8" t="s">
        <v>8385</v>
      </c>
      <c r="C2288" s="8" t="s">
        <v>1422</v>
      </c>
      <c r="D2288" s="8" t="s">
        <v>8385</v>
      </c>
      <c r="E2288" s="105">
        <v>4.8</v>
      </c>
      <c r="F2288" s="106" t="s">
        <v>2024</v>
      </c>
      <c r="G2288" s="8"/>
      <c r="H2288" s="8"/>
      <c r="I2288" s="107">
        <v>0</v>
      </c>
      <c r="J2288" s="8" t="s">
        <v>5671</v>
      </c>
    </row>
    <row r="2289" spans="1:10" ht="16.5" customHeight="1" x14ac:dyDescent="0.25">
      <c r="A2289" s="8" t="s">
        <v>8386</v>
      </c>
      <c r="B2289" s="8" t="s">
        <v>8387</v>
      </c>
      <c r="C2289" s="8" t="s">
        <v>1440</v>
      </c>
      <c r="D2289" s="8" t="s">
        <v>8387</v>
      </c>
      <c r="E2289" s="105">
        <v>4.8</v>
      </c>
      <c r="F2289" s="106" t="s">
        <v>2024</v>
      </c>
      <c r="G2289" s="8"/>
      <c r="H2289" s="8"/>
      <c r="I2289" s="107">
        <v>0</v>
      </c>
      <c r="J2289" s="8" t="s">
        <v>5671</v>
      </c>
    </row>
    <row r="2290" spans="1:10" ht="16.5" customHeight="1" x14ac:dyDescent="0.25">
      <c r="A2290" s="8" t="s">
        <v>8388</v>
      </c>
      <c r="B2290" s="8" t="s">
        <v>8389</v>
      </c>
      <c r="C2290" s="8" t="s">
        <v>1473</v>
      </c>
      <c r="D2290" s="8" t="s">
        <v>8389</v>
      </c>
      <c r="E2290" s="105">
        <v>4.8</v>
      </c>
      <c r="F2290" s="106" t="s">
        <v>2024</v>
      </c>
      <c r="G2290" s="8"/>
      <c r="H2290" s="8"/>
      <c r="I2290" s="107">
        <v>0</v>
      </c>
      <c r="J2290" s="8" t="s">
        <v>5671</v>
      </c>
    </row>
    <row r="2291" spans="1:10" ht="16.5" customHeight="1" x14ac:dyDescent="0.25">
      <c r="A2291" s="8" t="s">
        <v>8390</v>
      </c>
      <c r="B2291" s="8" t="s">
        <v>8391</v>
      </c>
      <c r="C2291" s="8" t="s">
        <v>8392</v>
      </c>
      <c r="D2291" s="8" t="s">
        <v>8391</v>
      </c>
      <c r="E2291" s="105">
        <v>1</v>
      </c>
      <c r="F2291" s="106" t="s">
        <v>2018</v>
      </c>
      <c r="G2291" s="8"/>
      <c r="H2291" s="8"/>
      <c r="I2291" s="107">
        <v>0</v>
      </c>
      <c r="J2291" s="8" t="s">
        <v>3695</v>
      </c>
    </row>
    <row r="2292" spans="1:10" ht="16.5" customHeight="1" x14ac:dyDescent="0.25">
      <c r="A2292" s="8" t="s">
        <v>8393</v>
      </c>
      <c r="B2292" s="8" t="s">
        <v>8394</v>
      </c>
      <c r="C2292" s="8" t="s">
        <v>8395</v>
      </c>
      <c r="D2292" s="8" t="s">
        <v>8394</v>
      </c>
      <c r="E2292" s="105">
        <v>1</v>
      </c>
      <c r="F2292" s="106" t="s">
        <v>2018</v>
      </c>
      <c r="G2292" s="8"/>
      <c r="H2292" s="8"/>
      <c r="I2292" s="107">
        <v>0</v>
      </c>
      <c r="J2292" s="8" t="s">
        <v>3695</v>
      </c>
    </row>
    <row r="2293" spans="1:10" ht="16.5" customHeight="1" x14ac:dyDescent="0.25">
      <c r="A2293" s="8" t="s">
        <v>8396</v>
      </c>
      <c r="B2293" s="8" t="s">
        <v>8397</v>
      </c>
      <c r="C2293" s="8" t="s">
        <v>8398</v>
      </c>
      <c r="D2293" s="8" t="s">
        <v>8397</v>
      </c>
      <c r="E2293" s="105">
        <v>0</v>
      </c>
      <c r="F2293" s="106" t="s">
        <v>2024</v>
      </c>
      <c r="G2293" s="8"/>
      <c r="H2293" s="8"/>
      <c r="I2293" s="107">
        <v>0</v>
      </c>
      <c r="J2293" s="8" t="s">
        <v>4722</v>
      </c>
    </row>
    <row r="2294" spans="1:10" ht="16.5" customHeight="1" x14ac:dyDescent="0.25">
      <c r="A2294" s="8" t="s">
        <v>8399</v>
      </c>
      <c r="B2294" s="8" t="s">
        <v>8400</v>
      </c>
      <c r="C2294" s="8" t="s">
        <v>5407</v>
      </c>
      <c r="D2294" s="8" t="s">
        <v>8400</v>
      </c>
      <c r="E2294" s="105">
        <v>0</v>
      </c>
      <c r="F2294" s="106" t="s">
        <v>2018</v>
      </c>
      <c r="G2294" s="8"/>
      <c r="H2294" s="8"/>
      <c r="I2294" s="107">
        <v>0</v>
      </c>
      <c r="J2294" s="8" t="s">
        <v>4722</v>
      </c>
    </row>
    <row r="2295" spans="1:10" ht="16.5" customHeight="1" x14ac:dyDescent="0.25">
      <c r="A2295" s="8" t="s">
        <v>8401</v>
      </c>
      <c r="B2295" s="8" t="s">
        <v>8402</v>
      </c>
      <c r="C2295" s="8" t="s">
        <v>8403</v>
      </c>
      <c r="D2295" s="8" t="s">
        <v>8402</v>
      </c>
      <c r="E2295" s="105">
        <v>0</v>
      </c>
      <c r="F2295" s="106" t="s">
        <v>2024</v>
      </c>
      <c r="G2295" s="8"/>
      <c r="H2295" s="8"/>
      <c r="I2295" s="107">
        <v>0</v>
      </c>
      <c r="J2295" s="8" t="s">
        <v>4722</v>
      </c>
    </row>
    <row r="2296" spans="1:10" ht="16.5" customHeight="1" x14ac:dyDescent="0.25">
      <c r="A2296" s="8" t="s">
        <v>8404</v>
      </c>
      <c r="B2296" s="8" t="s">
        <v>8405</v>
      </c>
      <c r="C2296" s="8" t="s">
        <v>8406</v>
      </c>
      <c r="D2296" s="8" t="s">
        <v>8405</v>
      </c>
      <c r="E2296" s="105">
        <v>0</v>
      </c>
      <c r="F2296" s="106" t="s">
        <v>2024</v>
      </c>
      <c r="G2296" s="8"/>
      <c r="H2296" s="8"/>
      <c r="I2296" s="107">
        <v>0</v>
      </c>
      <c r="J2296" s="8" t="s">
        <v>4722</v>
      </c>
    </row>
    <row r="2297" spans="1:10" ht="16.5" customHeight="1" x14ac:dyDescent="0.25">
      <c r="A2297" s="8" t="s">
        <v>8407</v>
      </c>
      <c r="B2297" s="8" t="s">
        <v>8408</v>
      </c>
      <c r="C2297" s="8" t="s">
        <v>8409</v>
      </c>
      <c r="D2297" s="8" t="s">
        <v>8408</v>
      </c>
      <c r="E2297" s="105">
        <v>0</v>
      </c>
      <c r="F2297" s="106" t="s">
        <v>2024</v>
      </c>
      <c r="G2297" s="8"/>
      <c r="H2297" s="8"/>
      <c r="I2297" s="107">
        <v>0</v>
      </c>
      <c r="J2297" s="8" t="s">
        <v>4722</v>
      </c>
    </row>
    <row r="2298" spans="1:10" ht="16.5" customHeight="1" x14ac:dyDescent="0.25">
      <c r="A2298" s="8" t="s">
        <v>8410</v>
      </c>
      <c r="B2298" s="8" t="s">
        <v>8411</v>
      </c>
      <c r="C2298" s="8" t="s">
        <v>8412</v>
      </c>
      <c r="D2298" s="8" t="s">
        <v>8411</v>
      </c>
      <c r="E2298" s="105">
        <v>20</v>
      </c>
      <c r="F2298" s="106" t="s">
        <v>2024</v>
      </c>
      <c r="G2298" s="8"/>
      <c r="H2298" s="8"/>
      <c r="I2298" s="107">
        <v>0</v>
      </c>
      <c r="J2298" s="8" t="s">
        <v>4722</v>
      </c>
    </row>
    <row r="2299" spans="1:10" ht="16.5" customHeight="1" x14ac:dyDescent="0.25">
      <c r="A2299" s="8" t="s">
        <v>8413</v>
      </c>
      <c r="B2299" s="8" t="s">
        <v>8414</v>
      </c>
      <c r="C2299" s="8" t="s">
        <v>8415</v>
      </c>
      <c r="D2299" s="8" t="s">
        <v>8414</v>
      </c>
      <c r="E2299" s="105">
        <v>1</v>
      </c>
      <c r="F2299" s="106" t="s">
        <v>2024</v>
      </c>
      <c r="G2299" s="8"/>
      <c r="H2299" s="8"/>
      <c r="I2299" s="107">
        <v>0</v>
      </c>
      <c r="J2299" s="8" t="s">
        <v>3695</v>
      </c>
    </row>
    <row r="2300" spans="1:10" ht="16.5" customHeight="1" x14ac:dyDescent="0.25">
      <c r="A2300" s="8" t="s">
        <v>8416</v>
      </c>
      <c r="B2300" s="8" t="s">
        <v>8417</v>
      </c>
      <c r="C2300" s="8" t="s">
        <v>8418</v>
      </c>
      <c r="D2300" s="8" t="s">
        <v>8417</v>
      </c>
      <c r="E2300" s="105">
        <v>1</v>
      </c>
      <c r="F2300" s="106" t="s">
        <v>2018</v>
      </c>
      <c r="G2300" s="8"/>
      <c r="H2300" s="8"/>
      <c r="I2300" s="107">
        <v>0</v>
      </c>
      <c r="J2300" s="8" t="s">
        <v>3695</v>
      </c>
    </row>
    <row r="2301" spans="1:10" ht="16.5" customHeight="1" x14ac:dyDescent="0.25">
      <c r="A2301" s="8" t="s">
        <v>8419</v>
      </c>
      <c r="B2301" s="8" t="s">
        <v>8420</v>
      </c>
      <c r="C2301" s="8" t="s">
        <v>8421</v>
      </c>
      <c r="D2301" s="8" t="s">
        <v>8420</v>
      </c>
      <c r="E2301" s="105">
        <v>0</v>
      </c>
      <c r="F2301" s="106" t="s">
        <v>2024</v>
      </c>
      <c r="G2301" s="8"/>
      <c r="H2301" s="8"/>
      <c r="I2301" s="107">
        <v>0</v>
      </c>
      <c r="J2301" s="8" t="s">
        <v>4722</v>
      </c>
    </row>
    <row r="2302" spans="1:10" ht="16.5" customHeight="1" x14ac:dyDescent="0.25">
      <c r="A2302" s="8" t="s">
        <v>8422</v>
      </c>
      <c r="B2302" s="8" t="s">
        <v>8423</v>
      </c>
      <c r="C2302" s="8" t="s">
        <v>8424</v>
      </c>
      <c r="D2302" s="8" t="s">
        <v>8423</v>
      </c>
      <c r="E2302" s="105">
        <v>0</v>
      </c>
      <c r="F2302" s="106" t="s">
        <v>2024</v>
      </c>
      <c r="G2302" s="8"/>
      <c r="H2302" s="8"/>
      <c r="I2302" s="107">
        <v>0</v>
      </c>
      <c r="J2302" s="8" t="s">
        <v>4722</v>
      </c>
    </row>
    <row r="2303" spans="1:10" ht="16.5" customHeight="1" x14ac:dyDescent="0.25">
      <c r="A2303" s="8" t="s">
        <v>8425</v>
      </c>
      <c r="B2303" s="8" t="s">
        <v>8426</v>
      </c>
      <c r="C2303" s="8" t="s">
        <v>8427</v>
      </c>
      <c r="D2303" s="8" t="s">
        <v>8426</v>
      </c>
      <c r="E2303" s="105">
        <v>0</v>
      </c>
      <c r="F2303" s="106" t="s">
        <v>2024</v>
      </c>
      <c r="G2303" s="8"/>
      <c r="H2303" s="8"/>
      <c r="I2303" s="107">
        <v>0</v>
      </c>
      <c r="J2303" s="8" t="s">
        <v>4789</v>
      </c>
    </row>
    <row r="2304" spans="1:10" ht="16.5" customHeight="1" x14ac:dyDescent="0.25">
      <c r="A2304" s="8" t="s">
        <v>8428</v>
      </c>
      <c r="B2304" s="8" t="s">
        <v>8429</v>
      </c>
      <c r="C2304" s="8" t="s">
        <v>8430</v>
      </c>
      <c r="D2304" s="8" t="s">
        <v>8429</v>
      </c>
      <c r="E2304" s="105">
        <v>0</v>
      </c>
      <c r="F2304" s="106" t="s">
        <v>2024</v>
      </c>
      <c r="G2304" s="8"/>
      <c r="H2304" s="8"/>
      <c r="I2304" s="107">
        <v>0</v>
      </c>
      <c r="J2304" s="8" t="s">
        <v>4789</v>
      </c>
    </row>
    <row r="2305" spans="1:10" ht="16.5" customHeight="1" x14ac:dyDescent="0.25">
      <c r="A2305" s="8" t="s">
        <v>8431</v>
      </c>
      <c r="B2305" s="8" t="s">
        <v>8432</v>
      </c>
      <c r="C2305" s="8" t="s">
        <v>8433</v>
      </c>
      <c r="D2305" s="8" t="s">
        <v>8432</v>
      </c>
      <c r="E2305" s="105">
        <v>0</v>
      </c>
      <c r="F2305" s="106" t="s">
        <v>2024</v>
      </c>
      <c r="G2305" s="8"/>
      <c r="H2305" s="8"/>
      <c r="I2305" s="107">
        <v>0</v>
      </c>
      <c r="J2305" s="8" t="s">
        <v>4722</v>
      </c>
    </row>
    <row r="2306" spans="1:10" ht="16.5" customHeight="1" x14ac:dyDescent="0.25">
      <c r="A2306" s="8" t="s">
        <v>8434</v>
      </c>
      <c r="B2306" s="8" t="s">
        <v>8435</v>
      </c>
      <c r="C2306" s="8" t="s">
        <v>8436</v>
      </c>
      <c r="D2306" s="8" t="s">
        <v>8435</v>
      </c>
      <c r="E2306" s="105">
        <v>0</v>
      </c>
      <c r="F2306" s="106" t="s">
        <v>2024</v>
      </c>
      <c r="G2306" s="8"/>
      <c r="H2306" s="8"/>
      <c r="I2306" s="107">
        <v>0</v>
      </c>
      <c r="J2306" s="8" t="s">
        <v>4722</v>
      </c>
    </row>
    <row r="2307" spans="1:10" ht="16.5" customHeight="1" x14ac:dyDescent="0.25">
      <c r="A2307" s="8" t="s">
        <v>8437</v>
      </c>
      <c r="B2307" s="8" t="s">
        <v>8438</v>
      </c>
      <c r="C2307" s="8" t="s">
        <v>8439</v>
      </c>
      <c r="D2307" s="8" t="s">
        <v>8438</v>
      </c>
      <c r="E2307" s="105">
        <v>0</v>
      </c>
      <c r="F2307" s="106" t="s">
        <v>2024</v>
      </c>
      <c r="G2307" s="8"/>
      <c r="H2307" s="8"/>
      <c r="I2307" s="107">
        <v>0</v>
      </c>
      <c r="J2307" s="8" t="s">
        <v>4722</v>
      </c>
    </row>
    <row r="2308" spans="1:10" ht="16.5" customHeight="1" x14ac:dyDescent="0.25">
      <c r="A2308" s="8" t="s">
        <v>8440</v>
      </c>
      <c r="B2308" s="8" t="s">
        <v>8441</v>
      </c>
      <c r="C2308" s="8" t="s">
        <v>8442</v>
      </c>
      <c r="D2308" s="8" t="s">
        <v>8441</v>
      </c>
      <c r="E2308" s="105">
        <v>0</v>
      </c>
      <c r="F2308" s="106" t="s">
        <v>2024</v>
      </c>
      <c r="G2308" s="8"/>
      <c r="H2308" s="8"/>
      <c r="I2308" s="107">
        <v>0</v>
      </c>
      <c r="J2308" s="8" t="s">
        <v>4722</v>
      </c>
    </row>
    <row r="2309" spans="1:10" ht="16.5" customHeight="1" x14ac:dyDescent="0.25">
      <c r="A2309" s="8" t="s">
        <v>8443</v>
      </c>
      <c r="B2309" s="8" t="s">
        <v>8444</v>
      </c>
      <c r="C2309" s="8" t="s">
        <v>8445</v>
      </c>
      <c r="D2309" s="8" t="s">
        <v>8444</v>
      </c>
      <c r="E2309" s="105">
        <v>0</v>
      </c>
      <c r="F2309" s="106" t="s">
        <v>2024</v>
      </c>
      <c r="G2309" s="8"/>
      <c r="H2309" s="8"/>
      <c r="I2309" s="107">
        <v>0</v>
      </c>
      <c r="J2309" s="8" t="s">
        <v>4722</v>
      </c>
    </row>
    <row r="2310" spans="1:10" ht="16.5" customHeight="1" x14ac:dyDescent="0.25">
      <c r="A2310" s="8" t="s">
        <v>8446</v>
      </c>
      <c r="B2310" s="8" t="s">
        <v>8447</v>
      </c>
      <c r="C2310" s="8" t="s">
        <v>8448</v>
      </c>
      <c r="D2310" s="8" t="s">
        <v>8447</v>
      </c>
      <c r="E2310" s="105">
        <v>0</v>
      </c>
      <c r="F2310" s="106" t="s">
        <v>2024</v>
      </c>
      <c r="G2310" s="8"/>
      <c r="H2310" s="8"/>
      <c r="I2310" s="107">
        <v>0</v>
      </c>
      <c r="J2310" s="8" t="s">
        <v>4722</v>
      </c>
    </row>
    <row r="2311" spans="1:10" ht="16.5" customHeight="1" x14ac:dyDescent="0.25">
      <c r="A2311" s="8" t="s">
        <v>8449</v>
      </c>
      <c r="B2311" s="8" t="s">
        <v>8450</v>
      </c>
      <c r="C2311" s="8" t="s">
        <v>8451</v>
      </c>
      <c r="D2311" s="8" t="s">
        <v>8450</v>
      </c>
      <c r="E2311" s="105">
        <v>0</v>
      </c>
      <c r="F2311" s="106" t="s">
        <v>2024</v>
      </c>
      <c r="G2311" s="8"/>
      <c r="H2311" s="8"/>
      <c r="I2311" s="107">
        <v>0</v>
      </c>
      <c r="J2311" s="8" t="s">
        <v>4722</v>
      </c>
    </row>
    <row r="2312" spans="1:10" ht="16.5" customHeight="1" x14ac:dyDescent="0.25">
      <c r="A2312" s="8" t="s">
        <v>8452</v>
      </c>
      <c r="B2312" s="8" t="s">
        <v>8453</v>
      </c>
      <c r="C2312" s="8" t="s">
        <v>8454</v>
      </c>
      <c r="D2312" s="8" t="s">
        <v>8453</v>
      </c>
      <c r="E2312" s="105">
        <v>0</v>
      </c>
      <c r="F2312" s="106" t="s">
        <v>2024</v>
      </c>
      <c r="G2312" s="8"/>
      <c r="H2312" s="8"/>
      <c r="I2312" s="107">
        <v>0</v>
      </c>
      <c r="J2312" s="8" t="s">
        <v>4722</v>
      </c>
    </row>
    <row r="2313" spans="1:10" ht="16.5" customHeight="1" x14ac:dyDescent="0.25">
      <c r="A2313" s="8" t="s">
        <v>8455</v>
      </c>
      <c r="B2313" s="8" t="s">
        <v>8456</v>
      </c>
      <c r="C2313" s="8" t="s">
        <v>8457</v>
      </c>
      <c r="D2313" s="8" t="s">
        <v>8456</v>
      </c>
      <c r="E2313" s="105">
        <v>0</v>
      </c>
      <c r="F2313" s="106" t="s">
        <v>2024</v>
      </c>
      <c r="G2313" s="8"/>
      <c r="H2313" s="8"/>
      <c r="I2313" s="107">
        <v>0</v>
      </c>
      <c r="J2313" s="8" t="s">
        <v>4722</v>
      </c>
    </row>
    <row r="2314" spans="1:10" ht="16.5" customHeight="1" x14ac:dyDescent="0.25">
      <c r="A2314" s="8" t="s">
        <v>8458</v>
      </c>
      <c r="B2314" s="8" t="s">
        <v>8459</v>
      </c>
      <c r="C2314" s="8" t="s">
        <v>8460</v>
      </c>
      <c r="D2314" s="8" t="s">
        <v>8459</v>
      </c>
      <c r="E2314" s="105">
        <v>0</v>
      </c>
      <c r="F2314" s="106" t="s">
        <v>2024</v>
      </c>
      <c r="G2314" s="8"/>
      <c r="H2314" s="8"/>
      <c r="I2314" s="107">
        <v>0</v>
      </c>
      <c r="J2314" s="8" t="s">
        <v>4722</v>
      </c>
    </row>
    <row r="2315" spans="1:10" ht="16.5" customHeight="1" x14ac:dyDescent="0.25">
      <c r="A2315" s="8" t="s">
        <v>8461</v>
      </c>
      <c r="B2315" s="8" t="s">
        <v>8462</v>
      </c>
      <c r="C2315" s="8" t="s">
        <v>8463</v>
      </c>
      <c r="D2315" s="8" t="s">
        <v>8462</v>
      </c>
      <c r="E2315" s="105">
        <v>0</v>
      </c>
      <c r="F2315" s="106" t="s">
        <v>2024</v>
      </c>
      <c r="G2315" s="8"/>
      <c r="H2315" s="8"/>
      <c r="I2315" s="107">
        <v>0</v>
      </c>
      <c r="J2315" s="8" t="s">
        <v>4722</v>
      </c>
    </row>
    <row r="2316" spans="1:10" ht="16.5" customHeight="1" x14ac:dyDescent="0.25">
      <c r="A2316" s="8" t="s">
        <v>8464</v>
      </c>
      <c r="B2316" s="8" t="s">
        <v>8465</v>
      </c>
      <c r="C2316" s="8" t="s">
        <v>8466</v>
      </c>
      <c r="D2316" s="8" t="s">
        <v>8465</v>
      </c>
      <c r="E2316" s="105">
        <v>0</v>
      </c>
      <c r="F2316" s="106" t="s">
        <v>2024</v>
      </c>
      <c r="G2316" s="8"/>
      <c r="H2316" s="8"/>
      <c r="I2316" s="107">
        <v>0</v>
      </c>
      <c r="J2316" s="8" t="s">
        <v>4722</v>
      </c>
    </row>
    <row r="2317" spans="1:10" ht="16.5" customHeight="1" x14ac:dyDescent="0.25">
      <c r="A2317" s="8" t="s">
        <v>8467</v>
      </c>
      <c r="B2317" s="8" t="s">
        <v>8468</v>
      </c>
      <c r="C2317" s="8" t="s">
        <v>8469</v>
      </c>
      <c r="D2317" s="8" t="s">
        <v>8468</v>
      </c>
      <c r="E2317" s="105">
        <v>0</v>
      </c>
      <c r="F2317" s="106" t="s">
        <v>2024</v>
      </c>
      <c r="G2317" s="8"/>
      <c r="H2317" s="8"/>
      <c r="I2317" s="107">
        <v>0</v>
      </c>
      <c r="J2317" s="8" t="s">
        <v>4722</v>
      </c>
    </row>
    <row r="2318" spans="1:10" ht="16.5" customHeight="1" x14ac:dyDescent="0.25">
      <c r="A2318" s="8" t="s">
        <v>8470</v>
      </c>
      <c r="B2318" s="8" t="s">
        <v>8471</v>
      </c>
      <c r="C2318" s="8" t="s">
        <v>8472</v>
      </c>
      <c r="D2318" s="8" t="s">
        <v>8471</v>
      </c>
      <c r="E2318" s="105">
        <v>0</v>
      </c>
      <c r="F2318" s="106" t="s">
        <v>2024</v>
      </c>
      <c r="G2318" s="8"/>
      <c r="H2318" s="8"/>
      <c r="I2318" s="107">
        <v>0</v>
      </c>
      <c r="J2318" s="8" t="s">
        <v>4722</v>
      </c>
    </row>
    <row r="2319" spans="1:10" ht="16.5" customHeight="1" x14ac:dyDescent="0.25">
      <c r="A2319" s="8" t="s">
        <v>8473</v>
      </c>
      <c r="B2319" s="8" t="s">
        <v>8474</v>
      </c>
      <c r="C2319" s="8" t="s">
        <v>8475</v>
      </c>
      <c r="D2319" s="8" t="s">
        <v>8474</v>
      </c>
      <c r="E2319" s="105">
        <v>0</v>
      </c>
      <c r="F2319" s="106" t="s">
        <v>2024</v>
      </c>
      <c r="G2319" s="8"/>
      <c r="H2319" s="8"/>
      <c r="I2319" s="107">
        <v>0</v>
      </c>
      <c r="J2319" s="8" t="s">
        <v>4722</v>
      </c>
    </row>
    <row r="2320" spans="1:10" ht="16.5" customHeight="1" x14ac:dyDescent="0.25">
      <c r="A2320" s="8" t="s">
        <v>8476</v>
      </c>
      <c r="B2320" s="8" t="s">
        <v>8477</v>
      </c>
      <c r="C2320" s="8" t="s">
        <v>8478</v>
      </c>
      <c r="D2320" s="8" t="s">
        <v>8477</v>
      </c>
      <c r="E2320" s="105">
        <v>0</v>
      </c>
      <c r="F2320" s="106" t="s">
        <v>2024</v>
      </c>
      <c r="G2320" s="8"/>
      <c r="H2320" s="8"/>
      <c r="I2320" s="107">
        <v>0</v>
      </c>
      <c r="J2320" s="8" t="s">
        <v>4722</v>
      </c>
    </row>
    <row r="2321" spans="1:10" ht="16.5" customHeight="1" x14ac:dyDescent="0.25">
      <c r="A2321" s="8" t="s">
        <v>8479</v>
      </c>
      <c r="B2321" s="8" t="s">
        <v>8480</v>
      </c>
      <c r="C2321" s="8" t="s">
        <v>8481</v>
      </c>
      <c r="D2321" s="8" t="s">
        <v>8480</v>
      </c>
      <c r="E2321" s="105">
        <v>0</v>
      </c>
      <c r="F2321" s="106" t="s">
        <v>2024</v>
      </c>
      <c r="G2321" s="8"/>
      <c r="H2321" s="8"/>
      <c r="I2321" s="107">
        <v>0</v>
      </c>
      <c r="J2321" s="8" t="s">
        <v>4722</v>
      </c>
    </row>
    <row r="2322" spans="1:10" ht="16.5" customHeight="1" x14ac:dyDescent="0.25">
      <c r="A2322" s="8" t="s">
        <v>8482</v>
      </c>
      <c r="B2322" s="8" t="s">
        <v>8483</v>
      </c>
      <c r="C2322" s="8" t="s">
        <v>7915</v>
      </c>
      <c r="D2322" s="8" t="s">
        <v>8483</v>
      </c>
      <c r="E2322" s="105">
        <v>1</v>
      </c>
      <c r="F2322" s="106" t="s">
        <v>2024</v>
      </c>
      <c r="G2322" s="8"/>
      <c r="H2322" s="8"/>
      <c r="I2322" s="107">
        <v>0</v>
      </c>
      <c r="J2322" s="8" t="s">
        <v>7329</v>
      </c>
    </row>
    <row r="2323" spans="1:10" ht="16.5" customHeight="1" x14ac:dyDescent="0.25">
      <c r="A2323" s="8" t="s">
        <v>8484</v>
      </c>
      <c r="B2323" s="8" t="s">
        <v>6113</v>
      </c>
      <c r="C2323" s="8" t="s">
        <v>1573</v>
      </c>
      <c r="D2323" s="8" t="s">
        <v>6113</v>
      </c>
      <c r="E2323" s="105">
        <v>0</v>
      </c>
      <c r="F2323" s="106" t="s">
        <v>2024</v>
      </c>
      <c r="G2323" s="8"/>
      <c r="H2323" s="8"/>
      <c r="I2323" s="107">
        <v>0</v>
      </c>
      <c r="J2323" s="8" t="s">
        <v>4722</v>
      </c>
    </row>
    <row r="2324" spans="1:10" ht="16.5" customHeight="1" x14ac:dyDescent="0.25">
      <c r="A2324" s="8" t="s">
        <v>8485</v>
      </c>
      <c r="B2324" s="8" t="s">
        <v>8486</v>
      </c>
      <c r="C2324" s="8" t="s">
        <v>8487</v>
      </c>
      <c r="D2324" s="8" t="s">
        <v>8486</v>
      </c>
      <c r="E2324" s="105">
        <v>0</v>
      </c>
      <c r="F2324" s="106" t="s">
        <v>2024</v>
      </c>
      <c r="G2324" s="8"/>
      <c r="H2324" s="8"/>
      <c r="I2324" s="107">
        <v>0</v>
      </c>
      <c r="J2324" s="8" t="s">
        <v>4722</v>
      </c>
    </row>
    <row r="2325" spans="1:10" ht="16.5" customHeight="1" x14ac:dyDescent="0.25">
      <c r="A2325" s="8" t="s">
        <v>8488</v>
      </c>
      <c r="B2325" s="8" t="s">
        <v>8489</v>
      </c>
      <c r="C2325" s="8" t="s">
        <v>8490</v>
      </c>
      <c r="D2325" s="8" t="s">
        <v>8489</v>
      </c>
      <c r="E2325" s="105">
        <v>0</v>
      </c>
      <c r="F2325" s="106" t="s">
        <v>2024</v>
      </c>
      <c r="G2325" s="8"/>
      <c r="H2325" s="8"/>
      <c r="I2325" s="107">
        <v>0</v>
      </c>
      <c r="J2325" s="8" t="s">
        <v>4722</v>
      </c>
    </row>
    <row r="2326" spans="1:10" ht="16.5" customHeight="1" x14ac:dyDescent="0.25">
      <c r="A2326" s="8" t="s">
        <v>8491</v>
      </c>
      <c r="B2326" s="8" t="s">
        <v>8492</v>
      </c>
      <c r="C2326" s="8" t="s">
        <v>8493</v>
      </c>
      <c r="D2326" s="8" t="s">
        <v>8492</v>
      </c>
      <c r="E2326" s="105">
        <v>20</v>
      </c>
      <c r="F2326" s="106" t="s">
        <v>2024</v>
      </c>
      <c r="G2326" s="8"/>
      <c r="H2326" s="8"/>
      <c r="I2326" s="107">
        <v>0</v>
      </c>
      <c r="J2326" s="8" t="s">
        <v>6357</v>
      </c>
    </row>
    <row r="2327" spans="1:10" ht="16.5" customHeight="1" x14ac:dyDescent="0.25">
      <c r="A2327" s="8" t="s">
        <v>8494</v>
      </c>
      <c r="B2327" s="8" t="s">
        <v>8495</v>
      </c>
      <c r="C2327" s="8" t="s">
        <v>3932</v>
      </c>
      <c r="D2327" s="8" t="s">
        <v>8495</v>
      </c>
      <c r="E2327" s="105">
        <v>1</v>
      </c>
      <c r="F2327" s="106" t="s">
        <v>2018</v>
      </c>
      <c r="G2327" s="8"/>
      <c r="H2327" s="8"/>
      <c r="I2327" s="107">
        <v>0</v>
      </c>
      <c r="J2327" s="8" t="s">
        <v>3695</v>
      </c>
    </row>
    <row r="2328" spans="1:10" ht="16.5" customHeight="1" x14ac:dyDescent="0.25">
      <c r="A2328" s="8" t="s">
        <v>8496</v>
      </c>
      <c r="B2328" s="8" t="s">
        <v>8497</v>
      </c>
      <c r="C2328" s="8" t="s">
        <v>3918</v>
      </c>
      <c r="D2328" s="8" t="s">
        <v>8497</v>
      </c>
      <c r="E2328" s="105">
        <v>1</v>
      </c>
      <c r="F2328" s="106" t="s">
        <v>2018</v>
      </c>
      <c r="G2328" s="8"/>
      <c r="H2328" s="8"/>
      <c r="I2328" s="107">
        <v>0</v>
      </c>
      <c r="J2328" s="8" t="s">
        <v>3695</v>
      </c>
    </row>
    <row r="2329" spans="1:10" ht="16.5" customHeight="1" x14ac:dyDescent="0.25">
      <c r="A2329" s="8" t="s">
        <v>8498</v>
      </c>
      <c r="B2329" s="8" t="s">
        <v>8499</v>
      </c>
      <c r="C2329" s="8" t="s">
        <v>3967</v>
      </c>
      <c r="D2329" s="8" t="s">
        <v>8499</v>
      </c>
      <c r="E2329" s="105">
        <v>1</v>
      </c>
      <c r="F2329" s="106" t="s">
        <v>2018</v>
      </c>
      <c r="G2329" s="8"/>
      <c r="H2329" s="8"/>
      <c r="I2329" s="107">
        <v>0</v>
      </c>
      <c r="J2329" s="8" t="s">
        <v>3695</v>
      </c>
    </row>
    <row r="2330" spans="1:10" ht="16.5" customHeight="1" x14ac:dyDescent="0.25">
      <c r="A2330" s="8" t="s">
        <v>8500</v>
      </c>
      <c r="B2330" s="8" t="s">
        <v>8501</v>
      </c>
      <c r="C2330" s="8" t="s">
        <v>3943</v>
      </c>
      <c r="D2330" s="8" t="s">
        <v>8501</v>
      </c>
      <c r="E2330" s="105">
        <v>1</v>
      </c>
      <c r="F2330" s="106" t="s">
        <v>2024</v>
      </c>
      <c r="G2330" s="8"/>
      <c r="H2330" s="8"/>
      <c r="I2330" s="107">
        <v>0</v>
      </c>
      <c r="J2330" s="8" t="s">
        <v>3695</v>
      </c>
    </row>
    <row r="2331" spans="1:10" ht="16.5" customHeight="1" x14ac:dyDescent="0.25">
      <c r="A2331" s="8" t="s">
        <v>8502</v>
      </c>
      <c r="B2331" s="8" t="s">
        <v>8503</v>
      </c>
      <c r="C2331" s="8" t="s">
        <v>3897</v>
      </c>
      <c r="D2331" s="8" t="s">
        <v>8503</v>
      </c>
      <c r="E2331" s="105">
        <v>1</v>
      </c>
      <c r="F2331" s="106" t="s">
        <v>2018</v>
      </c>
      <c r="G2331" s="8"/>
      <c r="H2331" s="8"/>
      <c r="I2331" s="107">
        <v>0</v>
      </c>
      <c r="J2331" s="8" t="s">
        <v>3695</v>
      </c>
    </row>
    <row r="2332" spans="1:10" ht="16.5" customHeight="1" x14ac:dyDescent="0.25">
      <c r="A2332" s="8" t="s">
        <v>8504</v>
      </c>
      <c r="B2332" s="8" t="s">
        <v>8505</v>
      </c>
      <c r="C2332" s="8" t="s">
        <v>4043</v>
      </c>
      <c r="D2332" s="8" t="s">
        <v>8505</v>
      </c>
      <c r="E2332" s="105">
        <v>1</v>
      </c>
      <c r="F2332" s="106" t="s">
        <v>2018</v>
      </c>
      <c r="G2332" s="8"/>
      <c r="H2332" s="8"/>
      <c r="I2332" s="107">
        <v>0</v>
      </c>
      <c r="J2332" s="8" t="s">
        <v>3695</v>
      </c>
    </row>
    <row r="2333" spans="1:10" ht="16.5" customHeight="1" x14ac:dyDescent="0.25">
      <c r="A2333" s="8" t="s">
        <v>8506</v>
      </c>
      <c r="B2333" s="8" t="s">
        <v>8507</v>
      </c>
      <c r="C2333" s="8" t="s">
        <v>8508</v>
      </c>
      <c r="D2333" s="8" t="s">
        <v>8507</v>
      </c>
      <c r="E2333" s="105">
        <v>1</v>
      </c>
      <c r="F2333" s="106" t="s">
        <v>2024</v>
      </c>
      <c r="G2333" s="8"/>
      <c r="H2333" s="8"/>
      <c r="I2333" s="107">
        <v>0</v>
      </c>
      <c r="J2333" s="8" t="s">
        <v>3695</v>
      </c>
    </row>
    <row r="2334" spans="1:10" ht="16.5" customHeight="1" x14ac:dyDescent="0.25">
      <c r="A2334" s="8" t="s">
        <v>8509</v>
      </c>
      <c r="B2334" s="8" t="s">
        <v>8510</v>
      </c>
      <c r="C2334" s="8" t="s">
        <v>8511</v>
      </c>
      <c r="D2334" s="8" t="s">
        <v>8510</v>
      </c>
      <c r="E2334" s="105">
        <v>1</v>
      </c>
      <c r="F2334" s="106" t="s">
        <v>2024</v>
      </c>
      <c r="G2334" s="8"/>
      <c r="H2334" s="8"/>
      <c r="I2334" s="107">
        <v>0</v>
      </c>
      <c r="J2334" s="8" t="s">
        <v>3695</v>
      </c>
    </row>
    <row r="2335" spans="1:10" ht="16.5" customHeight="1" x14ac:dyDescent="0.25">
      <c r="A2335" s="8" t="s">
        <v>8512</v>
      </c>
      <c r="B2335" s="8" t="s">
        <v>8513</v>
      </c>
      <c r="C2335" s="8" t="s">
        <v>8514</v>
      </c>
      <c r="D2335" s="8" t="s">
        <v>8513</v>
      </c>
      <c r="E2335" s="105">
        <v>1</v>
      </c>
      <c r="F2335" s="106" t="s">
        <v>2024</v>
      </c>
      <c r="G2335" s="8"/>
      <c r="H2335" s="8"/>
      <c r="I2335" s="107">
        <v>0</v>
      </c>
      <c r="J2335" s="8" t="s">
        <v>3695</v>
      </c>
    </row>
    <row r="2336" spans="1:10" ht="16.5" customHeight="1" x14ac:dyDescent="0.25">
      <c r="A2336" s="8" t="s">
        <v>8515</v>
      </c>
      <c r="B2336" s="8" t="s">
        <v>8516</v>
      </c>
      <c r="C2336" s="8" t="s">
        <v>1624</v>
      </c>
      <c r="D2336" s="8" t="s">
        <v>8516</v>
      </c>
      <c r="E2336" s="105">
        <v>6</v>
      </c>
      <c r="F2336" s="106" t="s">
        <v>2024</v>
      </c>
      <c r="G2336" s="8" t="s">
        <v>1541</v>
      </c>
      <c r="H2336" s="8" t="s">
        <v>8517</v>
      </c>
      <c r="I2336" s="107">
        <v>12</v>
      </c>
      <c r="J2336" s="8" t="s">
        <v>5929</v>
      </c>
    </row>
    <row r="2337" spans="1:10" ht="16.5" customHeight="1" x14ac:dyDescent="0.25">
      <c r="A2337" s="8" t="s">
        <v>8517</v>
      </c>
      <c r="B2337" s="8" t="s">
        <v>8518</v>
      </c>
      <c r="C2337" s="8" t="s">
        <v>8519</v>
      </c>
      <c r="D2337" s="8" t="s">
        <v>8518</v>
      </c>
      <c r="E2337" s="105">
        <v>0.5</v>
      </c>
      <c r="F2337" s="106" t="s">
        <v>2024</v>
      </c>
      <c r="G2337" s="8" t="s">
        <v>1541</v>
      </c>
      <c r="H2337" s="8"/>
      <c r="I2337" s="107">
        <v>0</v>
      </c>
      <c r="J2337" s="8" t="s">
        <v>5929</v>
      </c>
    </row>
    <row r="2338" spans="1:10" ht="16.5" customHeight="1" x14ac:dyDescent="0.25">
      <c r="A2338" s="8" t="s">
        <v>8520</v>
      </c>
      <c r="B2338" s="8" t="s">
        <v>8521</v>
      </c>
      <c r="C2338" s="8" t="s">
        <v>990</v>
      </c>
      <c r="D2338" s="8" t="s">
        <v>8521</v>
      </c>
      <c r="E2338" s="105">
        <v>10.92</v>
      </c>
      <c r="F2338" s="106" t="s">
        <v>2024</v>
      </c>
      <c r="G2338" s="8"/>
      <c r="H2338" s="8"/>
      <c r="I2338" s="107">
        <v>0</v>
      </c>
      <c r="J2338" s="8" t="s">
        <v>2019</v>
      </c>
    </row>
    <row r="2339" spans="1:10" ht="16.5" customHeight="1" x14ac:dyDescent="0.25">
      <c r="A2339" s="8" t="s">
        <v>8522</v>
      </c>
      <c r="B2339" s="8" t="s">
        <v>8523</v>
      </c>
      <c r="C2339" s="8" t="s">
        <v>990</v>
      </c>
      <c r="D2339" s="8" t="s">
        <v>8523</v>
      </c>
      <c r="E2339" s="105">
        <v>0.91</v>
      </c>
      <c r="F2339" s="106" t="s">
        <v>2024</v>
      </c>
      <c r="G2339" s="8"/>
      <c r="H2339" s="8"/>
      <c r="I2339" s="107">
        <v>0</v>
      </c>
      <c r="J2339" s="8" t="s">
        <v>2019</v>
      </c>
    </row>
    <row r="2340" spans="1:10" ht="16.5" customHeight="1" x14ac:dyDescent="0.25">
      <c r="A2340" s="8" t="s">
        <v>8524</v>
      </c>
      <c r="B2340" s="8" t="s">
        <v>8525</v>
      </c>
      <c r="C2340" s="8" t="s">
        <v>8526</v>
      </c>
      <c r="D2340" s="8" t="s">
        <v>8525</v>
      </c>
      <c r="E2340" s="105">
        <v>25</v>
      </c>
      <c r="F2340" s="106" t="s">
        <v>2018</v>
      </c>
      <c r="G2340" s="8"/>
      <c r="H2340" s="8"/>
      <c r="I2340" s="107">
        <v>0</v>
      </c>
      <c r="J2340" s="8" t="s">
        <v>2019</v>
      </c>
    </row>
    <row r="2341" spans="1:10" ht="16.5" customHeight="1" x14ac:dyDescent="0.25">
      <c r="A2341" s="8" t="s">
        <v>8527</v>
      </c>
      <c r="B2341" s="8" t="s">
        <v>8528</v>
      </c>
      <c r="C2341" s="8" t="s">
        <v>8529</v>
      </c>
      <c r="D2341" s="8" t="s">
        <v>8528</v>
      </c>
      <c r="E2341" s="105">
        <v>0</v>
      </c>
      <c r="F2341" s="106" t="s">
        <v>2024</v>
      </c>
      <c r="G2341" s="8"/>
      <c r="H2341" s="8"/>
      <c r="I2341" s="107">
        <v>0</v>
      </c>
      <c r="J2341" s="8" t="s">
        <v>4722</v>
      </c>
    </row>
    <row r="2342" spans="1:10" ht="16.5" customHeight="1" x14ac:dyDescent="0.25">
      <c r="A2342" s="8" t="s">
        <v>8530</v>
      </c>
      <c r="B2342" s="8" t="s">
        <v>8531</v>
      </c>
      <c r="C2342" s="8" t="s">
        <v>8532</v>
      </c>
      <c r="D2342" s="8" t="s">
        <v>8531</v>
      </c>
      <c r="E2342" s="105">
        <v>0</v>
      </c>
      <c r="F2342" s="106" t="s">
        <v>2018</v>
      </c>
      <c r="G2342" s="8"/>
      <c r="H2342" s="8"/>
      <c r="I2342" s="107">
        <v>0</v>
      </c>
      <c r="J2342" s="8" t="s">
        <v>4722</v>
      </c>
    </row>
    <row r="2343" spans="1:10" ht="16.5" customHeight="1" x14ac:dyDescent="0.25">
      <c r="A2343" s="8" t="s">
        <v>8533</v>
      </c>
      <c r="B2343" s="8" t="s">
        <v>8534</v>
      </c>
      <c r="C2343" s="8" t="s">
        <v>8535</v>
      </c>
      <c r="D2343" s="8" t="s">
        <v>8534</v>
      </c>
      <c r="E2343" s="105">
        <v>0</v>
      </c>
      <c r="F2343" s="106" t="s">
        <v>2018</v>
      </c>
      <c r="G2343" s="8"/>
      <c r="H2343" s="8"/>
      <c r="I2343" s="107">
        <v>0</v>
      </c>
      <c r="J2343" s="8" t="s">
        <v>4722</v>
      </c>
    </row>
    <row r="2344" spans="1:10" ht="16.5" customHeight="1" x14ac:dyDescent="0.25">
      <c r="A2344" s="8" t="s">
        <v>8536</v>
      </c>
      <c r="B2344" s="8" t="s">
        <v>8537</v>
      </c>
      <c r="C2344" s="8" t="s">
        <v>8538</v>
      </c>
      <c r="D2344" s="8" t="s">
        <v>8537</v>
      </c>
      <c r="E2344" s="105">
        <v>10</v>
      </c>
      <c r="F2344" s="106" t="s">
        <v>2024</v>
      </c>
      <c r="G2344" s="8" t="s">
        <v>1541</v>
      </c>
      <c r="H2344" s="8" t="s">
        <v>8539</v>
      </c>
      <c r="I2344" s="107">
        <v>4</v>
      </c>
      <c r="J2344" s="8" t="s">
        <v>5929</v>
      </c>
    </row>
    <row r="2345" spans="1:10" ht="16.5" customHeight="1" x14ac:dyDescent="0.25">
      <c r="A2345" s="8" t="s">
        <v>8539</v>
      </c>
      <c r="B2345" s="8" t="s">
        <v>8540</v>
      </c>
      <c r="C2345" s="8" t="s">
        <v>8540</v>
      </c>
      <c r="D2345" s="8" t="s">
        <v>8540</v>
      </c>
      <c r="E2345" s="105">
        <v>2.5</v>
      </c>
      <c r="F2345" s="106" t="s">
        <v>2024</v>
      </c>
      <c r="G2345" s="8" t="s">
        <v>1541</v>
      </c>
      <c r="H2345" s="8"/>
      <c r="I2345" s="107">
        <v>0</v>
      </c>
      <c r="J2345" s="8" t="s">
        <v>5929</v>
      </c>
    </row>
    <row r="2346" spans="1:10" ht="16.5" customHeight="1" x14ac:dyDescent="0.25">
      <c r="A2346" s="8" t="s">
        <v>8541</v>
      </c>
      <c r="B2346" s="8" t="s">
        <v>8542</v>
      </c>
      <c r="C2346" s="8" t="s">
        <v>8543</v>
      </c>
      <c r="D2346" s="8" t="s">
        <v>8542</v>
      </c>
      <c r="E2346" s="105">
        <v>1</v>
      </c>
      <c r="F2346" s="106" t="s">
        <v>2024</v>
      </c>
      <c r="G2346" s="8"/>
      <c r="H2346" s="8"/>
      <c r="I2346" s="107">
        <v>0</v>
      </c>
      <c r="J2346" s="8" t="s">
        <v>6357</v>
      </c>
    </row>
    <row r="2347" spans="1:10" ht="16.5" customHeight="1" x14ac:dyDescent="0.25">
      <c r="A2347" s="8" t="s">
        <v>8544</v>
      </c>
      <c r="B2347" s="8" t="s">
        <v>8545</v>
      </c>
      <c r="C2347" s="8" t="s">
        <v>8546</v>
      </c>
      <c r="D2347" s="8" t="s">
        <v>8545</v>
      </c>
      <c r="E2347" s="105">
        <v>0</v>
      </c>
      <c r="F2347" s="106" t="s">
        <v>2018</v>
      </c>
      <c r="G2347" s="8"/>
      <c r="H2347" s="8"/>
      <c r="I2347" s="107">
        <v>0</v>
      </c>
      <c r="J2347" s="8" t="s">
        <v>4722</v>
      </c>
    </row>
    <row r="2348" spans="1:10" ht="16.5" customHeight="1" x14ac:dyDescent="0.25">
      <c r="A2348" s="8" t="s">
        <v>1115</v>
      </c>
      <c r="B2348" s="8" t="s">
        <v>1117</v>
      </c>
      <c r="C2348" s="8" t="s">
        <v>1116</v>
      </c>
      <c r="D2348" s="8" t="s">
        <v>1117</v>
      </c>
      <c r="E2348" s="105">
        <v>1</v>
      </c>
      <c r="F2348" s="106" t="s">
        <v>2018</v>
      </c>
      <c r="G2348" s="8"/>
      <c r="H2348" s="8"/>
      <c r="I2348" s="107">
        <v>0</v>
      </c>
      <c r="J2348" s="8" t="s">
        <v>2019</v>
      </c>
    </row>
    <row r="2349" spans="1:10" ht="16.5" customHeight="1" x14ac:dyDescent="0.25">
      <c r="A2349" s="8" t="s">
        <v>8547</v>
      </c>
      <c r="B2349" s="8" t="s">
        <v>8548</v>
      </c>
      <c r="C2349" s="8" t="s">
        <v>8549</v>
      </c>
      <c r="D2349" s="8" t="s">
        <v>8548</v>
      </c>
      <c r="E2349" s="105">
        <v>1</v>
      </c>
      <c r="F2349" s="106" t="s">
        <v>2018</v>
      </c>
      <c r="G2349" s="8"/>
      <c r="H2349" s="8"/>
      <c r="I2349" s="107">
        <v>0</v>
      </c>
      <c r="J2349" s="8" t="s">
        <v>2019</v>
      </c>
    </row>
    <row r="2350" spans="1:10" ht="16.5" customHeight="1" x14ac:dyDescent="0.25">
      <c r="A2350" s="8" t="s">
        <v>8550</v>
      </c>
      <c r="B2350" s="8" t="s">
        <v>8551</v>
      </c>
      <c r="C2350" s="8" t="s">
        <v>8552</v>
      </c>
      <c r="D2350" s="8" t="s">
        <v>8551</v>
      </c>
      <c r="E2350" s="105">
        <v>15.2</v>
      </c>
      <c r="F2350" s="106" t="s">
        <v>2024</v>
      </c>
      <c r="G2350" s="8"/>
      <c r="H2350" s="8"/>
      <c r="I2350" s="107">
        <v>0</v>
      </c>
      <c r="J2350" s="8" t="s">
        <v>6357</v>
      </c>
    </row>
    <row r="2351" spans="1:10" ht="16.5" customHeight="1" x14ac:dyDescent="0.25">
      <c r="A2351" s="8" t="s">
        <v>8553</v>
      </c>
      <c r="B2351" s="8" t="s">
        <v>8554</v>
      </c>
      <c r="C2351" s="8" t="s">
        <v>8555</v>
      </c>
      <c r="D2351" s="8" t="s">
        <v>8554</v>
      </c>
      <c r="E2351" s="105">
        <v>3.8</v>
      </c>
      <c r="F2351" s="106" t="s">
        <v>2024</v>
      </c>
      <c r="G2351" s="8"/>
      <c r="H2351" s="8"/>
      <c r="I2351" s="107">
        <v>0</v>
      </c>
      <c r="J2351" s="8" t="s">
        <v>6357</v>
      </c>
    </row>
    <row r="2352" spans="1:10" ht="16.5" customHeight="1" x14ac:dyDescent="0.25">
      <c r="A2352" s="8" t="s">
        <v>8556</v>
      </c>
      <c r="B2352" s="8" t="s">
        <v>8557</v>
      </c>
      <c r="C2352" s="8" t="s">
        <v>8558</v>
      </c>
      <c r="D2352" s="8" t="s">
        <v>8557</v>
      </c>
      <c r="E2352" s="105">
        <v>1</v>
      </c>
      <c r="F2352" s="106" t="s">
        <v>2024</v>
      </c>
      <c r="G2352" s="8"/>
      <c r="H2352" s="8"/>
      <c r="I2352" s="107">
        <v>0</v>
      </c>
      <c r="J2352" s="8" t="s">
        <v>3580</v>
      </c>
    </row>
    <row r="2353" spans="1:10" ht="16.5" customHeight="1" x14ac:dyDescent="0.25">
      <c r="A2353" s="8" t="s">
        <v>8559</v>
      </c>
      <c r="B2353" s="8" t="s">
        <v>8560</v>
      </c>
      <c r="C2353" s="8" t="s">
        <v>8561</v>
      </c>
      <c r="D2353" s="8" t="s">
        <v>8560</v>
      </c>
      <c r="E2353" s="105">
        <v>0</v>
      </c>
      <c r="F2353" s="106" t="s">
        <v>2024</v>
      </c>
      <c r="G2353" s="8"/>
      <c r="H2353" s="8"/>
      <c r="I2353" s="107">
        <v>0</v>
      </c>
      <c r="J2353" s="8" t="s">
        <v>4722</v>
      </c>
    </row>
    <row r="2354" spans="1:10" ht="16.5" customHeight="1" x14ac:dyDescent="0.25">
      <c r="A2354" s="8" t="s">
        <v>8562</v>
      </c>
      <c r="B2354" s="8" t="s">
        <v>8563</v>
      </c>
      <c r="C2354" s="8" t="s">
        <v>1721</v>
      </c>
      <c r="D2354" s="8" t="s">
        <v>8563</v>
      </c>
      <c r="E2354" s="105">
        <v>7.7131999999999996</v>
      </c>
      <c r="F2354" s="106" t="s">
        <v>2024</v>
      </c>
      <c r="G2354" s="8" t="s">
        <v>1541</v>
      </c>
      <c r="H2354" s="8" t="s">
        <v>8564</v>
      </c>
      <c r="I2354" s="107">
        <v>24</v>
      </c>
      <c r="J2354" s="8" t="s">
        <v>5929</v>
      </c>
    </row>
    <row r="2355" spans="1:10" ht="16.5" customHeight="1" x14ac:dyDescent="0.25">
      <c r="A2355" s="8" t="s">
        <v>8564</v>
      </c>
      <c r="B2355" s="8" t="s">
        <v>8565</v>
      </c>
      <c r="C2355" s="8" t="s">
        <v>8566</v>
      </c>
      <c r="D2355" s="8" t="s">
        <v>8565</v>
      </c>
      <c r="E2355" s="105">
        <v>0.32140000000000002</v>
      </c>
      <c r="F2355" s="106" t="s">
        <v>2024</v>
      </c>
      <c r="G2355" s="8" t="s">
        <v>1541</v>
      </c>
      <c r="H2355" s="8"/>
      <c r="I2355" s="107">
        <v>0</v>
      </c>
      <c r="J2355" s="8" t="s">
        <v>5929</v>
      </c>
    </row>
    <row r="2356" spans="1:10" ht="16.5" customHeight="1" x14ac:dyDescent="0.25">
      <c r="A2356" s="8" t="s">
        <v>8567</v>
      </c>
      <c r="B2356" s="8" t="s">
        <v>8568</v>
      </c>
      <c r="C2356" s="8" t="s">
        <v>1660</v>
      </c>
      <c r="D2356" s="8" t="s">
        <v>8568</v>
      </c>
      <c r="E2356" s="105">
        <v>13.7736</v>
      </c>
      <c r="F2356" s="106" t="s">
        <v>2024</v>
      </c>
      <c r="G2356" s="8" t="s">
        <v>1541</v>
      </c>
      <c r="H2356" s="8" t="s">
        <v>8569</v>
      </c>
      <c r="I2356" s="107">
        <v>24</v>
      </c>
      <c r="J2356" s="8" t="s">
        <v>5929</v>
      </c>
    </row>
    <row r="2357" spans="1:10" ht="16.5" customHeight="1" x14ac:dyDescent="0.25">
      <c r="A2357" s="8" t="s">
        <v>8569</v>
      </c>
      <c r="B2357" s="8" t="s">
        <v>8570</v>
      </c>
      <c r="C2357" s="8" t="s">
        <v>8571</v>
      </c>
      <c r="D2357" s="8" t="s">
        <v>8570</v>
      </c>
      <c r="E2357" s="105">
        <v>0.57389999999999997</v>
      </c>
      <c r="F2357" s="106" t="s">
        <v>2024</v>
      </c>
      <c r="G2357" s="8" t="s">
        <v>1541</v>
      </c>
      <c r="H2357" s="8"/>
      <c r="I2357" s="107">
        <v>0</v>
      </c>
      <c r="J2357" s="8" t="s">
        <v>5929</v>
      </c>
    </row>
    <row r="2358" spans="1:10" ht="16.5" customHeight="1" x14ac:dyDescent="0.25">
      <c r="A2358" s="8" t="s">
        <v>8572</v>
      </c>
      <c r="B2358" s="8" t="s">
        <v>8573</v>
      </c>
      <c r="C2358" s="8" t="s">
        <v>8574</v>
      </c>
      <c r="D2358" s="8" t="s">
        <v>8573</v>
      </c>
      <c r="E2358" s="105">
        <v>0</v>
      </c>
      <c r="F2358" s="106" t="s">
        <v>2018</v>
      </c>
      <c r="G2358" s="8"/>
      <c r="H2358" s="8"/>
      <c r="I2358" s="107">
        <v>0</v>
      </c>
      <c r="J2358" s="8" t="s">
        <v>4722</v>
      </c>
    </row>
    <row r="2359" spans="1:10" ht="16.5" customHeight="1" x14ac:dyDescent="0.25">
      <c r="A2359" s="8" t="s">
        <v>1170</v>
      </c>
      <c r="B2359" s="8" t="s">
        <v>1172</v>
      </c>
      <c r="C2359" s="8" t="s">
        <v>1171</v>
      </c>
      <c r="D2359" s="8" t="s">
        <v>1172</v>
      </c>
      <c r="E2359" s="105">
        <v>10.92</v>
      </c>
      <c r="F2359" s="106" t="s">
        <v>2018</v>
      </c>
      <c r="G2359" s="8"/>
      <c r="H2359" s="8" t="s">
        <v>8575</v>
      </c>
      <c r="I2359" s="107">
        <v>12</v>
      </c>
      <c r="J2359" s="8" t="s">
        <v>2019</v>
      </c>
    </row>
    <row r="2360" spans="1:10" ht="16.5" customHeight="1" x14ac:dyDescent="0.25">
      <c r="A2360" s="8" t="s">
        <v>8575</v>
      </c>
      <c r="B2360" s="8" t="s">
        <v>8576</v>
      </c>
      <c r="C2360" s="8" t="s">
        <v>1171</v>
      </c>
      <c r="D2360" s="8" t="s">
        <v>8576</v>
      </c>
      <c r="E2360" s="105">
        <v>0.91</v>
      </c>
      <c r="F2360" s="106" t="s">
        <v>2018</v>
      </c>
      <c r="G2360" s="8"/>
      <c r="H2360" s="8"/>
      <c r="I2360" s="107">
        <v>0</v>
      </c>
      <c r="J2360" s="8" t="s">
        <v>2019</v>
      </c>
    </row>
    <row r="2361" spans="1:10" ht="16.5" customHeight="1" x14ac:dyDescent="0.25">
      <c r="A2361" s="8" t="s">
        <v>8577</v>
      </c>
      <c r="B2361" s="8" t="s">
        <v>8578</v>
      </c>
      <c r="C2361" s="8" t="s">
        <v>8579</v>
      </c>
      <c r="D2361" s="8" t="s">
        <v>8578</v>
      </c>
      <c r="E2361" s="105">
        <v>11.88</v>
      </c>
      <c r="F2361" s="106" t="s">
        <v>2024</v>
      </c>
      <c r="G2361" s="8"/>
      <c r="H2361" s="8"/>
      <c r="I2361" s="107">
        <v>0</v>
      </c>
      <c r="J2361" s="8" t="s">
        <v>6357</v>
      </c>
    </row>
    <row r="2362" spans="1:10" ht="16.5" customHeight="1" x14ac:dyDescent="0.25">
      <c r="A2362" s="8" t="s">
        <v>8580</v>
      </c>
      <c r="B2362" s="8" t="s">
        <v>8581</v>
      </c>
      <c r="C2362" s="8" t="s">
        <v>8582</v>
      </c>
      <c r="D2362" s="8" t="s">
        <v>8581</v>
      </c>
      <c r="E2362" s="105">
        <v>0.99</v>
      </c>
      <c r="F2362" s="106" t="s">
        <v>2024</v>
      </c>
      <c r="G2362" s="8"/>
      <c r="H2362" s="8"/>
      <c r="I2362" s="107">
        <v>0</v>
      </c>
      <c r="J2362" s="8" t="s">
        <v>6357</v>
      </c>
    </row>
    <row r="2363" spans="1:10" ht="16.5" customHeight="1" x14ac:dyDescent="0.25">
      <c r="A2363" s="8" t="s">
        <v>8583</v>
      </c>
      <c r="B2363" s="8" t="s">
        <v>8584</v>
      </c>
      <c r="C2363" s="8" t="s">
        <v>8585</v>
      </c>
      <c r="D2363" s="8" t="s">
        <v>8584</v>
      </c>
      <c r="E2363" s="105">
        <v>11.88</v>
      </c>
      <c r="F2363" s="106" t="s">
        <v>2024</v>
      </c>
      <c r="G2363" s="8"/>
      <c r="H2363" s="8"/>
      <c r="I2363" s="107">
        <v>0</v>
      </c>
      <c r="J2363" s="8" t="s">
        <v>6357</v>
      </c>
    </row>
    <row r="2364" spans="1:10" ht="16.5" customHeight="1" x14ac:dyDescent="0.25">
      <c r="A2364" s="8" t="s">
        <v>8586</v>
      </c>
      <c r="B2364" s="8" t="s">
        <v>8587</v>
      </c>
      <c r="C2364" s="8" t="s">
        <v>8588</v>
      </c>
      <c r="D2364" s="8" t="s">
        <v>8587</v>
      </c>
      <c r="E2364" s="105">
        <v>0.99</v>
      </c>
      <c r="F2364" s="106" t="s">
        <v>2024</v>
      </c>
      <c r="G2364" s="8"/>
      <c r="H2364" s="8"/>
      <c r="I2364" s="107">
        <v>0</v>
      </c>
      <c r="J2364" s="8" t="s">
        <v>6357</v>
      </c>
    </row>
    <row r="2365" spans="1:10" ht="16.5" customHeight="1" x14ac:dyDescent="0.25">
      <c r="A2365" s="8" t="s">
        <v>8589</v>
      </c>
      <c r="B2365" s="8" t="s">
        <v>8590</v>
      </c>
      <c r="C2365" s="8" t="s">
        <v>8591</v>
      </c>
      <c r="D2365" s="8" t="s">
        <v>8590</v>
      </c>
      <c r="E2365" s="105">
        <v>6</v>
      </c>
      <c r="F2365" s="106" t="s">
        <v>2024</v>
      </c>
      <c r="G2365" s="8" t="s">
        <v>1541</v>
      </c>
      <c r="H2365" s="8" t="s">
        <v>8592</v>
      </c>
      <c r="I2365" s="107">
        <v>24</v>
      </c>
      <c r="J2365" s="8" t="s">
        <v>5929</v>
      </c>
    </row>
    <row r="2366" spans="1:10" ht="16.5" customHeight="1" x14ac:dyDescent="0.25">
      <c r="A2366" s="8" t="s">
        <v>8592</v>
      </c>
      <c r="B2366" s="8" t="s">
        <v>8593</v>
      </c>
      <c r="C2366" s="8" t="s">
        <v>8594</v>
      </c>
      <c r="D2366" s="8" t="s">
        <v>8593</v>
      </c>
      <c r="E2366" s="105">
        <v>0.25</v>
      </c>
      <c r="F2366" s="106" t="s">
        <v>2024</v>
      </c>
      <c r="G2366" s="8" t="s">
        <v>1541</v>
      </c>
      <c r="H2366" s="8"/>
      <c r="I2366" s="107">
        <v>0</v>
      </c>
      <c r="J2366" s="8" t="s">
        <v>5929</v>
      </c>
    </row>
    <row r="2367" spans="1:10" ht="16.5" customHeight="1" x14ac:dyDescent="0.25">
      <c r="A2367" s="8" t="s">
        <v>8595</v>
      </c>
      <c r="B2367" s="8" t="s">
        <v>8596</v>
      </c>
      <c r="C2367" s="8" t="s">
        <v>8597</v>
      </c>
      <c r="D2367" s="8" t="s">
        <v>8596</v>
      </c>
      <c r="E2367" s="105">
        <v>0.5</v>
      </c>
      <c r="F2367" s="106" t="s">
        <v>2024</v>
      </c>
      <c r="G2367" s="8" t="s">
        <v>1541</v>
      </c>
      <c r="H2367" s="8"/>
      <c r="I2367" s="107">
        <v>0</v>
      </c>
      <c r="J2367" s="8" t="s">
        <v>5929</v>
      </c>
    </row>
    <row r="2368" spans="1:10" ht="16.5" customHeight="1" x14ac:dyDescent="0.25">
      <c r="A2368" s="8" t="s">
        <v>8598</v>
      </c>
      <c r="B2368" s="8" t="s">
        <v>8599</v>
      </c>
      <c r="C2368" s="8" t="s">
        <v>8600</v>
      </c>
      <c r="D2368" s="8" t="s">
        <v>8599</v>
      </c>
      <c r="E2368" s="105">
        <v>0</v>
      </c>
      <c r="F2368" s="106" t="s">
        <v>2024</v>
      </c>
      <c r="G2368" s="8"/>
      <c r="H2368" s="8"/>
      <c r="I2368" s="107">
        <v>0</v>
      </c>
      <c r="J2368" s="8" t="s">
        <v>4789</v>
      </c>
    </row>
    <row r="2369" spans="1:10" ht="16.5" customHeight="1" x14ac:dyDescent="0.25">
      <c r="A2369" s="8" t="s">
        <v>8601</v>
      </c>
      <c r="B2369" s="8" t="s">
        <v>8602</v>
      </c>
      <c r="C2369" s="8" t="s">
        <v>1669</v>
      </c>
      <c r="D2369" s="8" t="s">
        <v>8602</v>
      </c>
      <c r="E2369" s="105">
        <v>6</v>
      </c>
      <c r="F2369" s="106" t="s">
        <v>2024</v>
      </c>
      <c r="G2369" s="8" t="s">
        <v>1541</v>
      </c>
      <c r="H2369" s="8" t="s">
        <v>8595</v>
      </c>
      <c r="I2369" s="107">
        <v>12</v>
      </c>
      <c r="J2369" s="8" t="s">
        <v>5929</v>
      </c>
    </row>
    <row r="2370" spans="1:10" ht="16.5" customHeight="1" x14ac:dyDescent="0.25">
      <c r="A2370" s="8" t="s">
        <v>8603</v>
      </c>
      <c r="B2370" s="8" t="s">
        <v>8604</v>
      </c>
      <c r="C2370" s="8" t="s">
        <v>947</v>
      </c>
      <c r="D2370" s="8" t="s">
        <v>8604</v>
      </c>
      <c r="E2370" s="105">
        <v>10.92</v>
      </c>
      <c r="F2370" s="106" t="s">
        <v>2018</v>
      </c>
      <c r="G2370" s="8"/>
      <c r="H2370" s="8"/>
      <c r="I2370" s="107">
        <v>0</v>
      </c>
      <c r="J2370" s="8" t="s">
        <v>2019</v>
      </c>
    </row>
    <row r="2371" spans="1:10" ht="16.5" customHeight="1" x14ac:dyDescent="0.25">
      <c r="A2371" s="8" t="s">
        <v>8605</v>
      </c>
      <c r="B2371" s="8" t="s">
        <v>8606</v>
      </c>
      <c r="C2371" s="8" t="s">
        <v>947</v>
      </c>
      <c r="D2371" s="8" t="s">
        <v>8606</v>
      </c>
      <c r="E2371" s="105">
        <v>0.91</v>
      </c>
      <c r="F2371" s="106" t="s">
        <v>2018</v>
      </c>
      <c r="G2371" s="8"/>
      <c r="H2371" s="8"/>
      <c r="I2371" s="107">
        <v>0</v>
      </c>
      <c r="J2371" s="8" t="s">
        <v>2019</v>
      </c>
    </row>
    <row r="2372" spans="1:10" ht="16.5" customHeight="1" x14ac:dyDescent="0.25">
      <c r="A2372" s="8" t="s">
        <v>8607</v>
      </c>
      <c r="B2372" s="8" t="s">
        <v>8608</v>
      </c>
      <c r="C2372" s="8" t="s">
        <v>1125</v>
      </c>
      <c r="D2372" s="8" t="s">
        <v>8608</v>
      </c>
      <c r="E2372" s="105">
        <v>1.82</v>
      </c>
      <c r="F2372" s="106" t="s">
        <v>2024</v>
      </c>
      <c r="G2372" s="8"/>
      <c r="H2372" s="8"/>
      <c r="I2372" s="107">
        <v>0</v>
      </c>
      <c r="J2372" s="8" t="s">
        <v>2019</v>
      </c>
    </row>
    <row r="2373" spans="1:10" ht="16.5" customHeight="1" x14ac:dyDescent="0.25">
      <c r="A2373" s="8" t="s">
        <v>8609</v>
      </c>
      <c r="B2373" s="8" t="s">
        <v>8610</v>
      </c>
      <c r="C2373" s="8" t="s">
        <v>1125</v>
      </c>
      <c r="D2373" s="8" t="s">
        <v>8610</v>
      </c>
      <c r="E2373" s="105">
        <v>10.92</v>
      </c>
      <c r="F2373" s="106" t="s">
        <v>2018</v>
      </c>
      <c r="G2373" s="8"/>
      <c r="H2373" s="8"/>
      <c r="I2373" s="107">
        <v>0</v>
      </c>
      <c r="J2373" s="8" t="s">
        <v>2019</v>
      </c>
    </row>
    <row r="2374" spans="1:10" ht="16.5" customHeight="1" x14ac:dyDescent="0.25">
      <c r="A2374" s="8" t="s">
        <v>8611</v>
      </c>
      <c r="B2374" s="8" t="s">
        <v>8612</v>
      </c>
      <c r="C2374" s="8" t="s">
        <v>1068</v>
      </c>
      <c r="D2374" s="8" t="s">
        <v>8612</v>
      </c>
      <c r="E2374" s="105">
        <v>4.55</v>
      </c>
      <c r="F2374" s="106" t="s">
        <v>2024</v>
      </c>
      <c r="G2374" s="8"/>
      <c r="H2374" s="8"/>
      <c r="I2374" s="107">
        <v>0</v>
      </c>
      <c r="J2374" s="8" t="s">
        <v>2019</v>
      </c>
    </row>
    <row r="2375" spans="1:10" ht="16.5" customHeight="1" x14ac:dyDescent="0.25">
      <c r="A2375" s="8" t="s">
        <v>8613</v>
      </c>
      <c r="B2375" s="8" t="s">
        <v>8614</v>
      </c>
      <c r="C2375" s="8" t="s">
        <v>1068</v>
      </c>
      <c r="D2375" s="8" t="s">
        <v>8614</v>
      </c>
      <c r="E2375" s="105">
        <v>18.2</v>
      </c>
      <c r="F2375" s="106" t="s">
        <v>2018</v>
      </c>
      <c r="G2375" s="8"/>
      <c r="H2375" s="8"/>
      <c r="I2375" s="107">
        <v>0</v>
      </c>
      <c r="J2375" s="8" t="s">
        <v>2019</v>
      </c>
    </row>
    <row r="2376" spans="1:10" ht="16.5" customHeight="1" x14ac:dyDescent="0.25">
      <c r="A2376" s="8" t="s">
        <v>8615</v>
      </c>
      <c r="B2376" s="8" t="s">
        <v>8616</v>
      </c>
      <c r="C2376" s="8" t="s">
        <v>6899</v>
      </c>
      <c r="D2376" s="8" t="s">
        <v>8616</v>
      </c>
      <c r="E2376" s="105">
        <v>0.36</v>
      </c>
      <c r="F2376" s="106" t="s">
        <v>2024</v>
      </c>
      <c r="G2376" s="8"/>
      <c r="H2376" s="8"/>
      <c r="I2376" s="107">
        <v>0</v>
      </c>
      <c r="J2376" s="8" t="s">
        <v>2019</v>
      </c>
    </row>
    <row r="2377" spans="1:10" ht="16.5" customHeight="1" x14ac:dyDescent="0.25">
      <c r="A2377" s="8" t="s">
        <v>8617</v>
      </c>
      <c r="B2377" s="8" t="s">
        <v>8618</v>
      </c>
      <c r="C2377" s="8" t="s">
        <v>6899</v>
      </c>
      <c r="D2377" s="8" t="s">
        <v>8618</v>
      </c>
      <c r="E2377" s="105">
        <v>7.28</v>
      </c>
      <c r="F2377" s="106" t="s">
        <v>2024</v>
      </c>
      <c r="G2377" s="8"/>
      <c r="H2377" s="8"/>
      <c r="I2377" s="107">
        <v>0</v>
      </c>
      <c r="J2377" s="8" t="s">
        <v>2019</v>
      </c>
    </row>
    <row r="2378" spans="1:10" ht="16.5" customHeight="1" x14ac:dyDescent="0.25">
      <c r="A2378" s="8" t="s">
        <v>8619</v>
      </c>
      <c r="B2378" s="8" t="s">
        <v>1175</v>
      </c>
      <c r="C2378" s="8" t="s">
        <v>1174</v>
      </c>
      <c r="D2378" s="8" t="s">
        <v>1175</v>
      </c>
      <c r="E2378" s="105">
        <v>10.92</v>
      </c>
      <c r="F2378" s="106" t="s">
        <v>2024</v>
      </c>
      <c r="G2378" s="8"/>
      <c r="H2378" s="8"/>
      <c r="I2378" s="107">
        <v>0</v>
      </c>
      <c r="J2378" s="8" t="s">
        <v>2019</v>
      </c>
    </row>
    <row r="2379" spans="1:10" ht="16.5" customHeight="1" x14ac:dyDescent="0.25">
      <c r="A2379" s="8" t="s">
        <v>8620</v>
      </c>
      <c r="B2379" s="8" t="s">
        <v>8621</v>
      </c>
      <c r="C2379" s="8" t="s">
        <v>8622</v>
      </c>
      <c r="D2379" s="8" t="s">
        <v>8621</v>
      </c>
      <c r="E2379" s="105">
        <v>18</v>
      </c>
      <c r="F2379" s="106" t="s">
        <v>2018</v>
      </c>
      <c r="G2379" s="8"/>
      <c r="H2379" s="8"/>
      <c r="I2379" s="107">
        <v>0</v>
      </c>
      <c r="J2379" s="8" t="s">
        <v>2019</v>
      </c>
    </row>
    <row r="2380" spans="1:10" ht="16.5" customHeight="1" x14ac:dyDescent="0.25">
      <c r="A2380" s="8" t="s">
        <v>4321</v>
      </c>
      <c r="B2380" s="8" t="s">
        <v>8623</v>
      </c>
      <c r="C2380" s="8" t="s">
        <v>7029</v>
      </c>
      <c r="D2380" s="8" t="s">
        <v>8623</v>
      </c>
      <c r="E2380" s="105">
        <v>0.80100000000000005</v>
      </c>
      <c r="F2380" s="106" t="s">
        <v>2018</v>
      </c>
      <c r="G2380" s="8"/>
      <c r="H2380" s="8"/>
      <c r="I2380" s="107">
        <v>0</v>
      </c>
      <c r="J2380" s="8" t="s">
        <v>2019</v>
      </c>
    </row>
    <row r="2381" spans="1:10" ht="16.5" customHeight="1" x14ac:dyDescent="0.25">
      <c r="A2381" s="8" t="s">
        <v>8624</v>
      </c>
      <c r="B2381" s="8" t="s">
        <v>8625</v>
      </c>
      <c r="C2381" s="8" t="s">
        <v>8626</v>
      </c>
      <c r="D2381" s="8" t="s">
        <v>8625</v>
      </c>
      <c r="E2381" s="105">
        <v>10.8</v>
      </c>
      <c r="F2381" s="106" t="s">
        <v>2024</v>
      </c>
      <c r="G2381" s="8"/>
      <c r="H2381" s="8"/>
      <c r="I2381" s="107">
        <v>0</v>
      </c>
      <c r="J2381" s="8" t="s">
        <v>6357</v>
      </c>
    </row>
    <row r="2382" spans="1:10" ht="16.5" customHeight="1" x14ac:dyDescent="0.25">
      <c r="A2382" s="8" t="s">
        <v>8627</v>
      </c>
      <c r="B2382" s="8" t="s">
        <v>8628</v>
      </c>
      <c r="C2382" s="8" t="s">
        <v>8629</v>
      </c>
      <c r="D2382" s="8" t="s">
        <v>8628</v>
      </c>
      <c r="E2382" s="105">
        <v>10.8</v>
      </c>
      <c r="F2382" s="106" t="s">
        <v>2024</v>
      </c>
      <c r="G2382" s="8"/>
      <c r="H2382" s="8"/>
      <c r="I2382" s="107">
        <v>0</v>
      </c>
      <c r="J2382" s="8" t="s">
        <v>6357</v>
      </c>
    </row>
    <row r="2383" spans="1:10" ht="16.5" customHeight="1" x14ac:dyDescent="0.25">
      <c r="A2383" s="8" t="s">
        <v>8630</v>
      </c>
      <c r="B2383" s="8" t="s">
        <v>8631</v>
      </c>
      <c r="C2383" s="8" t="s">
        <v>8632</v>
      </c>
      <c r="D2383" s="8" t="s">
        <v>8633</v>
      </c>
      <c r="E2383" s="105">
        <v>0.3</v>
      </c>
      <c r="F2383" s="106" t="s">
        <v>2024</v>
      </c>
      <c r="G2383" s="8"/>
      <c r="H2383" s="8"/>
      <c r="I2383" s="107">
        <v>0</v>
      </c>
      <c r="J2383" s="8" t="s">
        <v>6357</v>
      </c>
    </row>
    <row r="2384" spans="1:10" ht="16.5" customHeight="1" x14ac:dyDescent="0.25">
      <c r="A2384" s="8" t="s">
        <v>8634</v>
      </c>
      <c r="B2384" s="8" t="s">
        <v>8635</v>
      </c>
      <c r="C2384" s="8" t="s">
        <v>8636</v>
      </c>
      <c r="D2384" s="8" t="s">
        <v>8635</v>
      </c>
      <c r="E2384" s="105">
        <v>0.3</v>
      </c>
      <c r="F2384" s="106" t="s">
        <v>2024</v>
      </c>
      <c r="G2384" s="8"/>
      <c r="H2384" s="8"/>
      <c r="I2384" s="107">
        <v>0</v>
      </c>
      <c r="J2384" s="8" t="s">
        <v>6357</v>
      </c>
    </row>
    <row r="2385" spans="1:10" ht="16.5" customHeight="1" x14ac:dyDescent="0.25">
      <c r="A2385" s="8" t="s">
        <v>8637</v>
      </c>
      <c r="B2385" s="8" t="s">
        <v>8638</v>
      </c>
      <c r="C2385" s="8" t="s">
        <v>8639</v>
      </c>
      <c r="D2385" s="8" t="s">
        <v>8638</v>
      </c>
      <c r="E2385" s="105">
        <v>1</v>
      </c>
      <c r="F2385" s="106" t="s">
        <v>2024</v>
      </c>
      <c r="G2385" s="8"/>
      <c r="H2385" s="8"/>
      <c r="I2385" s="107">
        <v>0</v>
      </c>
      <c r="J2385" s="8" t="s">
        <v>4722</v>
      </c>
    </row>
    <row r="2386" spans="1:10" ht="16.5" customHeight="1" x14ac:dyDescent="0.25">
      <c r="A2386" s="8" t="s">
        <v>8640</v>
      </c>
      <c r="B2386" s="8" t="s">
        <v>8641</v>
      </c>
      <c r="C2386" s="8" t="s">
        <v>8642</v>
      </c>
      <c r="D2386" s="8" t="s">
        <v>8641</v>
      </c>
      <c r="E2386" s="105">
        <v>0</v>
      </c>
      <c r="F2386" s="106" t="s">
        <v>2024</v>
      </c>
      <c r="G2386" s="8"/>
      <c r="H2386" s="8"/>
      <c r="I2386" s="107">
        <v>0</v>
      </c>
      <c r="J2386" s="8" t="s">
        <v>4722</v>
      </c>
    </row>
    <row r="2387" spans="1:10" ht="16.5" customHeight="1" x14ac:dyDescent="0.25">
      <c r="A2387" s="8" t="s">
        <v>8643</v>
      </c>
      <c r="B2387" s="8" t="s">
        <v>8644</v>
      </c>
      <c r="C2387" s="8" t="s">
        <v>8645</v>
      </c>
      <c r="D2387" s="8" t="s">
        <v>8644</v>
      </c>
      <c r="E2387" s="105">
        <v>0</v>
      </c>
      <c r="F2387" s="106" t="s">
        <v>2024</v>
      </c>
      <c r="G2387" s="8"/>
      <c r="H2387" s="8"/>
      <c r="I2387" s="107">
        <v>0</v>
      </c>
      <c r="J2387" s="8" t="s">
        <v>4722</v>
      </c>
    </row>
    <row r="2388" spans="1:10" ht="16.5" customHeight="1" x14ac:dyDescent="0.25">
      <c r="A2388" s="8" t="s">
        <v>8646</v>
      </c>
      <c r="B2388" s="8" t="s">
        <v>8647</v>
      </c>
      <c r="C2388" s="8" t="s">
        <v>8648</v>
      </c>
      <c r="D2388" s="8" t="s">
        <v>8647</v>
      </c>
      <c r="E2388" s="105">
        <v>0</v>
      </c>
      <c r="F2388" s="106" t="s">
        <v>2024</v>
      </c>
      <c r="G2388" s="8"/>
      <c r="H2388" s="8"/>
      <c r="I2388" s="107">
        <v>0</v>
      </c>
      <c r="J2388" s="8" t="s">
        <v>4722</v>
      </c>
    </row>
    <row r="2389" spans="1:10" ht="16.5" customHeight="1" x14ac:dyDescent="0.25">
      <c r="A2389" s="8" t="s">
        <v>8649</v>
      </c>
      <c r="B2389" s="8" t="s">
        <v>8650</v>
      </c>
      <c r="C2389" s="8" t="s">
        <v>3258</v>
      </c>
      <c r="D2389" s="8" t="s">
        <v>8650</v>
      </c>
      <c r="E2389" s="105">
        <v>18.2</v>
      </c>
      <c r="F2389" s="106" t="s">
        <v>2018</v>
      </c>
      <c r="G2389" s="8"/>
      <c r="H2389" s="8" t="s">
        <v>8651</v>
      </c>
      <c r="I2389" s="107">
        <v>4</v>
      </c>
      <c r="J2389" s="8" t="s">
        <v>2019</v>
      </c>
    </row>
    <row r="2390" spans="1:10" ht="16.5" customHeight="1" x14ac:dyDescent="0.25">
      <c r="A2390" s="8" t="s">
        <v>8652</v>
      </c>
      <c r="B2390" s="8" t="s">
        <v>8653</v>
      </c>
      <c r="C2390" s="8" t="s">
        <v>8654</v>
      </c>
      <c r="D2390" s="8" t="s">
        <v>8653</v>
      </c>
      <c r="E2390" s="105">
        <v>10.92</v>
      </c>
      <c r="F2390" s="106" t="s">
        <v>2018</v>
      </c>
      <c r="G2390" s="8"/>
      <c r="H2390" s="8" t="s">
        <v>8655</v>
      </c>
      <c r="I2390" s="107">
        <v>6</v>
      </c>
      <c r="J2390" s="8" t="s">
        <v>2019</v>
      </c>
    </row>
    <row r="2391" spans="1:10" ht="16.5" customHeight="1" x14ac:dyDescent="0.25">
      <c r="A2391" s="8" t="s">
        <v>8656</v>
      </c>
      <c r="B2391" s="8" t="s">
        <v>8657</v>
      </c>
      <c r="C2391" s="8" t="s">
        <v>8658</v>
      </c>
      <c r="D2391" s="8" t="s">
        <v>8657</v>
      </c>
      <c r="E2391" s="105">
        <v>10.92</v>
      </c>
      <c r="F2391" s="106" t="s">
        <v>2018</v>
      </c>
      <c r="G2391" s="8"/>
      <c r="H2391" s="8" t="s">
        <v>8659</v>
      </c>
      <c r="I2391" s="107">
        <v>12</v>
      </c>
      <c r="J2391" s="8" t="s">
        <v>2019</v>
      </c>
    </row>
    <row r="2392" spans="1:10" ht="16.5" customHeight="1" x14ac:dyDescent="0.25">
      <c r="A2392" s="8" t="s">
        <v>8660</v>
      </c>
      <c r="B2392" s="8" t="s">
        <v>8661</v>
      </c>
      <c r="C2392" s="8" t="s">
        <v>8662</v>
      </c>
      <c r="D2392" s="8" t="s">
        <v>8661</v>
      </c>
      <c r="E2392" s="105">
        <v>0</v>
      </c>
      <c r="F2392" s="106" t="s">
        <v>2024</v>
      </c>
      <c r="G2392" s="8"/>
      <c r="H2392" s="8"/>
      <c r="I2392" s="107">
        <v>0</v>
      </c>
      <c r="J2392" s="8" t="s">
        <v>4789</v>
      </c>
    </row>
    <row r="2393" spans="1:10" ht="16.5" customHeight="1" x14ac:dyDescent="0.25">
      <c r="A2393" s="8" t="s">
        <v>8663</v>
      </c>
      <c r="B2393" s="8" t="s">
        <v>8664</v>
      </c>
      <c r="C2393" s="8" t="s">
        <v>8665</v>
      </c>
      <c r="D2393" s="8" t="s">
        <v>8664</v>
      </c>
      <c r="E2393" s="105">
        <v>0</v>
      </c>
      <c r="F2393" s="106" t="s">
        <v>2024</v>
      </c>
      <c r="G2393" s="8"/>
      <c r="H2393" s="8"/>
      <c r="I2393" s="107">
        <v>0</v>
      </c>
      <c r="J2393" s="8" t="s">
        <v>4789</v>
      </c>
    </row>
    <row r="2394" spans="1:10" ht="16.5" customHeight="1" x14ac:dyDescent="0.25">
      <c r="A2394" s="8" t="s">
        <v>8666</v>
      </c>
      <c r="B2394" s="8" t="s">
        <v>8667</v>
      </c>
      <c r="C2394" s="8" t="s">
        <v>8668</v>
      </c>
      <c r="D2394" s="8" t="s">
        <v>8667</v>
      </c>
      <c r="E2394" s="105">
        <v>1</v>
      </c>
      <c r="F2394" s="106" t="s">
        <v>2018</v>
      </c>
      <c r="G2394" s="8"/>
      <c r="H2394" s="8"/>
      <c r="I2394" s="107">
        <v>0</v>
      </c>
      <c r="J2394" s="8" t="s">
        <v>3695</v>
      </c>
    </row>
    <row r="2395" spans="1:10" ht="16.5" customHeight="1" x14ac:dyDescent="0.25">
      <c r="A2395" s="8" t="s">
        <v>8669</v>
      </c>
      <c r="B2395" s="8" t="s">
        <v>8670</v>
      </c>
      <c r="C2395" s="8" t="s">
        <v>8671</v>
      </c>
      <c r="D2395" s="8" t="s">
        <v>8670</v>
      </c>
      <c r="E2395" s="105">
        <v>0.157</v>
      </c>
      <c r="F2395" s="106" t="s">
        <v>2024</v>
      </c>
      <c r="G2395" s="8"/>
      <c r="H2395" s="8"/>
      <c r="I2395" s="107">
        <v>0</v>
      </c>
      <c r="J2395" s="8" t="s">
        <v>4789</v>
      </c>
    </row>
    <row r="2396" spans="1:10" ht="16.5" customHeight="1" x14ac:dyDescent="0.25">
      <c r="A2396" s="8" t="s">
        <v>8672</v>
      </c>
      <c r="B2396" s="8" t="s">
        <v>8673</v>
      </c>
      <c r="C2396" s="8" t="s">
        <v>8674</v>
      </c>
      <c r="D2396" s="8" t="s">
        <v>8673</v>
      </c>
      <c r="E2396" s="105">
        <v>0.2858</v>
      </c>
      <c r="F2396" s="106" t="s">
        <v>2024</v>
      </c>
      <c r="G2396" s="8"/>
      <c r="H2396" s="8"/>
      <c r="I2396" s="107">
        <v>0</v>
      </c>
      <c r="J2396" s="8" t="s">
        <v>4789</v>
      </c>
    </row>
    <row r="2397" spans="1:10" ht="16.5" customHeight="1" x14ac:dyDescent="0.25">
      <c r="A2397" s="8" t="s">
        <v>8675</v>
      </c>
      <c r="B2397" s="8" t="s">
        <v>8528</v>
      </c>
      <c r="C2397" s="8" t="s">
        <v>8529</v>
      </c>
      <c r="D2397" s="8" t="s">
        <v>8528</v>
      </c>
      <c r="E2397" s="105">
        <v>0</v>
      </c>
      <c r="F2397" s="106" t="s">
        <v>2024</v>
      </c>
      <c r="G2397" s="8"/>
      <c r="H2397" s="8"/>
      <c r="I2397" s="107">
        <v>0</v>
      </c>
      <c r="J2397" s="8" t="s">
        <v>4722</v>
      </c>
    </row>
    <row r="2398" spans="1:10" ht="16.5" customHeight="1" x14ac:dyDescent="0.25">
      <c r="A2398" s="8" t="s">
        <v>8676</v>
      </c>
      <c r="B2398" s="8" t="s">
        <v>8408</v>
      </c>
      <c r="C2398" s="8" t="s">
        <v>8409</v>
      </c>
      <c r="D2398" s="8" t="s">
        <v>8408</v>
      </c>
      <c r="E2398" s="105">
        <v>0</v>
      </c>
      <c r="F2398" s="106" t="s">
        <v>2024</v>
      </c>
      <c r="G2398" s="8"/>
      <c r="H2398" s="8"/>
      <c r="I2398" s="107">
        <v>0</v>
      </c>
      <c r="J2398" s="8" t="s">
        <v>4722</v>
      </c>
    </row>
    <row r="2399" spans="1:10" ht="16.5" customHeight="1" x14ac:dyDescent="0.25">
      <c r="A2399" s="8" t="s">
        <v>8677</v>
      </c>
      <c r="B2399" s="8" t="s">
        <v>8678</v>
      </c>
      <c r="C2399" s="8" t="s">
        <v>8679</v>
      </c>
      <c r="D2399" s="8" t="s">
        <v>8678</v>
      </c>
      <c r="E2399" s="105">
        <v>20</v>
      </c>
      <c r="F2399" s="106" t="s">
        <v>2018</v>
      </c>
      <c r="G2399" s="8"/>
      <c r="H2399" s="8"/>
      <c r="I2399" s="107">
        <v>0</v>
      </c>
      <c r="J2399" s="8" t="s">
        <v>2019</v>
      </c>
    </row>
    <row r="2400" spans="1:10" ht="16.5" customHeight="1" x14ac:dyDescent="0.25">
      <c r="A2400" s="8" t="s">
        <v>8680</v>
      </c>
      <c r="B2400" s="8" t="s">
        <v>8681</v>
      </c>
      <c r="C2400" s="8" t="s">
        <v>8682</v>
      </c>
      <c r="D2400" s="8" t="s">
        <v>8681</v>
      </c>
      <c r="E2400" s="105">
        <v>11.28</v>
      </c>
      <c r="F2400" s="106" t="s">
        <v>2024</v>
      </c>
      <c r="G2400" s="8"/>
      <c r="H2400" s="8"/>
      <c r="I2400" s="107">
        <v>0</v>
      </c>
      <c r="J2400" s="8" t="s">
        <v>5929</v>
      </c>
    </row>
    <row r="2401" spans="1:10" ht="16.5" customHeight="1" x14ac:dyDescent="0.25">
      <c r="A2401" s="8" t="s">
        <v>8683</v>
      </c>
      <c r="B2401" s="8" t="s">
        <v>8684</v>
      </c>
      <c r="C2401" s="8" t="s">
        <v>8685</v>
      </c>
      <c r="D2401" s="8" t="s">
        <v>8684</v>
      </c>
      <c r="E2401" s="105">
        <v>0.47</v>
      </c>
      <c r="F2401" s="106" t="s">
        <v>2024</v>
      </c>
      <c r="G2401" s="8"/>
      <c r="H2401" s="8"/>
      <c r="I2401" s="107">
        <v>0</v>
      </c>
      <c r="J2401" s="8" t="s">
        <v>5929</v>
      </c>
    </row>
    <row r="2402" spans="1:10" ht="16.5" customHeight="1" x14ac:dyDescent="0.25">
      <c r="A2402" s="8" t="s">
        <v>8686</v>
      </c>
      <c r="B2402" s="8" t="s">
        <v>8638</v>
      </c>
      <c r="C2402" s="8" t="s">
        <v>8639</v>
      </c>
      <c r="D2402" s="8" t="s">
        <v>8638</v>
      </c>
      <c r="E2402" s="105">
        <v>10</v>
      </c>
      <c r="F2402" s="106" t="s">
        <v>2018</v>
      </c>
      <c r="G2402" s="8"/>
      <c r="H2402" s="8"/>
      <c r="I2402" s="107">
        <v>0</v>
      </c>
      <c r="J2402" s="8" t="s">
        <v>4722</v>
      </c>
    </row>
    <row r="2403" spans="1:10" ht="16.5" customHeight="1" x14ac:dyDescent="0.25">
      <c r="A2403" s="8" t="s">
        <v>8687</v>
      </c>
      <c r="B2403" s="8" t="s">
        <v>8688</v>
      </c>
      <c r="C2403" s="8" t="s">
        <v>8689</v>
      </c>
      <c r="D2403" s="8" t="s">
        <v>8688</v>
      </c>
      <c r="E2403" s="105">
        <v>25</v>
      </c>
      <c r="F2403" s="106" t="s">
        <v>2018</v>
      </c>
      <c r="G2403" s="8"/>
      <c r="H2403" s="8"/>
      <c r="I2403" s="107">
        <v>0</v>
      </c>
      <c r="J2403" s="8" t="s">
        <v>2019</v>
      </c>
    </row>
    <row r="2404" spans="1:10" ht="16.5" customHeight="1" x14ac:dyDescent="0.25">
      <c r="A2404" s="8" t="s">
        <v>8690</v>
      </c>
      <c r="B2404" s="8" t="s">
        <v>8691</v>
      </c>
      <c r="C2404" s="8" t="s">
        <v>8692</v>
      </c>
      <c r="D2404" s="8" t="s">
        <v>8691</v>
      </c>
      <c r="E2404" s="105">
        <v>12.285</v>
      </c>
      <c r="F2404" s="106" t="s">
        <v>2024</v>
      </c>
      <c r="G2404" s="8"/>
      <c r="H2404" s="8"/>
      <c r="I2404" s="107">
        <v>0</v>
      </c>
      <c r="J2404" s="8" t="s">
        <v>5929</v>
      </c>
    </row>
    <row r="2405" spans="1:10" ht="16.5" customHeight="1" x14ac:dyDescent="0.25">
      <c r="A2405" s="8" t="s">
        <v>8693</v>
      </c>
      <c r="B2405" s="8" t="s">
        <v>8694</v>
      </c>
      <c r="C2405" s="8" t="s">
        <v>8695</v>
      </c>
      <c r="D2405" s="8" t="s">
        <v>8694</v>
      </c>
      <c r="E2405" s="105">
        <v>0.51190000000000002</v>
      </c>
      <c r="F2405" s="106" t="s">
        <v>2024</v>
      </c>
      <c r="G2405" s="8"/>
      <c r="H2405" s="8"/>
      <c r="I2405" s="107">
        <v>0</v>
      </c>
      <c r="J2405" s="8" t="s">
        <v>5929</v>
      </c>
    </row>
    <row r="2406" spans="1:10" ht="16.5" customHeight="1" x14ac:dyDescent="0.25">
      <c r="A2406" s="8" t="s">
        <v>8696</v>
      </c>
      <c r="B2406" s="8" t="s">
        <v>8697</v>
      </c>
      <c r="C2406" s="8" t="s">
        <v>8698</v>
      </c>
      <c r="D2406" s="8" t="s">
        <v>8697</v>
      </c>
      <c r="E2406" s="105">
        <v>2.5432999999999999</v>
      </c>
      <c r="F2406" s="106" t="s">
        <v>2024</v>
      </c>
      <c r="G2406" s="8"/>
      <c r="H2406" s="8"/>
      <c r="I2406" s="107">
        <v>0</v>
      </c>
      <c r="J2406" s="8" t="s">
        <v>5929</v>
      </c>
    </row>
    <row r="2407" spans="1:10" ht="16.5" customHeight="1" x14ac:dyDescent="0.25">
      <c r="A2407" s="8" t="s">
        <v>8699</v>
      </c>
      <c r="B2407" s="8" t="s">
        <v>8700</v>
      </c>
      <c r="C2407" s="8" t="s">
        <v>8701</v>
      </c>
      <c r="D2407" s="8" t="s">
        <v>8700</v>
      </c>
      <c r="E2407" s="105">
        <v>0.106</v>
      </c>
      <c r="F2407" s="106" t="s">
        <v>2024</v>
      </c>
      <c r="G2407" s="8"/>
      <c r="H2407" s="8"/>
      <c r="I2407" s="107">
        <v>0</v>
      </c>
      <c r="J2407" s="8" t="s">
        <v>5929</v>
      </c>
    </row>
    <row r="2408" spans="1:10" ht="16.5" customHeight="1" x14ac:dyDescent="0.25">
      <c r="A2408" s="8" t="s">
        <v>8702</v>
      </c>
      <c r="B2408" s="8" t="s">
        <v>8703</v>
      </c>
      <c r="C2408" s="8" t="s">
        <v>8704</v>
      </c>
      <c r="D2408" s="8" t="s">
        <v>8703</v>
      </c>
      <c r="E2408" s="105">
        <v>0</v>
      </c>
      <c r="F2408" s="106" t="s">
        <v>2024</v>
      </c>
      <c r="G2408" s="8"/>
      <c r="H2408" s="8"/>
      <c r="I2408" s="107">
        <v>0</v>
      </c>
      <c r="J2408" s="8" t="s">
        <v>4789</v>
      </c>
    </row>
    <row r="2409" spans="1:10" ht="16.5" customHeight="1" x14ac:dyDescent="0.25">
      <c r="A2409" s="8" t="s">
        <v>8705</v>
      </c>
      <c r="B2409" s="8" t="s">
        <v>8706</v>
      </c>
      <c r="C2409" s="8" t="s">
        <v>8707</v>
      </c>
      <c r="D2409" s="8" t="s">
        <v>8706</v>
      </c>
      <c r="E2409" s="105">
        <v>0</v>
      </c>
      <c r="F2409" s="106" t="s">
        <v>2024</v>
      </c>
      <c r="G2409" s="8"/>
      <c r="H2409" s="8"/>
      <c r="I2409" s="107">
        <v>0</v>
      </c>
      <c r="J2409" s="8" t="s">
        <v>4789</v>
      </c>
    </row>
    <row r="2410" spans="1:10" ht="16.5" customHeight="1" x14ac:dyDescent="0.25">
      <c r="A2410" s="8" t="s">
        <v>8708</v>
      </c>
      <c r="B2410" s="8" t="s">
        <v>8709</v>
      </c>
      <c r="C2410" s="8" t="s">
        <v>8710</v>
      </c>
      <c r="D2410" s="8" t="s">
        <v>8709</v>
      </c>
      <c r="E2410" s="105">
        <v>1</v>
      </c>
      <c r="F2410" s="106" t="s">
        <v>2024</v>
      </c>
      <c r="G2410" s="8"/>
      <c r="H2410" s="8"/>
      <c r="I2410" s="107">
        <v>0</v>
      </c>
      <c r="J2410" s="8" t="s">
        <v>3580</v>
      </c>
    </row>
    <row r="2411" spans="1:10" ht="16.5" customHeight="1" x14ac:dyDescent="0.25">
      <c r="A2411" s="8" t="s">
        <v>8711</v>
      </c>
      <c r="B2411" s="8" t="s">
        <v>8712</v>
      </c>
      <c r="C2411" s="8" t="s">
        <v>1543</v>
      </c>
      <c r="D2411" s="8" t="s">
        <v>8712</v>
      </c>
      <c r="E2411" s="105">
        <v>13.095599999999999</v>
      </c>
      <c r="F2411" s="106" t="s">
        <v>2024</v>
      </c>
      <c r="G2411" s="8" t="s">
        <v>1541</v>
      </c>
      <c r="H2411" s="8" t="s">
        <v>8713</v>
      </c>
      <c r="I2411" s="107">
        <v>24</v>
      </c>
      <c r="J2411" s="8" t="s">
        <v>5929</v>
      </c>
    </row>
    <row r="2412" spans="1:10" ht="16.5" customHeight="1" x14ac:dyDescent="0.25">
      <c r="A2412" s="8" t="s">
        <v>8713</v>
      </c>
      <c r="B2412" s="8" t="s">
        <v>8714</v>
      </c>
      <c r="C2412" s="8" t="s">
        <v>8715</v>
      </c>
      <c r="D2412" s="8" t="s">
        <v>8714</v>
      </c>
      <c r="E2412" s="105">
        <v>0.54569999999999996</v>
      </c>
      <c r="F2412" s="106" t="s">
        <v>2024</v>
      </c>
      <c r="G2412" s="8" t="s">
        <v>1541</v>
      </c>
      <c r="H2412" s="8"/>
      <c r="I2412" s="107">
        <v>0</v>
      </c>
      <c r="J2412" s="8" t="s">
        <v>5929</v>
      </c>
    </row>
    <row r="2413" spans="1:10" ht="16.5" customHeight="1" x14ac:dyDescent="0.25">
      <c r="A2413" s="8" t="s">
        <v>8716</v>
      </c>
      <c r="B2413" s="8" t="s">
        <v>8717</v>
      </c>
      <c r="C2413" s="8" t="s">
        <v>8718</v>
      </c>
      <c r="D2413" s="8" t="s">
        <v>8717</v>
      </c>
      <c r="E2413" s="105">
        <v>12.29</v>
      </c>
      <c r="F2413" s="106" t="s">
        <v>2024</v>
      </c>
      <c r="G2413" s="8"/>
      <c r="H2413" s="8"/>
      <c r="I2413" s="107">
        <v>0</v>
      </c>
      <c r="J2413" s="8" t="s">
        <v>4789</v>
      </c>
    </row>
    <row r="2414" spans="1:10" ht="16.5" customHeight="1" x14ac:dyDescent="0.25">
      <c r="A2414" s="8" t="s">
        <v>8719</v>
      </c>
      <c r="B2414" s="8" t="s">
        <v>8720</v>
      </c>
      <c r="C2414" s="8" t="s">
        <v>8721</v>
      </c>
      <c r="D2414" s="8" t="s">
        <v>8720</v>
      </c>
      <c r="E2414" s="105">
        <v>0.51219999999999999</v>
      </c>
      <c r="F2414" s="106" t="s">
        <v>2024</v>
      </c>
      <c r="G2414" s="8"/>
      <c r="H2414" s="8"/>
      <c r="I2414" s="107">
        <v>0</v>
      </c>
      <c r="J2414" s="8" t="s">
        <v>4789</v>
      </c>
    </row>
    <row r="2415" spans="1:10" ht="16.5" customHeight="1" x14ac:dyDescent="0.25">
      <c r="A2415" s="8" t="s">
        <v>8722</v>
      </c>
      <c r="B2415" s="8" t="s">
        <v>8723</v>
      </c>
      <c r="C2415" s="8" t="s">
        <v>8724</v>
      </c>
      <c r="D2415" s="8" t="s">
        <v>8723</v>
      </c>
      <c r="E2415" s="105">
        <v>18</v>
      </c>
      <c r="F2415" s="106" t="s">
        <v>2018</v>
      </c>
      <c r="G2415" s="8"/>
      <c r="H2415" s="8"/>
      <c r="I2415" s="107">
        <v>0</v>
      </c>
      <c r="J2415" s="8" t="s">
        <v>2019</v>
      </c>
    </row>
    <row r="2416" spans="1:10" ht="16.5" customHeight="1" x14ac:dyDescent="0.25">
      <c r="A2416" s="8" t="s">
        <v>8725</v>
      </c>
      <c r="B2416" s="8" t="s">
        <v>8726</v>
      </c>
      <c r="C2416" s="8" t="s">
        <v>8727</v>
      </c>
      <c r="D2416" s="8" t="s">
        <v>8726</v>
      </c>
      <c r="E2416" s="105">
        <v>1</v>
      </c>
      <c r="F2416" s="106" t="s">
        <v>2024</v>
      </c>
      <c r="G2416" s="8"/>
      <c r="H2416" s="8"/>
      <c r="I2416" s="107">
        <v>0</v>
      </c>
      <c r="J2416" s="8" t="s">
        <v>3580</v>
      </c>
    </row>
    <row r="2417" spans="1:10" ht="16.5" customHeight="1" x14ac:dyDescent="0.25">
      <c r="A2417" s="8" t="s">
        <v>8728</v>
      </c>
      <c r="B2417" s="8" t="s">
        <v>8729</v>
      </c>
      <c r="C2417" s="8" t="s">
        <v>8730</v>
      </c>
      <c r="D2417" s="8" t="s">
        <v>8729</v>
      </c>
      <c r="E2417" s="105">
        <v>0</v>
      </c>
      <c r="F2417" s="106" t="s">
        <v>2018</v>
      </c>
      <c r="G2417" s="8"/>
      <c r="H2417" s="8"/>
      <c r="I2417" s="107">
        <v>0</v>
      </c>
      <c r="J2417" s="8" t="s">
        <v>6357</v>
      </c>
    </row>
    <row r="2418" spans="1:10" ht="16.5" customHeight="1" x14ac:dyDescent="0.25">
      <c r="A2418" s="8" t="s">
        <v>8731</v>
      </c>
      <c r="B2418" s="8" t="s">
        <v>8732</v>
      </c>
      <c r="C2418" s="8" t="s">
        <v>8733</v>
      </c>
      <c r="D2418" s="8" t="s">
        <v>8732</v>
      </c>
      <c r="E2418" s="105">
        <v>0</v>
      </c>
      <c r="F2418" s="106" t="s">
        <v>2018</v>
      </c>
      <c r="G2418" s="8"/>
      <c r="H2418" s="8"/>
      <c r="I2418" s="107">
        <v>0</v>
      </c>
      <c r="J2418" s="8" t="s">
        <v>6357</v>
      </c>
    </row>
    <row r="2419" spans="1:10" ht="16.5" customHeight="1" x14ac:dyDescent="0.25">
      <c r="A2419" s="8" t="s">
        <v>8734</v>
      </c>
      <c r="B2419" s="8" t="s">
        <v>8735</v>
      </c>
      <c r="C2419" s="8" t="s">
        <v>8736</v>
      </c>
      <c r="D2419" s="8" t="s">
        <v>8735</v>
      </c>
      <c r="E2419" s="105">
        <v>0</v>
      </c>
      <c r="F2419" s="106" t="s">
        <v>2018</v>
      </c>
      <c r="G2419" s="8"/>
      <c r="H2419" s="8"/>
      <c r="I2419" s="107">
        <v>0</v>
      </c>
      <c r="J2419" s="8" t="s">
        <v>6357</v>
      </c>
    </row>
    <row r="2420" spans="1:10" ht="16.5" customHeight="1" x14ac:dyDescent="0.25">
      <c r="A2420" s="8" t="s">
        <v>8737</v>
      </c>
      <c r="B2420" s="8" t="s">
        <v>8738</v>
      </c>
      <c r="C2420" s="8" t="s">
        <v>8739</v>
      </c>
      <c r="D2420" s="8" t="s">
        <v>8738</v>
      </c>
      <c r="E2420" s="105">
        <v>0</v>
      </c>
      <c r="F2420" s="106" t="s">
        <v>2018</v>
      </c>
      <c r="G2420" s="8"/>
      <c r="H2420" s="8"/>
      <c r="I2420" s="107">
        <v>0</v>
      </c>
      <c r="J2420" s="8" t="s">
        <v>6357</v>
      </c>
    </row>
    <row r="2421" spans="1:10" ht="16.5" customHeight="1" x14ac:dyDescent="0.25">
      <c r="A2421" s="8" t="s">
        <v>8740</v>
      </c>
      <c r="B2421" s="8" t="s">
        <v>8741</v>
      </c>
      <c r="C2421" s="8" t="s">
        <v>8742</v>
      </c>
      <c r="D2421" s="8" t="s">
        <v>8741</v>
      </c>
      <c r="E2421" s="105">
        <v>5</v>
      </c>
      <c r="F2421" s="106" t="s">
        <v>2024</v>
      </c>
      <c r="G2421" s="8"/>
      <c r="H2421" s="8"/>
      <c r="I2421" s="107">
        <v>0</v>
      </c>
      <c r="J2421" s="8" t="s">
        <v>4722</v>
      </c>
    </row>
    <row r="2422" spans="1:10" ht="16.5" customHeight="1" x14ac:dyDescent="0.25">
      <c r="A2422" s="8" t="s">
        <v>8743</v>
      </c>
      <c r="B2422" s="8" t="s">
        <v>6986</v>
      </c>
      <c r="C2422" s="8" t="s">
        <v>947</v>
      </c>
      <c r="D2422" s="8" t="s">
        <v>6986</v>
      </c>
      <c r="E2422" s="105">
        <v>0.91</v>
      </c>
      <c r="F2422" s="106" t="s">
        <v>2018</v>
      </c>
      <c r="G2422" s="8"/>
      <c r="H2422" s="8"/>
      <c r="I2422" s="107">
        <v>0</v>
      </c>
      <c r="J2422" s="8" t="s">
        <v>4722</v>
      </c>
    </row>
    <row r="2423" spans="1:10" ht="16.5" customHeight="1" x14ac:dyDescent="0.25">
      <c r="A2423" s="8" t="s">
        <v>8744</v>
      </c>
      <c r="B2423" s="8" t="s">
        <v>7233</v>
      </c>
      <c r="C2423" s="8" t="s">
        <v>1125</v>
      </c>
      <c r="D2423" s="8" t="s">
        <v>7233</v>
      </c>
      <c r="E2423" s="105">
        <v>1.82</v>
      </c>
      <c r="F2423" s="106" t="s">
        <v>2018</v>
      </c>
      <c r="G2423" s="8"/>
      <c r="H2423" s="8"/>
      <c r="I2423" s="107">
        <v>0</v>
      </c>
      <c r="J2423" s="8" t="s">
        <v>4722</v>
      </c>
    </row>
    <row r="2424" spans="1:10" ht="16.5" customHeight="1" x14ac:dyDescent="0.25">
      <c r="A2424" s="8" t="s">
        <v>8745</v>
      </c>
      <c r="B2424" s="8" t="s">
        <v>8746</v>
      </c>
      <c r="C2424" s="8" t="s">
        <v>8747</v>
      </c>
      <c r="D2424" s="8" t="s">
        <v>8746</v>
      </c>
      <c r="E2424" s="105">
        <v>19.224</v>
      </c>
      <c r="F2424" s="106" t="s">
        <v>2024</v>
      </c>
      <c r="G2424" s="8" t="s">
        <v>1541</v>
      </c>
      <c r="H2424" s="8" t="s">
        <v>8748</v>
      </c>
      <c r="I2424" s="107">
        <v>4</v>
      </c>
      <c r="J2424" s="8" t="s">
        <v>4789</v>
      </c>
    </row>
    <row r="2425" spans="1:10" ht="16.5" customHeight="1" x14ac:dyDescent="0.25">
      <c r="A2425" s="8" t="s">
        <v>8748</v>
      </c>
      <c r="B2425" s="8" t="s">
        <v>8749</v>
      </c>
      <c r="C2425" s="8" t="s">
        <v>8750</v>
      </c>
      <c r="D2425" s="8" t="s">
        <v>8749</v>
      </c>
      <c r="E2425" s="105">
        <v>4.806</v>
      </c>
      <c r="F2425" s="106" t="s">
        <v>2024</v>
      </c>
      <c r="G2425" s="8" t="s">
        <v>1541</v>
      </c>
      <c r="H2425" s="8"/>
      <c r="I2425" s="107">
        <v>0</v>
      </c>
      <c r="J2425" s="8" t="s">
        <v>4789</v>
      </c>
    </row>
    <row r="2426" spans="1:10" ht="16.5" customHeight="1" x14ac:dyDescent="0.25">
      <c r="A2426" s="8" t="s">
        <v>8751</v>
      </c>
      <c r="B2426" s="8" t="s">
        <v>8752</v>
      </c>
      <c r="C2426" s="8" t="s">
        <v>8753</v>
      </c>
      <c r="D2426" s="8" t="s">
        <v>8754</v>
      </c>
      <c r="E2426" s="105">
        <v>1</v>
      </c>
      <c r="F2426" s="106" t="s">
        <v>2024</v>
      </c>
      <c r="G2426" s="8"/>
      <c r="H2426" s="8"/>
      <c r="I2426" s="107">
        <v>0</v>
      </c>
      <c r="J2426" s="8" t="s">
        <v>3580</v>
      </c>
    </row>
    <row r="2427" spans="1:10" ht="16.5" customHeight="1" x14ac:dyDescent="0.25">
      <c r="A2427" s="8" t="s">
        <v>8755</v>
      </c>
      <c r="B2427" s="8" t="s">
        <v>8756</v>
      </c>
      <c r="C2427" s="8" t="s">
        <v>8757</v>
      </c>
      <c r="D2427" s="8" t="s">
        <v>8758</v>
      </c>
      <c r="E2427" s="105">
        <v>1</v>
      </c>
      <c r="F2427" s="106" t="s">
        <v>2024</v>
      </c>
      <c r="G2427" s="8"/>
      <c r="H2427" s="8"/>
      <c r="I2427" s="107">
        <v>0</v>
      </c>
      <c r="J2427" s="8" t="s">
        <v>3580</v>
      </c>
    </row>
    <row r="2428" spans="1:10" ht="16.5" customHeight="1" x14ac:dyDescent="0.25">
      <c r="A2428" s="8" t="s">
        <v>8759</v>
      </c>
      <c r="B2428" s="8" t="s">
        <v>8760</v>
      </c>
      <c r="C2428" s="8" t="s">
        <v>8761</v>
      </c>
      <c r="D2428" s="8" t="s">
        <v>8762</v>
      </c>
      <c r="E2428" s="105">
        <v>1</v>
      </c>
      <c r="F2428" s="106" t="s">
        <v>2024</v>
      </c>
      <c r="G2428" s="8"/>
      <c r="H2428" s="8"/>
      <c r="I2428" s="107">
        <v>0</v>
      </c>
      <c r="J2428" s="8" t="s">
        <v>3580</v>
      </c>
    </row>
    <row r="2429" spans="1:10" ht="16.5" customHeight="1" x14ac:dyDescent="0.25">
      <c r="A2429" s="8" t="s">
        <v>8763</v>
      </c>
      <c r="B2429" s="8" t="s">
        <v>8764</v>
      </c>
      <c r="C2429" s="8" t="s">
        <v>8765</v>
      </c>
      <c r="D2429" s="8" t="s">
        <v>8766</v>
      </c>
      <c r="E2429" s="105">
        <v>1</v>
      </c>
      <c r="F2429" s="106" t="s">
        <v>2024</v>
      </c>
      <c r="G2429" s="8"/>
      <c r="H2429" s="8"/>
      <c r="I2429" s="107">
        <v>0</v>
      </c>
      <c r="J2429" s="8" t="s">
        <v>3580</v>
      </c>
    </row>
    <row r="2430" spans="1:10" ht="16.5" customHeight="1" x14ac:dyDescent="0.25">
      <c r="A2430" s="8" t="s">
        <v>8767</v>
      </c>
      <c r="B2430" s="8" t="s">
        <v>8768</v>
      </c>
      <c r="C2430" s="8" t="s">
        <v>8769</v>
      </c>
      <c r="D2430" s="8" t="s">
        <v>8768</v>
      </c>
      <c r="E2430" s="105">
        <v>0</v>
      </c>
      <c r="F2430" s="106" t="s">
        <v>2024</v>
      </c>
      <c r="G2430" s="8"/>
      <c r="H2430" s="8"/>
      <c r="I2430" s="107">
        <v>0</v>
      </c>
      <c r="J2430" s="8" t="s">
        <v>4789</v>
      </c>
    </row>
    <row r="2431" spans="1:10" ht="16.5" customHeight="1" x14ac:dyDescent="0.25">
      <c r="A2431" s="8" t="s">
        <v>8770</v>
      </c>
      <c r="B2431" s="8" t="s">
        <v>8771</v>
      </c>
      <c r="C2431" s="8" t="s">
        <v>8772</v>
      </c>
      <c r="D2431" s="8" t="s">
        <v>8771</v>
      </c>
      <c r="E2431" s="105">
        <v>1</v>
      </c>
      <c r="F2431" s="106" t="s">
        <v>2024</v>
      </c>
      <c r="G2431" s="8"/>
      <c r="H2431" s="8"/>
      <c r="I2431" s="107">
        <v>0</v>
      </c>
      <c r="J2431" s="8" t="s">
        <v>3580</v>
      </c>
    </row>
    <row r="2432" spans="1:10" ht="16.5" customHeight="1" x14ac:dyDescent="0.25">
      <c r="A2432" s="8" t="s">
        <v>8773</v>
      </c>
      <c r="B2432" s="8" t="s">
        <v>8774</v>
      </c>
      <c r="C2432" s="8" t="s">
        <v>8775</v>
      </c>
      <c r="D2432" s="8" t="s">
        <v>8774</v>
      </c>
      <c r="E2432" s="105">
        <v>18</v>
      </c>
      <c r="F2432" s="106" t="s">
        <v>2018</v>
      </c>
      <c r="G2432" s="8"/>
      <c r="H2432" s="8"/>
      <c r="I2432" s="107">
        <v>0</v>
      </c>
      <c r="J2432" s="8" t="s">
        <v>2019</v>
      </c>
    </row>
    <row r="2433" spans="1:10" ht="16.5" customHeight="1" x14ac:dyDescent="0.25">
      <c r="A2433" s="8" t="s">
        <v>8776</v>
      </c>
      <c r="B2433" s="8" t="s">
        <v>8777</v>
      </c>
      <c r="C2433" s="8" t="s">
        <v>8778</v>
      </c>
      <c r="D2433" s="8" t="s">
        <v>8779</v>
      </c>
      <c r="E2433" s="105">
        <v>1</v>
      </c>
      <c r="F2433" s="106" t="s">
        <v>2024</v>
      </c>
      <c r="G2433" s="8"/>
      <c r="H2433" s="8"/>
      <c r="I2433" s="107">
        <v>0</v>
      </c>
      <c r="J2433" s="8" t="s">
        <v>3580</v>
      </c>
    </row>
    <row r="2434" spans="1:10" ht="16.5" customHeight="1" x14ac:dyDescent="0.25">
      <c r="A2434" s="8" t="s">
        <v>8780</v>
      </c>
      <c r="B2434" s="8" t="s">
        <v>8781</v>
      </c>
      <c r="C2434" s="8" t="s">
        <v>8782</v>
      </c>
      <c r="D2434" s="8" t="s">
        <v>8783</v>
      </c>
      <c r="E2434" s="105">
        <v>1</v>
      </c>
      <c r="F2434" s="106" t="s">
        <v>2024</v>
      </c>
      <c r="G2434" s="8"/>
      <c r="H2434" s="8"/>
      <c r="I2434" s="107">
        <v>0</v>
      </c>
      <c r="J2434" s="8" t="s">
        <v>3580</v>
      </c>
    </row>
    <row r="2435" spans="1:10" ht="16.5" customHeight="1" x14ac:dyDescent="0.25">
      <c r="A2435" s="8" t="s">
        <v>8784</v>
      </c>
      <c r="B2435" s="8" t="s">
        <v>8785</v>
      </c>
      <c r="C2435" s="8" t="s">
        <v>8786</v>
      </c>
      <c r="D2435" s="8" t="s">
        <v>8787</v>
      </c>
      <c r="E2435" s="105">
        <v>1</v>
      </c>
      <c r="F2435" s="106" t="s">
        <v>2024</v>
      </c>
      <c r="G2435" s="8"/>
      <c r="H2435" s="8"/>
      <c r="I2435" s="107">
        <v>0</v>
      </c>
      <c r="J2435" s="8" t="s">
        <v>3580</v>
      </c>
    </row>
    <row r="2436" spans="1:10" ht="16.5" customHeight="1" x14ac:dyDescent="0.25">
      <c r="A2436" s="8" t="s">
        <v>8788</v>
      </c>
      <c r="B2436" s="8" t="s">
        <v>8789</v>
      </c>
      <c r="C2436" s="8" t="s">
        <v>1701</v>
      </c>
      <c r="D2436" s="8" t="s">
        <v>8789</v>
      </c>
      <c r="E2436" s="105">
        <v>10</v>
      </c>
      <c r="F2436" s="106" t="s">
        <v>2024</v>
      </c>
      <c r="G2436" s="8" t="s">
        <v>1541</v>
      </c>
      <c r="H2436" s="8" t="s">
        <v>8790</v>
      </c>
      <c r="I2436" s="107">
        <v>10</v>
      </c>
      <c r="J2436" s="8" t="s">
        <v>5929</v>
      </c>
    </row>
    <row r="2437" spans="1:10" ht="16.5" customHeight="1" x14ac:dyDescent="0.25">
      <c r="A2437" s="8" t="s">
        <v>8790</v>
      </c>
      <c r="B2437" s="8" t="s">
        <v>8791</v>
      </c>
      <c r="C2437" s="8" t="s">
        <v>8792</v>
      </c>
      <c r="D2437" s="8" t="s">
        <v>8791</v>
      </c>
      <c r="E2437" s="105">
        <v>1</v>
      </c>
      <c r="F2437" s="106" t="s">
        <v>2024</v>
      </c>
      <c r="G2437" s="8" t="s">
        <v>1541</v>
      </c>
      <c r="H2437" s="8"/>
      <c r="I2437" s="107">
        <v>0</v>
      </c>
      <c r="J2437" s="8" t="s">
        <v>5929</v>
      </c>
    </row>
    <row r="2438" spans="1:10" ht="16.5" customHeight="1" x14ac:dyDescent="0.25">
      <c r="A2438" s="8" t="s">
        <v>8793</v>
      </c>
      <c r="B2438" s="8" t="s">
        <v>8794</v>
      </c>
      <c r="C2438" s="8" t="s">
        <v>8795</v>
      </c>
      <c r="D2438" s="8" t="s">
        <v>8794</v>
      </c>
      <c r="E2438" s="105">
        <v>15</v>
      </c>
      <c r="F2438" s="106" t="s">
        <v>2024</v>
      </c>
      <c r="G2438" s="8"/>
      <c r="H2438" s="8"/>
      <c r="I2438" s="107">
        <v>0</v>
      </c>
      <c r="J2438" s="8" t="s">
        <v>5929</v>
      </c>
    </row>
    <row r="2439" spans="1:10" ht="16.5" customHeight="1" x14ac:dyDescent="0.25">
      <c r="A2439" s="8" t="s">
        <v>8796</v>
      </c>
      <c r="B2439" s="8" t="s">
        <v>8797</v>
      </c>
      <c r="C2439" s="8" t="s">
        <v>8798</v>
      </c>
      <c r="D2439" s="8" t="s">
        <v>8797</v>
      </c>
      <c r="E2439" s="105">
        <v>5</v>
      </c>
      <c r="F2439" s="106" t="s">
        <v>2024</v>
      </c>
      <c r="G2439" s="8"/>
      <c r="H2439" s="8"/>
      <c r="I2439" s="107">
        <v>0</v>
      </c>
      <c r="J2439" s="8" t="s">
        <v>5929</v>
      </c>
    </row>
    <row r="2440" spans="1:10" ht="16.5" customHeight="1" x14ac:dyDescent="0.25">
      <c r="A2440" s="8" t="s">
        <v>8799</v>
      </c>
      <c r="B2440" s="8" t="s">
        <v>8800</v>
      </c>
      <c r="C2440" s="8" t="s">
        <v>8801</v>
      </c>
      <c r="D2440" s="8" t="s">
        <v>8800</v>
      </c>
      <c r="E2440" s="105">
        <v>0</v>
      </c>
      <c r="F2440" s="106" t="s">
        <v>2024</v>
      </c>
      <c r="G2440" s="8"/>
      <c r="H2440" s="8"/>
      <c r="I2440" s="107">
        <v>0</v>
      </c>
      <c r="J2440" s="8" t="s">
        <v>4789</v>
      </c>
    </row>
    <row r="2441" spans="1:10" ht="16.5" customHeight="1" x14ac:dyDescent="0.25">
      <c r="A2441" s="8" t="s">
        <v>8802</v>
      </c>
      <c r="B2441" s="8" t="s">
        <v>8803</v>
      </c>
      <c r="C2441" s="8" t="s">
        <v>8804</v>
      </c>
      <c r="D2441" s="8" t="s">
        <v>8803</v>
      </c>
      <c r="E2441" s="105">
        <v>0</v>
      </c>
      <c r="F2441" s="106" t="s">
        <v>2024</v>
      </c>
      <c r="G2441" s="8"/>
      <c r="H2441" s="8"/>
      <c r="I2441" s="107">
        <v>0</v>
      </c>
      <c r="J2441" s="8" t="s">
        <v>4789</v>
      </c>
    </row>
    <row r="2442" spans="1:10" ht="16.5" customHeight="1" x14ac:dyDescent="0.25">
      <c r="A2442" s="8" t="s">
        <v>8805</v>
      </c>
      <c r="B2442" s="8" t="s">
        <v>8806</v>
      </c>
      <c r="C2442" s="8" t="s">
        <v>8807</v>
      </c>
      <c r="D2442" s="8" t="s">
        <v>8806</v>
      </c>
      <c r="E2442" s="105">
        <v>0</v>
      </c>
      <c r="F2442" s="106" t="s">
        <v>2024</v>
      </c>
      <c r="G2442" s="8"/>
      <c r="H2442" s="8"/>
      <c r="I2442" s="107">
        <v>0</v>
      </c>
      <c r="J2442" s="8" t="s">
        <v>4789</v>
      </c>
    </row>
    <row r="2443" spans="1:10" ht="16.5" customHeight="1" x14ac:dyDescent="0.25">
      <c r="A2443" s="8" t="s">
        <v>8808</v>
      </c>
      <c r="B2443" s="8" t="s">
        <v>8809</v>
      </c>
      <c r="C2443" s="8" t="s">
        <v>8810</v>
      </c>
      <c r="D2443" s="8" t="s">
        <v>8809</v>
      </c>
      <c r="E2443" s="105">
        <v>0</v>
      </c>
      <c r="F2443" s="106" t="s">
        <v>2024</v>
      </c>
      <c r="G2443" s="8"/>
      <c r="H2443" s="8"/>
      <c r="I2443" s="107">
        <v>0</v>
      </c>
      <c r="J2443" s="8" t="s">
        <v>4789</v>
      </c>
    </row>
    <row r="2444" spans="1:10" ht="16.5" customHeight="1" x14ac:dyDescent="0.25">
      <c r="A2444" s="8" t="s">
        <v>8811</v>
      </c>
      <c r="B2444" s="8" t="s">
        <v>8812</v>
      </c>
      <c r="C2444" s="8" t="s">
        <v>8813</v>
      </c>
      <c r="D2444" s="8" t="s">
        <v>8812</v>
      </c>
      <c r="E2444" s="105">
        <v>12.762</v>
      </c>
      <c r="F2444" s="106" t="s">
        <v>2024</v>
      </c>
      <c r="G2444" s="8"/>
      <c r="H2444" s="8"/>
      <c r="I2444" s="107">
        <v>0</v>
      </c>
      <c r="J2444" s="8" t="s">
        <v>4789</v>
      </c>
    </row>
    <row r="2445" spans="1:10" ht="16.5" customHeight="1" x14ac:dyDescent="0.25">
      <c r="A2445" s="8" t="s">
        <v>8814</v>
      </c>
      <c r="B2445" s="8" t="s">
        <v>8815</v>
      </c>
      <c r="C2445" s="8" t="s">
        <v>8816</v>
      </c>
      <c r="D2445" s="8" t="s">
        <v>8815</v>
      </c>
      <c r="E2445" s="105">
        <v>2.1269999999999998</v>
      </c>
      <c r="F2445" s="106" t="s">
        <v>2024</v>
      </c>
      <c r="G2445" s="8"/>
      <c r="H2445" s="8"/>
      <c r="I2445" s="107">
        <v>0</v>
      </c>
      <c r="J2445" s="8" t="s">
        <v>4789</v>
      </c>
    </row>
    <row r="2446" spans="1:10" ht="16.5" customHeight="1" x14ac:dyDescent="0.25">
      <c r="A2446" s="8" t="s">
        <v>8817</v>
      </c>
      <c r="B2446" s="8" t="s">
        <v>8818</v>
      </c>
      <c r="C2446" s="8" t="s">
        <v>8819</v>
      </c>
      <c r="D2446" s="8" t="s">
        <v>8818</v>
      </c>
      <c r="E2446" s="105">
        <v>10</v>
      </c>
      <c r="F2446" s="106" t="s">
        <v>2024</v>
      </c>
      <c r="G2446" s="8"/>
      <c r="H2446" s="8"/>
      <c r="I2446" s="107">
        <v>0</v>
      </c>
      <c r="J2446" s="8" t="s">
        <v>5929</v>
      </c>
    </row>
    <row r="2447" spans="1:10" ht="16.5" customHeight="1" x14ac:dyDescent="0.25">
      <c r="A2447" s="8" t="s">
        <v>8820</v>
      </c>
      <c r="B2447" s="8" t="s">
        <v>8821</v>
      </c>
      <c r="C2447" s="8" t="s">
        <v>8821</v>
      </c>
      <c r="D2447" s="8" t="s">
        <v>8821</v>
      </c>
      <c r="E2447" s="105">
        <v>2.5</v>
      </c>
      <c r="F2447" s="106" t="s">
        <v>2024</v>
      </c>
      <c r="G2447" s="8"/>
      <c r="H2447" s="8"/>
      <c r="I2447" s="107">
        <v>0</v>
      </c>
      <c r="J2447" s="8" t="s">
        <v>5929</v>
      </c>
    </row>
    <row r="2448" spans="1:10" ht="16.5" customHeight="1" x14ac:dyDescent="0.25">
      <c r="A2448" s="8" t="s">
        <v>8822</v>
      </c>
      <c r="B2448" s="8" t="s">
        <v>8823</v>
      </c>
      <c r="C2448" s="8" t="s">
        <v>8824</v>
      </c>
      <c r="D2448" s="8" t="s">
        <v>8823</v>
      </c>
      <c r="E2448" s="105">
        <v>0</v>
      </c>
      <c r="F2448" s="106" t="s">
        <v>2024</v>
      </c>
      <c r="G2448" s="8"/>
      <c r="H2448" s="8"/>
      <c r="I2448" s="107">
        <v>0</v>
      </c>
      <c r="J2448" s="8" t="s">
        <v>2019</v>
      </c>
    </row>
    <row r="2449" spans="1:10" ht="16.5" customHeight="1" x14ac:dyDescent="0.25">
      <c r="A2449" s="8" t="s">
        <v>8825</v>
      </c>
      <c r="B2449" s="8" t="s">
        <v>8826</v>
      </c>
      <c r="C2449" s="8" t="s">
        <v>8827</v>
      </c>
      <c r="D2449" s="8" t="s">
        <v>8826</v>
      </c>
      <c r="E2449" s="105">
        <v>0</v>
      </c>
      <c r="F2449" s="106" t="s">
        <v>2024</v>
      </c>
      <c r="G2449" s="8"/>
      <c r="H2449" s="8"/>
      <c r="I2449" s="107">
        <v>0</v>
      </c>
      <c r="J2449" s="8" t="s">
        <v>4722</v>
      </c>
    </row>
    <row r="2450" spans="1:10" ht="16.5" customHeight="1" x14ac:dyDescent="0.25">
      <c r="A2450" s="8" t="s">
        <v>8828</v>
      </c>
      <c r="B2450" s="8" t="s">
        <v>8829</v>
      </c>
      <c r="C2450" s="8" t="s">
        <v>8830</v>
      </c>
      <c r="D2450" s="8" t="s">
        <v>8829</v>
      </c>
      <c r="E2450" s="105">
        <v>1</v>
      </c>
      <c r="F2450" s="106" t="s">
        <v>2018</v>
      </c>
      <c r="G2450" s="8"/>
      <c r="H2450" s="8"/>
      <c r="I2450" s="107">
        <v>0</v>
      </c>
      <c r="J2450" s="8" t="s">
        <v>2019</v>
      </c>
    </row>
    <row r="2451" spans="1:10" ht="16.5" customHeight="1" x14ac:dyDescent="0.25">
      <c r="A2451" s="8" t="s">
        <v>8831</v>
      </c>
      <c r="B2451" s="8" t="s">
        <v>8832</v>
      </c>
      <c r="C2451" s="8" t="s">
        <v>8715</v>
      </c>
      <c r="D2451" s="8" t="s">
        <v>8832</v>
      </c>
      <c r="E2451" s="105">
        <v>0</v>
      </c>
      <c r="F2451" s="106" t="s">
        <v>2024</v>
      </c>
      <c r="G2451" s="8"/>
      <c r="H2451" s="8"/>
      <c r="I2451" s="107">
        <v>0</v>
      </c>
      <c r="J2451" s="8" t="s">
        <v>4722</v>
      </c>
    </row>
    <row r="2452" spans="1:10" ht="16.5" customHeight="1" x14ac:dyDescent="0.25">
      <c r="A2452" s="8" t="s">
        <v>8833</v>
      </c>
      <c r="B2452" s="8" t="s">
        <v>8834</v>
      </c>
      <c r="C2452" s="8" t="s">
        <v>1187</v>
      </c>
      <c r="D2452" s="8" t="s">
        <v>8834</v>
      </c>
      <c r="E2452" s="105">
        <v>1.82</v>
      </c>
      <c r="F2452" s="106" t="s">
        <v>2018</v>
      </c>
      <c r="G2452" s="8"/>
      <c r="H2452" s="8"/>
      <c r="I2452" s="107">
        <v>0</v>
      </c>
      <c r="J2452" s="8" t="s">
        <v>2019</v>
      </c>
    </row>
    <row r="2453" spans="1:10" ht="16.5" customHeight="1" x14ac:dyDescent="0.25">
      <c r="A2453" s="8" t="s">
        <v>1186</v>
      </c>
      <c r="B2453" s="8" t="s">
        <v>1188</v>
      </c>
      <c r="C2453" s="8" t="s">
        <v>1187</v>
      </c>
      <c r="D2453" s="8" t="s">
        <v>1188</v>
      </c>
      <c r="E2453" s="105">
        <v>10.92</v>
      </c>
      <c r="F2453" s="106" t="s">
        <v>2018</v>
      </c>
      <c r="G2453" s="8"/>
      <c r="H2453" s="8" t="s">
        <v>8833</v>
      </c>
      <c r="I2453" s="107">
        <v>6</v>
      </c>
      <c r="J2453" s="8" t="s">
        <v>2019</v>
      </c>
    </row>
    <row r="2454" spans="1:10" ht="16.5" customHeight="1" x14ac:dyDescent="0.25">
      <c r="A2454" s="8" t="s">
        <v>8835</v>
      </c>
      <c r="B2454" s="8" t="s">
        <v>8836</v>
      </c>
      <c r="C2454" s="8" t="s">
        <v>8837</v>
      </c>
      <c r="D2454" s="8" t="s">
        <v>8836</v>
      </c>
      <c r="E2454" s="105">
        <v>1</v>
      </c>
      <c r="F2454" s="106" t="s">
        <v>2024</v>
      </c>
      <c r="G2454" s="8"/>
      <c r="H2454" s="8"/>
      <c r="I2454" s="107">
        <v>0</v>
      </c>
      <c r="J2454" s="8" t="s">
        <v>3695</v>
      </c>
    </row>
    <row r="2455" spans="1:10" ht="16.5" customHeight="1" x14ac:dyDescent="0.25">
      <c r="A2455" s="8" t="s">
        <v>8838</v>
      </c>
      <c r="B2455" s="8" t="s">
        <v>8839</v>
      </c>
      <c r="C2455" s="8" t="s">
        <v>8840</v>
      </c>
      <c r="D2455" s="8" t="s">
        <v>8839</v>
      </c>
      <c r="E2455" s="105">
        <v>18</v>
      </c>
      <c r="F2455" s="106" t="s">
        <v>2018</v>
      </c>
      <c r="G2455" s="8"/>
      <c r="H2455" s="8"/>
      <c r="I2455" s="107">
        <v>0</v>
      </c>
      <c r="J2455" s="8" t="s">
        <v>2019</v>
      </c>
    </row>
    <row r="2456" spans="1:10" ht="16.5" customHeight="1" x14ac:dyDescent="0.25">
      <c r="A2456" s="8" t="s">
        <v>8841</v>
      </c>
      <c r="B2456" s="8" t="s">
        <v>8842</v>
      </c>
      <c r="C2456" s="8" t="s">
        <v>8843</v>
      </c>
      <c r="D2456" s="8" t="s">
        <v>8842</v>
      </c>
      <c r="E2456" s="105">
        <v>18</v>
      </c>
      <c r="F2456" s="106" t="s">
        <v>2024</v>
      </c>
      <c r="G2456" s="8"/>
      <c r="H2456" s="8"/>
      <c r="I2456" s="107">
        <v>0</v>
      </c>
      <c r="J2456" s="8" t="s">
        <v>4722</v>
      </c>
    </row>
    <row r="2457" spans="1:10" ht="16.5" customHeight="1" x14ac:dyDescent="0.25">
      <c r="A2457" s="8" t="s">
        <v>8844</v>
      </c>
      <c r="B2457" s="8" t="s">
        <v>8845</v>
      </c>
      <c r="C2457" s="8" t="s">
        <v>8846</v>
      </c>
      <c r="D2457" s="8" t="s">
        <v>8845</v>
      </c>
      <c r="E2457" s="105">
        <v>17.2</v>
      </c>
      <c r="F2457" s="106" t="s">
        <v>2024</v>
      </c>
      <c r="G2457" s="8"/>
      <c r="H2457" s="8"/>
      <c r="I2457" s="107">
        <v>0</v>
      </c>
      <c r="J2457" s="8" t="s">
        <v>5929</v>
      </c>
    </row>
    <row r="2458" spans="1:10" ht="16.5" customHeight="1" x14ac:dyDescent="0.25">
      <c r="A2458" s="8" t="s">
        <v>8847</v>
      </c>
      <c r="B2458" s="8" t="s">
        <v>8848</v>
      </c>
      <c r="C2458" s="8" t="s">
        <v>8849</v>
      </c>
      <c r="D2458" s="8" t="s">
        <v>8848</v>
      </c>
      <c r="E2458" s="105">
        <v>4.3</v>
      </c>
      <c r="F2458" s="106" t="s">
        <v>2024</v>
      </c>
      <c r="G2458" s="8"/>
      <c r="H2458" s="8"/>
      <c r="I2458" s="107">
        <v>0</v>
      </c>
      <c r="J2458" s="8" t="s">
        <v>5929</v>
      </c>
    </row>
    <row r="2459" spans="1:10" ht="16.5" customHeight="1" x14ac:dyDescent="0.25">
      <c r="A2459" s="8" t="s">
        <v>8850</v>
      </c>
      <c r="B2459" s="8" t="s">
        <v>8851</v>
      </c>
      <c r="C2459" s="8" t="s">
        <v>1522</v>
      </c>
      <c r="D2459" s="8" t="s">
        <v>8851</v>
      </c>
      <c r="E2459" s="105">
        <v>10</v>
      </c>
      <c r="F2459" s="106" t="s">
        <v>2024</v>
      </c>
      <c r="G2459" s="8"/>
      <c r="H2459" s="8"/>
      <c r="I2459" s="107">
        <v>0</v>
      </c>
      <c r="J2459" s="8" t="s">
        <v>5671</v>
      </c>
    </row>
    <row r="2460" spans="1:10" ht="16.5" customHeight="1" x14ac:dyDescent="0.25">
      <c r="A2460" s="8" t="s">
        <v>8852</v>
      </c>
      <c r="B2460" s="8" t="s">
        <v>8853</v>
      </c>
      <c r="C2460" s="8" t="s">
        <v>1522</v>
      </c>
      <c r="D2460" s="8" t="s">
        <v>8853</v>
      </c>
      <c r="E2460" s="105">
        <v>1</v>
      </c>
      <c r="F2460" s="106" t="s">
        <v>2024</v>
      </c>
      <c r="G2460" s="8"/>
      <c r="H2460" s="8"/>
      <c r="I2460" s="107">
        <v>0</v>
      </c>
      <c r="J2460" s="8" t="s">
        <v>5671</v>
      </c>
    </row>
    <row r="2461" spans="1:10" ht="16.5" customHeight="1" x14ac:dyDescent="0.25">
      <c r="A2461" s="8" t="s">
        <v>8854</v>
      </c>
      <c r="B2461" s="8" t="s">
        <v>8855</v>
      </c>
      <c r="C2461" s="8" t="s">
        <v>8856</v>
      </c>
      <c r="D2461" s="8"/>
      <c r="E2461" s="105">
        <v>0</v>
      </c>
      <c r="F2461" s="106" t="s">
        <v>2024</v>
      </c>
      <c r="G2461" s="8"/>
      <c r="H2461" s="8"/>
      <c r="I2461" s="107">
        <v>0</v>
      </c>
      <c r="J2461" s="8"/>
    </row>
    <row r="2462" spans="1:10" ht="16.5" customHeight="1" x14ac:dyDescent="0.25">
      <c r="A2462" s="8" t="s">
        <v>8857</v>
      </c>
      <c r="B2462" s="8" t="s">
        <v>8858</v>
      </c>
      <c r="C2462" s="8" t="s">
        <v>8859</v>
      </c>
      <c r="D2462" s="8" t="s">
        <v>8860</v>
      </c>
      <c r="E2462" s="105">
        <v>25</v>
      </c>
      <c r="F2462" s="106" t="s">
        <v>2024</v>
      </c>
      <c r="G2462" s="8"/>
      <c r="H2462" s="8"/>
      <c r="I2462" s="107">
        <v>0</v>
      </c>
      <c r="J2462" s="8" t="s">
        <v>7329</v>
      </c>
    </row>
    <row r="2463" spans="1:10" ht="16.5" customHeight="1" x14ac:dyDescent="0.25">
      <c r="A2463" s="8" t="s">
        <v>8861</v>
      </c>
      <c r="B2463" s="8" t="s">
        <v>8862</v>
      </c>
      <c r="C2463" s="8" t="s">
        <v>8863</v>
      </c>
      <c r="D2463" s="8" t="s">
        <v>8864</v>
      </c>
      <c r="E2463" s="105">
        <v>25</v>
      </c>
      <c r="F2463" s="106" t="s">
        <v>2024</v>
      </c>
      <c r="G2463" s="8"/>
      <c r="H2463" s="8"/>
      <c r="I2463" s="107">
        <v>0</v>
      </c>
      <c r="J2463" s="8" t="s">
        <v>7329</v>
      </c>
    </row>
    <row r="2464" spans="1:10" ht="16.5" customHeight="1" x14ac:dyDescent="0.25">
      <c r="A2464" s="8" t="s">
        <v>8865</v>
      </c>
      <c r="B2464" s="8" t="s">
        <v>8866</v>
      </c>
      <c r="C2464" s="8" t="s">
        <v>8867</v>
      </c>
      <c r="D2464" s="8" t="s">
        <v>8866</v>
      </c>
      <c r="E2464" s="105">
        <v>25</v>
      </c>
      <c r="F2464" s="106" t="s">
        <v>2024</v>
      </c>
      <c r="G2464" s="8"/>
      <c r="H2464" s="8"/>
      <c r="I2464" s="107">
        <v>0</v>
      </c>
      <c r="J2464" s="8" t="s">
        <v>7329</v>
      </c>
    </row>
    <row r="2465" spans="1:10" ht="16.5" customHeight="1" x14ac:dyDescent="0.25">
      <c r="A2465" s="8" t="s">
        <v>8868</v>
      </c>
      <c r="B2465" s="8" t="s">
        <v>8869</v>
      </c>
      <c r="C2465" s="8" t="s">
        <v>8870</v>
      </c>
      <c r="D2465" s="8" t="s">
        <v>8869</v>
      </c>
      <c r="E2465" s="105">
        <v>10</v>
      </c>
      <c r="F2465" s="106" t="s">
        <v>2024</v>
      </c>
      <c r="G2465" s="8"/>
      <c r="H2465" s="8"/>
      <c r="I2465" s="107">
        <v>0</v>
      </c>
      <c r="J2465" s="8" t="s">
        <v>7329</v>
      </c>
    </row>
    <row r="2466" spans="1:10" ht="16.5" customHeight="1" x14ac:dyDescent="0.25">
      <c r="A2466" s="8" t="s">
        <v>8871</v>
      </c>
      <c r="B2466" s="8" t="s">
        <v>8593</v>
      </c>
      <c r="C2466" s="8" t="s">
        <v>8594</v>
      </c>
      <c r="D2466" s="8" t="s">
        <v>8593</v>
      </c>
      <c r="E2466" s="105">
        <v>0.25</v>
      </c>
      <c r="F2466" s="106" t="s">
        <v>2024</v>
      </c>
      <c r="G2466" s="8"/>
      <c r="H2466" s="8"/>
      <c r="I2466" s="107">
        <v>0</v>
      </c>
      <c r="J2466" s="8" t="s">
        <v>4789</v>
      </c>
    </row>
    <row r="2467" spans="1:10" ht="16.5" customHeight="1" x14ac:dyDescent="0.25">
      <c r="A2467" s="8" t="s">
        <v>8872</v>
      </c>
      <c r="B2467" s="8" t="s">
        <v>8590</v>
      </c>
      <c r="C2467" s="8" t="s">
        <v>8591</v>
      </c>
      <c r="D2467" s="8" t="s">
        <v>8590</v>
      </c>
      <c r="E2467" s="105">
        <v>6</v>
      </c>
      <c r="F2467" s="106" t="s">
        <v>2024</v>
      </c>
      <c r="G2467" s="8"/>
      <c r="H2467" s="8"/>
      <c r="I2467" s="107">
        <v>0</v>
      </c>
      <c r="J2467" s="8" t="s">
        <v>4789</v>
      </c>
    </row>
    <row r="2468" spans="1:10" ht="16.5" customHeight="1" x14ac:dyDescent="0.25">
      <c r="A2468" s="8" t="s">
        <v>8873</v>
      </c>
      <c r="B2468" s="8" t="s">
        <v>8565</v>
      </c>
      <c r="C2468" s="8" t="s">
        <v>8566</v>
      </c>
      <c r="D2468" s="8" t="s">
        <v>8565</v>
      </c>
      <c r="E2468" s="105">
        <v>0.31559999999999999</v>
      </c>
      <c r="F2468" s="106" t="s">
        <v>2024</v>
      </c>
      <c r="G2468" s="8"/>
      <c r="H2468" s="8"/>
      <c r="I2468" s="107">
        <v>0</v>
      </c>
      <c r="J2468" s="8" t="s">
        <v>4789</v>
      </c>
    </row>
    <row r="2469" spans="1:10" ht="16.5" customHeight="1" x14ac:dyDescent="0.25">
      <c r="A2469" s="8" t="s">
        <v>8874</v>
      </c>
      <c r="B2469" s="8" t="s">
        <v>8875</v>
      </c>
      <c r="C2469" s="8" t="s">
        <v>8876</v>
      </c>
      <c r="D2469" s="8" t="s">
        <v>8875</v>
      </c>
      <c r="E2469" s="105">
        <v>6.9</v>
      </c>
      <c r="F2469" s="106" t="s">
        <v>2024</v>
      </c>
      <c r="G2469" s="8"/>
      <c r="H2469" s="8"/>
      <c r="I2469" s="107">
        <v>0</v>
      </c>
      <c r="J2469" s="8" t="s">
        <v>6357</v>
      </c>
    </row>
    <row r="2470" spans="1:10" ht="16.5" customHeight="1" x14ac:dyDescent="0.25">
      <c r="A2470" s="8" t="s">
        <v>8877</v>
      </c>
      <c r="B2470" s="8" t="s">
        <v>8878</v>
      </c>
      <c r="C2470" s="8" t="s">
        <v>8879</v>
      </c>
      <c r="D2470" s="8" t="s">
        <v>8878</v>
      </c>
      <c r="E2470" s="105">
        <v>1.1499999999999999</v>
      </c>
      <c r="F2470" s="106" t="s">
        <v>2024</v>
      </c>
      <c r="G2470" s="8"/>
      <c r="H2470" s="8"/>
      <c r="I2470" s="107">
        <v>0</v>
      </c>
      <c r="J2470" s="8" t="s">
        <v>6357</v>
      </c>
    </row>
    <row r="2471" spans="1:10" ht="16.5" customHeight="1" x14ac:dyDescent="0.25">
      <c r="A2471" s="8" t="s">
        <v>8880</v>
      </c>
      <c r="B2471" s="8" t="s">
        <v>8881</v>
      </c>
      <c r="C2471" s="8" t="s">
        <v>8882</v>
      </c>
      <c r="D2471" s="8" t="s">
        <v>8881</v>
      </c>
      <c r="E2471" s="105">
        <v>0</v>
      </c>
      <c r="F2471" s="106" t="s">
        <v>2024</v>
      </c>
      <c r="G2471" s="8"/>
      <c r="H2471" s="8"/>
      <c r="I2471" s="107">
        <v>0</v>
      </c>
      <c r="J2471" s="8" t="s">
        <v>4722</v>
      </c>
    </row>
    <row r="2472" spans="1:10" ht="16.5" customHeight="1" x14ac:dyDescent="0.25">
      <c r="A2472" s="8" t="s">
        <v>8883</v>
      </c>
      <c r="B2472" s="8" t="s">
        <v>8884</v>
      </c>
      <c r="C2472" s="8" t="s">
        <v>8885</v>
      </c>
      <c r="D2472" s="8"/>
      <c r="E2472" s="105">
        <v>0</v>
      </c>
      <c r="F2472" s="106" t="s">
        <v>2024</v>
      </c>
      <c r="G2472" s="8"/>
      <c r="H2472" s="8"/>
      <c r="I2472" s="107">
        <v>0</v>
      </c>
      <c r="J2472" s="8"/>
    </row>
    <row r="2473" spans="1:10" ht="16.5" customHeight="1" x14ac:dyDescent="0.25">
      <c r="A2473" s="8" t="s">
        <v>8886</v>
      </c>
      <c r="B2473" s="8" t="s">
        <v>8887</v>
      </c>
      <c r="C2473" s="8" t="s">
        <v>8888</v>
      </c>
      <c r="D2473" s="8" t="s">
        <v>8887</v>
      </c>
      <c r="E2473" s="105">
        <v>1</v>
      </c>
      <c r="F2473" s="106" t="s">
        <v>2024</v>
      </c>
      <c r="G2473" s="8"/>
      <c r="H2473" s="8"/>
      <c r="I2473" s="107">
        <v>0</v>
      </c>
      <c r="J2473" s="8" t="s">
        <v>3580</v>
      </c>
    </row>
    <row r="2474" spans="1:10" ht="16.5" customHeight="1" x14ac:dyDescent="0.25">
      <c r="A2474" s="8" t="s">
        <v>8889</v>
      </c>
      <c r="B2474" s="8" t="s">
        <v>8890</v>
      </c>
      <c r="C2474" s="8" t="s">
        <v>8891</v>
      </c>
      <c r="D2474" s="8" t="s">
        <v>8890</v>
      </c>
      <c r="E2474" s="105">
        <v>1</v>
      </c>
      <c r="F2474" s="106" t="s">
        <v>2024</v>
      </c>
      <c r="G2474" s="8"/>
      <c r="H2474" s="8"/>
      <c r="I2474" s="107">
        <v>0</v>
      </c>
      <c r="J2474" s="8" t="s">
        <v>3580</v>
      </c>
    </row>
    <row r="2475" spans="1:10" ht="16.5" customHeight="1" x14ac:dyDescent="0.25">
      <c r="A2475" s="8" t="s">
        <v>8892</v>
      </c>
      <c r="B2475" s="8" t="s">
        <v>8893</v>
      </c>
      <c r="C2475" s="8" t="s">
        <v>8894</v>
      </c>
      <c r="D2475" s="8"/>
      <c r="E2475" s="105">
        <v>0</v>
      </c>
      <c r="F2475" s="106" t="s">
        <v>2024</v>
      </c>
      <c r="G2475" s="8"/>
      <c r="H2475" s="8"/>
      <c r="I2475" s="107">
        <v>0</v>
      </c>
      <c r="J2475" s="8"/>
    </row>
    <row r="2476" spans="1:10" ht="16.5" customHeight="1" x14ac:dyDescent="0.25">
      <c r="A2476" s="8" t="s">
        <v>8895</v>
      </c>
      <c r="B2476" s="8" t="s">
        <v>8896</v>
      </c>
      <c r="C2476" s="8" t="s">
        <v>8897</v>
      </c>
      <c r="D2476" s="8"/>
      <c r="E2476" s="105">
        <v>0</v>
      </c>
      <c r="F2476" s="106" t="s">
        <v>2024</v>
      </c>
      <c r="G2476" s="8"/>
      <c r="H2476" s="8"/>
      <c r="I2476" s="107">
        <v>0</v>
      </c>
      <c r="J2476" s="8"/>
    </row>
    <row r="2477" spans="1:10" ht="16.5" customHeight="1" x14ac:dyDescent="0.25">
      <c r="A2477" s="8" t="s">
        <v>8898</v>
      </c>
      <c r="B2477" s="8" t="s">
        <v>8899</v>
      </c>
      <c r="C2477" s="8" t="s">
        <v>8900</v>
      </c>
      <c r="D2477" s="8"/>
      <c r="E2477" s="105">
        <v>0</v>
      </c>
      <c r="F2477" s="106" t="s">
        <v>2024</v>
      </c>
      <c r="G2477" s="8"/>
      <c r="H2477" s="8"/>
      <c r="I2477" s="107">
        <v>0</v>
      </c>
      <c r="J2477" s="8"/>
    </row>
    <row r="2478" spans="1:10" ht="16.5" customHeight="1" x14ac:dyDescent="0.25">
      <c r="A2478" s="8" t="s">
        <v>8901</v>
      </c>
      <c r="B2478" s="8" t="s">
        <v>8902</v>
      </c>
      <c r="C2478" s="8" t="s">
        <v>8903</v>
      </c>
      <c r="D2478" s="8"/>
      <c r="E2478" s="105">
        <v>0</v>
      </c>
      <c r="F2478" s="106" t="s">
        <v>2024</v>
      </c>
      <c r="G2478" s="8"/>
      <c r="H2478" s="8"/>
      <c r="I2478" s="107">
        <v>0</v>
      </c>
      <c r="J2478" s="8"/>
    </row>
    <row r="2479" spans="1:10" ht="16.5" customHeight="1" x14ac:dyDescent="0.25">
      <c r="A2479" s="8" t="s">
        <v>8904</v>
      </c>
      <c r="B2479" s="8" t="s">
        <v>8905</v>
      </c>
      <c r="C2479" s="8" t="s">
        <v>8906</v>
      </c>
      <c r="D2479" s="8" t="s">
        <v>8905</v>
      </c>
      <c r="E2479" s="105">
        <v>0</v>
      </c>
      <c r="F2479" s="106" t="s">
        <v>2024</v>
      </c>
      <c r="G2479" s="8"/>
      <c r="H2479" s="8"/>
      <c r="I2479" s="107">
        <v>0</v>
      </c>
      <c r="J2479" s="8"/>
    </row>
    <row r="2480" spans="1:10" ht="16.5" customHeight="1" x14ac:dyDescent="0.25">
      <c r="A2480" s="8" t="s">
        <v>8907</v>
      </c>
      <c r="B2480" s="8" t="s">
        <v>8908</v>
      </c>
      <c r="C2480" s="8" t="s">
        <v>8909</v>
      </c>
      <c r="D2480" s="8"/>
      <c r="E2480" s="105">
        <v>0</v>
      </c>
      <c r="F2480" s="106" t="s">
        <v>2024</v>
      </c>
      <c r="G2480" s="8"/>
      <c r="H2480" s="8"/>
      <c r="I2480" s="107">
        <v>0</v>
      </c>
      <c r="J2480" s="8"/>
    </row>
    <row r="2481" spans="1:10" ht="16.5" customHeight="1" x14ac:dyDescent="0.25">
      <c r="A2481" s="8" t="s">
        <v>8910</v>
      </c>
      <c r="B2481" s="8" t="s">
        <v>8911</v>
      </c>
      <c r="C2481" s="8" t="s">
        <v>8912</v>
      </c>
      <c r="D2481" s="8" t="s">
        <v>8911</v>
      </c>
      <c r="E2481" s="105">
        <v>1</v>
      </c>
      <c r="F2481" s="106" t="s">
        <v>2024</v>
      </c>
      <c r="G2481" s="8"/>
      <c r="H2481" s="8"/>
      <c r="I2481" s="107">
        <v>0</v>
      </c>
      <c r="J2481" s="8" t="s">
        <v>6357</v>
      </c>
    </row>
    <row r="2482" spans="1:10" ht="16.5" customHeight="1" x14ac:dyDescent="0.25">
      <c r="A2482" s="8" t="s">
        <v>8913</v>
      </c>
      <c r="B2482" s="8" t="s">
        <v>8914</v>
      </c>
      <c r="C2482" s="8" t="s">
        <v>8909</v>
      </c>
      <c r="D2482" s="8"/>
      <c r="E2482" s="105">
        <v>0</v>
      </c>
      <c r="F2482" s="106" t="s">
        <v>2024</v>
      </c>
      <c r="G2482" s="8"/>
      <c r="H2482" s="8"/>
      <c r="I2482" s="107">
        <v>0</v>
      </c>
      <c r="J2482" s="8"/>
    </row>
    <row r="2483" spans="1:10" ht="16.5" customHeight="1" x14ac:dyDescent="0.25">
      <c r="A2483" s="8" t="s">
        <v>8915</v>
      </c>
      <c r="B2483" s="8" t="s">
        <v>8916</v>
      </c>
      <c r="C2483" s="8" t="s">
        <v>8917</v>
      </c>
      <c r="D2483" s="8" t="s">
        <v>8916</v>
      </c>
      <c r="E2483" s="105">
        <v>10</v>
      </c>
      <c r="F2483" s="106" t="s">
        <v>2024</v>
      </c>
      <c r="G2483" s="8" t="s">
        <v>1541</v>
      </c>
      <c r="H2483" s="8"/>
      <c r="I2483" s="107">
        <v>0</v>
      </c>
      <c r="J2483" s="8" t="s">
        <v>5929</v>
      </c>
    </row>
    <row r="2484" spans="1:10" ht="16.5" customHeight="1" x14ac:dyDescent="0.25">
      <c r="A2484" s="8" t="s">
        <v>8918</v>
      </c>
      <c r="B2484" s="8" t="s">
        <v>8919</v>
      </c>
      <c r="C2484" s="8" t="s">
        <v>8919</v>
      </c>
      <c r="D2484" s="8" t="s">
        <v>8919</v>
      </c>
      <c r="E2484" s="105">
        <v>2.5</v>
      </c>
      <c r="F2484" s="106" t="s">
        <v>2024</v>
      </c>
      <c r="G2484" s="8" t="s">
        <v>1541</v>
      </c>
      <c r="H2484" s="8"/>
      <c r="I2484" s="107">
        <v>0</v>
      </c>
      <c r="J2484" s="8" t="s">
        <v>5929</v>
      </c>
    </row>
    <row r="2485" spans="1:10" ht="16.5" customHeight="1" x14ac:dyDescent="0.25">
      <c r="A2485" s="8" t="s">
        <v>8920</v>
      </c>
      <c r="B2485" s="8" t="s">
        <v>8921</v>
      </c>
      <c r="C2485" s="8" t="s">
        <v>1657</v>
      </c>
      <c r="D2485" s="8" t="s">
        <v>8921</v>
      </c>
      <c r="E2485" s="105">
        <v>7.6</v>
      </c>
      <c r="F2485" s="106" t="s">
        <v>2024</v>
      </c>
      <c r="G2485" s="8" t="s">
        <v>1541</v>
      </c>
      <c r="H2485" s="8" t="s">
        <v>8922</v>
      </c>
      <c r="I2485" s="107">
        <v>20</v>
      </c>
      <c r="J2485" s="8" t="s">
        <v>5929</v>
      </c>
    </row>
    <row r="2486" spans="1:10" ht="16.5" customHeight="1" x14ac:dyDescent="0.25">
      <c r="A2486" s="8" t="s">
        <v>8923</v>
      </c>
      <c r="B2486" s="8" t="s">
        <v>8924</v>
      </c>
      <c r="C2486" s="8" t="s">
        <v>1570</v>
      </c>
      <c r="D2486" s="8" t="s">
        <v>8924</v>
      </c>
      <c r="E2486" s="105">
        <v>8.5</v>
      </c>
      <c r="F2486" s="106" t="s">
        <v>2024</v>
      </c>
      <c r="G2486" s="8" t="s">
        <v>1541</v>
      </c>
      <c r="H2486" s="8" t="s">
        <v>8925</v>
      </c>
      <c r="I2486" s="107">
        <v>10</v>
      </c>
      <c r="J2486" s="8" t="s">
        <v>5929</v>
      </c>
    </row>
    <row r="2487" spans="1:10" ht="16.5" customHeight="1" x14ac:dyDescent="0.25">
      <c r="A2487" s="8" t="s">
        <v>8922</v>
      </c>
      <c r="B2487" s="8" t="s">
        <v>6104</v>
      </c>
      <c r="C2487" s="8" t="s">
        <v>8926</v>
      </c>
      <c r="D2487" s="8" t="s">
        <v>6104</v>
      </c>
      <c r="E2487" s="105">
        <v>0.38</v>
      </c>
      <c r="F2487" s="106" t="s">
        <v>2024</v>
      </c>
      <c r="G2487" s="8" t="s">
        <v>1541</v>
      </c>
      <c r="H2487" s="8"/>
      <c r="I2487" s="107">
        <v>0</v>
      </c>
      <c r="J2487" s="8" t="s">
        <v>5929</v>
      </c>
    </row>
    <row r="2488" spans="1:10" ht="16.5" customHeight="1" x14ac:dyDescent="0.25">
      <c r="A2488" s="8" t="s">
        <v>8925</v>
      </c>
      <c r="B2488" s="8" t="s">
        <v>6982</v>
      </c>
      <c r="C2488" s="8" t="s">
        <v>8927</v>
      </c>
      <c r="D2488" s="8" t="s">
        <v>6982</v>
      </c>
      <c r="E2488" s="105">
        <v>0.85</v>
      </c>
      <c r="F2488" s="106" t="s">
        <v>2024</v>
      </c>
      <c r="G2488" s="8" t="s">
        <v>1541</v>
      </c>
      <c r="H2488" s="8"/>
      <c r="I2488" s="107">
        <v>0</v>
      </c>
      <c r="J2488" s="8" t="s">
        <v>5929</v>
      </c>
    </row>
    <row r="2489" spans="1:10" ht="16.5" customHeight="1" x14ac:dyDescent="0.25">
      <c r="A2489" s="8" t="s">
        <v>8928</v>
      </c>
      <c r="B2489" s="8" t="s">
        <v>8929</v>
      </c>
      <c r="C2489" s="8" t="s">
        <v>8930</v>
      </c>
      <c r="D2489" s="8" t="s">
        <v>8929</v>
      </c>
      <c r="E2489" s="105">
        <v>12.1</v>
      </c>
      <c r="F2489" s="106" t="s">
        <v>2024</v>
      </c>
      <c r="G2489" s="8"/>
      <c r="H2489" s="8"/>
      <c r="I2489" s="107">
        <v>0</v>
      </c>
      <c r="J2489" s="8" t="s">
        <v>5929</v>
      </c>
    </row>
    <row r="2490" spans="1:10" ht="16.5" customHeight="1" x14ac:dyDescent="0.25">
      <c r="A2490" s="8" t="s">
        <v>8931</v>
      </c>
      <c r="B2490" s="8" t="s">
        <v>8932</v>
      </c>
      <c r="C2490" s="8" t="s">
        <v>8933</v>
      </c>
      <c r="D2490" s="8" t="s">
        <v>8932</v>
      </c>
      <c r="E2490" s="105">
        <v>0.60499999999999998</v>
      </c>
      <c r="F2490" s="106" t="s">
        <v>2024</v>
      </c>
      <c r="G2490" s="8"/>
      <c r="H2490" s="8"/>
      <c r="I2490" s="107">
        <v>0</v>
      </c>
      <c r="J2490" s="8" t="s">
        <v>5929</v>
      </c>
    </row>
    <row r="2491" spans="1:10" ht="16.5" customHeight="1" x14ac:dyDescent="0.25">
      <c r="A2491" s="8" t="s">
        <v>8934</v>
      </c>
      <c r="B2491" s="8" t="s">
        <v>8935</v>
      </c>
      <c r="C2491" s="8" t="s">
        <v>8936</v>
      </c>
      <c r="D2491" s="8" t="s">
        <v>8935</v>
      </c>
      <c r="E2491" s="105">
        <v>12.1</v>
      </c>
      <c r="F2491" s="106" t="s">
        <v>2024</v>
      </c>
      <c r="G2491" s="8" t="s">
        <v>1541</v>
      </c>
      <c r="H2491" s="8" t="s">
        <v>8937</v>
      </c>
      <c r="I2491" s="107">
        <v>20</v>
      </c>
      <c r="J2491" s="8" t="s">
        <v>5929</v>
      </c>
    </row>
    <row r="2492" spans="1:10" ht="16.5" customHeight="1" x14ac:dyDescent="0.25">
      <c r="A2492" s="8" t="s">
        <v>8937</v>
      </c>
      <c r="B2492" s="8" t="s">
        <v>8938</v>
      </c>
      <c r="C2492" s="8" t="s">
        <v>8939</v>
      </c>
      <c r="D2492" s="8" t="s">
        <v>8938</v>
      </c>
      <c r="E2492" s="105">
        <v>0.60499999999999998</v>
      </c>
      <c r="F2492" s="106" t="s">
        <v>2024</v>
      </c>
      <c r="G2492" s="8" t="s">
        <v>1541</v>
      </c>
      <c r="H2492" s="8"/>
      <c r="I2492" s="107">
        <v>0</v>
      </c>
      <c r="J2492" s="8" t="s">
        <v>5929</v>
      </c>
    </row>
    <row r="2493" spans="1:10" ht="16.5" customHeight="1" x14ac:dyDescent="0.25">
      <c r="A2493" s="8" t="s">
        <v>8940</v>
      </c>
      <c r="B2493" s="8" t="s">
        <v>8941</v>
      </c>
      <c r="C2493" s="8" t="s">
        <v>8942</v>
      </c>
      <c r="D2493" s="8" t="s">
        <v>8941</v>
      </c>
      <c r="E2493" s="105">
        <v>12.1</v>
      </c>
      <c r="F2493" s="106" t="s">
        <v>2024</v>
      </c>
      <c r="G2493" s="8"/>
      <c r="H2493" s="8"/>
      <c r="I2493" s="107">
        <v>0</v>
      </c>
      <c r="J2493" s="8" t="s">
        <v>5929</v>
      </c>
    </row>
    <row r="2494" spans="1:10" ht="16.5" customHeight="1" x14ac:dyDescent="0.25">
      <c r="A2494" s="8" t="s">
        <v>8943</v>
      </c>
      <c r="B2494" s="8" t="s">
        <v>8944</v>
      </c>
      <c r="C2494" s="8" t="s">
        <v>8945</v>
      </c>
      <c r="D2494" s="8" t="s">
        <v>8944</v>
      </c>
      <c r="E2494" s="105">
        <v>1.21</v>
      </c>
      <c r="F2494" s="106" t="s">
        <v>2024</v>
      </c>
      <c r="G2494" s="8"/>
      <c r="H2494" s="8"/>
      <c r="I2494" s="107">
        <v>0</v>
      </c>
      <c r="J2494" s="8" t="s">
        <v>5929</v>
      </c>
    </row>
    <row r="2495" spans="1:10" ht="16.5" customHeight="1" x14ac:dyDescent="0.25">
      <c r="A2495" s="8" t="s">
        <v>8946</v>
      </c>
      <c r="B2495" s="8" t="s">
        <v>8947</v>
      </c>
      <c r="C2495" s="8" t="s">
        <v>8948</v>
      </c>
      <c r="D2495" s="8" t="s">
        <v>8947</v>
      </c>
      <c r="E2495" s="105">
        <v>12.1</v>
      </c>
      <c r="F2495" s="106" t="s">
        <v>2024</v>
      </c>
      <c r="G2495" s="8" t="s">
        <v>1541</v>
      </c>
      <c r="H2495" s="8" t="s">
        <v>8949</v>
      </c>
      <c r="I2495" s="107">
        <v>10</v>
      </c>
      <c r="J2495" s="8" t="s">
        <v>5929</v>
      </c>
    </row>
    <row r="2496" spans="1:10" ht="16.5" customHeight="1" x14ac:dyDescent="0.25">
      <c r="A2496" s="8" t="s">
        <v>8949</v>
      </c>
      <c r="B2496" s="8" t="s">
        <v>8950</v>
      </c>
      <c r="C2496" s="8" t="s">
        <v>8951</v>
      </c>
      <c r="D2496" s="8" t="s">
        <v>8950</v>
      </c>
      <c r="E2496" s="105">
        <v>1.21</v>
      </c>
      <c r="F2496" s="106" t="s">
        <v>2024</v>
      </c>
      <c r="G2496" s="8" t="s">
        <v>1541</v>
      </c>
      <c r="H2496" s="8"/>
      <c r="I2496" s="107">
        <v>0</v>
      </c>
      <c r="J2496" s="8" t="s">
        <v>5929</v>
      </c>
    </row>
    <row r="2497" spans="1:10" ht="16.5" customHeight="1" x14ac:dyDescent="0.25">
      <c r="A2497" s="8" t="s">
        <v>8952</v>
      </c>
      <c r="B2497" s="8" t="s">
        <v>8953</v>
      </c>
      <c r="C2497" s="8" t="s">
        <v>8954</v>
      </c>
      <c r="D2497" s="8" t="s">
        <v>8953</v>
      </c>
      <c r="E2497" s="105">
        <v>1</v>
      </c>
      <c r="F2497" s="106" t="s">
        <v>2024</v>
      </c>
      <c r="G2497" s="8"/>
      <c r="H2497" s="8"/>
      <c r="I2497" s="107">
        <v>0</v>
      </c>
      <c r="J2497" s="8" t="s">
        <v>3580</v>
      </c>
    </row>
    <row r="2498" spans="1:10" ht="16.5" customHeight="1" x14ac:dyDescent="0.25">
      <c r="A2498" s="8" t="s">
        <v>8955</v>
      </c>
      <c r="B2498" s="8" t="s">
        <v>8956</v>
      </c>
      <c r="C2498" s="8" t="s">
        <v>8957</v>
      </c>
      <c r="D2498" s="8" t="s">
        <v>8956</v>
      </c>
      <c r="E2498" s="105">
        <v>1</v>
      </c>
      <c r="F2498" s="106" t="s">
        <v>2024</v>
      </c>
      <c r="G2498" s="8"/>
      <c r="H2498" s="8"/>
      <c r="I2498" s="107">
        <v>0</v>
      </c>
      <c r="J2498" s="8" t="s">
        <v>3695</v>
      </c>
    </row>
    <row r="2499" spans="1:10" ht="16.5" customHeight="1" x14ac:dyDescent="0.25">
      <c r="A2499" s="8" t="s">
        <v>8958</v>
      </c>
      <c r="B2499" s="8" t="s">
        <v>8959</v>
      </c>
      <c r="C2499" s="8" t="s">
        <v>8960</v>
      </c>
      <c r="D2499" s="8" t="s">
        <v>8959</v>
      </c>
      <c r="E2499" s="105">
        <v>1</v>
      </c>
      <c r="F2499" s="106" t="s">
        <v>2018</v>
      </c>
      <c r="G2499" s="8"/>
      <c r="H2499" s="8"/>
      <c r="I2499" s="107">
        <v>0</v>
      </c>
      <c r="J2499" s="8" t="s">
        <v>6357</v>
      </c>
    </row>
    <row r="2500" spans="1:10" ht="16.5" customHeight="1" x14ac:dyDescent="0.25">
      <c r="A2500" s="8" t="s">
        <v>8961</v>
      </c>
      <c r="B2500" s="8" t="s">
        <v>7752</v>
      </c>
      <c r="C2500" s="8" t="s">
        <v>8962</v>
      </c>
      <c r="D2500" s="8" t="s">
        <v>7752</v>
      </c>
      <c r="E2500" s="105">
        <v>6</v>
      </c>
      <c r="F2500" s="106" t="s">
        <v>2024</v>
      </c>
      <c r="G2500" s="8" t="s">
        <v>1541</v>
      </c>
      <c r="H2500" s="8" t="s">
        <v>8963</v>
      </c>
      <c r="I2500" s="107">
        <v>120</v>
      </c>
      <c r="J2500" s="8" t="s">
        <v>5929</v>
      </c>
    </row>
    <row r="2501" spans="1:10" ht="16.5" customHeight="1" x14ac:dyDescent="0.25">
      <c r="A2501" s="8" t="s">
        <v>8963</v>
      </c>
      <c r="B2501" s="8" t="s">
        <v>6107</v>
      </c>
      <c r="C2501" s="8" t="s">
        <v>8964</v>
      </c>
      <c r="D2501" s="8" t="s">
        <v>6107</v>
      </c>
      <c r="E2501" s="105">
        <v>0.05</v>
      </c>
      <c r="F2501" s="106" t="s">
        <v>2024</v>
      </c>
      <c r="G2501" s="8" t="s">
        <v>1541</v>
      </c>
      <c r="H2501" s="8"/>
      <c r="I2501" s="107">
        <v>0</v>
      </c>
      <c r="J2501" s="8" t="s">
        <v>5929</v>
      </c>
    </row>
    <row r="2502" spans="1:10" ht="16.5" customHeight="1" x14ac:dyDescent="0.25">
      <c r="A2502" s="8" t="s">
        <v>8965</v>
      </c>
      <c r="B2502" s="8" t="s">
        <v>8966</v>
      </c>
      <c r="C2502" s="8" t="s">
        <v>8967</v>
      </c>
      <c r="D2502" s="8" t="s">
        <v>8966</v>
      </c>
      <c r="E2502" s="105">
        <v>11.88</v>
      </c>
      <c r="F2502" s="106" t="s">
        <v>2024</v>
      </c>
      <c r="G2502" s="8"/>
      <c r="H2502" s="8"/>
      <c r="I2502" s="107">
        <v>0</v>
      </c>
      <c r="J2502" s="8" t="s">
        <v>6357</v>
      </c>
    </row>
    <row r="2503" spans="1:10" ht="16.5" customHeight="1" x14ac:dyDescent="0.25">
      <c r="A2503" s="8" t="s">
        <v>8968</v>
      </c>
      <c r="B2503" s="8" t="s">
        <v>8969</v>
      </c>
      <c r="C2503" s="8" t="s">
        <v>8970</v>
      </c>
      <c r="D2503" s="8" t="s">
        <v>8969</v>
      </c>
      <c r="E2503" s="105">
        <v>0.99</v>
      </c>
      <c r="F2503" s="106" t="s">
        <v>2024</v>
      </c>
      <c r="G2503" s="8"/>
      <c r="H2503" s="8"/>
      <c r="I2503" s="107">
        <v>0</v>
      </c>
      <c r="J2503" s="8" t="s">
        <v>6357</v>
      </c>
    </row>
    <row r="2504" spans="1:10" ht="16.5" customHeight="1" x14ac:dyDescent="0.25">
      <c r="A2504" s="8" t="s">
        <v>8971</v>
      </c>
      <c r="B2504" s="8" t="s">
        <v>8972</v>
      </c>
      <c r="C2504" s="8" t="s">
        <v>8973</v>
      </c>
      <c r="D2504" s="8" t="s">
        <v>8972</v>
      </c>
      <c r="E2504" s="105">
        <v>11.88</v>
      </c>
      <c r="F2504" s="106" t="s">
        <v>2024</v>
      </c>
      <c r="G2504" s="8"/>
      <c r="H2504" s="8"/>
      <c r="I2504" s="107">
        <v>0</v>
      </c>
      <c r="J2504" s="8" t="s">
        <v>6357</v>
      </c>
    </row>
    <row r="2505" spans="1:10" ht="16.5" customHeight="1" x14ac:dyDescent="0.25">
      <c r="A2505" s="8" t="s">
        <v>8974</v>
      </c>
      <c r="B2505" s="8" t="s">
        <v>8975</v>
      </c>
      <c r="C2505" s="8" t="s">
        <v>8976</v>
      </c>
      <c r="D2505" s="8" t="s">
        <v>8975</v>
      </c>
      <c r="E2505" s="105">
        <v>0.99</v>
      </c>
      <c r="F2505" s="106" t="s">
        <v>2024</v>
      </c>
      <c r="G2505" s="8"/>
      <c r="H2505" s="8"/>
      <c r="I2505" s="107">
        <v>0</v>
      </c>
      <c r="J2505" s="8" t="s">
        <v>6357</v>
      </c>
    </row>
    <row r="2506" spans="1:10" ht="16.5" customHeight="1" x14ac:dyDescent="0.25">
      <c r="A2506" s="8" t="s">
        <v>8977</v>
      </c>
      <c r="B2506" s="8" t="s">
        <v>8978</v>
      </c>
      <c r="C2506" s="8" t="s">
        <v>8979</v>
      </c>
      <c r="D2506" s="8" t="s">
        <v>8978</v>
      </c>
      <c r="E2506" s="105">
        <v>15.2</v>
      </c>
      <c r="F2506" s="106" t="s">
        <v>2024</v>
      </c>
      <c r="G2506" s="8"/>
      <c r="H2506" s="8"/>
      <c r="I2506" s="107">
        <v>0</v>
      </c>
      <c r="J2506" s="8" t="s">
        <v>6357</v>
      </c>
    </row>
    <row r="2507" spans="1:10" ht="16.5" customHeight="1" x14ac:dyDescent="0.25">
      <c r="A2507" s="8" t="s">
        <v>8980</v>
      </c>
      <c r="B2507" s="8" t="s">
        <v>8981</v>
      </c>
      <c r="C2507" s="8" t="s">
        <v>8982</v>
      </c>
      <c r="D2507" s="8" t="s">
        <v>8981</v>
      </c>
      <c r="E2507" s="105">
        <v>3.8</v>
      </c>
      <c r="F2507" s="106" t="s">
        <v>2024</v>
      </c>
      <c r="G2507" s="8"/>
      <c r="H2507" s="8"/>
      <c r="I2507" s="107">
        <v>0</v>
      </c>
      <c r="J2507" s="8" t="s">
        <v>6357</v>
      </c>
    </row>
    <row r="2508" spans="1:10" ht="16.5" customHeight="1" x14ac:dyDescent="0.25">
      <c r="A2508" s="8" t="s">
        <v>8983</v>
      </c>
      <c r="B2508" s="8" t="s">
        <v>8984</v>
      </c>
      <c r="C2508" s="8" t="s">
        <v>8985</v>
      </c>
      <c r="D2508" s="8" t="s">
        <v>8984</v>
      </c>
      <c r="E2508" s="105">
        <v>15.2</v>
      </c>
      <c r="F2508" s="106" t="s">
        <v>2024</v>
      </c>
      <c r="G2508" s="8"/>
      <c r="H2508" s="8"/>
      <c r="I2508" s="107">
        <v>0</v>
      </c>
      <c r="J2508" s="8" t="s">
        <v>6357</v>
      </c>
    </row>
    <row r="2509" spans="1:10" ht="16.5" customHeight="1" x14ac:dyDescent="0.25">
      <c r="A2509" s="8" t="s">
        <v>8986</v>
      </c>
      <c r="B2509" s="8" t="s">
        <v>8987</v>
      </c>
      <c r="C2509" s="8" t="s">
        <v>8988</v>
      </c>
      <c r="D2509" s="8" t="s">
        <v>8987</v>
      </c>
      <c r="E2509" s="105">
        <v>3.8</v>
      </c>
      <c r="F2509" s="106" t="s">
        <v>2024</v>
      </c>
      <c r="G2509" s="8"/>
      <c r="H2509" s="8"/>
      <c r="I2509" s="107">
        <v>0</v>
      </c>
      <c r="J2509" s="8" t="s">
        <v>6357</v>
      </c>
    </row>
    <row r="2510" spans="1:10" ht="16.5" customHeight="1" x14ac:dyDescent="0.25">
      <c r="A2510" s="8" t="s">
        <v>8989</v>
      </c>
      <c r="B2510" s="8" t="s">
        <v>8990</v>
      </c>
      <c r="C2510" s="8" t="s">
        <v>8991</v>
      </c>
      <c r="D2510" s="8" t="s">
        <v>8990</v>
      </c>
      <c r="E2510" s="105">
        <v>19</v>
      </c>
      <c r="F2510" s="106" t="s">
        <v>2024</v>
      </c>
      <c r="G2510" s="8"/>
      <c r="H2510" s="8"/>
      <c r="I2510" s="107">
        <v>0</v>
      </c>
      <c r="J2510" s="8" t="s">
        <v>6357</v>
      </c>
    </row>
    <row r="2511" spans="1:10" ht="16.5" customHeight="1" x14ac:dyDescent="0.25">
      <c r="A2511" s="8" t="s">
        <v>8992</v>
      </c>
      <c r="B2511" s="8" t="s">
        <v>8993</v>
      </c>
      <c r="C2511" s="8" t="s">
        <v>8994</v>
      </c>
      <c r="D2511" s="8" t="s">
        <v>8993</v>
      </c>
      <c r="E2511" s="105">
        <v>9.5</v>
      </c>
      <c r="F2511" s="106" t="s">
        <v>2024</v>
      </c>
      <c r="G2511" s="8"/>
      <c r="H2511" s="8"/>
      <c r="I2511" s="107">
        <v>0</v>
      </c>
      <c r="J2511" s="8" t="s">
        <v>6357</v>
      </c>
    </row>
    <row r="2512" spans="1:10" ht="16.5" customHeight="1" x14ac:dyDescent="0.25">
      <c r="A2512" s="8" t="s">
        <v>8995</v>
      </c>
      <c r="B2512" s="8" t="s">
        <v>8996</v>
      </c>
      <c r="C2512" s="8" t="s">
        <v>8997</v>
      </c>
      <c r="D2512" s="8" t="s">
        <v>8996</v>
      </c>
      <c r="E2512" s="105">
        <v>19</v>
      </c>
      <c r="F2512" s="106" t="s">
        <v>2024</v>
      </c>
      <c r="G2512" s="8"/>
      <c r="H2512" s="8"/>
      <c r="I2512" s="107">
        <v>0</v>
      </c>
      <c r="J2512" s="8" t="s">
        <v>6357</v>
      </c>
    </row>
    <row r="2513" spans="1:10" ht="16.5" customHeight="1" x14ac:dyDescent="0.25">
      <c r="A2513" s="8" t="s">
        <v>8998</v>
      </c>
      <c r="B2513" s="8" t="s">
        <v>8999</v>
      </c>
      <c r="C2513" s="8" t="s">
        <v>9000</v>
      </c>
      <c r="D2513" s="8" t="s">
        <v>8999</v>
      </c>
      <c r="E2513" s="105">
        <v>9.5</v>
      </c>
      <c r="F2513" s="106" t="s">
        <v>2024</v>
      </c>
      <c r="G2513" s="8"/>
      <c r="H2513" s="8"/>
      <c r="I2513" s="107">
        <v>0</v>
      </c>
      <c r="J2513" s="8" t="s">
        <v>6357</v>
      </c>
    </row>
    <row r="2514" spans="1:10" ht="16.5" customHeight="1" x14ac:dyDescent="0.25">
      <c r="A2514" s="8" t="s">
        <v>9001</v>
      </c>
      <c r="B2514" s="8" t="s">
        <v>9002</v>
      </c>
      <c r="C2514" s="8" t="s">
        <v>9003</v>
      </c>
      <c r="D2514" s="8" t="s">
        <v>9002</v>
      </c>
      <c r="E2514" s="105">
        <v>15.2</v>
      </c>
      <c r="F2514" s="106" t="s">
        <v>2024</v>
      </c>
      <c r="G2514" s="8"/>
      <c r="H2514" s="8"/>
      <c r="I2514" s="107">
        <v>0</v>
      </c>
      <c r="J2514" s="8" t="s">
        <v>6357</v>
      </c>
    </row>
    <row r="2515" spans="1:10" ht="16.5" customHeight="1" x14ac:dyDescent="0.25">
      <c r="A2515" s="8" t="s">
        <v>9004</v>
      </c>
      <c r="B2515" s="8" t="s">
        <v>9005</v>
      </c>
      <c r="C2515" s="8" t="s">
        <v>9006</v>
      </c>
      <c r="D2515" s="8" t="s">
        <v>9005</v>
      </c>
      <c r="E2515" s="105">
        <v>3.8</v>
      </c>
      <c r="F2515" s="106" t="s">
        <v>2024</v>
      </c>
      <c r="G2515" s="8"/>
      <c r="H2515" s="8"/>
      <c r="I2515" s="107">
        <v>0</v>
      </c>
      <c r="J2515" s="8" t="s">
        <v>6357</v>
      </c>
    </row>
    <row r="2516" spans="1:10" ht="16.5" customHeight="1" x14ac:dyDescent="0.25">
      <c r="A2516" s="8" t="s">
        <v>9007</v>
      </c>
      <c r="B2516" s="8" t="s">
        <v>9008</v>
      </c>
      <c r="C2516" s="8" t="s">
        <v>9009</v>
      </c>
      <c r="D2516" s="8" t="s">
        <v>9008</v>
      </c>
      <c r="E2516" s="105">
        <v>12</v>
      </c>
      <c r="F2516" s="106" t="s">
        <v>2024</v>
      </c>
      <c r="G2516" s="8" t="s">
        <v>1541</v>
      </c>
      <c r="H2516" s="8" t="s">
        <v>9010</v>
      </c>
      <c r="I2516" s="107">
        <v>1200</v>
      </c>
      <c r="J2516" s="8" t="s">
        <v>5929</v>
      </c>
    </row>
    <row r="2517" spans="1:10" ht="16.5" customHeight="1" x14ac:dyDescent="0.25">
      <c r="A2517" s="8" t="s">
        <v>9010</v>
      </c>
      <c r="B2517" s="8" t="s">
        <v>9011</v>
      </c>
      <c r="C2517" s="8" t="s">
        <v>9012</v>
      </c>
      <c r="D2517" s="8" t="s">
        <v>9011</v>
      </c>
      <c r="E2517" s="105">
        <v>0.01</v>
      </c>
      <c r="F2517" s="106" t="s">
        <v>2024</v>
      </c>
      <c r="G2517" s="8" t="s">
        <v>1541</v>
      </c>
      <c r="H2517" s="8"/>
      <c r="I2517" s="107">
        <v>0</v>
      </c>
      <c r="J2517" s="8" t="s">
        <v>5929</v>
      </c>
    </row>
    <row r="2518" spans="1:10" ht="16.5" customHeight="1" x14ac:dyDescent="0.25">
      <c r="A2518" s="8" t="s">
        <v>9013</v>
      </c>
      <c r="B2518" s="8" t="s">
        <v>9014</v>
      </c>
      <c r="C2518" s="8" t="s">
        <v>9015</v>
      </c>
      <c r="D2518" s="8" t="s">
        <v>9014</v>
      </c>
      <c r="E2518" s="105">
        <v>10</v>
      </c>
      <c r="F2518" s="106" t="s">
        <v>2024</v>
      </c>
      <c r="G2518" s="8"/>
      <c r="H2518" s="8"/>
      <c r="I2518" s="107">
        <v>0</v>
      </c>
      <c r="J2518" s="8" t="s">
        <v>3580</v>
      </c>
    </row>
    <row r="2519" spans="1:10" ht="16.5" customHeight="1" x14ac:dyDescent="0.25">
      <c r="A2519" s="8" t="s">
        <v>9016</v>
      </c>
      <c r="B2519" s="8" t="s">
        <v>9017</v>
      </c>
      <c r="C2519" s="8" t="s">
        <v>9018</v>
      </c>
      <c r="D2519" s="8" t="s">
        <v>9017</v>
      </c>
      <c r="E2519" s="105">
        <v>10</v>
      </c>
      <c r="F2519" s="106" t="s">
        <v>2024</v>
      </c>
      <c r="G2519" s="8"/>
      <c r="H2519" s="8"/>
      <c r="I2519" s="107">
        <v>0</v>
      </c>
      <c r="J2519" s="8" t="s">
        <v>3580</v>
      </c>
    </row>
    <row r="2520" spans="1:10" ht="16.5" customHeight="1" x14ac:dyDescent="0.25">
      <c r="A2520" s="8" t="s">
        <v>9019</v>
      </c>
      <c r="B2520" s="8" t="s">
        <v>8565</v>
      </c>
      <c r="C2520" s="8" t="s">
        <v>8566</v>
      </c>
      <c r="D2520" s="8" t="s">
        <v>8565</v>
      </c>
      <c r="E2520" s="105">
        <v>0.31</v>
      </c>
      <c r="F2520" s="106" t="s">
        <v>2024</v>
      </c>
      <c r="G2520" s="8"/>
      <c r="H2520" s="8"/>
      <c r="I2520" s="107">
        <v>0</v>
      </c>
      <c r="J2520" s="8" t="s">
        <v>4722</v>
      </c>
    </row>
    <row r="2521" spans="1:10" ht="16.5" customHeight="1" x14ac:dyDescent="0.25">
      <c r="A2521" s="8" t="s">
        <v>9020</v>
      </c>
      <c r="B2521" s="8" t="s">
        <v>9021</v>
      </c>
      <c r="C2521" s="8" t="s">
        <v>9022</v>
      </c>
      <c r="D2521" s="8" t="s">
        <v>9021</v>
      </c>
      <c r="E2521" s="105">
        <v>6</v>
      </c>
      <c r="F2521" s="106" t="s">
        <v>2024</v>
      </c>
      <c r="G2521" s="8"/>
      <c r="H2521" s="8"/>
      <c r="I2521" s="107">
        <v>0</v>
      </c>
      <c r="J2521" s="8" t="s">
        <v>5671</v>
      </c>
    </row>
    <row r="2522" spans="1:10" ht="16.5" customHeight="1" x14ac:dyDescent="0.25">
      <c r="A2522" s="8" t="s">
        <v>9023</v>
      </c>
      <c r="B2522" s="8" t="s">
        <v>9024</v>
      </c>
      <c r="C2522" s="8" t="s">
        <v>9025</v>
      </c>
      <c r="D2522" s="8" t="s">
        <v>9024</v>
      </c>
      <c r="E2522" s="105">
        <v>0.25</v>
      </c>
      <c r="F2522" s="106" t="s">
        <v>2024</v>
      </c>
      <c r="G2522" s="8"/>
      <c r="H2522" s="8"/>
      <c r="I2522" s="107">
        <v>0</v>
      </c>
      <c r="J2522" s="8" t="s">
        <v>5671</v>
      </c>
    </row>
    <row r="2523" spans="1:10" ht="16.5" customHeight="1" x14ac:dyDescent="0.25">
      <c r="A2523" s="8" t="s">
        <v>9026</v>
      </c>
      <c r="B2523" s="8" t="s">
        <v>9027</v>
      </c>
      <c r="C2523" s="8" t="s">
        <v>9028</v>
      </c>
      <c r="D2523" s="8" t="s">
        <v>9027</v>
      </c>
      <c r="E2523" s="105">
        <v>7.28</v>
      </c>
      <c r="F2523" s="106" t="s">
        <v>2024</v>
      </c>
      <c r="G2523" s="8"/>
      <c r="H2523" s="8"/>
      <c r="I2523" s="107">
        <v>0</v>
      </c>
      <c r="J2523" s="8" t="s">
        <v>2019</v>
      </c>
    </row>
    <row r="2524" spans="1:10" ht="16.5" customHeight="1" x14ac:dyDescent="0.25">
      <c r="A2524" s="8" t="s">
        <v>936</v>
      </c>
      <c r="B2524" s="8" t="s">
        <v>938</v>
      </c>
      <c r="C2524" s="8" t="s">
        <v>937</v>
      </c>
      <c r="D2524" s="8" t="s">
        <v>938</v>
      </c>
      <c r="E2524" s="105">
        <v>10.92</v>
      </c>
      <c r="F2524" s="106" t="s">
        <v>2018</v>
      </c>
      <c r="G2524" s="8"/>
      <c r="H2524" s="8" t="s">
        <v>1923</v>
      </c>
      <c r="I2524" s="107">
        <v>12</v>
      </c>
      <c r="J2524" s="8" t="s">
        <v>2019</v>
      </c>
    </row>
    <row r="2525" spans="1:10" ht="16.5" customHeight="1" x14ac:dyDescent="0.25">
      <c r="A2525" s="8" t="s">
        <v>1121</v>
      </c>
      <c r="B2525" s="8" t="s">
        <v>1123</v>
      </c>
      <c r="C2525" s="8" t="s">
        <v>1122</v>
      </c>
      <c r="D2525" s="8" t="s">
        <v>1123</v>
      </c>
      <c r="E2525" s="105">
        <v>10.92</v>
      </c>
      <c r="F2525" s="106" t="s">
        <v>2018</v>
      </c>
      <c r="G2525" s="8"/>
      <c r="H2525" s="8" t="s">
        <v>9029</v>
      </c>
      <c r="I2525" s="107">
        <v>6</v>
      </c>
      <c r="J2525" s="8" t="s">
        <v>2019</v>
      </c>
    </row>
    <row r="2526" spans="1:10" ht="16.5" customHeight="1" x14ac:dyDescent="0.25">
      <c r="A2526" s="8" t="s">
        <v>940</v>
      </c>
      <c r="B2526" s="8" t="s">
        <v>942</v>
      </c>
      <c r="C2526" s="8" t="s">
        <v>941</v>
      </c>
      <c r="D2526" s="8" t="s">
        <v>942</v>
      </c>
      <c r="E2526" s="105">
        <v>18.2</v>
      </c>
      <c r="F2526" s="106" t="s">
        <v>2018</v>
      </c>
      <c r="G2526" s="8"/>
      <c r="H2526" s="8" t="s">
        <v>9030</v>
      </c>
      <c r="I2526" s="107">
        <v>4</v>
      </c>
      <c r="J2526" s="8" t="s">
        <v>2019</v>
      </c>
    </row>
    <row r="2527" spans="1:10" ht="16.5" customHeight="1" x14ac:dyDescent="0.25">
      <c r="A2527" s="8" t="s">
        <v>9031</v>
      </c>
      <c r="B2527" s="8" t="s">
        <v>9032</v>
      </c>
      <c r="C2527" s="8" t="s">
        <v>9033</v>
      </c>
      <c r="D2527" s="8" t="s">
        <v>9032</v>
      </c>
      <c r="E2527" s="105">
        <v>6.8250000000000002</v>
      </c>
      <c r="F2527" s="106" t="s">
        <v>2024</v>
      </c>
      <c r="G2527" s="8"/>
      <c r="H2527" s="8"/>
      <c r="I2527" s="107">
        <v>0</v>
      </c>
      <c r="J2527" s="8" t="s">
        <v>2019</v>
      </c>
    </row>
    <row r="2528" spans="1:10" ht="16.5" customHeight="1" x14ac:dyDescent="0.25">
      <c r="A2528" s="8" t="s">
        <v>9034</v>
      </c>
      <c r="B2528" s="8" t="s">
        <v>9035</v>
      </c>
      <c r="C2528" s="8" t="s">
        <v>9036</v>
      </c>
      <c r="D2528" s="8" t="s">
        <v>9035</v>
      </c>
      <c r="E2528" s="105">
        <v>0</v>
      </c>
      <c r="F2528" s="106" t="s">
        <v>2024</v>
      </c>
      <c r="G2528" s="8"/>
      <c r="H2528" s="8"/>
      <c r="I2528" s="107">
        <v>0</v>
      </c>
      <c r="J2528" s="8" t="s">
        <v>2019</v>
      </c>
    </row>
    <row r="2529" spans="1:10" ht="16.5" customHeight="1" x14ac:dyDescent="0.25">
      <c r="A2529" s="8" t="s">
        <v>9037</v>
      </c>
      <c r="B2529" s="8" t="s">
        <v>9038</v>
      </c>
      <c r="C2529" s="8" t="s">
        <v>9039</v>
      </c>
      <c r="D2529" s="8" t="s">
        <v>9038</v>
      </c>
      <c r="E2529" s="105">
        <v>0</v>
      </c>
      <c r="F2529" s="106" t="s">
        <v>2024</v>
      </c>
      <c r="G2529" s="8"/>
      <c r="H2529" s="8"/>
      <c r="I2529" s="107">
        <v>0</v>
      </c>
      <c r="J2529" s="8" t="s">
        <v>4722</v>
      </c>
    </row>
    <row r="2530" spans="1:10" ht="16.5" customHeight="1" x14ac:dyDescent="0.25">
      <c r="A2530" s="8" t="s">
        <v>9040</v>
      </c>
      <c r="B2530" s="8" t="s">
        <v>9041</v>
      </c>
      <c r="C2530" s="8" t="s">
        <v>9042</v>
      </c>
      <c r="D2530" s="8" t="s">
        <v>9041</v>
      </c>
      <c r="E2530" s="105">
        <v>0</v>
      </c>
      <c r="F2530" s="106" t="s">
        <v>2024</v>
      </c>
      <c r="G2530" s="8"/>
      <c r="H2530" s="8"/>
      <c r="I2530" s="107">
        <v>0</v>
      </c>
      <c r="J2530" s="8" t="s">
        <v>4722</v>
      </c>
    </row>
    <row r="2531" spans="1:10" ht="16.5" customHeight="1" x14ac:dyDescent="0.25">
      <c r="A2531" s="8" t="s">
        <v>9043</v>
      </c>
      <c r="B2531" s="8" t="s">
        <v>9044</v>
      </c>
      <c r="C2531" s="8" t="s">
        <v>9045</v>
      </c>
      <c r="D2531" s="8" t="s">
        <v>9044</v>
      </c>
      <c r="E2531" s="105">
        <v>16.8</v>
      </c>
      <c r="F2531" s="106" t="s">
        <v>2024</v>
      </c>
      <c r="G2531" s="8" t="s">
        <v>1541</v>
      </c>
      <c r="H2531" s="8" t="s">
        <v>9046</v>
      </c>
      <c r="I2531" s="107">
        <v>4</v>
      </c>
      <c r="J2531" s="8" t="s">
        <v>5929</v>
      </c>
    </row>
    <row r="2532" spans="1:10" ht="16.5" customHeight="1" x14ac:dyDescent="0.25">
      <c r="A2532" s="8" t="s">
        <v>9046</v>
      </c>
      <c r="B2532" s="8" t="s">
        <v>9047</v>
      </c>
      <c r="C2532" s="8" t="s">
        <v>9048</v>
      </c>
      <c r="D2532" s="8" t="s">
        <v>9047</v>
      </c>
      <c r="E2532" s="105">
        <v>4.2</v>
      </c>
      <c r="F2532" s="106" t="s">
        <v>2024</v>
      </c>
      <c r="G2532" s="8" t="s">
        <v>1541</v>
      </c>
      <c r="H2532" s="8"/>
      <c r="I2532" s="107">
        <v>0</v>
      </c>
      <c r="J2532" s="8" t="s">
        <v>5929</v>
      </c>
    </row>
    <row r="2533" spans="1:10" ht="16.5" customHeight="1" x14ac:dyDescent="0.25">
      <c r="A2533" s="8" t="s">
        <v>9049</v>
      </c>
      <c r="B2533" s="8" t="s">
        <v>9050</v>
      </c>
      <c r="C2533" s="8" t="s">
        <v>9051</v>
      </c>
      <c r="D2533" s="8"/>
      <c r="E2533" s="105">
        <v>0</v>
      </c>
      <c r="F2533" s="106" t="s">
        <v>2024</v>
      </c>
      <c r="G2533" s="8"/>
      <c r="H2533" s="8"/>
      <c r="I2533" s="107">
        <v>0</v>
      </c>
      <c r="J2533" s="8"/>
    </row>
    <row r="2534" spans="1:10" ht="16.5" customHeight="1" x14ac:dyDescent="0.25">
      <c r="A2534" s="8" t="s">
        <v>9052</v>
      </c>
      <c r="B2534" s="8" t="s">
        <v>9053</v>
      </c>
      <c r="C2534" s="8" t="s">
        <v>9054</v>
      </c>
      <c r="D2534" s="8"/>
      <c r="E2534" s="105">
        <v>0</v>
      </c>
      <c r="F2534" s="106" t="s">
        <v>2024</v>
      </c>
      <c r="G2534" s="8"/>
      <c r="H2534" s="8"/>
      <c r="I2534" s="107">
        <v>0</v>
      </c>
      <c r="J2534" s="8"/>
    </row>
    <row r="2535" spans="1:10" ht="16.5" customHeight="1" x14ac:dyDescent="0.25">
      <c r="A2535" s="8" t="s">
        <v>9055</v>
      </c>
      <c r="B2535" s="8" t="s">
        <v>9056</v>
      </c>
      <c r="C2535" s="8" t="s">
        <v>9057</v>
      </c>
      <c r="D2535" s="8"/>
      <c r="E2535" s="105">
        <v>0</v>
      </c>
      <c r="F2535" s="106" t="s">
        <v>2024</v>
      </c>
      <c r="G2535" s="8"/>
      <c r="H2535" s="8"/>
      <c r="I2535" s="107">
        <v>0</v>
      </c>
      <c r="J2535" s="8"/>
    </row>
    <row r="2536" spans="1:10" ht="16.5" customHeight="1" x14ac:dyDescent="0.25">
      <c r="A2536" s="8" t="s">
        <v>9058</v>
      </c>
      <c r="B2536" s="8" t="s">
        <v>9059</v>
      </c>
      <c r="C2536" s="8" t="s">
        <v>9060</v>
      </c>
      <c r="D2536" s="8" t="s">
        <v>9059</v>
      </c>
      <c r="E2536" s="105">
        <v>5</v>
      </c>
      <c r="F2536" s="106" t="s">
        <v>2024</v>
      </c>
      <c r="G2536" s="8"/>
      <c r="H2536" s="8"/>
      <c r="I2536" s="107">
        <v>0</v>
      </c>
      <c r="J2536" s="8" t="s">
        <v>4722</v>
      </c>
    </row>
    <row r="2537" spans="1:10" ht="16.5" customHeight="1" x14ac:dyDescent="0.25">
      <c r="A2537" s="8" t="s">
        <v>9061</v>
      </c>
      <c r="B2537" s="8" t="s">
        <v>9062</v>
      </c>
      <c r="C2537" s="8" t="s">
        <v>9063</v>
      </c>
      <c r="D2537" s="8" t="s">
        <v>9062</v>
      </c>
      <c r="E2537" s="105">
        <v>0</v>
      </c>
      <c r="F2537" s="106" t="s">
        <v>2024</v>
      </c>
      <c r="G2537" s="8"/>
      <c r="H2537" s="8"/>
      <c r="I2537" s="107">
        <v>0</v>
      </c>
      <c r="J2537" s="8" t="s">
        <v>4722</v>
      </c>
    </row>
    <row r="2538" spans="1:10" ht="16.5" customHeight="1" x14ac:dyDescent="0.25">
      <c r="A2538" s="8" t="s">
        <v>9064</v>
      </c>
      <c r="B2538" s="8" t="s">
        <v>9065</v>
      </c>
      <c r="C2538" s="8" t="s">
        <v>9066</v>
      </c>
      <c r="D2538" s="8" t="s">
        <v>9065</v>
      </c>
      <c r="E2538" s="105">
        <v>0</v>
      </c>
      <c r="F2538" s="106" t="s">
        <v>2024</v>
      </c>
      <c r="G2538" s="8"/>
      <c r="H2538" s="8"/>
      <c r="I2538" s="107">
        <v>0</v>
      </c>
      <c r="J2538" s="8" t="s">
        <v>4722</v>
      </c>
    </row>
    <row r="2539" spans="1:10" ht="16.5" customHeight="1" x14ac:dyDescent="0.25">
      <c r="A2539" s="8" t="s">
        <v>9067</v>
      </c>
      <c r="B2539" s="8" t="s">
        <v>9068</v>
      </c>
      <c r="C2539" s="8" t="s">
        <v>9069</v>
      </c>
      <c r="D2539" s="8" t="s">
        <v>9068</v>
      </c>
      <c r="E2539" s="105">
        <v>15.04</v>
      </c>
      <c r="F2539" s="106" t="s">
        <v>2024</v>
      </c>
      <c r="G2539" s="8"/>
      <c r="H2539" s="8"/>
      <c r="I2539" s="107">
        <v>0</v>
      </c>
      <c r="J2539" s="8" t="s">
        <v>6357</v>
      </c>
    </row>
    <row r="2540" spans="1:10" ht="16.5" customHeight="1" x14ac:dyDescent="0.25">
      <c r="A2540" s="8" t="s">
        <v>9070</v>
      </c>
      <c r="B2540" s="8" t="s">
        <v>9071</v>
      </c>
      <c r="C2540" s="8" t="s">
        <v>9072</v>
      </c>
      <c r="D2540" s="8" t="s">
        <v>9071</v>
      </c>
      <c r="E2540" s="105">
        <v>3.76</v>
      </c>
      <c r="F2540" s="106" t="s">
        <v>2024</v>
      </c>
      <c r="G2540" s="8"/>
      <c r="H2540" s="8"/>
      <c r="I2540" s="107">
        <v>0</v>
      </c>
      <c r="J2540" s="8" t="s">
        <v>6357</v>
      </c>
    </row>
    <row r="2541" spans="1:10" ht="16.5" customHeight="1" x14ac:dyDescent="0.25">
      <c r="A2541" s="8" t="s">
        <v>9073</v>
      </c>
      <c r="B2541" s="8" t="s">
        <v>9074</v>
      </c>
      <c r="C2541" s="8" t="s">
        <v>9075</v>
      </c>
      <c r="D2541" s="8" t="s">
        <v>9074</v>
      </c>
      <c r="E2541" s="105">
        <v>8</v>
      </c>
      <c r="F2541" s="106" t="s">
        <v>2024</v>
      </c>
      <c r="G2541" s="8"/>
      <c r="H2541" s="8"/>
      <c r="I2541" s="107">
        <v>0</v>
      </c>
      <c r="J2541" s="8" t="s">
        <v>5671</v>
      </c>
    </row>
    <row r="2542" spans="1:10" ht="16.5" customHeight="1" x14ac:dyDescent="0.25">
      <c r="A2542" s="8" t="s">
        <v>9076</v>
      </c>
      <c r="B2542" s="8" t="s">
        <v>9077</v>
      </c>
      <c r="C2542" s="8" t="s">
        <v>9078</v>
      </c>
      <c r="D2542" s="8" t="s">
        <v>9077</v>
      </c>
      <c r="E2542" s="105">
        <v>1</v>
      </c>
      <c r="F2542" s="106" t="s">
        <v>2024</v>
      </c>
      <c r="G2542" s="8"/>
      <c r="H2542" s="8"/>
      <c r="I2542" s="107">
        <v>0</v>
      </c>
      <c r="J2542" s="8" t="s">
        <v>5671</v>
      </c>
    </row>
    <row r="2543" spans="1:10" ht="16.5" customHeight="1" x14ac:dyDescent="0.25">
      <c r="A2543" s="8" t="s">
        <v>9079</v>
      </c>
      <c r="B2543" s="8" t="s">
        <v>8570</v>
      </c>
      <c r="C2543" s="8" t="s">
        <v>8571</v>
      </c>
      <c r="D2543" s="8" t="s">
        <v>8570</v>
      </c>
      <c r="E2543" s="105">
        <v>1</v>
      </c>
      <c r="F2543" s="106" t="s">
        <v>2024</v>
      </c>
      <c r="G2543" s="8"/>
      <c r="H2543" s="8"/>
      <c r="I2543" s="107">
        <v>0</v>
      </c>
      <c r="J2543" s="8" t="s">
        <v>4722</v>
      </c>
    </row>
    <row r="2544" spans="1:10" ht="16.5" customHeight="1" x14ac:dyDescent="0.25">
      <c r="A2544" s="8" t="s">
        <v>9080</v>
      </c>
      <c r="B2544" s="8" t="s">
        <v>9081</v>
      </c>
      <c r="C2544" s="8" t="s">
        <v>9082</v>
      </c>
      <c r="D2544" s="8" t="s">
        <v>9081</v>
      </c>
      <c r="E2544" s="105">
        <v>10</v>
      </c>
      <c r="F2544" s="106" t="s">
        <v>2024</v>
      </c>
      <c r="G2544" s="8"/>
      <c r="H2544" s="8"/>
      <c r="I2544" s="107">
        <v>0</v>
      </c>
      <c r="J2544" s="8" t="s">
        <v>3580</v>
      </c>
    </row>
    <row r="2545" spans="1:10" ht="16.5" customHeight="1" x14ac:dyDescent="0.25">
      <c r="A2545" s="8" t="s">
        <v>9083</v>
      </c>
      <c r="B2545" s="8" t="s">
        <v>9084</v>
      </c>
      <c r="C2545" s="8" t="s">
        <v>9085</v>
      </c>
      <c r="D2545" s="8" t="s">
        <v>9084</v>
      </c>
      <c r="E2545" s="105">
        <v>10</v>
      </c>
      <c r="F2545" s="106" t="s">
        <v>2024</v>
      </c>
      <c r="G2545" s="8"/>
      <c r="H2545" s="8"/>
      <c r="I2545" s="107">
        <v>0</v>
      </c>
      <c r="J2545" s="8" t="s">
        <v>3580</v>
      </c>
    </row>
    <row r="2546" spans="1:10" ht="16.5" customHeight="1" x14ac:dyDescent="0.25">
      <c r="A2546" s="8" t="s">
        <v>9086</v>
      </c>
      <c r="B2546" s="8" t="s">
        <v>9087</v>
      </c>
      <c r="C2546" s="8" t="s">
        <v>9088</v>
      </c>
      <c r="D2546" s="8" t="s">
        <v>9087</v>
      </c>
      <c r="E2546" s="105">
        <v>10</v>
      </c>
      <c r="F2546" s="106" t="s">
        <v>2024</v>
      </c>
      <c r="G2546" s="8"/>
      <c r="H2546" s="8"/>
      <c r="I2546" s="107">
        <v>0</v>
      </c>
      <c r="J2546" s="8" t="s">
        <v>3580</v>
      </c>
    </row>
    <row r="2547" spans="1:10" ht="16.5" customHeight="1" x14ac:dyDescent="0.25">
      <c r="A2547" s="8" t="s">
        <v>9089</v>
      </c>
      <c r="B2547" s="8" t="s">
        <v>9090</v>
      </c>
      <c r="C2547" s="8" t="s">
        <v>9091</v>
      </c>
      <c r="D2547" s="8" t="s">
        <v>9090</v>
      </c>
      <c r="E2547" s="105">
        <v>10</v>
      </c>
      <c r="F2547" s="106" t="s">
        <v>2024</v>
      </c>
      <c r="G2547" s="8"/>
      <c r="H2547" s="8"/>
      <c r="I2547" s="107">
        <v>0</v>
      </c>
      <c r="J2547" s="8" t="s">
        <v>3580</v>
      </c>
    </row>
    <row r="2548" spans="1:10" ht="16.5" customHeight="1" x14ac:dyDescent="0.25">
      <c r="A2548" s="8" t="s">
        <v>9092</v>
      </c>
      <c r="B2548" s="8" t="s">
        <v>9093</v>
      </c>
      <c r="C2548" s="8" t="s">
        <v>9094</v>
      </c>
      <c r="D2548" s="8" t="s">
        <v>9093</v>
      </c>
      <c r="E2548" s="105">
        <v>14.58</v>
      </c>
      <c r="F2548" s="106" t="s">
        <v>2024</v>
      </c>
      <c r="G2548" s="8" t="s">
        <v>1541</v>
      </c>
      <c r="H2548" s="8" t="s">
        <v>9095</v>
      </c>
      <c r="I2548" s="107">
        <v>20</v>
      </c>
      <c r="J2548" s="8" t="s">
        <v>5929</v>
      </c>
    </row>
    <row r="2549" spans="1:10" ht="16.5" customHeight="1" x14ac:dyDescent="0.25">
      <c r="A2549" s="8" t="s">
        <v>9095</v>
      </c>
      <c r="B2549" s="8" t="s">
        <v>9096</v>
      </c>
      <c r="C2549" s="8" t="s">
        <v>9097</v>
      </c>
      <c r="D2549" s="8" t="s">
        <v>9096</v>
      </c>
      <c r="E2549" s="105">
        <v>0.73</v>
      </c>
      <c r="F2549" s="106" t="s">
        <v>2024</v>
      </c>
      <c r="G2549" s="8" t="s">
        <v>1541</v>
      </c>
      <c r="H2549" s="8"/>
      <c r="I2549" s="107">
        <v>0</v>
      </c>
      <c r="J2549" s="8" t="s">
        <v>5929</v>
      </c>
    </row>
    <row r="2550" spans="1:10" ht="16.5" customHeight="1" x14ac:dyDescent="0.25">
      <c r="A2550" s="8" t="s">
        <v>1283</v>
      </c>
      <c r="B2550" s="8" t="s">
        <v>1285</v>
      </c>
      <c r="C2550" s="8" t="s">
        <v>1284</v>
      </c>
      <c r="D2550" s="8" t="s">
        <v>1285</v>
      </c>
      <c r="E2550" s="105">
        <v>18</v>
      </c>
      <c r="F2550" s="106" t="s">
        <v>2018</v>
      </c>
      <c r="G2550" s="8"/>
      <c r="H2550" s="8"/>
      <c r="I2550" s="107">
        <v>0</v>
      </c>
      <c r="J2550" s="8" t="s">
        <v>2019</v>
      </c>
    </row>
    <row r="2551" spans="1:10" ht="16.5" customHeight="1" x14ac:dyDescent="0.25">
      <c r="A2551" s="8" t="s">
        <v>9098</v>
      </c>
      <c r="B2551" s="8" t="s">
        <v>9099</v>
      </c>
      <c r="C2551" s="8" t="s">
        <v>9100</v>
      </c>
      <c r="D2551" s="8" t="s">
        <v>9099</v>
      </c>
      <c r="E2551" s="105">
        <v>0</v>
      </c>
      <c r="F2551" s="106" t="s">
        <v>2024</v>
      </c>
      <c r="G2551" s="8"/>
      <c r="H2551" s="8"/>
      <c r="I2551" s="107">
        <v>0</v>
      </c>
      <c r="J2551" s="8" t="s">
        <v>4789</v>
      </c>
    </row>
    <row r="2552" spans="1:10" ht="16.5" customHeight="1" x14ac:dyDescent="0.25">
      <c r="A2552" s="8" t="s">
        <v>9101</v>
      </c>
      <c r="B2552" s="8" t="s">
        <v>9102</v>
      </c>
      <c r="C2552" s="8" t="s">
        <v>8225</v>
      </c>
      <c r="D2552" s="8" t="s">
        <v>9102</v>
      </c>
      <c r="E2552" s="105">
        <v>0</v>
      </c>
      <c r="F2552" s="106" t="s">
        <v>2024</v>
      </c>
      <c r="G2552" s="8"/>
      <c r="H2552" s="8"/>
      <c r="I2552" s="107">
        <v>0</v>
      </c>
      <c r="J2552" s="8" t="s">
        <v>4789</v>
      </c>
    </row>
    <row r="2553" spans="1:10" ht="16.5" customHeight="1" x14ac:dyDescent="0.25">
      <c r="A2553" s="8" t="s">
        <v>9103</v>
      </c>
      <c r="B2553" s="8" t="s">
        <v>9104</v>
      </c>
      <c r="C2553" s="8" t="s">
        <v>9105</v>
      </c>
      <c r="D2553" s="8" t="s">
        <v>9104</v>
      </c>
      <c r="E2553" s="105">
        <v>0</v>
      </c>
      <c r="F2553" s="106" t="s">
        <v>2024</v>
      </c>
      <c r="G2553" s="8"/>
      <c r="H2553" s="8"/>
      <c r="I2553" s="107">
        <v>0</v>
      </c>
      <c r="J2553" s="8" t="s">
        <v>4789</v>
      </c>
    </row>
    <row r="2554" spans="1:10" ht="16.5" customHeight="1" x14ac:dyDescent="0.25">
      <c r="A2554" s="8" t="s">
        <v>9106</v>
      </c>
      <c r="B2554" s="8" t="s">
        <v>9107</v>
      </c>
      <c r="C2554" s="8" t="s">
        <v>9108</v>
      </c>
      <c r="D2554" s="8" t="s">
        <v>9107</v>
      </c>
      <c r="E2554" s="105">
        <v>20</v>
      </c>
      <c r="F2554" s="106" t="s">
        <v>2018</v>
      </c>
      <c r="G2554" s="8"/>
      <c r="H2554" s="8"/>
      <c r="I2554" s="107">
        <v>0</v>
      </c>
      <c r="J2554" s="8" t="s">
        <v>2019</v>
      </c>
    </row>
    <row r="2555" spans="1:10" ht="16.5" customHeight="1" x14ac:dyDescent="0.25">
      <c r="A2555" s="8" t="s">
        <v>9109</v>
      </c>
      <c r="B2555" s="8" t="s">
        <v>9110</v>
      </c>
      <c r="C2555" s="8" t="s">
        <v>9111</v>
      </c>
      <c r="D2555" s="8" t="s">
        <v>9110</v>
      </c>
      <c r="E2555" s="105">
        <v>25</v>
      </c>
      <c r="F2555" s="106" t="s">
        <v>2018</v>
      </c>
      <c r="G2555" s="8"/>
      <c r="H2555" s="8"/>
      <c r="I2555" s="107">
        <v>0</v>
      </c>
      <c r="J2555" s="8" t="s">
        <v>2019</v>
      </c>
    </row>
    <row r="2556" spans="1:10" ht="16.5" customHeight="1" x14ac:dyDescent="0.25">
      <c r="A2556" s="8" t="s">
        <v>9112</v>
      </c>
      <c r="B2556" s="8" t="s">
        <v>9113</v>
      </c>
      <c r="C2556" s="8" t="s">
        <v>9114</v>
      </c>
      <c r="D2556" s="8" t="s">
        <v>9113</v>
      </c>
      <c r="E2556" s="105">
        <v>0</v>
      </c>
      <c r="F2556" s="106" t="s">
        <v>2024</v>
      </c>
      <c r="G2556" s="8"/>
      <c r="H2556" s="8"/>
      <c r="I2556" s="107">
        <v>0</v>
      </c>
      <c r="J2556" s="8" t="s">
        <v>4722</v>
      </c>
    </row>
    <row r="2557" spans="1:10" ht="16.5" customHeight="1" x14ac:dyDescent="0.25">
      <c r="A2557" s="8" t="s">
        <v>9115</v>
      </c>
      <c r="B2557" s="8" t="s">
        <v>9116</v>
      </c>
      <c r="C2557" s="8" t="s">
        <v>9117</v>
      </c>
      <c r="D2557" s="8" t="s">
        <v>9116</v>
      </c>
      <c r="E2557" s="105">
        <v>1</v>
      </c>
      <c r="F2557" s="106" t="s">
        <v>2018</v>
      </c>
      <c r="G2557" s="8"/>
      <c r="H2557" s="8"/>
      <c r="I2557" s="107">
        <v>0</v>
      </c>
      <c r="J2557" s="8" t="s">
        <v>3695</v>
      </c>
    </row>
    <row r="2558" spans="1:10" ht="16.5" customHeight="1" x14ac:dyDescent="0.25">
      <c r="A2558" s="8" t="s">
        <v>9118</v>
      </c>
      <c r="B2558" s="8" t="s">
        <v>9119</v>
      </c>
      <c r="C2558" s="8" t="s">
        <v>9120</v>
      </c>
      <c r="D2558" s="8" t="s">
        <v>9119</v>
      </c>
      <c r="E2558" s="105">
        <v>1</v>
      </c>
      <c r="F2558" s="106" t="s">
        <v>2024</v>
      </c>
      <c r="G2558" s="8"/>
      <c r="H2558" s="8"/>
      <c r="I2558" s="107">
        <v>0</v>
      </c>
      <c r="J2558" s="8" t="s">
        <v>6357</v>
      </c>
    </row>
    <row r="2559" spans="1:10" ht="16.5" customHeight="1" x14ac:dyDescent="0.25">
      <c r="A2559" s="8" t="s">
        <v>9121</v>
      </c>
      <c r="B2559" s="8" t="s">
        <v>9122</v>
      </c>
      <c r="C2559" s="8" t="s">
        <v>9123</v>
      </c>
      <c r="D2559" s="8" t="s">
        <v>9122</v>
      </c>
      <c r="E2559" s="105">
        <v>25</v>
      </c>
      <c r="F2559" s="106" t="s">
        <v>2024</v>
      </c>
      <c r="G2559" s="8"/>
      <c r="H2559" s="8"/>
      <c r="I2559" s="107">
        <v>0</v>
      </c>
      <c r="J2559" s="8" t="s">
        <v>7329</v>
      </c>
    </row>
    <row r="2560" spans="1:10" ht="16.5" customHeight="1" x14ac:dyDescent="0.25">
      <c r="A2560" s="8" t="s">
        <v>9124</v>
      </c>
      <c r="B2560" s="8" t="s">
        <v>9125</v>
      </c>
      <c r="C2560" s="8" t="s">
        <v>9126</v>
      </c>
      <c r="D2560" s="8" t="s">
        <v>9125</v>
      </c>
      <c r="E2560" s="105">
        <v>25</v>
      </c>
      <c r="F2560" s="106" t="s">
        <v>2024</v>
      </c>
      <c r="G2560" s="8"/>
      <c r="H2560" s="8"/>
      <c r="I2560" s="107">
        <v>0</v>
      </c>
      <c r="J2560" s="8" t="s">
        <v>7329</v>
      </c>
    </row>
    <row r="2561" spans="1:10" ht="16.5" customHeight="1" x14ac:dyDescent="0.25">
      <c r="A2561" s="8" t="s">
        <v>9127</v>
      </c>
      <c r="B2561" s="8" t="s">
        <v>9128</v>
      </c>
      <c r="C2561" s="8" t="s">
        <v>9129</v>
      </c>
      <c r="D2561" s="8" t="s">
        <v>9128</v>
      </c>
      <c r="E2561" s="105">
        <v>0</v>
      </c>
      <c r="F2561" s="106" t="s">
        <v>2024</v>
      </c>
      <c r="G2561" s="8"/>
      <c r="H2561" s="8"/>
      <c r="I2561" s="107">
        <v>0</v>
      </c>
      <c r="J2561" s="8" t="s">
        <v>4789</v>
      </c>
    </row>
    <row r="2562" spans="1:10" ht="16.5" customHeight="1" x14ac:dyDescent="0.25">
      <c r="A2562" s="8" t="s">
        <v>9130</v>
      </c>
      <c r="B2562" s="8" t="s">
        <v>9131</v>
      </c>
      <c r="C2562" s="8" t="s">
        <v>9132</v>
      </c>
      <c r="D2562" s="8" t="s">
        <v>9131</v>
      </c>
      <c r="E2562" s="105">
        <v>0</v>
      </c>
      <c r="F2562" s="106" t="s">
        <v>2024</v>
      </c>
      <c r="G2562" s="8"/>
      <c r="H2562" s="8"/>
      <c r="I2562" s="107">
        <v>0</v>
      </c>
      <c r="J2562" s="8" t="s">
        <v>4789</v>
      </c>
    </row>
    <row r="2563" spans="1:10" ht="16.5" customHeight="1" x14ac:dyDescent="0.25">
      <c r="A2563" s="8" t="s">
        <v>9133</v>
      </c>
      <c r="B2563" s="8" t="s">
        <v>9134</v>
      </c>
      <c r="C2563" s="8" t="s">
        <v>9135</v>
      </c>
      <c r="D2563" s="8" t="s">
        <v>9134</v>
      </c>
      <c r="E2563" s="105">
        <v>0</v>
      </c>
      <c r="F2563" s="106" t="s">
        <v>2024</v>
      </c>
      <c r="G2563" s="8"/>
      <c r="H2563" s="8"/>
      <c r="I2563" s="107">
        <v>0</v>
      </c>
      <c r="J2563" s="8" t="s">
        <v>4789</v>
      </c>
    </row>
    <row r="2564" spans="1:10" ht="16.5" customHeight="1" x14ac:dyDescent="0.25">
      <c r="A2564" s="8" t="s">
        <v>9136</v>
      </c>
      <c r="B2564" s="8" t="s">
        <v>9137</v>
      </c>
      <c r="C2564" s="8" t="s">
        <v>9033</v>
      </c>
      <c r="D2564" s="8" t="s">
        <v>9137</v>
      </c>
      <c r="E2564" s="105">
        <v>0.23</v>
      </c>
      <c r="F2564" s="106" t="s">
        <v>2024</v>
      </c>
      <c r="G2564" s="8"/>
      <c r="H2564" s="8"/>
      <c r="I2564" s="107">
        <v>0</v>
      </c>
      <c r="J2564" s="8" t="s">
        <v>2019</v>
      </c>
    </row>
    <row r="2565" spans="1:10" ht="16.5" customHeight="1" x14ac:dyDescent="0.25">
      <c r="A2565" s="8" t="s">
        <v>9138</v>
      </c>
      <c r="B2565" s="8" t="s">
        <v>9139</v>
      </c>
      <c r="C2565" s="8" t="s">
        <v>9028</v>
      </c>
      <c r="D2565" s="8" t="s">
        <v>9139</v>
      </c>
      <c r="E2565" s="105">
        <v>0.36399999999999999</v>
      </c>
      <c r="F2565" s="106" t="s">
        <v>2018</v>
      </c>
      <c r="G2565" s="8"/>
      <c r="H2565" s="8"/>
      <c r="I2565" s="107">
        <v>0</v>
      </c>
      <c r="J2565" s="8" t="s">
        <v>2019</v>
      </c>
    </row>
    <row r="2566" spans="1:10" ht="16.5" customHeight="1" x14ac:dyDescent="0.25">
      <c r="A2566" s="8" t="s">
        <v>1923</v>
      </c>
      <c r="B2566" s="8" t="s">
        <v>9140</v>
      </c>
      <c r="C2566" s="8" t="s">
        <v>937</v>
      </c>
      <c r="D2566" s="8" t="s">
        <v>9140</v>
      </c>
      <c r="E2566" s="105">
        <v>0.91</v>
      </c>
      <c r="F2566" s="106" t="s">
        <v>2018</v>
      </c>
      <c r="G2566" s="8"/>
      <c r="H2566" s="8"/>
      <c r="I2566" s="107">
        <v>0</v>
      </c>
      <c r="J2566" s="8" t="s">
        <v>2019</v>
      </c>
    </row>
    <row r="2567" spans="1:10" ht="16.5" customHeight="1" x14ac:dyDescent="0.25">
      <c r="A2567" s="8" t="s">
        <v>9029</v>
      </c>
      <c r="B2567" s="8" t="s">
        <v>9141</v>
      </c>
      <c r="C2567" s="8" t="s">
        <v>1122</v>
      </c>
      <c r="D2567" s="8" t="s">
        <v>9141</v>
      </c>
      <c r="E2567" s="105">
        <v>1.82</v>
      </c>
      <c r="F2567" s="106" t="s">
        <v>2018</v>
      </c>
      <c r="G2567" s="8"/>
      <c r="H2567" s="8"/>
      <c r="I2567" s="107">
        <v>0</v>
      </c>
      <c r="J2567" s="8" t="s">
        <v>2019</v>
      </c>
    </row>
    <row r="2568" spans="1:10" ht="16.5" customHeight="1" x14ac:dyDescent="0.25">
      <c r="A2568" s="8" t="s">
        <v>9030</v>
      </c>
      <c r="B2568" s="8" t="s">
        <v>9142</v>
      </c>
      <c r="C2568" s="8" t="s">
        <v>941</v>
      </c>
      <c r="D2568" s="8" t="s">
        <v>9142</v>
      </c>
      <c r="E2568" s="105">
        <v>4.55</v>
      </c>
      <c r="F2568" s="106" t="s">
        <v>2018</v>
      </c>
      <c r="G2568" s="8"/>
      <c r="H2568" s="8"/>
      <c r="I2568" s="107">
        <v>0</v>
      </c>
      <c r="J2568" s="8" t="s">
        <v>2019</v>
      </c>
    </row>
    <row r="2569" spans="1:10" ht="16.5" customHeight="1" x14ac:dyDescent="0.25">
      <c r="A2569" s="8" t="s">
        <v>9143</v>
      </c>
      <c r="B2569" s="8" t="s">
        <v>9144</v>
      </c>
      <c r="C2569" s="8" t="s">
        <v>9145</v>
      </c>
      <c r="D2569" s="8" t="s">
        <v>9144</v>
      </c>
      <c r="E2569" s="105">
        <v>0</v>
      </c>
      <c r="F2569" s="106" t="s">
        <v>2024</v>
      </c>
      <c r="G2569" s="8"/>
      <c r="H2569" s="8"/>
      <c r="I2569" s="107">
        <v>0</v>
      </c>
      <c r="J2569" s="8" t="s">
        <v>2019</v>
      </c>
    </row>
    <row r="2570" spans="1:10" ht="16.5" customHeight="1" x14ac:dyDescent="0.25">
      <c r="A2570" s="8" t="s">
        <v>9146</v>
      </c>
      <c r="B2570" s="8" t="s">
        <v>9147</v>
      </c>
      <c r="C2570" s="8" t="s">
        <v>9148</v>
      </c>
      <c r="D2570" s="8" t="s">
        <v>9147</v>
      </c>
      <c r="E2570" s="105">
        <v>1</v>
      </c>
      <c r="F2570" s="106" t="s">
        <v>2024</v>
      </c>
      <c r="G2570" s="8"/>
      <c r="H2570" s="8"/>
      <c r="I2570" s="107">
        <v>0</v>
      </c>
      <c r="J2570" s="8" t="s">
        <v>6357</v>
      </c>
    </row>
    <row r="2571" spans="1:10" ht="16.5" customHeight="1" x14ac:dyDescent="0.25">
      <c r="A2571" s="8" t="s">
        <v>9149</v>
      </c>
      <c r="B2571" s="8" t="s">
        <v>9150</v>
      </c>
      <c r="C2571" s="8" t="s">
        <v>9151</v>
      </c>
      <c r="D2571" s="8" t="s">
        <v>9150</v>
      </c>
      <c r="E2571" s="105">
        <v>1</v>
      </c>
      <c r="F2571" s="106" t="s">
        <v>2024</v>
      </c>
      <c r="G2571" s="8"/>
      <c r="H2571" s="8"/>
      <c r="I2571" s="107">
        <v>0</v>
      </c>
      <c r="J2571" s="8" t="s">
        <v>6357</v>
      </c>
    </row>
    <row r="2572" spans="1:10" ht="16.5" customHeight="1" x14ac:dyDescent="0.25">
      <c r="A2572" s="8" t="s">
        <v>9152</v>
      </c>
      <c r="B2572" s="8" t="s">
        <v>9153</v>
      </c>
      <c r="C2572" s="8" t="s">
        <v>9154</v>
      </c>
      <c r="D2572" s="8" t="s">
        <v>9153</v>
      </c>
      <c r="E2572" s="105">
        <v>1</v>
      </c>
      <c r="F2572" s="106" t="s">
        <v>2024</v>
      </c>
      <c r="G2572" s="8"/>
      <c r="H2572" s="8"/>
      <c r="I2572" s="107">
        <v>0</v>
      </c>
      <c r="J2572" s="8" t="s">
        <v>6357</v>
      </c>
    </row>
    <row r="2573" spans="1:10" ht="16.5" customHeight="1" x14ac:dyDescent="0.25">
      <c r="A2573" s="8" t="s">
        <v>9155</v>
      </c>
      <c r="B2573" s="8" t="s">
        <v>9156</v>
      </c>
      <c r="C2573" s="8" t="s">
        <v>9157</v>
      </c>
      <c r="D2573" s="8" t="s">
        <v>9156</v>
      </c>
      <c r="E2573" s="105">
        <v>1</v>
      </c>
      <c r="F2573" s="106" t="s">
        <v>2024</v>
      </c>
      <c r="G2573" s="8"/>
      <c r="H2573" s="8"/>
      <c r="I2573" s="107">
        <v>0</v>
      </c>
      <c r="J2573" s="8" t="s">
        <v>6357</v>
      </c>
    </row>
    <row r="2574" spans="1:10" ht="16.5" customHeight="1" x14ac:dyDescent="0.25">
      <c r="A2574" s="8" t="s">
        <v>9158</v>
      </c>
      <c r="B2574" s="8" t="s">
        <v>9159</v>
      </c>
      <c r="C2574" s="8" t="s">
        <v>9160</v>
      </c>
      <c r="D2574" s="8" t="s">
        <v>9159</v>
      </c>
      <c r="E2574" s="105">
        <v>1</v>
      </c>
      <c r="F2574" s="106" t="s">
        <v>2024</v>
      </c>
      <c r="G2574" s="8"/>
      <c r="H2574" s="8"/>
      <c r="I2574" s="107">
        <v>0</v>
      </c>
      <c r="J2574" s="8" t="s">
        <v>6357</v>
      </c>
    </row>
    <row r="2575" spans="1:10" ht="16.5" customHeight="1" x14ac:dyDescent="0.25">
      <c r="A2575" s="8" t="s">
        <v>9161</v>
      </c>
      <c r="B2575" s="8" t="s">
        <v>9162</v>
      </c>
      <c r="C2575" s="8" t="s">
        <v>9163</v>
      </c>
      <c r="D2575" s="8" t="s">
        <v>9162</v>
      </c>
      <c r="E2575" s="105">
        <v>1</v>
      </c>
      <c r="F2575" s="106" t="s">
        <v>2024</v>
      </c>
      <c r="G2575" s="8"/>
      <c r="H2575" s="8"/>
      <c r="I2575" s="107">
        <v>0</v>
      </c>
      <c r="J2575" s="8" t="s">
        <v>6357</v>
      </c>
    </row>
    <row r="2576" spans="1:10" ht="16.5" customHeight="1" x14ac:dyDescent="0.25">
      <c r="A2576" s="8" t="s">
        <v>9164</v>
      </c>
      <c r="B2576" s="8" t="s">
        <v>9165</v>
      </c>
      <c r="C2576" s="8" t="s">
        <v>9166</v>
      </c>
      <c r="D2576" s="8" t="s">
        <v>9165</v>
      </c>
      <c r="E2576" s="105">
        <v>1</v>
      </c>
      <c r="F2576" s="106" t="s">
        <v>2024</v>
      </c>
      <c r="G2576" s="8"/>
      <c r="H2576" s="8"/>
      <c r="I2576" s="107">
        <v>0</v>
      </c>
      <c r="J2576" s="8" t="s">
        <v>6357</v>
      </c>
    </row>
    <row r="2577" spans="1:10" ht="16.5" customHeight="1" x14ac:dyDescent="0.25">
      <c r="A2577" s="8" t="s">
        <v>9167</v>
      </c>
      <c r="B2577" s="8" t="s">
        <v>9168</v>
      </c>
      <c r="C2577" s="8" t="s">
        <v>9169</v>
      </c>
      <c r="D2577" s="8" t="s">
        <v>9168</v>
      </c>
      <c r="E2577" s="105">
        <v>1</v>
      </c>
      <c r="F2577" s="106" t="s">
        <v>2024</v>
      </c>
      <c r="G2577" s="8"/>
      <c r="H2577" s="8"/>
      <c r="I2577" s="107">
        <v>0</v>
      </c>
      <c r="J2577" s="8" t="s">
        <v>3580</v>
      </c>
    </row>
    <row r="2578" spans="1:10" ht="16.5" customHeight="1" x14ac:dyDescent="0.25">
      <c r="A2578" s="8" t="s">
        <v>9170</v>
      </c>
      <c r="B2578" s="8" t="s">
        <v>9171</v>
      </c>
      <c r="C2578" s="8" t="s">
        <v>9172</v>
      </c>
      <c r="D2578" s="8" t="s">
        <v>9171</v>
      </c>
      <c r="E2578" s="105">
        <v>0</v>
      </c>
      <c r="F2578" s="106" t="s">
        <v>2024</v>
      </c>
      <c r="G2578" s="8"/>
      <c r="H2578" s="8"/>
      <c r="I2578" s="107">
        <v>0</v>
      </c>
      <c r="J2578" s="8" t="s">
        <v>4722</v>
      </c>
    </row>
    <row r="2579" spans="1:10" ht="16.5" customHeight="1" x14ac:dyDescent="0.25">
      <c r="A2579" s="8" t="s">
        <v>9173</v>
      </c>
      <c r="B2579" s="8" t="s">
        <v>9174</v>
      </c>
      <c r="C2579" s="8" t="s">
        <v>9175</v>
      </c>
      <c r="D2579" s="8" t="s">
        <v>9174</v>
      </c>
      <c r="E2579" s="105">
        <v>0</v>
      </c>
      <c r="F2579" s="106" t="s">
        <v>2024</v>
      </c>
      <c r="G2579" s="8"/>
      <c r="H2579" s="8"/>
      <c r="I2579" s="107">
        <v>0</v>
      </c>
      <c r="J2579" s="8" t="s">
        <v>4722</v>
      </c>
    </row>
    <row r="2580" spans="1:10" ht="16.5" customHeight="1" x14ac:dyDescent="0.25">
      <c r="A2580" s="8" t="s">
        <v>9176</v>
      </c>
      <c r="B2580" s="8" t="s">
        <v>9177</v>
      </c>
      <c r="C2580" s="8" t="s">
        <v>9178</v>
      </c>
      <c r="D2580" s="8" t="s">
        <v>9177</v>
      </c>
      <c r="E2580" s="105">
        <v>0</v>
      </c>
      <c r="F2580" s="106" t="s">
        <v>2024</v>
      </c>
      <c r="G2580" s="8"/>
      <c r="H2580" s="8"/>
      <c r="I2580" s="107">
        <v>0</v>
      </c>
      <c r="J2580" s="8" t="s">
        <v>4722</v>
      </c>
    </row>
    <row r="2581" spans="1:10" ht="16.5" customHeight="1" x14ac:dyDescent="0.25">
      <c r="A2581" s="8" t="s">
        <v>9179</v>
      </c>
      <c r="B2581" s="8" t="s">
        <v>9180</v>
      </c>
      <c r="C2581" s="8" t="s">
        <v>9181</v>
      </c>
      <c r="D2581" s="8" t="s">
        <v>9180</v>
      </c>
      <c r="E2581" s="105">
        <v>0</v>
      </c>
      <c r="F2581" s="106" t="s">
        <v>2018</v>
      </c>
      <c r="G2581" s="8"/>
      <c r="H2581" s="8"/>
      <c r="I2581" s="107">
        <v>0</v>
      </c>
      <c r="J2581" s="8" t="s">
        <v>4722</v>
      </c>
    </row>
    <row r="2582" spans="1:10" ht="16.5" customHeight="1" x14ac:dyDescent="0.25">
      <c r="A2582" s="8" t="s">
        <v>9182</v>
      </c>
      <c r="B2582" s="8" t="s">
        <v>9183</v>
      </c>
      <c r="C2582" s="8" t="s">
        <v>9184</v>
      </c>
      <c r="D2582" s="8" t="s">
        <v>9183</v>
      </c>
      <c r="E2582" s="105">
        <v>0</v>
      </c>
      <c r="F2582" s="106" t="s">
        <v>2018</v>
      </c>
      <c r="G2582" s="8"/>
      <c r="H2582" s="8"/>
      <c r="I2582" s="107">
        <v>0</v>
      </c>
      <c r="J2582" s="8" t="s">
        <v>4722</v>
      </c>
    </row>
    <row r="2583" spans="1:10" ht="16.5" customHeight="1" x14ac:dyDescent="0.25">
      <c r="A2583" s="8" t="s">
        <v>9185</v>
      </c>
      <c r="B2583" s="8" t="s">
        <v>9186</v>
      </c>
      <c r="C2583" s="8" t="s">
        <v>9187</v>
      </c>
      <c r="D2583" s="8" t="s">
        <v>9186</v>
      </c>
      <c r="E2583" s="105">
        <v>1</v>
      </c>
      <c r="F2583" s="106" t="s">
        <v>2024</v>
      </c>
      <c r="G2583" s="8"/>
      <c r="H2583" s="8"/>
      <c r="I2583" s="107">
        <v>0</v>
      </c>
      <c r="J2583" s="8" t="s">
        <v>3695</v>
      </c>
    </row>
    <row r="2584" spans="1:10" ht="16.5" customHeight="1" x14ac:dyDescent="0.25">
      <c r="A2584" s="8" t="s">
        <v>9188</v>
      </c>
      <c r="B2584" s="8" t="s">
        <v>9189</v>
      </c>
      <c r="C2584" s="8" t="s">
        <v>9190</v>
      </c>
      <c r="D2584" s="8" t="s">
        <v>9189</v>
      </c>
      <c r="E2584" s="105">
        <v>4.8</v>
      </c>
      <c r="F2584" s="106" t="s">
        <v>2024</v>
      </c>
      <c r="G2584" s="8"/>
      <c r="H2584" s="8"/>
      <c r="I2584" s="107">
        <v>0</v>
      </c>
      <c r="J2584" s="8" t="s">
        <v>5671</v>
      </c>
    </row>
    <row r="2585" spans="1:10" ht="16.5" customHeight="1" x14ac:dyDescent="0.25">
      <c r="A2585" s="8" t="s">
        <v>9191</v>
      </c>
      <c r="B2585" s="8" t="s">
        <v>9192</v>
      </c>
      <c r="C2585" s="8" t="s">
        <v>9193</v>
      </c>
      <c r="D2585" s="8" t="s">
        <v>9192</v>
      </c>
      <c r="E2585" s="105">
        <v>0.4</v>
      </c>
      <c r="F2585" s="106" t="s">
        <v>2024</v>
      </c>
      <c r="G2585" s="8"/>
      <c r="H2585" s="8"/>
      <c r="I2585" s="107">
        <v>0</v>
      </c>
      <c r="J2585" s="8" t="s">
        <v>5671</v>
      </c>
    </row>
    <row r="2586" spans="1:10" ht="16.5" customHeight="1" x14ac:dyDescent="0.25">
      <c r="A2586" s="8" t="s">
        <v>9194</v>
      </c>
      <c r="B2586" s="8" t="s">
        <v>9195</v>
      </c>
      <c r="C2586" s="8" t="s">
        <v>1479</v>
      </c>
      <c r="D2586" s="8" t="s">
        <v>9195</v>
      </c>
      <c r="E2586" s="105">
        <v>12</v>
      </c>
      <c r="F2586" s="106" t="s">
        <v>2024</v>
      </c>
      <c r="G2586" s="8"/>
      <c r="H2586" s="8"/>
      <c r="I2586" s="107">
        <v>0</v>
      </c>
      <c r="J2586" s="8" t="s">
        <v>5671</v>
      </c>
    </row>
    <row r="2587" spans="1:10" ht="16.5" customHeight="1" x14ac:dyDescent="0.25">
      <c r="A2587" s="8" t="s">
        <v>9196</v>
      </c>
      <c r="B2587" s="8" t="s">
        <v>9197</v>
      </c>
      <c r="C2587" s="8" t="s">
        <v>9198</v>
      </c>
      <c r="D2587" s="8" t="s">
        <v>9197</v>
      </c>
      <c r="E2587" s="105">
        <v>0.5</v>
      </c>
      <c r="F2587" s="106" t="s">
        <v>2024</v>
      </c>
      <c r="G2587" s="8"/>
      <c r="H2587" s="8"/>
      <c r="I2587" s="107">
        <v>0</v>
      </c>
      <c r="J2587" s="8" t="s">
        <v>5671</v>
      </c>
    </row>
    <row r="2588" spans="1:10" ht="16.5" customHeight="1" x14ac:dyDescent="0.25">
      <c r="A2588" s="8" t="s">
        <v>9199</v>
      </c>
      <c r="B2588" s="8" t="s">
        <v>9200</v>
      </c>
      <c r="C2588" s="8" t="s">
        <v>1482</v>
      </c>
      <c r="D2588" s="8" t="s">
        <v>9200</v>
      </c>
      <c r="E2588" s="105">
        <v>9</v>
      </c>
      <c r="F2588" s="106" t="s">
        <v>2024</v>
      </c>
      <c r="G2588" s="8"/>
      <c r="H2588" s="8"/>
      <c r="I2588" s="107">
        <v>0</v>
      </c>
      <c r="J2588" s="8" t="s">
        <v>5671</v>
      </c>
    </row>
    <row r="2589" spans="1:10" ht="16.5" customHeight="1" x14ac:dyDescent="0.25">
      <c r="A2589" s="8" t="s">
        <v>9201</v>
      </c>
      <c r="B2589" s="8" t="s">
        <v>9202</v>
      </c>
      <c r="C2589" s="8" t="s">
        <v>9203</v>
      </c>
      <c r="D2589" s="8" t="s">
        <v>9202</v>
      </c>
      <c r="E2589" s="105">
        <v>0.5</v>
      </c>
      <c r="F2589" s="106" t="s">
        <v>2024</v>
      </c>
      <c r="G2589" s="8"/>
      <c r="H2589" s="8"/>
      <c r="I2589" s="107">
        <v>0</v>
      </c>
      <c r="J2589" s="8" t="s">
        <v>5671</v>
      </c>
    </row>
    <row r="2590" spans="1:10" ht="16.5" customHeight="1" x14ac:dyDescent="0.25">
      <c r="A2590" s="8" t="s">
        <v>9204</v>
      </c>
      <c r="B2590" s="8" t="s">
        <v>9205</v>
      </c>
      <c r="C2590" s="8" t="s">
        <v>9206</v>
      </c>
      <c r="D2590" s="8" t="s">
        <v>9205</v>
      </c>
      <c r="E2590" s="105">
        <v>0.27</v>
      </c>
      <c r="F2590" s="106" t="s">
        <v>2018</v>
      </c>
      <c r="G2590" s="8"/>
      <c r="H2590" s="8"/>
      <c r="I2590" s="107">
        <v>0</v>
      </c>
      <c r="J2590" s="8" t="s">
        <v>5929</v>
      </c>
    </row>
    <row r="2591" spans="1:10" ht="16.5" customHeight="1" x14ac:dyDescent="0.25">
      <c r="A2591" s="8" t="s">
        <v>9207</v>
      </c>
      <c r="B2591" s="8" t="s">
        <v>9208</v>
      </c>
      <c r="C2591" s="8" t="s">
        <v>9209</v>
      </c>
      <c r="D2591" s="8" t="s">
        <v>9208</v>
      </c>
      <c r="E2591" s="105">
        <v>0</v>
      </c>
      <c r="F2591" s="106" t="s">
        <v>2024</v>
      </c>
      <c r="G2591" s="8"/>
      <c r="H2591" s="8"/>
      <c r="I2591" s="107">
        <v>0</v>
      </c>
      <c r="J2591" s="8" t="s">
        <v>4722</v>
      </c>
    </row>
    <row r="2592" spans="1:10" ht="16.5" customHeight="1" x14ac:dyDescent="0.25">
      <c r="A2592" s="8" t="s">
        <v>9210</v>
      </c>
      <c r="B2592" s="8" t="s">
        <v>9211</v>
      </c>
      <c r="C2592" s="8" t="s">
        <v>9212</v>
      </c>
      <c r="D2592" s="8" t="s">
        <v>9211</v>
      </c>
      <c r="E2592" s="105">
        <v>25</v>
      </c>
      <c r="F2592" s="106" t="s">
        <v>2018</v>
      </c>
      <c r="G2592" s="8"/>
      <c r="H2592" s="8"/>
      <c r="I2592" s="107">
        <v>0</v>
      </c>
      <c r="J2592" s="8" t="s">
        <v>2019</v>
      </c>
    </row>
    <row r="2593" spans="1:10" ht="16.5" customHeight="1" x14ac:dyDescent="0.25">
      <c r="A2593" s="8" t="s">
        <v>9213</v>
      </c>
      <c r="B2593" s="8" t="s">
        <v>9214</v>
      </c>
      <c r="C2593" s="8" t="s">
        <v>9215</v>
      </c>
      <c r="D2593" s="8" t="s">
        <v>9214</v>
      </c>
      <c r="E2593" s="105">
        <v>12</v>
      </c>
      <c r="F2593" s="106" t="s">
        <v>2024</v>
      </c>
      <c r="G2593" s="8"/>
      <c r="H2593" s="8"/>
      <c r="I2593" s="107">
        <v>0</v>
      </c>
      <c r="J2593" s="8" t="s">
        <v>4722</v>
      </c>
    </row>
    <row r="2594" spans="1:10" ht="16.5" customHeight="1" x14ac:dyDescent="0.25">
      <c r="A2594" s="8" t="s">
        <v>9216</v>
      </c>
      <c r="B2594" s="8" t="s">
        <v>9217</v>
      </c>
      <c r="C2594" s="8" t="s">
        <v>9218</v>
      </c>
      <c r="D2594" s="8" t="s">
        <v>9217</v>
      </c>
      <c r="E2594" s="105">
        <v>0</v>
      </c>
      <c r="F2594" s="106" t="s">
        <v>2024</v>
      </c>
      <c r="G2594" s="8"/>
      <c r="H2594" s="8"/>
      <c r="I2594" s="107">
        <v>0</v>
      </c>
      <c r="J2594" s="8" t="s">
        <v>4823</v>
      </c>
    </row>
    <row r="2595" spans="1:10" ht="16.5" customHeight="1" x14ac:dyDescent="0.25">
      <c r="A2595" s="8" t="s">
        <v>9219</v>
      </c>
      <c r="B2595" s="8" t="s">
        <v>9220</v>
      </c>
      <c r="C2595" s="8" t="s">
        <v>9221</v>
      </c>
      <c r="D2595" s="8" t="s">
        <v>9220</v>
      </c>
      <c r="E2595" s="105">
        <v>0</v>
      </c>
      <c r="F2595" s="106" t="s">
        <v>2024</v>
      </c>
      <c r="G2595" s="8"/>
      <c r="H2595" s="8"/>
      <c r="I2595" s="107">
        <v>0</v>
      </c>
      <c r="J2595" s="8" t="s">
        <v>4823</v>
      </c>
    </row>
    <row r="2596" spans="1:10" ht="16.5" customHeight="1" x14ac:dyDescent="0.25">
      <c r="A2596" s="8" t="s">
        <v>9222</v>
      </c>
      <c r="B2596" s="8" t="s">
        <v>9223</v>
      </c>
      <c r="C2596" s="8" t="s">
        <v>9224</v>
      </c>
      <c r="D2596" s="8" t="s">
        <v>9223</v>
      </c>
      <c r="E2596" s="105">
        <v>8.4</v>
      </c>
      <c r="F2596" s="106" t="s">
        <v>2024</v>
      </c>
      <c r="G2596" s="8" t="s">
        <v>1541</v>
      </c>
      <c r="H2596" s="8" t="s">
        <v>9225</v>
      </c>
      <c r="I2596" s="107">
        <v>24</v>
      </c>
      <c r="J2596" s="8" t="s">
        <v>5929</v>
      </c>
    </row>
    <row r="2597" spans="1:10" ht="16.5" customHeight="1" x14ac:dyDescent="0.25">
      <c r="A2597" s="8" t="s">
        <v>9225</v>
      </c>
      <c r="B2597" s="8" t="s">
        <v>8063</v>
      </c>
      <c r="C2597" s="8" t="s">
        <v>9226</v>
      </c>
      <c r="D2597" s="8" t="s">
        <v>8063</v>
      </c>
      <c r="E2597" s="105">
        <v>0.35</v>
      </c>
      <c r="F2597" s="106" t="s">
        <v>2024</v>
      </c>
      <c r="G2597" s="8" t="s">
        <v>1541</v>
      </c>
      <c r="H2597" s="8"/>
      <c r="I2597" s="107">
        <v>0</v>
      </c>
      <c r="J2597" s="8" t="s">
        <v>5929</v>
      </c>
    </row>
    <row r="2598" spans="1:10" ht="16.5" customHeight="1" x14ac:dyDescent="0.25">
      <c r="A2598" s="8" t="s">
        <v>9227</v>
      </c>
      <c r="B2598" s="8" t="s">
        <v>9228</v>
      </c>
      <c r="C2598" s="8" t="s">
        <v>9229</v>
      </c>
      <c r="D2598" s="8" t="s">
        <v>9228</v>
      </c>
      <c r="E2598" s="105">
        <v>1</v>
      </c>
      <c r="F2598" s="106" t="s">
        <v>2024</v>
      </c>
      <c r="G2598" s="8"/>
      <c r="H2598" s="8"/>
      <c r="I2598" s="107">
        <v>0</v>
      </c>
      <c r="J2598" s="8" t="s">
        <v>3695</v>
      </c>
    </row>
    <row r="2599" spans="1:10" ht="16.5" customHeight="1" x14ac:dyDescent="0.25">
      <c r="A2599" s="8" t="s">
        <v>9230</v>
      </c>
      <c r="B2599" s="8" t="s">
        <v>9231</v>
      </c>
      <c r="C2599" s="8" t="s">
        <v>9232</v>
      </c>
      <c r="D2599" s="8" t="s">
        <v>9231</v>
      </c>
      <c r="E2599" s="105">
        <v>5.4</v>
      </c>
      <c r="F2599" s="106" t="s">
        <v>2024</v>
      </c>
      <c r="G2599" s="8"/>
      <c r="H2599" s="8"/>
      <c r="I2599" s="107">
        <v>0</v>
      </c>
      <c r="J2599" s="8" t="s">
        <v>5929</v>
      </c>
    </row>
    <row r="2600" spans="1:10" ht="16.5" customHeight="1" x14ac:dyDescent="0.25">
      <c r="A2600" s="8" t="s">
        <v>9233</v>
      </c>
      <c r="B2600" s="8" t="s">
        <v>7956</v>
      </c>
      <c r="C2600" s="8" t="s">
        <v>9234</v>
      </c>
      <c r="D2600" s="8" t="s">
        <v>7956</v>
      </c>
      <c r="E2600" s="105">
        <v>0.15</v>
      </c>
      <c r="F2600" s="106" t="s">
        <v>2024</v>
      </c>
      <c r="G2600" s="8"/>
      <c r="H2600" s="8"/>
      <c r="I2600" s="107">
        <v>0</v>
      </c>
      <c r="J2600" s="8" t="s">
        <v>5929</v>
      </c>
    </row>
    <row r="2601" spans="1:10" ht="16.5" customHeight="1" x14ac:dyDescent="0.25">
      <c r="A2601" s="8" t="s">
        <v>9235</v>
      </c>
      <c r="B2601" s="8" t="s">
        <v>9236</v>
      </c>
      <c r="C2601" s="8" t="s">
        <v>9237</v>
      </c>
      <c r="D2601" s="8" t="s">
        <v>9236</v>
      </c>
      <c r="E2601" s="105">
        <v>7.6</v>
      </c>
      <c r="F2601" s="106" t="s">
        <v>2024</v>
      </c>
      <c r="G2601" s="8" t="s">
        <v>1541</v>
      </c>
      <c r="H2601" s="8" t="s">
        <v>9238</v>
      </c>
      <c r="I2601" s="107">
        <v>20</v>
      </c>
      <c r="J2601" s="8" t="s">
        <v>5929</v>
      </c>
    </row>
    <row r="2602" spans="1:10" ht="16.5" customHeight="1" x14ac:dyDescent="0.25">
      <c r="A2602" s="8" t="s">
        <v>9238</v>
      </c>
      <c r="B2602" s="8" t="s">
        <v>9239</v>
      </c>
      <c r="C2602" s="8" t="s">
        <v>9240</v>
      </c>
      <c r="D2602" s="8" t="s">
        <v>9239</v>
      </c>
      <c r="E2602" s="105">
        <v>0.38</v>
      </c>
      <c r="F2602" s="106" t="s">
        <v>2024</v>
      </c>
      <c r="G2602" s="8" t="s">
        <v>1541</v>
      </c>
      <c r="H2602" s="8"/>
      <c r="I2602" s="107">
        <v>0</v>
      </c>
      <c r="J2602" s="8" t="s">
        <v>5929</v>
      </c>
    </row>
    <row r="2603" spans="1:10" ht="16.5" customHeight="1" x14ac:dyDescent="0.25">
      <c r="A2603" s="8" t="s">
        <v>9241</v>
      </c>
      <c r="B2603" s="8" t="s">
        <v>9242</v>
      </c>
      <c r="C2603" s="8" t="s">
        <v>9243</v>
      </c>
      <c r="D2603" s="8" t="s">
        <v>9242</v>
      </c>
      <c r="E2603" s="105">
        <v>0.2</v>
      </c>
      <c r="F2603" s="106" t="s">
        <v>2024</v>
      </c>
      <c r="G2603" s="8"/>
      <c r="H2603" s="8"/>
      <c r="I2603" s="107">
        <v>0</v>
      </c>
      <c r="J2603" s="8" t="s">
        <v>5929</v>
      </c>
    </row>
    <row r="2604" spans="1:10" ht="16.5" customHeight="1" x14ac:dyDescent="0.25">
      <c r="A2604" s="8" t="s">
        <v>9244</v>
      </c>
      <c r="B2604" s="8" t="s">
        <v>9245</v>
      </c>
      <c r="C2604" s="8" t="s">
        <v>9246</v>
      </c>
      <c r="D2604" s="8" t="s">
        <v>9245</v>
      </c>
      <c r="E2604" s="105">
        <v>5.52</v>
      </c>
      <c r="F2604" s="106" t="s">
        <v>2024</v>
      </c>
      <c r="G2604" s="8" t="s">
        <v>1541</v>
      </c>
      <c r="H2604" s="8" t="s">
        <v>9247</v>
      </c>
      <c r="I2604" s="107">
        <v>24</v>
      </c>
      <c r="J2604" s="8" t="s">
        <v>5929</v>
      </c>
    </row>
    <row r="2605" spans="1:10" ht="16.5" customHeight="1" x14ac:dyDescent="0.25">
      <c r="A2605" s="8" t="s">
        <v>9247</v>
      </c>
      <c r="B2605" s="8" t="s">
        <v>9248</v>
      </c>
      <c r="C2605" s="8" t="s">
        <v>9249</v>
      </c>
      <c r="D2605" s="8" t="s">
        <v>9248</v>
      </c>
      <c r="E2605" s="105">
        <v>0.23</v>
      </c>
      <c r="F2605" s="106" t="s">
        <v>2024</v>
      </c>
      <c r="G2605" s="8" t="s">
        <v>1541</v>
      </c>
      <c r="H2605" s="8"/>
      <c r="I2605" s="107">
        <v>0</v>
      </c>
      <c r="J2605" s="8" t="s">
        <v>5929</v>
      </c>
    </row>
    <row r="2606" spans="1:10" ht="16.5" customHeight="1" x14ac:dyDescent="0.25">
      <c r="A2606" s="8" t="s">
        <v>9250</v>
      </c>
      <c r="B2606" s="8" t="s">
        <v>9251</v>
      </c>
      <c r="C2606" s="8" t="s">
        <v>9252</v>
      </c>
      <c r="D2606" s="8" t="s">
        <v>9251</v>
      </c>
      <c r="E2606" s="105">
        <v>5.52</v>
      </c>
      <c r="F2606" s="106" t="s">
        <v>2024</v>
      </c>
      <c r="G2606" s="8" t="s">
        <v>1541</v>
      </c>
      <c r="H2606" s="8" t="s">
        <v>9253</v>
      </c>
      <c r="I2606" s="107">
        <v>24</v>
      </c>
      <c r="J2606" s="8" t="s">
        <v>5929</v>
      </c>
    </row>
    <row r="2607" spans="1:10" ht="16.5" customHeight="1" x14ac:dyDescent="0.25">
      <c r="A2607" s="8" t="s">
        <v>9253</v>
      </c>
      <c r="B2607" s="8" t="s">
        <v>9254</v>
      </c>
      <c r="C2607" s="8" t="s">
        <v>9255</v>
      </c>
      <c r="D2607" s="8" t="s">
        <v>9254</v>
      </c>
      <c r="E2607" s="105">
        <v>0.23</v>
      </c>
      <c r="F2607" s="106" t="s">
        <v>2024</v>
      </c>
      <c r="G2607" s="8" t="s">
        <v>1541</v>
      </c>
      <c r="H2607" s="8"/>
      <c r="I2607" s="107">
        <v>0</v>
      </c>
      <c r="J2607" s="8" t="s">
        <v>5929</v>
      </c>
    </row>
    <row r="2608" spans="1:10" ht="16.5" customHeight="1" x14ac:dyDescent="0.25">
      <c r="A2608" s="8" t="s">
        <v>9256</v>
      </c>
      <c r="B2608" s="8" t="s">
        <v>9257</v>
      </c>
      <c r="C2608" s="8" t="s">
        <v>9258</v>
      </c>
      <c r="D2608" s="8" t="s">
        <v>9257</v>
      </c>
      <c r="E2608" s="105">
        <v>1.5</v>
      </c>
      <c r="F2608" s="106" t="s">
        <v>2024</v>
      </c>
      <c r="G2608" s="8"/>
      <c r="H2608" s="8"/>
      <c r="I2608" s="107">
        <v>0</v>
      </c>
      <c r="J2608" s="8" t="s">
        <v>2019</v>
      </c>
    </row>
    <row r="2609" spans="1:10" ht="16.5" customHeight="1" x14ac:dyDescent="0.25">
      <c r="A2609" s="8" t="s">
        <v>9259</v>
      </c>
      <c r="B2609" s="8" t="s">
        <v>9260</v>
      </c>
      <c r="C2609" s="8" t="s">
        <v>9261</v>
      </c>
      <c r="D2609" s="8" t="s">
        <v>9260</v>
      </c>
      <c r="E2609" s="105">
        <v>0.25</v>
      </c>
      <c r="F2609" s="106" t="s">
        <v>2024</v>
      </c>
      <c r="G2609" s="8"/>
      <c r="H2609" s="8"/>
      <c r="I2609" s="107">
        <v>0</v>
      </c>
      <c r="J2609" s="8" t="s">
        <v>2019</v>
      </c>
    </row>
    <row r="2610" spans="1:10" ht="16.5" customHeight="1" x14ac:dyDescent="0.25">
      <c r="A2610" s="8" t="s">
        <v>9262</v>
      </c>
      <c r="B2610" s="8" t="s">
        <v>2454</v>
      </c>
      <c r="C2610" s="8" t="s">
        <v>981</v>
      </c>
      <c r="D2610" s="8" t="s">
        <v>2449</v>
      </c>
      <c r="E2610" s="105">
        <v>7.2</v>
      </c>
      <c r="F2610" s="106" t="s">
        <v>2024</v>
      </c>
      <c r="G2610" s="8"/>
      <c r="H2610" s="8"/>
      <c r="I2610" s="107">
        <v>0</v>
      </c>
      <c r="J2610" s="8" t="s">
        <v>4722</v>
      </c>
    </row>
    <row r="2611" spans="1:10" ht="16.5" customHeight="1" x14ac:dyDescent="0.25">
      <c r="A2611" s="8" t="s">
        <v>9263</v>
      </c>
      <c r="B2611" s="8" t="s">
        <v>1126</v>
      </c>
      <c r="C2611" s="8" t="s">
        <v>1125</v>
      </c>
      <c r="D2611" s="8" t="s">
        <v>1126</v>
      </c>
      <c r="E2611" s="105">
        <v>10.92</v>
      </c>
      <c r="F2611" s="106" t="s">
        <v>2024</v>
      </c>
      <c r="G2611" s="8"/>
      <c r="H2611" s="8"/>
      <c r="I2611" s="107">
        <v>0</v>
      </c>
      <c r="J2611" s="8" t="s">
        <v>2019</v>
      </c>
    </row>
    <row r="2612" spans="1:10" ht="16.5" customHeight="1" x14ac:dyDescent="0.25">
      <c r="A2612" s="8" t="s">
        <v>9264</v>
      </c>
      <c r="B2612" s="8" t="s">
        <v>5937</v>
      </c>
      <c r="C2612" s="8" t="s">
        <v>5938</v>
      </c>
      <c r="D2612" s="8" t="s">
        <v>5937</v>
      </c>
      <c r="E2612" s="105">
        <v>11.1</v>
      </c>
      <c r="F2612" s="106" t="s">
        <v>2024</v>
      </c>
      <c r="G2612" s="8"/>
      <c r="H2612" s="8"/>
      <c r="I2612" s="107">
        <v>0</v>
      </c>
      <c r="J2612" s="8" t="s">
        <v>5929</v>
      </c>
    </row>
    <row r="2613" spans="1:10" ht="16.5" customHeight="1" x14ac:dyDescent="0.25">
      <c r="A2613" s="8" t="s">
        <v>9265</v>
      </c>
      <c r="B2613" s="8" t="s">
        <v>9266</v>
      </c>
      <c r="C2613" s="8" t="s">
        <v>8964</v>
      </c>
      <c r="D2613" s="8" t="s">
        <v>9266</v>
      </c>
      <c r="E2613" s="105">
        <v>0</v>
      </c>
      <c r="F2613" s="106" t="s">
        <v>2024</v>
      </c>
      <c r="G2613" s="8"/>
      <c r="H2613" s="8"/>
      <c r="I2613" s="107">
        <v>0</v>
      </c>
      <c r="J2613" s="8" t="s">
        <v>4722</v>
      </c>
    </row>
    <row r="2614" spans="1:10" ht="16.5" customHeight="1" x14ac:dyDescent="0.25">
      <c r="A2614" s="8" t="s">
        <v>9267</v>
      </c>
      <c r="B2614" s="8" t="s">
        <v>9268</v>
      </c>
      <c r="C2614" s="8" t="s">
        <v>9226</v>
      </c>
      <c r="D2614" s="8" t="s">
        <v>9268</v>
      </c>
      <c r="E2614" s="105">
        <v>0</v>
      </c>
      <c r="F2614" s="106" t="s">
        <v>2024</v>
      </c>
      <c r="G2614" s="8"/>
      <c r="H2614" s="8"/>
      <c r="I2614" s="107">
        <v>0</v>
      </c>
      <c r="J2614" s="8" t="s">
        <v>4722</v>
      </c>
    </row>
    <row r="2615" spans="1:10" ht="16.5" customHeight="1" x14ac:dyDescent="0.25">
      <c r="A2615" s="8" t="s">
        <v>9269</v>
      </c>
      <c r="B2615" s="8" t="s">
        <v>9270</v>
      </c>
      <c r="C2615" s="8" t="s">
        <v>9271</v>
      </c>
      <c r="D2615" s="8" t="s">
        <v>9270</v>
      </c>
      <c r="E2615" s="105">
        <v>0</v>
      </c>
      <c r="F2615" s="106" t="s">
        <v>2024</v>
      </c>
      <c r="G2615" s="8"/>
      <c r="H2615" s="8"/>
      <c r="I2615" s="107">
        <v>0</v>
      </c>
      <c r="J2615" s="8" t="s">
        <v>2019</v>
      </c>
    </row>
    <row r="2616" spans="1:10" ht="16.5" customHeight="1" x14ac:dyDescent="0.25">
      <c r="A2616" s="8" t="s">
        <v>9272</v>
      </c>
      <c r="B2616" s="8" t="s">
        <v>9273</v>
      </c>
      <c r="C2616" s="8" t="s">
        <v>9274</v>
      </c>
      <c r="D2616" s="8" t="s">
        <v>9273</v>
      </c>
      <c r="E2616" s="105">
        <v>0</v>
      </c>
      <c r="F2616" s="106" t="s">
        <v>2024</v>
      </c>
      <c r="G2616" s="8"/>
      <c r="H2616" s="8"/>
      <c r="I2616" s="107">
        <v>0</v>
      </c>
      <c r="J2616" s="8" t="s">
        <v>4722</v>
      </c>
    </row>
    <row r="2617" spans="1:10" ht="16.5" customHeight="1" x14ac:dyDescent="0.25">
      <c r="A2617" s="8" t="s">
        <v>9275</v>
      </c>
      <c r="B2617" s="8" t="s">
        <v>9276</v>
      </c>
      <c r="C2617" s="8" t="s">
        <v>9277</v>
      </c>
      <c r="D2617" s="8" t="s">
        <v>9276</v>
      </c>
      <c r="E2617" s="105">
        <v>10</v>
      </c>
      <c r="F2617" s="106" t="s">
        <v>2024</v>
      </c>
      <c r="G2617" s="8"/>
      <c r="H2617" s="8"/>
      <c r="I2617" s="107">
        <v>0</v>
      </c>
      <c r="J2617" s="8" t="s">
        <v>7329</v>
      </c>
    </row>
    <row r="2618" spans="1:10" ht="16.5" customHeight="1" x14ac:dyDescent="0.25">
      <c r="A2618" s="8" t="s">
        <v>9278</v>
      </c>
      <c r="B2618" s="8" t="s">
        <v>9279</v>
      </c>
      <c r="C2618" s="8" t="s">
        <v>9280</v>
      </c>
      <c r="D2618" s="8" t="s">
        <v>9279</v>
      </c>
      <c r="E2618" s="105">
        <v>12</v>
      </c>
      <c r="F2618" s="106" t="s">
        <v>2024</v>
      </c>
      <c r="G2618" s="8"/>
      <c r="H2618" s="8"/>
      <c r="I2618" s="107">
        <v>0</v>
      </c>
      <c r="J2618" s="8" t="s">
        <v>8088</v>
      </c>
    </row>
    <row r="2619" spans="1:10" ht="16.5" customHeight="1" x14ac:dyDescent="0.25">
      <c r="A2619" s="8" t="s">
        <v>9281</v>
      </c>
      <c r="B2619" s="8" t="s">
        <v>9282</v>
      </c>
      <c r="C2619" s="8" t="s">
        <v>9283</v>
      </c>
      <c r="D2619" s="8" t="s">
        <v>9282</v>
      </c>
      <c r="E2619" s="105">
        <v>1</v>
      </c>
      <c r="F2619" s="106" t="s">
        <v>2024</v>
      </c>
      <c r="G2619" s="8"/>
      <c r="H2619" s="8"/>
      <c r="I2619" s="107">
        <v>0</v>
      </c>
      <c r="J2619" s="8" t="s">
        <v>8088</v>
      </c>
    </row>
    <row r="2620" spans="1:10" ht="16.5" customHeight="1" x14ac:dyDescent="0.25">
      <c r="A2620" s="8" t="s">
        <v>9284</v>
      </c>
      <c r="B2620" s="8" t="s">
        <v>9285</v>
      </c>
      <c r="C2620" s="8" t="s">
        <v>9286</v>
      </c>
      <c r="D2620" s="8" t="s">
        <v>9285</v>
      </c>
      <c r="E2620" s="105">
        <v>12.46</v>
      </c>
      <c r="F2620" s="106" t="s">
        <v>2024</v>
      </c>
      <c r="G2620" s="8"/>
      <c r="H2620" s="8"/>
      <c r="I2620" s="107">
        <v>0</v>
      </c>
      <c r="J2620" s="8" t="s">
        <v>6357</v>
      </c>
    </row>
    <row r="2621" spans="1:10" ht="16.5" customHeight="1" x14ac:dyDescent="0.25">
      <c r="A2621" s="8" t="s">
        <v>9287</v>
      </c>
      <c r="B2621" s="8" t="s">
        <v>9288</v>
      </c>
      <c r="C2621" s="8" t="s">
        <v>9289</v>
      </c>
      <c r="D2621" s="8" t="s">
        <v>9288</v>
      </c>
      <c r="E2621" s="105">
        <v>0.96299999999999997</v>
      </c>
      <c r="F2621" s="106" t="s">
        <v>2024</v>
      </c>
      <c r="G2621" s="8"/>
      <c r="H2621" s="8"/>
      <c r="I2621" s="107">
        <v>0</v>
      </c>
      <c r="J2621" s="8" t="s">
        <v>6357</v>
      </c>
    </row>
    <row r="2622" spans="1:10" ht="16.5" customHeight="1" x14ac:dyDescent="0.25">
      <c r="A2622" s="8" t="s">
        <v>9290</v>
      </c>
      <c r="B2622" s="8" t="s">
        <v>9291</v>
      </c>
      <c r="C2622" s="8" t="s">
        <v>9292</v>
      </c>
      <c r="D2622" s="8" t="s">
        <v>9291</v>
      </c>
      <c r="E2622" s="105">
        <v>19</v>
      </c>
      <c r="F2622" s="106" t="s">
        <v>2024</v>
      </c>
      <c r="G2622" s="8"/>
      <c r="H2622" s="8"/>
      <c r="I2622" s="107">
        <v>0</v>
      </c>
      <c r="J2622" s="8" t="s">
        <v>6357</v>
      </c>
    </row>
    <row r="2623" spans="1:10" ht="16.5" customHeight="1" x14ac:dyDescent="0.25">
      <c r="A2623" s="8" t="s">
        <v>9293</v>
      </c>
      <c r="B2623" s="8" t="s">
        <v>9294</v>
      </c>
      <c r="C2623" s="8" t="s">
        <v>9295</v>
      </c>
      <c r="D2623" s="8" t="s">
        <v>9294</v>
      </c>
      <c r="E2623" s="105">
        <v>9.5</v>
      </c>
      <c r="F2623" s="106" t="s">
        <v>2024</v>
      </c>
      <c r="G2623" s="8"/>
      <c r="H2623" s="8"/>
      <c r="I2623" s="107">
        <v>0</v>
      </c>
      <c r="J2623" s="8" t="s">
        <v>6357</v>
      </c>
    </row>
    <row r="2624" spans="1:10" ht="16.5" customHeight="1" x14ac:dyDescent="0.25">
      <c r="A2624" s="8" t="s">
        <v>9296</v>
      </c>
      <c r="B2624" s="8" t="s">
        <v>9297</v>
      </c>
      <c r="C2624" s="8" t="s">
        <v>9298</v>
      </c>
      <c r="D2624" s="8" t="s">
        <v>9297</v>
      </c>
      <c r="E2624" s="105">
        <v>2.5999999999999999E-2</v>
      </c>
      <c r="F2624" s="106" t="s">
        <v>2024</v>
      </c>
      <c r="G2624" s="8"/>
      <c r="H2624" s="8"/>
      <c r="I2624" s="107">
        <v>0</v>
      </c>
      <c r="J2624" s="8" t="s">
        <v>4722</v>
      </c>
    </row>
    <row r="2625" spans="1:10" ht="16.5" customHeight="1" x14ac:dyDescent="0.25">
      <c r="A2625" s="8" t="s">
        <v>9299</v>
      </c>
      <c r="B2625" s="8" t="s">
        <v>9300</v>
      </c>
      <c r="C2625" s="8" t="s">
        <v>9300</v>
      </c>
      <c r="D2625" s="8" t="s">
        <v>9301</v>
      </c>
      <c r="E2625" s="105">
        <v>0</v>
      </c>
      <c r="F2625" s="106" t="s">
        <v>2024</v>
      </c>
      <c r="G2625" s="8"/>
      <c r="H2625" s="8"/>
      <c r="I2625" s="107">
        <v>0</v>
      </c>
      <c r="J2625" s="8"/>
    </row>
    <row r="2626" spans="1:10" ht="16.5" customHeight="1" x14ac:dyDescent="0.25">
      <c r="A2626" s="8" t="s">
        <v>9302</v>
      </c>
      <c r="B2626" s="8" t="s">
        <v>9303</v>
      </c>
      <c r="C2626" s="8" t="s">
        <v>9303</v>
      </c>
      <c r="D2626" s="8" t="s">
        <v>9304</v>
      </c>
      <c r="E2626" s="105">
        <v>0</v>
      </c>
      <c r="F2626" s="106" t="s">
        <v>2024</v>
      </c>
      <c r="G2626" s="8"/>
      <c r="H2626" s="8"/>
      <c r="I2626" s="107">
        <v>0</v>
      </c>
      <c r="J2626" s="8"/>
    </row>
    <row r="2627" spans="1:10" ht="16.5" customHeight="1" x14ac:dyDescent="0.25">
      <c r="A2627" s="8" t="s">
        <v>9305</v>
      </c>
      <c r="B2627" s="8" t="s">
        <v>9306</v>
      </c>
      <c r="C2627" s="8" t="s">
        <v>9306</v>
      </c>
      <c r="D2627" s="8" t="s">
        <v>9307</v>
      </c>
      <c r="E2627" s="105">
        <v>0</v>
      </c>
      <c r="F2627" s="106" t="s">
        <v>2024</v>
      </c>
      <c r="G2627" s="8"/>
      <c r="H2627" s="8"/>
      <c r="I2627" s="107">
        <v>0</v>
      </c>
      <c r="J2627" s="8"/>
    </row>
    <row r="2628" spans="1:10" ht="16.5" customHeight="1" x14ac:dyDescent="0.25">
      <c r="A2628" s="8" t="s">
        <v>9308</v>
      </c>
      <c r="B2628" s="8" t="s">
        <v>9309</v>
      </c>
      <c r="C2628" s="8" t="s">
        <v>9309</v>
      </c>
      <c r="D2628" s="8" t="s">
        <v>9309</v>
      </c>
      <c r="E2628" s="105">
        <v>0</v>
      </c>
      <c r="F2628" s="106" t="s">
        <v>2024</v>
      </c>
      <c r="G2628" s="8"/>
      <c r="H2628" s="8"/>
      <c r="I2628" s="107">
        <v>0</v>
      </c>
      <c r="J2628" s="8"/>
    </row>
    <row r="2629" spans="1:10" ht="16.5" customHeight="1" x14ac:dyDescent="0.25">
      <c r="A2629" s="8" t="s">
        <v>9310</v>
      </c>
      <c r="B2629" s="8" t="s">
        <v>9311</v>
      </c>
      <c r="C2629" s="8" t="s">
        <v>9311</v>
      </c>
      <c r="D2629" s="8" t="s">
        <v>9311</v>
      </c>
      <c r="E2629" s="105">
        <v>0</v>
      </c>
      <c r="F2629" s="106" t="s">
        <v>2024</v>
      </c>
      <c r="G2629" s="8"/>
      <c r="H2629" s="8"/>
      <c r="I2629" s="107">
        <v>0</v>
      </c>
      <c r="J2629" s="8"/>
    </row>
    <row r="2630" spans="1:10" ht="16.5" customHeight="1" x14ac:dyDescent="0.25">
      <c r="A2630" s="8" t="s">
        <v>9312</v>
      </c>
      <c r="B2630" s="8" t="s">
        <v>9313</v>
      </c>
      <c r="C2630" s="8" t="s">
        <v>9314</v>
      </c>
      <c r="D2630" s="8" t="s">
        <v>9313</v>
      </c>
      <c r="E2630" s="105">
        <v>1</v>
      </c>
      <c r="F2630" s="106" t="s">
        <v>2018</v>
      </c>
      <c r="G2630" s="8"/>
      <c r="H2630" s="8"/>
      <c r="I2630" s="107">
        <v>0</v>
      </c>
      <c r="J2630" s="8" t="s">
        <v>6357</v>
      </c>
    </row>
    <row r="2631" spans="1:10" ht="16.5" customHeight="1" x14ac:dyDescent="0.25">
      <c r="A2631" s="8" t="s">
        <v>9315</v>
      </c>
      <c r="B2631" s="8" t="s">
        <v>9316</v>
      </c>
      <c r="C2631" s="8" t="s">
        <v>9203</v>
      </c>
      <c r="D2631" s="8" t="s">
        <v>9316</v>
      </c>
      <c r="E2631" s="105">
        <v>0.5</v>
      </c>
      <c r="F2631" s="106" t="s">
        <v>2024</v>
      </c>
      <c r="G2631" s="8"/>
      <c r="H2631" s="8"/>
      <c r="I2631" s="107">
        <v>0</v>
      </c>
      <c r="J2631" s="8" t="s">
        <v>4722</v>
      </c>
    </row>
    <row r="2632" spans="1:10" ht="16.5" customHeight="1" x14ac:dyDescent="0.25">
      <c r="A2632" s="8" t="s">
        <v>9317</v>
      </c>
      <c r="B2632" s="8" t="s">
        <v>9318</v>
      </c>
      <c r="C2632" s="8" t="s">
        <v>9319</v>
      </c>
      <c r="D2632" s="8" t="s">
        <v>9318</v>
      </c>
      <c r="E2632" s="105">
        <v>0.09</v>
      </c>
      <c r="F2632" s="106" t="s">
        <v>2024</v>
      </c>
      <c r="G2632" s="8"/>
      <c r="H2632" s="8"/>
      <c r="I2632" s="107">
        <v>0</v>
      </c>
      <c r="J2632" s="8" t="s">
        <v>2019</v>
      </c>
    </row>
    <row r="2633" spans="1:10" ht="16.5" customHeight="1" x14ac:dyDescent="0.25">
      <c r="A2633" s="8" t="s">
        <v>9320</v>
      </c>
      <c r="B2633" s="8" t="s">
        <v>9321</v>
      </c>
      <c r="C2633" s="8" t="s">
        <v>9322</v>
      </c>
      <c r="D2633" s="8" t="s">
        <v>9321</v>
      </c>
      <c r="E2633" s="105">
        <v>0.11</v>
      </c>
      <c r="F2633" s="106" t="s">
        <v>2024</v>
      </c>
      <c r="G2633" s="8"/>
      <c r="H2633" s="8"/>
      <c r="I2633" s="107">
        <v>0</v>
      </c>
      <c r="J2633" s="8" t="s">
        <v>2019</v>
      </c>
    </row>
    <row r="2634" spans="1:10" ht="16.5" customHeight="1" x14ac:dyDescent="0.25">
      <c r="A2634" s="8" t="s">
        <v>9323</v>
      </c>
      <c r="B2634" s="8" t="s">
        <v>9324</v>
      </c>
      <c r="C2634" s="8" t="s">
        <v>9325</v>
      </c>
      <c r="D2634" s="8" t="s">
        <v>9324</v>
      </c>
      <c r="E2634" s="105">
        <v>0.16</v>
      </c>
      <c r="F2634" s="106" t="s">
        <v>2024</v>
      </c>
      <c r="G2634" s="8"/>
      <c r="H2634" s="8"/>
      <c r="I2634" s="107">
        <v>0</v>
      </c>
      <c r="J2634" s="8" t="s">
        <v>2019</v>
      </c>
    </row>
    <row r="2635" spans="1:10" ht="16.5" customHeight="1" x14ac:dyDescent="0.25">
      <c r="A2635" s="8" t="s">
        <v>9326</v>
      </c>
      <c r="B2635" s="8" t="s">
        <v>9327</v>
      </c>
      <c r="C2635" s="8" t="s">
        <v>9328</v>
      </c>
      <c r="D2635" s="8" t="s">
        <v>9327</v>
      </c>
      <c r="E2635" s="105">
        <v>0.03</v>
      </c>
      <c r="F2635" s="106" t="s">
        <v>2024</v>
      </c>
      <c r="G2635" s="8"/>
      <c r="H2635" s="8"/>
      <c r="I2635" s="107">
        <v>0</v>
      </c>
      <c r="J2635" s="8" t="s">
        <v>2019</v>
      </c>
    </row>
    <row r="2636" spans="1:10" ht="16.5" customHeight="1" x14ac:dyDescent="0.25">
      <c r="A2636" s="8" t="s">
        <v>9329</v>
      </c>
      <c r="B2636" s="8" t="s">
        <v>9330</v>
      </c>
      <c r="C2636" s="8" t="s">
        <v>9331</v>
      </c>
      <c r="D2636" s="8" t="s">
        <v>9330</v>
      </c>
      <c r="E2636" s="105">
        <v>0.06</v>
      </c>
      <c r="F2636" s="106" t="s">
        <v>2024</v>
      </c>
      <c r="G2636" s="8"/>
      <c r="H2636" s="8"/>
      <c r="I2636" s="107">
        <v>0</v>
      </c>
      <c r="J2636" s="8" t="s">
        <v>2019</v>
      </c>
    </row>
    <row r="2637" spans="1:10" ht="16.5" customHeight="1" x14ac:dyDescent="0.25">
      <c r="A2637" s="8" t="s">
        <v>9332</v>
      </c>
      <c r="B2637" s="8" t="s">
        <v>9333</v>
      </c>
      <c r="C2637" s="8" t="s">
        <v>9234</v>
      </c>
      <c r="D2637" s="8" t="s">
        <v>9333</v>
      </c>
      <c r="E2637" s="105">
        <v>0</v>
      </c>
      <c r="F2637" s="106" t="s">
        <v>2024</v>
      </c>
      <c r="G2637" s="8"/>
      <c r="H2637" s="8"/>
      <c r="I2637" s="107">
        <v>0</v>
      </c>
      <c r="J2637" s="8" t="s">
        <v>4722</v>
      </c>
    </row>
    <row r="2638" spans="1:10" ht="16.5" customHeight="1" x14ac:dyDescent="0.25">
      <c r="A2638" s="8" t="s">
        <v>9334</v>
      </c>
      <c r="B2638" s="8" t="s">
        <v>9335</v>
      </c>
      <c r="C2638" s="8" t="s">
        <v>9336</v>
      </c>
      <c r="D2638" s="8" t="s">
        <v>9335</v>
      </c>
      <c r="E2638" s="105">
        <v>0</v>
      </c>
      <c r="F2638" s="106" t="s">
        <v>2024</v>
      </c>
      <c r="G2638" s="8"/>
      <c r="H2638" s="8"/>
      <c r="I2638" s="107">
        <v>0</v>
      </c>
      <c r="J2638" s="8" t="s">
        <v>4789</v>
      </c>
    </row>
    <row r="2639" spans="1:10" ht="16.5" customHeight="1" x14ac:dyDescent="0.25">
      <c r="A2639" s="8" t="s">
        <v>9337</v>
      </c>
      <c r="B2639" s="8" t="s">
        <v>9338</v>
      </c>
      <c r="C2639" s="8" t="s">
        <v>9339</v>
      </c>
      <c r="D2639" s="8" t="s">
        <v>9338</v>
      </c>
      <c r="E2639" s="105">
        <v>1</v>
      </c>
      <c r="F2639" s="106" t="s">
        <v>2024</v>
      </c>
      <c r="G2639" s="8"/>
      <c r="H2639" s="8"/>
      <c r="I2639" s="107">
        <v>0</v>
      </c>
      <c r="J2639" s="8" t="s">
        <v>3580</v>
      </c>
    </row>
    <row r="2640" spans="1:10" ht="16.5" customHeight="1" x14ac:dyDescent="0.25">
      <c r="A2640" s="8" t="s">
        <v>9340</v>
      </c>
      <c r="B2640" s="8" t="s">
        <v>9341</v>
      </c>
      <c r="C2640" s="8" t="s">
        <v>9342</v>
      </c>
      <c r="D2640" s="8" t="s">
        <v>9341</v>
      </c>
      <c r="E2640" s="105">
        <v>0</v>
      </c>
      <c r="F2640" s="106" t="s">
        <v>2018</v>
      </c>
      <c r="G2640" s="8"/>
      <c r="H2640" s="8"/>
      <c r="I2640" s="107">
        <v>0</v>
      </c>
      <c r="J2640" s="8" t="s">
        <v>3695</v>
      </c>
    </row>
    <row r="2641" spans="1:10" ht="16.5" customHeight="1" x14ac:dyDescent="0.25">
      <c r="A2641" s="8" t="s">
        <v>9343</v>
      </c>
      <c r="B2641" s="8" t="s">
        <v>9344</v>
      </c>
      <c r="C2641" s="8" t="s">
        <v>9345</v>
      </c>
      <c r="D2641" s="8" t="s">
        <v>9344</v>
      </c>
      <c r="E2641" s="105">
        <v>0</v>
      </c>
      <c r="F2641" s="106" t="s">
        <v>2018</v>
      </c>
      <c r="G2641" s="8"/>
      <c r="H2641" s="8"/>
      <c r="I2641" s="107">
        <v>0</v>
      </c>
      <c r="J2641" s="8" t="s">
        <v>3695</v>
      </c>
    </row>
    <row r="2642" spans="1:10" ht="16.5" customHeight="1" x14ac:dyDescent="0.25">
      <c r="A2642" s="8" t="s">
        <v>9346</v>
      </c>
      <c r="B2642" s="8" t="s">
        <v>9347</v>
      </c>
      <c r="C2642" s="8" t="s">
        <v>9348</v>
      </c>
      <c r="D2642" s="8" t="s">
        <v>9347</v>
      </c>
      <c r="E2642" s="105">
        <v>10.8</v>
      </c>
      <c r="F2642" s="106" t="s">
        <v>2024</v>
      </c>
      <c r="G2642" s="8"/>
      <c r="H2642" s="8"/>
      <c r="I2642" s="107">
        <v>0</v>
      </c>
      <c r="J2642" s="8" t="s">
        <v>6357</v>
      </c>
    </row>
    <row r="2643" spans="1:10" ht="16.5" customHeight="1" x14ac:dyDescent="0.25">
      <c r="A2643" s="8" t="s">
        <v>9349</v>
      </c>
      <c r="B2643" s="8" t="s">
        <v>9350</v>
      </c>
      <c r="C2643" s="8" t="s">
        <v>9351</v>
      </c>
      <c r="D2643" s="8" t="s">
        <v>9352</v>
      </c>
      <c r="E2643" s="105">
        <v>2.7</v>
      </c>
      <c r="F2643" s="106" t="s">
        <v>2024</v>
      </c>
      <c r="G2643" s="8"/>
      <c r="H2643" s="8"/>
      <c r="I2643" s="107">
        <v>0</v>
      </c>
      <c r="J2643" s="8" t="s">
        <v>6357</v>
      </c>
    </row>
    <row r="2644" spans="1:10" ht="16.5" customHeight="1" x14ac:dyDescent="0.25">
      <c r="A2644" s="8" t="s">
        <v>9353</v>
      </c>
      <c r="B2644" s="8" t="s">
        <v>9354</v>
      </c>
      <c r="C2644" s="8" t="s">
        <v>9355</v>
      </c>
      <c r="D2644" s="8" t="s">
        <v>9354</v>
      </c>
      <c r="E2644" s="105">
        <v>1</v>
      </c>
      <c r="F2644" s="106" t="s">
        <v>2018</v>
      </c>
      <c r="G2644" s="8"/>
      <c r="H2644" s="8"/>
      <c r="I2644" s="107">
        <v>0</v>
      </c>
      <c r="J2644" s="8" t="s">
        <v>3695</v>
      </c>
    </row>
    <row r="2645" spans="1:10" ht="16.5" customHeight="1" x14ac:dyDescent="0.25">
      <c r="A2645" s="8" t="s">
        <v>9356</v>
      </c>
      <c r="B2645" s="8" t="s">
        <v>9357</v>
      </c>
      <c r="C2645" s="8" t="s">
        <v>9358</v>
      </c>
      <c r="D2645" s="8" t="s">
        <v>9357</v>
      </c>
      <c r="E2645" s="105">
        <v>0</v>
      </c>
      <c r="F2645" s="106" t="s">
        <v>2024</v>
      </c>
      <c r="G2645" s="8"/>
      <c r="H2645" s="8"/>
      <c r="I2645" s="107">
        <v>0</v>
      </c>
      <c r="J2645" s="8" t="s">
        <v>4722</v>
      </c>
    </row>
    <row r="2646" spans="1:10" ht="16.5" customHeight="1" x14ac:dyDescent="0.25">
      <c r="A2646" s="8" t="s">
        <v>9359</v>
      </c>
      <c r="B2646" s="8" t="s">
        <v>9360</v>
      </c>
      <c r="C2646" s="8" t="s">
        <v>9361</v>
      </c>
      <c r="D2646" s="8" t="s">
        <v>9360</v>
      </c>
      <c r="E2646" s="105">
        <v>5</v>
      </c>
      <c r="F2646" s="106" t="s">
        <v>2024</v>
      </c>
      <c r="G2646" s="8"/>
      <c r="H2646" s="8"/>
      <c r="I2646" s="107">
        <v>0</v>
      </c>
      <c r="J2646" s="8" t="s">
        <v>4722</v>
      </c>
    </row>
    <row r="2647" spans="1:10" ht="16.5" customHeight="1" x14ac:dyDescent="0.25">
      <c r="A2647" s="8" t="s">
        <v>9362</v>
      </c>
      <c r="B2647" s="8" t="s">
        <v>9363</v>
      </c>
      <c r="C2647" s="8" t="s">
        <v>9364</v>
      </c>
      <c r="D2647" s="8" t="s">
        <v>9363</v>
      </c>
      <c r="E2647" s="105">
        <v>5</v>
      </c>
      <c r="F2647" s="106" t="s">
        <v>2024</v>
      </c>
      <c r="G2647" s="8"/>
      <c r="H2647" s="8"/>
      <c r="I2647" s="107">
        <v>0</v>
      </c>
      <c r="J2647" s="8" t="s">
        <v>4722</v>
      </c>
    </row>
    <row r="2648" spans="1:10" ht="16.5" customHeight="1" x14ac:dyDescent="0.25">
      <c r="A2648" s="8" t="s">
        <v>9365</v>
      </c>
      <c r="B2648" s="8" t="s">
        <v>8714</v>
      </c>
      <c r="C2648" s="8" t="s">
        <v>8715</v>
      </c>
      <c r="D2648" s="8" t="s">
        <v>8714</v>
      </c>
      <c r="E2648" s="105">
        <v>0.54359999999999997</v>
      </c>
      <c r="F2648" s="106" t="s">
        <v>2024</v>
      </c>
      <c r="G2648" s="8"/>
      <c r="H2648" s="8"/>
      <c r="I2648" s="107">
        <v>0</v>
      </c>
      <c r="J2648" s="8" t="s">
        <v>5929</v>
      </c>
    </row>
    <row r="2649" spans="1:10" ht="16.5" customHeight="1" x14ac:dyDescent="0.25">
      <c r="A2649" s="8" t="s">
        <v>9366</v>
      </c>
      <c r="B2649" s="8" t="s">
        <v>9367</v>
      </c>
      <c r="C2649" s="8" t="s">
        <v>9368</v>
      </c>
      <c r="D2649" s="8" t="s">
        <v>9367</v>
      </c>
      <c r="E2649" s="105">
        <v>1</v>
      </c>
      <c r="F2649" s="106" t="s">
        <v>2024</v>
      </c>
      <c r="G2649" s="8"/>
      <c r="H2649" s="8"/>
      <c r="I2649" s="107">
        <v>0</v>
      </c>
      <c r="J2649" s="8" t="s">
        <v>3580</v>
      </c>
    </row>
    <row r="2650" spans="1:10" ht="16.5" customHeight="1" x14ac:dyDescent="0.25">
      <c r="A2650" s="8" t="s">
        <v>9369</v>
      </c>
      <c r="B2650" s="8" t="s">
        <v>9370</v>
      </c>
      <c r="C2650" s="8" t="s">
        <v>9371</v>
      </c>
      <c r="D2650" s="8" t="s">
        <v>9370</v>
      </c>
      <c r="E2650" s="105">
        <v>1</v>
      </c>
      <c r="F2650" s="106" t="s">
        <v>2024</v>
      </c>
      <c r="G2650" s="8"/>
      <c r="H2650" s="8"/>
      <c r="I2650" s="107">
        <v>0</v>
      </c>
      <c r="J2650" s="8" t="s">
        <v>3580</v>
      </c>
    </row>
    <row r="2651" spans="1:10" ht="16.5" customHeight="1" x14ac:dyDescent="0.25">
      <c r="A2651" s="8" t="s">
        <v>9372</v>
      </c>
      <c r="B2651" s="8" t="s">
        <v>9373</v>
      </c>
      <c r="C2651" s="8" t="s">
        <v>9374</v>
      </c>
      <c r="D2651" s="8" t="s">
        <v>9373</v>
      </c>
      <c r="E2651" s="105">
        <v>1</v>
      </c>
      <c r="F2651" s="106" t="s">
        <v>2024</v>
      </c>
      <c r="G2651" s="8"/>
      <c r="H2651" s="8"/>
      <c r="I2651" s="107">
        <v>0</v>
      </c>
      <c r="J2651" s="8" t="s">
        <v>3580</v>
      </c>
    </row>
    <row r="2652" spans="1:10" ht="16.5" customHeight="1" x14ac:dyDescent="0.25">
      <c r="A2652" s="8" t="s">
        <v>9375</v>
      </c>
      <c r="B2652" s="8" t="s">
        <v>9376</v>
      </c>
      <c r="C2652" s="8" t="s">
        <v>7933</v>
      </c>
      <c r="D2652" s="8" t="s">
        <v>9376</v>
      </c>
      <c r="E2652" s="105">
        <v>1</v>
      </c>
      <c r="F2652" s="106" t="s">
        <v>2024</v>
      </c>
      <c r="G2652" s="8"/>
      <c r="H2652" s="8"/>
      <c r="I2652" s="107">
        <v>0</v>
      </c>
      <c r="J2652" s="8" t="s">
        <v>3580</v>
      </c>
    </row>
    <row r="2653" spans="1:10" ht="16.5" customHeight="1" x14ac:dyDescent="0.25">
      <c r="A2653" s="8" t="s">
        <v>9377</v>
      </c>
      <c r="B2653" s="8" t="s">
        <v>9378</v>
      </c>
      <c r="C2653" s="8" t="s">
        <v>9379</v>
      </c>
      <c r="D2653" s="8" t="s">
        <v>9378</v>
      </c>
      <c r="E2653" s="105">
        <v>0.115</v>
      </c>
      <c r="F2653" s="106" t="s">
        <v>2024</v>
      </c>
      <c r="G2653" s="8"/>
      <c r="H2653" s="8"/>
      <c r="I2653" s="107">
        <v>0</v>
      </c>
      <c r="J2653" s="8" t="s">
        <v>4722</v>
      </c>
    </row>
    <row r="2654" spans="1:10" ht="16.5" customHeight="1" x14ac:dyDescent="0.25">
      <c r="A2654" s="8" t="s">
        <v>9380</v>
      </c>
      <c r="B2654" s="8" t="s">
        <v>9381</v>
      </c>
      <c r="C2654" s="8" t="s">
        <v>9382</v>
      </c>
      <c r="D2654" s="8" t="s">
        <v>9381</v>
      </c>
      <c r="E2654" s="105">
        <v>1</v>
      </c>
      <c r="F2654" s="106" t="s">
        <v>2018</v>
      </c>
      <c r="G2654" s="8"/>
      <c r="H2654" s="8"/>
      <c r="I2654" s="107">
        <v>0</v>
      </c>
      <c r="J2654" s="8" t="s">
        <v>2019</v>
      </c>
    </row>
    <row r="2655" spans="1:10" ht="16.5" customHeight="1" x14ac:dyDescent="0.25">
      <c r="A2655" s="8" t="s">
        <v>9383</v>
      </c>
      <c r="B2655" s="8" t="s">
        <v>9384</v>
      </c>
      <c r="C2655" s="8" t="s">
        <v>9385</v>
      </c>
      <c r="D2655" s="8" t="s">
        <v>9384</v>
      </c>
      <c r="E2655" s="105">
        <v>18</v>
      </c>
      <c r="F2655" s="106" t="s">
        <v>2018</v>
      </c>
      <c r="G2655" s="8"/>
      <c r="H2655" s="8"/>
      <c r="I2655" s="107">
        <v>0</v>
      </c>
      <c r="J2655" s="8" t="s">
        <v>2019</v>
      </c>
    </row>
    <row r="2656" spans="1:10" ht="16.5" customHeight="1" x14ac:dyDescent="0.25">
      <c r="A2656" s="8" t="s">
        <v>9386</v>
      </c>
      <c r="B2656" s="8" t="s">
        <v>9273</v>
      </c>
      <c r="C2656" s="8" t="s">
        <v>9274</v>
      </c>
      <c r="D2656" s="8" t="s">
        <v>9273</v>
      </c>
      <c r="E2656" s="105">
        <v>0</v>
      </c>
      <c r="F2656" s="106" t="s">
        <v>2024</v>
      </c>
      <c r="G2656" s="8"/>
      <c r="H2656" s="8"/>
      <c r="I2656" s="107">
        <v>0</v>
      </c>
      <c r="J2656" s="8" t="s">
        <v>6357</v>
      </c>
    </row>
    <row r="2657" spans="1:10" ht="16.5" customHeight="1" x14ac:dyDescent="0.25">
      <c r="A2657" s="8" t="s">
        <v>9387</v>
      </c>
      <c r="B2657" s="8" t="s">
        <v>9388</v>
      </c>
      <c r="C2657" s="8" t="s">
        <v>9389</v>
      </c>
      <c r="D2657" s="8" t="s">
        <v>9388</v>
      </c>
      <c r="E2657" s="105">
        <v>20</v>
      </c>
      <c r="F2657" s="106" t="s">
        <v>2018</v>
      </c>
      <c r="G2657" s="8"/>
      <c r="H2657" s="8"/>
      <c r="I2657" s="107">
        <v>0</v>
      </c>
      <c r="J2657" s="8" t="s">
        <v>4722</v>
      </c>
    </row>
    <row r="2658" spans="1:10" ht="16.5" customHeight="1" x14ac:dyDescent="0.25">
      <c r="A2658" s="8" t="s">
        <v>9390</v>
      </c>
      <c r="B2658" s="8" t="s">
        <v>9391</v>
      </c>
      <c r="C2658" s="8" t="s">
        <v>9392</v>
      </c>
      <c r="D2658" s="8" t="s">
        <v>9391</v>
      </c>
      <c r="E2658" s="105">
        <v>20</v>
      </c>
      <c r="F2658" s="106" t="s">
        <v>2024</v>
      </c>
      <c r="G2658" s="8"/>
      <c r="H2658" s="8"/>
      <c r="I2658" s="107">
        <v>0</v>
      </c>
      <c r="J2658" s="8" t="s">
        <v>4722</v>
      </c>
    </row>
    <row r="2659" spans="1:10" ht="16.5" customHeight="1" x14ac:dyDescent="0.25">
      <c r="A2659" s="8" t="s">
        <v>9393</v>
      </c>
      <c r="B2659" s="8" t="s">
        <v>9242</v>
      </c>
      <c r="C2659" s="8" t="s">
        <v>9394</v>
      </c>
      <c r="D2659" s="8" t="s">
        <v>9242</v>
      </c>
      <c r="E2659" s="105">
        <v>0</v>
      </c>
      <c r="F2659" s="106" t="s">
        <v>2024</v>
      </c>
      <c r="G2659" s="8"/>
      <c r="H2659" s="8"/>
      <c r="I2659" s="107">
        <v>0</v>
      </c>
      <c r="J2659" s="8" t="s">
        <v>4722</v>
      </c>
    </row>
    <row r="2660" spans="1:10" ht="16.5" customHeight="1" x14ac:dyDescent="0.25">
      <c r="A2660" s="8" t="s">
        <v>9395</v>
      </c>
      <c r="B2660" s="8" t="s">
        <v>9396</v>
      </c>
      <c r="C2660" s="8" t="s">
        <v>9397</v>
      </c>
      <c r="D2660" s="8" t="s">
        <v>9396</v>
      </c>
      <c r="E2660" s="105">
        <v>24</v>
      </c>
      <c r="F2660" s="106" t="s">
        <v>2024</v>
      </c>
      <c r="G2660" s="8"/>
      <c r="H2660" s="8"/>
      <c r="I2660" s="107">
        <v>0</v>
      </c>
      <c r="J2660" s="8" t="s">
        <v>5929</v>
      </c>
    </row>
    <row r="2661" spans="1:10" ht="16.5" customHeight="1" x14ac:dyDescent="0.25">
      <c r="A2661" s="8" t="s">
        <v>9398</v>
      </c>
      <c r="B2661" s="8" t="s">
        <v>9399</v>
      </c>
      <c r="C2661" s="8" t="s">
        <v>1555</v>
      </c>
      <c r="D2661" s="8" t="s">
        <v>9399</v>
      </c>
      <c r="E2661" s="105">
        <v>5.52</v>
      </c>
      <c r="F2661" s="106" t="s">
        <v>2024</v>
      </c>
      <c r="G2661" s="8" t="s">
        <v>1541</v>
      </c>
      <c r="H2661" s="8" t="s">
        <v>9400</v>
      </c>
      <c r="I2661" s="107">
        <v>24</v>
      </c>
      <c r="J2661" s="8" t="s">
        <v>5929</v>
      </c>
    </row>
    <row r="2662" spans="1:10" ht="16.5" customHeight="1" x14ac:dyDescent="0.25">
      <c r="A2662" s="8" t="s">
        <v>9400</v>
      </c>
      <c r="B2662" s="8" t="s">
        <v>9401</v>
      </c>
      <c r="C2662" s="8" t="s">
        <v>9402</v>
      </c>
      <c r="D2662" s="8" t="s">
        <v>9401</v>
      </c>
      <c r="E2662" s="105">
        <v>0.23</v>
      </c>
      <c r="F2662" s="106" t="s">
        <v>2024</v>
      </c>
      <c r="G2662" s="8" t="s">
        <v>1541</v>
      </c>
      <c r="H2662" s="8"/>
      <c r="I2662" s="107">
        <v>0</v>
      </c>
      <c r="J2662" s="8" t="s">
        <v>5929</v>
      </c>
    </row>
    <row r="2663" spans="1:10" ht="16.5" customHeight="1" x14ac:dyDescent="0.25">
      <c r="A2663" s="8" t="s">
        <v>9403</v>
      </c>
      <c r="B2663" s="8" t="s">
        <v>9404</v>
      </c>
      <c r="C2663" s="8" t="s">
        <v>1558</v>
      </c>
      <c r="D2663" s="8" t="s">
        <v>9404</v>
      </c>
      <c r="E2663" s="105">
        <v>5.52</v>
      </c>
      <c r="F2663" s="106" t="s">
        <v>2024</v>
      </c>
      <c r="G2663" s="8" t="s">
        <v>1541</v>
      </c>
      <c r="H2663" s="8" t="s">
        <v>9405</v>
      </c>
      <c r="I2663" s="107">
        <v>24</v>
      </c>
      <c r="J2663" s="8" t="s">
        <v>5929</v>
      </c>
    </row>
    <row r="2664" spans="1:10" ht="16.5" customHeight="1" x14ac:dyDescent="0.25">
      <c r="A2664" s="8" t="s">
        <v>9405</v>
      </c>
      <c r="B2664" s="8" t="s">
        <v>9406</v>
      </c>
      <c r="C2664" s="8" t="s">
        <v>9407</v>
      </c>
      <c r="D2664" s="8" t="s">
        <v>9406</v>
      </c>
      <c r="E2664" s="105">
        <v>0.23</v>
      </c>
      <c r="F2664" s="106" t="s">
        <v>2024</v>
      </c>
      <c r="G2664" s="8" t="s">
        <v>1541</v>
      </c>
      <c r="H2664" s="8"/>
      <c r="I2664" s="107">
        <v>0</v>
      </c>
      <c r="J2664" s="8" t="s">
        <v>5929</v>
      </c>
    </row>
    <row r="2665" spans="1:10" ht="16.5" customHeight="1" x14ac:dyDescent="0.25">
      <c r="A2665" s="8" t="s">
        <v>9408</v>
      </c>
      <c r="B2665" s="8" t="s">
        <v>9409</v>
      </c>
      <c r="C2665" s="8" t="s">
        <v>9410</v>
      </c>
      <c r="D2665" s="8" t="s">
        <v>9409</v>
      </c>
      <c r="E2665" s="105">
        <v>1</v>
      </c>
      <c r="F2665" s="106" t="s">
        <v>2024</v>
      </c>
      <c r="G2665" s="8"/>
      <c r="H2665" s="8"/>
      <c r="I2665" s="107">
        <v>0</v>
      </c>
      <c r="J2665" s="8" t="s">
        <v>2019</v>
      </c>
    </row>
    <row r="2666" spans="1:10" ht="16.5" customHeight="1" x14ac:dyDescent="0.25">
      <c r="A2666" s="8" t="s">
        <v>9411</v>
      </c>
      <c r="B2666" s="8" t="s">
        <v>9412</v>
      </c>
      <c r="C2666" s="8" t="s">
        <v>9413</v>
      </c>
      <c r="D2666" s="8" t="s">
        <v>9412</v>
      </c>
      <c r="E2666" s="105">
        <v>0.115</v>
      </c>
      <c r="F2666" s="106" t="s">
        <v>2024</v>
      </c>
      <c r="G2666" s="8"/>
      <c r="H2666" s="8"/>
      <c r="I2666" s="107">
        <v>0</v>
      </c>
      <c r="J2666" s="8" t="s">
        <v>2019</v>
      </c>
    </row>
    <row r="2667" spans="1:10" ht="16.5" customHeight="1" x14ac:dyDescent="0.25">
      <c r="A2667" s="8" t="s">
        <v>9414</v>
      </c>
      <c r="B2667" s="8" t="s">
        <v>9415</v>
      </c>
      <c r="C2667" s="8" t="s">
        <v>9416</v>
      </c>
      <c r="D2667" s="8" t="s">
        <v>9415</v>
      </c>
      <c r="E2667" s="105">
        <v>0.16500000000000001</v>
      </c>
      <c r="F2667" s="106" t="s">
        <v>2024</v>
      </c>
      <c r="G2667" s="8"/>
      <c r="H2667" s="8"/>
      <c r="I2667" s="107">
        <v>0</v>
      </c>
      <c r="J2667" s="8" t="s">
        <v>2019</v>
      </c>
    </row>
    <row r="2668" spans="1:10" ht="16.5" customHeight="1" x14ac:dyDescent="0.25">
      <c r="A2668" s="8" t="s">
        <v>9417</v>
      </c>
      <c r="B2668" s="8" t="s">
        <v>9418</v>
      </c>
      <c r="C2668" s="8" t="s">
        <v>9419</v>
      </c>
      <c r="D2668" s="8" t="s">
        <v>9418</v>
      </c>
      <c r="E2668" s="105">
        <v>1</v>
      </c>
      <c r="F2668" s="106" t="s">
        <v>2018</v>
      </c>
      <c r="G2668" s="8"/>
      <c r="H2668" s="8"/>
      <c r="I2668" s="107">
        <v>0</v>
      </c>
      <c r="J2668" s="8" t="s">
        <v>2019</v>
      </c>
    </row>
    <row r="2669" spans="1:10" ht="16.5" customHeight="1" x14ac:dyDescent="0.25">
      <c r="A2669" s="8" t="s">
        <v>9420</v>
      </c>
      <c r="B2669" s="8" t="s">
        <v>9421</v>
      </c>
      <c r="C2669" s="8" t="s">
        <v>9422</v>
      </c>
      <c r="D2669" s="8" t="s">
        <v>9421</v>
      </c>
      <c r="E2669" s="105">
        <v>1</v>
      </c>
      <c r="F2669" s="106" t="s">
        <v>2018</v>
      </c>
      <c r="G2669" s="8"/>
      <c r="H2669" s="8"/>
      <c r="I2669" s="107">
        <v>0</v>
      </c>
      <c r="J2669" s="8" t="s">
        <v>2019</v>
      </c>
    </row>
    <row r="2670" spans="1:10" ht="16.5" customHeight="1" x14ac:dyDescent="0.25">
      <c r="A2670" s="8" t="s">
        <v>9423</v>
      </c>
      <c r="B2670" s="8" t="s">
        <v>9424</v>
      </c>
      <c r="C2670" s="8" t="s">
        <v>9425</v>
      </c>
      <c r="D2670" s="8" t="s">
        <v>9424</v>
      </c>
      <c r="E2670" s="105">
        <v>12</v>
      </c>
      <c r="F2670" s="106" t="s">
        <v>2024</v>
      </c>
      <c r="G2670" s="8"/>
      <c r="H2670" s="8"/>
      <c r="I2670" s="107">
        <v>0</v>
      </c>
      <c r="J2670" s="8" t="s">
        <v>6357</v>
      </c>
    </row>
    <row r="2671" spans="1:10" ht="16.5" customHeight="1" x14ac:dyDescent="0.25">
      <c r="A2671" s="8" t="s">
        <v>9426</v>
      </c>
      <c r="B2671" s="8" t="s">
        <v>9427</v>
      </c>
      <c r="C2671" s="8" t="s">
        <v>9428</v>
      </c>
      <c r="D2671" s="8" t="s">
        <v>9427</v>
      </c>
      <c r="E2671" s="105">
        <v>1.5</v>
      </c>
      <c r="F2671" s="106" t="s">
        <v>2024</v>
      </c>
      <c r="G2671" s="8"/>
      <c r="H2671" s="8"/>
      <c r="I2671" s="107">
        <v>0</v>
      </c>
      <c r="J2671" s="8" t="s">
        <v>6357</v>
      </c>
    </row>
    <row r="2672" spans="1:10" ht="16.5" customHeight="1" x14ac:dyDescent="0.25">
      <c r="A2672" s="8" t="s">
        <v>9429</v>
      </c>
      <c r="B2672" s="8" t="s">
        <v>9430</v>
      </c>
      <c r="C2672" s="8" t="s">
        <v>9431</v>
      </c>
      <c r="D2672" s="8" t="s">
        <v>9430</v>
      </c>
      <c r="E2672" s="105">
        <v>16</v>
      </c>
      <c r="F2672" s="106" t="s">
        <v>2024</v>
      </c>
      <c r="G2672" s="8"/>
      <c r="H2672" s="8"/>
      <c r="I2672" s="107">
        <v>0</v>
      </c>
      <c r="J2672" s="8" t="s">
        <v>6357</v>
      </c>
    </row>
    <row r="2673" spans="1:10" ht="16.5" customHeight="1" x14ac:dyDescent="0.25">
      <c r="A2673" s="8" t="s">
        <v>9432</v>
      </c>
      <c r="B2673" s="8" t="s">
        <v>9433</v>
      </c>
      <c r="C2673" s="8" t="s">
        <v>9434</v>
      </c>
      <c r="D2673" s="8" t="s">
        <v>9433</v>
      </c>
      <c r="E2673" s="105">
        <v>4</v>
      </c>
      <c r="F2673" s="106" t="s">
        <v>2024</v>
      </c>
      <c r="G2673" s="8"/>
      <c r="H2673" s="8"/>
      <c r="I2673" s="107">
        <v>0</v>
      </c>
      <c r="J2673" s="8" t="s">
        <v>6357</v>
      </c>
    </row>
    <row r="2674" spans="1:10" ht="16.5" customHeight="1" x14ac:dyDescent="0.25">
      <c r="A2674" s="8" t="s">
        <v>9435</v>
      </c>
      <c r="B2674" s="8" t="s">
        <v>9436</v>
      </c>
      <c r="C2674" s="8" t="s">
        <v>9437</v>
      </c>
      <c r="D2674" s="8" t="s">
        <v>9436</v>
      </c>
      <c r="E2674" s="105">
        <v>0.5</v>
      </c>
      <c r="F2674" s="106" t="s">
        <v>2024</v>
      </c>
      <c r="G2674" s="8"/>
      <c r="H2674" s="8"/>
      <c r="I2674" s="107">
        <v>0</v>
      </c>
      <c r="J2674" s="8" t="s">
        <v>3580</v>
      </c>
    </row>
    <row r="2675" spans="1:10" ht="16.5" customHeight="1" x14ac:dyDescent="0.25">
      <c r="A2675" s="8" t="s">
        <v>9438</v>
      </c>
      <c r="B2675" s="8" t="s">
        <v>9439</v>
      </c>
      <c r="C2675" s="8" t="s">
        <v>9440</v>
      </c>
      <c r="D2675" s="8" t="s">
        <v>9439</v>
      </c>
      <c r="E2675" s="105">
        <v>1</v>
      </c>
      <c r="F2675" s="106" t="s">
        <v>2024</v>
      </c>
      <c r="G2675" s="8"/>
      <c r="H2675" s="8"/>
      <c r="I2675" s="107">
        <v>0</v>
      </c>
      <c r="J2675" s="8" t="s">
        <v>3580</v>
      </c>
    </row>
    <row r="2676" spans="1:10" ht="16.5" customHeight="1" x14ac:dyDescent="0.25">
      <c r="A2676" s="8" t="s">
        <v>9441</v>
      </c>
      <c r="B2676" s="8" t="s">
        <v>9442</v>
      </c>
      <c r="C2676" s="8" t="s">
        <v>9443</v>
      </c>
      <c r="D2676" s="8" t="s">
        <v>9442</v>
      </c>
      <c r="E2676" s="105">
        <v>1.82</v>
      </c>
      <c r="F2676" s="106" t="s">
        <v>2018</v>
      </c>
      <c r="G2676" s="8"/>
      <c r="H2676" s="8"/>
      <c r="I2676" s="107">
        <v>0</v>
      </c>
      <c r="J2676" s="8" t="s">
        <v>2019</v>
      </c>
    </row>
    <row r="2677" spans="1:10" ht="16.5" customHeight="1" x14ac:dyDescent="0.25">
      <c r="A2677" s="8" t="s">
        <v>9444</v>
      </c>
      <c r="B2677" s="8" t="s">
        <v>9445</v>
      </c>
      <c r="C2677" s="8" t="s">
        <v>9446</v>
      </c>
      <c r="D2677" s="8" t="s">
        <v>9445</v>
      </c>
      <c r="E2677" s="105">
        <v>7.28</v>
      </c>
      <c r="F2677" s="106" t="s">
        <v>2018</v>
      </c>
      <c r="G2677" s="8"/>
      <c r="H2677" s="8"/>
      <c r="I2677" s="107">
        <v>0</v>
      </c>
      <c r="J2677" s="8" t="s">
        <v>2019</v>
      </c>
    </row>
    <row r="2678" spans="1:10" ht="16.5" customHeight="1" x14ac:dyDescent="0.25">
      <c r="A2678" s="8" t="s">
        <v>9447</v>
      </c>
      <c r="B2678" s="8" t="s">
        <v>9448</v>
      </c>
      <c r="C2678" s="8" t="s">
        <v>4725</v>
      </c>
      <c r="D2678" s="8" t="s">
        <v>9448</v>
      </c>
      <c r="E2678" s="105">
        <v>0</v>
      </c>
      <c r="F2678" s="106" t="s">
        <v>2024</v>
      </c>
      <c r="G2678" s="8"/>
      <c r="H2678" s="8"/>
      <c r="I2678" s="107">
        <v>0</v>
      </c>
      <c r="J2678" s="8" t="s">
        <v>4789</v>
      </c>
    </row>
    <row r="2679" spans="1:10" ht="16.5" customHeight="1" x14ac:dyDescent="0.25">
      <c r="A2679" s="8" t="s">
        <v>9449</v>
      </c>
      <c r="B2679" s="8" t="s">
        <v>9450</v>
      </c>
      <c r="C2679" s="8" t="s">
        <v>9451</v>
      </c>
      <c r="D2679" s="8" t="s">
        <v>9450</v>
      </c>
      <c r="E2679" s="105">
        <v>0</v>
      </c>
      <c r="F2679" s="106" t="s">
        <v>2024</v>
      </c>
      <c r="G2679" s="8"/>
      <c r="H2679" s="8"/>
      <c r="I2679" s="107">
        <v>0</v>
      </c>
      <c r="J2679" s="8" t="s">
        <v>4789</v>
      </c>
    </row>
    <row r="2680" spans="1:10" ht="16.5" customHeight="1" x14ac:dyDescent="0.25">
      <c r="A2680" s="8" t="s">
        <v>9452</v>
      </c>
      <c r="B2680" s="8" t="s">
        <v>9453</v>
      </c>
      <c r="C2680" s="8" t="s">
        <v>9454</v>
      </c>
      <c r="D2680" s="8" t="s">
        <v>9453</v>
      </c>
      <c r="E2680" s="105">
        <v>18</v>
      </c>
      <c r="F2680" s="106" t="s">
        <v>2018</v>
      </c>
      <c r="G2680" s="8"/>
      <c r="H2680" s="8"/>
      <c r="I2680" s="107">
        <v>0</v>
      </c>
      <c r="J2680" s="8" t="s">
        <v>2019</v>
      </c>
    </row>
    <row r="2681" spans="1:10" ht="16.5" customHeight="1" x14ac:dyDescent="0.25">
      <c r="A2681" s="8" t="s">
        <v>9455</v>
      </c>
      <c r="B2681" s="8" t="s">
        <v>9456</v>
      </c>
      <c r="C2681" s="8" t="s">
        <v>9457</v>
      </c>
      <c r="D2681" s="8" t="s">
        <v>9456</v>
      </c>
      <c r="E2681" s="105">
        <v>18</v>
      </c>
      <c r="F2681" s="106" t="s">
        <v>2018</v>
      </c>
      <c r="G2681" s="8"/>
      <c r="H2681" s="8"/>
      <c r="I2681" s="107">
        <v>0</v>
      </c>
      <c r="J2681" s="8" t="s">
        <v>2019</v>
      </c>
    </row>
    <row r="2682" spans="1:10" ht="16.5" customHeight="1" x14ac:dyDescent="0.25">
      <c r="A2682" s="8" t="s">
        <v>9458</v>
      </c>
      <c r="B2682" s="8" t="s">
        <v>9459</v>
      </c>
      <c r="C2682" s="8" t="s">
        <v>9460</v>
      </c>
      <c r="D2682" s="8" t="s">
        <v>9459</v>
      </c>
      <c r="E2682" s="105">
        <v>25</v>
      </c>
      <c r="F2682" s="106" t="s">
        <v>2024</v>
      </c>
      <c r="G2682" s="8"/>
      <c r="H2682" s="8"/>
      <c r="I2682" s="107">
        <v>0</v>
      </c>
      <c r="J2682" s="8" t="s">
        <v>7329</v>
      </c>
    </row>
    <row r="2683" spans="1:10" ht="16.5" customHeight="1" x14ac:dyDescent="0.25">
      <c r="A2683" s="8" t="s">
        <v>9461</v>
      </c>
      <c r="B2683" s="8" t="s">
        <v>9462</v>
      </c>
      <c r="C2683" s="8" t="s">
        <v>9463</v>
      </c>
      <c r="D2683" s="8" t="s">
        <v>9462</v>
      </c>
      <c r="E2683" s="105">
        <v>0</v>
      </c>
      <c r="F2683" s="106" t="s">
        <v>2024</v>
      </c>
      <c r="G2683" s="8"/>
      <c r="H2683" s="8"/>
      <c r="I2683" s="107">
        <v>0</v>
      </c>
      <c r="J2683" s="8" t="s">
        <v>4722</v>
      </c>
    </row>
    <row r="2684" spans="1:10" ht="16.5" customHeight="1" x14ac:dyDescent="0.25">
      <c r="A2684" s="8" t="s">
        <v>9464</v>
      </c>
      <c r="B2684" s="8" t="s">
        <v>9465</v>
      </c>
      <c r="C2684" s="8" t="s">
        <v>9466</v>
      </c>
      <c r="D2684" s="8" t="s">
        <v>9465</v>
      </c>
      <c r="E2684" s="105">
        <v>0</v>
      </c>
      <c r="F2684" s="106" t="s">
        <v>2024</v>
      </c>
      <c r="G2684" s="8"/>
      <c r="H2684" s="8"/>
      <c r="I2684" s="107">
        <v>0</v>
      </c>
      <c r="J2684" s="8" t="s">
        <v>4722</v>
      </c>
    </row>
    <row r="2685" spans="1:10" ht="16.5" customHeight="1" x14ac:dyDescent="0.25">
      <c r="A2685" s="8" t="s">
        <v>9467</v>
      </c>
      <c r="B2685" s="8" t="s">
        <v>9468</v>
      </c>
      <c r="C2685" s="8" t="s">
        <v>9469</v>
      </c>
      <c r="D2685" s="8" t="s">
        <v>9468</v>
      </c>
      <c r="E2685" s="105">
        <v>8.5</v>
      </c>
      <c r="F2685" s="106" t="s">
        <v>2024</v>
      </c>
      <c r="G2685" s="8" t="s">
        <v>1541</v>
      </c>
      <c r="H2685" s="8" t="s">
        <v>9470</v>
      </c>
      <c r="I2685" s="107">
        <v>10</v>
      </c>
      <c r="J2685" s="8" t="s">
        <v>5929</v>
      </c>
    </row>
    <row r="2686" spans="1:10" ht="16.5" customHeight="1" x14ac:dyDescent="0.25">
      <c r="A2686" s="8" t="s">
        <v>9470</v>
      </c>
      <c r="B2686" s="8" t="s">
        <v>9471</v>
      </c>
      <c r="C2686" s="8" t="s">
        <v>9472</v>
      </c>
      <c r="D2686" s="8" t="s">
        <v>9471</v>
      </c>
      <c r="E2686" s="105">
        <v>0.85</v>
      </c>
      <c r="F2686" s="106" t="s">
        <v>2024</v>
      </c>
      <c r="G2686" s="8" t="s">
        <v>1541</v>
      </c>
      <c r="H2686" s="8"/>
      <c r="I2686" s="107">
        <v>0</v>
      </c>
      <c r="J2686" s="8" t="s">
        <v>5929</v>
      </c>
    </row>
    <row r="2687" spans="1:10" ht="16.5" customHeight="1" x14ac:dyDescent="0.25">
      <c r="A2687" s="8" t="s">
        <v>9473</v>
      </c>
      <c r="B2687" s="8" t="s">
        <v>9474</v>
      </c>
      <c r="C2687" s="8" t="s">
        <v>9475</v>
      </c>
      <c r="D2687" s="8" t="s">
        <v>9474</v>
      </c>
      <c r="E2687" s="105">
        <v>1</v>
      </c>
      <c r="F2687" s="106" t="s">
        <v>2024</v>
      </c>
      <c r="G2687" s="8"/>
      <c r="H2687" s="8"/>
      <c r="I2687" s="107">
        <v>0</v>
      </c>
      <c r="J2687" s="8" t="s">
        <v>6357</v>
      </c>
    </row>
    <row r="2688" spans="1:10" ht="16.5" customHeight="1" x14ac:dyDescent="0.25">
      <c r="A2688" s="8" t="s">
        <v>9476</v>
      </c>
      <c r="B2688" s="8" t="s">
        <v>9477</v>
      </c>
      <c r="C2688" s="8" t="s">
        <v>9478</v>
      </c>
      <c r="D2688" s="8" t="s">
        <v>9477</v>
      </c>
      <c r="E2688" s="105">
        <v>13.7736</v>
      </c>
      <c r="F2688" s="106" t="s">
        <v>2024</v>
      </c>
      <c r="G2688" s="8"/>
      <c r="H2688" s="8"/>
      <c r="I2688" s="107">
        <v>0</v>
      </c>
      <c r="J2688" s="8" t="s">
        <v>5929</v>
      </c>
    </row>
    <row r="2689" spans="1:10" ht="16.5" customHeight="1" x14ac:dyDescent="0.25">
      <c r="A2689" s="8" t="s">
        <v>9479</v>
      </c>
      <c r="B2689" s="8" t="s">
        <v>9480</v>
      </c>
      <c r="C2689" s="8" t="s">
        <v>9481</v>
      </c>
      <c r="D2689" s="8" t="s">
        <v>9480</v>
      </c>
      <c r="E2689" s="105">
        <v>0.57389999999999997</v>
      </c>
      <c r="F2689" s="106" t="s">
        <v>2024</v>
      </c>
      <c r="G2689" s="8"/>
      <c r="H2689" s="8"/>
      <c r="I2689" s="107">
        <v>0</v>
      </c>
      <c r="J2689" s="8" t="s">
        <v>5929</v>
      </c>
    </row>
    <row r="2690" spans="1:10" ht="16.5" customHeight="1" x14ac:dyDescent="0.25">
      <c r="A2690" s="8" t="s">
        <v>8659</v>
      </c>
      <c r="B2690" s="8" t="s">
        <v>9482</v>
      </c>
      <c r="C2690" s="8" t="s">
        <v>8658</v>
      </c>
      <c r="D2690" s="8" t="s">
        <v>9482</v>
      </c>
      <c r="E2690" s="105">
        <v>0.91</v>
      </c>
      <c r="F2690" s="106" t="s">
        <v>2018</v>
      </c>
      <c r="G2690" s="8"/>
      <c r="H2690" s="8"/>
      <c r="I2690" s="107">
        <v>0</v>
      </c>
      <c r="J2690" s="8" t="s">
        <v>2019</v>
      </c>
    </row>
    <row r="2691" spans="1:10" ht="16.5" customHeight="1" x14ac:dyDescent="0.25">
      <c r="A2691" s="8" t="s">
        <v>9483</v>
      </c>
      <c r="B2691" s="8" t="s">
        <v>9484</v>
      </c>
      <c r="C2691" s="8" t="s">
        <v>9485</v>
      </c>
      <c r="D2691" s="8" t="s">
        <v>9484</v>
      </c>
      <c r="E2691" s="105">
        <v>1</v>
      </c>
      <c r="F2691" s="106" t="s">
        <v>2024</v>
      </c>
      <c r="G2691" s="8"/>
      <c r="H2691" s="8"/>
      <c r="I2691" s="107">
        <v>0</v>
      </c>
      <c r="J2691" s="8" t="s">
        <v>3580</v>
      </c>
    </row>
    <row r="2692" spans="1:10" ht="16.5" customHeight="1" x14ac:dyDescent="0.25">
      <c r="A2692" s="8" t="s">
        <v>9486</v>
      </c>
      <c r="B2692" s="8" t="s">
        <v>4418</v>
      </c>
      <c r="C2692" s="8" t="s">
        <v>4152</v>
      </c>
      <c r="D2692" s="8" t="s">
        <v>4418</v>
      </c>
      <c r="E2692" s="105">
        <v>1.82</v>
      </c>
      <c r="F2692" s="106" t="s">
        <v>2024</v>
      </c>
      <c r="G2692" s="8"/>
      <c r="H2692" s="8"/>
      <c r="I2692" s="107">
        <v>0</v>
      </c>
      <c r="J2692" s="8" t="s">
        <v>4722</v>
      </c>
    </row>
    <row r="2693" spans="1:10" ht="16.5" customHeight="1" x14ac:dyDescent="0.25">
      <c r="A2693" s="8" t="s">
        <v>9487</v>
      </c>
      <c r="B2693" s="8" t="s">
        <v>6696</v>
      </c>
      <c r="C2693" s="8" t="s">
        <v>6694</v>
      </c>
      <c r="D2693" s="8" t="s">
        <v>6696</v>
      </c>
      <c r="E2693" s="105">
        <v>0.25</v>
      </c>
      <c r="F2693" s="106" t="s">
        <v>2024</v>
      </c>
      <c r="G2693" s="8"/>
      <c r="H2693" s="8"/>
      <c r="I2693" s="107">
        <v>0</v>
      </c>
      <c r="J2693" s="8" t="s">
        <v>5779</v>
      </c>
    </row>
    <row r="2694" spans="1:10" ht="16.5" customHeight="1" x14ac:dyDescent="0.25">
      <c r="A2694" s="8" t="s">
        <v>9488</v>
      </c>
      <c r="B2694" s="8" t="s">
        <v>5819</v>
      </c>
      <c r="C2694" s="8" t="s">
        <v>5817</v>
      </c>
      <c r="D2694" s="8" t="s">
        <v>5819</v>
      </c>
      <c r="E2694" s="105">
        <v>0.2</v>
      </c>
      <c r="F2694" s="106" t="s">
        <v>2024</v>
      </c>
      <c r="G2694" s="8"/>
      <c r="H2694" s="8"/>
      <c r="I2694" s="107">
        <v>0</v>
      </c>
      <c r="J2694" s="8" t="s">
        <v>5779</v>
      </c>
    </row>
    <row r="2695" spans="1:10" ht="16.5" customHeight="1" x14ac:dyDescent="0.25">
      <c r="A2695" s="8" t="s">
        <v>9489</v>
      </c>
      <c r="B2695" s="8" t="s">
        <v>9490</v>
      </c>
      <c r="C2695" s="8" t="s">
        <v>9491</v>
      </c>
      <c r="D2695" s="8" t="s">
        <v>9490</v>
      </c>
      <c r="E2695" s="105">
        <v>1</v>
      </c>
      <c r="F2695" s="106" t="s">
        <v>2024</v>
      </c>
      <c r="G2695" s="8"/>
      <c r="H2695" s="8"/>
      <c r="I2695" s="107">
        <v>0</v>
      </c>
      <c r="J2695" s="8" t="s">
        <v>6357</v>
      </c>
    </row>
    <row r="2696" spans="1:10" ht="16.5" customHeight="1" x14ac:dyDescent="0.25">
      <c r="A2696" s="8" t="s">
        <v>9492</v>
      </c>
      <c r="B2696" s="8" t="s">
        <v>9493</v>
      </c>
      <c r="C2696" s="8" t="s">
        <v>9494</v>
      </c>
      <c r="D2696" s="8" t="s">
        <v>9493</v>
      </c>
      <c r="E2696" s="105">
        <v>1</v>
      </c>
      <c r="F2696" s="106" t="s">
        <v>2024</v>
      </c>
      <c r="G2696" s="8"/>
      <c r="H2696" s="8"/>
      <c r="I2696" s="107">
        <v>0</v>
      </c>
      <c r="J2696" s="8" t="s">
        <v>6357</v>
      </c>
    </row>
    <row r="2697" spans="1:10" ht="16.5" customHeight="1" x14ac:dyDescent="0.25">
      <c r="A2697" s="8" t="s">
        <v>9495</v>
      </c>
      <c r="B2697" s="8" t="s">
        <v>9496</v>
      </c>
      <c r="C2697" s="8" t="s">
        <v>9497</v>
      </c>
      <c r="D2697" s="8" t="s">
        <v>9496</v>
      </c>
      <c r="E2697" s="105">
        <v>1</v>
      </c>
      <c r="F2697" s="106" t="s">
        <v>2024</v>
      </c>
      <c r="G2697" s="8"/>
      <c r="H2697" s="8"/>
      <c r="I2697" s="107">
        <v>0</v>
      </c>
      <c r="J2697" s="8" t="s">
        <v>6357</v>
      </c>
    </row>
    <row r="2698" spans="1:10" ht="16.5" customHeight="1" x14ac:dyDescent="0.25">
      <c r="A2698" s="8" t="s">
        <v>9498</v>
      </c>
      <c r="B2698" s="8" t="s">
        <v>9499</v>
      </c>
      <c r="C2698" s="8" t="s">
        <v>9500</v>
      </c>
      <c r="D2698" s="8" t="s">
        <v>9499</v>
      </c>
      <c r="E2698" s="105">
        <v>1</v>
      </c>
      <c r="F2698" s="106" t="s">
        <v>2024</v>
      </c>
      <c r="G2698" s="8"/>
      <c r="H2698" s="8"/>
      <c r="I2698" s="107">
        <v>0</v>
      </c>
      <c r="J2698" s="8" t="s">
        <v>6357</v>
      </c>
    </row>
    <row r="2699" spans="1:10" ht="16.5" customHeight="1" x14ac:dyDescent="0.25">
      <c r="A2699" s="8" t="s">
        <v>9501</v>
      </c>
      <c r="B2699" s="8" t="s">
        <v>9502</v>
      </c>
      <c r="C2699" s="8" t="s">
        <v>9503</v>
      </c>
      <c r="D2699" s="8" t="s">
        <v>9502</v>
      </c>
      <c r="E2699" s="105">
        <v>1</v>
      </c>
      <c r="F2699" s="106" t="s">
        <v>2024</v>
      </c>
      <c r="G2699" s="8"/>
      <c r="H2699" s="8"/>
      <c r="I2699" s="107">
        <v>0</v>
      </c>
      <c r="J2699" s="8" t="s">
        <v>6357</v>
      </c>
    </row>
    <row r="2700" spans="1:10" ht="16.5" customHeight="1" x14ac:dyDescent="0.25">
      <c r="A2700" s="8" t="s">
        <v>9504</v>
      </c>
      <c r="B2700" s="8" t="s">
        <v>9505</v>
      </c>
      <c r="C2700" s="8" t="s">
        <v>9506</v>
      </c>
      <c r="D2700" s="8" t="s">
        <v>9505</v>
      </c>
      <c r="E2700" s="105">
        <v>1</v>
      </c>
      <c r="F2700" s="106" t="s">
        <v>2024</v>
      </c>
      <c r="G2700" s="8"/>
      <c r="H2700" s="8"/>
      <c r="I2700" s="107">
        <v>0</v>
      </c>
      <c r="J2700" s="8" t="s">
        <v>6357</v>
      </c>
    </row>
    <row r="2701" spans="1:10" ht="16.5" customHeight="1" x14ac:dyDescent="0.25">
      <c r="A2701" s="8" t="s">
        <v>9507</v>
      </c>
      <c r="B2701" s="8" t="s">
        <v>9508</v>
      </c>
      <c r="C2701" s="8" t="s">
        <v>9509</v>
      </c>
      <c r="D2701" s="8" t="s">
        <v>9508</v>
      </c>
      <c r="E2701" s="105">
        <v>12</v>
      </c>
      <c r="F2701" s="106" t="s">
        <v>2024</v>
      </c>
      <c r="G2701" s="8" t="s">
        <v>1541</v>
      </c>
      <c r="H2701" s="8" t="s">
        <v>9510</v>
      </c>
      <c r="I2701" s="107">
        <v>24</v>
      </c>
      <c r="J2701" s="8" t="s">
        <v>5929</v>
      </c>
    </row>
    <row r="2702" spans="1:10" ht="16.5" customHeight="1" x14ac:dyDescent="0.25">
      <c r="A2702" s="8" t="s">
        <v>9510</v>
      </c>
      <c r="B2702" s="8" t="s">
        <v>9511</v>
      </c>
      <c r="C2702" s="8" t="s">
        <v>9512</v>
      </c>
      <c r="D2702" s="8" t="s">
        <v>9511</v>
      </c>
      <c r="E2702" s="105">
        <v>0.5</v>
      </c>
      <c r="F2702" s="106" t="s">
        <v>2024</v>
      </c>
      <c r="G2702" s="8" t="s">
        <v>1541</v>
      </c>
      <c r="H2702" s="8"/>
      <c r="I2702" s="107">
        <v>0</v>
      </c>
      <c r="J2702" s="8" t="s">
        <v>5929</v>
      </c>
    </row>
    <row r="2703" spans="1:10" ht="16.5" customHeight="1" x14ac:dyDescent="0.25">
      <c r="A2703" s="8" t="s">
        <v>9513</v>
      </c>
      <c r="B2703" s="8" t="s">
        <v>9514</v>
      </c>
      <c r="C2703" s="8" t="s">
        <v>9515</v>
      </c>
      <c r="D2703" s="8" t="s">
        <v>9514</v>
      </c>
      <c r="E2703" s="105">
        <v>1</v>
      </c>
      <c r="F2703" s="106" t="s">
        <v>2018</v>
      </c>
      <c r="G2703" s="8"/>
      <c r="H2703" s="8"/>
      <c r="I2703" s="107">
        <v>0</v>
      </c>
      <c r="J2703" s="8" t="s">
        <v>2019</v>
      </c>
    </row>
    <row r="2704" spans="1:10" ht="16.5" customHeight="1" x14ac:dyDescent="0.25">
      <c r="A2704" s="8" t="s">
        <v>9516</v>
      </c>
      <c r="B2704" s="8" t="s">
        <v>9517</v>
      </c>
      <c r="C2704" s="8" t="s">
        <v>9518</v>
      </c>
      <c r="D2704" s="8" t="s">
        <v>9517</v>
      </c>
      <c r="E2704" s="105">
        <v>0</v>
      </c>
      <c r="F2704" s="106" t="s">
        <v>2024</v>
      </c>
      <c r="G2704" s="8"/>
      <c r="H2704" s="8"/>
      <c r="I2704" s="107">
        <v>0</v>
      </c>
      <c r="J2704" s="8" t="s">
        <v>4722</v>
      </c>
    </row>
    <row r="2705" spans="1:10" ht="16.5" customHeight="1" x14ac:dyDescent="0.25">
      <c r="A2705" s="8" t="s">
        <v>9519</v>
      </c>
      <c r="B2705" s="8" t="s">
        <v>9520</v>
      </c>
      <c r="C2705" s="8" t="s">
        <v>9521</v>
      </c>
      <c r="D2705" s="8" t="s">
        <v>9520</v>
      </c>
      <c r="E2705" s="105">
        <v>1</v>
      </c>
      <c r="F2705" s="106" t="s">
        <v>2024</v>
      </c>
      <c r="G2705" s="8"/>
      <c r="H2705" s="8"/>
      <c r="I2705" s="107">
        <v>0</v>
      </c>
      <c r="J2705" s="8" t="s">
        <v>3580</v>
      </c>
    </row>
    <row r="2706" spans="1:10" ht="16.5" customHeight="1" x14ac:dyDescent="0.25">
      <c r="A2706" s="8" t="s">
        <v>9522</v>
      </c>
      <c r="B2706" s="8" t="s">
        <v>9523</v>
      </c>
      <c r="C2706" s="8" t="s">
        <v>9521</v>
      </c>
      <c r="D2706" s="8" t="s">
        <v>9523</v>
      </c>
      <c r="E2706" s="105">
        <v>1</v>
      </c>
      <c r="F2706" s="106" t="s">
        <v>2024</v>
      </c>
      <c r="G2706" s="8"/>
      <c r="H2706" s="8"/>
      <c r="I2706" s="107">
        <v>0</v>
      </c>
      <c r="J2706" s="8" t="s">
        <v>3580</v>
      </c>
    </row>
    <row r="2707" spans="1:10" ht="16.5" customHeight="1" x14ac:dyDescent="0.25">
      <c r="A2707" s="8" t="s">
        <v>9524</v>
      </c>
      <c r="B2707" s="8" t="s">
        <v>9525</v>
      </c>
      <c r="C2707" s="8" t="s">
        <v>9526</v>
      </c>
      <c r="D2707" s="8" t="s">
        <v>9525</v>
      </c>
      <c r="E2707" s="105">
        <v>1</v>
      </c>
      <c r="F2707" s="106" t="s">
        <v>2018</v>
      </c>
      <c r="G2707" s="8"/>
      <c r="H2707" s="8"/>
      <c r="I2707" s="107">
        <v>0</v>
      </c>
      <c r="J2707" s="8" t="s">
        <v>3695</v>
      </c>
    </row>
    <row r="2708" spans="1:10" ht="16.5" customHeight="1" x14ac:dyDescent="0.25">
      <c r="A2708" s="8" t="s">
        <v>9527</v>
      </c>
      <c r="B2708" s="8" t="s">
        <v>9528</v>
      </c>
      <c r="C2708" s="8" t="s">
        <v>2063</v>
      </c>
      <c r="D2708" s="8" t="s">
        <v>9528</v>
      </c>
      <c r="E2708" s="105">
        <v>1</v>
      </c>
      <c r="F2708" s="106" t="s">
        <v>2018</v>
      </c>
      <c r="G2708" s="8"/>
      <c r="H2708" s="8"/>
      <c r="I2708" s="107">
        <v>0</v>
      </c>
      <c r="J2708" s="8" t="s">
        <v>2019</v>
      </c>
    </row>
    <row r="2709" spans="1:10" ht="16.5" customHeight="1" x14ac:dyDescent="0.25">
      <c r="A2709" s="8" t="s">
        <v>9529</v>
      </c>
      <c r="B2709" s="8" t="s">
        <v>9530</v>
      </c>
      <c r="C2709" s="8" t="s">
        <v>2034</v>
      </c>
      <c r="D2709" s="8" t="s">
        <v>9530</v>
      </c>
      <c r="E2709" s="105">
        <v>1</v>
      </c>
      <c r="F2709" s="106" t="s">
        <v>2018</v>
      </c>
      <c r="G2709" s="8"/>
      <c r="H2709" s="8"/>
      <c r="I2709" s="107">
        <v>0</v>
      </c>
      <c r="J2709" s="8" t="s">
        <v>2019</v>
      </c>
    </row>
    <row r="2710" spans="1:10" ht="16.5" customHeight="1" x14ac:dyDescent="0.25">
      <c r="A2710" s="8" t="s">
        <v>9531</v>
      </c>
      <c r="B2710" s="8" t="s">
        <v>9532</v>
      </c>
      <c r="C2710" s="8" t="s">
        <v>2034</v>
      </c>
      <c r="D2710" s="8" t="s">
        <v>9532</v>
      </c>
      <c r="E2710" s="105">
        <v>1</v>
      </c>
      <c r="F2710" s="106" t="s">
        <v>2018</v>
      </c>
      <c r="G2710" s="8"/>
      <c r="H2710" s="8"/>
      <c r="I2710" s="107">
        <v>0</v>
      </c>
      <c r="J2710" s="8" t="s">
        <v>2019</v>
      </c>
    </row>
    <row r="2711" spans="1:10" ht="16.5" customHeight="1" x14ac:dyDescent="0.25">
      <c r="A2711" s="8" t="s">
        <v>9533</v>
      </c>
      <c r="B2711" s="8" t="s">
        <v>9445</v>
      </c>
      <c r="C2711" s="8" t="s">
        <v>9446</v>
      </c>
      <c r="D2711" s="8" t="s">
        <v>9445</v>
      </c>
      <c r="E2711" s="105">
        <v>7.28</v>
      </c>
      <c r="F2711" s="106" t="s">
        <v>2024</v>
      </c>
      <c r="G2711" s="8"/>
      <c r="H2711" s="8"/>
      <c r="I2711" s="107">
        <v>0</v>
      </c>
      <c r="J2711" s="8" t="s">
        <v>4722</v>
      </c>
    </row>
    <row r="2712" spans="1:10" ht="16.5" customHeight="1" x14ac:dyDescent="0.25">
      <c r="A2712" s="8" t="s">
        <v>9534</v>
      </c>
      <c r="B2712" s="8" t="s">
        <v>9535</v>
      </c>
      <c r="C2712" s="8" t="s">
        <v>1612</v>
      </c>
      <c r="D2712" s="8" t="s">
        <v>9535</v>
      </c>
      <c r="E2712" s="105">
        <v>9.7792999999999992</v>
      </c>
      <c r="F2712" s="106" t="s">
        <v>2024</v>
      </c>
      <c r="G2712" s="8" t="s">
        <v>1541</v>
      </c>
      <c r="H2712" s="8" t="s">
        <v>9536</v>
      </c>
      <c r="I2712" s="107">
        <v>12</v>
      </c>
      <c r="J2712" s="8" t="s">
        <v>5929</v>
      </c>
    </row>
    <row r="2713" spans="1:10" ht="16.5" customHeight="1" x14ac:dyDescent="0.25">
      <c r="A2713" s="8" t="s">
        <v>9536</v>
      </c>
      <c r="B2713" s="8" t="s">
        <v>9537</v>
      </c>
      <c r="C2713" s="8" t="s">
        <v>9538</v>
      </c>
      <c r="D2713" s="8" t="s">
        <v>9537</v>
      </c>
      <c r="E2713" s="105">
        <v>0.81489999999999996</v>
      </c>
      <c r="F2713" s="106" t="s">
        <v>2024</v>
      </c>
      <c r="G2713" s="8" t="s">
        <v>1541</v>
      </c>
      <c r="H2713" s="8"/>
      <c r="I2713" s="107">
        <v>0</v>
      </c>
      <c r="J2713" s="8" t="s">
        <v>5929</v>
      </c>
    </row>
    <row r="2714" spans="1:10" ht="16.5" customHeight="1" x14ac:dyDescent="0.25">
      <c r="A2714" s="8" t="s">
        <v>9539</v>
      </c>
      <c r="B2714" s="8" t="s">
        <v>9540</v>
      </c>
      <c r="C2714" s="8" t="s">
        <v>9515</v>
      </c>
      <c r="D2714" s="8" t="s">
        <v>9540</v>
      </c>
      <c r="E2714" s="105">
        <v>1</v>
      </c>
      <c r="F2714" s="106" t="s">
        <v>2018</v>
      </c>
      <c r="G2714" s="8"/>
      <c r="H2714" s="8"/>
      <c r="I2714" s="107">
        <v>0</v>
      </c>
      <c r="J2714" s="8" t="s">
        <v>2019</v>
      </c>
    </row>
    <row r="2715" spans="1:10" ht="16.5" customHeight="1" x14ac:dyDescent="0.25">
      <c r="A2715" s="8" t="s">
        <v>9541</v>
      </c>
      <c r="B2715" s="8" t="s">
        <v>9542</v>
      </c>
      <c r="C2715" s="8" t="s">
        <v>9543</v>
      </c>
      <c r="D2715" s="8" t="s">
        <v>9542</v>
      </c>
      <c r="E2715" s="105">
        <v>185</v>
      </c>
      <c r="F2715" s="106" t="s">
        <v>2018</v>
      </c>
      <c r="G2715" s="8"/>
      <c r="H2715" s="8"/>
      <c r="I2715" s="107">
        <v>0</v>
      </c>
      <c r="J2715" s="8" t="s">
        <v>2019</v>
      </c>
    </row>
    <row r="2716" spans="1:10" ht="16.5" customHeight="1" x14ac:dyDescent="0.25">
      <c r="A2716" s="8" t="s">
        <v>9544</v>
      </c>
      <c r="B2716" s="8" t="s">
        <v>9545</v>
      </c>
      <c r="C2716" s="8" t="s">
        <v>9521</v>
      </c>
      <c r="D2716" s="8" t="s">
        <v>9545</v>
      </c>
      <c r="E2716" s="105">
        <v>1</v>
      </c>
      <c r="F2716" s="106" t="s">
        <v>2024</v>
      </c>
      <c r="G2716" s="8"/>
      <c r="H2716" s="8"/>
      <c r="I2716" s="107">
        <v>0</v>
      </c>
      <c r="J2716" s="8" t="s">
        <v>3580</v>
      </c>
    </row>
    <row r="2717" spans="1:10" ht="16.5" customHeight="1" x14ac:dyDescent="0.25">
      <c r="A2717" s="8" t="s">
        <v>9546</v>
      </c>
      <c r="B2717" s="8" t="s">
        <v>9547</v>
      </c>
      <c r="C2717" s="8" t="s">
        <v>9548</v>
      </c>
      <c r="D2717" s="8" t="s">
        <v>9547</v>
      </c>
      <c r="E2717" s="105">
        <v>1</v>
      </c>
      <c r="F2717" s="106" t="s">
        <v>2024</v>
      </c>
      <c r="G2717" s="8"/>
      <c r="H2717" s="8"/>
      <c r="I2717" s="107">
        <v>0</v>
      </c>
      <c r="J2717" s="8" t="s">
        <v>6357</v>
      </c>
    </row>
    <row r="2718" spans="1:10" ht="16.5" customHeight="1" x14ac:dyDescent="0.25">
      <c r="A2718" s="8" t="s">
        <v>9549</v>
      </c>
      <c r="B2718" s="8" t="s">
        <v>6086</v>
      </c>
      <c r="C2718" s="8" t="s">
        <v>5964</v>
      </c>
      <c r="D2718" s="8" t="s">
        <v>6086</v>
      </c>
      <c r="E2718" s="105">
        <v>0.25</v>
      </c>
      <c r="F2718" s="106" t="s">
        <v>2024</v>
      </c>
      <c r="G2718" s="8"/>
      <c r="H2718" s="8"/>
      <c r="I2718" s="107">
        <v>0</v>
      </c>
      <c r="J2718" s="8" t="s">
        <v>4789</v>
      </c>
    </row>
    <row r="2719" spans="1:10" ht="16.5" customHeight="1" x14ac:dyDescent="0.25">
      <c r="A2719" s="8" t="s">
        <v>9550</v>
      </c>
      <c r="B2719" s="8" t="s">
        <v>9551</v>
      </c>
      <c r="C2719" s="8" t="s">
        <v>9552</v>
      </c>
      <c r="D2719" s="8" t="s">
        <v>9551</v>
      </c>
      <c r="E2719" s="105">
        <v>1</v>
      </c>
      <c r="F2719" s="106" t="s">
        <v>2018</v>
      </c>
      <c r="G2719" s="8"/>
      <c r="H2719" s="8"/>
      <c r="I2719" s="107">
        <v>0</v>
      </c>
      <c r="J2719" s="8" t="s">
        <v>6357</v>
      </c>
    </row>
    <row r="2720" spans="1:10" ht="16.5" customHeight="1" x14ac:dyDescent="0.25">
      <c r="A2720" s="8" t="s">
        <v>9553</v>
      </c>
      <c r="B2720" s="8" t="s">
        <v>9554</v>
      </c>
      <c r="C2720" s="8" t="s">
        <v>9555</v>
      </c>
      <c r="D2720" s="8" t="s">
        <v>9554</v>
      </c>
      <c r="E2720" s="105">
        <v>1</v>
      </c>
      <c r="F2720" s="106" t="s">
        <v>2024</v>
      </c>
      <c r="G2720" s="8"/>
      <c r="H2720" s="8"/>
      <c r="I2720" s="107">
        <v>0</v>
      </c>
      <c r="J2720" s="8" t="s">
        <v>3580</v>
      </c>
    </row>
    <row r="2721" spans="1:10" ht="16.5" customHeight="1" x14ac:dyDescent="0.25">
      <c r="A2721" s="8" t="s">
        <v>9556</v>
      </c>
      <c r="B2721" s="8" t="s">
        <v>9557</v>
      </c>
      <c r="C2721" s="8" t="s">
        <v>9558</v>
      </c>
      <c r="D2721" s="8" t="s">
        <v>9557</v>
      </c>
      <c r="E2721" s="105">
        <v>1</v>
      </c>
      <c r="F2721" s="106" t="s">
        <v>2024</v>
      </c>
      <c r="G2721" s="8"/>
      <c r="H2721" s="8"/>
      <c r="I2721" s="107">
        <v>0</v>
      </c>
      <c r="J2721" s="8" t="s">
        <v>3580</v>
      </c>
    </row>
    <row r="2722" spans="1:10" ht="16.5" customHeight="1" x14ac:dyDescent="0.25">
      <c r="A2722" s="8" t="s">
        <v>9559</v>
      </c>
      <c r="B2722" s="8" t="s">
        <v>9560</v>
      </c>
      <c r="C2722" s="8" t="s">
        <v>9561</v>
      </c>
      <c r="D2722" s="8" t="s">
        <v>9560</v>
      </c>
      <c r="E2722" s="105">
        <v>1</v>
      </c>
      <c r="F2722" s="106" t="s">
        <v>2024</v>
      </c>
      <c r="G2722" s="8"/>
      <c r="H2722" s="8"/>
      <c r="I2722" s="107">
        <v>0</v>
      </c>
      <c r="J2722" s="8" t="s">
        <v>3580</v>
      </c>
    </row>
    <row r="2723" spans="1:10" ht="16.5" customHeight="1" x14ac:dyDescent="0.25">
      <c r="A2723" s="8" t="s">
        <v>9562</v>
      </c>
      <c r="B2723" s="8" t="s">
        <v>9563</v>
      </c>
      <c r="C2723" s="8" t="s">
        <v>9564</v>
      </c>
      <c r="D2723" s="8" t="s">
        <v>9563</v>
      </c>
      <c r="E2723" s="105">
        <v>1</v>
      </c>
      <c r="F2723" s="106" t="s">
        <v>2024</v>
      </c>
      <c r="G2723" s="8"/>
      <c r="H2723" s="8"/>
      <c r="I2723" s="107">
        <v>0</v>
      </c>
      <c r="J2723" s="8" t="s">
        <v>3580</v>
      </c>
    </row>
    <row r="2724" spans="1:10" ht="16.5" customHeight="1" x14ac:dyDescent="0.25">
      <c r="A2724" s="8" t="s">
        <v>9565</v>
      </c>
      <c r="B2724" s="8" t="s">
        <v>9566</v>
      </c>
      <c r="C2724" s="8" t="s">
        <v>9567</v>
      </c>
      <c r="D2724" s="8" t="s">
        <v>9566</v>
      </c>
      <c r="E2724" s="105">
        <v>1</v>
      </c>
      <c r="F2724" s="106" t="s">
        <v>2024</v>
      </c>
      <c r="G2724" s="8"/>
      <c r="H2724" s="8"/>
      <c r="I2724" s="107">
        <v>0</v>
      </c>
      <c r="J2724" s="8" t="s">
        <v>3580</v>
      </c>
    </row>
    <row r="2725" spans="1:10" ht="16.5" customHeight="1" x14ac:dyDescent="0.25">
      <c r="A2725" s="8" t="s">
        <v>9568</v>
      </c>
      <c r="B2725" s="8" t="s">
        <v>9569</v>
      </c>
      <c r="C2725" s="8" t="s">
        <v>9570</v>
      </c>
      <c r="D2725" s="8" t="s">
        <v>9569</v>
      </c>
      <c r="E2725" s="105">
        <v>6.9</v>
      </c>
      <c r="F2725" s="106" t="s">
        <v>2024</v>
      </c>
      <c r="G2725" s="8"/>
      <c r="H2725" s="8"/>
      <c r="I2725" s="107">
        <v>0</v>
      </c>
      <c r="J2725" s="8" t="s">
        <v>6357</v>
      </c>
    </row>
    <row r="2726" spans="1:10" ht="16.5" customHeight="1" x14ac:dyDescent="0.25">
      <c r="A2726" s="8" t="s">
        <v>9571</v>
      </c>
      <c r="B2726" s="8" t="s">
        <v>9572</v>
      </c>
      <c r="C2726" s="8" t="s">
        <v>9573</v>
      </c>
      <c r="D2726" s="8" t="s">
        <v>9572</v>
      </c>
      <c r="E2726" s="105">
        <v>0.57499999999999996</v>
      </c>
      <c r="F2726" s="106" t="s">
        <v>2024</v>
      </c>
      <c r="G2726" s="8"/>
      <c r="H2726" s="8"/>
      <c r="I2726" s="107">
        <v>0</v>
      </c>
      <c r="J2726" s="8" t="s">
        <v>6357</v>
      </c>
    </row>
    <row r="2727" spans="1:10" ht="16.5" customHeight="1" x14ac:dyDescent="0.25">
      <c r="A2727" s="8" t="s">
        <v>1236</v>
      </c>
      <c r="B2727" s="8" t="s">
        <v>1238</v>
      </c>
      <c r="C2727" s="8" t="s">
        <v>1237</v>
      </c>
      <c r="D2727" s="8" t="s">
        <v>1238</v>
      </c>
      <c r="E2727" s="105">
        <v>25</v>
      </c>
      <c r="F2727" s="106" t="s">
        <v>2018</v>
      </c>
      <c r="G2727" s="8"/>
      <c r="H2727" s="8"/>
      <c r="I2727" s="107">
        <v>0</v>
      </c>
      <c r="J2727" s="8" t="s">
        <v>2019</v>
      </c>
    </row>
    <row r="2728" spans="1:10" ht="16.5" customHeight="1" x14ac:dyDescent="0.25">
      <c r="A2728" s="8" t="s">
        <v>9574</v>
      </c>
      <c r="B2728" s="8" t="s">
        <v>9575</v>
      </c>
      <c r="C2728" s="8" t="s">
        <v>9576</v>
      </c>
      <c r="D2728" s="8" t="s">
        <v>9575</v>
      </c>
      <c r="E2728" s="105">
        <v>20</v>
      </c>
      <c r="F2728" s="106" t="s">
        <v>2024</v>
      </c>
      <c r="G2728" s="8"/>
      <c r="H2728" s="8"/>
      <c r="I2728" s="107">
        <v>0</v>
      </c>
      <c r="J2728" s="8" t="s">
        <v>4722</v>
      </c>
    </row>
    <row r="2729" spans="1:10" ht="16.5" customHeight="1" x14ac:dyDescent="0.25">
      <c r="A2729" s="8" t="s">
        <v>9577</v>
      </c>
      <c r="B2729" s="8" t="s">
        <v>9578</v>
      </c>
      <c r="C2729" s="8" t="s">
        <v>9579</v>
      </c>
      <c r="D2729" s="8" t="s">
        <v>9578</v>
      </c>
      <c r="E2729" s="105">
        <v>1</v>
      </c>
      <c r="F2729" s="106" t="s">
        <v>2024</v>
      </c>
      <c r="G2729" s="8"/>
      <c r="H2729" s="8"/>
      <c r="I2729" s="107">
        <v>0</v>
      </c>
      <c r="J2729" s="8" t="s">
        <v>3580</v>
      </c>
    </row>
    <row r="2730" spans="1:10" ht="16.5" customHeight="1" x14ac:dyDescent="0.25">
      <c r="A2730" s="8" t="s">
        <v>9580</v>
      </c>
      <c r="B2730" s="8" t="s">
        <v>9581</v>
      </c>
      <c r="C2730" s="8" t="s">
        <v>9582</v>
      </c>
      <c r="D2730" s="8" t="s">
        <v>9581</v>
      </c>
      <c r="E2730" s="105">
        <v>1</v>
      </c>
      <c r="F2730" s="106" t="s">
        <v>2024</v>
      </c>
      <c r="G2730" s="8"/>
      <c r="H2730" s="8"/>
      <c r="I2730" s="107">
        <v>0</v>
      </c>
      <c r="J2730" s="8" t="s">
        <v>3580</v>
      </c>
    </row>
    <row r="2731" spans="1:10" ht="16.5" customHeight="1" x14ac:dyDescent="0.25">
      <c r="A2731" s="8" t="s">
        <v>9583</v>
      </c>
      <c r="B2731" s="8" t="s">
        <v>9584</v>
      </c>
      <c r="C2731" s="8" t="s">
        <v>9585</v>
      </c>
      <c r="D2731" s="8" t="s">
        <v>9584</v>
      </c>
      <c r="E2731" s="105">
        <v>0</v>
      </c>
      <c r="F2731" s="106" t="s">
        <v>2024</v>
      </c>
      <c r="G2731" s="8"/>
      <c r="H2731" s="8"/>
      <c r="I2731" s="107">
        <v>0</v>
      </c>
      <c r="J2731" s="8" t="s">
        <v>4722</v>
      </c>
    </row>
    <row r="2732" spans="1:10" ht="16.5" customHeight="1" x14ac:dyDescent="0.25">
      <c r="A2732" s="8" t="s">
        <v>9586</v>
      </c>
      <c r="B2732" s="8" t="s">
        <v>9587</v>
      </c>
      <c r="C2732" s="8" t="s">
        <v>9588</v>
      </c>
      <c r="D2732" s="8" t="s">
        <v>9587</v>
      </c>
      <c r="E2732" s="105">
        <v>1</v>
      </c>
      <c r="F2732" s="106" t="s">
        <v>2024</v>
      </c>
      <c r="G2732" s="8"/>
      <c r="H2732" s="8"/>
      <c r="I2732" s="107">
        <v>0</v>
      </c>
      <c r="J2732" s="8" t="s">
        <v>3580</v>
      </c>
    </row>
    <row r="2733" spans="1:10" ht="16.5" customHeight="1" x14ac:dyDescent="0.25">
      <c r="A2733" s="8" t="s">
        <v>9589</v>
      </c>
      <c r="B2733" s="8" t="s">
        <v>9590</v>
      </c>
      <c r="C2733" s="8" t="s">
        <v>9591</v>
      </c>
      <c r="D2733" s="8" t="s">
        <v>9590</v>
      </c>
      <c r="E2733" s="105">
        <v>1</v>
      </c>
      <c r="F2733" s="106" t="s">
        <v>2024</v>
      </c>
      <c r="G2733" s="8"/>
      <c r="H2733" s="8"/>
      <c r="I2733" s="107">
        <v>0</v>
      </c>
      <c r="J2733" s="8"/>
    </row>
    <row r="2734" spans="1:10" ht="16.5" customHeight="1" x14ac:dyDescent="0.25">
      <c r="A2734" s="8" t="s">
        <v>9592</v>
      </c>
      <c r="B2734" s="8" t="s">
        <v>9593</v>
      </c>
      <c r="C2734" s="8" t="s">
        <v>1507</v>
      </c>
      <c r="D2734" s="8" t="s">
        <v>9593</v>
      </c>
      <c r="E2734" s="105">
        <v>10</v>
      </c>
      <c r="F2734" s="106" t="s">
        <v>2024</v>
      </c>
      <c r="G2734" s="8"/>
      <c r="H2734" s="8"/>
      <c r="I2734" s="107">
        <v>0</v>
      </c>
      <c r="J2734" s="8" t="s">
        <v>5671</v>
      </c>
    </row>
    <row r="2735" spans="1:10" ht="16.5" customHeight="1" x14ac:dyDescent="0.25">
      <c r="A2735" s="8" t="s">
        <v>9594</v>
      </c>
      <c r="B2735" s="8" t="s">
        <v>9595</v>
      </c>
      <c r="C2735" s="8" t="s">
        <v>9596</v>
      </c>
      <c r="D2735" s="8" t="s">
        <v>9595</v>
      </c>
      <c r="E2735" s="105">
        <v>20</v>
      </c>
      <c r="F2735" s="106" t="s">
        <v>2024</v>
      </c>
      <c r="G2735" s="8" t="s">
        <v>1541</v>
      </c>
      <c r="H2735" s="8" t="s">
        <v>9597</v>
      </c>
      <c r="I2735" s="107">
        <v>2</v>
      </c>
      <c r="J2735" s="8" t="s">
        <v>5929</v>
      </c>
    </row>
    <row r="2736" spans="1:10" ht="16.5" customHeight="1" x14ac:dyDescent="0.25">
      <c r="A2736" s="8" t="s">
        <v>9597</v>
      </c>
      <c r="B2736" s="8" t="s">
        <v>9598</v>
      </c>
      <c r="C2736" s="8" t="s">
        <v>9599</v>
      </c>
      <c r="D2736" s="8" t="s">
        <v>9598</v>
      </c>
      <c r="E2736" s="105">
        <v>10</v>
      </c>
      <c r="F2736" s="106" t="s">
        <v>2024</v>
      </c>
      <c r="G2736" s="8" t="s">
        <v>1541</v>
      </c>
      <c r="H2736" s="8"/>
      <c r="I2736" s="107">
        <v>0</v>
      </c>
      <c r="J2736" s="8" t="s">
        <v>5929</v>
      </c>
    </row>
    <row r="2737" spans="1:10" ht="16.5" customHeight="1" x14ac:dyDescent="0.25">
      <c r="A2737" s="8" t="s">
        <v>9600</v>
      </c>
      <c r="B2737" s="8" t="s">
        <v>9601</v>
      </c>
      <c r="C2737" s="8" t="s">
        <v>9602</v>
      </c>
      <c r="D2737" s="8" t="s">
        <v>9601</v>
      </c>
      <c r="E2737" s="105">
        <v>1</v>
      </c>
      <c r="F2737" s="106" t="s">
        <v>2018</v>
      </c>
      <c r="G2737" s="8"/>
      <c r="H2737" s="8"/>
      <c r="I2737" s="107">
        <v>0</v>
      </c>
      <c r="J2737" s="8" t="s">
        <v>3695</v>
      </c>
    </row>
    <row r="2738" spans="1:10" ht="16.5" customHeight="1" x14ac:dyDescent="0.25">
      <c r="A2738" s="8" t="s">
        <v>9603</v>
      </c>
      <c r="B2738" s="8" t="s">
        <v>9604</v>
      </c>
      <c r="C2738" s="8" t="s">
        <v>9605</v>
      </c>
      <c r="D2738" s="8" t="s">
        <v>9604</v>
      </c>
      <c r="E2738" s="105">
        <v>0</v>
      </c>
      <c r="F2738" s="106" t="s">
        <v>2024</v>
      </c>
      <c r="G2738" s="8"/>
      <c r="H2738" s="8"/>
      <c r="I2738" s="107">
        <v>0</v>
      </c>
      <c r="J2738" s="8" t="s">
        <v>4789</v>
      </c>
    </row>
    <row r="2739" spans="1:10" ht="16.5" customHeight="1" x14ac:dyDescent="0.25">
      <c r="A2739" s="8" t="s">
        <v>9606</v>
      </c>
      <c r="B2739" s="8" t="s">
        <v>9607</v>
      </c>
      <c r="C2739" s="8" t="s">
        <v>9608</v>
      </c>
      <c r="D2739" s="8" t="s">
        <v>9607</v>
      </c>
      <c r="E2739" s="105">
        <v>0</v>
      </c>
      <c r="F2739" s="106" t="s">
        <v>2024</v>
      </c>
      <c r="G2739" s="8"/>
      <c r="H2739" s="8"/>
      <c r="I2739" s="107">
        <v>0</v>
      </c>
      <c r="J2739" s="8" t="s">
        <v>4789</v>
      </c>
    </row>
    <row r="2740" spans="1:10" ht="16.5" customHeight="1" x14ac:dyDescent="0.25">
      <c r="A2740" s="8" t="s">
        <v>9609</v>
      </c>
      <c r="B2740" s="8" t="s">
        <v>9610</v>
      </c>
      <c r="C2740" s="8" t="s">
        <v>9611</v>
      </c>
      <c r="D2740" s="8" t="s">
        <v>9610</v>
      </c>
      <c r="E2740" s="105">
        <v>0</v>
      </c>
      <c r="F2740" s="106" t="s">
        <v>2024</v>
      </c>
      <c r="G2740" s="8"/>
      <c r="H2740" s="8"/>
      <c r="I2740" s="107">
        <v>0</v>
      </c>
      <c r="J2740" s="8" t="s">
        <v>4789</v>
      </c>
    </row>
    <row r="2741" spans="1:10" ht="16.5" customHeight="1" x14ac:dyDescent="0.25">
      <c r="A2741" s="8" t="s">
        <v>9612</v>
      </c>
      <c r="B2741" s="8" t="s">
        <v>9613</v>
      </c>
      <c r="C2741" s="8" t="s">
        <v>9614</v>
      </c>
      <c r="D2741" s="8" t="s">
        <v>9613</v>
      </c>
      <c r="E2741" s="105">
        <v>0</v>
      </c>
      <c r="F2741" s="106" t="s">
        <v>2024</v>
      </c>
      <c r="G2741" s="8"/>
      <c r="H2741" s="8"/>
      <c r="I2741" s="107">
        <v>0</v>
      </c>
      <c r="J2741" s="8" t="s">
        <v>4789</v>
      </c>
    </row>
    <row r="2742" spans="1:10" ht="16.5" customHeight="1" x14ac:dyDescent="0.25">
      <c r="A2742" s="8" t="s">
        <v>9615</v>
      </c>
      <c r="B2742" s="8" t="s">
        <v>9616</v>
      </c>
      <c r="C2742" s="8" t="s">
        <v>9617</v>
      </c>
      <c r="D2742" s="8" t="s">
        <v>9616</v>
      </c>
      <c r="E2742" s="105">
        <v>0</v>
      </c>
      <c r="F2742" s="106" t="s">
        <v>2024</v>
      </c>
      <c r="G2742" s="8"/>
      <c r="H2742" s="8"/>
      <c r="I2742" s="107">
        <v>0</v>
      </c>
      <c r="J2742" s="8" t="s">
        <v>4789</v>
      </c>
    </row>
    <row r="2743" spans="1:10" ht="16.5" customHeight="1" x14ac:dyDescent="0.25">
      <c r="A2743" s="8" t="s">
        <v>9618</v>
      </c>
      <c r="B2743" s="8" t="s">
        <v>7769</v>
      </c>
      <c r="C2743" s="8" t="s">
        <v>2094</v>
      </c>
      <c r="D2743" s="8" t="s">
        <v>7769</v>
      </c>
      <c r="E2743" s="105">
        <v>1</v>
      </c>
      <c r="F2743" s="106" t="s">
        <v>2018</v>
      </c>
      <c r="G2743" s="8"/>
      <c r="H2743" s="8"/>
      <c r="I2743" s="107">
        <v>0</v>
      </c>
      <c r="J2743" s="8" t="s">
        <v>2019</v>
      </c>
    </row>
    <row r="2744" spans="1:10" ht="16.5" customHeight="1" x14ac:dyDescent="0.25">
      <c r="A2744" s="8" t="s">
        <v>9619</v>
      </c>
      <c r="B2744" s="8" t="s">
        <v>9620</v>
      </c>
      <c r="C2744" s="8" t="s">
        <v>9621</v>
      </c>
      <c r="D2744" s="8" t="s">
        <v>9620</v>
      </c>
      <c r="E2744" s="105">
        <v>20</v>
      </c>
      <c r="F2744" s="106" t="s">
        <v>2024</v>
      </c>
      <c r="G2744" s="8"/>
      <c r="H2744" s="8"/>
      <c r="I2744" s="107">
        <v>0</v>
      </c>
      <c r="J2744" s="8" t="s">
        <v>5779</v>
      </c>
    </row>
    <row r="2745" spans="1:10" ht="16.5" customHeight="1" x14ac:dyDescent="0.25">
      <c r="A2745" s="8" t="s">
        <v>9622</v>
      </c>
      <c r="B2745" s="8" t="s">
        <v>9623</v>
      </c>
      <c r="C2745" s="8" t="s">
        <v>9624</v>
      </c>
      <c r="D2745" s="8" t="s">
        <v>9623</v>
      </c>
      <c r="E2745" s="105">
        <v>0</v>
      </c>
      <c r="F2745" s="106" t="s">
        <v>2018</v>
      </c>
      <c r="G2745" s="8"/>
      <c r="H2745" s="8"/>
      <c r="I2745" s="107">
        <v>0</v>
      </c>
      <c r="J2745" s="8" t="s">
        <v>6357</v>
      </c>
    </row>
    <row r="2746" spans="1:10" ht="16.5" customHeight="1" x14ac:dyDescent="0.25">
      <c r="A2746" s="8" t="s">
        <v>9625</v>
      </c>
      <c r="B2746" s="8" t="s">
        <v>9626</v>
      </c>
      <c r="C2746" s="8" t="s">
        <v>9627</v>
      </c>
      <c r="D2746" s="8" t="s">
        <v>9626</v>
      </c>
      <c r="E2746" s="105">
        <v>0</v>
      </c>
      <c r="F2746" s="106" t="s">
        <v>2018</v>
      </c>
      <c r="G2746" s="8"/>
      <c r="H2746" s="8"/>
      <c r="I2746" s="107">
        <v>0</v>
      </c>
      <c r="J2746" s="8" t="s">
        <v>6357</v>
      </c>
    </row>
    <row r="2747" spans="1:10" ht="16.5" customHeight="1" x14ac:dyDescent="0.25">
      <c r="A2747" s="8" t="s">
        <v>9628</v>
      </c>
      <c r="B2747" s="8" t="s">
        <v>9629</v>
      </c>
      <c r="C2747" s="8" t="s">
        <v>9630</v>
      </c>
      <c r="D2747" s="8" t="s">
        <v>9631</v>
      </c>
      <c r="E2747" s="105">
        <v>0</v>
      </c>
      <c r="F2747" s="106" t="s">
        <v>2018</v>
      </c>
      <c r="G2747" s="8"/>
      <c r="H2747" s="8"/>
      <c r="I2747" s="107">
        <v>0</v>
      </c>
      <c r="J2747" s="8" t="s">
        <v>4722</v>
      </c>
    </row>
    <row r="2748" spans="1:10" ht="16.5" customHeight="1" x14ac:dyDescent="0.25">
      <c r="A2748" s="8" t="s">
        <v>9632</v>
      </c>
      <c r="B2748" s="8" t="s">
        <v>9633</v>
      </c>
      <c r="C2748" s="8" t="s">
        <v>9634</v>
      </c>
      <c r="D2748" s="8" t="s">
        <v>9633</v>
      </c>
      <c r="E2748" s="105">
        <v>0</v>
      </c>
      <c r="F2748" s="106" t="s">
        <v>2018</v>
      </c>
      <c r="G2748" s="8"/>
      <c r="H2748" s="8"/>
      <c r="I2748" s="107">
        <v>0</v>
      </c>
      <c r="J2748" s="8" t="s">
        <v>4722</v>
      </c>
    </row>
    <row r="2749" spans="1:10" ht="16.5" customHeight="1" x14ac:dyDescent="0.25">
      <c r="A2749" s="8" t="s">
        <v>9635</v>
      </c>
      <c r="B2749" s="8" t="s">
        <v>9636</v>
      </c>
      <c r="C2749" s="8" t="s">
        <v>9637</v>
      </c>
      <c r="D2749" s="8" t="s">
        <v>9636</v>
      </c>
      <c r="E2749" s="105">
        <v>0</v>
      </c>
      <c r="F2749" s="106" t="s">
        <v>2024</v>
      </c>
      <c r="G2749" s="8"/>
      <c r="H2749" s="8"/>
      <c r="I2749" s="107">
        <v>0</v>
      </c>
      <c r="J2749" s="8" t="s">
        <v>4722</v>
      </c>
    </row>
    <row r="2750" spans="1:10" ht="16.5" customHeight="1" x14ac:dyDescent="0.25">
      <c r="A2750" s="8" t="s">
        <v>9638</v>
      </c>
      <c r="B2750" s="8" t="s">
        <v>938</v>
      </c>
      <c r="C2750" s="8" t="s">
        <v>937</v>
      </c>
      <c r="D2750" s="8" t="s">
        <v>938</v>
      </c>
      <c r="E2750" s="105">
        <v>10.92</v>
      </c>
      <c r="F2750" s="106" t="s">
        <v>2024</v>
      </c>
      <c r="G2750" s="8"/>
      <c r="H2750" s="8"/>
      <c r="I2750" s="107">
        <v>0</v>
      </c>
      <c r="J2750" s="8" t="s">
        <v>4722</v>
      </c>
    </row>
    <row r="2751" spans="1:10" ht="16.5" customHeight="1" x14ac:dyDescent="0.25">
      <c r="A2751" s="8" t="s">
        <v>9639</v>
      </c>
      <c r="B2751" s="8" t="s">
        <v>9640</v>
      </c>
      <c r="C2751" s="8" t="s">
        <v>1600</v>
      </c>
      <c r="D2751" s="8" t="s">
        <v>9640</v>
      </c>
      <c r="E2751" s="105">
        <v>12</v>
      </c>
      <c r="F2751" s="106" t="s">
        <v>2024</v>
      </c>
      <c r="G2751" s="8" t="s">
        <v>1541</v>
      </c>
      <c r="H2751" s="8" t="s">
        <v>9641</v>
      </c>
      <c r="I2751" s="107">
        <v>12</v>
      </c>
      <c r="J2751" s="8" t="s">
        <v>5929</v>
      </c>
    </row>
    <row r="2752" spans="1:10" ht="16.5" customHeight="1" x14ac:dyDescent="0.25">
      <c r="A2752" s="8" t="s">
        <v>9641</v>
      </c>
      <c r="B2752" s="8" t="s">
        <v>9642</v>
      </c>
      <c r="C2752" s="8" t="s">
        <v>9642</v>
      </c>
      <c r="D2752" s="8" t="s">
        <v>9642</v>
      </c>
      <c r="E2752" s="105">
        <v>1</v>
      </c>
      <c r="F2752" s="106" t="s">
        <v>2024</v>
      </c>
      <c r="G2752" s="8" t="s">
        <v>1541</v>
      </c>
      <c r="H2752" s="8"/>
      <c r="I2752" s="107">
        <v>0</v>
      </c>
      <c r="J2752" s="8" t="s">
        <v>5929</v>
      </c>
    </row>
    <row r="2753" spans="1:10" ht="16.5" customHeight="1" x14ac:dyDescent="0.25">
      <c r="A2753" s="8" t="s">
        <v>9643</v>
      </c>
      <c r="B2753" s="8" t="s">
        <v>9644</v>
      </c>
      <c r="C2753" s="8" t="s">
        <v>9645</v>
      </c>
      <c r="D2753" s="8" t="s">
        <v>9644</v>
      </c>
      <c r="E2753" s="105">
        <v>1</v>
      </c>
      <c r="F2753" s="106" t="s">
        <v>2024</v>
      </c>
      <c r="G2753" s="8"/>
      <c r="H2753" s="8"/>
      <c r="I2753" s="107">
        <v>0</v>
      </c>
      <c r="J2753" s="8" t="s">
        <v>3580</v>
      </c>
    </row>
    <row r="2754" spans="1:10" ht="16.5" customHeight="1" x14ac:dyDescent="0.25">
      <c r="A2754" s="8" t="s">
        <v>9646</v>
      </c>
      <c r="B2754" s="8" t="s">
        <v>9647</v>
      </c>
      <c r="C2754" s="8" t="s">
        <v>9521</v>
      </c>
      <c r="D2754" s="8" t="s">
        <v>9647</v>
      </c>
      <c r="E2754" s="105">
        <v>1</v>
      </c>
      <c r="F2754" s="106" t="s">
        <v>2024</v>
      </c>
      <c r="G2754" s="8"/>
      <c r="H2754" s="8"/>
      <c r="I2754" s="107">
        <v>0</v>
      </c>
      <c r="J2754" s="8" t="s">
        <v>3580</v>
      </c>
    </row>
    <row r="2755" spans="1:10" ht="16.5" customHeight="1" x14ac:dyDescent="0.25">
      <c r="A2755" s="8" t="s">
        <v>9648</v>
      </c>
      <c r="B2755" s="8" t="s">
        <v>9649</v>
      </c>
      <c r="C2755" s="8" t="s">
        <v>9650</v>
      </c>
      <c r="D2755" s="8" t="s">
        <v>9649</v>
      </c>
      <c r="E2755" s="105">
        <v>0</v>
      </c>
      <c r="F2755" s="106" t="s">
        <v>2024</v>
      </c>
      <c r="G2755" s="8"/>
      <c r="H2755" s="8"/>
      <c r="I2755" s="107">
        <v>0</v>
      </c>
      <c r="J2755" s="8" t="s">
        <v>6357</v>
      </c>
    </row>
    <row r="2756" spans="1:10" ht="16.5" customHeight="1" x14ac:dyDescent="0.25">
      <c r="A2756" s="8" t="s">
        <v>9651</v>
      </c>
      <c r="B2756" s="8" t="s">
        <v>9652</v>
      </c>
      <c r="C2756" s="8" t="s">
        <v>9653</v>
      </c>
      <c r="D2756" s="8" t="s">
        <v>9652</v>
      </c>
      <c r="E2756" s="105">
        <v>0.2</v>
      </c>
      <c r="F2756" s="106" t="s">
        <v>2024</v>
      </c>
      <c r="G2756" s="8"/>
      <c r="H2756" s="8"/>
      <c r="I2756" s="107">
        <v>0</v>
      </c>
      <c r="J2756" s="8" t="s">
        <v>4722</v>
      </c>
    </row>
    <row r="2757" spans="1:10" ht="16.5" customHeight="1" x14ac:dyDescent="0.25">
      <c r="A2757" s="8" t="s">
        <v>9654</v>
      </c>
      <c r="B2757" s="8" t="s">
        <v>9655</v>
      </c>
      <c r="C2757" s="8" t="s">
        <v>9656</v>
      </c>
      <c r="D2757" s="8" t="s">
        <v>9655</v>
      </c>
      <c r="E2757" s="105">
        <v>12</v>
      </c>
      <c r="F2757" s="106" t="s">
        <v>2024</v>
      </c>
      <c r="G2757" s="8" t="s">
        <v>1541</v>
      </c>
      <c r="H2757" s="8" t="s">
        <v>9657</v>
      </c>
      <c r="I2757" s="107">
        <v>1200</v>
      </c>
      <c r="J2757" s="8" t="s">
        <v>5929</v>
      </c>
    </row>
    <row r="2758" spans="1:10" ht="16.5" customHeight="1" x14ac:dyDescent="0.25">
      <c r="A2758" s="8" t="s">
        <v>9657</v>
      </c>
      <c r="B2758" s="8" t="s">
        <v>9658</v>
      </c>
      <c r="C2758" s="8" t="s">
        <v>9659</v>
      </c>
      <c r="D2758" s="8" t="s">
        <v>9658</v>
      </c>
      <c r="E2758" s="105">
        <v>0.01</v>
      </c>
      <c r="F2758" s="106" t="s">
        <v>2024</v>
      </c>
      <c r="G2758" s="8" t="s">
        <v>1541</v>
      </c>
      <c r="H2758" s="8"/>
      <c r="I2758" s="107">
        <v>0</v>
      </c>
      <c r="J2758" s="8" t="s">
        <v>5929</v>
      </c>
    </row>
    <row r="2759" spans="1:10" ht="16.5" customHeight="1" x14ac:dyDescent="0.25">
      <c r="A2759" s="8" t="s">
        <v>9660</v>
      </c>
      <c r="B2759" s="8" t="s">
        <v>9661</v>
      </c>
      <c r="C2759" s="8" t="s">
        <v>9662</v>
      </c>
      <c r="D2759" s="8" t="s">
        <v>9661</v>
      </c>
      <c r="E2759" s="105">
        <v>0.01</v>
      </c>
      <c r="F2759" s="106" t="s">
        <v>2024</v>
      </c>
      <c r="G2759" s="8" t="s">
        <v>1541</v>
      </c>
      <c r="H2759" s="8"/>
      <c r="I2759" s="107">
        <v>0</v>
      </c>
      <c r="J2759" s="8" t="s">
        <v>5929</v>
      </c>
    </row>
    <row r="2760" spans="1:10" ht="16.5" customHeight="1" x14ac:dyDescent="0.25">
      <c r="A2760" s="8" t="s">
        <v>9663</v>
      </c>
      <c r="B2760" s="8" t="s">
        <v>9664</v>
      </c>
      <c r="C2760" s="8" t="s">
        <v>9665</v>
      </c>
      <c r="D2760" s="8" t="s">
        <v>9664</v>
      </c>
      <c r="E2760" s="105">
        <v>12</v>
      </c>
      <c r="F2760" s="106" t="s">
        <v>2024</v>
      </c>
      <c r="G2760" s="8" t="s">
        <v>1541</v>
      </c>
      <c r="H2760" s="8" t="s">
        <v>9660</v>
      </c>
      <c r="I2760" s="107">
        <v>1200</v>
      </c>
      <c r="J2760" s="8" t="s">
        <v>5929</v>
      </c>
    </row>
    <row r="2761" spans="1:10" ht="16.5" customHeight="1" x14ac:dyDescent="0.25">
      <c r="A2761" s="8" t="s">
        <v>9666</v>
      </c>
      <c r="B2761" s="8" t="s">
        <v>9667</v>
      </c>
      <c r="C2761" s="8" t="s">
        <v>9668</v>
      </c>
      <c r="D2761" s="8" t="s">
        <v>9667</v>
      </c>
      <c r="E2761" s="105">
        <v>6.36</v>
      </c>
      <c r="F2761" s="106" t="s">
        <v>2024</v>
      </c>
      <c r="G2761" s="8" t="s">
        <v>1541</v>
      </c>
      <c r="H2761" s="8" t="s">
        <v>9669</v>
      </c>
      <c r="I2761" s="107">
        <v>24</v>
      </c>
      <c r="J2761" s="8" t="s">
        <v>5929</v>
      </c>
    </row>
    <row r="2762" spans="1:10" ht="16.5" customHeight="1" x14ac:dyDescent="0.25">
      <c r="A2762" s="8" t="s">
        <v>9669</v>
      </c>
      <c r="B2762" s="8" t="s">
        <v>9670</v>
      </c>
      <c r="C2762" s="8" t="s">
        <v>9671</v>
      </c>
      <c r="D2762" s="8" t="s">
        <v>9670</v>
      </c>
      <c r="E2762" s="105">
        <v>0.26500000000000001</v>
      </c>
      <c r="F2762" s="106" t="s">
        <v>2024</v>
      </c>
      <c r="G2762" s="8" t="s">
        <v>1541</v>
      </c>
      <c r="H2762" s="8"/>
      <c r="I2762" s="107">
        <v>0</v>
      </c>
      <c r="J2762" s="8" t="s">
        <v>5929</v>
      </c>
    </row>
    <row r="2763" spans="1:10" ht="16.5" customHeight="1" x14ac:dyDescent="0.25">
      <c r="A2763" s="8" t="s">
        <v>9672</v>
      </c>
      <c r="B2763" s="8" t="s">
        <v>9673</v>
      </c>
      <c r="C2763" s="8" t="s">
        <v>9674</v>
      </c>
      <c r="D2763" s="8" t="s">
        <v>9673</v>
      </c>
      <c r="E2763" s="105">
        <v>6</v>
      </c>
      <c r="F2763" s="106" t="s">
        <v>2024</v>
      </c>
      <c r="G2763" s="8" t="s">
        <v>1541</v>
      </c>
      <c r="H2763" s="8" t="s">
        <v>9675</v>
      </c>
      <c r="I2763" s="107">
        <v>24</v>
      </c>
      <c r="J2763" s="8" t="s">
        <v>5929</v>
      </c>
    </row>
    <row r="2764" spans="1:10" ht="16.5" customHeight="1" x14ac:dyDescent="0.25">
      <c r="A2764" s="8" t="s">
        <v>9675</v>
      </c>
      <c r="B2764" s="8" t="s">
        <v>9676</v>
      </c>
      <c r="C2764" s="8" t="s">
        <v>9677</v>
      </c>
      <c r="D2764" s="8" t="s">
        <v>9676</v>
      </c>
      <c r="E2764" s="105">
        <v>0.25</v>
      </c>
      <c r="F2764" s="106" t="s">
        <v>2024</v>
      </c>
      <c r="G2764" s="8" t="s">
        <v>1541</v>
      </c>
      <c r="H2764" s="8"/>
      <c r="I2764" s="107">
        <v>0</v>
      </c>
      <c r="J2764" s="8" t="s">
        <v>5929</v>
      </c>
    </row>
    <row r="2765" spans="1:10" ht="16.5" customHeight="1" x14ac:dyDescent="0.25">
      <c r="A2765" s="8" t="s">
        <v>9678</v>
      </c>
      <c r="B2765" s="8" t="s">
        <v>9679</v>
      </c>
      <c r="C2765" s="8" t="s">
        <v>9680</v>
      </c>
      <c r="D2765" s="8" t="s">
        <v>9679</v>
      </c>
      <c r="E2765" s="105">
        <v>1.32</v>
      </c>
      <c r="F2765" s="106" t="s">
        <v>2024</v>
      </c>
      <c r="G2765" s="8"/>
      <c r="H2765" s="8"/>
      <c r="I2765" s="107">
        <v>0</v>
      </c>
      <c r="J2765" s="8" t="s">
        <v>5779</v>
      </c>
    </row>
    <row r="2766" spans="1:10" ht="16.5" customHeight="1" x14ac:dyDescent="0.25">
      <c r="A2766" s="8" t="s">
        <v>9681</v>
      </c>
      <c r="B2766" s="8" t="s">
        <v>9682</v>
      </c>
      <c r="C2766" s="8" t="s">
        <v>9683</v>
      </c>
      <c r="D2766" s="8" t="s">
        <v>9682</v>
      </c>
      <c r="E2766" s="105">
        <v>1.5</v>
      </c>
      <c r="F2766" s="106" t="s">
        <v>2024</v>
      </c>
      <c r="G2766" s="8"/>
      <c r="H2766" s="8"/>
      <c r="I2766" s="107">
        <v>0</v>
      </c>
      <c r="J2766" s="8" t="s">
        <v>5779</v>
      </c>
    </row>
    <row r="2767" spans="1:10" ht="16.5" customHeight="1" x14ac:dyDescent="0.25">
      <c r="A2767" s="8" t="s">
        <v>9684</v>
      </c>
      <c r="B2767" s="8" t="s">
        <v>9685</v>
      </c>
      <c r="C2767" s="8" t="s">
        <v>9686</v>
      </c>
      <c r="D2767" s="8" t="s">
        <v>9685</v>
      </c>
      <c r="E2767" s="105">
        <v>1.8</v>
      </c>
      <c r="F2767" s="106" t="s">
        <v>2024</v>
      </c>
      <c r="G2767" s="8"/>
      <c r="H2767" s="8"/>
      <c r="I2767" s="107">
        <v>0</v>
      </c>
      <c r="J2767" s="8" t="s">
        <v>5779</v>
      </c>
    </row>
    <row r="2768" spans="1:10" ht="16.5" customHeight="1" x14ac:dyDescent="0.25">
      <c r="A2768" s="8" t="s">
        <v>9687</v>
      </c>
      <c r="B2768" s="8" t="s">
        <v>9688</v>
      </c>
      <c r="C2768" s="8" t="s">
        <v>9689</v>
      </c>
      <c r="D2768" s="8" t="s">
        <v>9688</v>
      </c>
      <c r="E2768" s="105">
        <v>1.8</v>
      </c>
      <c r="F2768" s="106" t="s">
        <v>2024</v>
      </c>
      <c r="G2768" s="8"/>
      <c r="H2768" s="8"/>
      <c r="I2768" s="107">
        <v>0</v>
      </c>
      <c r="J2768" s="8" t="s">
        <v>5779</v>
      </c>
    </row>
    <row r="2769" spans="1:10" ht="16.5" customHeight="1" x14ac:dyDescent="0.25">
      <c r="A2769" s="8" t="s">
        <v>9690</v>
      </c>
      <c r="B2769" s="8" t="s">
        <v>9691</v>
      </c>
      <c r="C2769" s="8" t="s">
        <v>9692</v>
      </c>
      <c r="D2769" s="8" t="s">
        <v>9691</v>
      </c>
      <c r="E2769" s="105">
        <v>1.9</v>
      </c>
      <c r="F2769" s="106" t="s">
        <v>2024</v>
      </c>
      <c r="G2769" s="8"/>
      <c r="H2769" s="8"/>
      <c r="I2769" s="107">
        <v>0</v>
      </c>
      <c r="J2769" s="8" t="s">
        <v>5779</v>
      </c>
    </row>
    <row r="2770" spans="1:10" ht="16.5" customHeight="1" x14ac:dyDescent="0.25">
      <c r="A2770" s="8" t="s">
        <v>9693</v>
      </c>
      <c r="B2770" s="8" t="s">
        <v>9694</v>
      </c>
      <c r="C2770" s="8" t="s">
        <v>9695</v>
      </c>
      <c r="D2770" s="8" t="s">
        <v>9694</v>
      </c>
      <c r="E2770" s="105">
        <v>1.94</v>
      </c>
      <c r="F2770" s="106" t="s">
        <v>2024</v>
      </c>
      <c r="G2770" s="8"/>
      <c r="H2770" s="8"/>
      <c r="I2770" s="107">
        <v>0</v>
      </c>
      <c r="J2770" s="8" t="s">
        <v>5779</v>
      </c>
    </row>
    <row r="2771" spans="1:10" ht="16.5" customHeight="1" x14ac:dyDescent="0.25">
      <c r="A2771" s="8" t="s">
        <v>9696</v>
      </c>
      <c r="B2771" s="8" t="s">
        <v>9697</v>
      </c>
      <c r="C2771" s="8" t="s">
        <v>9698</v>
      </c>
      <c r="D2771" s="8" t="s">
        <v>9697</v>
      </c>
      <c r="E2771" s="105">
        <v>1.64</v>
      </c>
      <c r="F2771" s="106" t="s">
        <v>2024</v>
      </c>
      <c r="G2771" s="8"/>
      <c r="H2771" s="8"/>
      <c r="I2771" s="107">
        <v>0</v>
      </c>
      <c r="J2771" s="8" t="s">
        <v>5779</v>
      </c>
    </row>
    <row r="2772" spans="1:10" ht="16.5" customHeight="1" x14ac:dyDescent="0.25">
      <c r="A2772" s="8" t="s">
        <v>9699</v>
      </c>
      <c r="B2772" s="8" t="s">
        <v>9700</v>
      </c>
      <c r="C2772" s="8" t="s">
        <v>9701</v>
      </c>
      <c r="D2772" s="8" t="s">
        <v>9700</v>
      </c>
      <c r="E2772" s="105">
        <v>2.2000000000000002</v>
      </c>
      <c r="F2772" s="106" t="s">
        <v>2024</v>
      </c>
      <c r="G2772" s="8"/>
      <c r="H2772" s="8"/>
      <c r="I2772" s="107">
        <v>0</v>
      </c>
      <c r="J2772" s="8" t="s">
        <v>5779</v>
      </c>
    </row>
    <row r="2773" spans="1:10" ht="16.5" customHeight="1" x14ac:dyDescent="0.25">
      <c r="A2773" s="8" t="s">
        <v>9702</v>
      </c>
      <c r="B2773" s="8" t="s">
        <v>9703</v>
      </c>
      <c r="C2773" s="8" t="s">
        <v>9704</v>
      </c>
      <c r="D2773" s="8" t="s">
        <v>9703</v>
      </c>
      <c r="E2773" s="105">
        <v>2.1</v>
      </c>
      <c r="F2773" s="106" t="s">
        <v>2024</v>
      </c>
      <c r="G2773" s="8"/>
      <c r="H2773" s="8"/>
      <c r="I2773" s="107">
        <v>0</v>
      </c>
      <c r="J2773" s="8" t="s">
        <v>5779</v>
      </c>
    </row>
    <row r="2774" spans="1:10" ht="16.5" customHeight="1" x14ac:dyDescent="0.25">
      <c r="A2774" s="8" t="s">
        <v>9705</v>
      </c>
      <c r="B2774" s="8" t="s">
        <v>9706</v>
      </c>
      <c r="C2774" s="8" t="s">
        <v>9707</v>
      </c>
      <c r="D2774" s="8" t="s">
        <v>9706</v>
      </c>
      <c r="E2774" s="105">
        <v>0.75</v>
      </c>
      <c r="F2774" s="106" t="s">
        <v>2024</v>
      </c>
      <c r="G2774" s="8"/>
      <c r="H2774" s="8"/>
      <c r="I2774" s="107">
        <v>0</v>
      </c>
      <c r="J2774" s="8" t="s">
        <v>5779</v>
      </c>
    </row>
    <row r="2775" spans="1:10" ht="16.5" customHeight="1" x14ac:dyDescent="0.25">
      <c r="A2775" s="8" t="s">
        <v>9708</v>
      </c>
      <c r="B2775" s="8" t="s">
        <v>9709</v>
      </c>
      <c r="C2775" s="8" t="s">
        <v>9710</v>
      </c>
      <c r="D2775" s="8" t="s">
        <v>9709</v>
      </c>
      <c r="E2775" s="105">
        <v>3.6</v>
      </c>
      <c r="F2775" s="106" t="s">
        <v>2024</v>
      </c>
      <c r="G2775" s="8"/>
      <c r="H2775" s="8"/>
      <c r="I2775" s="107">
        <v>0</v>
      </c>
      <c r="J2775" s="8" t="s">
        <v>5779</v>
      </c>
    </row>
    <row r="2776" spans="1:10" ht="16.5" customHeight="1" x14ac:dyDescent="0.25">
      <c r="A2776" s="8" t="s">
        <v>9711</v>
      </c>
      <c r="B2776" s="8" t="s">
        <v>9712</v>
      </c>
      <c r="C2776" s="8" t="s">
        <v>9713</v>
      </c>
      <c r="D2776" s="8" t="s">
        <v>9712</v>
      </c>
      <c r="E2776" s="105">
        <v>3.6</v>
      </c>
      <c r="F2776" s="106" t="s">
        <v>2024</v>
      </c>
      <c r="G2776" s="8"/>
      <c r="H2776" s="8"/>
      <c r="I2776" s="107">
        <v>0</v>
      </c>
      <c r="J2776" s="8" t="s">
        <v>5779</v>
      </c>
    </row>
    <row r="2777" spans="1:10" ht="16.5" customHeight="1" x14ac:dyDescent="0.25">
      <c r="A2777" s="8" t="s">
        <v>9714</v>
      </c>
      <c r="B2777" s="8" t="s">
        <v>9715</v>
      </c>
      <c r="C2777" s="8" t="s">
        <v>9716</v>
      </c>
      <c r="D2777" s="8" t="s">
        <v>9715</v>
      </c>
      <c r="E2777" s="105">
        <v>1.32</v>
      </c>
      <c r="F2777" s="106" t="s">
        <v>2024</v>
      </c>
      <c r="G2777" s="8"/>
      <c r="H2777" s="8"/>
      <c r="I2777" s="107">
        <v>0</v>
      </c>
      <c r="J2777" s="8" t="s">
        <v>5779</v>
      </c>
    </row>
    <row r="2778" spans="1:10" ht="16.5" customHeight="1" x14ac:dyDescent="0.25">
      <c r="A2778" s="8" t="s">
        <v>9717</v>
      </c>
      <c r="B2778" s="8" t="s">
        <v>9718</v>
      </c>
      <c r="C2778" s="8" t="s">
        <v>9719</v>
      </c>
      <c r="D2778" s="8" t="s">
        <v>9718</v>
      </c>
      <c r="E2778" s="105">
        <v>0.66</v>
      </c>
      <c r="F2778" s="106" t="s">
        <v>2024</v>
      </c>
      <c r="G2778" s="8"/>
      <c r="H2778" s="8"/>
      <c r="I2778" s="107">
        <v>0</v>
      </c>
      <c r="J2778" s="8" t="s">
        <v>5779</v>
      </c>
    </row>
    <row r="2779" spans="1:10" ht="16.5" customHeight="1" x14ac:dyDescent="0.25">
      <c r="A2779" s="8" t="s">
        <v>9720</v>
      </c>
      <c r="B2779" s="8" t="s">
        <v>9721</v>
      </c>
      <c r="C2779" s="8" t="s">
        <v>9722</v>
      </c>
      <c r="D2779" s="8" t="s">
        <v>9721</v>
      </c>
      <c r="E2779" s="105">
        <v>0.92</v>
      </c>
      <c r="F2779" s="106" t="s">
        <v>2024</v>
      </c>
      <c r="G2779" s="8"/>
      <c r="H2779" s="8"/>
      <c r="I2779" s="107">
        <v>0</v>
      </c>
      <c r="J2779" s="8" t="s">
        <v>5779</v>
      </c>
    </row>
    <row r="2780" spans="1:10" ht="16.5" customHeight="1" x14ac:dyDescent="0.25">
      <c r="A2780" s="8" t="s">
        <v>9723</v>
      </c>
      <c r="B2780" s="8" t="s">
        <v>9724</v>
      </c>
      <c r="C2780" s="8" t="s">
        <v>9725</v>
      </c>
      <c r="D2780" s="8" t="s">
        <v>9724</v>
      </c>
      <c r="E2780" s="105">
        <v>2.2400000000000002</v>
      </c>
      <c r="F2780" s="106" t="s">
        <v>2024</v>
      </c>
      <c r="G2780" s="8"/>
      <c r="H2780" s="8"/>
      <c r="I2780" s="107">
        <v>0</v>
      </c>
      <c r="J2780" s="8" t="s">
        <v>5779</v>
      </c>
    </row>
    <row r="2781" spans="1:10" ht="16.5" customHeight="1" x14ac:dyDescent="0.25">
      <c r="A2781" s="8" t="s">
        <v>9726</v>
      </c>
      <c r="B2781" s="8" t="s">
        <v>9727</v>
      </c>
      <c r="C2781" s="8" t="s">
        <v>9728</v>
      </c>
      <c r="D2781" s="8" t="s">
        <v>9727</v>
      </c>
      <c r="E2781" s="105">
        <v>1.94</v>
      </c>
      <c r="F2781" s="106" t="s">
        <v>2024</v>
      </c>
      <c r="G2781" s="8"/>
      <c r="H2781" s="8"/>
      <c r="I2781" s="107">
        <v>0</v>
      </c>
      <c r="J2781" s="8" t="s">
        <v>5779</v>
      </c>
    </row>
    <row r="2782" spans="1:10" ht="16.5" customHeight="1" x14ac:dyDescent="0.25">
      <c r="A2782" s="8" t="s">
        <v>9729</v>
      </c>
      <c r="B2782" s="8" t="s">
        <v>9730</v>
      </c>
      <c r="C2782" s="8" t="s">
        <v>9731</v>
      </c>
      <c r="D2782" s="8" t="s">
        <v>9730</v>
      </c>
      <c r="E2782" s="105">
        <v>3.6</v>
      </c>
      <c r="F2782" s="106" t="s">
        <v>2024</v>
      </c>
      <c r="G2782" s="8"/>
      <c r="H2782" s="8"/>
      <c r="I2782" s="107">
        <v>0</v>
      </c>
      <c r="J2782" s="8" t="s">
        <v>5779</v>
      </c>
    </row>
    <row r="2783" spans="1:10" ht="16.5" customHeight="1" x14ac:dyDescent="0.25">
      <c r="A2783" s="8" t="s">
        <v>9732</v>
      </c>
      <c r="B2783" s="8" t="s">
        <v>9733</v>
      </c>
      <c r="C2783" s="8" t="s">
        <v>9734</v>
      </c>
      <c r="D2783" s="8" t="s">
        <v>9733</v>
      </c>
      <c r="E2783" s="105">
        <v>3.75</v>
      </c>
      <c r="F2783" s="106" t="s">
        <v>2024</v>
      </c>
      <c r="G2783" s="8"/>
      <c r="H2783" s="8"/>
      <c r="I2783" s="107">
        <v>0</v>
      </c>
      <c r="J2783" s="8" t="s">
        <v>5779</v>
      </c>
    </row>
    <row r="2784" spans="1:10" ht="16.5" customHeight="1" x14ac:dyDescent="0.25">
      <c r="A2784" s="8" t="s">
        <v>9735</v>
      </c>
      <c r="B2784" s="8" t="s">
        <v>9736</v>
      </c>
      <c r="C2784" s="8" t="s">
        <v>9737</v>
      </c>
      <c r="D2784" s="8" t="s">
        <v>9736</v>
      </c>
      <c r="E2784" s="105">
        <v>10.6</v>
      </c>
      <c r="F2784" s="106" t="s">
        <v>2024</v>
      </c>
      <c r="G2784" s="8"/>
      <c r="H2784" s="8"/>
      <c r="I2784" s="107">
        <v>0</v>
      </c>
      <c r="J2784" s="8" t="s">
        <v>5779</v>
      </c>
    </row>
    <row r="2785" spans="1:10" ht="16.5" customHeight="1" x14ac:dyDescent="0.25">
      <c r="A2785" s="8" t="s">
        <v>9738</v>
      </c>
      <c r="B2785" s="8" t="s">
        <v>9739</v>
      </c>
      <c r="C2785" s="8" t="s">
        <v>9740</v>
      </c>
      <c r="D2785" s="8" t="s">
        <v>9739</v>
      </c>
      <c r="E2785" s="105">
        <v>10</v>
      </c>
      <c r="F2785" s="106" t="s">
        <v>2024</v>
      </c>
      <c r="G2785" s="8"/>
      <c r="H2785" s="8"/>
      <c r="I2785" s="107">
        <v>0</v>
      </c>
      <c r="J2785" s="8" t="s">
        <v>5671</v>
      </c>
    </row>
    <row r="2786" spans="1:10" ht="16.5" customHeight="1" x14ac:dyDescent="0.25">
      <c r="A2786" s="8" t="s">
        <v>9741</v>
      </c>
      <c r="B2786" s="8" t="s">
        <v>9742</v>
      </c>
      <c r="C2786" s="8" t="s">
        <v>9743</v>
      </c>
      <c r="D2786" s="8" t="s">
        <v>9742</v>
      </c>
      <c r="E2786" s="105">
        <v>1</v>
      </c>
      <c r="F2786" s="106" t="s">
        <v>2024</v>
      </c>
      <c r="G2786" s="8"/>
      <c r="H2786" s="8"/>
      <c r="I2786" s="107">
        <v>0</v>
      </c>
      <c r="J2786" s="8" t="s">
        <v>3580</v>
      </c>
    </row>
    <row r="2787" spans="1:10" ht="16.5" customHeight="1" x14ac:dyDescent="0.25">
      <c r="A2787" s="8" t="s">
        <v>9744</v>
      </c>
      <c r="B2787" s="8" t="s">
        <v>9745</v>
      </c>
      <c r="C2787" s="8" t="s">
        <v>9521</v>
      </c>
      <c r="D2787" s="8" t="s">
        <v>9745</v>
      </c>
      <c r="E2787" s="105">
        <v>1</v>
      </c>
      <c r="F2787" s="106" t="s">
        <v>2024</v>
      </c>
      <c r="G2787" s="8"/>
      <c r="H2787" s="8"/>
      <c r="I2787" s="107">
        <v>0</v>
      </c>
      <c r="J2787" s="8" t="s">
        <v>3580</v>
      </c>
    </row>
    <row r="2788" spans="1:10" ht="16.5" customHeight="1" x14ac:dyDescent="0.25">
      <c r="A2788" s="8" t="s">
        <v>9746</v>
      </c>
      <c r="B2788" s="8" t="s">
        <v>9747</v>
      </c>
      <c r="C2788" s="8" t="s">
        <v>9521</v>
      </c>
      <c r="D2788" s="8" t="s">
        <v>9747</v>
      </c>
      <c r="E2788" s="105">
        <v>1</v>
      </c>
      <c r="F2788" s="106" t="s">
        <v>2024</v>
      </c>
      <c r="G2788" s="8"/>
      <c r="H2788" s="8"/>
      <c r="I2788" s="107">
        <v>0</v>
      </c>
      <c r="J2788" s="8" t="s">
        <v>3580</v>
      </c>
    </row>
    <row r="2789" spans="1:10" ht="16.5" customHeight="1" x14ac:dyDescent="0.25">
      <c r="A2789" s="8" t="s">
        <v>9748</v>
      </c>
      <c r="B2789" s="8" t="s">
        <v>9749</v>
      </c>
      <c r="C2789" s="8" t="s">
        <v>9521</v>
      </c>
      <c r="D2789" s="8" t="s">
        <v>9749</v>
      </c>
      <c r="E2789" s="105">
        <v>1</v>
      </c>
      <c r="F2789" s="106" t="s">
        <v>2024</v>
      </c>
      <c r="G2789" s="8"/>
      <c r="H2789" s="8"/>
      <c r="I2789" s="107">
        <v>0</v>
      </c>
      <c r="J2789" s="8" t="s">
        <v>3580</v>
      </c>
    </row>
    <row r="2790" spans="1:10" ht="16.5" customHeight="1" x14ac:dyDescent="0.25">
      <c r="A2790" s="8" t="s">
        <v>9750</v>
      </c>
      <c r="B2790" s="8" t="s">
        <v>9751</v>
      </c>
      <c r="C2790" s="8" t="s">
        <v>9521</v>
      </c>
      <c r="D2790" s="8" t="s">
        <v>9751</v>
      </c>
      <c r="E2790" s="105">
        <v>1</v>
      </c>
      <c r="F2790" s="106" t="s">
        <v>2024</v>
      </c>
      <c r="G2790" s="8"/>
      <c r="H2790" s="8"/>
      <c r="I2790" s="107">
        <v>0</v>
      </c>
      <c r="J2790" s="8" t="s">
        <v>3580</v>
      </c>
    </row>
    <row r="2791" spans="1:10" ht="16.5" customHeight="1" x14ac:dyDescent="0.25">
      <c r="A2791" s="8" t="s">
        <v>9752</v>
      </c>
      <c r="B2791" s="8" t="s">
        <v>9753</v>
      </c>
      <c r="C2791" s="8" t="s">
        <v>9521</v>
      </c>
      <c r="D2791" s="8" t="s">
        <v>9753</v>
      </c>
      <c r="E2791" s="105">
        <v>1</v>
      </c>
      <c r="F2791" s="106" t="s">
        <v>2024</v>
      </c>
      <c r="G2791" s="8"/>
      <c r="H2791" s="8"/>
      <c r="I2791" s="107">
        <v>0</v>
      </c>
      <c r="J2791" s="8" t="s">
        <v>3580</v>
      </c>
    </row>
    <row r="2792" spans="1:10" ht="16.5" customHeight="1" x14ac:dyDescent="0.25">
      <c r="A2792" s="8" t="s">
        <v>9754</v>
      </c>
      <c r="B2792" s="8" t="s">
        <v>6104</v>
      </c>
      <c r="C2792" s="8" t="s">
        <v>8926</v>
      </c>
      <c r="D2792" s="8" t="s">
        <v>6104</v>
      </c>
      <c r="E2792" s="105">
        <v>0.38</v>
      </c>
      <c r="F2792" s="106" t="s">
        <v>2024</v>
      </c>
      <c r="G2792" s="8"/>
      <c r="H2792" s="8"/>
      <c r="I2792" s="107">
        <v>0</v>
      </c>
      <c r="J2792" s="8" t="s">
        <v>9755</v>
      </c>
    </row>
    <row r="2793" spans="1:10" ht="16.5" customHeight="1" x14ac:dyDescent="0.25">
      <c r="A2793" s="8" t="s">
        <v>9756</v>
      </c>
      <c r="B2793" s="8" t="s">
        <v>9757</v>
      </c>
      <c r="C2793" s="8" t="s">
        <v>9645</v>
      </c>
      <c r="D2793" s="8" t="s">
        <v>9757</v>
      </c>
      <c r="E2793" s="105">
        <v>1</v>
      </c>
      <c r="F2793" s="106" t="s">
        <v>2024</v>
      </c>
      <c r="G2793" s="8"/>
      <c r="H2793" s="8"/>
      <c r="I2793" s="107">
        <v>0</v>
      </c>
      <c r="J2793" s="8" t="s">
        <v>3580</v>
      </c>
    </row>
    <row r="2794" spans="1:10" ht="16.5" customHeight="1" x14ac:dyDescent="0.25">
      <c r="A2794" s="8" t="s">
        <v>9758</v>
      </c>
      <c r="B2794" s="8" t="s">
        <v>9759</v>
      </c>
      <c r="C2794" s="8" t="s">
        <v>9760</v>
      </c>
      <c r="D2794" s="8" t="s">
        <v>9759</v>
      </c>
      <c r="E2794" s="105">
        <v>1</v>
      </c>
      <c r="F2794" s="106" t="s">
        <v>2024</v>
      </c>
      <c r="G2794" s="8"/>
      <c r="H2794" s="8"/>
      <c r="I2794" s="107">
        <v>0</v>
      </c>
      <c r="J2794" s="8" t="s">
        <v>3580</v>
      </c>
    </row>
    <row r="2795" spans="1:10" ht="16.5" customHeight="1" x14ac:dyDescent="0.25">
      <c r="A2795" s="8" t="s">
        <v>9761</v>
      </c>
      <c r="B2795" s="8" t="s">
        <v>9762</v>
      </c>
      <c r="C2795" s="8" t="s">
        <v>9760</v>
      </c>
      <c r="D2795" s="8" t="s">
        <v>9762</v>
      </c>
      <c r="E2795" s="105">
        <v>1</v>
      </c>
      <c r="F2795" s="106" t="s">
        <v>2024</v>
      </c>
      <c r="G2795" s="8"/>
      <c r="H2795" s="8"/>
      <c r="I2795" s="107">
        <v>0</v>
      </c>
      <c r="J2795" s="8" t="s">
        <v>3580</v>
      </c>
    </row>
    <row r="2796" spans="1:10" ht="16.5" customHeight="1" x14ac:dyDescent="0.25">
      <c r="A2796" s="8" t="s">
        <v>9763</v>
      </c>
      <c r="B2796" s="8" t="s">
        <v>9764</v>
      </c>
      <c r="C2796" s="8" t="s">
        <v>9760</v>
      </c>
      <c r="D2796" s="8" t="s">
        <v>9764</v>
      </c>
      <c r="E2796" s="105">
        <v>1</v>
      </c>
      <c r="F2796" s="106" t="s">
        <v>2024</v>
      </c>
      <c r="G2796" s="8"/>
      <c r="H2796" s="8"/>
      <c r="I2796" s="107">
        <v>0</v>
      </c>
      <c r="J2796" s="8" t="s">
        <v>3580</v>
      </c>
    </row>
    <row r="2797" spans="1:10" ht="16.5" customHeight="1" x14ac:dyDescent="0.25">
      <c r="A2797" s="8" t="s">
        <v>9765</v>
      </c>
      <c r="B2797" s="8" t="s">
        <v>9766</v>
      </c>
      <c r="C2797" s="8" t="s">
        <v>9767</v>
      </c>
      <c r="D2797" s="8" t="s">
        <v>9766</v>
      </c>
      <c r="E2797" s="105">
        <v>1</v>
      </c>
      <c r="F2797" s="106" t="s">
        <v>2024</v>
      </c>
      <c r="G2797" s="8"/>
      <c r="H2797" s="8"/>
      <c r="I2797" s="107">
        <v>0</v>
      </c>
      <c r="J2797" s="8" t="s">
        <v>3580</v>
      </c>
    </row>
    <row r="2798" spans="1:10" ht="16.5" customHeight="1" x14ac:dyDescent="0.25">
      <c r="A2798" s="8" t="s">
        <v>9768</v>
      </c>
      <c r="B2798" s="8" t="s">
        <v>9769</v>
      </c>
      <c r="C2798" s="8" t="s">
        <v>9767</v>
      </c>
      <c r="D2798" s="8" t="s">
        <v>9769</v>
      </c>
      <c r="E2798" s="105">
        <v>1</v>
      </c>
      <c r="F2798" s="106" t="s">
        <v>2024</v>
      </c>
      <c r="G2798" s="8"/>
      <c r="H2798" s="8"/>
      <c r="I2798" s="107">
        <v>0</v>
      </c>
      <c r="J2798" s="8" t="s">
        <v>3580</v>
      </c>
    </row>
    <row r="2799" spans="1:10" ht="16.5" customHeight="1" x14ac:dyDescent="0.25">
      <c r="A2799" s="8" t="s">
        <v>9770</v>
      </c>
      <c r="B2799" s="8" t="s">
        <v>9771</v>
      </c>
      <c r="C2799" s="8" t="s">
        <v>9772</v>
      </c>
      <c r="D2799" s="8" t="s">
        <v>9771</v>
      </c>
      <c r="E2799" s="105">
        <v>1</v>
      </c>
      <c r="F2799" s="106" t="s">
        <v>2024</v>
      </c>
      <c r="G2799" s="8"/>
      <c r="H2799" s="8"/>
      <c r="I2799" s="107">
        <v>0</v>
      </c>
      <c r="J2799" s="8" t="s">
        <v>3580</v>
      </c>
    </row>
    <row r="2800" spans="1:10" ht="16.5" customHeight="1" x14ac:dyDescent="0.25">
      <c r="A2800" s="8" t="s">
        <v>9773</v>
      </c>
      <c r="B2800" s="8" t="s">
        <v>9774</v>
      </c>
      <c r="C2800" s="8" t="s">
        <v>9775</v>
      </c>
      <c r="D2800" s="8" t="s">
        <v>9774</v>
      </c>
      <c r="E2800" s="105">
        <v>1</v>
      </c>
      <c r="F2800" s="106" t="s">
        <v>2024</v>
      </c>
      <c r="G2800" s="8"/>
      <c r="H2800" s="8"/>
      <c r="I2800" s="107">
        <v>0</v>
      </c>
      <c r="J2800" s="8" t="s">
        <v>3580</v>
      </c>
    </row>
    <row r="2801" spans="1:10" ht="16.5" customHeight="1" x14ac:dyDescent="0.25">
      <c r="A2801" s="8" t="s">
        <v>9776</v>
      </c>
      <c r="B2801" s="8" t="s">
        <v>9777</v>
      </c>
      <c r="C2801" s="8" t="s">
        <v>9778</v>
      </c>
      <c r="D2801" s="8" t="s">
        <v>9777</v>
      </c>
      <c r="E2801" s="105">
        <v>1</v>
      </c>
      <c r="F2801" s="106" t="s">
        <v>2024</v>
      </c>
      <c r="G2801" s="8"/>
      <c r="H2801" s="8"/>
      <c r="I2801" s="107">
        <v>0</v>
      </c>
      <c r="J2801" s="8" t="s">
        <v>3580</v>
      </c>
    </row>
    <row r="2802" spans="1:10" ht="16.5" customHeight="1" x14ac:dyDescent="0.25">
      <c r="A2802" s="8" t="s">
        <v>9779</v>
      </c>
      <c r="B2802" s="8" t="s">
        <v>9780</v>
      </c>
      <c r="C2802" s="8" t="s">
        <v>9778</v>
      </c>
      <c r="D2802" s="8" t="s">
        <v>9780</v>
      </c>
      <c r="E2802" s="105">
        <v>1</v>
      </c>
      <c r="F2802" s="106" t="s">
        <v>2024</v>
      </c>
      <c r="G2802" s="8"/>
      <c r="H2802" s="8"/>
      <c r="I2802" s="107">
        <v>0</v>
      </c>
      <c r="J2802" s="8" t="s">
        <v>3580</v>
      </c>
    </row>
    <row r="2803" spans="1:10" ht="16.5" customHeight="1" x14ac:dyDescent="0.25">
      <c r="A2803" s="8" t="s">
        <v>9781</v>
      </c>
      <c r="B2803" s="8" t="s">
        <v>9782</v>
      </c>
      <c r="C2803" s="8" t="s">
        <v>9775</v>
      </c>
      <c r="D2803" s="8" t="s">
        <v>9782</v>
      </c>
      <c r="E2803" s="105">
        <v>1</v>
      </c>
      <c r="F2803" s="106" t="s">
        <v>2024</v>
      </c>
      <c r="G2803" s="8"/>
      <c r="H2803" s="8"/>
      <c r="I2803" s="107">
        <v>0</v>
      </c>
      <c r="J2803" s="8" t="s">
        <v>3580</v>
      </c>
    </row>
    <row r="2804" spans="1:10" ht="16.5" customHeight="1" x14ac:dyDescent="0.25">
      <c r="A2804" s="8" t="s">
        <v>9783</v>
      </c>
      <c r="B2804" s="8" t="s">
        <v>9784</v>
      </c>
      <c r="C2804" s="8" t="s">
        <v>9743</v>
      </c>
      <c r="D2804" s="8" t="s">
        <v>9785</v>
      </c>
      <c r="E2804" s="105">
        <v>1</v>
      </c>
      <c r="F2804" s="106" t="s">
        <v>2024</v>
      </c>
      <c r="G2804" s="8"/>
      <c r="H2804" s="8"/>
      <c r="I2804" s="107">
        <v>0</v>
      </c>
      <c r="J2804" s="8" t="s">
        <v>3580</v>
      </c>
    </row>
    <row r="2805" spans="1:10" ht="16.5" customHeight="1" x14ac:dyDescent="0.25">
      <c r="A2805" s="8" t="s">
        <v>9786</v>
      </c>
      <c r="B2805" s="8" t="s">
        <v>9787</v>
      </c>
      <c r="C2805" s="8" t="s">
        <v>9788</v>
      </c>
      <c r="D2805" s="8" t="s">
        <v>9787</v>
      </c>
      <c r="E2805" s="105">
        <v>1</v>
      </c>
      <c r="F2805" s="106" t="s">
        <v>2024</v>
      </c>
      <c r="G2805" s="8"/>
      <c r="H2805" s="8"/>
      <c r="I2805" s="107">
        <v>0</v>
      </c>
      <c r="J2805" s="8" t="s">
        <v>3580</v>
      </c>
    </row>
    <row r="2806" spans="1:10" ht="16.5" customHeight="1" x14ac:dyDescent="0.25">
      <c r="A2806" s="8" t="s">
        <v>9789</v>
      </c>
      <c r="B2806" s="8" t="s">
        <v>9790</v>
      </c>
      <c r="C2806" s="8" t="s">
        <v>9788</v>
      </c>
      <c r="D2806" s="8" t="s">
        <v>9790</v>
      </c>
      <c r="E2806" s="105">
        <v>1</v>
      </c>
      <c r="F2806" s="106" t="s">
        <v>2024</v>
      </c>
      <c r="G2806" s="8"/>
      <c r="H2806" s="8"/>
      <c r="I2806" s="107">
        <v>0</v>
      </c>
      <c r="J2806" s="8" t="s">
        <v>3580</v>
      </c>
    </row>
    <row r="2807" spans="1:10" ht="16.5" customHeight="1" x14ac:dyDescent="0.25">
      <c r="A2807" s="8" t="s">
        <v>9791</v>
      </c>
      <c r="B2807" s="8" t="s">
        <v>9792</v>
      </c>
      <c r="C2807" s="8" t="s">
        <v>9743</v>
      </c>
      <c r="D2807" s="8" t="s">
        <v>9792</v>
      </c>
      <c r="E2807" s="105">
        <v>1</v>
      </c>
      <c r="F2807" s="106" t="s">
        <v>2024</v>
      </c>
      <c r="G2807" s="8"/>
      <c r="H2807" s="8"/>
      <c r="I2807" s="107">
        <v>0</v>
      </c>
      <c r="J2807" s="8" t="s">
        <v>3580</v>
      </c>
    </row>
    <row r="2808" spans="1:10" ht="16.5" customHeight="1" x14ac:dyDescent="0.25">
      <c r="A2808" s="8" t="s">
        <v>9793</v>
      </c>
      <c r="B2808" s="8" t="s">
        <v>9794</v>
      </c>
      <c r="C2808" s="8" t="s">
        <v>9795</v>
      </c>
      <c r="D2808" s="8" t="s">
        <v>9794</v>
      </c>
      <c r="E2808" s="105">
        <v>1</v>
      </c>
      <c r="F2808" s="106" t="s">
        <v>2024</v>
      </c>
      <c r="G2808" s="8"/>
      <c r="H2808" s="8"/>
      <c r="I2808" s="107">
        <v>0</v>
      </c>
      <c r="J2808" s="8" t="s">
        <v>3580</v>
      </c>
    </row>
    <row r="2809" spans="1:10" ht="16.5" customHeight="1" x14ac:dyDescent="0.25">
      <c r="A2809" s="8" t="s">
        <v>9796</v>
      </c>
      <c r="B2809" s="8" t="s">
        <v>9797</v>
      </c>
      <c r="C2809" s="8" t="s">
        <v>9795</v>
      </c>
      <c r="D2809" s="8" t="s">
        <v>9797</v>
      </c>
      <c r="E2809" s="105">
        <v>1</v>
      </c>
      <c r="F2809" s="106" t="s">
        <v>2024</v>
      </c>
      <c r="G2809" s="8"/>
      <c r="H2809" s="8"/>
      <c r="I2809" s="107">
        <v>0</v>
      </c>
      <c r="J2809" s="8" t="s">
        <v>3580</v>
      </c>
    </row>
    <row r="2810" spans="1:10" ht="16.5" customHeight="1" x14ac:dyDescent="0.25">
      <c r="A2810" s="8" t="s">
        <v>9798</v>
      </c>
      <c r="B2810" s="8" t="s">
        <v>9799</v>
      </c>
      <c r="C2810" s="8" t="s">
        <v>9795</v>
      </c>
      <c r="D2810" s="8" t="s">
        <v>9799</v>
      </c>
      <c r="E2810" s="105">
        <v>1</v>
      </c>
      <c r="F2810" s="106" t="s">
        <v>2024</v>
      </c>
      <c r="G2810" s="8"/>
      <c r="H2810" s="8"/>
      <c r="I2810" s="107">
        <v>0</v>
      </c>
      <c r="J2810" s="8" t="s">
        <v>3580</v>
      </c>
    </row>
    <row r="2811" spans="1:10" ht="16.5" customHeight="1" x14ac:dyDescent="0.25">
      <c r="A2811" s="8" t="s">
        <v>9800</v>
      </c>
      <c r="B2811" s="8" t="s">
        <v>9801</v>
      </c>
      <c r="C2811" s="8" t="s">
        <v>9802</v>
      </c>
      <c r="D2811" s="8" t="s">
        <v>9801</v>
      </c>
      <c r="E2811" s="105">
        <v>1</v>
      </c>
      <c r="F2811" s="106" t="s">
        <v>2024</v>
      </c>
      <c r="G2811" s="8"/>
      <c r="H2811" s="8"/>
      <c r="I2811" s="107">
        <v>0</v>
      </c>
      <c r="J2811" s="8" t="s">
        <v>3580</v>
      </c>
    </row>
    <row r="2812" spans="1:10" ht="16.5" customHeight="1" x14ac:dyDescent="0.25">
      <c r="A2812" s="8" t="s">
        <v>9803</v>
      </c>
      <c r="B2812" s="8" t="s">
        <v>9804</v>
      </c>
      <c r="C2812" s="8" t="s">
        <v>9805</v>
      </c>
      <c r="D2812" s="8" t="s">
        <v>9804</v>
      </c>
      <c r="E2812" s="105">
        <v>1</v>
      </c>
      <c r="F2812" s="106" t="s">
        <v>2024</v>
      </c>
      <c r="G2812" s="8"/>
      <c r="H2812" s="8"/>
      <c r="I2812" s="107">
        <v>0</v>
      </c>
      <c r="J2812" s="8" t="s">
        <v>3580</v>
      </c>
    </row>
    <row r="2813" spans="1:10" ht="16.5" customHeight="1" x14ac:dyDescent="0.25">
      <c r="A2813" s="8" t="s">
        <v>9806</v>
      </c>
      <c r="B2813" s="8" t="s">
        <v>9807</v>
      </c>
      <c r="C2813" s="8" t="s">
        <v>9805</v>
      </c>
      <c r="D2813" s="8" t="s">
        <v>9807</v>
      </c>
      <c r="E2813" s="105">
        <v>1</v>
      </c>
      <c r="F2813" s="106" t="s">
        <v>2024</v>
      </c>
      <c r="G2813" s="8"/>
      <c r="H2813" s="8"/>
      <c r="I2813" s="107">
        <v>0</v>
      </c>
      <c r="J2813" s="8" t="s">
        <v>3580</v>
      </c>
    </row>
    <row r="2814" spans="1:10" ht="16.5" customHeight="1" x14ac:dyDescent="0.25">
      <c r="A2814" s="8" t="s">
        <v>9808</v>
      </c>
      <c r="B2814" s="8" t="s">
        <v>9809</v>
      </c>
      <c r="C2814" s="8" t="s">
        <v>9810</v>
      </c>
      <c r="D2814" s="8" t="s">
        <v>9809</v>
      </c>
      <c r="E2814" s="105">
        <v>1</v>
      </c>
      <c r="F2814" s="106" t="s">
        <v>2024</v>
      </c>
      <c r="G2814" s="8"/>
      <c r="H2814" s="8"/>
      <c r="I2814" s="107">
        <v>0</v>
      </c>
      <c r="J2814" s="8" t="s">
        <v>3580</v>
      </c>
    </row>
    <row r="2815" spans="1:10" ht="16.5" customHeight="1" x14ac:dyDescent="0.25">
      <c r="A2815" s="8" t="s">
        <v>9811</v>
      </c>
      <c r="B2815" s="8" t="s">
        <v>9812</v>
      </c>
      <c r="C2815" s="8" t="s">
        <v>9813</v>
      </c>
      <c r="D2815" s="8" t="s">
        <v>9812</v>
      </c>
      <c r="E2815" s="105">
        <v>1</v>
      </c>
      <c r="F2815" s="106" t="s">
        <v>2024</v>
      </c>
      <c r="G2815" s="8"/>
      <c r="H2815" s="8"/>
      <c r="I2815" s="107">
        <v>0</v>
      </c>
      <c r="J2815" s="8" t="s">
        <v>3580</v>
      </c>
    </row>
    <row r="2816" spans="1:10" ht="16.5" customHeight="1" x14ac:dyDescent="0.25">
      <c r="A2816" s="8" t="s">
        <v>9814</v>
      </c>
      <c r="B2816" s="8" t="s">
        <v>9815</v>
      </c>
      <c r="C2816" s="8" t="s">
        <v>9816</v>
      </c>
      <c r="D2816" s="8" t="s">
        <v>9815</v>
      </c>
      <c r="E2816" s="105">
        <v>1</v>
      </c>
      <c r="F2816" s="106" t="s">
        <v>2024</v>
      </c>
      <c r="G2816" s="8"/>
      <c r="H2816" s="8"/>
      <c r="I2816" s="107">
        <v>0</v>
      </c>
      <c r="J2816" s="8" t="s">
        <v>3580</v>
      </c>
    </row>
    <row r="2817" spans="1:10" ht="16.5" customHeight="1" x14ac:dyDescent="0.25">
      <c r="A2817" s="8" t="s">
        <v>9817</v>
      </c>
      <c r="B2817" s="8" t="s">
        <v>9818</v>
      </c>
      <c r="C2817" s="8" t="s">
        <v>9819</v>
      </c>
      <c r="D2817" s="8" t="s">
        <v>9818</v>
      </c>
      <c r="E2817" s="105">
        <v>1</v>
      </c>
      <c r="F2817" s="106" t="s">
        <v>2024</v>
      </c>
      <c r="G2817" s="8"/>
      <c r="H2817" s="8"/>
      <c r="I2817" s="107">
        <v>0</v>
      </c>
      <c r="J2817" s="8" t="s">
        <v>3580</v>
      </c>
    </row>
    <row r="2818" spans="1:10" ht="16.5" customHeight="1" x14ac:dyDescent="0.25">
      <c r="A2818" s="8" t="s">
        <v>9820</v>
      </c>
      <c r="B2818" s="8" t="s">
        <v>5034</v>
      </c>
      <c r="C2818" s="8" t="s">
        <v>9821</v>
      </c>
      <c r="D2818" s="8" t="s">
        <v>5034</v>
      </c>
      <c r="E2818" s="105">
        <v>1</v>
      </c>
      <c r="F2818" s="106" t="s">
        <v>2024</v>
      </c>
      <c r="G2818" s="8"/>
      <c r="H2818" s="8"/>
      <c r="I2818" s="107">
        <v>0</v>
      </c>
      <c r="J2818" s="8" t="s">
        <v>3580</v>
      </c>
    </row>
    <row r="2819" spans="1:10" ht="16.5" customHeight="1" x14ac:dyDescent="0.25">
      <c r="A2819" s="8" t="s">
        <v>9822</v>
      </c>
      <c r="B2819" s="8" t="s">
        <v>9823</v>
      </c>
      <c r="C2819" s="8" t="s">
        <v>9821</v>
      </c>
      <c r="D2819" s="8" t="s">
        <v>9823</v>
      </c>
      <c r="E2819" s="105">
        <v>1</v>
      </c>
      <c r="F2819" s="106" t="s">
        <v>2024</v>
      </c>
      <c r="G2819" s="8"/>
      <c r="H2819" s="8"/>
      <c r="I2819" s="107">
        <v>0</v>
      </c>
      <c r="J2819" s="8" t="s">
        <v>3580</v>
      </c>
    </row>
    <row r="2820" spans="1:10" ht="16.5" customHeight="1" x14ac:dyDescent="0.25">
      <c r="A2820" s="8" t="s">
        <v>9824</v>
      </c>
      <c r="B2820" s="8" t="s">
        <v>9825</v>
      </c>
      <c r="C2820" s="8" t="s">
        <v>9826</v>
      </c>
      <c r="D2820" s="8" t="s">
        <v>9825</v>
      </c>
      <c r="E2820" s="105">
        <v>1</v>
      </c>
      <c r="F2820" s="106" t="s">
        <v>2024</v>
      </c>
      <c r="G2820" s="8"/>
      <c r="H2820" s="8"/>
      <c r="I2820" s="107">
        <v>0</v>
      </c>
      <c r="J2820" s="8" t="s">
        <v>3580</v>
      </c>
    </row>
    <row r="2821" spans="1:10" ht="16.5" customHeight="1" x14ac:dyDescent="0.25">
      <c r="A2821" s="8" t="s">
        <v>9827</v>
      </c>
      <c r="B2821" s="8" t="s">
        <v>9828</v>
      </c>
      <c r="C2821" s="8" t="s">
        <v>9829</v>
      </c>
      <c r="D2821" s="8" t="s">
        <v>9828</v>
      </c>
      <c r="E2821" s="105">
        <v>1</v>
      </c>
      <c r="F2821" s="106" t="s">
        <v>2024</v>
      </c>
      <c r="G2821" s="8"/>
      <c r="H2821" s="8"/>
      <c r="I2821" s="107">
        <v>0</v>
      </c>
      <c r="J2821" s="8" t="s">
        <v>3580</v>
      </c>
    </row>
    <row r="2822" spans="1:10" ht="16.5" customHeight="1" x14ac:dyDescent="0.25">
      <c r="A2822" s="8" t="s">
        <v>9830</v>
      </c>
      <c r="B2822" s="8" t="s">
        <v>9831</v>
      </c>
      <c r="C2822" s="8" t="s">
        <v>9829</v>
      </c>
      <c r="D2822" s="8" t="s">
        <v>9831</v>
      </c>
      <c r="E2822" s="105">
        <v>1</v>
      </c>
      <c r="F2822" s="106" t="s">
        <v>2024</v>
      </c>
      <c r="G2822" s="8"/>
      <c r="H2822" s="8"/>
      <c r="I2822" s="107">
        <v>0</v>
      </c>
      <c r="J2822" s="8" t="s">
        <v>3580</v>
      </c>
    </row>
    <row r="2823" spans="1:10" ht="16.5" customHeight="1" x14ac:dyDescent="0.25">
      <c r="A2823" s="8" t="s">
        <v>9832</v>
      </c>
      <c r="B2823" s="8" t="s">
        <v>9833</v>
      </c>
      <c r="C2823" s="8" t="s">
        <v>9834</v>
      </c>
      <c r="D2823" s="8" t="s">
        <v>9833</v>
      </c>
      <c r="E2823" s="105">
        <v>1</v>
      </c>
      <c r="F2823" s="106" t="s">
        <v>2024</v>
      </c>
      <c r="G2823" s="8"/>
      <c r="H2823" s="8"/>
      <c r="I2823" s="107">
        <v>0</v>
      </c>
      <c r="J2823" s="8" t="s">
        <v>3580</v>
      </c>
    </row>
    <row r="2824" spans="1:10" ht="16.5" customHeight="1" x14ac:dyDescent="0.25">
      <c r="A2824" s="8" t="s">
        <v>9835</v>
      </c>
      <c r="B2824" s="8" t="s">
        <v>9836</v>
      </c>
      <c r="C2824" s="8" t="s">
        <v>9837</v>
      </c>
      <c r="D2824" s="8" t="s">
        <v>9836</v>
      </c>
      <c r="E2824" s="105">
        <v>1</v>
      </c>
      <c r="F2824" s="106" t="s">
        <v>2024</v>
      </c>
      <c r="G2824" s="8"/>
      <c r="H2824" s="8"/>
      <c r="I2824" s="107">
        <v>0</v>
      </c>
      <c r="J2824" s="8" t="s">
        <v>3580</v>
      </c>
    </row>
    <row r="2825" spans="1:10" ht="16.5" customHeight="1" x14ac:dyDescent="0.25">
      <c r="A2825" s="8" t="s">
        <v>9838</v>
      </c>
      <c r="B2825" s="8" t="s">
        <v>9839</v>
      </c>
      <c r="C2825" s="8" t="s">
        <v>9840</v>
      </c>
      <c r="D2825" s="8" t="s">
        <v>9839</v>
      </c>
      <c r="E2825" s="105">
        <v>1</v>
      </c>
      <c r="F2825" s="106" t="s">
        <v>2024</v>
      </c>
      <c r="G2825" s="8"/>
      <c r="H2825" s="8"/>
      <c r="I2825" s="107">
        <v>0</v>
      </c>
      <c r="J2825" s="8" t="s">
        <v>3580</v>
      </c>
    </row>
    <row r="2826" spans="1:10" ht="16.5" customHeight="1" x14ac:dyDescent="0.25">
      <c r="A2826" s="8" t="s">
        <v>9841</v>
      </c>
      <c r="B2826" s="8" t="s">
        <v>9842</v>
      </c>
      <c r="C2826" s="8" t="s">
        <v>9843</v>
      </c>
      <c r="D2826" s="8" t="s">
        <v>9842</v>
      </c>
      <c r="E2826" s="105">
        <v>1</v>
      </c>
      <c r="F2826" s="106" t="s">
        <v>2024</v>
      </c>
      <c r="G2826" s="8"/>
      <c r="H2826" s="8"/>
      <c r="I2826" s="107">
        <v>0</v>
      </c>
      <c r="J2826" s="8" t="s">
        <v>3580</v>
      </c>
    </row>
    <row r="2827" spans="1:10" ht="16.5" customHeight="1" x14ac:dyDescent="0.25">
      <c r="A2827" s="8" t="s">
        <v>9844</v>
      </c>
      <c r="B2827" s="8" t="s">
        <v>9845</v>
      </c>
      <c r="C2827" s="8" t="s">
        <v>9846</v>
      </c>
      <c r="D2827" s="8" t="s">
        <v>9845</v>
      </c>
      <c r="E2827" s="105">
        <v>1</v>
      </c>
      <c r="F2827" s="106" t="s">
        <v>2024</v>
      </c>
      <c r="G2827" s="8"/>
      <c r="H2827" s="8"/>
      <c r="I2827" s="107">
        <v>0</v>
      </c>
      <c r="J2827" s="8" t="s">
        <v>3580</v>
      </c>
    </row>
    <row r="2828" spans="1:10" ht="16.5" customHeight="1" x14ac:dyDescent="0.25">
      <c r="A2828" s="8" t="s">
        <v>9847</v>
      </c>
      <c r="B2828" s="8" t="s">
        <v>9848</v>
      </c>
      <c r="C2828" s="8" t="s">
        <v>9849</v>
      </c>
      <c r="D2828" s="8" t="s">
        <v>9848</v>
      </c>
      <c r="E2828" s="105">
        <v>1</v>
      </c>
      <c r="F2828" s="106" t="s">
        <v>2024</v>
      </c>
      <c r="G2828" s="8"/>
      <c r="H2828" s="8"/>
      <c r="I2828" s="107">
        <v>0</v>
      </c>
      <c r="J2828" s="8" t="s">
        <v>3580</v>
      </c>
    </row>
    <row r="2829" spans="1:10" ht="16.5" customHeight="1" x14ac:dyDescent="0.25">
      <c r="A2829" s="8" t="s">
        <v>9850</v>
      </c>
      <c r="B2829" s="8" t="s">
        <v>9851</v>
      </c>
      <c r="C2829" s="8" t="s">
        <v>9852</v>
      </c>
      <c r="D2829" s="8" t="s">
        <v>9851</v>
      </c>
      <c r="E2829" s="105">
        <v>1</v>
      </c>
      <c r="F2829" s="106" t="s">
        <v>2024</v>
      </c>
      <c r="G2829" s="8"/>
      <c r="H2829" s="8"/>
      <c r="I2829" s="107">
        <v>0</v>
      </c>
      <c r="J2829" s="8" t="s">
        <v>3580</v>
      </c>
    </row>
    <row r="2830" spans="1:10" ht="16.5" customHeight="1" x14ac:dyDescent="0.25">
      <c r="A2830" s="8" t="s">
        <v>9853</v>
      </c>
      <c r="B2830" s="8" t="s">
        <v>9854</v>
      </c>
      <c r="C2830" s="8" t="s">
        <v>9855</v>
      </c>
      <c r="D2830" s="8" t="s">
        <v>9854</v>
      </c>
      <c r="E2830" s="105">
        <v>0</v>
      </c>
      <c r="F2830" s="106" t="s">
        <v>2024</v>
      </c>
      <c r="G2830" s="8"/>
      <c r="H2830" s="8"/>
      <c r="I2830" s="107">
        <v>0</v>
      </c>
      <c r="J2830" s="8" t="s">
        <v>4722</v>
      </c>
    </row>
    <row r="2831" spans="1:10" ht="16.5" customHeight="1" x14ac:dyDescent="0.25">
      <c r="A2831" s="8" t="s">
        <v>9856</v>
      </c>
      <c r="B2831" s="8" t="s">
        <v>9857</v>
      </c>
      <c r="C2831" s="8" t="s">
        <v>9858</v>
      </c>
      <c r="D2831" s="8" t="s">
        <v>9857</v>
      </c>
      <c r="E2831" s="105">
        <v>0</v>
      </c>
      <c r="F2831" s="106" t="s">
        <v>2024</v>
      </c>
      <c r="G2831" s="8"/>
      <c r="H2831" s="8"/>
      <c r="I2831" s="107">
        <v>0</v>
      </c>
      <c r="J2831" s="8" t="s">
        <v>4722</v>
      </c>
    </row>
    <row r="2832" spans="1:10" ht="16.5" customHeight="1" x14ac:dyDescent="0.25">
      <c r="A2832" s="8" t="s">
        <v>9859</v>
      </c>
      <c r="B2832" s="8" t="s">
        <v>9140</v>
      </c>
      <c r="C2832" s="8" t="s">
        <v>937</v>
      </c>
      <c r="D2832" s="8" t="s">
        <v>9140</v>
      </c>
      <c r="E2832" s="105">
        <v>0.91</v>
      </c>
      <c r="F2832" s="106" t="s">
        <v>2018</v>
      </c>
      <c r="G2832" s="8"/>
      <c r="H2832" s="8"/>
      <c r="I2832" s="107">
        <v>0</v>
      </c>
      <c r="J2832" s="8" t="s">
        <v>4722</v>
      </c>
    </row>
    <row r="2833" spans="1:10" ht="16.5" customHeight="1" x14ac:dyDescent="0.25">
      <c r="A2833" s="8" t="s">
        <v>9860</v>
      </c>
      <c r="B2833" s="8" t="s">
        <v>9861</v>
      </c>
      <c r="C2833" s="8" t="s">
        <v>9862</v>
      </c>
      <c r="D2833" s="8" t="s">
        <v>9861</v>
      </c>
      <c r="E2833" s="105">
        <v>10</v>
      </c>
      <c r="F2833" s="106" t="s">
        <v>2024</v>
      </c>
      <c r="G2833" s="8"/>
      <c r="H2833" s="8"/>
      <c r="I2833" s="107">
        <v>0</v>
      </c>
      <c r="J2833" s="8" t="s">
        <v>6357</v>
      </c>
    </row>
    <row r="2834" spans="1:10" ht="16.5" customHeight="1" x14ac:dyDescent="0.25">
      <c r="A2834" s="8" t="s">
        <v>9863</v>
      </c>
      <c r="B2834" s="8" t="s">
        <v>9864</v>
      </c>
      <c r="C2834" s="8" t="s">
        <v>9865</v>
      </c>
      <c r="D2834" s="8" t="s">
        <v>9864</v>
      </c>
      <c r="E2834" s="105">
        <v>0.2</v>
      </c>
      <c r="F2834" s="106" t="s">
        <v>2024</v>
      </c>
      <c r="G2834" s="8"/>
      <c r="H2834" s="8"/>
      <c r="I2834" s="107">
        <v>0</v>
      </c>
      <c r="J2834" s="8" t="s">
        <v>6357</v>
      </c>
    </row>
    <row r="2835" spans="1:10" ht="16.5" customHeight="1" x14ac:dyDescent="0.25">
      <c r="A2835" s="8" t="s">
        <v>9866</v>
      </c>
      <c r="B2835" s="8" t="s">
        <v>9867</v>
      </c>
      <c r="C2835" s="8" t="s">
        <v>1383</v>
      </c>
      <c r="D2835" s="8" t="s">
        <v>9867</v>
      </c>
      <c r="E2835" s="105">
        <v>1</v>
      </c>
      <c r="F2835" s="106" t="s">
        <v>2018</v>
      </c>
      <c r="G2835" s="8"/>
      <c r="H2835" s="8"/>
      <c r="I2835" s="107">
        <v>0</v>
      </c>
      <c r="J2835" s="8" t="s">
        <v>2019</v>
      </c>
    </row>
    <row r="2836" spans="1:10" ht="16.5" customHeight="1" x14ac:dyDescent="0.25">
      <c r="A2836" s="8" t="s">
        <v>9868</v>
      </c>
      <c r="B2836" s="8" t="s">
        <v>9869</v>
      </c>
      <c r="C2836" s="8" t="s">
        <v>9870</v>
      </c>
      <c r="D2836" s="8" t="s">
        <v>9869</v>
      </c>
      <c r="E2836" s="105">
        <v>1</v>
      </c>
      <c r="F2836" s="106" t="s">
        <v>2024</v>
      </c>
      <c r="G2836" s="8"/>
      <c r="H2836" s="8"/>
      <c r="I2836" s="107">
        <v>0</v>
      </c>
      <c r="J2836" s="8" t="s">
        <v>3695</v>
      </c>
    </row>
    <row r="2837" spans="1:10" ht="16.5" customHeight="1" x14ac:dyDescent="0.25">
      <c r="A2837" s="8" t="s">
        <v>9871</v>
      </c>
      <c r="B2837" s="8" t="s">
        <v>38</v>
      </c>
      <c r="C2837" s="8" t="s">
        <v>9872</v>
      </c>
      <c r="D2837" s="8" t="s">
        <v>38</v>
      </c>
      <c r="E2837" s="105">
        <v>12</v>
      </c>
      <c r="F2837" s="106" t="s">
        <v>2024</v>
      </c>
      <c r="G2837" s="8"/>
      <c r="H2837" s="8" t="s">
        <v>9873</v>
      </c>
      <c r="I2837" s="107">
        <v>12</v>
      </c>
      <c r="J2837" s="8" t="s">
        <v>8088</v>
      </c>
    </row>
    <row r="2838" spans="1:10" ht="16.5" customHeight="1" x14ac:dyDescent="0.25">
      <c r="A2838" s="8" t="s">
        <v>9873</v>
      </c>
      <c r="B2838" s="8" t="s">
        <v>9874</v>
      </c>
      <c r="C2838" s="8" t="s">
        <v>8091</v>
      </c>
      <c r="D2838" s="8" t="s">
        <v>9874</v>
      </c>
      <c r="E2838" s="105">
        <v>1</v>
      </c>
      <c r="F2838" s="106" t="s">
        <v>2024</v>
      </c>
      <c r="G2838" s="8"/>
      <c r="H2838" s="8"/>
      <c r="I2838" s="107">
        <v>0</v>
      </c>
      <c r="J2838" s="8" t="s">
        <v>8088</v>
      </c>
    </row>
    <row r="2839" spans="1:10" ht="16.5" customHeight="1" x14ac:dyDescent="0.25">
      <c r="A2839" s="8" t="s">
        <v>9875</v>
      </c>
      <c r="B2839" s="8" t="s">
        <v>55</v>
      </c>
      <c r="C2839" s="8" t="s">
        <v>9876</v>
      </c>
      <c r="D2839" s="8" t="s">
        <v>55</v>
      </c>
      <c r="E2839" s="105">
        <v>12</v>
      </c>
      <c r="F2839" s="106" t="s">
        <v>2024</v>
      </c>
      <c r="G2839" s="8"/>
      <c r="H2839" s="8" t="s">
        <v>9877</v>
      </c>
      <c r="I2839" s="107">
        <v>12</v>
      </c>
      <c r="J2839" s="8" t="s">
        <v>8088</v>
      </c>
    </row>
    <row r="2840" spans="1:10" ht="16.5" customHeight="1" x14ac:dyDescent="0.25">
      <c r="A2840" s="8" t="s">
        <v>9877</v>
      </c>
      <c r="B2840" s="8" t="s">
        <v>9878</v>
      </c>
      <c r="C2840" s="8" t="s">
        <v>8096</v>
      </c>
      <c r="D2840" s="8" t="s">
        <v>9878</v>
      </c>
      <c r="E2840" s="105">
        <v>1</v>
      </c>
      <c r="F2840" s="106" t="s">
        <v>2024</v>
      </c>
      <c r="G2840" s="8"/>
      <c r="H2840" s="8"/>
      <c r="I2840" s="107">
        <v>0</v>
      </c>
      <c r="J2840" s="8" t="s">
        <v>8088</v>
      </c>
    </row>
    <row r="2841" spans="1:10" ht="16.5" customHeight="1" x14ac:dyDescent="0.25">
      <c r="A2841" s="8" t="s">
        <v>9879</v>
      </c>
      <c r="B2841" s="8" t="s">
        <v>39</v>
      </c>
      <c r="C2841" s="8" t="s">
        <v>9880</v>
      </c>
      <c r="D2841" s="8" t="s">
        <v>39</v>
      </c>
      <c r="E2841" s="105">
        <v>12</v>
      </c>
      <c r="F2841" s="106" t="s">
        <v>2024</v>
      </c>
      <c r="G2841" s="8"/>
      <c r="H2841" s="8" t="s">
        <v>9881</v>
      </c>
      <c r="I2841" s="107">
        <v>12</v>
      </c>
      <c r="J2841" s="8" t="s">
        <v>8088</v>
      </c>
    </row>
    <row r="2842" spans="1:10" ht="16.5" customHeight="1" x14ac:dyDescent="0.25">
      <c r="A2842" s="8" t="s">
        <v>9881</v>
      </c>
      <c r="B2842" s="8" t="s">
        <v>9882</v>
      </c>
      <c r="C2842" s="8" t="s">
        <v>8103</v>
      </c>
      <c r="D2842" s="8" t="s">
        <v>9882</v>
      </c>
      <c r="E2842" s="105">
        <v>1</v>
      </c>
      <c r="F2842" s="106" t="s">
        <v>2024</v>
      </c>
      <c r="G2842" s="8"/>
      <c r="H2842" s="8"/>
      <c r="I2842" s="107">
        <v>0</v>
      </c>
      <c r="J2842" s="8" t="s">
        <v>8088</v>
      </c>
    </row>
    <row r="2843" spans="1:10" ht="16.5" customHeight="1" x14ac:dyDescent="0.25">
      <c r="A2843" s="8" t="s">
        <v>9883</v>
      </c>
      <c r="B2843" s="8" t="s">
        <v>9884</v>
      </c>
      <c r="C2843" s="8" t="s">
        <v>9885</v>
      </c>
      <c r="D2843" s="8" t="s">
        <v>9884</v>
      </c>
      <c r="E2843" s="105">
        <v>12</v>
      </c>
      <c r="F2843" s="106" t="s">
        <v>2024</v>
      </c>
      <c r="G2843" s="8"/>
      <c r="H2843" s="8" t="s">
        <v>9886</v>
      </c>
      <c r="I2843" s="107">
        <v>12</v>
      </c>
      <c r="J2843" s="8" t="s">
        <v>8097</v>
      </c>
    </row>
    <row r="2844" spans="1:10" ht="16.5" customHeight="1" x14ac:dyDescent="0.25">
      <c r="A2844" s="8" t="s">
        <v>9886</v>
      </c>
      <c r="B2844" s="8" t="s">
        <v>9887</v>
      </c>
      <c r="C2844" s="8" t="s">
        <v>8108</v>
      </c>
      <c r="D2844" s="8" t="s">
        <v>9887</v>
      </c>
      <c r="E2844" s="105">
        <v>1</v>
      </c>
      <c r="F2844" s="106" t="s">
        <v>2024</v>
      </c>
      <c r="G2844" s="8"/>
      <c r="H2844" s="8"/>
      <c r="I2844" s="107">
        <v>0</v>
      </c>
      <c r="J2844" s="8" t="s">
        <v>8097</v>
      </c>
    </row>
    <row r="2845" spans="1:10" ht="16.5" customHeight="1" x14ac:dyDescent="0.25">
      <c r="A2845" s="8" t="s">
        <v>9888</v>
      </c>
      <c r="B2845" s="8" t="s">
        <v>9889</v>
      </c>
      <c r="C2845" s="8" t="s">
        <v>9890</v>
      </c>
      <c r="D2845" s="8" t="s">
        <v>9889</v>
      </c>
      <c r="E2845" s="105">
        <v>4.8</v>
      </c>
      <c r="F2845" s="106" t="s">
        <v>2024</v>
      </c>
      <c r="G2845" s="8"/>
      <c r="H2845" s="8" t="s">
        <v>9891</v>
      </c>
      <c r="I2845" s="107">
        <v>24</v>
      </c>
      <c r="J2845" s="8" t="s">
        <v>8088</v>
      </c>
    </row>
    <row r="2846" spans="1:10" ht="16.5" customHeight="1" x14ac:dyDescent="0.25">
      <c r="A2846" s="8" t="s">
        <v>9891</v>
      </c>
      <c r="B2846" s="8" t="s">
        <v>9892</v>
      </c>
      <c r="C2846" s="8" t="s">
        <v>8114</v>
      </c>
      <c r="D2846" s="8" t="s">
        <v>9892</v>
      </c>
      <c r="E2846" s="105">
        <v>0.2</v>
      </c>
      <c r="F2846" s="106" t="s">
        <v>2024</v>
      </c>
      <c r="G2846" s="8"/>
      <c r="H2846" s="8"/>
      <c r="I2846" s="107">
        <v>0</v>
      </c>
      <c r="J2846" s="8" t="s">
        <v>8088</v>
      </c>
    </row>
    <row r="2847" spans="1:10" ht="16.5" customHeight="1" x14ac:dyDescent="0.25">
      <c r="A2847" s="8" t="s">
        <v>9893</v>
      </c>
      <c r="B2847" s="8" t="s">
        <v>9894</v>
      </c>
      <c r="C2847" s="8" t="s">
        <v>9895</v>
      </c>
      <c r="D2847" s="8" t="s">
        <v>9894</v>
      </c>
      <c r="E2847" s="105">
        <v>4.8</v>
      </c>
      <c r="F2847" s="106" t="s">
        <v>2024</v>
      </c>
      <c r="G2847" s="8"/>
      <c r="H2847" s="8" t="s">
        <v>9896</v>
      </c>
      <c r="I2847" s="107">
        <v>24</v>
      </c>
      <c r="J2847" s="8" t="s">
        <v>8088</v>
      </c>
    </row>
    <row r="2848" spans="1:10" ht="16.5" customHeight="1" x14ac:dyDescent="0.25">
      <c r="A2848" s="8" t="s">
        <v>9896</v>
      </c>
      <c r="B2848" s="8" t="s">
        <v>59</v>
      </c>
      <c r="C2848" s="8" t="s">
        <v>8120</v>
      </c>
      <c r="D2848" s="8" t="s">
        <v>59</v>
      </c>
      <c r="E2848" s="105">
        <v>0.2</v>
      </c>
      <c r="F2848" s="106" t="s">
        <v>2024</v>
      </c>
      <c r="G2848" s="8"/>
      <c r="H2848" s="8"/>
      <c r="I2848" s="107">
        <v>0</v>
      </c>
      <c r="J2848" s="8" t="s">
        <v>8088</v>
      </c>
    </row>
    <row r="2849" spans="1:10" ht="16.5" customHeight="1" x14ac:dyDescent="0.25">
      <c r="A2849" s="8" t="s">
        <v>9897</v>
      </c>
      <c r="B2849" s="8" t="s">
        <v>41</v>
      </c>
      <c r="C2849" s="8" t="s">
        <v>9898</v>
      </c>
      <c r="D2849" s="8" t="s">
        <v>41</v>
      </c>
      <c r="E2849" s="105">
        <v>4.8</v>
      </c>
      <c r="F2849" s="106" t="s">
        <v>2024</v>
      </c>
      <c r="G2849" s="8"/>
      <c r="H2849" s="8" t="s">
        <v>9899</v>
      </c>
      <c r="I2849" s="107">
        <v>24</v>
      </c>
      <c r="J2849" s="8" t="s">
        <v>8088</v>
      </c>
    </row>
    <row r="2850" spans="1:10" ht="16.5" customHeight="1" x14ac:dyDescent="0.25">
      <c r="A2850" s="8" t="s">
        <v>9899</v>
      </c>
      <c r="B2850" s="8" t="s">
        <v>9900</v>
      </c>
      <c r="C2850" s="8" t="s">
        <v>8126</v>
      </c>
      <c r="D2850" s="8" t="s">
        <v>9900</v>
      </c>
      <c r="E2850" s="105">
        <v>0.2</v>
      </c>
      <c r="F2850" s="106" t="s">
        <v>2024</v>
      </c>
      <c r="G2850" s="8"/>
      <c r="H2850" s="8"/>
      <c r="I2850" s="107">
        <v>0</v>
      </c>
      <c r="J2850" s="8" t="s">
        <v>8088</v>
      </c>
    </row>
    <row r="2851" spans="1:10" ht="16.5" customHeight="1" x14ac:dyDescent="0.25">
      <c r="A2851" s="8" t="s">
        <v>9901</v>
      </c>
      <c r="B2851" s="8" t="s">
        <v>9902</v>
      </c>
      <c r="C2851" s="8" t="s">
        <v>9903</v>
      </c>
      <c r="D2851" s="8" t="s">
        <v>9902</v>
      </c>
      <c r="E2851" s="105">
        <v>4.8</v>
      </c>
      <c r="F2851" s="106" t="s">
        <v>2024</v>
      </c>
      <c r="G2851" s="8"/>
      <c r="H2851" s="8" t="s">
        <v>9904</v>
      </c>
      <c r="I2851" s="107">
        <v>24</v>
      </c>
      <c r="J2851" s="8" t="s">
        <v>8088</v>
      </c>
    </row>
    <row r="2852" spans="1:10" ht="16.5" customHeight="1" x14ac:dyDescent="0.25">
      <c r="A2852" s="8" t="s">
        <v>9904</v>
      </c>
      <c r="B2852" s="8" t="s">
        <v>9905</v>
      </c>
      <c r="C2852" s="8" t="s">
        <v>8132</v>
      </c>
      <c r="D2852" s="8" t="s">
        <v>9905</v>
      </c>
      <c r="E2852" s="105">
        <v>0.2</v>
      </c>
      <c r="F2852" s="106" t="s">
        <v>2024</v>
      </c>
      <c r="G2852" s="8"/>
      <c r="H2852" s="8"/>
      <c r="I2852" s="107">
        <v>0</v>
      </c>
      <c r="J2852" s="8" t="s">
        <v>8088</v>
      </c>
    </row>
    <row r="2853" spans="1:10" ht="16.5" customHeight="1" x14ac:dyDescent="0.25">
      <c r="A2853" s="8" t="s">
        <v>9906</v>
      </c>
      <c r="B2853" s="8" t="s">
        <v>9907</v>
      </c>
      <c r="C2853" s="8" t="s">
        <v>9908</v>
      </c>
      <c r="D2853" s="8" t="s">
        <v>9907</v>
      </c>
      <c r="E2853" s="105">
        <v>4.8</v>
      </c>
      <c r="F2853" s="106" t="s">
        <v>2024</v>
      </c>
      <c r="G2853" s="8"/>
      <c r="H2853" s="8" t="s">
        <v>9909</v>
      </c>
      <c r="I2853" s="107">
        <v>24</v>
      </c>
      <c r="J2853" s="8" t="s">
        <v>8088</v>
      </c>
    </row>
    <row r="2854" spans="1:10" ht="16.5" customHeight="1" x14ac:dyDescent="0.25">
      <c r="A2854" s="8" t="s">
        <v>9909</v>
      </c>
      <c r="B2854" s="8" t="s">
        <v>9910</v>
      </c>
      <c r="C2854" s="8" t="s">
        <v>8138</v>
      </c>
      <c r="D2854" s="8" t="s">
        <v>9910</v>
      </c>
      <c r="E2854" s="105">
        <v>0.2</v>
      </c>
      <c r="F2854" s="106" t="s">
        <v>2024</v>
      </c>
      <c r="G2854" s="8"/>
      <c r="H2854" s="8"/>
      <c r="I2854" s="107">
        <v>0</v>
      </c>
      <c r="J2854" s="8" t="s">
        <v>8088</v>
      </c>
    </row>
    <row r="2855" spans="1:10" ht="16.5" customHeight="1" x14ac:dyDescent="0.25">
      <c r="A2855" s="8" t="s">
        <v>9911</v>
      </c>
      <c r="B2855" s="8" t="s">
        <v>9912</v>
      </c>
      <c r="C2855" s="8" t="s">
        <v>9913</v>
      </c>
      <c r="D2855" s="8" t="s">
        <v>9912</v>
      </c>
      <c r="E2855" s="105">
        <v>13.39</v>
      </c>
      <c r="F2855" s="106" t="s">
        <v>2024</v>
      </c>
      <c r="G2855" s="8"/>
      <c r="H2855" s="8"/>
      <c r="I2855" s="107">
        <v>0</v>
      </c>
      <c r="J2855" s="8" t="s">
        <v>5929</v>
      </c>
    </row>
    <row r="2856" spans="1:10" ht="16.5" customHeight="1" x14ac:dyDescent="0.25">
      <c r="A2856" s="8" t="s">
        <v>9914</v>
      </c>
      <c r="B2856" s="8" t="s">
        <v>9915</v>
      </c>
      <c r="C2856" s="8" t="s">
        <v>9916</v>
      </c>
      <c r="D2856" s="8" t="s">
        <v>9915</v>
      </c>
      <c r="E2856" s="105">
        <v>0.22320000000000001</v>
      </c>
      <c r="F2856" s="106" t="s">
        <v>2024</v>
      </c>
      <c r="G2856" s="8"/>
      <c r="H2856" s="8"/>
      <c r="I2856" s="107">
        <v>0</v>
      </c>
      <c r="J2856" s="8" t="s">
        <v>5929</v>
      </c>
    </row>
    <row r="2857" spans="1:10" ht="16.5" customHeight="1" x14ac:dyDescent="0.25">
      <c r="A2857" s="8" t="s">
        <v>9917</v>
      </c>
      <c r="B2857" s="8" t="s">
        <v>9918</v>
      </c>
      <c r="C2857" s="8" t="s">
        <v>9919</v>
      </c>
      <c r="D2857" s="8" t="s">
        <v>9918</v>
      </c>
      <c r="E2857" s="105">
        <v>1</v>
      </c>
      <c r="F2857" s="106" t="s">
        <v>2024</v>
      </c>
      <c r="G2857" s="8"/>
      <c r="H2857" s="8"/>
      <c r="I2857" s="107">
        <v>0</v>
      </c>
      <c r="J2857" s="8" t="s">
        <v>3580</v>
      </c>
    </row>
    <row r="2858" spans="1:10" ht="16.5" customHeight="1" x14ac:dyDescent="0.25">
      <c r="A2858" s="8" t="s">
        <v>9920</v>
      </c>
      <c r="B2858" s="8" t="s">
        <v>9921</v>
      </c>
      <c r="C2858" s="8" t="s">
        <v>9922</v>
      </c>
      <c r="D2858" s="8" t="s">
        <v>9921</v>
      </c>
      <c r="E2858" s="105">
        <v>1</v>
      </c>
      <c r="F2858" s="106" t="s">
        <v>2024</v>
      </c>
      <c r="G2858" s="8"/>
      <c r="H2858" s="8"/>
      <c r="I2858" s="107">
        <v>0</v>
      </c>
      <c r="J2858" s="8" t="s">
        <v>3580</v>
      </c>
    </row>
    <row r="2859" spans="1:10" ht="16.5" customHeight="1" x14ac:dyDescent="0.25">
      <c r="A2859" s="8" t="s">
        <v>9923</v>
      </c>
      <c r="B2859" s="8" t="s">
        <v>9924</v>
      </c>
      <c r="C2859" s="8" t="s">
        <v>9925</v>
      </c>
      <c r="D2859" s="8" t="s">
        <v>9924</v>
      </c>
      <c r="E2859" s="105">
        <v>1</v>
      </c>
      <c r="F2859" s="106" t="s">
        <v>2024</v>
      </c>
      <c r="G2859" s="8"/>
      <c r="H2859" s="8"/>
      <c r="I2859" s="107">
        <v>0</v>
      </c>
      <c r="J2859" s="8" t="s">
        <v>3580</v>
      </c>
    </row>
    <row r="2860" spans="1:10" ht="16.5" customHeight="1" x14ac:dyDescent="0.25">
      <c r="A2860" s="8" t="s">
        <v>9926</v>
      </c>
      <c r="B2860" s="8" t="s">
        <v>9927</v>
      </c>
      <c r="C2860" s="8" t="s">
        <v>9928</v>
      </c>
      <c r="D2860" s="8" t="s">
        <v>9927</v>
      </c>
      <c r="E2860" s="105">
        <v>1</v>
      </c>
      <c r="F2860" s="106" t="s">
        <v>2024</v>
      </c>
      <c r="G2860" s="8"/>
      <c r="H2860" s="8"/>
      <c r="I2860" s="107">
        <v>0</v>
      </c>
      <c r="J2860" s="8" t="s">
        <v>3580</v>
      </c>
    </row>
    <row r="2861" spans="1:10" ht="16.5" customHeight="1" x14ac:dyDescent="0.25">
      <c r="A2861" s="8" t="s">
        <v>9929</v>
      </c>
      <c r="B2861" s="8" t="s">
        <v>9930</v>
      </c>
      <c r="C2861" s="8" t="s">
        <v>9931</v>
      </c>
      <c r="D2861" s="8" t="s">
        <v>9930</v>
      </c>
      <c r="E2861" s="105">
        <v>1</v>
      </c>
      <c r="F2861" s="106" t="s">
        <v>2024</v>
      </c>
      <c r="G2861" s="8"/>
      <c r="H2861" s="8"/>
      <c r="I2861" s="107">
        <v>0</v>
      </c>
      <c r="J2861" s="8" t="s">
        <v>3580</v>
      </c>
    </row>
    <row r="2862" spans="1:10" ht="16.5" customHeight="1" x14ac:dyDescent="0.25">
      <c r="A2862" s="8" t="s">
        <v>9932</v>
      </c>
      <c r="B2862" s="8" t="s">
        <v>9933</v>
      </c>
      <c r="C2862" s="8" t="s">
        <v>9934</v>
      </c>
      <c r="D2862" s="8" t="s">
        <v>9933</v>
      </c>
      <c r="E2862" s="105">
        <v>1</v>
      </c>
      <c r="F2862" s="106" t="s">
        <v>2024</v>
      </c>
      <c r="G2862" s="8"/>
      <c r="H2862" s="8"/>
      <c r="I2862" s="107">
        <v>0</v>
      </c>
      <c r="J2862" s="8" t="s">
        <v>3580</v>
      </c>
    </row>
    <row r="2863" spans="1:10" ht="16.5" customHeight="1" x14ac:dyDescent="0.25">
      <c r="A2863" s="8" t="s">
        <v>9935</v>
      </c>
      <c r="B2863" s="8" t="s">
        <v>9936</v>
      </c>
      <c r="C2863" s="8" t="s">
        <v>9937</v>
      </c>
      <c r="D2863" s="8" t="s">
        <v>9936</v>
      </c>
      <c r="E2863" s="105">
        <v>0</v>
      </c>
      <c r="F2863" s="106" t="s">
        <v>2024</v>
      </c>
      <c r="G2863" s="8"/>
      <c r="H2863" s="8"/>
      <c r="I2863" s="107">
        <v>0</v>
      </c>
      <c r="J2863" s="8" t="s">
        <v>4722</v>
      </c>
    </row>
    <row r="2864" spans="1:10" ht="16.5" customHeight="1" x14ac:dyDescent="0.25">
      <c r="A2864" s="8" t="s">
        <v>9938</v>
      </c>
      <c r="B2864" s="8" t="s">
        <v>9939</v>
      </c>
      <c r="C2864" s="8" t="s">
        <v>9940</v>
      </c>
      <c r="D2864" s="8" t="s">
        <v>9939</v>
      </c>
      <c r="E2864" s="105">
        <v>0</v>
      </c>
      <c r="F2864" s="106" t="s">
        <v>2024</v>
      </c>
      <c r="G2864" s="8"/>
      <c r="H2864" s="8"/>
      <c r="I2864" s="107">
        <v>0</v>
      </c>
      <c r="J2864" s="8" t="s">
        <v>4722</v>
      </c>
    </row>
    <row r="2865" spans="1:10" ht="16.5" customHeight="1" x14ac:dyDescent="0.25">
      <c r="A2865" s="8" t="s">
        <v>9941</v>
      </c>
      <c r="B2865" s="8" t="s">
        <v>9942</v>
      </c>
      <c r="C2865" s="8" t="s">
        <v>9943</v>
      </c>
      <c r="D2865" s="8" t="s">
        <v>9942</v>
      </c>
      <c r="E2865" s="105">
        <v>0</v>
      </c>
      <c r="F2865" s="106" t="s">
        <v>2024</v>
      </c>
      <c r="G2865" s="8"/>
      <c r="H2865" s="8"/>
      <c r="I2865" s="107">
        <v>0</v>
      </c>
      <c r="J2865" s="8" t="s">
        <v>4722</v>
      </c>
    </row>
    <row r="2866" spans="1:10" ht="16.5" customHeight="1" x14ac:dyDescent="0.25">
      <c r="A2866" s="8" t="s">
        <v>9944</v>
      </c>
      <c r="B2866" s="8" t="s">
        <v>9945</v>
      </c>
      <c r="C2866" s="8" t="s">
        <v>1354</v>
      </c>
      <c r="D2866" s="8" t="s">
        <v>9945</v>
      </c>
      <c r="E2866" s="105">
        <v>0</v>
      </c>
      <c r="F2866" s="106" t="s">
        <v>2024</v>
      </c>
      <c r="G2866" s="8"/>
      <c r="H2866" s="8"/>
      <c r="I2866" s="107">
        <v>0</v>
      </c>
      <c r="J2866" s="8" t="s">
        <v>4722</v>
      </c>
    </row>
    <row r="2867" spans="1:10" ht="16.5" customHeight="1" x14ac:dyDescent="0.25">
      <c r="A2867" s="8" t="s">
        <v>9946</v>
      </c>
      <c r="B2867" s="8" t="s">
        <v>9947</v>
      </c>
      <c r="C2867" s="8" t="s">
        <v>9948</v>
      </c>
      <c r="D2867" s="8" t="s">
        <v>9947</v>
      </c>
      <c r="E2867" s="105">
        <v>9.6</v>
      </c>
      <c r="F2867" s="106" t="s">
        <v>2024</v>
      </c>
      <c r="G2867" s="8"/>
      <c r="H2867" s="8"/>
      <c r="I2867" s="107">
        <v>0</v>
      </c>
      <c r="J2867" s="8" t="s">
        <v>6357</v>
      </c>
    </row>
    <row r="2868" spans="1:10" ht="16.5" customHeight="1" x14ac:dyDescent="0.25">
      <c r="A2868" s="8" t="s">
        <v>9949</v>
      </c>
      <c r="B2868" s="8" t="s">
        <v>9950</v>
      </c>
      <c r="C2868" s="8" t="s">
        <v>9951</v>
      </c>
      <c r="D2868" s="8" t="s">
        <v>9950</v>
      </c>
      <c r="E2868" s="105">
        <v>0.4</v>
      </c>
      <c r="F2868" s="106" t="s">
        <v>2024</v>
      </c>
      <c r="G2868" s="8"/>
      <c r="H2868" s="8"/>
      <c r="I2868" s="107">
        <v>0</v>
      </c>
      <c r="J2868" s="8" t="s">
        <v>6357</v>
      </c>
    </row>
    <row r="2869" spans="1:10" ht="16.5" customHeight="1" x14ac:dyDescent="0.25">
      <c r="A2869" s="8" t="s">
        <v>9952</v>
      </c>
      <c r="B2869" s="8" t="s">
        <v>9953</v>
      </c>
      <c r="C2869" s="8" t="s">
        <v>9954</v>
      </c>
      <c r="D2869" s="8" t="s">
        <v>9953</v>
      </c>
      <c r="E2869" s="105">
        <v>9.6</v>
      </c>
      <c r="F2869" s="106" t="s">
        <v>2024</v>
      </c>
      <c r="G2869" s="8"/>
      <c r="H2869" s="8"/>
      <c r="I2869" s="107">
        <v>0</v>
      </c>
      <c r="J2869" s="8" t="s">
        <v>6357</v>
      </c>
    </row>
    <row r="2870" spans="1:10" ht="16.5" customHeight="1" x14ac:dyDescent="0.25">
      <c r="A2870" s="8" t="s">
        <v>9955</v>
      </c>
      <c r="B2870" s="8" t="s">
        <v>9956</v>
      </c>
      <c r="C2870" s="8" t="s">
        <v>9957</v>
      </c>
      <c r="D2870" s="8" t="s">
        <v>9956</v>
      </c>
      <c r="E2870" s="105">
        <v>0.8</v>
      </c>
      <c r="F2870" s="106" t="s">
        <v>2024</v>
      </c>
      <c r="G2870" s="8"/>
      <c r="H2870" s="8"/>
      <c r="I2870" s="107">
        <v>0</v>
      </c>
      <c r="J2870" s="8" t="s">
        <v>6357</v>
      </c>
    </row>
    <row r="2871" spans="1:10" ht="16.5" customHeight="1" x14ac:dyDescent="0.25">
      <c r="A2871" s="8" t="s">
        <v>9958</v>
      </c>
      <c r="B2871" s="8" t="s">
        <v>9959</v>
      </c>
      <c r="C2871" s="8" t="s">
        <v>9960</v>
      </c>
      <c r="D2871" s="8" t="s">
        <v>9959</v>
      </c>
      <c r="E2871" s="105">
        <v>1</v>
      </c>
      <c r="F2871" s="106" t="s">
        <v>2018</v>
      </c>
      <c r="G2871" s="8"/>
      <c r="H2871" s="8"/>
      <c r="I2871" s="107">
        <v>0</v>
      </c>
      <c r="J2871" s="8" t="s">
        <v>2019</v>
      </c>
    </row>
    <row r="2872" spans="1:10" ht="16.5" customHeight="1" x14ac:dyDescent="0.25">
      <c r="A2872" s="8" t="s">
        <v>1883</v>
      </c>
      <c r="B2872" s="8" t="s">
        <v>1885</v>
      </c>
      <c r="C2872" s="8" t="s">
        <v>1884</v>
      </c>
      <c r="D2872" s="8" t="s">
        <v>1885</v>
      </c>
      <c r="E2872" s="105">
        <v>18</v>
      </c>
      <c r="F2872" s="106" t="s">
        <v>2018</v>
      </c>
      <c r="G2872" s="8"/>
      <c r="H2872" s="8"/>
      <c r="I2872" s="107">
        <v>0</v>
      </c>
      <c r="J2872" s="8" t="s">
        <v>4722</v>
      </c>
    </row>
    <row r="2873" spans="1:10" ht="16.5" customHeight="1" x14ac:dyDescent="0.25">
      <c r="A2873" s="8" t="s">
        <v>9961</v>
      </c>
      <c r="B2873" s="8" t="s">
        <v>9636</v>
      </c>
      <c r="C2873" s="8" t="s">
        <v>9637</v>
      </c>
      <c r="D2873" s="8" t="s">
        <v>9636</v>
      </c>
      <c r="E2873" s="105">
        <v>0</v>
      </c>
      <c r="F2873" s="106" t="s">
        <v>2018</v>
      </c>
      <c r="G2873" s="8"/>
      <c r="H2873" s="8"/>
      <c r="I2873" s="107">
        <v>0</v>
      </c>
      <c r="J2873" s="8" t="s">
        <v>4722</v>
      </c>
    </row>
    <row r="2874" spans="1:10" ht="16.5" customHeight="1" x14ac:dyDescent="0.25">
      <c r="A2874" s="8" t="s">
        <v>9962</v>
      </c>
      <c r="B2874" s="8" t="s">
        <v>9963</v>
      </c>
      <c r="C2874" s="8" t="s">
        <v>9964</v>
      </c>
      <c r="D2874" s="8" t="s">
        <v>9963</v>
      </c>
      <c r="E2874" s="105">
        <v>12</v>
      </c>
      <c r="F2874" s="106" t="s">
        <v>2024</v>
      </c>
      <c r="G2874" s="8"/>
      <c r="H2874" s="8"/>
      <c r="I2874" s="107">
        <v>0</v>
      </c>
      <c r="J2874" s="8" t="s">
        <v>6357</v>
      </c>
    </row>
    <row r="2875" spans="1:10" ht="16.5" customHeight="1" x14ac:dyDescent="0.25">
      <c r="A2875" s="8" t="s">
        <v>9965</v>
      </c>
      <c r="B2875" s="8" t="s">
        <v>9966</v>
      </c>
      <c r="C2875" s="8" t="s">
        <v>9967</v>
      </c>
      <c r="D2875" s="8" t="s">
        <v>9966</v>
      </c>
      <c r="E2875" s="105">
        <v>1.5</v>
      </c>
      <c r="F2875" s="106" t="s">
        <v>2024</v>
      </c>
      <c r="G2875" s="8"/>
      <c r="H2875" s="8"/>
      <c r="I2875" s="107">
        <v>0</v>
      </c>
      <c r="J2875" s="8" t="s">
        <v>6357</v>
      </c>
    </row>
    <row r="2876" spans="1:10" ht="16.5" customHeight="1" x14ac:dyDescent="0.25">
      <c r="A2876" s="8" t="s">
        <v>9968</v>
      </c>
      <c r="B2876" s="8" t="s">
        <v>9511</v>
      </c>
      <c r="C2876" s="8" t="s">
        <v>9512</v>
      </c>
      <c r="D2876" s="8" t="s">
        <v>9511</v>
      </c>
      <c r="E2876" s="105">
        <v>0.5</v>
      </c>
      <c r="F2876" s="106" t="s">
        <v>2024</v>
      </c>
      <c r="G2876" s="8"/>
      <c r="H2876" s="8"/>
      <c r="I2876" s="107">
        <v>0</v>
      </c>
      <c r="J2876" s="8" t="s">
        <v>4722</v>
      </c>
    </row>
    <row r="2877" spans="1:10" ht="16.5" customHeight="1" x14ac:dyDescent="0.25">
      <c r="A2877" s="8" t="s">
        <v>9969</v>
      </c>
      <c r="B2877" s="8" t="s">
        <v>9970</v>
      </c>
      <c r="C2877" s="8" t="s">
        <v>9645</v>
      </c>
      <c r="D2877" s="8" t="s">
        <v>9970</v>
      </c>
      <c r="E2877" s="105">
        <v>1</v>
      </c>
      <c r="F2877" s="106" t="s">
        <v>2024</v>
      </c>
      <c r="G2877" s="8"/>
      <c r="H2877" s="8"/>
      <c r="I2877" s="107">
        <v>0</v>
      </c>
      <c r="J2877" s="8" t="s">
        <v>3580</v>
      </c>
    </row>
    <row r="2878" spans="1:10" ht="16.5" customHeight="1" x14ac:dyDescent="0.25">
      <c r="A2878" s="8" t="s">
        <v>9971</v>
      </c>
      <c r="B2878" s="8" t="s">
        <v>9972</v>
      </c>
      <c r="C2878" s="8" t="s">
        <v>9973</v>
      </c>
      <c r="D2878" s="8" t="s">
        <v>9972</v>
      </c>
      <c r="E2878" s="105">
        <v>1</v>
      </c>
      <c r="F2878" s="106" t="s">
        <v>2024</v>
      </c>
      <c r="G2878" s="8"/>
      <c r="H2878" s="8"/>
      <c r="I2878" s="107">
        <v>0</v>
      </c>
      <c r="J2878" s="8" t="s">
        <v>3695</v>
      </c>
    </row>
    <row r="2879" spans="1:10" ht="16.5" customHeight="1" x14ac:dyDescent="0.25">
      <c r="A2879" s="8" t="s">
        <v>9974</v>
      </c>
      <c r="B2879" s="8" t="s">
        <v>9975</v>
      </c>
      <c r="C2879" s="8" t="s">
        <v>9976</v>
      </c>
      <c r="D2879" s="8" t="s">
        <v>9975</v>
      </c>
      <c r="E2879" s="105">
        <v>1</v>
      </c>
      <c r="F2879" s="106" t="s">
        <v>2024</v>
      </c>
      <c r="G2879" s="8"/>
      <c r="H2879" s="8"/>
      <c r="I2879" s="107">
        <v>0</v>
      </c>
      <c r="J2879" s="8" t="s">
        <v>3580</v>
      </c>
    </row>
    <row r="2880" spans="1:10" ht="16.5" customHeight="1" x14ac:dyDescent="0.25">
      <c r="A2880" s="8" t="s">
        <v>9977</v>
      </c>
      <c r="B2880" s="8" t="s">
        <v>9978</v>
      </c>
      <c r="C2880" s="8" t="s">
        <v>9760</v>
      </c>
      <c r="D2880" s="8" t="s">
        <v>9978</v>
      </c>
      <c r="E2880" s="105">
        <v>1</v>
      </c>
      <c r="F2880" s="106" t="s">
        <v>2024</v>
      </c>
      <c r="G2880" s="8"/>
      <c r="H2880" s="8"/>
      <c r="I2880" s="107">
        <v>0</v>
      </c>
      <c r="J2880" s="8" t="s">
        <v>3580</v>
      </c>
    </row>
    <row r="2881" spans="1:10" ht="16.5" customHeight="1" x14ac:dyDescent="0.25">
      <c r="A2881" s="8" t="s">
        <v>9979</v>
      </c>
      <c r="B2881" s="8" t="s">
        <v>9980</v>
      </c>
      <c r="C2881" s="8" t="s">
        <v>9760</v>
      </c>
      <c r="D2881" s="8" t="s">
        <v>9980</v>
      </c>
      <c r="E2881" s="105">
        <v>1</v>
      </c>
      <c r="F2881" s="106" t="s">
        <v>2024</v>
      </c>
      <c r="G2881" s="8"/>
      <c r="H2881" s="8"/>
      <c r="I2881" s="107">
        <v>0</v>
      </c>
      <c r="J2881" s="8" t="s">
        <v>3580</v>
      </c>
    </row>
    <row r="2882" spans="1:10" ht="16.5" customHeight="1" x14ac:dyDescent="0.25">
      <c r="A2882" s="8" t="s">
        <v>9981</v>
      </c>
      <c r="B2882" s="8" t="s">
        <v>9982</v>
      </c>
      <c r="C2882" s="8" t="s">
        <v>9983</v>
      </c>
      <c r="D2882" s="8" t="s">
        <v>9982</v>
      </c>
      <c r="E2882" s="105">
        <v>1</v>
      </c>
      <c r="F2882" s="106" t="s">
        <v>2024</v>
      </c>
      <c r="G2882" s="8"/>
      <c r="H2882" s="8"/>
      <c r="I2882" s="107">
        <v>0</v>
      </c>
      <c r="J2882" s="8" t="s">
        <v>3580</v>
      </c>
    </row>
    <row r="2883" spans="1:10" ht="16.5" customHeight="1" x14ac:dyDescent="0.25">
      <c r="A2883" s="8" t="s">
        <v>9984</v>
      </c>
      <c r="B2883" s="8" t="s">
        <v>9985</v>
      </c>
      <c r="C2883" s="8" t="s">
        <v>9829</v>
      </c>
      <c r="D2883" s="8" t="s">
        <v>9985</v>
      </c>
      <c r="E2883" s="105">
        <v>1</v>
      </c>
      <c r="F2883" s="106" t="s">
        <v>2024</v>
      </c>
      <c r="G2883" s="8"/>
      <c r="H2883" s="8"/>
      <c r="I2883" s="107">
        <v>0</v>
      </c>
      <c r="J2883" s="8" t="s">
        <v>3580</v>
      </c>
    </row>
    <row r="2884" spans="1:10" ht="16.5" customHeight="1" x14ac:dyDescent="0.25">
      <c r="A2884" s="8" t="s">
        <v>9986</v>
      </c>
      <c r="B2884" s="8" t="s">
        <v>9987</v>
      </c>
      <c r="C2884" s="8" t="s">
        <v>9813</v>
      </c>
      <c r="D2884" s="8" t="s">
        <v>9987</v>
      </c>
      <c r="E2884" s="105">
        <v>1</v>
      </c>
      <c r="F2884" s="106" t="s">
        <v>2024</v>
      </c>
      <c r="G2884" s="8"/>
      <c r="H2884" s="8"/>
      <c r="I2884" s="107">
        <v>0</v>
      </c>
      <c r="J2884" s="8" t="s">
        <v>3580</v>
      </c>
    </row>
    <row r="2885" spans="1:10" ht="16.5" customHeight="1" x14ac:dyDescent="0.25">
      <c r="A2885" s="8" t="s">
        <v>9988</v>
      </c>
      <c r="B2885" s="8" t="s">
        <v>9989</v>
      </c>
      <c r="C2885" s="8" t="s">
        <v>9931</v>
      </c>
      <c r="D2885" s="8" t="s">
        <v>9989</v>
      </c>
      <c r="E2885" s="105">
        <v>1</v>
      </c>
      <c r="F2885" s="106" t="s">
        <v>2024</v>
      </c>
      <c r="G2885" s="8"/>
      <c r="H2885" s="8"/>
      <c r="I2885" s="107">
        <v>0</v>
      </c>
      <c r="J2885" s="8" t="s">
        <v>3580</v>
      </c>
    </row>
    <row r="2886" spans="1:10" ht="16.5" customHeight="1" x14ac:dyDescent="0.25">
      <c r="A2886" s="8" t="s">
        <v>9990</v>
      </c>
      <c r="B2886" s="8" t="s">
        <v>9991</v>
      </c>
      <c r="C2886" s="8" t="s">
        <v>9931</v>
      </c>
      <c r="D2886" s="8" t="s">
        <v>9991</v>
      </c>
      <c r="E2886" s="105">
        <v>1</v>
      </c>
      <c r="F2886" s="106" t="s">
        <v>2024</v>
      </c>
      <c r="G2886" s="8"/>
      <c r="H2886" s="8"/>
      <c r="I2886" s="107">
        <v>0</v>
      </c>
      <c r="J2886" s="8" t="s">
        <v>3580</v>
      </c>
    </row>
    <row r="2887" spans="1:10" ht="16.5" customHeight="1" x14ac:dyDescent="0.25">
      <c r="A2887" s="8" t="s">
        <v>9992</v>
      </c>
      <c r="B2887" s="8" t="s">
        <v>9993</v>
      </c>
      <c r="C2887" s="8" t="s">
        <v>9931</v>
      </c>
      <c r="D2887" s="8" t="s">
        <v>9993</v>
      </c>
      <c r="E2887" s="105">
        <v>1</v>
      </c>
      <c r="F2887" s="106" t="s">
        <v>2024</v>
      </c>
      <c r="G2887" s="8"/>
      <c r="H2887" s="8"/>
      <c r="I2887" s="107">
        <v>0</v>
      </c>
      <c r="J2887" s="8" t="s">
        <v>3580</v>
      </c>
    </row>
    <row r="2888" spans="1:10" ht="16.5" customHeight="1" x14ac:dyDescent="0.25">
      <c r="A2888" s="8" t="s">
        <v>9994</v>
      </c>
      <c r="B2888" s="8" t="s">
        <v>9995</v>
      </c>
      <c r="C2888" s="8" t="s">
        <v>9996</v>
      </c>
      <c r="D2888" s="8" t="s">
        <v>9995</v>
      </c>
      <c r="E2888" s="105">
        <v>1</v>
      </c>
      <c r="F2888" s="106" t="s">
        <v>2024</v>
      </c>
      <c r="G2888" s="8"/>
      <c r="H2888" s="8"/>
      <c r="I2888" s="107">
        <v>0</v>
      </c>
      <c r="J2888" s="8" t="s">
        <v>3580</v>
      </c>
    </row>
    <row r="2889" spans="1:10" ht="16.5" customHeight="1" x14ac:dyDescent="0.25">
      <c r="A2889" s="8" t="s">
        <v>9997</v>
      </c>
      <c r="B2889" s="8" t="s">
        <v>9998</v>
      </c>
      <c r="C2889" s="8" t="s">
        <v>9999</v>
      </c>
      <c r="D2889" s="8" t="s">
        <v>9998</v>
      </c>
      <c r="E2889" s="105">
        <v>1</v>
      </c>
      <c r="F2889" s="106" t="s">
        <v>2024</v>
      </c>
      <c r="G2889" s="8"/>
      <c r="H2889" s="8"/>
      <c r="I2889" s="107">
        <v>0</v>
      </c>
      <c r="J2889" s="8" t="s">
        <v>3580</v>
      </c>
    </row>
    <row r="2890" spans="1:10" ht="16.5" customHeight="1" x14ac:dyDescent="0.25">
      <c r="A2890" s="8" t="s">
        <v>10000</v>
      </c>
      <c r="B2890" s="8" t="s">
        <v>10001</v>
      </c>
      <c r="C2890" s="8" t="s">
        <v>9976</v>
      </c>
      <c r="D2890" s="8" t="s">
        <v>10001</v>
      </c>
      <c r="E2890" s="105">
        <v>1</v>
      </c>
      <c r="F2890" s="106" t="s">
        <v>2024</v>
      </c>
      <c r="G2890" s="8"/>
      <c r="H2890" s="8"/>
      <c r="I2890" s="107">
        <v>0</v>
      </c>
      <c r="J2890" s="8" t="s">
        <v>3580</v>
      </c>
    </row>
    <row r="2891" spans="1:10" ht="16.5" customHeight="1" x14ac:dyDescent="0.25">
      <c r="A2891" s="8" t="s">
        <v>10002</v>
      </c>
      <c r="B2891" s="8" t="s">
        <v>10003</v>
      </c>
      <c r="C2891" s="8" t="s">
        <v>9810</v>
      </c>
      <c r="D2891" s="8" t="s">
        <v>10003</v>
      </c>
      <c r="E2891" s="105">
        <v>1</v>
      </c>
      <c r="F2891" s="106" t="s">
        <v>2024</v>
      </c>
      <c r="G2891" s="8"/>
      <c r="H2891" s="8"/>
      <c r="I2891" s="107">
        <v>0</v>
      </c>
      <c r="J2891" s="8" t="s">
        <v>3580</v>
      </c>
    </row>
    <row r="2892" spans="1:10" ht="16.5" customHeight="1" x14ac:dyDescent="0.25">
      <c r="A2892" s="8" t="s">
        <v>10004</v>
      </c>
      <c r="B2892" s="8" t="s">
        <v>10005</v>
      </c>
      <c r="C2892" s="8" t="s">
        <v>9810</v>
      </c>
      <c r="D2892" s="8" t="s">
        <v>10005</v>
      </c>
      <c r="E2892" s="105">
        <v>1</v>
      </c>
      <c r="F2892" s="106" t="s">
        <v>2024</v>
      </c>
      <c r="G2892" s="8"/>
      <c r="H2892" s="8"/>
      <c r="I2892" s="107">
        <v>0</v>
      </c>
      <c r="J2892" s="8" t="s">
        <v>3580</v>
      </c>
    </row>
    <row r="2893" spans="1:10" ht="16.5" customHeight="1" x14ac:dyDescent="0.25">
      <c r="A2893" s="8" t="s">
        <v>10006</v>
      </c>
      <c r="B2893" s="8" t="s">
        <v>10007</v>
      </c>
      <c r="C2893" s="8" t="s">
        <v>10008</v>
      </c>
      <c r="D2893" s="8" t="s">
        <v>10007</v>
      </c>
      <c r="E2893" s="105">
        <v>1</v>
      </c>
      <c r="F2893" s="106" t="s">
        <v>2024</v>
      </c>
      <c r="G2893" s="8"/>
      <c r="H2893" s="8"/>
      <c r="I2893" s="107">
        <v>0</v>
      </c>
      <c r="J2893" s="8" t="s">
        <v>3580</v>
      </c>
    </row>
    <row r="2894" spans="1:10" ht="16.5" customHeight="1" x14ac:dyDescent="0.25">
      <c r="A2894" s="8" t="s">
        <v>10009</v>
      </c>
      <c r="B2894" s="8" t="s">
        <v>10010</v>
      </c>
      <c r="C2894" s="8" t="s">
        <v>10011</v>
      </c>
      <c r="D2894" s="8" t="s">
        <v>10010</v>
      </c>
      <c r="E2894" s="105">
        <v>1</v>
      </c>
      <c r="F2894" s="106" t="s">
        <v>2024</v>
      </c>
      <c r="G2894" s="8"/>
      <c r="H2894" s="8"/>
      <c r="I2894" s="107">
        <v>0</v>
      </c>
      <c r="J2894" s="8" t="s">
        <v>3580</v>
      </c>
    </row>
    <row r="2895" spans="1:10" ht="16.5" customHeight="1" x14ac:dyDescent="0.25">
      <c r="A2895" s="8" t="s">
        <v>10012</v>
      </c>
      <c r="B2895" s="8" t="s">
        <v>10013</v>
      </c>
      <c r="C2895" s="8" t="s">
        <v>10014</v>
      </c>
      <c r="D2895" s="8" t="s">
        <v>10013</v>
      </c>
      <c r="E2895" s="105">
        <v>1</v>
      </c>
      <c r="F2895" s="106" t="s">
        <v>2024</v>
      </c>
      <c r="G2895" s="8"/>
      <c r="H2895" s="8"/>
      <c r="I2895" s="107">
        <v>0</v>
      </c>
      <c r="J2895" s="8" t="s">
        <v>3580</v>
      </c>
    </row>
    <row r="2896" spans="1:10" ht="16.5" customHeight="1" x14ac:dyDescent="0.25">
      <c r="A2896" s="8" t="s">
        <v>10015</v>
      </c>
      <c r="B2896" s="8" t="s">
        <v>10016</v>
      </c>
      <c r="C2896" s="8" t="s">
        <v>10017</v>
      </c>
      <c r="D2896" s="8" t="s">
        <v>10016</v>
      </c>
      <c r="E2896" s="105">
        <v>1</v>
      </c>
      <c r="F2896" s="106" t="s">
        <v>2024</v>
      </c>
      <c r="G2896" s="8"/>
      <c r="H2896" s="8"/>
      <c r="I2896" s="107">
        <v>0</v>
      </c>
      <c r="J2896" s="8" t="s">
        <v>3580</v>
      </c>
    </row>
    <row r="2897" spans="1:10" ht="16.5" customHeight="1" x14ac:dyDescent="0.25">
      <c r="A2897" s="8" t="s">
        <v>10018</v>
      </c>
      <c r="B2897" s="8" t="s">
        <v>10019</v>
      </c>
      <c r="C2897" s="8" t="s">
        <v>9767</v>
      </c>
      <c r="D2897" s="8" t="s">
        <v>10019</v>
      </c>
      <c r="E2897" s="105">
        <v>1</v>
      </c>
      <c r="F2897" s="106" t="s">
        <v>2024</v>
      </c>
      <c r="G2897" s="8"/>
      <c r="H2897" s="8"/>
      <c r="I2897" s="107">
        <v>0</v>
      </c>
      <c r="J2897" s="8" t="s">
        <v>3580</v>
      </c>
    </row>
    <row r="2898" spans="1:10" ht="16.5" customHeight="1" x14ac:dyDescent="0.25">
      <c r="A2898" s="8" t="s">
        <v>10020</v>
      </c>
      <c r="B2898" s="8" t="s">
        <v>10021</v>
      </c>
      <c r="C2898" s="8" t="s">
        <v>9760</v>
      </c>
      <c r="D2898" s="8" t="s">
        <v>10021</v>
      </c>
      <c r="E2898" s="105">
        <v>1</v>
      </c>
      <c r="F2898" s="106" t="s">
        <v>2024</v>
      </c>
      <c r="G2898" s="8"/>
      <c r="H2898" s="8"/>
      <c r="I2898" s="107">
        <v>0</v>
      </c>
      <c r="J2898" s="8" t="s">
        <v>3580</v>
      </c>
    </row>
    <row r="2899" spans="1:10" ht="16.5" customHeight="1" x14ac:dyDescent="0.25">
      <c r="A2899" s="8" t="s">
        <v>10022</v>
      </c>
      <c r="B2899" s="8" t="s">
        <v>9338</v>
      </c>
      <c r="C2899" s="8" t="s">
        <v>10023</v>
      </c>
      <c r="D2899" s="8" t="s">
        <v>9338</v>
      </c>
      <c r="E2899" s="105">
        <v>1</v>
      </c>
      <c r="F2899" s="106" t="s">
        <v>2024</v>
      </c>
      <c r="G2899" s="8"/>
      <c r="H2899" s="8"/>
      <c r="I2899" s="107">
        <v>0</v>
      </c>
      <c r="J2899" s="8" t="s">
        <v>3580</v>
      </c>
    </row>
    <row r="2900" spans="1:10" ht="16.5" customHeight="1" x14ac:dyDescent="0.25">
      <c r="A2900" s="8" t="s">
        <v>10024</v>
      </c>
      <c r="B2900" s="8" t="s">
        <v>10025</v>
      </c>
      <c r="C2900" s="8" t="s">
        <v>9805</v>
      </c>
      <c r="D2900" s="8" t="s">
        <v>10025</v>
      </c>
      <c r="E2900" s="105">
        <v>1</v>
      </c>
      <c r="F2900" s="106" t="s">
        <v>2024</v>
      </c>
      <c r="G2900" s="8"/>
      <c r="H2900" s="8"/>
      <c r="I2900" s="107">
        <v>0</v>
      </c>
      <c r="J2900" s="8" t="s">
        <v>3580</v>
      </c>
    </row>
    <row r="2901" spans="1:10" ht="16.5" customHeight="1" x14ac:dyDescent="0.25">
      <c r="A2901" s="8" t="s">
        <v>10026</v>
      </c>
      <c r="B2901" s="8" t="s">
        <v>10027</v>
      </c>
      <c r="C2901" s="8" t="s">
        <v>10028</v>
      </c>
      <c r="D2901" s="8" t="s">
        <v>10027</v>
      </c>
      <c r="E2901" s="105">
        <v>1</v>
      </c>
      <c r="F2901" s="106" t="s">
        <v>2024</v>
      </c>
      <c r="G2901" s="8"/>
      <c r="H2901" s="8"/>
      <c r="I2901" s="107">
        <v>0</v>
      </c>
      <c r="J2901" s="8" t="s">
        <v>3580</v>
      </c>
    </row>
    <row r="2902" spans="1:10" ht="16.5" customHeight="1" x14ac:dyDescent="0.25">
      <c r="A2902" s="8" t="s">
        <v>10029</v>
      </c>
      <c r="B2902" s="8" t="s">
        <v>10030</v>
      </c>
      <c r="C2902" s="8" t="s">
        <v>10031</v>
      </c>
      <c r="D2902" s="8" t="s">
        <v>10030</v>
      </c>
      <c r="E2902" s="105">
        <v>1</v>
      </c>
      <c r="F2902" s="106" t="s">
        <v>2024</v>
      </c>
      <c r="G2902" s="8"/>
      <c r="H2902" s="8"/>
      <c r="I2902" s="107">
        <v>0</v>
      </c>
      <c r="J2902" s="8" t="s">
        <v>3580</v>
      </c>
    </row>
    <row r="2903" spans="1:10" ht="16.5" customHeight="1" x14ac:dyDescent="0.25">
      <c r="A2903" s="8" t="s">
        <v>10032</v>
      </c>
      <c r="B2903" s="8" t="s">
        <v>10033</v>
      </c>
      <c r="C2903" s="8" t="s">
        <v>10034</v>
      </c>
      <c r="D2903" s="8" t="s">
        <v>10033</v>
      </c>
      <c r="E2903" s="105">
        <v>1</v>
      </c>
      <c r="F2903" s="106" t="s">
        <v>2024</v>
      </c>
      <c r="G2903" s="8"/>
      <c r="H2903" s="8"/>
      <c r="I2903" s="107">
        <v>0</v>
      </c>
      <c r="J2903" s="8" t="s">
        <v>3580</v>
      </c>
    </row>
    <row r="2904" spans="1:10" ht="16.5" customHeight="1" x14ac:dyDescent="0.25">
      <c r="A2904" s="8" t="s">
        <v>10035</v>
      </c>
      <c r="B2904" s="8" t="s">
        <v>10036</v>
      </c>
      <c r="C2904" s="8" t="s">
        <v>9778</v>
      </c>
      <c r="D2904" s="8" t="s">
        <v>10036</v>
      </c>
      <c r="E2904" s="105">
        <v>1</v>
      </c>
      <c r="F2904" s="106" t="s">
        <v>2024</v>
      </c>
      <c r="G2904" s="8"/>
      <c r="H2904" s="8"/>
      <c r="I2904" s="107">
        <v>0</v>
      </c>
      <c r="J2904" s="8" t="s">
        <v>3580</v>
      </c>
    </row>
    <row r="2905" spans="1:10" ht="16.5" customHeight="1" x14ac:dyDescent="0.25">
      <c r="A2905" s="8" t="s">
        <v>10037</v>
      </c>
      <c r="B2905" s="8" t="s">
        <v>10038</v>
      </c>
      <c r="C2905" s="8" t="s">
        <v>9983</v>
      </c>
      <c r="D2905" s="8" t="s">
        <v>10038</v>
      </c>
      <c r="E2905" s="105">
        <v>1</v>
      </c>
      <c r="F2905" s="106" t="s">
        <v>2024</v>
      </c>
      <c r="G2905" s="8"/>
      <c r="H2905" s="8"/>
      <c r="I2905" s="107">
        <v>0</v>
      </c>
      <c r="J2905" s="8" t="s">
        <v>3580</v>
      </c>
    </row>
    <row r="2906" spans="1:10" ht="16.5" customHeight="1" x14ac:dyDescent="0.25">
      <c r="A2906" s="8" t="s">
        <v>10039</v>
      </c>
      <c r="B2906" s="8" t="s">
        <v>10040</v>
      </c>
      <c r="C2906" s="8" t="s">
        <v>9775</v>
      </c>
      <c r="D2906" s="8" t="s">
        <v>10040</v>
      </c>
      <c r="E2906" s="105">
        <v>1</v>
      </c>
      <c r="F2906" s="106" t="s">
        <v>2024</v>
      </c>
      <c r="G2906" s="8"/>
      <c r="H2906" s="8"/>
      <c r="I2906" s="107">
        <v>0</v>
      </c>
      <c r="J2906" s="8" t="s">
        <v>3580</v>
      </c>
    </row>
    <row r="2907" spans="1:10" ht="16.5" customHeight="1" x14ac:dyDescent="0.25">
      <c r="A2907" s="8" t="s">
        <v>10041</v>
      </c>
      <c r="B2907" s="8" t="s">
        <v>10042</v>
      </c>
      <c r="C2907" s="8" t="s">
        <v>9802</v>
      </c>
      <c r="D2907" s="8" t="s">
        <v>10042</v>
      </c>
      <c r="E2907" s="105">
        <v>1</v>
      </c>
      <c r="F2907" s="106" t="s">
        <v>2024</v>
      </c>
      <c r="G2907" s="8"/>
      <c r="H2907" s="8"/>
      <c r="I2907" s="107">
        <v>0</v>
      </c>
      <c r="J2907" s="8" t="s">
        <v>3580</v>
      </c>
    </row>
    <row r="2908" spans="1:10" ht="16.5" customHeight="1" x14ac:dyDescent="0.25">
      <c r="A2908" s="8" t="s">
        <v>10043</v>
      </c>
      <c r="B2908" s="8" t="s">
        <v>10044</v>
      </c>
      <c r="C2908" s="8" t="s">
        <v>10045</v>
      </c>
      <c r="D2908" s="8" t="s">
        <v>10044</v>
      </c>
      <c r="E2908" s="105">
        <v>1</v>
      </c>
      <c r="F2908" s="106" t="s">
        <v>2024</v>
      </c>
      <c r="G2908" s="8"/>
      <c r="H2908" s="8"/>
      <c r="I2908" s="107">
        <v>0</v>
      </c>
      <c r="J2908" s="8" t="s">
        <v>3580</v>
      </c>
    </row>
    <row r="2909" spans="1:10" ht="16.5" customHeight="1" x14ac:dyDescent="0.25">
      <c r="A2909" s="8" t="s">
        <v>10046</v>
      </c>
      <c r="B2909" s="8" t="s">
        <v>10047</v>
      </c>
      <c r="C2909" s="8" t="s">
        <v>10048</v>
      </c>
      <c r="D2909" s="8" t="s">
        <v>10047</v>
      </c>
      <c r="E2909" s="105">
        <v>1</v>
      </c>
      <c r="F2909" s="106" t="s">
        <v>2024</v>
      </c>
      <c r="G2909" s="8"/>
      <c r="H2909" s="8"/>
      <c r="I2909" s="107">
        <v>0</v>
      </c>
      <c r="J2909" s="8" t="s">
        <v>3580</v>
      </c>
    </row>
    <row r="2910" spans="1:10" ht="16.5" customHeight="1" x14ac:dyDescent="0.25">
      <c r="A2910" s="8" t="s">
        <v>10049</v>
      </c>
      <c r="B2910" s="8" t="s">
        <v>10050</v>
      </c>
      <c r="C2910" s="8" t="s">
        <v>9645</v>
      </c>
      <c r="D2910" s="8" t="s">
        <v>10050</v>
      </c>
      <c r="E2910" s="105">
        <v>1</v>
      </c>
      <c r="F2910" s="106" t="s">
        <v>2024</v>
      </c>
      <c r="G2910" s="8"/>
      <c r="H2910" s="8"/>
      <c r="I2910" s="107">
        <v>0</v>
      </c>
      <c r="J2910" s="8" t="s">
        <v>3580</v>
      </c>
    </row>
    <row r="2911" spans="1:10" ht="16.5" customHeight="1" x14ac:dyDescent="0.25">
      <c r="A2911" s="8" t="s">
        <v>10051</v>
      </c>
      <c r="B2911" s="8" t="s">
        <v>10052</v>
      </c>
      <c r="C2911" s="8" t="s">
        <v>9788</v>
      </c>
      <c r="D2911" s="8" t="s">
        <v>10053</v>
      </c>
      <c r="E2911" s="105">
        <v>1</v>
      </c>
      <c r="F2911" s="106" t="s">
        <v>2024</v>
      </c>
      <c r="G2911" s="8"/>
      <c r="H2911" s="8"/>
      <c r="I2911" s="107">
        <v>0</v>
      </c>
      <c r="J2911" s="8" t="s">
        <v>3580</v>
      </c>
    </row>
    <row r="2912" spans="1:10" ht="16.5" customHeight="1" x14ac:dyDescent="0.25">
      <c r="A2912" s="8" t="s">
        <v>10054</v>
      </c>
      <c r="B2912" s="8" t="s">
        <v>10055</v>
      </c>
      <c r="C2912" s="8" t="s">
        <v>9928</v>
      </c>
      <c r="D2912" s="8" t="s">
        <v>10055</v>
      </c>
      <c r="E2912" s="105">
        <v>1</v>
      </c>
      <c r="F2912" s="106" t="s">
        <v>2024</v>
      </c>
      <c r="G2912" s="8"/>
      <c r="H2912" s="8"/>
      <c r="I2912" s="107">
        <v>0</v>
      </c>
      <c r="J2912" s="8" t="s">
        <v>3580</v>
      </c>
    </row>
    <row r="2913" spans="1:10" ht="16.5" customHeight="1" x14ac:dyDescent="0.25">
      <c r="A2913" s="8" t="s">
        <v>10056</v>
      </c>
      <c r="B2913" s="8" t="s">
        <v>10057</v>
      </c>
      <c r="C2913" s="8" t="s">
        <v>9931</v>
      </c>
      <c r="D2913" s="8" t="s">
        <v>10057</v>
      </c>
      <c r="E2913" s="105">
        <v>1</v>
      </c>
      <c r="F2913" s="106" t="s">
        <v>2024</v>
      </c>
      <c r="G2913" s="8"/>
      <c r="H2913" s="8"/>
      <c r="I2913" s="107">
        <v>0</v>
      </c>
      <c r="J2913" s="8" t="s">
        <v>3580</v>
      </c>
    </row>
    <row r="2914" spans="1:10" ht="16.5" customHeight="1" x14ac:dyDescent="0.25">
      <c r="A2914" s="8" t="s">
        <v>10058</v>
      </c>
      <c r="B2914" s="8" t="s">
        <v>10059</v>
      </c>
      <c r="C2914" s="8" t="s">
        <v>9931</v>
      </c>
      <c r="D2914" s="8" t="s">
        <v>10059</v>
      </c>
      <c r="E2914" s="105">
        <v>1</v>
      </c>
      <c r="F2914" s="106" t="s">
        <v>2024</v>
      </c>
      <c r="G2914" s="8"/>
      <c r="H2914" s="8"/>
      <c r="I2914" s="107">
        <v>0</v>
      </c>
      <c r="J2914" s="8" t="s">
        <v>3580</v>
      </c>
    </row>
    <row r="2915" spans="1:10" ht="16.5" customHeight="1" x14ac:dyDescent="0.25">
      <c r="A2915" s="8" t="s">
        <v>10060</v>
      </c>
      <c r="B2915" s="8" t="s">
        <v>10061</v>
      </c>
      <c r="C2915" s="8" t="s">
        <v>9579</v>
      </c>
      <c r="D2915" s="8" t="s">
        <v>10061</v>
      </c>
      <c r="E2915" s="105">
        <v>1</v>
      </c>
      <c r="F2915" s="106" t="s">
        <v>2024</v>
      </c>
      <c r="G2915" s="8"/>
      <c r="H2915" s="8"/>
      <c r="I2915" s="107">
        <v>0</v>
      </c>
      <c r="J2915" s="8" t="s">
        <v>3580</v>
      </c>
    </row>
    <row r="2916" spans="1:10" ht="16.5" customHeight="1" x14ac:dyDescent="0.25">
      <c r="A2916" s="8" t="s">
        <v>10062</v>
      </c>
      <c r="B2916" s="8" t="s">
        <v>10063</v>
      </c>
      <c r="C2916" s="8" t="s">
        <v>9579</v>
      </c>
      <c r="D2916" s="8" t="s">
        <v>10063</v>
      </c>
      <c r="E2916" s="105">
        <v>1</v>
      </c>
      <c r="F2916" s="106" t="s">
        <v>2024</v>
      </c>
      <c r="G2916" s="8"/>
      <c r="H2916" s="8"/>
      <c r="I2916" s="107">
        <v>0</v>
      </c>
      <c r="J2916" s="8" t="s">
        <v>3580</v>
      </c>
    </row>
    <row r="2917" spans="1:10" ht="16.5" customHeight="1" x14ac:dyDescent="0.25">
      <c r="A2917" s="8" t="s">
        <v>10064</v>
      </c>
      <c r="B2917" s="8" t="s">
        <v>10065</v>
      </c>
      <c r="C2917" s="8" t="s">
        <v>9579</v>
      </c>
      <c r="D2917" s="8" t="s">
        <v>10065</v>
      </c>
      <c r="E2917" s="105">
        <v>1</v>
      </c>
      <c r="F2917" s="106" t="s">
        <v>2024</v>
      </c>
      <c r="G2917" s="8"/>
      <c r="H2917" s="8"/>
      <c r="I2917" s="107">
        <v>0</v>
      </c>
      <c r="J2917" s="8" t="s">
        <v>3580</v>
      </c>
    </row>
    <row r="2918" spans="1:10" ht="16.5" customHeight="1" x14ac:dyDescent="0.25">
      <c r="A2918" s="8" t="s">
        <v>10066</v>
      </c>
      <c r="B2918" s="8" t="s">
        <v>10067</v>
      </c>
      <c r="C2918" s="8" t="s">
        <v>9579</v>
      </c>
      <c r="D2918" s="8" t="s">
        <v>10067</v>
      </c>
      <c r="E2918" s="105">
        <v>1</v>
      </c>
      <c r="F2918" s="106" t="s">
        <v>2024</v>
      </c>
      <c r="G2918" s="8"/>
      <c r="H2918" s="8"/>
      <c r="I2918" s="107">
        <v>0</v>
      </c>
      <c r="J2918" s="8" t="s">
        <v>3580</v>
      </c>
    </row>
    <row r="2919" spans="1:10" ht="16.5" customHeight="1" x14ac:dyDescent="0.25">
      <c r="A2919" s="8" t="s">
        <v>10068</v>
      </c>
      <c r="B2919" s="8" t="s">
        <v>10069</v>
      </c>
      <c r="C2919" s="8" t="s">
        <v>10070</v>
      </c>
      <c r="D2919" s="8" t="s">
        <v>10069</v>
      </c>
      <c r="E2919" s="105">
        <v>1</v>
      </c>
      <c r="F2919" s="106" t="s">
        <v>2018</v>
      </c>
      <c r="G2919" s="8"/>
      <c r="H2919" s="8"/>
      <c r="I2919" s="107">
        <v>0</v>
      </c>
      <c r="J2919" s="8" t="s">
        <v>6357</v>
      </c>
    </row>
    <row r="2920" spans="1:10" ht="16.5" customHeight="1" x14ac:dyDescent="0.25">
      <c r="A2920" s="8" t="s">
        <v>10071</v>
      </c>
      <c r="B2920" s="8" t="s">
        <v>10072</v>
      </c>
      <c r="C2920" s="8" t="s">
        <v>10073</v>
      </c>
      <c r="D2920" s="8" t="s">
        <v>10072</v>
      </c>
      <c r="E2920" s="105">
        <v>12.6</v>
      </c>
      <c r="F2920" s="106" t="s">
        <v>2024</v>
      </c>
      <c r="G2920" s="8" t="s">
        <v>1541</v>
      </c>
      <c r="H2920" s="8" t="s">
        <v>10074</v>
      </c>
      <c r="I2920" s="107">
        <v>6</v>
      </c>
      <c r="J2920" s="8" t="s">
        <v>5929</v>
      </c>
    </row>
    <row r="2921" spans="1:10" ht="16.5" customHeight="1" x14ac:dyDescent="0.25">
      <c r="A2921" s="8" t="s">
        <v>10074</v>
      </c>
      <c r="B2921" s="8" t="s">
        <v>10075</v>
      </c>
      <c r="C2921" s="8" t="s">
        <v>10076</v>
      </c>
      <c r="D2921" s="8" t="s">
        <v>10075</v>
      </c>
      <c r="E2921" s="105">
        <v>2.1</v>
      </c>
      <c r="F2921" s="106" t="s">
        <v>2024</v>
      </c>
      <c r="G2921" s="8" t="s">
        <v>1541</v>
      </c>
      <c r="H2921" s="8"/>
      <c r="I2921" s="107">
        <v>0</v>
      </c>
      <c r="J2921" s="8" t="s">
        <v>5929</v>
      </c>
    </row>
    <row r="2922" spans="1:10" ht="16.5" customHeight="1" x14ac:dyDescent="0.25">
      <c r="A2922" s="8" t="s">
        <v>10077</v>
      </c>
      <c r="B2922" s="8" t="s">
        <v>10078</v>
      </c>
      <c r="C2922" s="8" t="s">
        <v>10079</v>
      </c>
      <c r="D2922" s="8" t="s">
        <v>10078</v>
      </c>
      <c r="E2922" s="105">
        <v>13.2</v>
      </c>
      <c r="F2922" s="106" t="s">
        <v>2024</v>
      </c>
      <c r="G2922" s="8" t="s">
        <v>1541</v>
      </c>
      <c r="H2922" s="8" t="s">
        <v>10080</v>
      </c>
      <c r="I2922" s="107">
        <v>6</v>
      </c>
      <c r="J2922" s="8" t="s">
        <v>5929</v>
      </c>
    </row>
    <row r="2923" spans="1:10" ht="16.5" customHeight="1" x14ac:dyDescent="0.25">
      <c r="A2923" s="8" t="s">
        <v>10080</v>
      </c>
      <c r="B2923" s="8" t="s">
        <v>10081</v>
      </c>
      <c r="C2923" s="8" t="s">
        <v>10082</v>
      </c>
      <c r="D2923" s="8" t="s">
        <v>10081</v>
      </c>
      <c r="E2923" s="105">
        <v>2.2000000000000002</v>
      </c>
      <c r="F2923" s="106" t="s">
        <v>2024</v>
      </c>
      <c r="G2923" s="8" t="s">
        <v>1541</v>
      </c>
      <c r="H2923" s="8"/>
      <c r="I2923" s="107">
        <v>0</v>
      </c>
      <c r="J2923" s="8" t="s">
        <v>5929</v>
      </c>
    </row>
    <row r="2924" spans="1:10" ht="16.5" customHeight="1" x14ac:dyDescent="0.25">
      <c r="A2924" s="8" t="s">
        <v>10083</v>
      </c>
      <c r="B2924" s="8" t="s">
        <v>10084</v>
      </c>
      <c r="C2924" s="8" t="s">
        <v>10085</v>
      </c>
      <c r="D2924" s="8" t="s">
        <v>10084</v>
      </c>
      <c r="E2924" s="105">
        <v>1</v>
      </c>
      <c r="F2924" s="106" t="s">
        <v>2024</v>
      </c>
      <c r="G2924" s="8"/>
      <c r="H2924" s="8"/>
      <c r="I2924" s="107">
        <v>0</v>
      </c>
      <c r="J2924" s="8" t="s">
        <v>6357</v>
      </c>
    </row>
    <row r="2925" spans="1:10" ht="16.5" customHeight="1" x14ac:dyDescent="0.25">
      <c r="A2925" s="8" t="s">
        <v>10086</v>
      </c>
      <c r="B2925" s="8" t="s">
        <v>10087</v>
      </c>
      <c r="C2925" s="8" t="s">
        <v>9212</v>
      </c>
      <c r="D2925" s="8" t="s">
        <v>10087</v>
      </c>
      <c r="E2925" s="105">
        <v>25</v>
      </c>
      <c r="F2925" s="106" t="s">
        <v>2018</v>
      </c>
      <c r="G2925" s="8"/>
      <c r="H2925" s="8"/>
      <c r="I2925" s="107">
        <v>0</v>
      </c>
      <c r="J2925" s="8" t="s">
        <v>2019</v>
      </c>
    </row>
    <row r="2926" spans="1:10" ht="16.5" customHeight="1" x14ac:dyDescent="0.25">
      <c r="A2926" s="8" t="s">
        <v>10088</v>
      </c>
      <c r="B2926" s="8" t="s">
        <v>10089</v>
      </c>
      <c r="C2926" s="8" t="s">
        <v>10090</v>
      </c>
      <c r="D2926" s="8" t="s">
        <v>10089</v>
      </c>
      <c r="E2926" s="105">
        <v>0</v>
      </c>
      <c r="F2926" s="106" t="s">
        <v>2024</v>
      </c>
      <c r="G2926" s="8"/>
      <c r="H2926" s="8"/>
      <c r="I2926" s="107">
        <v>0</v>
      </c>
      <c r="J2926" s="8" t="s">
        <v>4789</v>
      </c>
    </row>
    <row r="2927" spans="1:10" ht="16.5" customHeight="1" x14ac:dyDescent="0.25">
      <c r="A2927" s="8" t="s">
        <v>10091</v>
      </c>
      <c r="B2927" s="8" t="s">
        <v>10092</v>
      </c>
      <c r="C2927" s="8" t="s">
        <v>10093</v>
      </c>
      <c r="D2927" s="8" t="s">
        <v>10092</v>
      </c>
      <c r="E2927" s="105">
        <v>1</v>
      </c>
      <c r="F2927" s="106" t="s">
        <v>2018</v>
      </c>
      <c r="G2927" s="8"/>
      <c r="H2927" s="8"/>
      <c r="I2927" s="107">
        <v>0</v>
      </c>
      <c r="J2927" s="8" t="s">
        <v>2019</v>
      </c>
    </row>
    <row r="2928" spans="1:10" ht="16.5" customHeight="1" x14ac:dyDescent="0.25">
      <c r="A2928" s="8" t="s">
        <v>10094</v>
      </c>
      <c r="B2928" s="8" t="s">
        <v>10095</v>
      </c>
      <c r="C2928" s="8" t="s">
        <v>10096</v>
      </c>
      <c r="D2928" s="8" t="s">
        <v>10095</v>
      </c>
      <c r="E2928" s="105">
        <v>0</v>
      </c>
      <c r="F2928" s="106" t="s">
        <v>2024</v>
      </c>
      <c r="G2928" s="8"/>
      <c r="H2928" s="8"/>
      <c r="I2928" s="107">
        <v>0</v>
      </c>
      <c r="J2928" s="8" t="s">
        <v>4789</v>
      </c>
    </row>
    <row r="2929" spans="1:10" ht="16.5" customHeight="1" x14ac:dyDescent="0.25">
      <c r="A2929" s="8" t="s">
        <v>10097</v>
      </c>
      <c r="B2929" s="8" t="s">
        <v>10098</v>
      </c>
      <c r="C2929" s="8" t="s">
        <v>10099</v>
      </c>
      <c r="D2929" s="8" t="s">
        <v>10098</v>
      </c>
      <c r="E2929" s="105">
        <v>0</v>
      </c>
      <c r="F2929" s="106" t="s">
        <v>2024</v>
      </c>
      <c r="G2929" s="8"/>
      <c r="H2929" s="8"/>
      <c r="I2929" s="107">
        <v>0</v>
      </c>
      <c r="J2929" s="8" t="s">
        <v>4789</v>
      </c>
    </row>
    <row r="2930" spans="1:10" ht="16.5" customHeight="1" x14ac:dyDescent="0.25">
      <c r="A2930" s="8" t="s">
        <v>10100</v>
      </c>
      <c r="B2930" s="8" t="s">
        <v>10101</v>
      </c>
      <c r="C2930" s="8" t="s">
        <v>10102</v>
      </c>
      <c r="D2930" s="8" t="s">
        <v>10101</v>
      </c>
      <c r="E2930" s="105">
        <v>0</v>
      </c>
      <c r="F2930" s="106" t="s">
        <v>2024</v>
      </c>
      <c r="G2930" s="8"/>
      <c r="H2930" s="8"/>
      <c r="I2930" s="107">
        <v>0</v>
      </c>
      <c r="J2930" s="8" t="s">
        <v>4789</v>
      </c>
    </row>
    <row r="2931" spans="1:10" ht="16.5" customHeight="1" x14ac:dyDescent="0.25">
      <c r="A2931" s="8" t="s">
        <v>10103</v>
      </c>
      <c r="B2931" s="8" t="s">
        <v>10104</v>
      </c>
      <c r="C2931" s="8" t="s">
        <v>10104</v>
      </c>
      <c r="D2931" s="8" t="s">
        <v>10105</v>
      </c>
      <c r="E2931" s="105">
        <v>0</v>
      </c>
      <c r="F2931" s="106" t="s">
        <v>2024</v>
      </c>
      <c r="G2931" s="8"/>
      <c r="H2931" s="8"/>
      <c r="I2931" s="107">
        <v>0</v>
      </c>
      <c r="J2931" s="8"/>
    </row>
    <row r="2932" spans="1:10" ht="16.5" customHeight="1" x14ac:dyDescent="0.25">
      <c r="A2932" s="8" t="s">
        <v>10106</v>
      </c>
      <c r="B2932" s="8" t="s">
        <v>10107</v>
      </c>
      <c r="C2932" s="8" t="s">
        <v>10108</v>
      </c>
      <c r="D2932" s="8" t="s">
        <v>10107</v>
      </c>
      <c r="E2932" s="105">
        <v>0</v>
      </c>
      <c r="F2932" s="106" t="s">
        <v>2024</v>
      </c>
      <c r="G2932" s="8"/>
      <c r="H2932" s="8"/>
      <c r="I2932" s="107">
        <v>0</v>
      </c>
      <c r="J2932" s="8" t="s">
        <v>4789</v>
      </c>
    </row>
    <row r="2933" spans="1:10" ht="16.5" customHeight="1" x14ac:dyDescent="0.25">
      <c r="A2933" s="8" t="s">
        <v>10109</v>
      </c>
      <c r="B2933" s="8" t="s">
        <v>4489</v>
      </c>
      <c r="C2933" s="8" t="s">
        <v>4490</v>
      </c>
      <c r="D2933" s="8" t="s">
        <v>4489</v>
      </c>
      <c r="E2933" s="105">
        <v>0</v>
      </c>
      <c r="F2933" s="106" t="s">
        <v>2024</v>
      </c>
      <c r="G2933" s="8"/>
      <c r="H2933" s="8"/>
      <c r="I2933" s="107">
        <v>0</v>
      </c>
      <c r="J2933" s="8" t="s">
        <v>4789</v>
      </c>
    </row>
    <row r="2934" spans="1:10" ht="16.5" customHeight="1" x14ac:dyDescent="0.25">
      <c r="A2934" s="8" t="s">
        <v>10110</v>
      </c>
      <c r="B2934" s="8" t="s">
        <v>10111</v>
      </c>
      <c r="C2934" s="8" t="s">
        <v>10112</v>
      </c>
      <c r="D2934" s="8" t="s">
        <v>10111</v>
      </c>
      <c r="E2934" s="105">
        <v>0</v>
      </c>
      <c r="F2934" s="106" t="s">
        <v>2024</v>
      </c>
      <c r="G2934" s="8"/>
      <c r="H2934" s="8"/>
      <c r="I2934" s="107">
        <v>0</v>
      </c>
      <c r="J2934" s="8" t="s">
        <v>4789</v>
      </c>
    </row>
    <row r="2935" spans="1:10" ht="16.5" customHeight="1" x14ac:dyDescent="0.25">
      <c r="A2935" s="8" t="s">
        <v>10113</v>
      </c>
      <c r="B2935" s="8" t="s">
        <v>10114</v>
      </c>
      <c r="C2935" s="8" t="s">
        <v>10115</v>
      </c>
      <c r="D2935" s="8" t="s">
        <v>10114</v>
      </c>
      <c r="E2935" s="105">
        <v>0</v>
      </c>
      <c r="F2935" s="106" t="s">
        <v>2024</v>
      </c>
      <c r="G2935" s="8"/>
      <c r="H2935" s="8"/>
      <c r="I2935" s="107">
        <v>0</v>
      </c>
      <c r="J2935" s="8" t="s">
        <v>4789</v>
      </c>
    </row>
    <row r="2936" spans="1:10" ht="16.5" customHeight="1" x14ac:dyDescent="0.25">
      <c r="A2936" s="8" t="s">
        <v>10116</v>
      </c>
      <c r="B2936" s="8" t="s">
        <v>10117</v>
      </c>
      <c r="C2936" s="8" t="s">
        <v>10118</v>
      </c>
      <c r="D2936" s="8" t="s">
        <v>10117</v>
      </c>
      <c r="E2936" s="105">
        <v>0</v>
      </c>
      <c r="F2936" s="106" t="s">
        <v>2024</v>
      </c>
      <c r="G2936" s="8"/>
      <c r="H2936" s="8"/>
      <c r="I2936" s="107">
        <v>0</v>
      </c>
      <c r="J2936" s="8" t="s">
        <v>4789</v>
      </c>
    </row>
    <row r="2937" spans="1:10" ht="16.5" customHeight="1" x14ac:dyDescent="0.25">
      <c r="A2937" s="8" t="s">
        <v>10119</v>
      </c>
      <c r="B2937" s="8" t="s">
        <v>10120</v>
      </c>
      <c r="C2937" s="8" t="s">
        <v>10121</v>
      </c>
      <c r="D2937" s="8" t="s">
        <v>10120</v>
      </c>
      <c r="E2937" s="105">
        <v>0</v>
      </c>
      <c r="F2937" s="106" t="s">
        <v>2018</v>
      </c>
      <c r="G2937" s="8"/>
      <c r="H2937" s="8"/>
      <c r="I2937" s="107">
        <v>0</v>
      </c>
      <c r="J2937" s="8" t="s">
        <v>4722</v>
      </c>
    </row>
    <row r="2938" spans="1:10" ht="16.5" customHeight="1" x14ac:dyDescent="0.25">
      <c r="A2938" s="8" t="s">
        <v>10122</v>
      </c>
      <c r="B2938" s="8" t="s">
        <v>10123</v>
      </c>
      <c r="C2938" s="8" t="s">
        <v>10124</v>
      </c>
      <c r="D2938" s="8" t="s">
        <v>10123</v>
      </c>
      <c r="E2938" s="105">
        <v>9.6</v>
      </c>
      <c r="F2938" s="106" t="s">
        <v>2024</v>
      </c>
      <c r="G2938" s="8"/>
      <c r="H2938" s="8"/>
      <c r="I2938" s="107">
        <v>0</v>
      </c>
      <c r="J2938" s="8" t="s">
        <v>6357</v>
      </c>
    </row>
    <row r="2939" spans="1:10" ht="16.5" customHeight="1" x14ac:dyDescent="0.25">
      <c r="A2939" s="8" t="s">
        <v>10125</v>
      </c>
      <c r="B2939" s="8" t="s">
        <v>10126</v>
      </c>
      <c r="C2939" s="8" t="s">
        <v>10127</v>
      </c>
      <c r="D2939" s="8" t="s">
        <v>10126</v>
      </c>
      <c r="E2939" s="105">
        <v>0.4</v>
      </c>
      <c r="F2939" s="106" t="s">
        <v>2024</v>
      </c>
      <c r="G2939" s="8"/>
      <c r="H2939" s="8"/>
      <c r="I2939" s="107">
        <v>0</v>
      </c>
      <c r="J2939" s="8" t="s">
        <v>6357</v>
      </c>
    </row>
    <row r="2940" spans="1:10" ht="16.5" customHeight="1" x14ac:dyDescent="0.25">
      <c r="A2940" s="8" t="s">
        <v>10128</v>
      </c>
      <c r="B2940" s="8" t="s">
        <v>10129</v>
      </c>
      <c r="C2940" s="8" t="s">
        <v>10130</v>
      </c>
      <c r="D2940" s="8" t="s">
        <v>10129</v>
      </c>
      <c r="E2940" s="105">
        <v>12</v>
      </c>
      <c r="F2940" s="106" t="s">
        <v>2024</v>
      </c>
      <c r="G2940" s="8"/>
      <c r="H2940" s="8"/>
      <c r="I2940" s="107">
        <v>0</v>
      </c>
      <c r="J2940" s="8" t="s">
        <v>6357</v>
      </c>
    </row>
    <row r="2941" spans="1:10" ht="16.5" customHeight="1" x14ac:dyDescent="0.25">
      <c r="A2941" s="8" t="s">
        <v>10131</v>
      </c>
      <c r="B2941" s="8" t="s">
        <v>10132</v>
      </c>
      <c r="C2941" s="8" t="s">
        <v>10133</v>
      </c>
      <c r="D2941" s="8" t="s">
        <v>10132</v>
      </c>
      <c r="E2941" s="105">
        <v>0.75</v>
      </c>
      <c r="F2941" s="106" t="s">
        <v>2024</v>
      </c>
      <c r="G2941" s="8"/>
      <c r="H2941" s="8"/>
      <c r="I2941" s="107">
        <v>0</v>
      </c>
      <c r="J2941" s="8" t="s">
        <v>6357</v>
      </c>
    </row>
    <row r="2942" spans="1:10" ht="16.5" customHeight="1" x14ac:dyDescent="0.25">
      <c r="A2942" s="8" t="s">
        <v>10134</v>
      </c>
      <c r="B2942" s="8" t="s">
        <v>10135</v>
      </c>
      <c r="C2942" s="8" t="s">
        <v>9795</v>
      </c>
      <c r="D2942" s="8" t="s">
        <v>10135</v>
      </c>
      <c r="E2942" s="105">
        <v>1</v>
      </c>
      <c r="F2942" s="106" t="s">
        <v>2024</v>
      </c>
      <c r="G2942" s="8"/>
      <c r="H2942" s="8"/>
      <c r="I2942" s="107">
        <v>0</v>
      </c>
      <c r="J2942" s="8" t="s">
        <v>3580</v>
      </c>
    </row>
    <row r="2943" spans="1:10" ht="16.5" customHeight="1" x14ac:dyDescent="0.25">
      <c r="A2943" s="8" t="s">
        <v>10136</v>
      </c>
      <c r="B2943" s="8" t="s">
        <v>10137</v>
      </c>
      <c r="C2943" s="8" t="s">
        <v>10138</v>
      </c>
      <c r="D2943" s="8" t="s">
        <v>10137</v>
      </c>
      <c r="E2943" s="105">
        <v>1</v>
      </c>
      <c r="F2943" s="106" t="s">
        <v>2024</v>
      </c>
      <c r="G2943" s="8"/>
      <c r="H2943" s="8"/>
      <c r="I2943" s="107">
        <v>0</v>
      </c>
      <c r="J2943" s="8" t="s">
        <v>6357</v>
      </c>
    </row>
    <row r="2944" spans="1:10" ht="16.5" customHeight="1" x14ac:dyDescent="0.25">
      <c r="A2944" s="8" t="s">
        <v>10139</v>
      </c>
      <c r="B2944" s="8" t="s">
        <v>10140</v>
      </c>
      <c r="C2944" s="8" t="s">
        <v>10141</v>
      </c>
      <c r="D2944" s="8" t="s">
        <v>10140</v>
      </c>
      <c r="E2944" s="105">
        <v>0</v>
      </c>
      <c r="F2944" s="106" t="s">
        <v>2024</v>
      </c>
      <c r="G2944" s="8"/>
      <c r="H2944" s="8"/>
      <c r="I2944" s="107">
        <v>0</v>
      </c>
      <c r="J2944" s="8" t="s">
        <v>4789</v>
      </c>
    </row>
    <row r="2945" spans="1:10" ht="16.5" customHeight="1" x14ac:dyDescent="0.25">
      <c r="A2945" s="8" t="s">
        <v>10142</v>
      </c>
      <c r="B2945" s="8" t="s">
        <v>10143</v>
      </c>
      <c r="C2945" s="8" t="s">
        <v>10144</v>
      </c>
      <c r="D2945" s="8" t="s">
        <v>10143</v>
      </c>
      <c r="E2945" s="105">
        <v>1</v>
      </c>
      <c r="F2945" s="106" t="s">
        <v>2024</v>
      </c>
      <c r="G2945" s="8"/>
      <c r="H2945" s="8"/>
      <c r="I2945" s="107">
        <v>0</v>
      </c>
      <c r="J2945" s="8" t="s">
        <v>6357</v>
      </c>
    </row>
    <row r="2946" spans="1:10" ht="16.5" customHeight="1" x14ac:dyDescent="0.25">
      <c r="A2946" s="8" t="s">
        <v>10145</v>
      </c>
      <c r="B2946" s="8" t="s">
        <v>10146</v>
      </c>
      <c r="C2946" s="8" t="s">
        <v>10147</v>
      </c>
      <c r="D2946" s="8" t="s">
        <v>10146</v>
      </c>
      <c r="E2946" s="105">
        <v>1</v>
      </c>
      <c r="F2946" s="106" t="s">
        <v>2024</v>
      </c>
      <c r="G2946" s="8"/>
      <c r="H2946" s="8"/>
      <c r="I2946" s="107">
        <v>0</v>
      </c>
      <c r="J2946" s="8" t="s">
        <v>6357</v>
      </c>
    </row>
    <row r="2947" spans="1:10" ht="16.5" customHeight="1" x14ac:dyDescent="0.25">
      <c r="A2947" s="8" t="s">
        <v>10148</v>
      </c>
      <c r="B2947" s="8" t="s">
        <v>10149</v>
      </c>
      <c r="C2947" s="8" t="s">
        <v>10150</v>
      </c>
      <c r="D2947" s="8" t="s">
        <v>10149</v>
      </c>
      <c r="E2947" s="105">
        <v>1</v>
      </c>
      <c r="F2947" s="106" t="s">
        <v>2024</v>
      </c>
      <c r="G2947" s="8"/>
      <c r="H2947" s="8"/>
      <c r="I2947" s="107">
        <v>0</v>
      </c>
      <c r="J2947" s="8" t="s">
        <v>3580</v>
      </c>
    </row>
    <row r="2948" spans="1:10" ht="16.5" customHeight="1" x14ac:dyDescent="0.25">
      <c r="A2948" s="8" t="s">
        <v>10151</v>
      </c>
      <c r="B2948" s="8" t="s">
        <v>10152</v>
      </c>
      <c r="C2948" s="8" t="s">
        <v>10153</v>
      </c>
      <c r="D2948" s="8" t="s">
        <v>10152</v>
      </c>
      <c r="E2948" s="105">
        <v>1</v>
      </c>
      <c r="F2948" s="106" t="s">
        <v>2024</v>
      </c>
      <c r="G2948" s="8"/>
      <c r="H2948" s="8"/>
      <c r="I2948" s="107">
        <v>0</v>
      </c>
      <c r="J2948" s="8" t="s">
        <v>3580</v>
      </c>
    </row>
    <row r="2949" spans="1:10" ht="16.5" customHeight="1" x14ac:dyDescent="0.25">
      <c r="A2949" s="8" t="s">
        <v>10154</v>
      </c>
      <c r="B2949" s="8" t="s">
        <v>10155</v>
      </c>
      <c r="C2949" s="8" t="s">
        <v>10156</v>
      </c>
      <c r="D2949" s="8" t="s">
        <v>10155</v>
      </c>
      <c r="E2949" s="105">
        <v>1</v>
      </c>
      <c r="F2949" s="106" t="s">
        <v>2024</v>
      </c>
      <c r="G2949" s="8"/>
      <c r="H2949" s="8"/>
      <c r="I2949" s="107">
        <v>0</v>
      </c>
      <c r="J2949" s="8" t="s">
        <v>3580</v>
      </c>
    </row>
    <row r="2950" spans="1:10" ht="16.5" customHeight="1" x14ac:dyDescent="0.25">
      <c r="A2950" s="8" t="s">
        <v>10157</v>
      </c>
      <c r="B2950" s="8" t="s">
        <v>10158</v>
      </c>
      <c r="C2950" s="8" t="s">
        <v>10159</v>
      </c>
      <c r="D2950" s="8" t="s">
        <v>10158</v>
      </c>
      <c r="E2950" s="105">
        <v>1</v>
      </c>
      <c r="F2950" s="106" t="s">
        <v>2024</v>
      </c>
      <c r="G2950" s="8"/>
      <c r="H2950" s="8"/>
      <c r="I2950" s="107">
        <v>0</v>
      </c>
      <c r="J2950" s="8" t="s">
        <v>3580</v>
      </c>
    </row>
    <row r="2951" spans="1:10" ht="16.5" customHeight="1" x14ac:dyDescent="0.25">
      <c r="A2951" s="8" t="s">
        <v>10160</v>
      </c>
      <c r="B2951" s="8" t="s">
        <v>10161</v>
      </c>
      <c r="C2951" s="8" t="s">
        <v>10162</v>
      </c>
      <c r="D2951" s="8" t="s">
        <v>10161</v>
      </c>
      <c r="E2951" s="105">
        <v>1</v>
      </c>
      <c r="F2951" s="106" t="s">
        <v>2024</v>
      </c>
      <c r="G2951" s="8"/>
      <c r="H2951" s="8"/>
      <c r="I2951" s="107">
        <v>0</v>
      </c>
      <c r="J2951" s="8" t="s">
        <v>3580</v>
      </c>
    </row>
    <row r="2952" spans="1:10" ht="16.5" customHeight="1" x14ac:dyDescent="0.25">
      <c r="A2952" s="8" t="s">
        <v>10163</v>
      </c>
      <c r="B2952" s="8" t="s">
        <v>10164</v>
      </c>
      <c r="C2952" s="8" t="s">
        <v>10165</v>
      </c>
      <c r="D2952" s="8" t="s">
        <v>10164</v>
      </c>
      <c r="E2952" s="105">
        <v>1</v>
      </c>
      <c r="F2952" s="106" t="s">
        <v>2024</v>
      </c>
      <c r="G2952" s="8"/>
      <c r="H2952" s="8"/>
      <c r="I2952" s="107">
        <v>0</v>
      </c>
      <c r="J2952" s="8" t="s">
        <v>3580</v>
      </c>
    </row>
    <row r="2953" spans="1:10" ht="16.5" customHeight="1" x14ac:dyDescent="0.25">
      <c r="A2953" s="8" t="s">
        <v>10166</v>
      </c>
      <c r="B2953" s="8" t="s">
        <v>10167</v>
      </c>
      <c r="C2953" s="8" t="s">
        <v>10168</v>
      </c>
      <c r="D2953" s="8" t="s">
        <v>10167</v>
      </c>
      <c r="E2953" s="105">
        <v>1</v>
      </c>
      <c r="F2953" s="106" t="s">
        <v>2024</v>
      </c>
      <c r="G2953" s="8"/>
      <c r="H2953" s="8"/>
      <c r="I2953" s="107">
        <v>0</v>
      </c>
      <c r="J2953" s="8" t="s">
        <v>3580</v>
      </c>
    </row>
    <row r="2954" spans="1:10" ht="16.5" customHeight="1" x14ac:dyDescent="0.25">
      <c r="A2954" s="8" t="s">
        <v>10169</v>
      </c>
      <c r="B2954" s="8" t="s">
        <v>10170</v>
      </c>
      <c r="C2954" s="8" t="s">
        <v>10171</v>
      </c>
      <c r="D2954" s="8" t="s">
        <v>10170</v>
      </c>
      <c r="E2954" s="105">
        <v>1</v>
      </c>
      <c r="F2954" s="106" t="s">
        <v>2024</v>
      </c>
      <c r="G2954" s="8"/>
      <c r="H2954" s="8"/>
      <c r="I2954" s="107">
        <v>0</v>
      </c>
      <c r="J2954" s="8" t="s">
        <v>3580</v>
      </c>
    </row>
    <row r="2955" spans="1:10" ht="16.5" customHeight="1" x14ac:dyDescent="0.25">
      <c r="A2955" s="8" t="s">
        <v>10172</v>
      </c>
      <c r="B2955" s="8" t="s">
        <v>10173</v>
      </c>
      <c r="C2955" s="8" t="s">
        <v>10174</v>
      </c>
      <c r="D2955" s="8" t="s">
        <v>10173</v>
      </c>
      <c r="E2955" s="105">
        <v>1</v>
      </c>
      <c r="F2955" s="106" t="s">
        <v>2024</v>
      </c>
      <c r="G2955" s="8"/>
      <c r="H2955" s="8"/>
      <c r="I2955" s="107">
        <v>0</v>
      </c>
      <c r="J2955" s="8" t="s">
        <v>3580</v>
      </c>
    </row>
    <row r="2956" spans="1:10" ht="16.5" customHeight="1" x14ac:dyDescent="0.25">
      <c r="A2956" s="8" t="s">
        <v>10175</v>
      </c>
      <c r="B2956" s="8" t="s">
        <v>10176</v>
      </c>
      <c r="C2956" s="8" t="s">
        <v>10177</v>
      </c>
      <c r="D2956" s="8" t="s">
        <v>10176</v>
      </c>
      <c r="E2956" s="105">
        <v>1</v>
      </c>
      <c r="F2956" s="106" t="s">
        <v>2024</v>
      </c>
      <c r="G2956" s="8"/>
      <c r="H2956" s="8"/>
      <c r="I2956" s="107">
        <v>0</v>
      </c>
      <c r="J2956" s="8" t="s">
        <v>3580</v>
      </c>
    </row>
    <row r="2957" spans="1:10" ht="16.5" customHeight="1" x14ac:dyDescent="0.25">
      <c r="A2957" s="8" t="s">
        <v>10178</v>
      </c>
      <c r="B2957" s="8" t="s">
        <v>10179</v>
      </c>
      <c r="C2957" s="8" t="s">
        <v>10180</v>
      </c>
      <c r="D2957" s="8" t="s">
        <v>10179</v>
      </c>
      <c r="E2957" s="105">
        <v>1</v>
      </c>
      <c r="F2957" s="106" t="s">
        <v>2024</v>
      </c>
      <c r="G2957" s="8"/>
      <c r="H2957" s="8"/>
      <c r="I2957" s="107">
        <v>0</v>
      </c>
      <c r="J2957" s="8" t="s">
        <v>3580</v>
      </c>
    </row>
    <row r="2958" spans="1:10" ht="16.5" customHeight="1" x14ac:dyDescent="0.25">
      <c r="A2958" s="8" t="s">
        <v>10181</v>
      </c>
      <c r="B2958" s="8" t="s">
        <v>10182</v>
      </c>
      <c r="C2958" s="8" t="s">
        <v>10183</v>
      </c>
      <c r="D2958" s="8" t="s">
        <v>10182</v>
      </c>
      <c r="E2958" s="105">
        <v>1</v>
      </c>
      <c r="F2958" s="106" t="s">
        <v>2024</v>
      </c>
      <c r="G2958" s="8"/>
      <c r="H2958" s="8"/>
      <c r="I2958" s="107">
        <v>0</v>
      </c>
      <c r="J2958" s="8" t="s">
        <v>3580</v>
      </c>
    </row>
    <row r="2959" spans="1:10" ht="16.5" customHeight="1" x14ac:dyDescent="0.25">
      <c r="A2959" s="8" t="s">
        <v>10184</v>
      </c>
      <c r="B2959" s="8" t="s">
        <v>10185</v>
      </c>
      <c r="C2959" s="8" t="s">
        <v>10186</v>
      </c>
      <c r="D2959" s="8" t="s">
        <v>10185</v>
      </c>
      <c r="E2959" s="105">
        <v>1</v>
      </c>
      <c r="F2959" s="106" t="s">
        <v>2024</v>
      </c>
      <c r="G2959" s="8"/>
      <c r="H2959" s="8"/>
      <c r="I2959" s="107">
        <v>0</v>
      </c>
      <c r="J2959" s="8" t="s">
        <v>3580</v>
      </c>
    </row>
    <row r="2960" spans="1:10" ht="16.5" customHeight="1" x14ac:dyDescent="0.25">
      <c r="A2960" s="8" t="s">
        <v>10187</v>
      </c>
      <c r="B2960" s="8" t="s">
        <v>9376</v>
      </c>
      <c r="C2960" s="8" t="s">
        <v>9743</v>
      </c>
      <c r="D2960" s="8" t="s">
        <v>9376</v>
      </c>
      <c r="E2960" s="105">
        <v>1</v>
      </c>
      <c r="F2960" s="106" t="s">
        <v>2024</v>
      </c>
      <c r="G2960" s="8"/>
      <c r="H2960" s="8"/>
      <c r="I2960" s="107">
        <v>0</v>
      </c>
      <c r="J2960" s="8" t="s">
        <v>3580</v>
      </c>
    </row>
    <row r="2961" spans="1:10" ht="16.5" customHeight="1" x14ac:dyDescent="0.25">
      <c r="A2961" s="8" t="s">
        <v>10188</v>
      </c>
      <c r="B2961" s="8" t="s">
        <v>9367</v>
      </c>
      <c r="C2961" s="8" t="s">
        <v>9521</v>
      </c>
      <c r="D2961" s="8" t="s">
        <v>9367</v>
      </c>
      <c r="E2961" s="105">
        <v>1</v>
      </c>
      <c r="F2961" s="106" t="s">
        <v>2024</v>
      </c>
      <c r="G2961" s="8"/>
      <c r="H2961" s="8"/>
      <c r="I2961" s="107">
        <v>0</v>
      </c>
      <c r="J2961" s="8" t="s">
        <v>3580</v>
      </c>
    </row>
    <row r="2962" spans="1:10" ht="16.5" customHeight="1" x14ac:dyDescent="0.25">
      <c r="A2962" s="8" t="s">
        <v>10189</v>
      </c>
      <c r="B2962" s="8" t="s">
        <v>9373</v>
      </c>
      <c r="C2962" s="8" t="s">
        <v>9645</v>
      </c>
      <c r="D2962" s="8" t="s">
        <v>9373</v>
      </c>
      <c r="E2962" s="105">
        <v>1</v>
      </c>
      <c r="F2962" s="106" t="s">
        <v>2024</v>
      </c>
      <c r="G2962" s="8"/>
      <c r="H2962" s="8"/>
      <c r="I2962" s="107">
        <v>0</v>
      </c>
      <c r="J2962" s="8" t="s">
        <v>3580</v>
      </c>
    </row>
    <row r="2963" spans="1:10" ht="16.5" customHeight="1" x14ac:dyDescent="0.25">
      <c r="A2963" s="8" t="s">
        <v>10190</v>
      </c>
      <c r="B2963" s="8" t="s">
        <v>9370</v>
      </c>
      <c r="C2963" s="8" t="s">
        <v>9810</v>
      </c>
      <c r="D2963" s="8" t="s">
        <v>9370</v>
      </c>
      <c r="E2963" s="105">
        <v>1</v>
      </c>
      <c r="F2963" s="106" t="s">
        <v>2024</v>
      </c>
      <c r="G2963" s="8"/>
      <c r="H2963" s="8"/>
      <c r="I2963" s="107">
        <v>0</v>
      </c>
      <c r="J2963" s="8" t="s">
        <v>3580</v>
      </c>
    </row>
    <row r="2964" spans="1:10" ht="16.5" customHeight="1" x14ac:dyDescent="0.25">
      <c r="A2964" s="8" t="s">
        <v>10191</v>
      </c>
      <c r="B2964" s="8" t="s">
        <v>10192</v>
      </c>
      <c r="C2964" s="8" t="s">
        <v>9795</v>
      </c>
      <c r="D2964" s="8" t="s">
        <v>10192</v>
      </c>
      <c r="E2964" s="105">
        <v>1</v>
      </c>
      <c r="F2964" s="106" t="s">
        <v>2024</v>
      </c>
      <c r="G2964" s="8"/>
      <c r="H2964" s="8"/>
      <c r="I2964" s="107">
        <v>0</v>
      </c>
      <c r="J2964" s="8" t="s">
        <v>3580</v>
      </c>
    </row>
    <row r="2965" spans="1:10" ht="16.5" customHeight="1" x14ac:dyDescent="0.25">
      <c r="A2965" s="8" t="s">
        <v>10193</v>
      </c>
      <c r="B2965" s="8" t="s">
        <v>10194</v>
      </c>
      <c r="C2965" s="8" t="s">
        <v>10008</v>
      </c>
      <c r="D2965" s="8" t="s">
        <v>10194</v>
      </c>
      <c r="E2965" s="105">
        <v>1</v>
      </c>
      <c r="F2965" s="106" t="s">
        <v>2024</v>
      </c>
      <c r="G2965" s="8"/>
      <c r="H2965" s="8"/>
      <c r="I2965" s="107">
        <v>0</v>
      </c>
      <c r="J2965" s="8" t="s">
        <v>3580</v>
      </c>
    </row>
    <row r="2966" spans="1:10" ht="16.5" customHeight="1" x14ac:dyDescent="0.25">
      <c r="A2966" s="8" t="s">
        <v>10195</v>
      </c>
      <c r="B2966" s="8" t="s">
        <v>7500</v>
      </c>
      <c r="C2966" s="8" t="s">
        <v>10196</v>
      </c>
      <c r="D2966" s="8" t="s">
        <v>7500</v>
      </c>
      <c r="E2966" s="105">
        <v>1</v>
      </c>
      <c r="F2966" s="106" t="s">
        <v>2024</v>
      </c>
      <c r="G2966" s="8"/>
      <c r="H2966" s="8"/>
      <c r="I2966" s="107">
        <v>0</v>
      </c>
      <c r="J2966" s="8" t="s">
        <v>3580</v>
      </c>
    </row>
    <row r="2967" spans="1:10" ht="16.5" customHeight="1" x14ac:dyDescent="0.25">
      <c r="A2967" s="8" t="s">
        <v>10197</v>
      </c>
      <c r="B2967" s="8" t="s">
        <v>10198</v>
      </c>
      <c r="C2967" s="8" t="s">
        <v>10199</v>
      </c>
      <c r="D2967" s="8" t="s">
        <v>10198</v>
      </c>
      <c r="E2967" s="105">
        <v>1</v>
      </c>
      <c r="F2967" s="106" t="s">
        <v>2024</v>
      </c>
      <c r="G2967" s="8"/>
      <c r="H2967" s="8"/>
      <c r="I2967" s="107">
        <v>0</v>
      </c>
      <c r="J2967" s="8" t="s">
        <v>3580</v>
      </c>
    </row>
    <row r="2968" spans="1:10" ht="16.5" customHeight="1" x14ac:dyDescent="0.25">
      <c r="A2968" s="8" t="s">
        <v>10200</v>
      </c>
      <c r="B2968" s="8" t="s">
        <v>10201</v>
      </c>
      <c r="C2968" s="8" t="s">
        <v>9743</v>
      </c>
      <c r="D2968" s="8" t="s">
        <v>10201</v>
      </c>
      <c r="E2968" s="105">
        <v>1</v>
      </c>
      <c r="F2968" s="106" t="s">
        <v>2024</v>
      </c>
      <c r="G2968" s="8"/>
      <c r="H2968" s="8"/>
      <c r="I2968" s="107">
        <v>0</v>
      </c>
      <c r="J2968" s="8" t="s">
        <v>3580</v>
      </c>
    </row>
    <row r="2969" spans="1:10" ht="16.5" customHeight="1" x14ac:dyDescent="0.25">
      <c r="A2969" s="8" t="s">
        <v>10202</v>
      </c>
      <c r="B2969" s="8" t="s">
        <v>10203</v>
      </c>
      <c r="C2969" s="8" t="s">
        <v>10204</v>
      </c>
      <c r="D2969" s="8" t="s">
        <v>10203</v>
      </c>
      <c r="E2969" s="105">
        <v>1</v>
      </c>
      <c r="F2969" s="106" t="s">
        <v>2024</v>
      </c>
      <c r="G2969" s="8"/>
      <c r="H2969" s="8"/>
      <c r="I2969" s="107">
        <v>0</v>
      </c>
      <c r="J2969" s="8" t="s">
        <v>3580</v>
      </c>
    </row>
    <row r="2970" spans="1:10" ht="16.5" customHeight="1" x14ac:dyDescent="0.25">
      <c r="A2970" s="8" t="s">
        <v>10205</v>
      </c>
      <c r="B2970" s="8" t="s">
        <v>10206</v>
      </c>
      <c r="C2970" s="8" t="s">
        <v>10207</v>
      </c>
      <c r="D2970" s="8" t="s">
        <v>10206</v>
      </c>
      <c r="E2970" s="105">
        <v>1</v>
      </c>
      <c r="F2970" s="106" t="s">
        <v>2024</v>
      </c>
      <c r="G2970" s="8"/>
      <c r="H2970" s="8"/>
      <c r="I2970" s="107">
        <v>0</v>
      </c>
      <c r="J2970" s="8" t="s">
        <v>3580</v>
      </c>
    </row>
    <row r="2971" spans="1:10" ht="16.5" customHeight="1" x14ac:dyDescent="0.25">
      <c r="A2971" s="8" t="s">
        <v>10208</v>
      </c>
      <c r="B2971" s="8" t="s">
        <v>38</v>
      </c>
      <c r="C2971" s="8" t="s">
        <v>9872</v>
      </c>
      <c r="D2971" s="8" t="s">
        <v>38</v>
      </c>
      <c r="E2971" s="105">
        <v>12</v>
      </c>
      <c r="F2971" s="106" t="s">
        <v>2024</v>
      </c>
      <c r="G2971" s="8"/>
      <c r="H2971" s="8" t="s">
        <v>9873</v>
      </c>
      <c r="I2971" s="107">
        <v>12</v>
      </c>
      <c r="J2971" s="8" t="s">
        <v>8088</v>
      </c>
    </row>
    <row r="2972" spans="1:10" ht="16.5" customHeight="1" x14ac:dyDescent="0.25">
      <c r="A2972" s="8" t="s">
        <v>10209</v>
      </c>
      <c r="B2972" s="8" t="s">
        <v>9874</v>
      </c>
      <c r="C2972" s="8" t="s">
        <v>8091</v>
      </c>
      <c r="D2972" s="8" t="s">
        <v>9874</v>
      </c>
      <c r="E2972" s="105">
        <v>1</v>
      </c>
      <c r="F2972" s="106" t="s">
        <v>2024</v>
      </c>
      <c r="G2972" s="8"/>
      <c r="H2972" s="8"/>
      <c r="I2972" s="107">
        <v>0</v>
      </c>
      <c r="J2972" s="8" t="s">
        <v>8088</v>
      </c>
    </row>
    <row r="2973" spans="1:10" ht="16.5" customHeight="1" x14ac:dyDescent="0.25">
      <c r="A2973" s="8" t="s">
        <v>10210</v>
      </c>
      <c r="B2973" s="8" t="s">
        <v>55</v>
      </c>
      <c r="C2973" s="8" t="s">
        <v>9876</v>
      </c>
      <c r="D2973" s="8" t="s">
        <v>55</v>
      </c>
      <c r="E2973" s="105">
        <v>12</v>
      </c>
      <c r="F2973" s="106" t="s">
        <v>2024</v>
      </c>
      <c r="G2973" s="8"/>
      <c r="H2973" s="8" t="s">
        <v>9877</v>
      </c>
      <c r="I2973" s="107">
        <v>12</v>
      </c>
      <c r="J2973" s="8" t="s">
        <v>8088</v>
      </c>
    </row>
    <row r="2974" spans="1:10" ht="16.5" customHeight="1" x14ac:dyDescent="0.25">
      <c r="A2974" s="8" t="s">
        <v>10211</v>
      </c>
      <c r="B2974" s="8" t="s">
        <v>9878</v>
      </c>
      <c r="C2974" s="8" t="s">
        <v>8096</v>
      </c>
      <c r="D2974" s="8" t="s">
        <v>9878</v>
      </c>
      <c r="E2974" s="105">
        <v>1</v>
      </c>
      <c r="F2974" s="106" t="s">
        <v>2024</v>
      </c>
      <c r="G2974" s="8"/>
      <c r="H2974" s="8"/>
      <c r="I2974" s="107">
        <v>0</v>
      </c>
      <c r="J2974" s="8" t="s">
        <v>8088</v>
      </c>
    </row>
    <row r="2975" spans="1:10" ht="16.5" customHeight="1" x14ac:dyDescent="0.25">
      <c r="A2975" s="8" t="s">
        <v>10212</v>
      </c>
      <c r="B2975" s="8" t="s">
        <v>39</v>
      </c>
      <c r="C2975" s="8" t="s">
        <v>9880</v>
      </c>
      <c r="D2975" s="8" t="s">
        <v>39</v>
      </c>
      <c r="E2975" s="105">
        <v>12</v>
      </c>
      <c r="F2975" s="106" t="s">
        <v>2024</v>
      </c>
      <c r="G2975" s="8"/>
      <c r="H2975" s="8" t="s">
        <v>9881</v>
      </c>
      <c r="I2975" s="107">
        <v>12</v>
      </c>
      <c r="J2975" s="8" t="s">
        <v>8088</v>
      </c>
    </row>
    <row r="2976" spans="1:10" ht="16.5" customHeight="1" x14ac:dyDescent="0.25">
      <c r="A2976" s="8" t="s">
        <v>10213</v>
      </c>
      <c r="B2976" s="8" t="s">
        <v>9882</v>
      </c>
      <c r="C2976" s="8" t="s">
        <v>8103</v>
      </c>
      <c r="D2976" s="8" t="s">
        <v>9882</v>
      </c>
      <c r="E2976" s="105">
        <v>1</v>
      </c>
      <c r="F2976" s="106" t="s">
        <v>2024</v>
      </c>
      <c r="G2976" s="8"/>
      <c r="H2976" s="8"/>
      <c r="I2976" s="107">
        <v>0</v>
      </c>
      <c r="J2976" s="8" t="s">
        <v>8088</v>
      </c>
    </row>
    <row r="2977" spans="1:10" ht="16.5" customHeight="1" x14ac:dyDescent="0.25">
      <c r="A2977" s="8" t="s">
        <v>10214</v>
      </c>
      <c r="B2977" s="8" t="s">
        <v>9884</v>
      </c>
      <c r="C2977" s="8" t="s">
        <v>9885</v>
      </c>
      <c r="D2977" s="8" t="s">
        <v>9884</v>
      </c>
      <c r="E2977" s="105">
        <v>12</v>
      </c>
      <c r="F2977" s="106" t="s">
        <v>2024</v>
      </c>
      <c r="G2977" s="8"/>
      <c r="H2977" s="8" t="s">
        <v>9886</v>
      </c>
      <c r="I2977" s="107">
        <v>12</v>
      </c>
      <c r="J2977" s="8" t="s">
        <v>8097</v>
      </c>
    </row>
    <row r="2978" spans="1:10" ht="16.5" customHeight="1" x14ac:dyDescent="0.25">
      <c r="A2978" s="8" t="s">
        <v>10215</v>
      </c>
      <c r="B2978" s="8" t="s">
        <v>9887</v>
      </c>
      <c r="C2978" s="8" t="s">
        <v>8108</v>
      </c>
      <c r="D2978" s="8" t="s">
        <v>9887</v>
      </c>
      <c r="E2978" s="105">
        <v>1</v>
      </c>
      <c r="F2978" s="106" t="s">
        <v>2024</v>
      </c>
      <c r="G2978" s="8"/>
      <c r="H2978" s="8"/>
      <c r="I2978" s="107">
        <v>0</v>
      </c>
      <c r="J2978" s="8" t="s">
        <v>8097</v>
      </c>
    </row>
    <row r="2979" spans="1:10" ht="16.5" customHeight="1" x14ac:dyDescent="0.25">
      <c r="A2979" s="8" t="s">
        <v>10216</v>
      </c>
      <c r="B2979" s="8" t="s">
        <v>9889</v>
      </c>
      <c r="C2979" s="8" t="s">
        <v>9890</v>
      </c>
      <c r="D2979" s="8" t="s">
        <v>9889</v>
      </c>
      <c r="E2979" s="105">
        <v>4.8</v>
      </c>
      <c r="F2979" s="106" t="s">
        <v>2024</v>
      </c>
      <c r="G2979" s="8"/>
      <c r="H2979" s="8" t="s">
        <v>9891</v>
      </c>
      <c r="I2979" s="107">
        <v>24</v>
      </c>
      <c r="J2979" s="8" t="s">
        <v>8088</v>
      </c>
    </row>
    <row r="2980" spans="1:10" ht="16.5" customHeight="1" x14ac:dyDescent="0.25">
      <c r="A2980" s="8" t="s">
        <v>10217</v>
      </c>
      <c r="B2980" s="8" t="s">
        <v>9892</v>
      </c>
      <c r="C2980" s="8" t="s">
        <v>8114</v>
      </c>
      <c r="D2980" s="8" t="s">
        <v>9892</v>
      </c>
      <c r="E2980" s="105">
        <v>0.2</v>
      </c>
      <c r="F2980" s="106" t="s">
        <v>2024</v>
      </c>
      <c r="G2980" s="8"/>
      <c r="H2980" s="8"/>
      <c r="I2980" s="107">
        <v>0</v>
      </c>
      <c r="J2980" s="8" t="s">
        <v>8088</v>
      </c>
    </row>
    <row r="2981" spans="1:10" ht="16.5" customHeight="1" x14ac:dyDescent="0.25">
      <c r="A2981" s="8" t="s">
        <v>10218</v>
      </c>
      <c r="B2981" s="8" t="s">
        <v>9894</v>
      </c>
      <c r="C2981" s="8" t="s">
        <v>9895</v>
      </c>
      <c r="D2981" s="8" t="s">
        <v>9894</v>
      </c>
      <c r="E2981" s="105">
        <v>4.8</v>
      </c>
      <c r="F2981" s="106" t="s">
        <v>2024</v>
      </c>
      <c r="G2981" s="8"/>
      <c r="H2981" s="8" t="s">
        <v>9896</v>
      </c>
      <c r="I2981" s="107">
        <v>24</v>
      </c>
      <c r="J2981" s="8" t="s">
        <v>8088</v>
      </c>
    </row>
    <row r="2982" spans="1:10" ht="16.5" customHeight="1" x14ac:dyDescent="0.25">
      <c r="A2982" s="8" t="s">
        <v>10219</v>
      </c>
      <c r="B2982" s="8" t="s">
        <v>59</v>
      </c>
      <c r="C2982" s="8" t="s">
        <v>8120</v>
      </c>
      <c r="D2982" s="8" t="s">
        <v>59</v>
      </c>
      <c r="E2982" s="105">
        <v>0.2</v>
      </c>
      <c r="F2982" s="106" t="s">
        <v>2024</v>
      </c>
      <c r="G2982" s="8"/>
      <c r="H2982" s="8"/>
      <c r="I2982" s="107">
        <v>0</v>
      </c>
      <c r="J2982" s="8" t="s">
        <v>8088</v>
      </c>
    </row>
    <row r="2983" spans="1:10" ht="16.5" customHeight="1" x14ac:dyDescent="0.25">
      <c r="A2983" s="8" t="s">
        <v>10220</v>
      </c>
      <c r="B2983" s="8" t="s">
        <v>41</v>
      </c>
      <c r="C2983" s="8" t="s">
        <v>9898</v>
      </c>
      <c r="D2983" s="8" t="s">
        <v>41</v>
      </c>
      <c r="E2983" s="105">
        <v>4.8</v>
      </c>
      <c r="F2983" s="106" t="s">
        <v>2024</v>
      </c>
      <c r="G2983" s="8"/>
      <c r="H2983" s="8" t="s">
        <v>9899</v>
      </c>
      <c r="I2983" s="107">
        <v>24</v>
      </c>
      <c r="J2983" s="8" t="s">
        <v>8088</v>
      </c>
    </row>
    <row r="2984" spans="1:10" ht="16.5" customHeight="1" x14ac:dyDescent="0.25">
      <c r="A2984" s="8" t="s">
        <v>10221</v>
      </c>
      <c r="B2984" s="8" t="s">
        <v>9900</v>
      </c>
      <c r="C2984" s="8" t="s">
        <v>8126</v>
      </c>
      <c r="D2984" s="8" t="s">
        <v>9900</v>
      </c>
      <c r="E2984" s="105">
        <v>0.2</v>
      </c>
      <c r="F2984" s="106" t="s">
        <v>2024</v>
      </c>
      <c r="G2984" s="8"/>
      <c r="H2984" s="8"/>
      <c r="I2984" s="107">
        <v>0</v>
      </c>
      <c r="J2984" s="8" t="s">
        <v>8088</v>
      </c>
    </row>
    <row r="2985" spans="1:10" ht="16.5" customHeight="1" x14ac:dyDescent="0.25">
      <c r="A2985" s="8" t="s">
        <v>10222</v>
      </c>
      <c r="B2985" s="8" t="s">
        <v>9902</v>
      </c>
      <c r="C2985" s="8" t="s">
        <v>9903</v>
      </c>
      <c r="D2985" s="8" t="s">
        <v>9902</v>
      </c>
      <c r="E2985" s="105">
        <v>4.8</v>
      </c>
      <c r="F2985" s="106" t="s">
        <v>2024</v>
      </c>
      <c r="G2985" s="8"/>
      <c r="H2985" s="8" t="s">
        <v>9904</v>
      </c>
      <c r="I2985" s="107">
        <v>24</v>
      </c>
      <c r="J2985" s="8" t="s">
        <v>8088</v>
      </c>
    </row>
    <row r="2986" spans="1:10" ht="16.5" customHeight="1" x14ac:dyDescent="0.25">
      <c r="A2986" s="8" t="s">
        <v>10223</v>
      </c>
      <c r="B2986" s="8" t="s">
        <v>9905</v>
      </c>
      <c r="C2986" s="8" t="s">
        <v>8132</v>
      </c>
      <c r="D2986" s="8" t="s">
        <v>9905</v>
      </c>
      <c r="E2986" s="105">
        <v>0.2</v>
      </c>
      <c r="F2986" s="106" t="s">
        <v>2024</v>
      </c>
      <c r="G2986" s="8"/>
      <c r="H2986" s="8"/>
      <c r="I2986" s="107">
        <v>0</v>
      </c>
      <c r="J2986" s="8" t="s">
        <v>8088</v>
      </c>
    </row>
    <row r="2987" spans="1:10" ht="16.5" customHeight="1" x14ac:dyDescent="0.25">
      <c r="A2987" s="8" t="s">
        <v>10224</v>
      </c>
      <c r="B2987" s="8" t="s">
        <v>9907</v>
      </c>
      <c r="C2987" s="8" t="s">
        <v>9908</v>
      </c>
      <c r="D2987" s="8" t="s">
        <v>9907</v>
      </c>
      <c r="E2987" s="105">
        <v>4.8</v>
      </c>
      <c r="F2987" s="106" t="s">
        <v>2024</v>
      </c>
      <c r="G2987" s="8"/>
      <c r="H2987" s="8" t="s">
        <v>9909</v>
      </c>
      <c r="I2987" s="107">
        <v>24</v>
      </c>
      <c r="J2987" s="8" t="s">
        <v>8088</v>
      </c>
    </row>
    <row r="2988" spans="1:10" ht="16.5" customHeight="1" x14ac:dyDescent="0.25">
      <c r="A2988" s="8" t="s">
        <v>10225</v>
      </c>
      <c r="B2988" s="8" t="s">
        <v>9910</v>
      </c>
      <c r="C2988" s="8" t="s">
        <v>8138</v>
      </c>
      <c r="D2988" s="8" t="s">
        <v>9910</v>
      </c>
      <c r="E2988" s="105">
        <v>0.2</v>
      </c>
      <c r="F2988" s="106" t="s">
        <v>2024</v>
      </c>
      <c r="G2988" s="8"/>
      <c r="H2988" s="8"/>
      <c r="I2988" s="107">
        <v>0</v>
      </c>
      <c r="J2988" s="8" t="s">
        <v>8088</v>
      </c>
    </row>
    <row r="2989" spans="1:10" ht="16.5" customHeight="1" x14ac:dyDescent="0.25">
      <c r="A2989" s="8" t="s">
        <v>10226</v>
      </c>
      <c r="B2989" s="8" t="s">
        <v>10227</v>
      </c>
      <c r="C2989" s="8" t="s">
        <v>10228</v>
      </c>
      <c r="D2989" s="8" t="s">
        <v>10227</v>
      </c>
      <c r="E2989" s="105">
        <v>9</v>
      </c>
      <c r="F2989" s="106" t="s">
        <v>2018</v>
      </c>
      <c r="G2989" s="8"/>
      <c r="H2989" s="8"/>
      <c r="I2989" s="107">
        <v>0</v>
      </c>
      <c r="J2989" s="8" t="s">
        <v>2019</v>
      </c>
    </row>
    <row r="2990" spans="1:10" ht="16.5" customHeight="1" x14ac:dyDescent="0.25">
      <c r="A2990" s="8" t="s">
        <v>10229</v>
      </c>
      <c r="B2990" s="8" t="s">
        <v>10230</v>
      </c>
      <c r="C2990" s="8" t="s">
        <v>10231</v>
      </c>
      <c r="D2990" s="8" t="s">
        <v>10230</v>
      </c>
      <c r="E2990" s="105">
        <v>1</v>
      </c>
      <c r="F2990" s="106" t="s">
        <v>2024</v>
      </c>
      <c r="G2990" s="8"/>
      <c r="H2990" s="8"/>
      <c r="I2990" s="107">
        <v>0</v>
      </c>
      <c r="J2990" s="8" t="s">
        <v>6357</v>
      </c>
    </row>
    <row r="2991" spans="1:10" ht="16.5" customHeight="1" x14ac:dyDescent="0.25">
      <c r="A2991" s="8" t="s">
        <v>10232</v>
      </c>
      <c r="B2991" s="8" t="s">
        <v>10233</v>
      </c>
      <c r="C2991" s="8" t="s">
        <v>10234</v>
      </c>
      <c r="D2991" s="8" t="s">
        <v>10233</v>
      </c>
      <c r="E2991" s="105">
        <v>1</v>
      </c>
      <c r="F2991" s="106" t="s">
        <v>2024</v>
      </c>
      <c r="G2991" s="8"/>
      <c r="H2991" s="8"/>
      <c r="I2991" s="107">
        <v>0</v>
      </c>
      <c r="J2991" s="8" t="s">
        <v>6357</v>
      </c>
    </row>
    <row r="2992" spans="1:10" ht="16.5" customHeight="1" x14ac:dyDescent="0.25">
      <c r="A2992" s="8" t="s">
        <v>10235</v>
      </c>
      <c r="B2992" s="8" t="s">
        <v>10236</v>
      </c>
      <c r="C2992" s="8" t="s">
        <v>10237</v>
      </c>
      <c r="D2992" s="8" t="s">
        <v>10236</v>
      </c>
      <c r="E2992" s="105">
        <v>1</v>
      </c>
      <c r="F2992" s="106" t="s">
        <v>2024</v>
      </c>
      <c r="G2992" s="8"/>
      <c r="H2992" s="8"/>
      <c r="I2992" s="107">
        <v>0</v>
      </c>
      <c r="J2992" s="8" t="s">
        <v>6357</v>
      </c>
    </row>
    <row r="2993" spans="1:10" ht="16.5" customHeight="1" x14ac:dyDescent="0.25">
      <c r="A2993" s="8" t="s">
        <v>10238</v>
      </c>
      <c r="B2993" s="8" t="s">
        <v>10239</v>
      </c>
      <c r="C2993" s="8" t="s">
        <v>10240</v>
      </c>
      <c r="D2993" s="8" t="s">
        <v>10239</v>
      </c>
      <c r="E2993" s="105">
        <v>0</v>
      </c>
      <c r="F2993" s="106" t="s">
        <v>2024</v>
      </c>
      <c r="G2993" s="8"/>
      <c r="H2993" s="8"/>
      <c r="I2993" s="107">
        <v>0</v>
      </c>
      <c r="J2993" s="8" t="s">
        <v>2019</v>
      </c>
    </row>
    <row r="2994" spans="1:10" ht="16.5" customHeight="1" x14ac:dyDescent="0.25">
      <c r="A2994" s="8" t="s">
        <v>10241</v>
      </c>
      <c r="B2994" s="8" t="s">
        <v>10242</v>
      </c>
      <c r="C2994" s="8" t="s">
        <v>10242</v>
      </c>
      <c r="D2994" s="8" t="s">
        <v>10242</v>
      </c>
      <c r="E2994" s="105">
        <v>0</v>
      </c>
      <c r="F2994" s="106" t="s">
        <v>2024</v>
      </c>
      <c r="G2994" s="8"/>
      <c r="H2994" s="8"/>
      <c r="I2994" s="107">
        <v>0</v>
      </c>
      <c r="J2994" s="8"/>
    </row>
    <row r="2995" spans="1:10" ht="16.5" customHeight="1" x14ac:dyDescent="0.25">
      <c r="A2995" s="8" t="s">
        <v>10243</v>
      </c>
      <c r="B2995" s="8" t="s">
        <v>10244</v>
      </c>
      <c r="C2995" s="8" t="s">
        <v>9743</v>
      </c>
      <c r="D2995" s="8" t="s">
        <v>10244</v>
      </c>
      <c r="E2995" s="105">
        <v>1</v>
      </c>
      <c r="F2995" s="106" t="s">
        <v>2024</v>
      </c>
      <c r="G2995" s="8"/>
      <c r="H2995" s="8"/>
      <c r="I2995" s="107">
        <v>0</v>
      </c>
      <c r="J2995" s="8" t="s">
        <v>3580</v>
      </c>
    </row>
    <row r="2996" spans="1:10" ht="16.5" customHeight="1" x14ac:dyDescent="0.25">
      <c r="A2996" s="8" t="s">
        <v>10245</v>
      </c>
      <c r="B2996" s="8" t="s">
        <v>10246</v>
      </c>
      <c r="C2996" s="8" t="s">
        <v>3244</v>
      </c>
      <c r="D2996" s="8" t="s">
        <v>10246</v>
      </c>
      <c r="E2996" s="105">
        <v>10.92</v>
      </c>
      <c r="F2996" s="106" t="s">
        <v>2024</v>
      </c>
      <c r="G2996" s="8"/>
      <c r="H2996" s="8"/>
      <c r="I2996" s="107">
        <v>0</v>
      </c>
      <c r="J2996" s="8" t="s">
        <v>2019</v>
      </c>
    </row>
    <row r="2997" spans="1:10" ht="16.5" customHeight="1" x14ac:dyDescent="0.25">
      <c r="A2997" s="8" t="s">
        <v>10247</v>
      </c>
      <c r="B2997" s="8" t="s">
        <v>5946</v>
      </c>
      <c r="C2997" s="8" t="s">
        <v>5947</v>
      </c>
      <c r="D2997" s="8" t="s">
        <v>5946</v>
      </c>
      <c r="E2997" s="105">
        <v>13</v>
      </c>
      <c r="F2997" s="106" t="s">
        <v>2024</v>
      </c>
      <c r="G2997" s="8"/>
      <c r="H2997" s="8"/>
      <c r="I2997" s="107">
        <v>0</v>
      </c>
      <c r="J2997" s="8" t="s">
        <v>4789</v>
      </c>
    </row>
    <row r="2998" spans="1:10" ht="16.5" customHeight="1" x14ac:dyDescent="0.25">
      <c r="A2998" s="8" t="s">
        <v>10248</v>
      </c>
      <c r="B2998" s="8" t="s">
        <v>8381</v>
      </c>
      <c r="C2998" s="8" t="s">
        <v>1452</v>
      </c>
      <c r="D2998" s="8" t="s">
        <v>8381</v>
      </c>
      <c r="E2998" s="105">
        <v>6</v>
      </c>
      <c r="F2998" s="106" t="s">
        <v>2024</v>
      </c>
      <c r="G2998" s="8"/>
      <c r="H2998" s="8"/>
      <c r="I2998" s="107">
        <v>0</v>
      </c>
      <c r="J2998" s="8" t="s">
        <v>4823</v>
      </c>
    </row>
    <row r="2999" spans="1:10" ht="16.5" customHeight="1" x14ac:dyDescent="0.25">
      <c r="A2999" s="8" t="s">
        <v>10249</v>
      </c>
      <c r="B2999" s="8" t="s">
        <v>8657</v>
      </c>
      <c r="C2999" s="8" t="s">
        <v>8658</v>
      </c>
      <c r="D2999" s="8" t="s">
        <v>8657</v>
      </c>
      <c r="E2999" s="105">
        <v>10.92</v>
      </c>
      <c r="F2999" s="106" t="s">
        <v>2024</v>
      </c>
      <c r="G2999" s="8"/>
      <c r="H2999" s="8"/>
      <c r="I2999" s="107">
        <v>0</v>
      </c>
      <c r="J2999" s="8" t="s">
        <v>4722</v>
      </c>
    </row>
    <row r="3000" spans="1:10" ht="16.5" customHeight="1" x14ac:dyDescent="0.25">
      <c r="A3000" s="8" t="s">
        <v>10250</v>
      </c>
      <c r="B3000" s="8" t="s">
        <v>10251</v>
      </c>
      <c r="C3000" s="8" t="s">
        <v>10252</v>
      </c>
      <c r="D3000" s="8" t="s">
        <v>10251</v>
      </c>
      <c r="E3000" s="105">
        <v>0</v>
      </c>
      <c r="F3000" s="106" t="s">
        <v>2024</v>
      </c>
      <c r="G3000" s="8"/>
      <c r="H3000" s="8"/>
      <c r="I3000" s="107">
        <v>0</v>
      </c>
      <c r="J3000" s="8" t="s">
        <v>2019</v>
      </c>
    </row>
    <row r="3001" spans="1:10" ht="16.5" customHeight="1" x14ac:dyDescent="0.25">
      <c r="A3001" s="8" t="s">
        <v>10253</v>
      </c>
      <c r="B3001" s="8" t="s">
        <v>10254</v>
      </c>
      <c r="C3001" s="8" t="s">
        <v>10255</v>
      </c>
      <c r="D3001" s="8" t="s">
        <v>10254</v>
      </c>
      <c r="E3001" s="105">
        <v>1</v>
      </c>
      <c r="F3001" s="106" t="s">
        <v>2024</v>
      </c>
      <c r="G3001" s="8"/>
      <c r="H3001" s="8"/>
      <c r="I3001" s="107">
        <v>0</v>
      </c>
      <c r="J3001" s="8" t="s">
        <v>2019</v>
      </c>
    </row>
    <row r="3002" spans="1:10" ht="16.5" customHeight="1" x14ac:dyDescent="0.25">
      <c r="A3002" s="8" t="s">
        <v>10256</v>
      </c>
      <c r="B3002" s="8" t="s">
        <v>10257</v>
      </c>
      <c r="C3002" s="8" t="s">
        <v>10258</v>
      </c>
      <c r="D3002" s="8" t="s">
        <v>10257</v>
      </c>
      <c r="E3002" s="105">
        <v>1</v>
      </c>
      <c r="F3002" s="106" t="s">
        <v>2024</v>
      </c>
      <c r="G3002" s="8"/>
      <c r="H3002" s="8"/>
      <c r="I3002" s="107">
        <v>0</v>
      </c>
      <c r="J3002" s="8" t="s">
        <v>2019</v>
      </c>
    </row>
    <row r="3003" spans="1:10" ht="16.5" customHeight="1" x14ac:dyDescent="0.25">
      <c r="A3003" s="8" t="s">
        <v>10259</v>
      </c>
      <c r="B3003" s="8" t="s">
        <v>10260</v>
      </c>
      <c r="C3003" s="8" t="s">
        <v>10261</v>
      </c>
      <c r="D3003" s="8" t="s">
        <v>10260</v>
      </c>
      <c r="E3003" s="105">
        <v>0</v>
      </c>
      <c r="F3003" s="106" t="s">
        <v>2024</v>
      </c>
      <c r="G3003" s="8"/>
      <c r="H3003" s="8"/>
      <c r="I3003" s="107">
        <v>0</v>
      </c>
      <c r="J3003" s="8" t="s">
        <v>4722</v>
      </c>
    </row>
    <row r="3004" spans="1:10" ht="16.5" customHeight="1" x14ac:dyDescent="0.25">
      <c r="A3004" s="8" t="s">
        <v>10262</v>
      </c>
      <c r="B3004" s="8" t="s">
        <v>10263</v>
      </c>
      <c r="C3004" s="8" t="s">
        <v>10264</v>
      </c>
      <c r="D3004" s="8" t="s">
        <v>10263</v>
      </c>
      <c r="E3004" s="105">
        <v>0</v>
      </c>
      <c r="F3004" s="106" t="s">
        <v>2024</v>
      </c>
      <c r="G3004" s="8"/>
      <c r="H3004" s="8"/>
      <c r="I3004" s="107">
        <v>0</v>
      </c>
      <c r="J3004" s="8" t="s">
        <v>4722</v>
      </c>
    </row>
    <row r="3005" spans="1:10" ht="16.5" customHeight="1" x14ac:dyDescent="0.25">
      <c r="A3005" s="8" t="s">
        <v>10265</v>
      </c>
      <c r="B3005" s="8" t="s">
        <v>10266</v>
      </c>
      <c r="C3005" s="8" t="s">
        <v>10267</v>
      </c>
      <c r="D3005" s="8" t="s">
        <v>10266</v>
      </c>
      <c r="E3005" s="105">
        <v>0</v>
      </c>
      <c r="F3005" s="106" t="s">
        <v>2024</v>
      </c>
      <c r="G3005" s="8"/>
      <c r="H3005" s="8"/>
      <c r="I3005" s="107">
        <v>0</v>
      </c>
      <c r="J3005" s="8" t="s">
        <v>4823</v>
      </c>
    </row>
    <row r="3006" spans="1:10" ht="16.5" customHeight="1" x14ac:dyDescent="0.25">
      <c r="A3006" s="8" t="s">
        <v>10268</v>
      </c>
      <c r="B3006" s="8" t="s">
        <v>10269</v>
      </c>
      <c r="C3006" s="8" t="s">
        <v>10270</v>
      </c>
      <c r="D3006" s="8" t="s">
        <v>10269</v>
      </c>
      <c r="E3006" s="105">
        <v>0</v>
      </c>
      <c r="F3006" s="106" t="s">
        <v>2024</v>
      </c>
      <c r="G3006" s="8"/>
      <c r="H3006" s="8"/>
      <c r="I3006" s="107">
        <v>0</v>
      </c>
      <c r="J3006" s="8" t="s">
        <v>4722</v>
      </c>
    </row>
    <row r="3007" spans="1:10" ht="16.5" customHeight="1" x14ac:dyDescent="0.25">
      <c r="A3007" s="8" t="s">
        <v>10271</v>
      </c>
      <c r="B3007" s="8" t="s">
        <v>10272</v>
      </c>
      <c r="C3007" s="8" t="s">
        <v>1752</v>
      </c>
      <c r="D3007" s="8" t="s">
        <v>10272</v>
      </c>
      <c r="E3007" s="105">
        <v>10</v>
      </c>
      <c r="F3007" s="106" t="s">
        <v>2024</v>
      </c>
      <c r="G3007" s="8"/>
      <c r="H3007" s="8"/>
      <c r="I3007" s="107">
        <v>0</v>
      </c>
      <c r="J3007" s="8" t="s">
        <v>3580</v>
      </c>
    </row>
    <row r="3008" spans="1:10" ht="16.5" customHeight="1" x14ac:dyDescent="0.25">
      <c r="A3008" s="8" t="s">
        <v>10273</v>
      </c>
      <c r="B3008" s="8" t="s">
        <v>10274</v>
      </c>
      <c r="C3008" s="8" t="s">
        <v>1749</v>
      </c>
      <c r="D3008" s="8" t="s">
        <v>10274</v>
      </c>
      <c r="E3008" s="105">
        <v>10</v>
      </c>
      <c r="F3008" s="106" t="s">
        <v>2024</v>
      </c>
      <c r="G3008" s="8"/>
      <c r="H3008" s="8"/>
      <c r="I3008" s="107">
        <v>0</v>
      </c>
      <c r="J3008" s="8" t="s">
        <v>3580</v>
      </c>
    </row>
    <row r="3009" spans="1:10" ht="16.5" customHeight="1" x14ac:dyDescent="0.25">
      <c r="A3009" s="8" t="s">
        <v>10275</v>
      </c>
      <c r="B3009" s="8" t="s">
        <v>10276</v>
      </c>
      <c r="C3009" s="8" t="s">
        <v>10277</v>
      </c>
      <c r="D3009" s="8" t="s">
        <v>10276</v>
      </c>
      <c r="E3009" s="105">
        <v>10</v>
      </c>
      <c r="F3009" s="106" t="s">
        <v>2024</v>
      </c>
      <c r="G3009" s="8"/>
      <c r="H3009" s="8"/>
      <c r="I3009" s="107">
        <v>0</v>
      </c>
      <c r="J3009" s="8" t="s">
        <v>3580</v>
      </c>
    </row>
    <row r="3010" spans="1:10" ht="16.5" customHeight="1" x14ac:dyDescent="0.25">
      <c r="A3010" s="8" t="s">
        <v>10278</v>
      </c>
      <c r="B3010" s="8" t="s">
        <v>10279</v>
      </c>
      <c r="C3010" s="8" t="s">
        <v>10280</v>
      </c>
      <c r="D3010" s="8" t="s">
        <v>10279</v>
      </c>
      <c r="E3010" s="105">
        <v>10</v>
      </c>
      <c r="F3010" s="106" t="s">
        <v>2024</v>
      </c>
      <c r="G3010" s="8"/>
      <c r="H3010" s="8"/>
      <c r="I3010" s="107">
        <v>0</v>
      </c>
      <c r="J3010" s="8" t="s">
        <v>3580</v>
      </c>
    </row>
    <row r="3011" spans="1:10" ht="16.5" customHeight="1" x14ac:dyDescent="0.25">
      <c r="A3011" s="8" t="s">
        <v>10281</v>
      </c>
      <c r="B3011" s="8" t="s">
        <v>10282</v>
      </c>
      <c r="C3011" s="8" t="s">
        <v>1737</v>
      </c>
      <c r="D3011" s="8" t="s">
        <v>10282</v>
      </c>
      <c r="E3011" s="105">
        <v>10</v>
      </c>
      <c r="F3011" s="106" t="s">
        <v>2024</v>
      </c>
      <c r="G3011" s="8"/>
      <c r="H3011" s="8"/>
      <c r="I3011" s="107">
        <v>0</v>
      </c>
      <c r="J3011" s="8" t="s">
        <v>3580</v>
      </c>
    </row>
    <row r="3012" spans="1:10" ht="16.5" customHeight="1" x14ac:dyDescent="0.25">
      <c r="A3012" s="8" t="s">
        <v>10283</v>
      </c>
      <c r="B3012" s="8" t="s">
        <v>10284</v>
      </c>
      <c r="C3012" s="8" t="s">
        <v>1725</v>
      </c>
      <c r="D3012" s="8" t="s">
        <v>10284</v>
      </c>
      <c r="E3012" s="105">
        <v>10</v>
      </c>
      <c r="F3012" s="106" t="s">
        <v>2024</v>
      </c>
      <c r="G3012" s="8"/>
      <c r="H3012" s="8"/>
      <c r="I3012" s="107">
        <v>0</v>
      </c>
      <c r="J3012" s="8" t="s">
        <v>3580</v>
      </c>
    </row>
    <row r="3013" spans="1:10" ht="16.5" customHeight="1" x14ac:dyDescent="0.25">
      <c r="A3013" s="8" t="s">
        <v>10285</v>
      </c>
      <c r="B3013" s="8" t="s">
        <v>10286</v>
      </c>
      <c r="C3013" s="8" t="s">
        <v>9767</v>
      </c>
      <c r="D3013" s="8" t="s">
        <v>10286</v>
      </c>
      <c r="E3013" s="105">
        <v>1</v>
      </c>
      <c r="F3013" s="106" t="s">
        <v>2024</v>
      </c>
      <c r="G3013" s="8"/>
      <c r="H3013" s="8"/>
      <c r="I3013" s="107">
        <v>0</v>
      </c>
      <c r="J3013" s="8" t="s">
        <v>3580</v>
      </c>
    </row>
    <row r="3014" spans="1:10" ht="16.5" customHeight="1" x14ac:dyDescent="0.25">
      <c r="A3014" s="8" t="s">
        <v>10287</v>
      </c>
      <c r="B3014" s="8" t="s">
        <v>10288</v>
      </c>
      <c r="C3014" s="8" t="s">
        <v>10289</v>
      </c>
      <c r="D3014" s="8" t="s">
        <v>10288</v>
      </c>
      <c r="E3014" s="105">
        <v>14</v>
      </c>
      <c r="F3014" s="106" t="s">
        <v>2024</v>
      </c>
      <c r="G3014" s="8"/>
      <c r="H3014" s="8"/>
      <c r="I3014" s="107">
        <v>0</v>
      </c>
      <c r="J3014" s="8" t="s">
        <v>6357</v>
      </c>
    </row>
    <row r="3015" spans="1:10" ht="16.5" customHeight="1" x14ac:dyDescent="0.25">
      <c r="A3015" s="8" t="s">
        <v>10290</v>
      </c>
      <c r="B3015" s="8" t="s">
        <v>10291</v>
      </c>
      <c r="C3015" s="8" t="s">
        <v>10292</v>
      </c>
      <c r="D3015" s="8" t="s">
        <v>10291</v>
      </c>
      <c r="E3015" s="105">
        <v>3.5</v>
      </c>
      <c r="F3015" s="106" t="s">
        <v>2024</v>
      </c>
      <c r="G3015" s="8"/>
      <c r="H3015" s="8"/>
      <c r="I3015" s="107">
        <v>0</v>
      </c>
      <c r="J3015" s="8" t="s">
        <v>6357</v>
      </c>
    </row>
    <row r="3016" spans="1:10" ht="16.5" customHeight="1" x14ac:dyDescent="0.25">
      <c r="A3016" s="8" t="s">
        <v>10293</v>
      </c>
      <c r="B3016" s="8" t="s">
        <v>10294</v>
      </c>
      <c r="C3016" s="8" t="s">
        <v>10295</v>
      </c>
      <c r="D3016" s="8" t="s">
        <v>10294</v>
      </c>
      <c r="E3016" s="105">
        <v>1</v>
      </c>
      <c r="F3016" s="106" t="s">
        <v>2024</v>
      </c>
      <c r="G3016" s="8"/>
      <c r="H3016" s="8"/>
      <c r="I3016" s="107">
        <v>0</v>
      </c>
      <c r="J3016" s="8" t="s">
        <v>3695</v>
      </c>
    </row>
    <row r="3017" spans="1:10" ht="16.5" customHeight="1" x14ac:dyDescent="0.25">
      <c r="A3017" s="8" t="s">
        <v>10296</v>
      </c>
      <c r="B3017" s="8" t="s">
        <v>10297</v>
      </c>
      <c r="C3017" s="8" t="s">
        <v>10298</v>
      </c>
      <c r="D3017" s="8" t="s">
        <v>10297</v>
      </c>
      <c r="E3017" s="105">
        <v>1</v>
      </c>
      <c r="F3017" s="106" t="s">
        <v>2024</v>
      </c>
      <c r="G3017" s="8"/>
      <c r="H3017" s="8"/>
      <c r="I3017" s="107">
        <v>0</v>
      </c>
      <c r="J3017" s="8" t="s">
        <v>3580</v>
      </c>
    </row>
    <row r="3018" spans="1:10" ht="16.5" customHeight="1" x14ac:dyDescent="0.25">
      <c r="A3018" s="8" t="s">
        <v>10299</v>
      </c>
      <c r="B3018" s="8" t="s">
        <v>10300</v>
      </c>
      <c r="C3018" s="8" t="s">
        <v>9767</v>
      </c>
      <c r="D3018" s="8" t="s">
        <v>10300</v>
      </c>
      <c r="E3018" s="105">
        <v>1</v>
      </c>
      <c r="F3018" s="106" t="s">
        <v>2024</v>
      </c>
      <c r="G3018" s="8"/>
      <c r="H3018" s="8"/>
      <c r="I3018" s="107">
        <v>0</v>
      </c>
      <c r="J3018" s="8" t="s">
        <v>3580</v>
      </c>
    </row>
    <row r="3019" spans="1:10" ht="16.5" customHeight="1" x14ac:dyDescent="0.25">
      <c r="A3019" s="8" t="s">
        <v>10301</v>
      </c>
      <c r="B3019" s="8" t="s">
        <v>10302</v>
      </c>
      <c r="C3019" s="8" t="s">
        <v>9772</v>
      </c>
      <c r="D3019" s="8" t="s">
        <v>10302</v>
      </c>
      <c r="E3019" s="105">
        <v>1</v>
      </c>
      <c r="F3019" s="106" t="s">
        <v>2024</v>
      </c>
      <c r="G3019" s="8"/>
      <c r="H3019" s="8"/>
      <c r="I3019" s="107">
        <v>0</v>
      </c>
      <c r="J3019" s="8" t="s">
        <v>3580</v>
      </c>
    </row>
    <row r="3020" spans="1:10" ht="16.5" customHeight="1" x14ac:dyDescent="0.25">
      <c r="A3020" s="8" t="s">
        <v>10303</v>
      </c>
      <c r="B3020" s="8" t="s">
        <v>10304</v>
      </c>
      <c r="C3020" s="8" t="s">
        <v>9778</v>
      </c>
      <c r="D3020" s="8" t="s">
        <v>10304</v>
      </c>
      <c r="E3020" s="105">
        <v>1</v>
      </c>
      <c r="F3020" s="106" t="s">
        <v>2024</v>
      </c>
      <c r="G3020" s="8"/>
      <c r="H3020" s="8"/>
      <c r="I3020" s="107">
        <v>0</v>
      </c>
      <c r="J3020" s="8" t="s">
        <v>3580</v>
      </c>
    </row>
    <row r="3021" spans="1:10" ht="16.5" customHeight="1" x14ac:dyDescent="0.25">
      <c r="A3021" s="8" t="s">
        <v>10305</v>
      </c>
      <c r="B3021" s="8" t="s">
        <v>10306</v>
      </c>
      <c r="C3021" s="8" t="s">
        <v>10307</v>
      </c>
      <c r="D3021" s="8" t="s">
        <v>10306</v>
      </c>
      <c r="E3021" s="105">
        <v>1</v>
      </c>
      <c r="F3021" s="106" t="s">
        <v>2018</v>
      </c>
      <c r="G3021" s="8"/>
      <c r="H3021" s="8"/>
      <c r="I3021" s="107">
        <v>0</v>
      </c>
      <c r="J3021" s="8" t="s">
        <v>2019</v>
      </c>
    </row>
    <row r="3022" spans="1:10" ht="16.5" customHeight="1" x14ac:dyDescent="0.25">
      <c r="A3022" s="8" t="s">
        <v>10308</v>
      </c>
      <c r="B3022" s="8" t="s">
        <v>10309</v>
      </c>
      <c r="C3022" s="8" t="s">
        <v>10310</v>
      </c>
      <c r="D3022" s="8" t="s">
        <v>10309</v>
      </c>
      <c r="E3022" s="105">
        <v>1</v>
      </c>
      <c r="F3022" s="106" t="s">
        <v>2024</v>
      </c>
      <c r="G3022" s="8"/>
      <c r="H3022" s="8"/>
      <c r="I3022" s="107">
        <v>0</v>
      </c>
      <c r="J3022" s="8" t="s">
        <v>2019</v>
      </c>
    </row>
    <row r="3023" spans="1:10" ht="16.5" customHeight="1" x14ac:dyDescent="0.25">
      <c r="A3023" s="8" t="s">
        <v>10311</v>
      </c>
      <c r="B3023" s="8" t="s">
        <v>10312</v>
      </c>
      <c r="C3023" s="8" t="s">
        <v>10313</v>
      </c>
      <c r="D3023" s="8" t="s">
        <v>10312</v>
      </c>
      <c r="E3023" s="105">
        <v>1</v>
      </c>
      <c r="F3023" s="106" t="s">
        <v>2024</v>
      </c>
      <c r="G3023" s="8"/>
      <c r="H3023" s="8"/>
      <c r="I3023" s="107">
        <v>0</v>
      </c>
      <c r="J3023" s="8" t="s">
        <v>3695</v>
      </c>
    </row>
    <row r="3024" spans="1:10" ht="16.5" customHeight="1" x14ac:dyDescent="0.25">
      <c r="A3024" s="8" t="s">
        <v>10314</v>
      </c>
      <c r="B3024" s="8" t="s">
        <v>10315</v>
      </c>
      <c r="C3024" s="8" t="s">
        <v>2155</v>
      </c>
      <c r="D3024" s="8" t="s">
        <v>10315</v>
      </c>
      <c r="E3024" s="105">
        <v>1</v>
      </c>
      <c r="F3024" s="106" t="s">
        <v>2018</v>
      </c>
      <c r="G3024" s="8"/>
      <c r="H3024" s="8"/>
      <c r="I3024" s="107">
        <v>0</v>
      </c>
      <c r="J3024" s="8" t="s">
        <v>2019</v>
      </c>
    </row>
    <row r="3025" spans="1:10" ht="16.5" customHeight="1" x14ac:dyDescent="0.25">
      <c r="A3025" s="8" t="s">
        <v>10316</v>
      </c>
      <c r="B3025" s="8" t="s">
        <v>10317</v>
      </c>
      <c r="C3025" s="8" t="s">
        <v>10318</v>
      </c>
      <c r="D3025" s="8" t="s">
        <v>10317</v>
      </c>
      <c r="E3025" s="105">
        <v>8.5</v>
      </c>
      <c r="F3025" s="106" t="s">
        <v>2024</v>
      </c>
      <c r="G3025" s="8" t="s">
        <v>1541</v>
      </c>
      <c r="H3025" s="8" t="s">
        <v>10319</v>
      </c>
      <c r="I3025" s="107">
        <v>10</v>
      </c>
      <c r="J3025" s="8" t="s">
        <v>5929</v>
      </c>
    </row>
    <row r="3026" spans="1:10" ht="16.5" customHeight="1" x14ac:dyDescent="0.25">
      <c r="A3026" s="8" t="s">
        <v>10319</v>
      </c>
      <c r="B3026" s="8" t="s">
        <v>10320</v>
      </c>
      <c r="C3026" s="8" t="s">
        <v>10321</v>
      </c>
      <c r="D3026" s="8" t="s">
        <v>10320</v>
      </c>
      <c r="E3026" s="105">
        <v>0.85</v>
      </c>
      <c r="F3026" s="106" t="s">
        <v>2024</v>
      </c>
      <c r="G3026" s="8" t="s">
        <v>1541</v>
      </c>
      <c r="H3026" s="8"/>
      <c r="I3026" s="107">
        <v>0</v>
      </c>
      <c r="J3026" s="8" t="s">
        <v>5929</v>
      </c>
    </row>
    <row r="3027" spans="1:10" ht="16.5" customHeight="1" x14ac:dyDescent="0.25">
      <c r="A3027" s="8" t="s">
        <v>10322</v>
      </c>
      <c r="B3027" s="8" t="s">
        <v>10323</v>
      </c>
      <c r="C3027" s="8" t="s">
        <v>10324</v>
      </c>
      <c r="D3027" s="8" t="s">
        <v>10323</v>
      </c>
      <c r="E3027" s="105">
        <v>9.7789999999999999</v>
      </c>
      <c r="F3027" s="106" t="s">
        <v>2024</v>
      </c>
      <c r="G3027" s="8"/>
      <c r="H3027" s="8"/>
      <c r="I3027" s="107">
        <v>0</v>
      </c>
      <c r="J3027" s="8" t="s">
        <v>5929</v>
      </c>
    </row>
    <row r="3028" spans="1:10" ht="16.5" customHeight="1" x14ac:dyDescent="0.25">
      <c r="A3028" s="8" t="s">
        <v>10325</v>
      </c>
      <c r="B3028" s="8" t="s">
        <v>10326</v>
      </c>
      <c r="C3028" s="8" t="s">
        <v>10327</v>
      </c>
      <c r="D3028" s="8" t="s">
        <v>10326</v>
      </c>
      <c r="E3028" s="105">
        <v>0.81499999999999995</v>
      </c>
      <c r="F3028" s="106" t="s">
        <v>2024</v>
      </c>
      <c r="G3028" s="8"/>
      <c r="H3028" s="8"/>
      <c r="I3028" s="107">
        <v>0</v>
      </c>
      <c r="J3028" s="8" t="s">
        <v>5929</v>
      </c>
    </row>
    <row r="3029" spans="1:10" ht="16.5" customHeight="1" x14ac:dyDescent="0.25">
      <c r="A3029" s="8" t="s">
        <v>10328</v>
      </c>
      <c r="B3029" s="8" t="s">
        <v>10329</v>
      </c>
      <c r="C3029" s="8" t="s">
        <v>10330</v>
      </c>
      <c r="D3029" s="8" t="s">
        <v>10329</v>
      </c>
      <c r="E3029" s="105">
        <v>20</v>
      </c>
      <c r="F3029" s="106" t="s">
        <v>2018</v>
      </c>
      <c r="G3029" s="8"/>
      <c r="H3029" s="8"/>
      <c r="I3029" s="107">
        <v>0</v>
      </c>
      <c r="J3029" s="8" t="s">
        <v>2019</v>
      </c>
    </row>
    <row r="3030" spans="1:10" ht="16.5" customHeight="1" x14ac:dyDescent="0.25">
      <c r="A3030" s="8" t="s">
        <v>10331</v>
      </c>
      <c r="B3030" s="8" t="s">
        <v>10332</v>
      </c>
      <c r="C3030" s="8" t="s">
        <v>10333</v>
      </c>
      <c r="D3030" s="8" t="s">
        <v>10332</v>
      </c>
      <c r="E3030" s="105">
        <v>20</v>
      </c>
      <c r="F3030" s="106" t="s">
        <v>2018</v>
      </c>
      <c r="G3030" s="8"/>
      <c r="H3030" s="8"/>
      <c r="I3030" s="107">
        <v>0</v>
      </c>
      <c r="J3030" s="8" t="s">
        <v>2019</v>
      </c>
    </row>
    <row r="3031" spans="1:10" ht="16.5" customHeight="1" x14ac:dyDescent="0.25">
      <c r="A3031" s="8" t="s">
        <v>10334</v>
      </c>
      <c r="B3031" s="8" t="s">
        <v>10335</v>
      </c>
      <c r="C3031" s="8" t="s">
        <v>9802</v>
      </c>
      <c r="D3031" s="8" t="s">
        <v>10335</v>
      </c>
      <c r="E3031" s="105">
        <v>1</v>
      </c>
      <c r="F3031" s="106" t="s">
        <v>2024</v>
      </c>
      <c r="G3031" s="8"/>
      <c r="H3031" s="8"/>
      <c r="I3031" s="107">
        <v>0</v>
      </c>
      <c r="J3031" s="8" t="s">
        <v>3580</v>
      </c>
    </row>
    <row r="3032" spans="1:10" ht="16.5" customHeight="1" x14ac:dyDescent="0.25">
      <c r="A3032" s="8" t="s">
        <v>10336</v>
      </c>
      <c r="B3032" s="8" t="s">
        <v>10337</v>
      </c>
      <c r="C3032" s="8" t="s">
        <v>10338</v>
      </c>
      <c r="D3032" s="8" t="s">
        <v>10337</v>
      </c>
      <c r="E3032" s="105">
        <v>1</v>
      </c>
      <c r="F3032" s="106" t="s">
        <v>2024</v>
      </c>
      <c r="G3032" s="8"/>
      <c r="H3032" s="8"/>
      <c r="I3032" s="107">
        <v>0</v>
      </c>
      <c r="J3032" s="8" t="s">
        <v>3580</v>
      </c>
    </row>
    <row r="3033" spans="1:10" ht="16.5" customHeight="1" x14ac:dyDescent="0.25">
      <c r="A3033" s="8" t="s">
        <v>10339</v>
      </c>
      <c r="B3033" s="8" t="s">
        <v>10340</v>
      </c>
      <c r="C3033" s="8" t="s">
        <v>10341</v>
      </c>
      <c r="D3033" s="8" t="s">
        <v>10340</v>
      </c>
      <c r="E3033" s="105">
        <v>1</v>
      </c>
      <c r="F3033" s="106" t="s">
        <v>2024</v>
      </c>
      <c r="G3033" s="8"/>
      <c r="H3033" s="8"/>
      <c r="I3033" s="107">
        <v>0</v>
      </c>
      <c r="J3033" s="8" t="s">
        <v>6357</v>
      </c>
    </row>
    <row r="3034" spans="1:10" ht="16.5" customHeight="1" x14ac:dyDescent="0.25">
      <c r="A3034" s="8" t="s">
        <v>10342</v>
      </c>
      <c r="B3034" s="8" t="s">
        <v>10343</v>
      </c>
      <c r="C3034" s="8" t="s">
        <v>10344</v>
      </c>
      <c r="D3034" s="8" t="s">
        <v>10343</v>
      </c>
      <c r="E3034" s="105">
        <v>1</v>
      </c>
      <c r="F3034" s="106" t="s">
        <v>2024</v>
      </c>
      <c r="G3034" s="8"/>
      <c r="H3034" s="8"/>
      <c r="I3034" s="107">
        <v>0</v>
      </c>
      <c r="J3034" s="8" t="s">
        <v>6357</v>
      </c>
    </row>
    <row r="3035" spans="1:10" ht="16.5" customHeight="1" x14ac:dyDescent="0.25">
      <c r="A3035" s="8" t="s">
        <v>10345</v>
      </c>
      <c r="B3035" s="8" t="s">
        <v>10346</v>
      </c>
      <c r="C3035" s="8" t="s">
        <v>10347</v>
      </c>
      <c r="D3035" s="8" t="s">
        <v>10346</v>
      </c>
      <c r="E3035" s="105">
        <v>1</v>
      </c>
      <c r="F3035" s="106" t="s">
        <v>2024</v>
      </c>
      <c r="G3035" s="8"/>
      <c r="H3035" s="8"/>
      <c r="I3035" s="107">
        <v>0</v>
      </c>
      <c r="J3035" s="8" t="s">
        <v>6357</v>
      </c>
    </row>
    <row r="3036" spans="1:10" ht="16.5" customHeight="1" x14ac:dyDescent="0.25">
      <c r="A3036" s="8" t="s">
        <v>10348</v>
      </c>
      <c r="B3036" s="8" t="s">
        <v>10349</v>
      </c>
      <c r="C3036" s="8" t="s">
        <v>10350</v>
      </c>
      <c r="D3036" s="8" t="s">
        <v>10349</v>
      </c>
      <c r="E3036" s="105">
        <v>1</v>
      </c>
      <c r="F3036" s="106" t="s">
        <v>2024</v>
      </c>
      <c r="G3036" s="8"/>
      <c r="H3036" s="8"/>
      <c r="I3036" s="107">
        <v>0</v>
      </c>
      <c r="J3036" s="8" t="s">
        <v>6357</v>
      </c>
    </row>
    <row r="3037" spans="1:10" ht="16.5" customHeight="1" x14ac:dyDescent="0.25">
      <c r="A3037" s="8" t="s">
        <v>10351</v>
      </c>
      <c r="B3037" s="8" t="s">
        <v>10352</v>
      </c>
      <c r="C3037" s="8" t="s">
        <v>10353</v>
      </c>
      <c r="D3037" s="8" t="s">
        <v>10352</v>
      </c>
      <c r="E3037" s="105">
        <v>1</v>
      </c>
      <c r="F3037" s="106" t="s">
        <v>2024</v>
      </c>
      <c r="G3037" s="8"/>
      <c r="H3037" s="8"/>
      <c r="I3037" s="107">
        <v>0</v>
      </c>
      <c r="J3037" s="8" t="s">
        <v>6357</v>
      </c>
    </row>
    <row r="3038" spans="1:10" ht="16.5" customHeight="1" x14ac:dyDescent="0.25">
      <c r="A3038" s="8" t="s">
        <v>10354</v>
      </c>
      <c r="B3038" s="8" t="s">
        <v>10355</v>
      </c>
      <c r="C3038" s="8" t="s">
        <v>9788</v>
      </c>
      <c r="D3038" s="8" t="s">
        <v>10355</v>
      </c>
      <c r="E3038" s="105">
        <v>1</v>
      </c>
      <c r="F3038" s="106" t="s">
        <v>2024</v>
      </c>
      <c r="G3038" s="8"/>
      <c r="H3038" s="8"/>
      <c r="I3038" s="107">
        <v>0</v>
      </c>
      <c r="J3038" s="8" t="s">
        <v>3580</v>
      </c>
    </row>
    <row r="3039" spans="1:10" ht="16.5" customHeight="1" x14ac:dyDescent="0.25">
      <c r="A3039" s="8" t="s">
        <v>10356</v>
      </c>
      <c r="B3039" s="8" t="s">
        <v>10357</v>
      </c>
      <c r="C3039" s="8" t="s">
        <v>10358</v>
      </c>
      <c r="D3039" s="8" t="s">
        <v>10357</v>
      </c>
      <c r="E3039" s="105">
        <v>15</v>
      </c>
      <c r="F3039" s="106" t="s">
        <v>2024</v>
      </c>
      <c r="G3039" s="8"/>
      <c r="H3039" s="8"/>
      <c r="I3039" s="107">
        <v>0</v>
      </c>
      <c r="J3039" s="8" t="s">
        <v>4722</v>
      </c>
    </row>
    <row r="3040" spans="1:10" ht="16.5" customHeight="1" x14ac:dyDescent="0.25">
      <c r="A3040" s="8" t="s">
        <v>10359</v>
      </c>
      <c r="B3040" s="8" t="s">
        <v>10360</v>
      </c>
      <c r="C3040" s="8" t="s">
        <v>10361</v>
      </c>
      <c r="D3040" s="8" t="s">
        <v>10360</v>
      </c>
      <c r="E3040" s="105">
        <v>730</v>
      </c>
      <c r="F3040" s="106" t="s">
        <v>2018</v>
      </c>
      <c r="G3040" s="8"/>
      <c r="H3040" s="8"/>
      <c r="I3040" s="107">
        <v>0</v>
      </c>
      <c r="J3040" s="8" t="s">
        <v>4722</v>
      </c>
    </row>
    <row r="3041" spans="1:10" ht="16.5" customHeight="1" x14ac:dyDescent="0.25">
      <c r="A3041" s="8" t="s">
        <v>10362</v>
      </c>
      <c r="B3041" s="8" t="s">
        <v>10363</v>
      </c>
      <c r="C3041" s="8" t="s">
        <v>10364</v>
      </c>
      <c r="D3041" s="8" t="s">
        <v>10363</v>
      </c>
      <c r="E3041" s="105">
        <v>1</v>
      </c>
      <c r="F3041" s="106" t="s">
        <v>2024</v>
      </c>
      <c r="G3041" s="8"/>
      <c r="H3041" s="8"/>
      <c r="I3041" s="107">
        <v>0</v>
      </c>
      <c r="J3041" s="8" t="s">
        <v>6357</v>
      </c>
    </row>
    <row r="3042" spans="1:10" ht="16.5" customHeight="1" x14ac:dyDescent="0.25">
      <c r="A3042" s="8" t="s">
        <v>10365</v>
      </c>
      <c r="B3042" s="8" t="s">
        <v>10366</v>
      </c>
      <c r="C3042" s="8" t="s">
        <v>10367</v>
      </c>
      <c r="D3042" s="8" t="s">
        <v>10366</v>
      </c>
      <c r="E3042" s="105">
        <v>9.6</v>
      </c>
      <c r="F3042" s="106" t="s">
        <v>2024</v>
      </c>
      <c r="G3042" s="8"/>
      <c r="H3042" s="8"/>
      <c r="I3042" s="107">
        <v>0</v>
      </c>
      <c r="J3042" s="8" t="s">
        <v>6357</v>
      </c>
    </row>
    <row r="3043" spans="1:10" ht="16.5" customHeight="1" x14ac:dyDescent="0.25">
      <c r="A3043" s="8" t="s">
        <v>10368</v>
      </c>
      <c r="B3043" s="8" t="s">
        <v>10369</v>
      </c>
      <c r="C3043" s="8" t="s">
        <v>10370</v>
      </c>
      <c r="D3043" s="8" t="s">
        <v>10369</v>
      </c>
      <c r="E3043" s="105">
        <v>0.8</v>
      </c>
      <c r="F3043" s="106" t="s">
        <v>2024</v>
      </c>
      <c r="G3043" s="8"/>
      <c r="H3043" s="8"/>
      <c r="I3043" s="107">
        <v>0</v>
      </c>
      <c r="J3043" s="8" t="s">
        <v>6357</v>
      </c>
    </row>
    <row r="3044" spans="1:10" ht="16.5" customHeight="1" x14ac:dyDescent="0.25">
      <c r="A3044" s="8" t="s">
        <v>10371</v>
      </c>
      <c r="B3044" s="8" t="s">
        <v>10372</v>
      </c>
      <c r="C3044" s="8" t="s">
        <v>10373</v>
      </c>
      <c r="D3044" s="8" t="s">
        <v>10372</v>
      </c>
      <c r="E3044" s="105">
        <v>1</v>
      </c>
      <c r="F3044" s="106" t="s">
        <v>2018</v>
      </c>
      <c r="G3044" s="8"/>
      <c r="H3044" s="8"/>
      <c r="I3044" s="107">
        <v>0</v>
      </c>
      <c r="J3044" s="8" t="s">
        <v>2019</v>
      </c>
    </row>
    <row r="3045" spans="1:10" ht="16.5" customHeight="1" x14ac:dyDescent="0.25">
      <c r="A3045" s="8" t="s">
        <v>10374</v>
      </c>
      <c r="B3045" s="8" t="s">
        <v>10375</v>
      </c>
      <c r="C3045" s="8" t="s">
        <v>10376</v>
      </c>
      <c r="D3045" s="8" t="s">
        <v>10375</v>
      </c>
      <c r="E3045" s="105">
        <v>1</v>
      </c>
      <c r="F3045" s="106" t="s">
        <v>2018</v>
      </c>
      <c r="G3045" s="8"/>
      <c r="H3045" s="8"/>
      <c r="I3045" s="107">
        <v>0</v>
      </c>
      <c r="J3045" s="8" t="s">
        <v>2019</v>
      </c>
    </row>
    <row r="3046" spans="1:10" ht="16.5" customHeight="1" x14ac:dyDescent="0.25">
      <c r="A3046" s="8" t="s">
        <v>10377</v>
      </c>
      <c r="B3046" s="8" t="s">
        <v>6134</v>
      </c>
      <c r="C3046" s="8" t="s">
        <v>7377</v>
      </c>
      <c r="D3046" s="8" t="s">
        <v>6134</v>
      </c>
      <c r="E3046" s="105">
        <v>0.47</v>
      </c>
      <c r="F3046" s="106" t="s">
        <v>2024</v>
      </c>
      <c r="G3046" s="8"/>
      <c r="H3046" s="8"/>
      <c r="I3046" s="107">
        <v>0</v>
      </c>
      <c r="J3046" s="8" t="s">
        <v>4789</v>
      </c>
    </row>
    <row r="3047" spans="1:10" ht="16.5" customHeight="1" x14ac:dyDescent="0.25">
      <c r="A3047" s="8" t="s">
        <v>10378</v>
      </c>
      <c r="B3047" s="8" t="s">
        <v>10379</v>
      </c>
      <c r="C3047" s="8" t="s">
        <v>2034</v>
      </c>
      <c r="D3047" s="8" t="s">
        <v>10379</v>
      </c>
      <c r="E3047" s="105">
        <v>1</v>
      </c>
      <c r="F3047" s="106" t="s">
        <v>2018</v>
      </c>
      <c r="G3047" s="8"/>
      <c r="H3047" s="8"/>
      <c r="I3047" s="107">
        <v>0</v>
      </c>
      <c r="J3047" s="8" t="s">
        <v>2019</v>
      </c>
    </row>
    <row r="3048" spans="1:10" ht="16.5" customHeight="1" x14ac:dyDescent="0.25">
      <c r="A3048" s="8" t="s">
        <v>10380</v>
      </c>
      <c r="B3048" s="8" t="s">
        <v>10381</v>
      </c>
      <c r="C3048" s="8" t="s">
        <v>2034</v>
      </c>
      <c r="D3048" s="8" t="s">
        <v>10381</v>
      </c>
      <c r="E3048" s="105">
        <v>1</v>
      </c>
      <c r="F3048" s="106" t="s">
        <v>2024</v>
      </c>
      <c r="G3048" s="8"/>
      <c r="H3048" s="8"/>
      <c r="I3048" s="107">
        <v>0</v>
      </c>
      <c r="J3048" s="8" t="s">
        <v>2019</v>
      </c>
    </row>
    <row r="3049" spans="1:10" ht="16.5" customHeight="1" x14ac:dyDescent="0.25">
      <c r="A3049" s="8" t="s">
        <v>10382</v>
      </c>
      <c r="B3049" s="8" t="s">
        <v>10383</v>
      </c>
      <c r="C3049" s="8" t="s">
        <v>6895</v>
      </c>
      <c r="D3049" s="8" t="s">
        <v>10383</v>
      </c>
      <c r="E3049" s="105">
        <v>8.19</v>
      </c>
      <c r="F3049" s="106" t="s">
        <v>2018</v>
      </c>
      <c r="G3049" s="8"/>
      <c r="H3049" s="8"/>
      <c r="I3049" s="107">
        <v>0</v>
      </c>
      <c r="J3049" s="8" t="s">
        <v>2019</v>
      </c>
    </row>
    <row r="3050" spans="1:10" ht="16.5" customHeight="1" x14ac:dyDescent="0.25">
      <c r="A3050" s="8" t="s">
        <v>1305</v>
      </c>
      <c r="B3050" s="8" t="s">
        <v>1307</v>
      </c>
      <c r="C3050" s="8" t="s">
        <v>1306</v>
      </c>
      <c r="D3050" s="8" t="s">
        <v>1307</v>
      </c>
      <c r="E3050" s="105">
        <v>8.7360000000000007</v>
      </c>
      <c r="F3050" s="106" t="s">
        <v>2018</v>
      </c>
      <c r="G3050" s="8"/>
      <c r="H3050" s="8" t="s">
        <v>7019</v>
      </c>
      <c r="I3050" s="107">
        <v>24</v>
      </c>
      <c r="J3050" s="8" t="s">
        <v>2019</v>
      </c>
    </row>
    <row r="3051" spans="1:10" ht="16.5" customHeight="1" x14ac:dyDescent="0.25">
      <c r="A3051" s="8" t="s">
        <v>1214</v>
      </c>
      <c r="B3051" s="8" t="s">
        <v>1216</v>
      </c>
      <c r="C3051" s="8" t="s">
        <v>1215</v>
      </c>
      <c r="D3051" s="8" t="s">
        <v>1216</v>
      </c>
      <c r="E3051" s="105">
        <v>8.7360000000000007</v>
      </c>
      <c r="F3051" s="106" t="s">
        <v>2018</v>
      </c>
      <c r="G3051" s="8"/>
      <c r="H3051" s="8" t="s">
        <v>1332</v>
      </c>
      <c r="I3051" s="107">
        <v>24</v>
      </c>
      <c r="J3051" s="8" t="s">
        <v>2019</v>
      </c>
    </row>
    <row r="3052" spans="1:10" ht="16.5" customHeight="1" x14ac:dyDescent="0.25">
      <c r="A3052" s="8" t="s">
        <v>10384</v>
      </c>
      <c r="B3052" s="8" t="s">
        <v>10385</v>
      </c>
      <c r="C3052" s="8" t="s">
        <v>2802</v>
      </c>
      <c r="D3052" s="8" t="s">
        <v>10385</v>
      </c>
      <c r="E3052" s="105">
        <v>8.7360000000000007</v>
      </c>
      <c r="F3052" s="106" t="s">
        <v>2018</v>
      </c>
      <c r="G3052" s="8"/>
      <c r="H3052" s="8" t="s">
        <v>2853</v>
      </c>
      <c r="I3052" s="107">
        <v>24</v>
      </c>
      <c r="J3052" s="8" t="s">
        <v>2019</v>
      </c>
    </row>
    <row r="3053" spans="1:10" ht="16.5" customHeight="1" x14ac:dyDescent="0.25">
      <c r="A3053" s="8" t="s">
        <v>10386</v>
      </c>
      <c r="B3053" s="8" t="s">
        <v>10387</v>
      </c>
      <c r="C3053" s="8" t="s">
        <v>2802</v>
      </c>
      <c r="D3053" s="8" t="s">
        <v>10387</v>
      </c>
      <c r="E3053" s="105">
        <v>8.7360000000000007</v>
      </c>
      <c r="F3053" s="106" t="s">
        <v>2018</v>
      </c>
      <c r="G3053" s="8"/>
      <c r="H3053" s="8"/>
      <c r="I3053" s="107">
        <v>0</v>
      </c>
      <c r="J3053" s="8" t="s">
        <v>2019</v>
      </c>
    </row>
    <row r="3054" spans="1:10" ht="16.5" customHeight="1" x14ac:dyDescent="0.25">
      <c r="A3054" s="8" t="s">
        <v>10388</v>
      </c>
      <c r="B3054" s="8" t="s">
        <v>10389</v>
      </c>
      <c r="C3054" s="8" t="s">
        <v>10390</v>
      </c>
      <c r="D3054" s="8" t="s">
        <v>10389</v>
      </c>
      <c r="E3054" s="105">
        <v>1</v>
      </c>
      <c r="F3054" s="106" t="s">
        <v>2024</v>
      </c>
      <c r="G3054" s="8"/>
      <c r="H3054" s="8"/>
      <c r="I3054" s="107">
        <v>0</v>
      </c>
      <c r="J3054" s="8" t="s">
        <v>3580</v>
      </c>
    </row>
    <row r="3055" spans="1:10" ht="16.5" customHeight="1" x14ac:dyDescent="0.25">
      <c r="A3055" s="8" t="s">
        <v>10391</v>
      </c>
      <c r="B3055" s="8" t="s">
        <v>10392</v>
      </c>
      <c r="C3055" s="8" t="s">
        <v>10393</v>
      </c>
      <c r="D3055" s="8" t="s">
        <v>10392</v>
      </c>
      <c r="E3055" s="105">
        <v>7.6</v>
      </c>
      <c r="F3055" s="106" t="s">
        <v>2024</v>
      </c>
      <c r="G3055" s="8" t="s">
        <v>1541</v>
      </c>
      <c r="H3055" s="8" t="s">
        <v>10394</v>
      </c>
      <c r="I3055" s="107">
        <v>20</v>
      </c>
      <c r="J3055" s="8" t="s">
        <v>5929</v>
      </c>
    </row>
    <row r="3056" spans="1:10" ht="16.5" customHeight="1" x14ac:dyDescent="0.25">
      <c r="A3056" s="8" t="s">
        <v>10394</v>
      </c>
      <c r="B3056" s="8" t="s">
        <v>10395</v>
      </c>
      <c r="C3056" s="8" t="s">
        <v>10396</v>
      </c>
      <c r="D3056" s="8" t="s">
        <v>10395</v>
      </c>
      <c r="E3056" s="105">
        <v>0.38</v>
      </c>
      <c r="F3056" s="106" t="s">
        <v>2024</v>
      </c>
      <c r="G3056" s="8" t="s">
        <v>1541</v>
      </c>
      <c r="H3056" s="8"/>
      <c r="I3056" s="107">
        <v>0</v>
      </c>
      <c r="J3056" s="8" t="s">
        <v>5929</v>
      </c>
    </row>
    <row r="3057" spans="1:10" ht="16.5" customHeight="1" x14ac:dyDescent="0.25">
      <c r="A3057" s="8" t="s">
        <v>10397</v>
      </c>
      <c r="B3057" s="8" t="s">
        <v>10398</v>
      </c>
      <c r="C3057" s="8" t="s">
        <v>10399</v>
      </c>
      <c r="D3057" s="8" t="s">
        <v>10398</v>
      </c>
      <c r="E3057" s="105">
        <v>7.6</v>
      </c>
      <c r="F3057" s="106" t="s">
        <v>2024</v>
      </c>
      <c r="G3057" s="8" t="s">
        <v>1541</v>
      </c>
      <c r="H3057" s="8" t="s">
        <v>10400</v>
      </c>
      <c r="I3057" s="107">
        <v>20</v>
      </c>
      <c r="J3057" s="8" t="s">
        <v>5929</v>
      </c>
    </row>
    <row r="3058" spans="1:10" ht="16.5" customHeight="1" x14ac:dyDescent="0.25">
      <c r="A3058" s="8" t="s">
        <v>10400</v>
      </c>
      <c r="B3058" s="8" t="s">
        <v>10401</v>
      </c>
      <c r="C3058" s="8" t="s">
        <v>10402</v>
      </c>
      <c r="D3058" s="8" t="s">
        <v>10401</v>
      </c>
      <c r="E3058" s="105">
        <v>0.38</v>
      </c>
      <c r="F3058" s="106" t="s">
        <v>2024</v>
      </c>
      <c r="G3058" s="8" t="s">
        <v>1541</v>
      </c>
      <c r="H3058" s="8"/>
      <c r="I3058" s="107">
        <v>0</v>
      </c>
      <c r="J3058" s="8" t="s">
        <v>5929</v>
      </c>
    </row>
    <row r="3059" spans="1:10" ht="16.5" customHeight="1" x14ac:dyDescent="0.25">
      <c r="A3059" s="8" t="s">
        <v>10403</v>
      </c>
      <c r="B3059" s="8" t="s">
        <v>10404</v>
      </c>
      <c r="C3059" s="8" t="s">
        <v>10405</v>
      </c>
      <c r="D3059" s="8" t="s">
        <v>10404</v>
      </c>
      <c r="E3059" s="105">
        <v>1</v>
      </c>
      <c r="F3059" s="106" t="s">
        <v>2024</v>
      </c>
      <c r="G3059" s="8"/>
      <c r="H3059" s="8"/>
      <c r="I3059" s="107">
        <v>0</v>
      </c>
      <c r="J3059" s="8" t="s">
        <v>6357</v>
      </c>
    </row>
    <row r="3060" spans="1:10" ht="16.5" customHeight="1" x14ac:dyDescent="0.25">
      <c r="A3060" s="8" t="s">
        <v>10406</v>
      </c>
      <c r="B3060" s="8" t="s">
        <v>10407</v>
      </c>
      <c r="C3060" s="8" t="s">
        <v>10408</v>
      </c>
      <c r="D3060" s="8" t="s">
        <v>10407</v>
      </c>
      <c r="E3060" s="105">
        <v>25</v>
      </c>
      <c r="F3060" s="106" t="s">
        <v>2024</v>
      </c>
      <c r="G3060" s="8"/>
      <c r="H3060" s="8"/>
      <c r="I3060" s="107">
        <v>0</v>
      </c>
      <c r="J3060" s="8" t="s">
        <v>7329</v>
      </c>
    </row>
    <row r="3061" spans="1:10" ht="16.5" customHeight="1" x14ac:dyDescent="0.25">
      <c r="A3061" s="8" t="s">
        <v>10409</v>
      </c>
      <c r="B3061" s="8" t="s">
        <v>10410</v>
      </c>
      <c r="C3061" s="8" t="s">
        <v>10411</v>
      </c>
      <c r="D3061" s="8" t="s">
        <v>10410</v>
      </c>
      <c r="E3061" s="105">
        <v>25</v>
      </c>
      <c r="F3061" s="106" t="s">
        <v>2024</v>
      </c>
      <c r="G3061" s="8"/>
      <c r="H3061" s="8"/>
      <c r="I3061" s="107">
        <v>0</v>
      </c>
      <c r="J3061" s="8" t="s">
        <v>7329</v>
      </c>
    </row>
    <row r="3062" spans="1:10" ht="16.5" customHeight="1" x14ac:dyDescent="0.25">
      <c r="A3062" s="8" t="s">
        <v>10412</v>
      </c>
      <c r="B3062" s="8" t="s">
        <v>10413</v>
      </c>
      <c r="C3062" s="8" t="s">
        <v>10414</v>
      </c>
      <c r="D3062" s="8" t="s">
        <v>10413</v>
      </c>
      <c r="E3062" s="105">
        <v>10</v>
      </c>
      <c r="F3062" s="106" t="s">
        <v>2018</v>
      </c>
      <c r="G3062" s="8"/>
      <c r="H3062" s="8"/>
      <c r="I3062" s="107">
        <v>0</v>
      </c>
      <c r="J3062" s="8" t="s">
        <v>7329</v>
      </c>
    </row>
    <row r="3063" spans="1:10" ht="16.5" customHeight="1" x14ac:dyDescent="0.25">
      <c r="A3063" s="8" t="s">
        <v>10415</v>
      </c>
      <c r="B3063" s="8" t="s">
        <v>10416</v>
      </c>
      <c r="C3063" s="8" t="s">
        <v>10417</v>
      </c>
      <c r="D3063" s="8" t="s">
        <v>10416</v>
      </c>
      <c r="E3063" s="105">
        <v>10</v>
      </c>
      <c r="F3063" s="106" t="s">
        <v>2024</v>
      </c>
      <c r="G3063" s="8"/>
      <c r="H3063" s="8"/>
      <c r="I3063" s="107">
        <v>0</v>
      </c>
      <c r="J3063" s="8" t="s">
        <v>7329</v>
      </c>
    </row>
    <row r="3064" spans="1:10" ht="16.5" customHeight="1" x14ac:dyDescent="0.25">
      <c r="A3064" s="8" t="s">
        <v>10418</v>
      </c>
      <c r="B3064" s="8" t="s">
        <v>8791</v>
      </c>
      <c r="C3064" s="8" t="s">
        <v>8792</v>
      </c>
      <c r="D3064" s="8" t="s">
        <v>8791</v>
      </c>
      <c r="E3064" s="105">
        <v>1</v>
      </c>
      <c r="F3064" s="106" t="s">
        <v>2024</v>
      </c>
      <c r="G3064" s="8"/>
      <c r="H3064" s="8"/>
      <c r="I3064" s="107">
        <v>0</v>
      </c>
      <c r="J3064" s="8" t="s">
        <v>4789</v>
      </c>
    </row>
    <row r="3065" spans="1:10" ht="16.5" customHeight="1" x14ac:dyDescent="0.25">
      <c r="A3065" s="8" t="s">
        <v>10419</v>
      </c>
      <c r="B3065" s="8" t="s">
        <v>10420</v>
      </c>
      <c r="C3065" s="8" t="s">
        <v>10421</v>
      </c>
      <c r="D3065" s="8" t="s">
        <v>10420</v>
      </c>
      <c r="E3065" s="105">
        <v>20</v>
      </c>
      <c r="F3065" s="106" t="s">
        <v>2018</v>
      </c>
      <c r="G3065" s="8"/>
      <c r="H3065" s="8"/>
      <c r="I3065" s="107">
        <v>0</v>
      </c>
      <c r="J3065" s="8" t="s">
        <v>2019</v>
      </c>
    </row>
    <row r="3066" spans="1:10" ht="16.5" customHeight="1" x14ac:dyDescent="0.25">
      <c r="A3066" s="8" t="s">
        <v>10422</v>
      </c>
      <c r="B3066" s="8" t="s">
        <v>10423</v>
      </c>
      <c r="C3066" s="8" t="s">
        <v>2034</v>
      </c>
      <c r="D3066" s="8" t="s">
        <v>10423</v>
      </c>
      <c r="E3066" s="105">
        <v>1</v>
      </c>
      <c r="F3066" s="106" t="s">
        <v>2024</v>
      </c>
      <c r="G3066" s="8"/>
      <c r="H3066" s="8"/>
      <c r="I3066" s="107">
        <v>0</v>
      </c>
      <c r="J3066" s="8" t="s">
        <v>2019</v>
      </c>
    </row>
    <row r="3067" spans="1:10" ht="16.5" customHeight="1" x14ac:dyDescent="0.25">
      <c r="A3067" s="8" t="s">
        <v>10424</v>
      </c>
      <c r="B3067" s="8" t="s">
        <v>10425</v>
      </c>
      <c r="C3067" s="8" t="s">
        <v>2034</v>
      </c>
      <c r="D3067" s="8" t="s">
        <v>10425</v>
      </c>
      <c r="E3067" s="105">
        <v>1</v>
      </c>
      <c r="F3067" s="106" t="s">
        <v>2018</v>
      </c>
      <c r="G3067" s="8"/>
      <c r="H3067" s="8"/>
      <c r="I3067" s="107">
        <v>0</v>
      </c>
      <c r="J3067" s="8" t="s">
        <v>2019</v>
      </c>
    </row>
    <row r="3068" spans="1:10" ht="16.5" customHeight="1" x14ac:dyDescent="0.25">
      <c r="A3068" s="8" t="s">
        <v>10426</v>
      </c>
      <c r="B3068" s="8" t="s">
        <v>10427</v>
      </c>
      <c r="C3068" s="8" t="s">
        <v>10428</v>
      </c>
      <c r="D3068" s="8" t="s">
        <v>10427</v>
      </c>
      <c r="E3068" s="105">
        <v>1</v>
      </c>
      <c r="F3068" s="106" t="s">
        <v>2018</v>
      </c>
      <c r="G3068" s="8"/>
      <c r="H3068" s="8"/>
      <c r="I3068" s="107">
        <v>0</v>
      </c>
      <c r="J3068" s="8" t="s">
        <v>6357</v>
      </c>
    </row>
    <row r="3069" spans="1:10" ht="16.5" customHeight="1" x14ac:dyDescent="0.25">
      <c r="A3069" s="8" t="s">
        <v>10429</v>
      </c>
      <c r="B3069" s="8" t="s">
        <v>10430</v>
      </c>
      <c r="C3069" s="8" t="s">
        <v>10431</v>
      </c>
      <c r="D3069" s="8" t="s">
        <v>10430</v>
      </c>
      <c r="E3069" s="105">
        <v>1</v>
      </c>
      <c r="F3069" s="106" t="s">
        <v>2024</v>
      </c>
      <c r="G3069" s="8"/>
      <c r="H3069" s="8"/>
      <c r="I3069" s="107">
        <v>0</v>
      </c>
      <c r="J3069" s="8" t="s">
        <v>3695</v>
      </c>
    </row>
    <row r="3070" spans="1:10" ht="16.5" customHeight="1" x14ac:dyDescent="0.25">
      <c r="A3070" s="8" t="s">
        <v>10432</v>
      </c>
      <c r="B3070" s="8" t="s">
        <v>10433</v>
      </c>
      <c r="C3070" s="8" t="s">
        <v>10434</v>
      </c>
      <c r="D3070" s="8" t="s">
        <v>10433</v>
      </c>
      <c r="E3070" s="105">
        <v>1</v>
      </c>
      <c r="F3070" s="106" t="s">
        <v>2024</v>
      </c>
      <c r="G3070" s="8"/>
      <c r="H3070" s="8"/>
      <c r="I3070" s="107">
        <v>0</v>
      </c>
      <c r="J3070" s="8" t="s">
        <v>3580</v>
      </c>
    </row>
    <row r="3071" spans="1:10" ht="16.5" customHeight="1" x14ac:dyDescent="0.25">
      <c r="A3071" s="8" t="s">
        <v>10435</v>
      </c>
      <c r="B3071" s="8" t="s">
        <v>10436</v>
      </c>
      <c r="C3071" s="8" t="s">
        <v>10437</v>
      </c>
      <c r="D3071" s="8" t="s">
        <v>10436</v>
      </c>
      <c r="E3071" s="105">
        <v>1</v>
      </c>
      <c r="F3071" s="106" t="s">
        <v>2024</v>
      </c>
      <c r="G3071" s="8"/>
      <c r="H3071" s="8"/>
      <c r="I3071" s="107">
        <v>0</v>
      </c>
      <c r="J3071" s="8" t="s">
        <v>3580</v>
      </c>
    </row>
    <row r="3072" spans="1:10" ht="16.5" customHeight="1" x14ac:dyDescent="0.25">
      <c r="A3072" s="8" t="s">
        <v>10438</v>
      </c>
      <c r="B3072" s="8" t="s">
        <v>8568</v>
      </c>
      <c r="C3072" s="8" t="s">
        <v>1660</v>
      </c>
      <c r="D3072" s="8" t="s">
        <v>8568</v>
      </c>
      <c r="E3072" s="105">
        <v>13.7736</v>
      </c>
      <c r="F3072" s="106" t="s">
        <v>2024</v>
      </c>
      <c r="G3072" s="8"/>
      <c r="H3072" s="8"/>
      <c r="I3072" s="107">
        <v>0</v>
      </c>
      <c r="J3072" s="8" t="s">
        <v>5929</v>
      </c>
    </row>
    <row r="3073" spans="1:10" ht="16.5" customHeight="1" x14ac:dyDescent="0.25">
      <c r="A3073" s="8" t="s">
        <v>10439</v>
      </c>
      <c r="B3073" s="8" t="s">
        <v>7938</v>
      </c>
      <c r="C3073" s="8" t="s">
        <v>7939</v>
      </c>
      <c r="D3073" s="8" t="s">
        <v>7938</v>
      </c>
      <c r="E3073" s="105">
        <v>6</v>
      </c>
      <c r="F3073" s="106" t="s">
        <v>2024</v>
      </c>
      <c r="G3073" s="8"/>
      <c r="H3073" s="8"/>
      <c r="I3073" s="107">
        <v>0</v>
      </c>
      <c r="J3073" s="8" t="s">
        <v>5929</v>
      </c>
    </row>
    <row r="3074" spans="1:10" ht="16.5" customHeight="1" x14ac:dyDescent="0.25">
      <c r="A3074" s="8" t="s">
        <v>10440</v>
      </c>
      <c r="B3074" s="8" t="s">
        <v>5963</v>
      </c>
      <c r="C3074" s="8" t="s">
        <v>5964</v>
      </c>
      <c r="D3074" s="8" t="s">
        <v>5963</v>
      </c>
      <c r="E3074" s="105">
        <v>6</v>
      </c>
      <c r="F3074" s="106" t="s">
        <v>2024</v>
      </c>
      <c r="G3074" s="8"/>
      <c r="H3074" s="8"/>
      <c r="I3074" s="107">
        <v>0</v>
      </c>
      <c r="J3074" s="8" t="s">
        <v>5929</v>
      </c>
    </row>
    <row r="3075" spans="1:10" ht="16.5" customHeight="1" x14ac:dyDescent="0.25">
      <c r="A3075" s="8" t="s">
        <v>10441</v>
      </c>
      <c r="B3075" s="8" t="s">
        <v>10442</v>
      </c>
      <c r="C3075" s="8" t="s">
        <v>10443</v>
      </c>
      <c r="D3075" s="8" t="s">
        <v>10442</v>
      </c>
      <c r="E3075" s="105">
        <v>0</v>
      </c>
      <c r="F3075" s="106" t="s">
        <v>2024</v>
      </c>
      <c r="G3075" s="8"/>
      <c r="H3075" s="8"/>
      <c r="I3075" s="107">
        <v>0</v>
      </c>
      <c r="J3075" s="8" t="s">
        <v>3580</v>
      </c>
    </row>
    <row r="3076" spans="1:10" ht="16.5" customHeight="1" x14ac:dyDescent="0.25">
      <c r="A3076" s="8" t="s">
        <v>10444</v>
      </c>
      <c r="B3076" s="8" t="s">
        <v>10445</v>
      </c>
      <c r="C3076" s="8" t="s">
        <v>10446</v>
      </c>
      <c r="D3076" s="8" t="s">
        <v>10445</v>
      </c>
      <c r="E3076" s="105">
        <v>0</v>
      </c>
      <c r="F3076" s="106" t="s">
        <v>2024</v>
      </c>
      <c r="G3076" s="8"/>
      <c r="H3076" s="8"/>
      <c r="I3076" s="107">
        <v>0</v>
      </c>
      <c r="J3076" s="8" t="s">
        <v>3580</v>
      </c>
    </row>
    <row r="3077" spans="1:10" ht="16.5" customHeight="1" x14ac:dyDescent="0.25">
      <c r="A3077" s="8" t="s">
        <v>10447</v>
      </c>
      <c r="B3077" s="8" t="s">
        <v>6104</v>
      </c>
      <c r="C3077" s="8" t="s">
        <v>8926</v>
      </c>
      <c r="D3077" s="8" t="s">
        <v>6104</v>
      </c>
      <c r="E3077" s="105">
        <v>0</v>
      </c>
      <c r="F3077" s="106" t="s">
        <v>2024</v>
      </c>
      <c r="G3077" s="8"/>
      <c r="H3077" s="8"/>
      <c r="I3077" s="107">
        <v>0</v>
      </c>
      <c r="J3077" s="8" t="s">
        <v>4722</v>
      </c>
    </row>
    <row r="3078" spans="1:10" ht="16.5" customHeight="1" x14ac:dyDescent="0.25">
      <c r="A3078" s="8" t="s">
        <v>10448</v>
      </c>
      <c r="B3078" s="8" t="s">
        <v>10449</v>
      </c>
      <c r="C3078" s="8" t="s">
        <v>9983</v>
      </c>
      <c r="D3078" s="8" t="s">
        <v>10449</v>
      </c>
      <c r="E3078" s="105">
        <v>1</v>
      </c>
      <c r="F3078" s="106" t="s">
        <v>2024</v>
      </c>
      <c r="G3078" s="8"/>
      <c r="H3078" s="8"/>
      <c r="I3078" s="107">
        <v>0</v>
      </c>
      <c r="J3078" s="8" t="s">
        <v>3580</v>
      </c>
    </row>
    <row r="3079" spans="1:10" ht="16.5" customHeight="1" x14ac:dyDescent="0.25">
      <c r="A3079" s="8" t="s">
        <v>10450</v>
      </c>
      <c r="B3079" s="8" t="s">
        <v>10451</v>
      </c>
      <c r="C3079" s="8" t="s">
        <v>9521</v>
      </c>
      <c r="D3079" s="8" t="s">
        <v>10451</v>
      </c>
      <c r="E3079" s="105">
        <v>1</v>
      </c>
      <c r="F3079" s="106" t="s">
        <v>2024</v>
      </c>
      <c r="G3079" s="8"/>
      <c r="H3079" s="8"/>
      <c r="I3079" s="107">
        <v>0</v>
      </c>
      <c r="J3079" s="8" t="s">
        <v>3580</v>
      </c>
    </row>
    <row r="3080" spans="1:10" ht="16.5" customHeight="1" x14ac:dyDescent="0.25">
      <c r="A3080" s="8" t="s">
        <v>10452</v>
      </c>
      <c r="B3080" s="8" t="s">
        <v>10453</v>
      </c>
      <c r="C3080" s="8" t="s">
        <v>10454</v>
      </c>
      <c r="D3080" s="8" t="s">
        <v>10453</v>
      </c>
      <c r="E3080" s="105">
        <v>1</v>
      </c>
      <c r="F3080" s="106" t="s">
        <v>2024</v>
      </c>
      <c r="G3080" s="8"/>
      <c r="H3080" s="8"/>
      <c r="I3080" s="107">
        <v>0</v>
      </c>
      <c r="J3080" s="8" t="s">
        <v>3580</v>
      </c>
    </row>
    <row r="3081" spans="1:10" ht="16.5" customHeight="1" x14ac:dyDescent="0.25">
      <c r="A3081" s="8" t="s">
        <v>10455</v>
      </c>
      <c r="B3081" s="8" t="s">
        <v>10456</v>
      </c>
      <c r="C3081" s="8" t="s">
        <v>10457</v>
      </c>
      <c r="D3081" s="8" t="s">
        <v>10456</v>
      </c>
      <c r="E3081" s="105">
        <v>1</v>
      </c>
      <c r="F3081" s="106" t="s">
        <v>2024</v>
      </c>
      <c r="G3081" s="8"/>
      <c r="H3081" s="8"/>
      <c r="I3081" s="107">
        <v>0</v>
      </c>
      <c r="J3081" s="8" t="s">
        <v>3580</v>
      </c>
    </row>
    <row r="3082" spans="1:10" ht="16.5" customHeight="1" x14ac:dyDescent="0.25">
      <c r="A3082" s="8" t="s">
        <v>10458</v>
      </c>
      <c r="B3082" s="8" t="s">
        <v>10459</v>
      </c>
      <c r="C3082" s="8" t="s">
        <v>10454</v>
      </c>
      <c r="D3082" s="8" t="s">
        <v>10459</v>
      </c>
      <c r="E3082" s="105">
        <v>1</v>
      </c>
      <c r="F3082" s="106" t="s">
        <v>2024</v>
      </c>
      <c r="G3082" s="8"/>
      <c r="H3082" s="8"/>
      <c r="I3082" s="107">
        <v>0</v>
      </c>
      <c r="J3082" s="8" t="s">
        <v>3580</v>
      </c>
    </row>
    <row r="3083" spans="1:10" ht="16.5" customHeight="1" x14ac:dyDescent="0.25">
      <c r="A3083" s="8" t="s">
        <v>10460</v>
      </c>
      <c r="B3083" s="8" t="s">
        <v>10461</v>
      </c>
      <c r="C3083" s="8" t="s">
        <v>10457</v>
      </c>
      <c r="D3083" s="8" t="s">
        <v>10461</v>
      </c>
      <c r="E3083" s="105">
        <v>1</v>
      </c>
      <c r="F3083" s="106" t="s">
        <v>2024</v>
      </c>
      <c r="G3083" s="8"/>
      <c r="H3083" s="8"/>
      <c r="I3083" s="107">
        <v>0</v>
      </c>
      <c r="J3083" s="8" t="s">
        <v>3580</v>
      </c>
    </row>
    <row r="3084" spans="1:10" ht="16.5" customHeight="1" x14ac:dyDescent="0.25">
      <c r="A3084" s="8" t="s">
        <v>10462</v>
      </c>
      <c r="B3084" s="8" t="s">
        <v>10463</v>
      </c>
      <c r="C3084" s="8" t="s">
        <v>10464</v>
      </c>
      <c r="D3084" s="8" t="s">
        <v>10463</v>
      </c>
      <c r="E3084" s="105">
        <v>1</v>
      </c>
      <c r="F3084" s="106" t="s">
        <v>2024</v>
      </c>
      <c r="G3084" s="8"/>
      <c r="H3084" s="8"/>
      <c r="I3084" s="107">
        <v>0</v>
      </c>
      <c r="J3084" s="8" t="s">
        <v>3580</v>
      </c>
    </row>
    <row r="3085" spans="1:10" ht="16.5" customHeight="1" x14ac:dyDescent="0.25">
      <c r="A3085" s="8" t="s">
        <v>10465</v>
      </c>
      <c r="B3085" s="8" t="s">
        <v>10466</v>
      </c>
      <c r="C3085" s="8" t="s">
        <v>10467</v>
      </c>
      <c r="D3085" s="8" t="s">
        <v>10466</v>
      </c>
      <c r="E3085" s="105">
        <v>1</v>
      </c>
      <c r="F3085" s="106" t="s">
        <v>2024</v>
      </c>
      <c r="G3085" s="8"/>
      <c r="H3085" s="8"/>
      <c r="I3085" s="107">
        <v>0</v>
      </c>
      <c r="J3085" s="8" t="s">
        <v>3580</v>
      </c>
    </row>
    <row r="3086" spans="1:10" ht="16.5" customHeight="1" x14ac:dyDescent="0.25">
      <c r="A3086" s="8" t="s">
        <v>10468</v>
      </c>
      <c r="B3086" s="8" t="s">
        <v>10469</v>
      </c>
      <c r="C3086" s="8" t="s">
        <v>10470</v>
      </c>
      <c r="D3086" s="8" t="s">
        <v>10469</v>
      </c>
      <c r="E3086" s="105">
        <v>1</v>
      </c>
      <c r="F3086" s="106" t="s">
        <v>2024</v>
      </c>
      <c r="G3086" s="8"/>
      <c r="H3086" s="8"/>
      <c r="I3086" s="107">
        <v>0</v>
      </c>
      <c r="J3086" s="8" t="s">
        <v>3580</v>
      </c>
    </row>
    <row r="3087" spans="1:10" ht="16.5" customHeight="1" x14ac:dyDescent="0.25">
      <c r="A3087" s="8" t="s">
        <v>10471</v>
      </c>
      <c r="B3087" s="8" t="s">
        <v>10472</v>
      </c>
      <c r="C3087" s="8" t="s">
        <v>10473</v>
      </c>
      <c r="D3087" s="8" t="s">
        <v>10472</v>
      </c>
      <c r="E3087" s="105">
        <v>18</v>
      </c>
      <c r="F3087" s="106" t="s">
        <v>2018</v>
      </c>
      <c r="G3087" s="8"/>
      <c r="H3087" s="8"/>
      <c r="I3087" s="107">
        <v>0</v>
      </c>
      <c r="J3087" s="8" t="s">
        <v>2019</v>
      </c>
    </row>
    <row r="3088" spans="1:10" ht="16.5" customHeight="1" x14ac:dyDescent="0.25">
      <c r="A3088" s="8" t="s">
        <v>10474</v>
      </c>
      <c r="B3088" s="8" t="s">
        <v>10475</v>
      </c>
      <c r="C3088" s="8" t="s">
        <v>10476</v>
      </c>
      <c r="D3088" s="8" t="s">
        <v>10475</v>
      </c>
      <c r="E3088" s="105">
        <v>1</v>
      </c>
      <c r="F3088" s="106" t="s">
        <v>2024</v>
      </c>
      <c r="G3088" s="8"/>
      <c r="H3088" s="8"/>
      <c r="I3088" s="107">
        <v>0</v>
      </c>
      <c r="J3088" s="8" t="s">
        <v>3580</v>
      </c>
    </row>
    <row r="3089" spans="1:10" ht="16.5" customHeight="1" x14ac:dyDescent="0.25">
      <c r="A3089" s="8" t="s">
        <v>10477</v>
      </c>
      <c r="B3089" s="8" t="s">
        <v>10478</v>
      </c>
      <c r="C3089" s="8" t="s">
        <v>10479</v>
      </c>
      <c r="D3089" s="8" t="s">
        <v>10478</v>
      </c>
      <c r="E3089" s="105">
        <v>1</v>
      </c>
      <c r="F3089" s="106" t="s">
        <v>2024</v>
      </c>
      <c r="G3089" s="8"/>
      <c r="H3089" s="8"/>
      <c r="I3089" s="107">
        <v>0</v>
      </c>
      <c r="J3089" s="8" t="s">
        <v>3580</v>
      </c>
    </row>
    <row r="3090" spans="1:10" ht="16.5" customHeight="1" x14ac:dyDescent="0.25">
      <c r="A3090" s="8" t="s">
        <v>10480</v>
      </c>
      <c r="B3090" s="8" t="s">
        <v>10481</v>
      </c>
      <c r="C3090" s="8" t="s">
        <v>10479</v>
      </c>
      <c r="D3090" s="8" t="s">
        <v>10481</v>
      </c>
      <c r="E3090" s="105">
        <v>1</v>
      </c>
      <c r="F3090" s="106" t="s">
        <v>2024</v>
      </c>
      <c r="G3090" s="8"/>
      <c r="H3090" s="8"/>
      <c r="I3090" s="107">
        <v>0</v>
      </c>
      <c r="J3090" s="8" t="s">
        <v>3580</v>
      </c>
    </row>
    <row r="3091" spans="1:10" ht="16.5" customHeight="1" x14ac:dyDescent="0.25">
      <c r="A3091" s="8" t="s">
        <v>10482</v>
      </c>
      <c r="B3091" s="8" t="s">
        <v>10483</v>
      </c>
      <c r="C3091" s="8" t="s">
        <v>10484</v>
      </c>
      <c r="D3091" s="8" t="s">
        <v>10483</v>
      </c>
      <c r="E3091" s="105">
        <v>1</v>
      </c>
      <c r="F3091" s="106" t="s">
        <v>2024</v>
      </c>
      <c r="G3091" s="8"/>
      <c r="H3091" s="8"/>
      <c r="I3091" s="107">
        <v>0</v>
      </c>
      <c r="J3091" s="8" t="s">
        <v>3580</v>
      </c>
    </row>
    <row r="3092" spans="1:10" ht="16.5" customHeight="1" x14ac:dyDescent="0.25">
      <c r="A3092" s="8" t="s">
        <v>10485</v>
      </c>
      <c r="B3092" s="8" t="s">
        <v>10486</v>
      </c>
      <c r="C3092" s="8" t="s">
        <v>10464</v>
      </c>
      <c r="D3092" s="8" t="s">
        <v>10486</v>
      </c>
      <c r="E3092" s="105">
        <v>1</v>
      </c>
      <c r="F3092" s="106" t="s">
        <v>2024</v>
      </c>
      <c r="G3092" s="8"/>
      <c r="H3092" s="8"/>
      <c r="I3092" s="107">
        <v>0</v>
      </c>
      <c r="J3092" s="8" t="s">
        <v>3580</v>
      </c>
    </row>
    <row r="3093" spans="1:10" ht="16.5" customHeight="1" x14ac:dyDescent="0.25">
      <c r="A3093" s="8" t="s">
        <v>10487</v>
      </c>
      <c r="B3093" s="8" t="s">
        <v>10488</v>
      </c>
      <c r="C3093" s="8" t="s">
        <v>10489</v>
      </c>
      <c r="D3093" s="8" t="s">
        <v>10488</v>
      </c>
      <c r="E3093" s="105">
        <v>1</v>
      </c>
      <c r="F3093" s="106" t="s">
        <v>2024</v>
      </c>
      <c r="G3093" s="8"/>
      <c r="H3093" s="8"/>
      <c r="I3093" s="107">
        <v>0</v>
      </c>
      <c r="J3093" s="8" t="s">
        <v>3580</v>
      </c>
    </row>
    <row r="3094" spans="1:10" ht="16.5" customHeight="1" x14ac:dyDescent="0.25">
      <c r="A3094" s="8" t="s">
        <v>10490</v>
      </c>
      <c r="B3094" s="8" t="s">
        <v>10491</v>
      </c>
      <c r="C3094" s="8" t="s">
        <v>10489</v>
      </c>
      <c r="D3094" s="8" t="s">
        <v>10491</v>
      </c>
      <c r="E3094" s="105">
        <v>1</v>
      </c>
      <c r="F3094" s="106" t="s">
        <v>2024</v>
      </c>
      <c r="G3094" s="8"/>
      <c r="H3094" s="8"/>
      <c r="I3094" s="107">
        <v>0</v>
      </c>
      <c r="J3094" s="8" t="s">
        <v>3580</v>
      </c>
    </row>
    <row r="3095" spans="1:10" ht="16.5" customHeight="1" x14ac:dyDescent="0.25">
      <c r="A3095" s="8" t="s">
        <v>10492</v>
      </c>
      <c r="B3095" s="8" t="s">
        <v>10493</v>
      </c>
      <c r="C3095" s="8" t="s">
        <v>9813</v>
      </c>
      <c r="D3095" s="8" t="s">
        <v>10493</v>
      </c>
      <c r="E3095" s="105">
        <v>1</v>
      </c>
      <c r="F3095" s="106" t="s">
        <v>2024</v>
      </c>
      <c r="G3095" s="8"/>
      <c r="H3095" s="8"/>
      <c r="I3095" s="107">
        <v>0</v>
      </c>
      <c r="J3095" s="8" t="s">
        <v>3580</v>
      </c>
    </row>
    <row r="3096" spans="1:10" ht="16.5" customHeight="1" x14ac:dyDescent="0.25">
      <c r="A3096" s="8" t="s">
        <v>10494</v>
      </c>
      <c r="B3096" s="8" t="s">
        <v>10495</v>
      </c>
      <c r="C3096" s="8" t="s">
        <v>10496</v>
      </c>
      <c r="D3096" s="8" t="s">
        <v>10495</v>
      </c>
      <c r="E3096" s="105">
        <v>1</v>
      </c>
      <c r="F3096" s="106" t="s">
        <v>2024</v>
      </c>
      <c r="G3096" s="8"/>
      <c r="H3096" s="8"/>
      <c r="I3096" s="107">
        <v>0</v>
      </c>
      <c r="J3096" s="8" t="s">
        <v>3580</v>
      </c>
    </row>
    <row r="3097" spans="1:10" ht="16.5" customHeight="1" x14ac:dyDescent="0.25">
      <c r="A3097" s="8" t="s">
        <v>10497</v>
      </c>
      <c r="B3097" s="8" t="s">
        <v>10498</v>
      </c>
      <c r="C3097" s="8" t="s">
        <v>10499</v>
      </c>
      <c r="D3097" s="8" t="s">
        <v>10498</v>
      </c>
      <c r="E3097" s="105">
        <v>1</v>
      </c>
      <c r="F3097" s="106" t="s">
        <v>2024</v>
      </c>
      <c r="G3097" s="8"/>
      <c r="H3097" s="8"/>
      <c r="I3097" s="107">
        <v>0</v>
      </c>
      <c r="J3097" s="8" t="s">
        <v>3580</v>
      </c>
    </row>
    <row r="3098" spans="1:10" ht="16.5" customHeight="1" x14ac:dyDescent="0.25">
      <c r="A3098" s="8" t="s">
        <v>10500</v>
      </c>
      <c r="B3098" s="8" t="s">
        <v>10501</v>
      </c>
      <c r="C3098" s="8" t="s">
        <v>10502</v>
      </c>
      <c r="D3098" s="8" t="s">
        <v>10501</v>
      </c>
      <c r="E3098" s="105">
        <v>1</v>
      </c>
      <c r="F3098" s="106" t="s">
        <v>2024</v>
      </c>
      <c r="G3098" s="8"/>
      <c r="H3098" s="8"/>
      <c r="I3098" s="107">
        <v>0</v>
      </c>
      <c r="J3098" s="8" t="s">
        <v>3580</v>
      </c>
    </row>
    <row r="3099" spans="1:10" ht="16.5" customHeight="1" x14ac:dyDescent="0.25">
      <c r="A3099" s="8" t="s">
        <v>10503</v>
      </c>
      <c r="B3099" s="8" t="s">
        <v>10504</v>
      </c>
      <c r="C3099" s="8" t="s">
        <v>10505</v>
      </c>
      <c r="D3099" s="8" t="s">
        <v>10504</v>
      </c>
      <c r="E3099" s="105">
        <v>1</v>
      </c>
      <c r="F3099" s="106" t="s">
        <v>2024</v>
      </c>
      <c r="G3099" s="8"/>
      <c r="H3099" s="8"/>
      <c r="I3099" s="107">
        <v>0</v>
      </c>
      <c r="J3099" s="8" t="s">
        <v>3580</v>
      </c>
    </row>
    <row r="3100" spans="1:10" ht="16.5" customHeight="1" x14ac:dyDescent="0.25">
      <c r="A3100" s="8" t="s">
        <v>10506</v>
      </c>
      <c r="B3100" s="8" t="s">
        <v>10507</v>
      </c>
      <c r="C3100" s="8" t="s">
        <v>10508</v>
      </c>
      <c r="D3100" s="8" t="s">
        <v>10507</v>
      </c>
      <c r="E3100" s="105">
        <v>1</v>
      </c>
      <c r="F3100" s="106" t="s">
        <v>2024</v>
      </c>
      <c r="G3100" s="8"/>
      <c r="H3100" s="8"/>
      <c r="I3100" s="107">
        <v>0</v>
      </c>
      <c r="J3100" s="8" t="s">
        <v>3580</v>
      </c>
    </row>
    <row r="3101" spans="1:10" ht="16.5" customHeight="1" x14ac:dyDescent="0.25">
      <c r="A3101" s="8" t="s">
        <v>10509</v>
      </c>
      <c r="B3101" s="8" t="s">
        <v>10510</v>
      </c>
      <c r="C3101" s="8" t="s">
        <v>10511</v>
      </c>
      <c r="D3101" s="8" t="s">
        <v>10510</v>
      </c>
      <c r="E3101" s="105">
        <v>1</v>
      </c>
      <c r="F3101" s="106" t="s">
        <v>2024</v>
      </c>
      <c r="G3101" s="8"/>
      <c r="H3101" s="8"/>
      <c r="I3101" s="107">
        <v>0</v>
      </c>
      <c r="J3101" s="8" t="s">
        <v>3580</v>
      </c>
    </row>
    <row r="3102" spans="1:10" ht="16.5" customHeight="1" x14ac:dyDescent="0.25">
      <c r="A3102" s="8" t="s">
        <v>10512</v>
      </c>
      <c r="B3102" s="8" t="s">
        <v>10513</v>
      </c>
      <c r="C3102" s="8" t="s">
        <v>10514</v>
      </c>
      <c r="D3102" s="8" t="s">
        <v>10513</v>
      </c>
      <c r="E3102" s="105">
        <v>1</v>
      </c>
      <c r="F3102" s="106" t="s">
        <v>2024</v>
      </c>
      <c r="G3102" s="8"/>
      <c r="H3102" s="8"/>
      <c r="I3102" s="107">
        <v>0</v>
      </c>
      <c r="J3102" s="8" t="s">
        <v>3580</v>
      </c>
    </row>
    <row r="3103" spans="1:10" ht="16.5" customHeight="1" x14ac:dyDescent="0.25">
      <c r="A3103" s="8" t="s">
        <v>10515</v>
      </c>
      <c r="B3103" s="8" t="s">
        <v>10516</v>
      </c>
      <c r="C3103" s="8" t="s">
        <v>9778</v>
      </c>
      <c r="D3103" s="8" t="s">
        <v>10516</v>
      </c>
      <c r="E3103" s="105">
        <v>1</v>
      </c>
      <c r="F3103" s="106" t="s">
        <v>2024</v>
      </c>
      <c r="G3103" s="8"/>
      <c r="H3103" s="8"/>
      <c r="I3103" s="107">
        <v>0</v>
      </c>
      <c r="J3103" s="8" t="s">
        <v>3580</v>
      </c>
    </row>
    <row r="3104" spans="1:10" ht="16.5" customHeight="1" x14ac:dyDescent="0.25">
      <c r="A3104" s="8" t="s">
        <v>10517</v>
      </c>
      <c r="B3104" s="8" t="s">
        <v>8712</v>
      </c>
      <c r="C3104" s="8" t="s">
        <v>1543</v>
      </c>
      <c r="D3104" s="8" t="s">
        <v>8712</v>
      </c>
      <c r="E3104" s="105">
        <v>13.095599999999999</v>
      </c>
      <c r="F3104" s="106" t="s">
        <v>2024</v>
      </c>
      <c r="G3104" s="8"/>
      <c r="H3104" s="8"/>
      <c r="I3104" s="107">
        <v>0</v>
      </c>
      <c r="J3104" s="8" t="s">
        <v>5929</v>
      </c>
    </row>
    <row r="3105" spans="1:10" ht="16.5" customHeight="1" x14ac:dyDescent="0.25">
      <c r="A3105" s="8" t="s">
        <v>10518</v>
      </c>
      <c r="B3105" s="8" t="s">
        <v>8789</v>
      </c>
      <c r="C3105" s="8" t="s">
        <v>1701</v>
      </c>
      <c r="D3105" s="8" t="s">
        <v>8789</v>
      </c>
      <c r="E3105" s="105">
        <v>10</v>
      </c>
      <c r="F3105" s="106" t="s">
        <v>2018</v>
      </c>
      <c r="G3105" s="8"/>
      <c r="H3105" s="8"/>
      <c r="I3105" s="107">
        <v>0</v>
      </c>
      <c r="J3105" s="8" t="s">
        <v>5929</v>
      </c>
    </row>
    <row r="3106" spans="1:10" ht="16.5" customHeight="1" x14ac:dyDescent="0.25">
      <c r="A3106" s="8" t="s">
        <v>10519</v>
      </c>
      <c r="B3106" s="8" t="s">
        <v>10520</v>
      </c>
      <c r="C3106" s="8" t="s">
        <v>10521</v>
      </c>
      <c r="D3106" s="8" t="s">
        <v>10520</v>
      </c>
      <c r="E3106" s="105">
        <v>7.6</v>
      </c>
      <c r="F3106" s="106" t="s">
        <v>2024</v>
      </c>
      <c r="G3106" s="8"/>
      <c r="H3106" s="8"/>
      <c r="I3106" s="107">
        <v>0</v>
      </c>
      <c r="J3106" s="8" t="s">
        <v>5929</v>
      </c>
    </row>
    <row r="3107" spans="1:10" ht="16.5" customHeight="1" x14ac:dyDescent="0.25">
      <c r="A3107" s="8" t="s">
        <v>10522</v>
      </c>
      <c r="B3107" s="8" t="s">
        <v>10523</v>
      </c>
      <c r="C3107" s="8" t="s">
        <v>10524</v>
      </c>
      <c r="D3107" s="8" t="s">
        <v>10523</v>
      </c>
      <c r="E3107" s="105">
        <v>1</v>
      </c>
      <c r="F3107" s="106" t="s">
        <v>2024</v>
      </c>
      <c r="G3107" s="8"/>
      <c r="H3107" s="8"/>
      <c r="I3107" s="107">
        <v>0</v>
      </c>
      <c r="J3107" s="8" t="s">
        <v>3580</v>
      </c>
    </row>
    <row r="3108" spans="1:10" ht="16.5" customHeight="1" x14ac:dyDescent="0.25">
      <c r="A3108" s="8" t="s">
        <v>10525</v>
      </c>
      <c r="B3108" s="8" t="s">
        <v>7497</v>
      </c>
      <c r="C3108" s="8" t="s">
        <v>10526</v>
      </c>
      <c r="D3108" s="8" t="s">
        <v>7497</v>
      </c>
      <c r="E3108" s="105">
        <v>1</v>
      </c>
      <c r="F3108" s="106" t="s">
        <v>2024</v>
      </c>
      <c r="G3108" s="8"/>
      <c r="H3108" s="8"/>
      <c r="I3108" s="107">
        <v>0</v>
      </c>
      <c r="J3108" s="8" t="s">
        <v>3580</v>
      </c>
    </row>
    <row r="3109" spans="1:10" ht="16.5" customHeight="1" x14ac:dyDescent="0.25">
      <c r="A3109" s="8" t="s">
        <v>10527</v>
      </c>
      <c r="B3109" s="8" t="s">
        <v>10528</v>
      </c>
      <c r="C3109" s="8" t="s">
        <v>10529</v>
      </c>
      <c r="D3109" s="8" t="s">
        <v>10528</v>
      </c>
      <c r="E3109" s="105">
        <v>1</v>
      </c>
      <c r="F3109" s="106" t="s">
        <v>2024</v>
      </c>
      <c r="G3109" s="8"/>
      <c r="H3109" s="8"/>
      <c r="I3109" s="107">
        <v>0</v>
      </c>
      <c r="J3109" s="8" t="s">
        <v>3580</v>
      </c>
    </row>
    <row r="3110" spans="1:10" ht="16.5" customHeight="1" x14ac:dyDescent="0.25">
      <c r="A3110" s="8" t="s">
        <v>10530</v>
      </c>
      <c r="B3110" s="8" t="s">
        <v>10531</v>
      </c>
      <c r="C3110" s="8" t="s">
        <v>10532</v>
      </c>
      <c r="D3110" s="8" t="s">
        <v>10531</v>
      </c>
      <c r="E3110" s="105">
        <v>1</v>
      </c>
      <c r="F3110" s="106" t="s">
        <v>2024</v>
      </c>
      <c r="G3110" s="8"/>
      <c r="H3110" s="8"/>
      <c r="I3110" s="107">
        <v>0</v>
      </c>
      <c r="J3110" s="8" t="s">
        <v>3580</v>
      </c>
    </row>
    <row r="3111" spans="1:10" ht="16.5" customHeight="1" x14ac:dyDescent="0.25">
      <c r="A3111" s="8" t="s">
        <v>10533</v>
      </c>
      <c r="B3111" s="8" t="s">
        <v>10534</v>
      </c>
      <c r="C3111" s="8" t="s">
        <v>10535</v>
      </c>
      <c r="D3111" s="8" t="s">
        <v>10534</v>
      </c>
      <c r="E3111" s="105">
        <v>1</v>
      </c>
      <c r="F3111" s="106" t="s">
        <v>2024</v>
      </c>
      <c r="G3111" s="8"/>
      <c r="H3111" s="8"/>
      <c r="I3111" s="107">
        <v>0</v>
      </c>
      <c r="J3111" s="8" t="s">
        <v>3580</v>
      </c>
    </row>
    <row r="3112" spans="1:10" ht="16.5" customHeight="1" x14ac:dyDescent="0.25">
      <c r="A3112" s="8" t="s">
        <v>10536</v>
      </c>
      <c r="B3112" s="8" t="s">
        <v>10537</v>
      </c>
      <c r="C3112" s="8" t="s">
        <v>10538</v>
      </c>
      <c r="D3112" s="8" t="s">
        <v>10537</v>
      </c>
      <c r="E3112" s="105">
        <v>1</v>
      </c>
      <c r="F3112" s="106" t="s">
        <v>2024</v>
      </c>
      <c r="G3112" s="8"/>
      <c r="H3112" s="8"/>
      <c r="I3112" s="107">
        <v>0</v>
      </c>
      <c r="J3112" s="8" t="s">
        <v>3580</v>
      </c>
    </row>
    <row r="3113" spans="1:10" ht="16.5" customHeight="1" x14ac:dyDescent="0.25">
      <c r="A3113" s="8" t="s">
        <v>10539</v>
      </c>
      <c r="B3113" s="8" t="s">
        <v>10540</v>
      </c>
      <c r="C3113" s="8" t="s">
        <v>10541</v>
      </c>
      <c r="D3113" s="8" t="s">
        <v>10540</v>
      </c>
      <c r="E3113" s="105">
        <v>1</v>
      </c>
      <c r="F3113" s="106" t="s">
        <v>2024</v>
      </c>
      <c r="G3113" s="8"/>
      <c r="H3113" s="8"/>
      <c r="I3113" s="107">
        <v>0</v>
      </c>
      <c r="J3113" s="8" t="s">
        <v>3580</v>
      </c>
    </row>
    <row r="3114" spans="1:10" ht="16.5" customHeight="1" x14ac:dyDescent="0.25">
      <c r="A3114" s="8" t="s">
        <v>10542</v>
      </c>
      <c r="B3114" s="8" t="s">
        <v>10543</v>
      </c>
      <c r="C3114" s="8" t="s">
        <v>10544</v>
      </c>
      <c r="D3114" s="8" t="s">
        <v>10543</v>
      </c>
      <c r="E3114" s="105">
        <v>1</v>
      </c>
      <c r="F3114" s="106" t="s">
        <v>2024</v>
      </c>
      <c r="G3114" s="8"/>
      <c r="H3114" s="8"/>
      <c r="I3114" s="107">
        <v>0</v>
      </c>
      <c r="J3114" s="8" t="s">
        <v>3580</v>
      </c>
    </row>
    <row r="3115" spans="1:10" ht="16.5" customHeight="1" x14ac:dyDescent="0.25">
      <c r="A3115" s="8" t="s">
        <v>10545</v>
      </c>
      <c r="B3115" s="8" t="s">
        <v>10546</v>
      </c>
      <c r="C3115" s="8" t="s">
        <v>10547</v>
      </c>
      <c r="D3115" s="8" t="s">
        <v>10546</v>
      </c>
      <c r="E3115" s="105">
        <v>1</v>
      </c>
      <c r="F3115" s="106" t="s">
        <v>2024</v>
      </c>
      <c r="G3115" s="8"/>
      <c r="H3115" s="8"/>
      <c r="I3115" s="107">
        <v>0</v>
      </c>
      <c r="J3115" s="8" t="s">
        <v>3580</v>
      </c>
    </row>
    <row r="3116" spans="1:10" ht="16.5" customHeight="1" x14ac:dyDescent="0.25">
      <c r="A3116" s="8" t="s">
        <v>10548</v>
      </c>
      <c r="B3116" s="8" t="s">
        <v>10549</v>
      </c>
      <c r="C3116" s="8" t="s">
        <v>10550</v>
      </c>
      <c r="D3116" s="8" t="s">
        <v>10549</v>
      </c>
      <c r="E3116" s="105">
        <v>1</v>
      </c>
      <c r="F3116" s="106" t="s">
        <v>2024</v>
      </c>
      <c r="G3116" s="8"/>
      <c r="H3116" s="8"/>
      <c r="I3116" s="107">
        <v>0</v>
      </c>
      <c r="J3116" s="8" t="s">
        <v>3580</v>
      </c>
    </row>
    <row r="3117" spans="1:10" ht="16.5" customHeight="1" x14ac:dyDescent="0.25">
      <c r="A3117" s="8" t="s">
        <v>10551</v>
      </c>
      <c r="B3117" s="8" t="s">
        <v>10552</v>
      </c>
      <c r="C3117" s="8" t="s">
        <v>10553</v>
      </c>
      <c r="D3117" s="8" t="s">
        <v>10552</v>
      </c>
      <c r="E3117" s="105">
        <v>1</v>
      </c>
      <c r="F3117" s="106" t="s">
        <v>2024</v>
      </c>
      <c r="G3117" s="8"/>
      <c r="H3117" s="8"/>
      <c r="I3117" s="107">
        <v>0</v>
      </c>
      <c r="J3117" s="8" t="s">
        <v>3580</v>
      </c>
    </row>
    <row r="3118" spans="1:10" ht="16.5" customHeight="1" x14ac:dyDescent="0.25">
      <c r="A3118" s="8" t="s">
        <v>10554</v>
      </c>
      <c r="B3118" s="8" t="s">
        <v>10555</v>
      </c>
      <c r="C3118" s="8" t="s">
        <v>10556</v>
      </c>
      <c r="D3118" s="8" t="s">
        <v>10555</v>
      </c>
      <c r="E3118" s="105">
        <v>1</v>
      </c>
      <c r="F3118" s="106" t="s">
        <v>2024</v>
      </c>
      <c r="G3118" s="8"/>
      <c r="H3118" s="8"/>
      <c r="I3118" s="107">
        <v>0</v>
      </c>
      <c r="J3118" s="8" t="s">
        <v>3580</v>
      </c>
    </row>
    <row r="3119" spans="1:10" ht="16.5" customHeight="1" x14ac:dyDescent="0.25">
      <c r="A3119" s="8" t="s">
        <v>10557</v>
      </c>
      <c r="B3119" s="8" t="s">
        <v>10558</v>
      </c>
      <c r="C3119" s="8" t="s">
        <v>10559</v>
      </c>
      <c r="D3119" s="8" t="s">
        <v>10558</v>
      </c>
      <c r="E3119" s="105">
        <v>1</v>
      </c>
      <c r="F3119" s="106" t="s">
        <v>2024</v>
      </c>
      <c r="G3119" s="8"/>
      <c r="H3119" s="8"/>
      <c r="I3119" s="107">
        <v>0</v>
      </c>
      <c r="J3119" s="8" t="s">
        <v>3580</v>
      </c>
    </row>
    <row r="3120" spans="1:10" ht="16.5" customHeight="1" x14ac:dyDescent="0.25">
      <c r="A3120" s="8" t="s">
        <v>10560</v>
      </c>
      <c r="B3120" s="8" t="s">
        <v>10561</v>
      </c>
      <c r="C3120" s="8" t="s">
        <v>10562</v>
      </c>
      <c r="D3120" s="8" t="s">
        <v>10561</v>
      </c>
      <c r="E3120" s="105">
        <v>1</v>
      </c>
      <c r="F3120" s="106" t="s">
        <v>2024</v>
      </c>
      <c r="G3120" s="8"/>
      <c r="H3120" s="8"/>
      <c r="I3120" s="107">
        <v>0</v>
      </c>
      <c r="J3120" s="8" t="s">
        <v>3580</v>
      </c>
    </row>
    <row r="3121" spans="1:10" ht="16.5" customHeight="1" x14ac:dyDescent="0.25">
      <c r="A3121" s="8" t="s">
        <v>10563</v>
      </c>
      <c r="B3121" s="8" t="s">
        <v>10564</v>
      </c>
      <c r="C3121" s="8" t="s">
        <v>10565</v>
      </c>
      <c r="D3121" s="8" t="s">
        <v>10564</v>
      </c>
      <c r="E3121" s="105">
        <v>8.5</v>
      </c>
      <c r="F3121" s="106" t="s">
        <v>2024</v>
      </c>
      <c r="G3121" s="8" t="s">
        <v>1541</v>
      </c>
      <c r="H3121" s="8" t="s">
        <v>10566</v>
      </c>
      <c r="I3121" s="107">
        <v>10</v>
      </c>
      <c r="J3121" s="8" t="s">
        <v>5929</v>
      </c>
    </row>
    <row r="3122" spans="1:10" ht="16.5" customHeight="1" x14ac:dyDescent="0.25">
      <c r="A3122" s="8" t="s">
        <v>10566</v>
      </c>
      <c r="B3122" s="8" t="s">
        <v>10567</v>
      </c>
      <c r="C3122" s="8" t="s">
        <v>10568</v>
      </c>
      <c r="D3122" s="8" t="s">
        <v>10567</v>
      </c>
      <c r="E3122" s="105">
        <v>0.85</v>
      </c>
      <c r="F3122" s="106" t="s">
        <v>2024</v>
      </c>
      <c r="G3122" s="8" t="s">
        <v>1541</v>
      </c>
      <c r="H3122" s="8"/>
      <c r="I3122" s="107">
        <v>0</v>
      </c>
      <c r="J3122" s="8" t="s">
        <v>5929</v>
      </c>
    </row>
    <row r="3123" spans="1:10" ht="16.5" customHeight="1" x14ac:dyDescent="0.25">
      <c r="A3123" s="8" t="s">
        <v>10569</v>
      </c>
      <c r="B3123" s="8" t="s">
        <v>10483</v>
      </c>
      <c r="C3123" s="8" t="s">
        <v>10570</v>
      </c>
      <c r="D3123" s="8" t="s">
        <v>10483</v>
      </c>
      <c r="E3123" s="105">
        <v>1</v>
      </c>
      <c r="F3123" s="106" t="s">
        <v>2024</v>
      </c>
      <c r="G3123" s="8"/>
      <c r="H3123" s="8"/>
      <c r="I3123" s="107">
        <v>0</v>
      </c>
      <c r="J3123" s="8" t="s">
        <v>3580</v>
      </c>
    </row>
    <row r="3124" spans="1:10" ht="16.5" customHeight="1" x14ac:dyDescent="0.25">
      <c r="A3124" s="8" t="s">
        <v>10571</v>
      </c>
      <c r="B3124" s="8" t="s">
        <v>10481</v>
      </c>
      <c r="C3124" s="8" t="s">
        <v>9805</v>
      </c>
      <c r="D3124" s="8" t="s">
        <v>10481</v>
      </c>
      <c r="E3124" s="105">
        <v>1</v>
      </c>
      <c r="F3124" s="106" t="s">
        <v>2024</v>
      </c>
      <c r="G3124" s="8"/>
      <c r="H3124" s="8"/>
      <c r="I3124" s="107">
        <v>0</v>
      </c>
      <c r="J3124" s="8" t="s">
        <v>3580</v>
      </c>
    </row>
    <row r="3125" spans="1:10" ht="16.5" customHeight="1" x14ac:dyDescent="0.25">
      <c r="A3125" s="8" t="s">
        <v>10572</v>
      </c>
      <c r="B3125" s="8" t="s">
        <v>10573</v>
      </c>
      <c r="C3125" s="8" t="s">
        <v>10574</v>
      </c>
      <c r="D3125" s="8" t="s">
        <v>10573</v>
      </c>
      <c r="E3125" s="105">
        <v>1</v>
      </c>
      <c r="F3125" s="106" t="s">
        <v>2024</v>
      </c>
      <c r="G3125" s="8"/>
      <c r="H3125" s="8"/>
      <c r="I3125" s="107">
        <v>0</v>
      </c>
      <c r="J3125" s="8" t="s">
        <v>3580</v>
      </c>
    </row>
    <row r="3126" spans="1:10" ht="16.5" customHeight="1" x14ac:dyDescent="0.25">
      <c r="A3126" s="8" t="s">
        <v>10575</v>
      </c>
      <c r="B3126" s="8" t="s">
        <v>10576</v>
      </c>
      <c r="C3126" s="8" t="s">
        <v>10489</v>
      </c>
      <c r="D3126" s="8" t="s">
        <v>10576</v>
      </c>
      <c r="E3126" s="105">
        <v>1</v>
      </c>
      <c r="F3126" s="106" t="s">
        <v>2024</v>
      </c>
      <c r="G3126" s="8"/>
      <c r="H3126" s="8"/>
      <c r="I3126" s="107">
        <v>0</v>
      </c>
      <c r="J3126" s="8" t="s">
        <v>3580</v>
      </c>
    </row>
    <row r="3127" spans="1:10" ht="16.5" customHeight="1" x14ac:dyDescent="0.25">
      <c r="A3127" s="8" t="s">
        <v>10577</v>
      </c>
      <c r="B3127" s="8" t="s">
        <v>6469</v>
      </c>
      <c r="C3127" s="8" t="s">
        <v>6470</v>
      </c>
      <c r="D3127" s="8" t="s">
        <v>6469</v>
      </c>
      <c r="E3127" s="105">
        <v>3.6</v>
      </c>
      <c r="F3127" s="106" t="s">
        <v>2024</v>
      </c>
      <c r="G3127" s="8"/>
      <c r="H3127" s="8"/>
      <c r="I3127" s="107">
        <v>0</v>
      </c>
      <c r="J3127" s="8" t="s">
        <v>5779</v>
      </c>
    </row>
    <row r="3128" spans="1:10" ht="16.5" customHeight="1" x14ac:dyDescent="0.25">
      <c r="A3128" s="8" t="s">
        <v>10578</v>
      </c>
      <c r="B3128" s="8" t="s">
        <v>10579</v>
      </c>
      <c r="C3128" s="8" t="s">
        <v>9760</v>
      </c>
      <c r="D3128" s="8" t="s">
        <v>10579</v>
      </c>
      <c r="E3128" s="105">
        <v>1</v>
      </c>
      <c r="F3128" s="106" t="s">
        <v>2024</v>
      </c>
      <c r="G3128" s="8"/>
      <c r="H3128" s="8"/>
      <c r="I3128" s="107">
        <v>0</v>
      </c>
      <c r="J3128" s="8" t="s">
        <v>3580</v>
      </c>
    </row>
    <row r="3129" spans="1:10" ht="16.5" customHeight="1" x14ac:dyDescent="0.25">
      <c r="A3129" s="8" t="s">
        <v>10580</v>
      </c>
      <c r="B3129" s="8" t="s">
        <v>10581</v>
      </c>
      <c r="C3129" s="8" t="s">
        <v>9983</v>
      </c>
      <c r="D3129" s="8" t="s">
        <v>10581</v>
      </c>
      <c r="E3129" s="105">
        <v>1</v>
      </c>
      <c r="F3129" s="106" t="s">
        <v>2024</v>
      </c>
      <c r="G3129" s="8"/>
      <c r="H3129" s="8"/>
      <c r="I3129" s="107">
        <v>0</v>
      </c>
      <c r="J3129" s="8" t="s">
        <v>3580</v>
      </c>
    </row>
    <row r="3130" spans="1:10" ht="16.5" customHeight="1" x14ac:dyDescent="0.25">
      <c r="A3130" s="8" t="s">
        <v>10582</v>
      </c>
      <c r="B3130" s="8" t="s">
        <v>6472</v>
      </c>
      <c r="C3130" s="8" t="s">
        <v>6470</v>
      </c>
      <c r="D3130" s="8" t="s">
        <v>6472</v>
      </c>
      <c r="E3130" s="105">
        <v>0.15</v>
      </c>
      <c r="F3130" s="106" t="s">
        <v>2024</v>
      </c>
      <c r="G3130" s="8"/>
      <c r="H3130" s="8"/>
      <c r="I3130" s="107">
        <v>0</v>
      </c>
      <c r="J3130" s="8" t="s">
        <v>4823</v>
      </c>
    </row>
    <row r="3131" spans="1:10" ht="16.5" customHeight="1" x14ac:dyDescent="0.25">
      <c r="A3131" s="8" t="s">
        <v>10583</v>
      </c>
      <c r="B3131" s="8" t="s">
        <v>10584</v>
      </c>
      <c r="C3131" s="8" t="s">
        <v>10585</v>
      </c>
      <c r="D3131" s="8" t="s">
        <v>10584</v>
      </c>
      <c r="E3131" s="105">
        <v>1</v>
      </c>
      <c r="F3131" s="106" t="s">
        <v>2024</v>
      </c>
      <c r="G3131" s="8"/>
      <c r="H3131" s="8"/>
      <c r="I3131" s="107">
        <v>0</v>
      </c>
      <c r="J3131" s="8" t="s">
        <v>3580</v>
      </c>
    </row>
    <row r="3132" spans="1:10" ht="16.5" customHeight="1" x14ac:dyDescent="0.25">
      <c r="A3132" s="8" t="s">
        <v>10586</v>
      </c>
      <c r="B3132" s="8" t="s">
        <v>10587</v>
      </c>
      <c r="C3132" s="8" t="s">
        <v>9760</v>
      </c>
      <c r="D3132" s="8" t="s">
        <v>10587</v>
      </c>
      <c r="E3132" s="105">
        <v>1</v>
      </c>
      <c r="F3132" s="106" t="s">
        <v>2024</v>
      </c>
      <c r="G3132" s="8"/>
      <c r="H3132" s="8"/>
      <c r="I3132" s="107">
        <v>0</v>
      </c>
      <c r="J3132" s="8" t="s">
        <v>4823</v>
      </c>
    </row>
    <row r="3133" spans="1:10" ht="16.5" customHeight="1" x14ac:dyDescent="0.25">
      <c r="A3133" s="8" t="s">
        <v>10588</v>
      </c>
      <c r="B3133" s="8" t="s">
        <v>10589</v>
      </c>
      <c r="C3133" s="8" t="s">
        <v>9521</v>
      </c>
      <c r="D3133" s="8" t="s">
        <v>10589</v>
      </c>
      <c r="E3133" s="105">
        <v>1</v>
      </c>
      <c r="F3133" s="106" t="s">
        <v>2024</v>
      </c>
      <c r="G3133" s="8"/>
      <c r="H3133" s="8"/>
      <c r="I3133" s="107">
        <v>0</v>
      </c>
      <c r="J3133" s="8" t="s">
        <v>3580</v>
      </c>
    </row>
    <row r="3134" spans="1:10" ht="16.5" customHeight="1" x14ac:dyDescent="0.25">
      <c r="A3134" s="8" t="s">
        <v>10590</v>
      </c>
      <c r="B3134" s="8" t="s">
        <v>10591</v>
      </c>
      <c r="C3134" s="8" t="s">
        <v>9521</v>
      </c>
      <c r="D3134" s="8" t="s">
        <v>10591</v>
      </c>
      <c r="E3134" s="105">
        <v>1</v>
      </c>
      <c r="F3134" s="106" t="s">
        <v>2024</v>
      </c>
      <c r="G3134" s="8"/>
      <c r="H3134" s="8"/>
      <c r="I3134" s="107">
        <v>0</v>
      </c>
      <c r="J3134" s="8" t="s">
        <v>3580</v>
      </c>
    </row>
    <row r="3135" spans="1:10" ht="16.5" customHeight="1" x14ac:dyDescent="0.25">
      <c r="A3135" s="8" t="s">
        <v>10592</v>
      </c>
      <c r="B3135" s="8" t="s">
        <v>10593</v>
      </c>
      <c r="C3135" s="8" t="s">
        <v>10594</v>
      </c>
      <c r="D3135" s="8" t="s">
        <v>10593</v>
      </c>
      <c r="E3135" s="105">
        <v>1</v>
      </c>
      <c r="F3135" s="106" t="s">
        <v>2024</v>
      </c>
      <c r="G3135" s="8"/>
      <c r="H3135" s="8"/>
      <c r="I3135" s="107">
        <v>0</v>
      </c>
      <c r="J3135" s="8" t="s">
        <v>6357</v>
      </c>
    </row>
    <row r="3136" spans="1:10" ht="16.5" customHeight="1" x14ac:dyDescent="0.25">
      <c r="A3136" s="8" t="s">
        <v>10595</v>
      </c>
      <c r="B3136" s="8" t="s">
        <v>10596</v>
      </c>
      <c r="C3136" s="8" t="s">
        <v>9521</v>
      </c>
      <c r="D3136" s="8" t="s">
        <v>10597</v>
      </c>
      <c r="E3136" s="105">
        <v>1</v>
      </c>
      <c r="F3136" s="106" t="s">
        <v>2024</v>
      </c>
      <c r="G3136" s="8"/>
      <c r="H3136" s="8"/>
      <c r="I3136" s="107">
        <v>0</v>
      </c>
      <c r="J3136" s="8" t="s">
        <v>3580</v>
      </c>
    </row>
    <row r="3137" spans="1:10" ht="16.5" customHeight="1" x14ac:dyDescent="0.25">
      <c r="A3137" s="8" t="s">
        <v>10598</v>
      </c>
      <c r="B3137" s="8" t="s">
        <v>10599</v>
      </c>
      <c r="C3137" s="8" t="s">
        <v>9743</v>
      </c>
      <c r="D3137" s="8" t="s">
        <v>10599</v>
      </c>
      <c r="E3137" s="105">
        <v>1</v>
      </c>
      <c r="F3137" s="106" t="s">
        <v>2024</v>
      </c>
      <c r="G3137" s="8"/>
      <c r="H3137" s="8"/>
      <c r="I3137" s="107">
        <v>0</v>
      </c>
      <c r="J3137" s="8" t="s">
        <v>3580</v>
      </c>
    </row>
    <row r="3138" spans="1:10" ht="16.5" customHeight="1" x14ac:dyDescent="0.25">
      <c r="A3138" s="8" t="s">
        <v>10600</v>
      </c>
      <c r="B3138" s="8" t="s">
        <v>10601</v>
      </c>
      <c r="C3138" s="8" t="s">
        <v>10602</v>
      </c>
      <c r="D3138" s="8" t="s">
        <v>10601</v>
      </c>
      <c r="E3138" s="105">
        <v>1</v>
      </c>
      <c r="F3138" s="106" t="s">
        <v>2024</v>
      </c>
      <c r="G3138" s="8"/>
      <c r="H3138" s="8"/>
      <c r="I3138" s="107">
        <v>0</v>
      </c>
      <c r="J3138" s="8" t="s">
        <v>3580</v>
      </c>
    </row>
    <row r="3139" spans="1:10" ht="16.5" customHeight="1" x14ac:dyDescent="0.25">
      <c r="A3139" s="8" t="s">
        <v>10603</v>
      </c>
      <c r="B3139" s="8" t="s">
        <v>10604</v>
      </c>
      <c r="C3139" s="8" t="s">
        <v>10605</v>
      </c>
      <c r="D3139" s="8" t="s">
        <v>10604</v>
      </c>
      <c r="E3139" s="105">
        <v>1</v>
      </c>
      <c r="F3139" s="106" t="s">
        <v>2024</v>
      </c>
      <c r="G3139" s="8"/>
      <c r="H3139" s="8"/>
      <c r="I3139" s="107">
        <v>0</v>
      </c>
      <c r="J3139" s="8" t="s">
        <v>3580</v>
      </c>
    </row>
    <row r="3140" spans="1:10" ht="16.5" customHeight="1" x14ac:dyDescent="0.25">
      <c r="A3140" s="8" t="s">
        <v>10606</v>
      </c>
      <c r="B3140" s="8" t="s">
        <v>10607</v>
      </c>
      <c r="C3140" s="8" t="s">
        <v>9810</v>
      </c>
      <c r="D3140" s="8" t="s">
        <v>10607</v>
      </c>
      <c r="E3140" s="105">
        <v>1</v>
      </c>
      <c r="F3140" s="106" t="s">
        <v>2024</v>
      </c>
      <c r="G3140" s="8"/>
      <c r="H3140" s="8"/>
      <c r="I3140" s="107">
        <v>0</v>
      </c>
      <c r="J3140" s="8" t="s">
        <v>3580</v>
      </c>
    </row>
    <row r="3141" spans="1:10" ht="16.5" customHeight="1" x14ac:dyDescent="0.25">
      <c r="A3141" s="8" t="s">
        <v>10608</v>
      </c>
      <c r="B3141" s="8" t="s">
        <v>10609</v>
      </c>
      <c r="C3141" s="8" t="s">
        <v>9821</v>
      </c>
      <c r="D3141" s="8" t="s">
        <v>10609</v>
      </c>
      <c r="E3141" s="105">
        <v>1</v>
      </c>
      <c r="F3141" s="106" t="s">
        <v>2024</v>
      </c>
      <c r="G3141" s="8"/>
      <c r="H3141" s="8"/>
      <c r="I3141" s="107">
        <v>0</v>
      </c>
      <c r="J3141" s="8" t="s">
        <v>3580</v>
      </c>
    </row>
    <row r="3142" spans="1:10" ht="16.5" customHeight="1" x14ac:dyDescent="0.25">
      <c r="A3142" s="8" t="s">
        <v>10610</v>
      </c>
      <c r="B3142" s="8" t="s">
        <v>10611</v>
      </c>
      <c r="C3142" s="8" t="s">
        <v>9810</v>
      </c>
      <c r="D3142" s="8" t="s">
        <v>10612</v>
      </c>
      <c r="E3142" s="105">
        <v>1</v>
      </c>
      <c r="F3142" s="106" t="s">
        <v>2024</v>
      </c>
      <c r="G3142" s="8"/>
      <c r="H3142" s="8"/>
      <c r="I3142" s="107">
        <v>0</v>
      </c>
      <c r="J3142" s="8" t="s">
        <v>3580</v>
      </c>
    </row>
    <row r="3143" spans="1:10" ht="16.5" customHeight="1" x14ac:dyDescent="0.25">
      <c r="A3143" s="8" t="s">
        <v>10613</v>
      </c>
      <c r="B3143" s="8" t="s">
        <v>10614</v>
      </c>
      <c r="C3143" s="8" t="s">
        <v>10476</v>
      </c>
      <c r="D3143" s="8" t="s">
        <v>10614</v>
      </c>
      <c r="E3143" s="105">
        <v>1</v>
      </c>
      <c r="F3143" s="106" t="s">
        <v>2024</v>
      </c>
      <c r="G3143" s="8"/>
      <c r="H3143" s="8"/>
      <c r="I3143" s="107">
        <v>0</v>
      </c>
      <c r="J3143" s="8" t="s">
        <v>3580</v>
      </c>
    </row>
    <row r="3144" spans="1:10" ht="16.5" customHeight="1" x14ac:dyDescent="0.25">
      <c r="A3144" s="8" t="s">
        <v>10615</v>
      </c>
      <c r="B3144" s="8" t="s">
        <v>10616</v>
      </c>
      <c r="C3144" s="8" t="s">
        <v>10045</v>
      </c>
      <c r="D3144" s="8" t="s">
        <v>10616</v>
      </c>
      <c r="E3144" s="105">
        <v>1</v>
      </c>
      <c r="F3144" s="106" t="s">
        <v>2024</v>
      </c>
      <c r="G3144" s="8"/>
      <c r="H3144" s="8"/>
      <c r="I3144" s="107">
        <v>0</v>
      </c>
      <c r="J3144" s="8" t="s">
        <v>3580</v>
      </c>
    </row>
    <row r="3145" spans="1:10" ht="16.5" customHeight="1" x14ac:dyDescent="0.25">
      <c r="A3145" s="8" t="s">
        <v>10617</v>
      </c>
      <c r="B3145" s="8" t="s">
        <v>10618</v>
      </c>
      <c r="C3145" s="8" t="s">
        <v>10496</v>
      </c>
      <c r="D3145" s="8" t="s">
        <v>10619</v>
      </c>
      <c r="E3145" s="105">
        <v>1</v>
      </c>
      <c r="F3145" s="106" t="s">
        <v>2024</v>
      </c>
      <c r="G3145" s="8"/>
      <c r="H3145" s="8"/>
      <c r="I3145" s="107">
        <v>0</v>
      </c>
      <c r="J3145" s="8" t="s">
        <v>3580</v>
      </c>
    </row>
    <row r="3146" spans="1:10" ht="16.5" customHeight="1" x14ac:dyDescent="0.25">
      <c r="A3146" s="8" t="s">
        <v>10620</v>
      </c>
      <c r="B3146" s="8" t="s">
        <v>10621</v>
      </c>
      <c r="C3146" s="8" t="s">
        <v>9802</v>
      </c>
      <c r="D3146" s="8" t="s">
        <v>10622</v>
      </c>
      <c r="E3146" s="105">
        <v>1</v>
      </c>
      <c r="F3146" s="106" t="s">
        <v>2024</v>
      </c>
      <c r="G3146" s="8"/>
      <c r="H3146" s="8"/>
      <c r="I3146" s="107">
        <v>0</v>
      </c>
      <c r="J3146" s="8" t="s">
        <v>3580</v>
      </c>
    </row>
    <row r="3147" spans="1:10" ht="16.5" customHeight="1" x14ac:dyDescent="0.25">
      <c r="A3147" s="8" t="s">
        <v>10623</v>
      </c>
      <c r="B3147" s="8" t="s">
        <v>10624</v>
      </c>
      <c r="C3147" s="8" t="s">
        <v>9805</v>
      </c>
      <c r="D3147" s="8" t="s">
        <v>10624</v>
      </c>
      <c r="E3147" s="105">
        <v>1</v>
      </c>
      <c r="F3147" s="106" t="s">
        <v>2024</v>
      </c>
      <c r="G3147" s="8"/>
      <c r="H3147" s="8"/>
      <c r="I3147" s="107">
        <v>0</v>
      </c>
      <c r="J3147" s="8" t="s">
        <v>3580</v>
      </c>
    </row>
    <row r="3148" spans="1:10" ht="16.5" customHeight="1" x14ac:dyDescent="0.25">
      <c r="A3148" s="8" t="s">
        <v>10625</v>
      </c>
      <c r="B3148" s="8" t="s">
        <v>10626</v>
      </c>
      <c r="C3148" s="8" t="s">
        <v>9775</v>
      </c>
      <c r="D3148" s="8" t="s">
        <v>10627</v>
      </c>
      <c r="E3148" s="105">
        <v>1</v>
      </c>
      <c r="F3148" s="106" t="s">
        <v>2024</v>
      </c>
      <c r="G3148" s="8"/>
      <c r="H3148" s="8"/>
      <c r="I3148" s="107">
        <v>0</v>
      </c>
      <c r="J3148" s="8" t="s">
        <v>3580</v>
      </c>
    </row>
    <row r="3149" spans="1:10" ht="16.5" customHeight="1" x14ac:dyDescent="0.25">
      <c r="A3149" s="8" t="s">
        <v>10628</v>
      </c>
      <c r="B3149" s="8" t="s">
        <v>1069</v>
      </c>
      <c r="C3149" s="8" t="s">
        <v>1068</v>
      </c>
      <c r="D3149" s="8" t="s">
        <v>1069</v>
      </c>
      <c r="E3149" s="105">
        <v>18.2</v>
      </c>
      <c r="F3149" s="106" t="s">
        <v>2024</v>
      </c>
      <c r="G3149" s="8"/>
      <c r="H3149" s="8"/>
      <c r="I3149" s="107">
        <v>0</v>
      </c>
      <c r="J3149" s="8" t="s">
        <v>2019</v>
      </c>
    </row>
    <row r="3150" spans="1:10" ht="16.5" customHeight="1" x14ac:dyDescent="0.25">
      <c r="A3150" s="8" t="s">
        <v>10629</v>
      </c>
      <c r="B3150" s="8" t="s">
        <v>10630</v>
      </c>
      <c r="C3150" s="8" t="s">
        <v>1642</v>
      </c>
      <c r="D3150" s="8" t="s">
        <v>10630</v>
      </c>
      <c r="E3150" s="105">
        <v>9.6</v>
      </c>
      <c r="F3150" s="106" t="s">
        <v>2024</v>
      </c>
      <c r="G3150" s="8" t="s">
        <v>1541</v>
      </c>
      <c r="H3150" s="8" t="s">
        <v>10631</v>
      </c>
      <c r="I3150" s="107">
        <v>24</v>
      </c>
      <c r="J3150" s="8" t="s">
        <v>5929</v>
      </c>
    </row>
    <row r="3151" spans="1:10" ht="16.5" customHeight="1" x14ac:dyDescent="0.25">
      <c r="A3151" s="8" t="s">
        <v>10631</v>
      </c>
      <c r="B3151" s="8" t="s">
        <v>10632</v>
      </c>
      <c r="C3151" s="8" t="s">
        <v>10633</v>
      </c>
      <c r="D3151" s="8" t="s">
        <v>10632</v>
      </c>
      <c r="E3151" s="105">
        <v>0.4</v>
      </c>
      <c r="F3151" s="106" t="s">
        <v>2024</v>
      </c>
      <c r="G3151" s="8" t="s">
        <v>1541</v>
      </c>
      <c r="H3151" s="8"/>
      <c r="I3151" s="107">
        <v>0</v>
      </c>
      <c r="J3151" s="8" t="s">
        <v>5929</v>
      </c>
    </row>
    <row r="3152" spans="1:10" ht="16.5" customHeight="1" x14ac:dyDescent="0.25">
      <c r="A3152" s="8" t="s">
        <v>10634</v>
      </c>
      <c r="B3152" s="8" t="s">
        <v>10635</v>
      </c>
      <c r="C3152" s="8" t="s">
        <v>9772</v>
      </c>
      <c r="D3152" s="8" t="s">
        <v>10635</v>
      </c>
      <c r="E3152" s="105">
        <v>1</v>
      </c>
      <c r="F3152" s="106" t="s">
        <v>2024</v>
      </c>
      <c r="G3152" s="8"/>
      <c r="H3152" s="8"/>
      <c r="I3152" s="107">
        <v>0</v>
      </c>
      <c r="J3152" s="8" t="s">
        <v>3580</v>
      </c>
    </row>
    <row r="3153" spans="1:10" ht="16.5" customHeight="1" x14ac:dyDescent="0.25">
      <c r="A3153" s="8" t="s">
        <v>10636</v>
      </c>
      <c r="B3153" s="8" t="s">
        <v>10637</v>
      </c>
      <c r="C3153" s="8" t="s">
        <v>10638</v>
      </c>
      <c r="D3153" s="8" t="s">
        <v>10637</v>
      </c>
      <c r="E3153" s="105">
        <v>1</v>
      </c>
      <c r="F3153" s="106" t="s">
        <v>2024</v>
      </c>
      <c r="G3153" s="8"/>
      <c r="H3153" s="8"/>
      <c r="I3153" s="107">
        <v>0</v>
      </c>
      <c r="J3153" s="8" t="s">
        <v>3580</v>
      </c>
    </row>
    <row r="3154" spans="1:10" ht="16.5" customHeight="1" x14ac:dyDescent="0.25">
      <c r="A3154" s="8" t="s">
        <v>10639</v>
      </c>
      <c r="B3154" s="8" t="s">
        <v>10640</v>
      </c>
      <c r="C3154" s="8" t="s">
        <v>9983</v>
      </c>
      <c r="D3154" s="8" t="s">
        <v>10640</v>
      </c>
      <c r="E3154" s="105">
        <v>1</v>
      </c>
      <c r="F3154" s="106" t="s">
        <v>2024</v>
      </c>
      <c r="G3154" s="8"/>
      <c r="H3154" s="8"/>
      <c r="I3154" s="107">
        <v>0</v>
      </c>
      <c r="J3154" s="8" t="s">
        <v>3580</v>
      </c>
    </row>
    <row r="3155" spans="1:10" ht="16.5" customHeight="1" x14ac:dyDescent="0.25">
      <c r="A3155" s="8" t="s">
        <v>10641</v>
      </c>
      <c r="B3155" s="8" t="s">
        <v>10642</v>
      </c>
      <c r="C3155" s="8" t="s">
        <v>9778</v>
      </c>
      <c r="D3155" s="8" t="s">
        <v>10642</v>
      </c>
      <c r="E3155" s="105">
        <v>1</v>
      </c>
      <c r="F3155" s="106" t="s">
        <v>2024</v>
      </c>
      <c r="G3155" s="8"/>
      <c r="H3155" s="8"/>
      <c r="I3155" s="107">
        <v>0</v>
      </c>
      <c r="J3155" s="8" t="s">
        <v>3580</v>
      </c>
    </row>
    <row r="3156" spans="1:10" ht="16.5" customHeight="1" x14ac:dyDescent="0.25">
      <c r="A3156" s="8" t="s">
        <v>10643</v>
      </c>
      <c r="B3156" s="8" t="s">
        <v>10644</v>
      </c>
      <c r="C3156" s="8" t="s">
        <v>10645</v>
      </c>
      <c r="D3156" s="8" t="s">
        <v>10644</v>
      </c>
      <c r="E3156" s="105">
        <v>1</v>
      </c>
      <c r="F3156" s="106" t="s">
        <v>2024</v>
      </c>
      <c r="G3156" s="8"/>
      <c r="H3156" s="8"/>
      <c r="I3156" s="107">
        <v>0</v>
      </c>
      <c r="J3156" s="8" t="s">
        <v>3580</v>
      </c>
    </row>
    <row r="3157" spans="1:10" ht="16.5" customHeight="1" x14ac:dyDescent="0.25">
      <c r="A3157" s="8" t="s">
        <v>10646</v>
      </c>
      <c r="B3157" s="8" t="s">
        <v>10647</v>
      </c>
      <c r="C3157" s="8" t="s">
        <v>10648</v>
      </c>
      <c r="D3157" s="8" t="s">
        <v>10647</v>
      </c>
      <c r="E3157" s="105">
        <v>1</v>
      </c>
      <c r="F3157" s="106" t="s">
        <v>2024</v>
      </c>
      <c r="G3157" s="8"/>
      <c r="H3157" s="8"/>
      <c r="I3157" s="107">
        <v>0</v>
      </c>
      <c r="J3157" s="8" t="s">
        <v>3580</v>
      </c>
    </row>
    <row r="3158" spans="1:10" ht="16.5" customHeight="1" x14ac:dyDescent="0.25">
      <c r="A3158" s="8" t="s">
        <v>10649</v>
      </c>
      <c r="B3158" s="8" t="s">
        <v>10650</v>
      </c>
      <c r="C3158" s="8" t="s">
        <v>10651</v>
      </c>
      <c r="D3158" s="8" t="s">
        <v>10650</v>
      </c>
      <c r="E3158" s="105">
        <v>1</v>
      </c>
      <c r="F3158" s="106" t="s">
        <v>2024</v>
      </c>
      <c r="G3158" s="8"/>
      <c r="H3158" s="8"/>
      <c r="I3158" s="107">
        <v>0</v>
      </c>
      <c r="J3158" s="8" t="s">
        <v>3580</v>
      </c>
    </row>
    <row r="3159" spans="1:10" ht="16.5" customHeight="1" x14ac:dyDescent="0.25">
      <c r="A3159" s="8" t="s">
        <v>10652</v>
      </c>
      <c r="B3159" s="8" t="s">
        <v>10653</v>
      </c>
      <c r="C3159" s="8" t="s">
        <v>10654</v>
      </c>
      <c r="D3159" s="8" t="s">
        <v>10653</v>
      </c>
      <c r="E3159" s="105">
        <v>1</v>
      </c>
      <c r="F3159" s="106" t="s">
        <v>2024</v>
      </c>
      <c r="G3159" s="8"/>
      <c r="H3159" s="8"/>
      <c r="I3159" s="107">
        <v>0</v>
      </c>
      <c r="J3159" s="8" t="s">
        <v>3580</v>
      </c>
    </row>
    <row r="3160" spans="1:10" ht="16.5" customHeight="1" x14ac:dyDescent="0.25">
      <c r="A3160" s="8" t="s">
        <v>10655</v>
      </c>
      <c r="B3160" s="8" t="s">
        <v>10656</v>
      </c>
      <c r="C3160" s="8" t="s">
        <v>10654</v>
      </c>
      <c r="D3160" s="8" t="s">
        <v>10656</v>
      </c>
      <c r="E3160" s="105">
        <v>1</v>
      </c>
      <c r="F3160" s="106" t="s">
        <v>2024</v>
      </c>
      <c r="G3160" s="8"/>
      <c r="H3160" s="8"/>
      <c r="I3160" s="107">
        <v>0</v>
      </c>
      <c r="J3160" s="8" t="s">
        <v>3580</v>
      </c>
    </row>
    <row r="3161" spans="1:10" ht="16.5" customHeight="1" x14ac:dyDescent="0.25">
      <c r="A3161" s="8" t="s">
        <v>10657</v>
      </c>
      <c r="B3161" s="8" t="s">
        <v>10658</v>
      </c>
      <c r="C3161" s="8" t="s">
        <v>10654</v>
      </c>
      <c r="D3161" s="8" t="s">
        <v>10658</v>
      </c>
      <c r="E3161" s="105">
        <v>1</v>
      </c>
      <c r="F3161" s="106" t="s">
        <v>2024</v>
      </c>
      <c r="G3161" s="8"/>
      <c r="H3161" s="8"/>
      <c r="I3161" s="107">
        <v>0</v>
      </c>
      <c r="J3161" s="8" t="s">
        <v>3580</v>
      </c>
    </row>
    <row r="3162" spans="1:10" ht="16.5" customHeight="1" x14ac:dyDescent="0.25">
      <c r="A3162" s="8" t="s">
        <v>10659</v>
      </c>
      <c r="B3162" s="8" t="s">
        <v>10660</v>
      </c>
      <c r="C3162" s="8" t="s">
        <v>10661</v>
      </c>
      <c r="D3162" s="8" t="s">
        <v>10660</v>
      </c>
      <c r="E3162" s="105">
        <v>1</v>
      </c>
      <c r="F3162" s="106" t="s">
        <v>2018</v>
      </c>
      <c r="G3162" s="8"/>
      <c r="H3162" s="8"/>
      <c r="I3162" s="107">
        <v>0</v>
      </c>
      <c r="J3162" s="8" t="s">
        <v>2019</v>
      </c>
    </row>
    <row r="3163" spans="1:10" ht="16.5" customHeight="1" x14ac:dyDescent="0.25">
      <c r="A3163" s="8" t="s">
        <v>10662</v>
      </c>
      <c r="B3163" s="8" t="s">
        <v>10663</v>
      </c>
      <c r="C3163" s="8" t="s">
        <v>10664</v>
      </c>
      <c r="D3163" s="8" t="s">
        <v>10663</v>
      </c>
      <c r="E3163" s="105">
        <v>1</v>
      </c>
      <c r="F3163" s="106" t="s">
        <v>2018</v>
      </c>
      <c r="G3163" s="8"/>
      <c r="H3163" s="8"/>
      <c r="I3163" s="107">
        <v>0</v>
      </c>
      <c r="J3163" s="8" t="s">
        <v>6357</v>
      </c>
    </row>
    <row r="3164" spans="1:10" ht="16.5" customHeight="1" x14ac:dyDescent="0.25">
      <c r="A3164" s="8" t="s">
        <v>10665</v>
      </c>
      <c r="B3164" s="8" t="s">
        <v>10666</v>
      </c>
      <c r="C3164" s="8" t="s">
        <v>10667</v>
      </c>
      <c r="D3164" s="8" t="s">
        <v>10666</v>
      </c>
      <c r="E3164" s="105">
        <v>1</v>
      </c>
      <c r="F3164" s="106" t="s">
        <v>2024</v>
      </c>
      <c r="G3164" s="8"/>
      <c r="H3164" s="8"/>
      <c r="I3164" s="107">
        <v>0</v>
      </c>
      <c r="J3164" s="8" t="s">
        <v>6357</v>
      </c>
    </row>
    <row r="3165" spans="1:10" ht="16.5" customHeight="1" x14ac:dyDescent="0.25">
      <c r="A3165" s="8" t="s">
        <v>10668</v>
      </c>
      <c r="B3165" s="8" t="s">
        <v>10669</v>
      </c>
      <c r="C3165" s="8" t="s">
        <v>9760</v>
      </c>
      <c r="D3165" s="8" t="s">
        <v>10669</v>
      </c>
      <c r="E3165" s="105">
        <v>1</v>
      </c>
      <c r="F3165" s="106" t="s">
        <v>2024</v>
      </c>
      <c r="G3165" s="8"/>
      <c r="H3165" s="8"/>
      <c r="I3165" s="107">
        <v>0</v>
      </c>
      <c r="J3165" s="8" t="s">
        <v>4823</v>
      </c>
    </row>
    <row r="3166" spans="1:10" ht="16.5" customHeight="1" x14ac:dyDescent="0.25">
      <c r="A3166" s="8" t="s">
        <v>10670</v>
      </c>
      <c r="B3166" s="8" t="s">
        <v>10671</v>
      </c>
      <c r="C3166" s="8" t="s">
        <v>9760</v>
      </c>
      <c r="D3166" s="8" t="s">
        <v>10671</v>
      </c>
      <c r="E3166" s="105">
        <v>1</v>
      </c>
      <c r="F3166" s="106" t="s">
        <v>2024</v>
      </c>
      <c r="G3166" s="8"/>
      <c r="H3166" s="8"/>
      <c r="I3166" s="107">
        <v>0</v>
      </c>
      <c r="J3166" s="8" t="s">
        <v>3580</v>
      </c>
    </row>
    <row r="3167" spans="1:10" ht="16.5" customHeight="1" x14ac:dyDescent="0.25">
      <c r="A3167" s="8" t="s">
        <v>10672</v>
      </c>
      <c r="B3167" s="8" t="s">
        <v>10673</v>
      </c>
      <c r="C3167" s="8" t="s">
        <v>10674</v>
      </c>
      <c r="D3167" s="8" t="s">
        <v>10673</v>
      </c>
      <c r="E3167" s="105">
        <v>1</v>
      </c>
      <c r="F3167" s="106" t="s">
        <v>2018</v>
      </c>
      <c r="G3167" s="8"/>
      <c r="H3167" s="8"/>
      <c r="I3167" s="107">
        <v>0</v>
      </c>
      <c r="J3167" s="8" t="s">
        <v>6357</v>
      </c>
    </row>
    <row r="3168" spans="1:10" ht="16.5" customHeight="1" x14ac:dyDescent="0.25">
      <c r="A3168" s="8" t="s">
        <v>10675</v>
      </c>
      <c r="B3168" s="8" t="s">
        <v>10676</v>
      </c>
      <c r="C3168" s="8" t="s">
        <v>10677</v>
      </c>
      <c r="D3168" s="8" t="s">
        <v>10676</v>
      </c>
      <c r="E3168" s="105">
        <v>0</v>
      </c>
      <c r="F3168" s="106" t="s">
        <v>2018</v>
      </c>
      <c r="G3168" s="8"/>
      <c r="H3168" s="8"/>
      <c r="I3168" s="107">
        <v>0</v>
      </c>
      <c r="J3168" s="8" t="s">
        <v>3580</v>
      </c>
    </row>
    <row r="3169" spans="1:10" ht="16.5" customHeight="1" x14ac:dyDescent="0.25">
      <c r="A3169" s="8" t="s">
        <v>10678</v>
      </c>
      <c r="B3169" s="8" t="s">
        <v>10679</v>
      </c>
      <c r="C3169" s="8" t="s">
        <v>10680</v>
      </c>
      <c r="D3169" s="8" t="s">
        <v>10679</v>
      </c>
      <c r="E3169" s="105">
        <v>1</v>
      </c>
      <c r="F3169" s="106" t="s">
        <v>2024</v>
      </c>
      <c r="G3169" s="8"/>
      <c r="H3169" s="8"/>
      <c r="I3169" s="107">
        <v>0</v>
      </c>
      <c r="J3169" s="8" t="s">
        <v>3580</v>
      </c>
    </row>
    <row r="3170" spans="1:10" ht="16.5" customHeight="1" x14ac:dyDescent="0.25">
      <c r="A3170" s="8" t="s">
        <v>10681</v>
      </c>
      <c r="B3170" s="8" t="s">
        <v>10682</v>
      </c>
      <c r="C3170" s="8" t="s">
        <v>10683</v>
      </c>
      <c r="D3170" s="8" t="s">
        <v>10682</v>
      </c>
      <c r="E3170" s="105">
        <v>0.5</v>
      </c>
      <c r="F3170" s="106" t="s">
        <v>2024</v>
      </c>
      <c r="G3170" s="8"/>
      <c r="H3170" s="8"/>
      <c r="I3170" s="107">
        <v>0</v>
      </c>
      <c r="J3170" s="8" t="s">
        <v>3580</v>
      </c>
    </row>
    <row r="3171" spans="1:10" ht="16.5" customHeight="1" x14ac:dyDescent="0.25">
      <c r="A3171" s="8" t="s">
        <v>10684</v>
      </c>
      <c r="B3171" s="8" t="s">
        <v>10685</v>
      </c>
      <c r="C3171" s="8" t="s">
        <v>10686</v>
      </c>
      <c r="D3171" s="8" t="s">
        <v>10685</v>
      </c>
      <c r="E3171" s="105">
        <v>1</v>
      </c>
      <c r="F3171" s="106" t="s">
        <v>2024</v>
      </c>
      <c r="G3171" s="8"/>
      <c r="H3171" s="8"/>
      <c r="I3171" s="107">
        <v>0</v>
      </c>
      <c r="J3171" s="8" t="s">
        <v>3580</v>
      </c>
    </row>
    <row r="3172" spans="1:10" ht="16.5" customHeight="1" x14ac:dyDescent="0.25">
      <c r="A3172" s="8" t="s">
        <v>10687</v>
      </c>
      <c r="B3172" s="8" t="s">
        <v>9581</v>
      </c>
      <c r="C3172" s="8" t="s">
        <v>9582</v>
      </c>
      <c r="D3172" s="8" t="s">
        <v>9581</v>
      </c>
      <c r="E3172" s="105">
        <v>1</v>
      </c>
      <c r="F3172" s="106" t="s">
        <v>2024</v>
      </c>
      <c r="G3172" s="8"/>
      <c r="H3172" s="8"/>
      <c r="I3172" s="107">
        <v>0</v>
      </c>
      <c r="J3172" s="8" t="s">
        <v>3580</v>
      </c>
    </row>
    <row r="3173" spans="1:10" ht="16.5" customHeight="1" x14ac:dyDescent="0.25">
      <c r="A3173" s="8" t="s">
        <v>10688</v>
      </c>
      <c r="B3173" s="8" t="s">
        <v>10689</v>
      </c>
      <c r="C3173" s="8" t="s">
        <v>10690</v>
      </c>
      <c r="D3173" s="8" t="s">
        <v>10689</v>
      </c>
      <c r="E3173" s="105">
        <v>10</v>
      </c>
      <c r="F3173" s="106" t="s">
        <v>2024</v>
      </c>
      <c r="G3173" s="8"/>
      <c r="H3173" s="8"/>
      <c r="I3173" s="107">
        <v>0</v>
      </c>
      <c r="J3173" s="8" t="s">
        <v>3580</v>
      </c>
    </row>
    <row r="3174" spans="1:10" ht="16.5" customHeight="1" x14ac:dyDescent="0.25">
      <c r="A3174" s="8" t="s">
        <v>10691</v>
      </c>
      <c r="B3174" s="8" t="s">
        <v>10692</v>
      </c>
      <c r="C3174" s="8" t="s">
        <v>10693</v>
      </c>
      <c r="D3174" s="8" t="s">
        <v>10692</v>
      </c>
      <c r="E3174" s="105">
        <v>0</v>
      </c>
      <c r="F3174" s="106" t="s">
        <v>2024</v>
      </c>
      <c r="G3174" s="8"/>
      <c r="H3174" s="8"/>
      <c r="I3174" s="107">
        <v>0</v>
      </c>
      <c r="J3174" s="8" t="s">
        <v>6357</v>
      </c>
    </row>
    <row r="3175" spans="1:10" ht="16.5" customHeight="1" x14ac:dyDescent="0.25">
      <c r="A3175" s="8" t="s">
        <v>10694</v>
      </c>
      <c r="B3175" s="8" t="s">
        <v>10695</v>
      </c>
      <c r="C3175" s="8" t="s">
        <v>10696</v>
      </c>
      <c r="D3175" s="8" t="s">
        <v>10695</v>
      </c>
      <c r="E3175" s="105">
        <v>0.2</v>
      </c>
      <c r="F3175" s="106" t="s">
        <v>2024</v>
      </c>
      <c r="G3175" s="8"/>
      <c r="H3175" s="8"/>
      <c r="I3175" s="107">
        <v>0</v>
      </c>
      <c r="J3175" s="8" t="s">
        <v>10697</v>
      </c>
    </row>
    <row r="3176" spans="1:10" ht="16.5" customHeight="1" x14ac:dyDescent="0.25">
      <c r="A3176" s="8" t="s">
        <v>10698</v>
      </c>
      <c r="B3176" s="8" t="s">
        <v>10699</v>
      </c>
      <c r="C3176" s="8" t="s">
        <v>10700</v>
      </c>
      <c r="D3176" s="8" t="s">
        <v>10699</v>
      </c>
      <c r="E3176" s="105">
        <v>10</v>
      </c>
      <c r="F3176" s="106" t="s">
        <v>2018</v>
      </c>
      <c r="G3176" s="8"/>
      <c r="H3176" s="8" t="s">
        <v>10694</v>
      </c>
      <c r="I3176" s="107">
        <v>50</v>
      </c>
      <c r="J3176" s="8" t="s">
        <v>10697</v>
      </c>
    </row>
    <row r="3177" spans="1:10" ht="16.5" customHeight="1" x14ac:dyDescent="0.25">
      <c r="A3177" s="8" t="s">
        <v>10701</v>
      </c>
      <c r="B3177" s="8" t="s">
        <v>10702</v>
      </c>
      <c r="C3177" s="8" t="s">
        <v>10703</v>
      </c>
      <c r="D3177" s="8" t="s">
        <v>10702</v>
      </c>
      <c r="E3177" s="105">
        <v>0.8</v>
      </c>
      <c r="F3177" s="106" t="s">
        <v>2024</v>
      </c>
      <c r="G3177" s="8"/>
      <c r="H3177" s="8"/>
      <c r="I3177" s="107">
        <v>0</v>
      </c>
      <c r="J3177" s="8" t="s">
        <v>10697</v>
      </c>
    </row>
    <row r="3178" spans="1:10" ht="16.5" customHeight="1" x14ac:dyDescent="0.25">
      <c r="A3178" s="8" t="s">
        <v>10704</v>
      </c>
      <c r="B3178" s="8" t="s">
        <v>10705</v>
      </c>
      <c r="C3178" s="8" t="s">
        <v>10706</v>
      </c>
      <c r="D3178" s="8" t="s">
        <v>10705</v>
      </c>
      <c r="E3178" s="105">
        <v>9.6</v>
      </c>
      <c r="F3178" s="106" t="s">
        <v>2024</v>
      </c>
      <c r="G3178" s="8"/>
      <c r="H3178" s="8"/>
      <c r="I3178" s="107">
        <v>0</v>
      </c>
      <c r="J3178" s="8" t="s">
        <v>10697</v>
      </c>
    </row>
    <row r="3179" spans="1:10" ht="16.5" customHeight="1" x14ac:dyDescent="0.25">
      <c r="A3179" s="8" t="s">
        <v>10707</v>
      </c>
      <c r="B3179" s="8" t="s">
        <v>10708</v>
      </c>
      <c r="C3179" s="8" t="s">
        <v>10709</v>
      </c>
      <c r="D3179" s="8" t="s">
        <v>10708</v>
      </c>
      <c r="E3179" s="105">
        <v>3.5</v>
      </c>
      <c r="F3179" s="106" t="s">
        <v>2018</v>
      </c>
      <c r="G3179" s="8"/>
      <c r="H3179" s="8"/>
      <c r="I3179" s="107">
        <v>0</v>
      </c>
      <c r="J3179" s="8" t="s">
        <v>10697</v>
      </c>
    </row>
    <row r="3180" spans="1:10" ht="16.5" customHeight="1" x14ac:dyDescent="0.25">
      <c r="A3180" s="8" t="s">
        <v>1073</v>
      </c>
      <c r="B3180" s="8" t="s">
        <v>1075</v>
      </c>
      <c r="C3180" s="8" t="s">
        <v>1074</v>
      </c>
      <c r="D3180" s="8" t="s">
        <v>1075</v>
      </c>
      <c r="E3180" s="105">
        <v>14</v>
      </c>
      <c r="F3180" s="106" t="s">
        <v>2018</v>
      </c>
      <c r="G3180" s="8"/>
      <c r="H3180" s="8" t="s">
        <v>10707</v>
      </c>
      <c r="I3180" s="107">
        <v>4</v>
      </c>
      <c r="J3180" s="8" t="s">
        <v>10697</v>
      </c>
    </row>
    <row r="3181" spans="1:10" ht="16.5" customHeight="1" x14ac:dyDescent="0.25">
      <c r="A3181" s="8" t="s">
        <v>10710</v>
      </c>
      <c r="B3181" s="8" t="s">
        <v>10711</v>
      </c>
      <c r="C3181" s="8" t="s">
        <v>10712</v>
      </c>
      <c r="D3181" s="8" t="s">
        <v>10711</v>
      </c>
      <c r="E3181" s="105">
        <v>1.5</v>
      </c>
      <c r="F3181" s="106" t="s">
        <v>2018</v>
      </c>
      <c r="G3181" s="8"/>
      <c r="H3181" s="8"/>
      <c r="I3181" s="107">
        <v>0</v>
      </c>
      <c r="J3181" s="8" t="s">
        <v>10697</v>
      </c>
    </row>
    <row r="3182" spans="1:10" ht="16.5" customHeight="1" x14ac:dyDescent="0.25">
      <c r="A3182" s="8" t="s">
        <v>10713</v>
      </c>
      <c r="B3182" s="8" t="s">
        <v>10714</v>
      </c>
      <c r="C3182" s="8" t="s">
        <v>10715</v>
      </c>
      <c r="D3182" s="8" t="s">
        <v>10714</v>
      </c>
      <c r="E3182" s="105">
        <v>12</v>
      </c>
      <c r="F3182" s="106" t="s">
        <v>2018</v>
      </c>
      <c r="G3182" s="8"/>
      <c r="H3182" s="8" t="s">
        <v>10710</v>
      </c>
      <c r="I3182" s="107">
        <v>8</v>
      </c>
      <c r="J3182" s="8" t="s">
        <v>10697</v>
      </c>
    </row>
    <row r="3183" spans="1:10" ht="16.5" customHeight="1" x14ac:dyDescent="0.25">
      <c r="A3183" s="8" t="s">
        <v>10716</v>
      </c>
      <c r="B3183" s="8" t="s">
        <v>10717</v>
      </c>
      <c r="C3183" s="8" t="s">
        <v>10718</v>
      </c>
      <c r="D3183" s="8" t="s">
        <v>10717</v>
      </c>
      <c r="E3183" s="105">
        <v>1.5</v>
      </c>
      <c r="F3183" s="106" t="s">
        <v>2024</v>
      </c>
      <c r="G3183" s="8"/>
      <c r="H3183" s="8"/>
      <c r="I3183" s="107">
        <v>0</v>
      </c>
      <c r="J3183" s="8" t="s">
        <v>10697</v>
      </c>
    </row>
    <row r="3184" spans="1:10" ht="16.5" customHeight="1" x14ac:dyDescent="0.25">
      <c r="A3184" s="8" t="s">
        <v>10719</v>
      </c>
      <c r="B3184" s="8" t="s">
        <v>10720</v>
      </c>
      <c r="C3184" s="8" t="s">
        <v>10721</v>
      </c>
      <c r="D3184" s="8" t="s">
        <v>10720</v>
      </c>
      <c r="E3184" s="105">
        <v>12</v>
      </c>
      <c r="F3184" s="106" t="s">
        <v>2024</v>
      </c>
      <c r="G3184" s="8"/>
      <c r="H3184" s="8"/>
      <c r="I3184" s="107">
        <v>0</v>
      </c>
      <c r="J3184" s="8" t="s">
        <v>10697</v>
      </c>
    </row>
    <row r="3185" spans="1:10" ht="16.5" customHeight="1" x14ac:dyDescent="0.25">
      <c r="A3185" s="8" t="s">
        <v>10722</v>
      </c>
      <c r="B3185" s="8" t="s">
        <v>10723</v>
      </c>
      <c r="C3185" s="8" t="s">
        <v>10724</v>
      </c>
      <c r="D3185" s="8" t="s">
        <v>10723</v>
      </c>
      <c r="E3185" s="105">
        <v>5</v>
      </c>
      <c r="F3185" s="106" t="s">
        <v>2018</v>
      </c>
      <c r="G3185" s="8"/>
      <c r="H3185" s="8"/>
      <c r="I3185" s="107">
        <v>0</v>
      </c>
      <c r="J3185" s="8" t="s">
        <v>10697</v>
      </c>
    </row>
    <row r="3186" spans="1:10" ht="16.5" customHeight="1" x14ac:dyDescent="0.25">
      <c r="A3186" s="8" t="s">
        <v>10725</v>
      </c>
      <c r="B3186" s="8" t="s">
        <v>10726</v>
      </c>
      <c r="C3186" s="8" t="s">
        <v>10727</v>
      </c>
      <c r="D3186" s="8" t="s">
        <v>10726</v>
      </c>
      <c r="E3186" s="105">
        <v>20</v>
      </c>
      <c r="F3186" s="106" t="s">
        <v>2018</v>
      </c>
      <c r="G3186" s="8"/>
      <c r="H3186" s="8" t="s">
        <v>10722</v>
      </c>
      <c r="I3186" s="107">
        <v>4</v>
      </c>
      <c r="J3186" s="8" t="s">
        <v>10697</v>
      </c>
    </row>
    <row r="3187" spans="1:10" ht="16.5" customHeight="1" x14ac:dyDescent="0.25">
      <c r="A3187" s="8" t="s">
        <v>10728</v>
      </c>
      <c r="B3187" s="8" t="s">
        <v>10729</v>
      </c>
      <c r="C3187" s="8" t="s">
        <v>10730</v>
      </c>
      <c r="D3187" s="8" t="s">
        <v>10729</v>
      </c>
      <c r="E3187" s="105">
        <v>0.75</v>
      </c>
      <c r="F3187" s="106" t="s">
        <v>2018</v>
      </c>
      <c r="G3187" s="8"/>
      <c r="H3187" s="8"/>
      <c r="I3187" s="107">
        <v>0</v>
      </c>
      <c r="J3187" s="8" t="s">
        <v>10697</v>
      </c>
    </row>
    <row r="3188" spans="1:10" ht="16.5" customHeight="1" x14ac:dyDescent="0.25">
      <c r="A3188" s="8" t="s">
        <v>10731</v>
      </c>
      <c r="B3188" s="8" t="s">
        <v>10732</v>
      </c>
      <c r="C3188" s="8" t="s">
        <v>10733</v>
      </c>
      <c r="D3188" s="8" t="s">
        <v>10732</v>
      </c>
      <c r="E3188" s="105">
        <v>12</v>
      </c>
      <c r="F3188" s="106" t="s">
        <v>2018</v>
      </c>
      <c r="G3188" s="8"/>
      <c r="H3188" s="8" t="s">
        <v>10728</v>
      </c>
      <c r="I3188" s="107">
        <v>16</v>
      </c>
      <c r="J3188" s="8" t="s">
        <v>10697</v>
      </c>
    </row>
    <row r="3189" spans="1:10" ht="16.5" customHeight="1" x14ac:dyDescent="0.25">
      <c r="A3189" s="8" t="s">
        <v>10734</v>
      </c>
      <c r="B3189" s="8" t="s">
        <v>10735</v>
      </c>
      <c r="C3189" s="8" t="s">
        <v>10736</v>
      </c>
      <c r="D3189" s="8" t="s">
        <v>10735</v>
      </c>
      <c r="E3189" s="105">
        <v>0.75</v>
      </c>
      <c r="F3189" s="106" t="s">
        <v>2018</v>
      </c>
      <c r="G3189" s="8"/>
      <c r="H3189" s="8"/>
      <c r="I3189" s="107">
        <v>0</v>
      </c>
      <c r="J3189" s="8" t="s">
        <v>10697</v>
      </c>
    </row>
    <row r="3190" spans="1:10" ht="16.5" customHeight="1" x14ac:dyDescent="0.25">
      <c r="A3190" s="8" t="s">
        <v>1300</v>
      </c>
      <c r="B3190" s="8" t="s">
        <v>10737</v>
      </c>
      <c r="C3190" s="8" t="s">
        <v>10738</v>
      </c>
      <c r="D3190" s="8" t="s">
        <v>10737</v>
      </c>
      <c r="E3190" s="105">
        <v>12</v>
      </c>
      <c r="F3190" s="106" t="s">
        <v>2018</v>
      </c>
      <c r="G3190" s="8"/>
      <c r="H3190" s="8" t="s">
        <v>10734</v>
      </c>
      <c r="I3190" s="107">
        <v>16</v>
      </c>
      <c r="J3190" s="8" t="s">
        <v>10697</v>
      </c>
    </row>
    <row r="3191" spans="1:10" ht="16.5" customHeight="1" x14ac:dyDescent="0.25">
      <c r="A3191" s="8" t="s">
        <v>10739</v>
      </c>
      <c r="B3191" s="8" t="s">
        <v>10740</v>
      </c>
      <c r="C3191" s="8" t="s">
        <v>10741</v>
      </c>
      <c r="D3191" s="8" t="s">
        <v>10740</v>
      </c>
      <c r="E3191" s="105">
        <v>0.4</v>
      </c>
      <c r="F3191" s="106" t="s">
        <v>2018</v>
      </c>
      <c r="G3191" s="8"/>
      <c r="H3191" s="8"/>
      <c r="I3191" s="107">
        <v>0</v>
      </c>
      <c r="J3191" s="8" t="s">
        <v>10697</v>
      </c>
    </row>
    <row r="3192" spans="1:10" ht="16.5" customHeight="1" x14ac:dyDescent="0.25">
      <c r="A3192" s="8" t="s">
        <v>10742</v>
      </c>
      <c r="B3192" s="8" t="s">
        <v>10743</v>
      </c>
      <c r="C3192" s="8" t="s">
        <v>10744</v>
      </c>
      <c r="D3192" s="8" t="s">
        <v>10743</v>
      </c>
      <c r="E3192" s="105">
        <v>9.6</v>
      </c>
      <c r="F3192" s="106" t="s">
        <v>2018</v>
      </c>
      <c r="G3192" s="8"/>
      <c r="H3192" s="8" t="s">
        <v>10739</v>
      </c>
      <c r="I3192" s="107">
        <v>24</v>
      </c>
      <c r="J3192" s="8" t="s">
        <v>10697</v>
      </c>
    </row>
    <row r="3193" spans="1:10" ht="16.5" customHeight="1" x14ac:dyDescent="0.25">
      <c r="A3193" s="8" t="s">
        <v>10745</v>
      </c>
      <c r="B3193" s="8" t="s">
        <v>10746</v>
      </c>
      <c r="C3193" s="8" t="s">
        <v>10747</v>
      </c>
      <c r="D3193" s="8" t="s">
        <v>10746</v>
      </c>
      <c r="E3193" s="105">
        <v>0.4</v>
      </c>
      <c r="F3193" s="106" t="s">
        <v>2018</v>
      </c>
      <c r="G3193" s="8"/>
      <c r="H3193" s="8"/>
      <c r="I3193" s="107">
        <v>0</v>
      </c>
      <c r="J3193" s="8" t="s">
        <v>10697</v>
      </c>
    </row>
    <row r="3194" spans="1:10" ht="16.5" customHeight="1" x14ac:dyDescent="0.25">
      <c r="A3194" s="8" t="s">
        <v>1292</v>
      </c>
      <c r="B3194" s="8" t="s">
        <v>10748</v>
      </c>
      <c r="C3194" s="8" t="s">
        <v>10749</v>
      </c>
      <c r="D3194" s="8" t="s">
        <v>10748</v>
      </c>
      <c r="E3194" s="105">
        <v>9.6</v>
      </c>
      <c r="F3194" s="106" t="s">
        <v>2018</v>
      </c>
      <c r="G3194" s="8"/>
      <c r="H3194" s="8" t="s">
        <v>10745</v>
      </c>
      <c r="I3194" s="107">
        <v>24</v>
      </c>
      <c r="J3194" s="8" t="s">
        <v>10697</v>
      </c>
    </row>
    <row r="3195" spans="1:10" ht="16.5" customHeight="1" x14ac:dyDescent="0.25">
      <c r="A3195" s="8" t="s">
        <v>10750</v>
      </c>
      <c r="B3195" s="8" t="s">
        <v>10751</v>
      </c>
      <c r="C3195" s="8" t="s">
        <v>10752</v>
      </c>
      <c r="D3195" s="8" t="s">
        <v>10751</v>
      </c>
      <c r="E3195" s="105">
        <v>3.8</v>
      </c>
      <c r="F3195" s="106" t="s">
        <v>2018</v>
      </c>
      <c r="G3195" s="8"/>
      <c r="H3195" s="8"/>
      <c r="I3195" s="107">
        <v>0</v>
      </c>
      <c r="J3195" s="8" t="s">
        <v>10697</v>
      </c>
    </row>
    <row r="3196" spans="1:10" ht="16.5" customHeight="1" x14ac:dyDescent="0.25">
      <c r="A3196" s="8" t="s">
        <v>10753</v>
      </c>
      <c r="B3196" s="8" t="s">
        <v>10754</v>
      </c>
      <c r="C3196" s="8" t="s">
        <v>10755</v>
      </c>
      <c r="D3196" s="8" t="s">
        <v>10754</v>
      </c>
      <c r="E3196" s="105">
        <v>15.2</v>
      </c>
      <c r="F3196" s="106" t="s">
        <v>2018</v>
      </c>
      <c r="G3196" s="8"/>
      <c r="H3196" s="8" t="s">
        <v>10750</v>
      </c>
      <c r="I3196" s="107">
        <v>4</v>
      </c>
      <c r="J3196" s="8" t="s">
        <v>10697</v>
      </c>
    </row>
    <row r="3197" spans="1:10" ht="16.5" customHeight="1" x14ac:dyDescent="0.25">
      <c r="A3197" s="8" t="s">
        <v>10756</v>
      </c>
      <c r="B3197" s="8" t="s">
        <v>10757</v>
      </c>
      <c r="C3197" s="8" t="s">
        <v>10758</v>
      </c>
      <c r="D3197" s="8" t="s">
        <v>10757</v>
      </c>
      <c r="E3197" s="105">
        <v>9.5</v>
      </c>
      <c r="F3197" s="106" t="s">
        <v>2018</v>
      </c>
      <c r="G3197" s="8"/>
      <c r="H3197" s="8"/>
      <c r="I3197" s="107">
        <v>0</v>
      </c>
      <c r="J3197" s="8" t="s">
        <v>10697</v>
      </c>
    </row>
    <row r="3198" spans="1:10" ht="16.5" customHeight="1" x14ac:dyDescent="0.25">
      <c r="A3198" s="8" t="s">
        <v>10759</v>
      </c>
      <c r="B3198" s="8" t="s">
        <v>10760</v>
      </c>
      <c r="C3198" s="8" t="s">
        <v>10761</v>
      </c>
      <c r="D3198" s="8" t="s">
        <v>10760</v>
      </c>
      <c r="E3198" s="105">
        <v>19</v>
      </c>
      <c r="F3198" s="106" t="s">
        <v>2024</v>
      </c>
      <c r="G3198" s="8"/>
      <c r="H3198" s="8"/>
      <c r="I3198" s="107">
        <v>0</v>
      </c>
      <c r="J3198" s="8" t="s">
        <v>10697</v>
      </c>
    </row>
    <row r="3199" spans="1:10" ht="16.5" customHeight="1" x14ac:dyDescent="0.25">
      <c r="A3199" s="8" t="s">
        <v>10762</v>
      </c>
      <c r="B3199" s="8" t="s">
        <v>10763</v>
      </c>
      <c r="C3199" s="8" t="s">
        <v>10764</v>
      </c>
      <c r="D3199" s="8" t="s">
        <v>10763</v>
      </c>
      <c r="E3199" s="105">
        <v>2.7</v>
      </c>
      <c r="F3199" s="106" t="s">
        <v>2024</v>
      </c>
      <c r="G3199" s="8"/>
      <c r="H3199" s="8"/>
      <c r="I3199" s="107">
        <v>0</v>
      </c>
      <c r="J3199" s="8" t="s">
        <v>10697</v>
      </c>
    </row>
    <row r="3200" spans="1:10" ht="16.5" customHeight="1" x14ac:dyDescent="0.25">
      <c r="A3200" s="8" t="s">
        <v>10765</v>
      </c>
      <c r="B3200" s="8" t="s">
        <v>10766</v>
      </c>
      <c r="C3200" s="8" t="s">
        <v>10767</v>
      </c>
      <c r="D3200" s="8" t="s">
        <v>10766</v>
      </c>
      <c r="E3200" s="105">
        <v>10.8</v>
      </c>
      <c r="F3200" s="106" t="s">
        <v>2024</v>
      </c>
      <c r="G3200" s="8"/>
      <c r="H3200" s="8"/>
      <c r="I3200" s="107">
        <v>0</v>
      </c>
      <c r="J3200" s="8" t="s">
        <v>10697</v>
      </c>
    </row>
    <row r="3201" spans="1:10" ht="16.5" customHeight="1" x14ac:dyDescent="0.25">
      <c r="A3201" s="8" t="s">
        <v>1118</v>
      </c>
      <c r="B3201" s="8" t="s">
        <v>1120</v>
      </c>
      <c r="C3201" s="8" t="s">
        <v>1119</v>
      </c>
      <c r="D3201" s="8" t="s">
        <v>1120</v>
      </c>
      <c r="E3201" s="105">
        <v>9</v>
      </c>
      <c r="F3201" s="106" t="s">
        <v>2018</v>
      </c>
      <c r="G3201" s="8"/>
      <c r="H3201" s="8"/>
      <c r="I3201" s="107">
        <v>0</v>
      </c>
      <c r="J3201" s="8" t="s">
        <v>10697</v>
      </c>
    </row>
    <row r="3202" spans="1:10" ht="16.5" customHeight="1" x14ac:dyDescent="0.25">
      <c r="A3202" s="8" t="s">
        <v>10768</v>
      </c>
      <c r="B3202" s="8" t="s">
        <v>10769</v>
      </c>
      <c r="C3202" s="8" t="s">
        <v>10770</v>
      </c>
      <c r="D3202" s="8" t="s">
        <v>10769</v>
      </c>
      <c r="E3202" s="105">
        <v>0.75</v>
      </c>
      <c r="F3202" s="106" t="s">
        <v>2018</v>
      </c>
      <c r="G3202" s="8"/>
      <c r="H3202" s="8"/>
      <c r="I3202" s="107">
        <v>0</v>
      </c>
      <c r="J3202" s="8" t="s">
        <v>10697</v>
      </c>
    </row>
    <row r="3203" spans="1:10" ht="16.5" customHeight="1" x14ac:dyDescent="0.25">
      <c r="A3203" s="8" t="s">
        <v>10771</v>
      </c>
      <c r="B3203" s="8" t="s">
        <v>10772</v>
      </c>
      <c r="C3203" s="8" t="s">
        <v>10773</v>
      </c>
      <c r="D3203" s="8" t="s">
        <v>10772</v>
      </c>
      <c r="E3203" s="105">
        <v>9.36</v>
      </c>
      <c r="F3203" s="106" t="s">
        <v>2024</v>
      </c>
      <c r="G3203" s="8"/>
      <c r="H3203" s="8"/>
      <c r="I3203" s="107">
        <v>0</v>
      </c>
      <c r="J3203" s="8" t="s">
        <v>10697</v>
      </c>
    </row>
    <row r="3204" spans="1:10" ht="16.5" customHeight="1" x14ac:dyDescent="0.25">
      <c r="A3204" s="8" t="s">
        <v>10774</v>
      </c>
      <c r="B3204" s="8" t="s">
        <v>10775</v>
      </c>
      <c r="C3204" s="8" t="s">
        <v>10776</v>
      </c>
      <c r="D3204" s="8" t="s">
        <v>10775</v>
      </c>
      <c r="E3204" s="105">
        <v>1.5</v>
      </c>
      <c r="F3204" s="106" t="s">
        <v>2018</v>
      </c>
      <c r="G3204" s="8"/>
      <c r="H3204" s="8"/>
      <c r="I3204" s="107">
        <v>0</v>
      </c>
      <c r="J3204" s="8" t="s">
        <v>10697</v>
      </c>
    </row>
    <row r="3205" spans="1:10" ht="16.5" customHeight="1" x14ac:dyDescent="0.25">
      <c r="A3205" s="8" t="s">
        <v>10777</v>
      </c>
      <c r="B3205" s="8" t="s">
        <v>10778</v>
      </c>
      <c r="C3205" s="8" t="s">
        <v>10779</v>
      </c>
      <c r="D3205" s="8" t="s">
        <v>10778</v>
      </c>
      <c r="E3205" s="105">
        <v>12</v>
      </c>
      <c r="F3205" s="106" t="s">
        <v>2018</v>
      </c>
      <c r="G3205" s="8"/>
      <c r="H3205" s="8" t="s">
        <v>10774</v>
      </c>
      <c r="I3205" s="107">
        <v>8</v>
      </c>
      <c r="J3205" s="8" t="s">
        <v>10697</v>
      </c>
    </row>
    <row r="3206" spans="1:10" ht="16.5" customHeight="1" x14ac:dyDescent="0.25">
      <c r="A3206" s="8" t="s">
        <v>10780</v>
      </c>
      <c r="B3206" s="8" t="s">
        <v>10781</v>
      </c>
      <c r="C3206" s="8" t="s">
        <v>10782</v>
      </c>
      <c r="D3206" s="8" t="s">
        <v>10781</v>
      </c>
      <c r="E3206" s="105">
        <v>4</v>
      </c>
      <c r="F3206" s="106" t="s">
        <v>2018</v>
      </c>
      <c r="G3206" s="8"/>
      <c r="H3206" s="8"/>
      <c r="I3206" s="107">
        <v>0</v>
      </c>
      <c r="J3206" s="8" t="s">
        <v>10697</v>
      </c>
    </row>
    <row r="3207" spans="1:10" ht="16.5" customHeight="1" x14ac:dyDescent="0.25">
      <c r="A3207" s="8" t="s">
        <v>10783</v>
      </c>
      <c r="B3207" s="8" t="s">
        <v>10784</v>
      </c>
      <c r="C3207" s="8" t="s">
        <v>10785</v>
      </c>
      <c r="D3207" s="8" t="s">
        <v>10784</v>
      </c>
      <c r="E3207" s="105">
        <v>16</v>
      </c>
      <c r="F3207" s="106" t="s">
        <v>2018</v>
      </c>
      <c r="G3207" s="8"/>
      <c r="H3207" s="8" t="s">
        <v>10780</v>
      </c>
      <c r="I3207" s="107">
        <v>4</v>
      </c>
      <c r="J3207" s="8" t="s">
        <v>10697</v>
      </c>
    </row>
    <row r="3208" spans="1:10" ht="16.5" customHeight="1" x14ac:dyDescent="0.25">
      <c r="A3208" s="8" t="s">
        <v>10786</v>
      </c>
      <c r="B3208" s="8" t="s">
        <v>10787</v>
      </c>
      <c r="C3208" s="8" t="s">
        <v>10788</v>
      </c>
      <c r="D3208" s="8" t="s">
        <v>10789</v>
      </c>
      <c r="E3208" s="105">
        <v>1.4</v>
      </c>
      <c r="F3208" s="106" t="s">
        <v>2018</v>
      </c>
      <c r="G3208" s="8"/>
      <c r="H3208" s="8"/>
      <c r="I3208" s="107">
        <v>0</v>
      </c>
      <c r="J3208" s="8" t="s">
        <v>10697</v>
      </c>
    </row>
    <row r="3209" spans="1:10" ht="16.5" customHeight="1" x14ac:dyDescent="0.25">
      <c r="A3209" s="8" t="s">
        <v>1400</v>
      </c>
      <c r="B3209" s="8" t="s">
        <v>1402</v>
      </c>
      <c r="C3209" s="8" t="s">
        <v>1401</v>
      </c>
      <c r="D3209" s="8" t="s">
        <v>1402</v>
      </c>
      <c r="E3209" s="105">
        <v>11.2</v>
      </c>
      <c r="F3209" s="106" t="s">
        <v>2018</v>
      </c>
      <c r="G3209" s="8"/>
      <c r="H3209" s="8" t="s">
        <v>10786</v>
      </c>
      <c r="I3209" s="107">
        <v>8</v>
      </c>
      <c r="J3209" s="8" t="s">
        <v>10697</v>
      </c>
    </row>
    <row r="3210" spans="1:10" ht="16.5" customHeight="1" x14ac:dyDescent="0.25">
      <c r="A3210" s="8" t="s">
        <v>10790</v>
      </c>
      <c r="B3210" s="8" t="s">
        <v>10791</v>
      </c>
      <c r="C3210" s="8" t="s">
        <v>10792</v>
      </c>
      <c r="D3210" s="8" t="s">
        <v>10791</v>
      </c>
      <c r="E3210" s="105">
        <v>3.6</v>
      </c>
      <c r="F3210" s="106" t="s">
        <v>2018</v>
      </c>
      <c r="G3210" s="8"/>
      <c r="H3210" s="8"/>
      <c r="I3210" s="107">
        <v>0</v>
      </c>
      <c r="J3210" s="8" t="s">
        <v>10697</v>
      </c>
    </row>
    <row r="3211" spans="1:10" ht="16.5" customHeight="1" x14ac:dyDescent="0.25">
      <c r="A3211" s="8" t="s">
        <v>10793</v>
      </c>
      <c r="B3211" s="8" t="s">
        <v>10794</v>
      </c>
      <c r="C3211" s="8" t="s">
        <v>10795</v>
      </c>
      <c r="D3211" s="8" t="s">
        <v>10794</v>
      </c>
      <c r="E3211" s="105">
        <v>14.4</v>
      </c>
      <c r="F3211" s="106" t="s">
        <v>2018</v>
      </c>
      <c r="G3211" s="8"/>
      <c r="H3211" s="8" t="s">
        <v>10790</v>
      </c>
      <c r="I3211" s="107">
        <v>4</v>
      </c>
      <c r="J3211" s="8" t="s">
        <v>10697</v>
      </c>
    </row>
    <row r="3212" spans="1:10" ht="16.5" customHeight="1" x14ac:dyDescent="0.25">
      <c r="A3212" s="8" t="s">
        <v>10796</v>
      </c>
      <c r="B3212" s="8" t="s">
        <v>10797</v>
      </c>
      <c r="C3212" s="8" t="s">
        <v>10798</v>
      </c>
      <c r="D3212" s="8" t="s">
        <v>10797</v>
      </c>
      <c r="E3212" s="105">
        <v>0.57499999999999996</v>
      </c>
      <c r="F3212" s="106" t="s">
        <v>2018</v>
      </c>
      <c r="G3212" s="8"/>
      <c r="H3212" s="8"/>
      <c r="I3212" s="107">
        <v>0</v>
      </c>
      <c r="J3212" s="8" t="s">
        <v>10697</v>
      </c>
    </row>
    <row r="3213" spans="1:10" ht="16.5" customHeight="1" x14ac:dyDescent="0.25">
      <c r="A3213" s="8" t="s">
        <v>10799</v>
      </c>
      <c r="B3213" s="8" t="s">
        <v>10800</v>
      </c>
      <c r="C3213" s="8" t="s">
        <v>10801</v>
      </c>
      <c r="D3213" s="8" t="s">
        <v>10800</v>
      </c>
      <c r="E3213" s="105">
        <v>6.9</v>
      </c>
      <c r="F3213" s="106" t="s">
        <v>2018</v>
      </c>
      <c r="G3213" s="8"/>
      <c r="H3213" s="8" t="s">
        <v>10796</v>
      </c>
      <c r="I3213" s="107">
        <v>12</v>
      </c>
      <c r="J3213" s="8" t="s">
        <v>10697</v>
      </c>
    </row>
    <row r="3214" spans="1:10" ht="16.5" customHeight="1" x14ac:dyDescent="0.25">
      <c r="A3214" s="8" t="s">
        <v>10802</v>
      </c>
      <c r="B3214" s="8" t="s">
        <v>10803</v>
      </c>
      <c r="C3214" s="8" t="s">
        <v>10804</v>
      </c>
      <c r="D3214" s="8" t="s">
        <v>10803</v>
      </c>
      <c r="E3214" s="105">
        <v>13.8</v>
      </c>
      <c r="F3214" s="106" t="s">
        <v>2018</v>
      </c>
      <c r="G3214" s="8"/>
      <c r="H3214" s="8" t="s">
        <v>10796</v>
      </c>
      <c r="I3214" s="107">
        <v>24</v>
      </c>
      <c r="J3214" s="8" t="s">
        <v>10697</v>
      </c>
    </row>
    <row r="3215" spans="1:10" ht="16.5" customHeight="1" x14ac:dyDescent="0.25">
      <c r="A3215" s="8" t="s">
        <v>10805</v>
      </c>
      <c r="B3215" s="8" t="s">
        <v>10806</v>
      </c>
      <c r="C3215" s="8" t="s">
        <v>10807</v>
      </c>
      <c r="D3215" s="8" t="s">
        <v>10806</v>
      </c>
      <c r="E3215" s="105">
        <v>1.1599999999999999</v>
      </c>
      <c r="F3215" s="106" t="s">
        <v>2024</v>
      </c>
      <c r="G3215" s="8"/>
      <c r="H3215" s="8"/>
      <c r="I3215" s="107">
        <v>0</v>
      </c>
      <c r="J3215" s="8" t="s">
        <v>10697</v>
      </c>
    </row>
    <row r="3216" spans="1:10" ht="16.5" customHeight="1" x14ac:dyDescent="0.25">
      <c r="A3216" s="8" t="s">
        <v>10808</v>
      </c>
      <c r="B3216" s="8" t="s">
        <v>10809</v>
      </c>
      <c r="C3216" s="8" t="s">
        <v>10810</v>
      </c>
      <c r="D3216" s="8" t="s">
        <v>10809</v>
      </c>
      <c r="E3216" s="105">
        <v>3.76</v>
      </c>
      <c r="F3216" s="106" t="s">
        <v>2024</v>
      </c>
      <c r="G3216" s="8"/>
      <c r="H3216" s="8"/>
      <c r="I3216" s="107">
        <v>0</v>
      </c>
      <c r="J3216" s="8" t="s">
        <v>10697</v>
      </c>
    </row>
    <row r="3217" spans="1:10" ht="16.5" customHeight="1" x14ac:dyDescent="0.25">
      <c r="A3217" s="8" t="s">
        <v>10811</v>
      </c>
      <c r="B3217" s="8" t="s">
        <v>10812</v>
      </c>
      <c r="C3217" s="8" t="s">
        <v>10813</v>
      </c>
      <c r="D3217" s="8" t="s">
        <v>10812</v>
      </c>
      <c r="E3217" s="105">
        <v>15.04</v>
      </c>
      <c r="F3217" s="106" t="s">
        <v>2024</v>
      </c>
      <c r="G3217" s="8"/>
      <c r="H3217" s="8"/>
      <c r="I3217" s="107">
        <v>0</v>
      </c>
      <c r="J3217" s="8" t="s">
        <v>10697</v>
      </c>
    </row>
    <row r="3218" spans="1:10" ht="16.5" customHeight="1" x14ac:dyDescent="0.25">
      <c r="A3218" s="8" t="s">
        <v>10814</v>
      </c>
      <c r="B3218" s="8" t="s">
        <v>10815</v>
      </c>
      <c r="C3218" s="8" t="s">
        <v>10816</v>
      </c>
      <c r="D3218" s="8" t="s">
        <v>10815</v>
      </c>
      <c r="E3218" s="105">
        <v>0.3</v>
      </c>
      <c r="F3218" s="106" t="s">
        <v>2024</v>
      </c>
      <c r="G3218" s="8"/>
      <c r="H3218" s="8"/>
      <c r="I3218" s="107">
        <v>0</v>
      </c>
      <c r="J3218" s="8" t="s">
        <v>10697</v>
      </c>
    </row>
    <row r="3219" spans="1:10" ht="16.5" customHeight="1" x14ac:dyDescent="0.25">
      <c r="A3219" s="8" t="s">
        <v>10817</v>
      </c>
      <c r="B3219" s="8" t="s">
        <v>10818</v>
      </c>
      <c r="C3219" s="8" t="s">
        <v>10819</v>
      </c>
      <c r="D3219" s="8" t="s">
        <v>10818</v>
      </c>
      <c r="E3219" s="105">
        <v>10.8</v>
      </c>
      <c r="F3219" s="106" t="s">
        <v>2024</v>
      </c>
      <c r="G3219" s="8"/>
      <c r="H3219" s="8"/>
      <c r="I3219" s="107">
        <v>0</v>
      </c>
      <c r="J3219" s="8" t="s">
        <v>10697</v>
      </c>
    </row>
    <row r="3220" spans="1:10" ht="16.5" customHeight="1" x14ac:dyDescent="0.25">
      <c r="A3220" s="8" t="s">
        <v>10820</v>
      </c>
      <c r="B3220" s="8" t="s">
        <v>10821</v>
      </c>
      <c r="C3220" s="8" t="s">
        <v>10822</v>
      </c>
      <c r="D3220" s="8" t="s">
        <v>10821</v>
      </c>
      <c r="E3220" s="105">
        <v>3.8</v>
      </c>
      <c r="F3220" s="106" t="s">
        <v>2018</v>
      </c>
      <c r="G3220" s="8"/>
      <c r="H3220" s="8"/>
      <c r="I3220" s="107">
        <v>0</v>
      </c>
      <c r="J3220" s="8" t="s">
        <v>10697</v>
      </c>
    </row>
    <row r="3221" spans="1:10" ht="16.5" customHeight="1" x14ac:dyDescent="0.25">
      <c r="A3221" s="8" t="s">
        <v>10823</v>
      </c>
      <c r="B3221" s="8" t="s">
        <v>10824</v>
      </c>
      <c r="C3221" s="8" t="s">
        <v>10825</v>
      </c>
      <c r="D3221" s="8" t="s">
        <v>10824</v>
      </c>
      <c r="E3221" s="105">
        <v>15.2</v>
      </c>
      <c r="F3221" s="106" t="s">
        <v>2018</v>
      </c>
      <c r="G3221" s="8"/>
      <c r="H3221" s="8" t="s">
        <v>10820</v>
      </c>
      <c r="I3221" s="107">
        <v>4</v>
      </c>
      <c r="J3221" s="8" t="s">
        <v>10697</v>
      </c>
    </row>
    <row r="3222" spans="1:10" ht="16.5" customHeight="1" x14ac:dyDescent="0.25">
      <c r="A3222" s="8" t="s">
        <v>10826</v>
      </c>
      <c r="B3222" s="8" t="s">
        <v>10827</v>
      </c>
      <c r="C3222" s="8" t="s">
        <v>10828</v>
      </c>
      <c r="D3222" s="8" t="s">
        <v>10827</v>
      </c>
      <c r="E3222" s="105">
        <v>9.5</v>
      </c>
      <c r="F3222" s="106" t="s">
        <v>2024</v>
      </c>
      <c r="G3222" s="8"/>
      <c r="H3222" s="8"/>
      <c r="I3222" s="107">
        <v>0</v>
      </c>
      <c r="J3222" s="8" t="s">
        <v>10697</v>
      </c>
    </row>
    <row r="3223" spans="1:10" ht="16.5" customHeight="1" x14ac:dyDescent="0.25">
      <c r="A3223" s="8" t="s">
        <v>10829</v>
      </c>
      <c r="B3223" s="8" t="s">
        <v>10830</v>
      </c>
      <c r="C3223" s="8" t="s">
        <v>10831</v>
      </c>
      <c r="D3223" s="8" t="s">
        <v>10830</v>
      </c>
      <c r="E3223" s="105">
        <v>19</v>
      </c>
      <c r="F3223" s="106" t="s">
        <v>2024</v>
      </c>
      <c r="G3223" s="8"/>
      <c r="H3223" s="8"/>
      <c r="I3223" s="107">
        <v>0</v>
      </c>
      <c r="J3223" s="8" t="s">
        <v>10697</v>
      </c>
    </row>
    <row r="3224" spans="1:10" ht="16.5" customHeight="1" x14ac:dyDescent="0.25">
      <c r="A3224" s="8" t="s">
        <v>10832</v>
      </c>
      <c r="B3224" s="8" t="s">
        <v>10833</v>
      </c>
      <c r="C3224" s="8" t="s">
        <v>10834</v>
      </c>
      <c r="D3224" s="8" t="s">
        <v>10833</v>
      </c>
      <c r="E3224" s="105">
        <v>0.99</v>
      </c>
      <c r="F3224" s="106" t="s">
        <v>2018</v>
      </c>
      <c r="G3224" s="8"/>
      <c r="H3224" s="8"/>
      <c r="I3224" s="107">
        <v>0</v>
      </c>
      <c r="J3224" s="8" t="s">
        <v>10697</v>
      </c>
    </row>
    <row r="3225" spans="1:10" ht="16.5" customHeight="1" x14ac:dyDescent="0.25">
      <c r="A3225" s="8" t="s">
        <v>10835</v>
      </c>
      <c r="B3225" s="8" t="s">
        <v>10836</v>
      </c>
      <c r="C3225" s="8" t="s">
        <v>10837</v>
      </c>
      <c r="D3225" s="8" t="s">
        <v>10836</v>
      </c>
      <c r="E3225" s="105">
        <v>11.88</v>
      </c>
      <c r="F3225" s="106" t="s">
        <v>2018</v>
      </c>
      <c r="G3225" s="8"/>
      <c r="H3225" s="8" t="s">
        <v>10832</v>
      </c>
      <c r="I3225" s="107">
        <v>12</v>
      </c>
      <c r="J3225" s="8" t="s">
        <v>10697</v>
      </c>
    </row>
    <row r="3226" spans="1:10" ht="16.5" customHeight="1" x14ac:dyDescent="0.25">
      <c r="A3226" s="8" t="s">
        <v>10838</v>
      </c>
      <c r="B3226" s="8" t="s">
        <v>10839</v>
      </c>
      <c r="C3226" s="8" t="s">
        <v>10840</v>
      </c>
      <c r="D3226" s="8" t="s">
        <v>10839</v>
      </c>
      <c r="E3226" s="105">
        <v>0.3</v>
      </c>
      <c r="F3226" s="106" t="s">
        <v>2024</v>
      </c>
      <c r="G3226" s="8"/>
      <c r="H3226" s="8"/>
      <c r="I3226" s="107">
        <v>0</v>
      </c>
      <c r="J3226" s="8" t="s">
        <v>10697</v>
      </c>
    </row>
    <row r="3227" spans="1:10" ht="16.5" customHeight="1" x14ac:dyDescent="0.25">
      <c r="A3227" s="8" t="s">
        <v>10841</v>
      </c>
      <c r="B3227" s="8" t="s">
        <v>10842</v>
      </c>
      <c r="C3227" s="8" t="s">
        <v>10843</v>
      </c>
      <c r="D3227" s="8" t="s">
        <v>10842</v>
      </c>
      <c r="E3227" s="105">
        <v>10.8</v>
      </c>
      <c r="F3227" s="106" t="s">
        <v>2018</v>
      </c>
      <c r="G3227" s="8"/>
      <c r="H3227" s="8" t="s">
        <v>10838</v>
      </c>
      <c r="I3227" s="107">
        <v>36</v>
      </c>
      <c r="J3227" s="8" t="s">
        <v>10697</v>
      </c>
    </row>
    <row r="3228" spans="1:10" ht="16.5" customHeight="1" x14ac:dyDescent="0.25">
      <c r="A3228" s="8" t="s">
        <v>10844</v>
      </c>
      <c r="B3228" s="8" t="s">
        <v>10845</v>
      </c>
      <c r="C3228" s="8" t="s">
        <v>10846</v>
      </c>
      <c r="D3228" s="8" t="s">
        <v>10845</v>
      </c>
      <c r="E3228" s="105">
        <v>3.8</v>
      </c>
      <c r="F3228" s="106" t="s">
        <v>2018</v>
      </c>
      <c r="G3228" s="8"/>
      <c r="H3228" s="8"/>
      <c r="I3228" s="107">
        <v>0</v>
      </c>
      <c r="J3228" s="8" t="s">
        <v>10697</v>
      </c>
    </row>
    <row r="3229" spans="1:10" ht="16.5" customHeight="1" x14ac:dyDescent="0.25">
      <c r="A3229" s="8" t="s">
        <v>10847</v>
      </c>
      <c r="B3229" s="8" t="s">
        <v>10848</v>
      </c>
      <c r="C3229" s="8" t="s">
        <v>10849</v>
      </c>
      <c r="D3229" s="8" t="s">
        <v>10848</v>
      </c>
      <c r="E3229" s="105">
        <v>1</v>
      </c>
      <c r="F3229" s="106" t="s">
        <v>2024</v>
      </c>
      <c r="G3229" s="8"/>
      <c r="H3229" s="8"/>
      <c r="I3229" s="107">
        <v>0</v>
      </c>
      <c r="J3229" s="8" t="s">
        <v>3580</v>
      </c>
    </row>
    <row r="3230" spans="1:10" ht="16.5" customHeight="1" x14ac:dyDescent="0.25">
      <c r="A3230" s="8" t="s">
        <v>10850</v>
      </c>
      <c r="B3230" s="8" t="s">
        <v>10851</v>
      </c>
      <c r="C3230" s="8" t="s">
        <v>10852</v>
      </c>
      <c r="D3230" s="8" t="s">
        <v>10851</v>
      </c>
      <c r="E3230" s="105">
        <v>15.2</v>
      </c>
      <c r="F3230" s="106" t="s">
        <v>2018</v>
      </c>
      <c r="G3230" s="8"/>
      <c r="H3230" s="8" t="s">
        <v>10844</v>
      </c>
      <c r="I3230" s="107">
        <v>4</v>
      </c>
      <c r="J3230" s="8" t="s">
        <v>10697</v>
      </c>
    </row>
    <row r="3231" spans="1:10" ht="16.5" customHeight="1" x14ac:dyDescent="0.25">
      <c r="A3231" s="8" t="s">
        <v>10853</v>
      </c>
      <c r="B3231" s="8" t="s">
        <v>10854</v>
      </c>
      <c r="C3231" s="8" t="s">
        <v>10855</v>
      </c>
      <c r="D3231" s="8" t="s">
        <v>10854</v>
      </c>
      <c r="E3231" s="105">
        <v>9.5</v>
      </c>
      <c r="F3231" s="106" t="s">
        <v>2018</v>
      </c>
      <c r="G3231" s="8"/>
      <c r="H3231" s="8"/>
      <c r="I3231" s="107">
        <v>0</v>
      </c>
      <c r="J3231" s="8" t="s">
        <v>10697</v>
      </c>
    </row>
    <row r="3232" spans="1:10" ht="16.5" customHeight="1" x14ac:dyDescent="0.25">
      <c r="A3232" s="8" t="s">
        <v>10856</v>
      </c>
      <c r="B3232" s="8" t="s">
        <v>10857</v>
      </c>
      <c r="C3232" s="8" t="s">
        <v>10858</v>
      </c>
      <c r="D3232" s="8" t="s">
        <v>10857</v>
      </c>
      <c r="E3232" s="105">
        <v>19</v>
      </c>
      <c r="F3232" s="106" t="s">
        <v>2018</v>
      </c>
      <c r="G3232" s="8"/>
      <c r="H3232" s="8" t="s">
        <v>10853</v>
      </c>
      <c r="I3232" s="107">
        <v>2</v>
      </c>
      <c r="J3232" s="8" t="s">
        <v>10697</v>
      </c>
    </row>
    <row r="3233" spans="1:10" ht="16.5" customHeight="1" x14ac:dyDescent="0.25">
      <c r="A3233" s="8" t="s">
        <v>10859</v>
      </c>
      <c r="B3233" s="8" t="s">
        <v>10860</v>
      </c>
      <c r="C3233" s="8" t="s">
        <v>10861</v>
      </c>
      <c r="D3233" s="8" t="s">
        <v>10860</v>
      </c>
      <c r="E3233" s="105">
        <v>0.99</v>
      </c>
      <c r="F3233" s="106" t="s">
        <v>2018</v>
      </c>
      <c r="G3233" s="8"/>
      <c r="H3233" s="8"/>
      <c r="I3233" s="107">
        <v>0</v>
      </c>
      <c r="J3233" s="8" t="s">
        <v>10697</v>
      </c>
    </row>
    <row r="3234" spans="1:10" ht="16.5" customHeight="1" x14ac:dyDescent="0.25">
      <c r="A3234" s="8" t="s">
        <v>10862</v>
      </c>
      <c r="B3234" s="8" t="s">
        <v>10863</v>
      </c>
      <c r="C3234" s="8" t="s">
        <v>10864</v>
      </c>
      <c r="D3234" s="8" t="s">
        <v>10863</v>
      </c>
      <c r="E3234" s="105">
        <v>11.88</v>
      </c>
      <c r="F3234" s="106" t="s">
        <v>2018</v>
      </c>
      <c r="G3234" s="8"/>
      <c r="H3234" s="8" t="s">
        <v>10859</v>
      </c>
      <c r="I3234" s="107">
        <v>12</v>
      </c>
      <c r="J3234" s="8" t="s">
        <v>10697</v>
      </c>
    </row>
    <row r="3235" spans="1:10" ht="16.5" customHeight="1" x14ac:dyDescent="0.25">
      <c r="A3235" s="8" t="s">
        <v>10865</v>
      </c>
      <c r="B3235" s="8" t="s">
        <v>10866</v>
      </c>
      <c r="C3235" s="8" t="s">
        <v>10867</v>
      </c>
      <c r="D3235" s="8" t="s">
        <v>10866</v>
      </c>
      <c r="E3235" s="105">
        <v>0.57499999999999996</v>
      </c>
      <c r="F3235" s="106" t="s">
        <v>2018</v>
      </c>
      <c r="G3235" s="8"/>
      <c r="H3235" s="8"/>
      <c r="I3235" s="107">
        <v>0</v>
      </c>
      <c r="J3235" s="8" t="s">
        <v>10697</v>
      </c>
    </row>
    <row r="3236" spans="1:10" ht="16.5" customHeight="1" x14ac:dyDescent="0.25">
      <c r="A3236" s="8" t="s">
        <v>10868</v>
      </c>
      <c r="B3236" s="8" t="s">
        <v>10869</v>
      </c>
      <c r="C3236" s="8" t="s">
        <v>10870</v>
      </c>
      <c r="D3236" s="8" t="s">
        <v>10869</v>
      </c>
      <c r="E3236" s="105">
        <v>13.8</v>
      </c>
      <c r="F3236" s="106" t="s">
        <v>2018</v>
      </c>
      <c r="G3236" s="8"/>
      <c r="H3236" s="8" t="s">
        <v>10865</v>
      </c>
      <c r="I3236" s="107">
        <v>24</v>
      </c>
      <c r="J3236" s="8" t="s">
        <v>10697</v>
      </c>
    </row>
    <row r="3237" spans="1:10" ht="16.5" customHeight="1" x14ac:dyDescent="0.25">
      <c r="A3237" s="8" t="s">
        <v>10871</v>
      </c>
      <c r="B3237" s="8" t="s">
        <v>10872</v>
      </c>
      <c r="C3237" s="8" t="s">
        <v>10873</v>
      </c>
      <c r="D3237" s="8" t="s">
        <v>10872</v>
      </c>
      <c r="E3237" s="105">
        <v>0.96299999999999997</v>
      </c>
      <c r="F3237" s="106" t="s">
        <v>2018</v>
      </c>
      <c r="G3237" s="8"/>
      <c r="H3237" s="8"/>
      <c r="I3237" s="107">
        <v>0</v>
      </c>
      <c r="J3237" s="8" t="s">
        <v>10697</v>
      </c>
    </row>
    <row r="3238" spans="1:10" ht="16.5" customHeight="1" x14ac:dyDescent="0.25">
      <c r="A3238" s="8" t="s">
        <v>1027</v>
      </c>
      <c r="B3238" s="8" t="s">
        <v>1029</v>
      </c>
      <c r="C3238" s="8" t="s">
        <v>1028</v>
      </c>
      <c r="D3238" s="8" t="s">
        <v>1029</v>
      </c>
      <c r="E3238" s="105">
        <v>11.555999999999999</v>
      </c>
      <c r="F3238" s="106" t="s">
        <v>2018</v>
      </c>
      <c r="G3238" s="8"/>
      <c r="H3238" s="8" t="s">
        <v>10871</v>
      </c>
      <c r="I3238" s="107">
        <v>12</v>
      </c>
      <c r="J3238" s="8" t="s">
        <v>10697</v>
      </c>
    </row>
    <row r="3239" spans="1:10" ht="16.5" customHeight="1" x14ac:dyDescent="0.25">
      <c r="A3239" s="8" t="s">
        <v>10874</v>
      </c>
      <c r="B3239" s="8" t="s">
        <v>10875</v>
      </c>
      <c r="C3239" s="8" t="s">
        <v>10876</v>
      </c>
      <c r="D3239" s="8" t="s">
        <v>10875</v>
      </c>
      <c r="E3239" s="105">
        <v>6.9</v>
      </c>
      <c r="F3239" s="106" t="s">
        <v>2018</v>
      </c>
      <c r="G3239" s="8"/>
      <c r="H3239" s="8" t="s">
        <v>10865</v>
      </c>
      <c r="I3239" s="107">
        <v>12</v>
      </c>
      <c r="J3239" s="8" t="s">
        <v>10697</v>
      </c>
    </row>
    <row r="3240" spans="1:10" ht="16.5" customHeight="1" x14ac:dyDescent="0.25">
      <c r="A3240" s="8" t="s">
        <v>10877</v>
      </c>
      <c r="B3240" s="8" t="s">
        <v>10878</v>
      </c>
      <c r="C3240" s="8" t="s">
        <v>10879</v>
      </c>
      <c r="D3240" s="8" t="s">
        <v>10878</v>
      </c>
      <c r="E3240" s="105">
        <v>19.914999999999999</v>
      </c>
      <c r="F3240" s="106" t="s">
        <v>2024</v>
      </c>
      <c r="G3240" s="8"/>
      <c r="H3240" s="8"/>
      <c r="I3240" s="107">
        <v>0</v>
      </c>
      <c r="J3240" s="8" t="s">
        <v>5929</v>
      </c>
    </row>
    <row r="3241" spans="1:10" ht="16.5" customHeight="1" x14ac:dyDescent="0.25">
      <c r="A3241" s="8" t="s">
        <v>10880</v>
      </c>
      <c r="B3241" s="8" t="s">
        <v>10881</v>
      </c>
      <c r="C3241" s="8" t="s">
        <v>10882</v>
      </c>
      <c r="D3241" s="8" t="s">
        <v>10881</v>
      </c>
      <c r="E3241" s="105">
        <v>4.9790000000000001</v>
      </c>
      <c r="F3241" s="106" t="s">
        <v>2024</v>
      </c>
      <c r="G3241" s="8"/>
      <c r="H3241" s="8"/>
      <c r="I3241" s="107">
        <v>0</v>
      </c>
      <c r="J3241" s="8" t="s">
        <v>5929</v>
      </c>
    </row>
    <row r="3242" spans="1:10" ht="16.5" customHeight="1" x14ac:dyDescent="0.25">
      <c r="A3242" s="8" t="s">
        <v>1365</v>
      </c>
      <c r="B3242" s="8" t="s">
        <v>1367</v>
      </c>
      <c r="C3242" s="8" t="s">
        <v>1366</v>
      </c>
      <c r="D3242" s="8" t="s">
        <v>1367</v>
      </c>
      <c r="E3242" s="105">
        <v>16</v>
      </c>
      <c r="F3242" s="106" t="s">
        <v>2018</v>
      </c>
      <c r="G3242" s="8"/>
      <c r="H3242" s="8"/>
      <c r="I3242" s="107">
        <v>0</v>
      </c>
      <c r="J3242" s="8" t="s">
        <v>2019</v>
      </c>
    </row>
    <row r="3243" spans="1:10" ht="16.5" customHeight="1" x14ac:dyDescent="0.25">
      <c r="A3243" s="8" t="s">
        <v>10883</v>
      </c>
      <c r="B3243" s="8" t="s">
        <v>10884</v>
      </c>
      <c r="C3243" s="8" t="s">
        <v>10885</v>
      </c>
      <c r="D3243" s="8" t="s">
        <v>10884</v>
      </c>
      <c r="E3243" s="105">
        <v>0.5</v>
      </c>
      <c r="F3243" s="106" t="s">
        <v>2024</v>
      </c>
      <c r="G3243" s="8"/>
      <c r="H3243" s="8"/>
      <c r="I3243" s="107">
        <v>0</v>
      </c>
      <c r="J3243" s="8" t="s">
        <v>3580</v>
      </c>
    </row>
    <row r="3244" spans="1:10" ht="16.5" customHeight="1" x14ac:dyDescent="0.25">
      <c r="A3244" s="8" t="s">
        <v>10886</v>
      </c>
      <c r="B3244" s="8" t="s">
        <v>10887</v>
      </c>
      <c r="C3244" s="8" t="s">
        <v>10888</v>
      </c>
      <c r="D3244" s="8" t="s">
        <v>10887</v>
      </c>
      <c r="E3244" s="105">
        <v>0.5</v>
      </c>
      <c r="F3244" s="106" t="s">
        <v>2024</v>
      </c>
      <c r="G3244" s="8"/>
      <c r="H3244" s="8"/>
      <c r="I3244" s="107">
        <v>0</v>
      </c>
      <c r="J3244" s="8" t="s">
        <v>3580</v>
      </c>
    </row>
    <row r="3245" spans="1:10" ht="16.5" customHeight="1" x14ac:dyDescent="0.25">
      <c r="A3245" s="8" t="s">
        <v>10889</v>
      </c>
      <c r="B3245" s="8" t="s">
        <v>10890</v>
      </c>
      <c r="C3245" s="8" t="s">
        <v>10891</v>
      </c>
      <c r="D3245" s="8" t="s">
        <v>10890</v>
      </c>
      <c r="E3245" s="105">
        <v>1</v>
      </c>
      <c r="F3245" s="106" t="s">
        <v>2024</v>
      </c>
      <c r="G3245" s="8"/>
      <c r="H3245" s="8"/>
      <c r="I3245" s="107">
        <v>0</v>
      </c>
      <c r="J3245" s="8" t="s">
        <v>3580</v>
      </c>
    </row>
    <row r="3246" spans="1:10" ht="16.5" customHeight="1" x14ac:dyDescent="0.25">
      <c r="A3246" s="8" t="s">
        <v>10892</v>
      </c>
      <c r="B3246" s="8" t="s">
        <v>10893</v>
      </c>
      <c r="C3246" s="8" t="s">
        <v>10764</v>
      </c>
      <c r="D3246" s="8" t="s">
        <v>10893</v>
      </c>
      <c r="E3246" s="105">
        <v>2.7</v>
      </c>
      <c r="F3246" s="106" t="s">
        <v>2018</v>
      </c>
      <c r="G3246" s="8"/>
      <c r="H3246" s="8"/>
      <c r="I3246" s="107">
        <v>0</v>
      </c>
      <c r="J3246" s="8" t="s">
        <v>10697</v>
      </c>
    </row>
    <row r="3247" spans="1:10" ht="16.5" customHeight="1" x14ac:dyDescent="0.25">
      <c r="A3247" s="8" t="s">
        <v>10894</v>
      </c>
      <c r="B3247" s="8" t="s">
        <v>10895</v>
      </c>
      <c r="C3247" s="8" t="s">
        <v>10767</v>
      </c>
      <c r="D3247" s="8" t="s">
        <v>10895</v>
      </c>
      <c r="E3247" s="105">
        <v>10.8</v>
      </c>
      <c r="F3247" s="106" t="s">
        <v>2018</v>
      </c>
      <c r="G3247" s="8"/>
      <c r="H3247" s="8" t="s">
        <v>10892</v>
      </c>
      <c r="I3247" s="107">
        <v>4</v>
      </c>
      <c r="J3247" s="8" t="s">
        <v>10697</v>
      </c>
    </row>
    <row r="3248" spans="1:10" ht="16.5" customHeight="1" x14ac:dyDescent="0.25">
      <c r="A3248" s="8" t="s">
        <v>10896</v>
      </c>
      <c r="B3248" s="8" t="s">
        <v>10897</v>
      </c>
      <c r="C3248" s="8" t="s">
        <v>10898</v>
      </c>
      <c r="D3248" s="8" t="s">
        <v>10897</v>
      </c>
      <c r="E3248" s="105">
        <v>1</v>
      </c>
      <c r="F3248" s="106" t="s">
        <v>2018</v>
      </c>
      <c r="G3248" s="8"/>
      <c r="H3248" s="8"/>
      <c r="I3248" s="107">
        <v>0</v>
      </c>
      <c r="J3248" s="8" t="s">
        <v>2019</v>
      </c>
    </row>
    <row r="3249" spans="1:10" ht="16.5" customHeight="1" x14ac:dyDescent="0.25">
      <c r="A3249" s="8" t="s">
        <v>10899</v>
      </c>
      <c r="B3249" s="8" t="s">
        <v>10900</v>
      </c>
      <c r="C3249" s="8" t="s">
        <v>10898</v>
      </c>
      <c r="D3249" s="8" t="s">
        <v>10900</v>
      </c>
      <c r="E3249" s="105">
        <v>1</v>
      </c>
      <c r="F3249" s="106" t="s">
        <v>2018</v>
      </c>
      <c r="G3249" s="8"/>
      <c r="H3249" s="8"/>
      <c r="I3249" s="107">
        <v>0</v>
      </c>
      <c r="J3249" s="8" t="s">
        <v>2019</v>
      </c>
    </row>
    <row r="3250" spans="1:10" ht="16.5" customHeight="1" x14ac:dyDescent="0.25">
      <c r="A3250" s="8" t="s">
        <v>10901</v>
      </c>
      <c r="B3250" s="8" t="s">
        <v>10902</v>
      </c>
      <c r="C3250" s="8" t="s">
        <v>10903</v>
      </c>
      <c r="D3250" s="8" t="s">
        <v>10902</v>
      </c>
      <c r="E3250" s="105">
        <v>0</v>
      </c>
      <c r="F3250" s="106" t="s">
        <v>2024</v>
      </c>
      <c r="G3250" s="8"/>
      <c r="H3250" s="8"/>
      <c r="I3250" s="107">
        <v>0</v>
      </c>
      <c r="J3250" s="8" t="s">
        <v>4722</v>
      </c>
    </row>
    <row r="3251" spans="1:10" ht="16.5" customHeight="1" x14ac:dyDescent="0.25">
      <c r="A3251" s="8" t="s">
        <v>10904</v>
      </c>
      <c r="B3251" s="8" t="s">
        <v>10905</v>
      </c>
      <c r="C3251" s="8" t="s">
        <v>10906</v>
      </c>
      <c r="D3251" s="8" t="s">
        <v>10905</v>
      </c>
      <c r="E3251" s="105">
        <v>0</v>
      </c>
      <c r="F3251" s="106" t="s">
        <v>2024</v>
      </c>
      <c r="G3251" s="8"/>
      <c r="H3251" s="8"/>
      <c r="I3251" s="107">
        <v>0</v>
      </c>
      <c r="J3251" s="8" t="s">
        <v>4722</v>
      </c>
    </row>
    <row r="3252" spans="1:10" ht="16.5" customHeight="1" x14ac:dyDescent="0.25">
      <c r="A3252" s="8" t="s">
        <v>10907</v>
      </c>
      <c r="B3252" s="8" t="s">
        <v>10908</v>
      </c>
      <c r="C3252" s="8" t="s">
        <v>10909</v>
      </c>
      <c r="D3252" s="8" t="s">
        <v>10908</v>
      </c>
      <c r="E3252" s="105">
        <v>0</v>
      </c>
      <c r="F3252" s="106" t="s">
        <v>2024</v>
      </c>
      <c r="G3252" s="8"/>
      <c r="H3252" s="8"/>
      <c r="I3252" s="107">
        <v>0</v>
      </c>
      <c r="J3252" s="8" t="s">
        <v>4722</v>
      </c>
    </row>
    <row r="3253" spans="1:10" ht="16.5" customHeight="1" x14ac:dyDescent="0.25">
      <c r="A3253" s="8" t="s">
        <v>10910</v>
      </c>
      <c r="B3253" s="8" t="s">
        <v>10911</v>
      </c>
      <c r="C3253" s="8" t="s">
        <v>10912</v>
      </c>
      <c r="D3253" s="8" t="s">
        <v>10911</v>
      </c>
      <c r="E3253" s="105">
        <v>1.4</v>
      </c>
      <c r="F3253" s="106" t="s">
        <v>2018</v>
      </c>
      <c r="G3253" s="8"/>
      <c r="H3253" s="8"/>
      <c r="I3253" s="107">
        <v>0</v>
      </c>
      <c r="J3253" s="8" t="s">
        <v>10697</v>
      </c>
    </row>
    <row r="3254" spans="1:10" ht="16.5" customHeight="1" x14ac:dyDescent="0.25">
      <c r="A3254" s="8" t="s">
        <v>1297</v>
      </c>
      <c r="B3254" s="8" t="s">
        <v>10913</v>
      </c>
      <c r="C3254" s="8" t="s">
        <v>10914</v>
      </c>
      <c r="D3254" s="8" t="s">
        <v>10913</v>
      </c>
      <c r="E3254" s="105">
        <v>11.2</v>
      </c>
      <c r="F3254" s="106" t="s">
        <v>2018</v>
      </c>
      <c r="G3254" s="8"/>
      <c r="H3254" s="8" t="s">
        <v>10910</v>
      </c>
      <c r="I3254" s="107">
        <v>8</v>
      </c>
      <c r="J3254" s="8" t="s">
        <v>10697</v>
      </c>
    </row>
    <row r="3255" spans="1:10" ht="16.5" customHeight="1" x14ac:dyDescent="0.25">
      <c r="A3255" s="8" t="s">
        <v>10915</v>
      </c>
      <c r="B3255" s="8" t="s">
        <v>10916</v>
      </c>
      <c r="C3255" s="8" t="s">
        <v>9802</v>
      </c>
      <c r="D3255" s="8" t="s">
        <v>10916</v>
      </c>
      <c r="E3255" s="105">
        <v>1</v>
      </c>
      <c r="F3255" s="106" t="s">
        <v>2024</v>
      </c>
      <c r="G3255" s="8"/>
      <c r="H3255" s="8"/>
      <c r="I3255" s="107">
        <v>0</v>
      </c>
      <c r="J3255" s="8" t="s">
        <v>3580</v>
      </c>
    </row>
    <row r="3256" spans="1:10" ht="16.5" customHeight="1" x14ac:dyDescent="0.25">
      <c r="A3256" s="8" t="s">
        <v>10917</v>
      </c>
      <c r="B3256" s="8" t="s">
        <v>10918</v>
      </c>
      <c r="C3256" s="8" t="s">
        <v>9775</v>
      </c>
      <c r="D3256" s="8" t="s">
        <v>10918</v>
      </c>
      <c r="E3256" s="105">
        <v>1</v>
      </c>
      <c r="F3256" s="106" t="s">
        <v>2024</v>
      </c>
      <c r="G3256" s="8"/>
      <c r="H3256" s="8"/>
      <c r="I3256" s="107">
        <v>0</v>
      </c>
      <c r="J3256" s="8" t="s">
        <v>3580</v>
      </c>
    </row>
    <row r="3257" spans="1:10" ht="16.5" customHeight="1" x14ac:dyDescent="0.25">
      <c r="A3257" s="8" t="s">
        <v>10919</v>
      </c>
      <c r="B3257" s="8" t="s">
        <v>10920</v>
      </c>
      <c r="C3257" s="8" t="s">
        <v>9983</v>
      </c>
      <c r="D3257" s="8" t="s">
        <v>10920</v>
      </c>
      <c r="E3257" s="105">
        <v>1</v>
      </c>
      <c r="F3257" s="106" t="s">
        <v>2024</v>
      </c>
      <c r="G3257" s="8"/>
      <c r="H3257" s="8"/>
      <c r="I3257" s="107">
        <v>0</v>
      </c>
      <c r="J3257" s="8" t="s">
        <v>3580</v>
      </c>
    </row>
    <row r="3258" spans="1:10" ht="16.5" customHeight="1" x14ac:dyDescent="0.25">
      <c r="A3258" s="8" t="s">
        <v>10921</v>
      </c>
      <c r="B3258" s="8" t="s">
        <v>7134</v>
      </c>
      <c r="C3258" s="8" t="s">
        <v>7135</v>
      </c>
      <c r="D3258" s="8" t="s">
        <v>7134</v>
      </c>
      <c r="E3258" s="105">
        <v>0</v>
      </c>
      <c r="F3258" s="106" t="s">
        <v>2024</v>
      </c>
      <c r="G3258" s="8"/>
      <c r="H3258" s="8"/>
      <c r="I3258" s="107">
        <v>0</v>
      </c>
      <c r="J3258" s="8" t="s">
        <v>4722</v>
      </c>
    </row>
    <row r="3259" spans="1:10" ht="16.5" customHeight="1" x14ac:dyDescent="0.25">
      <c r="A3259" s="8" t="s">
        <v>1248</v>
      </c>
      <c r="B3259" s="8" t="s">
        <v>1250</v>
      </c>
      <c r="C3259" s="8" t="s">
        <v>1249</v>
      </c>
      <c r="D3259" s="8" t="s">
        <v>1250</v>
      </c>
      <c r="E3259" s="105">
        <v>8.7360000000000007</v>
      </c>
      <c r="F3259" s="106" t="s">
        <v>2018</v>
      </c>
      <c r="G3259" s="8"/>
      <c r="H3259" s="8" t="s">
        <v>9138</v>
      </c>
      <c r="I3259" s="107">
        <v>24</v>
      </c>
      <c r="J3259" s="8" t="s">
        <v>2019</v>
      </c>
    </row>
    <row r="3260" spans="1:10" ht="16.5" customHeight="1" x14ac:dyDescent="0.25">
      <c r="A3260" s="8" t="s">
        <v>10922</v>
      </c>
      <c r="B3260" s="8" t="s">
        <v>10923</v>
      </c>
      <c r="C3260" s="8" t="s">
        <v>9767</v>
      </c>
      <c r="D3260" s="8" t="s">
        <v>10923</v>
      </c>
      <c r="E3260" s="105">
        <v>1</v>
      </c>
      <c r="F3260" s="106" t="s">
        <v>2024</v>
      </c>
      <c r="G3260" s="8"/>
      <c r="H3260" s="8"/>
      <c r="I3260" s="107">
        <v>0</v>
      </c>
      <c r="J3260" s="8" t="s">
        <v>3580</v>
      </c>
    </row>
    <row r="3261" spans="1:10" ht="16.5" customHeight="1" x14ac:dyDescent="0.25">
      <c r="A3261" s="8" t="s">
        <v>10924</v>
      </c>
      <c r="B3261" s="8" t="s">
        <v>10925</v>
      </c>
      <c r="C3261" s="8" t="s">
        <v>10926</v>
      </c>
      <c r="D3261" s="8" t="s">
        <v>10925</v>
      </c>
      <c r="E3261" s="105">
        <v>0</v>
      </c>
      <c r="F3261" s="106" t="s">
        <v>2024</v>
      </c>
      <c r="G3261" s="8"/>
      <c r="H3261" s="8"/>
      <c r="I3261" s="107">
        <v>0</v>
      </c>
      <c r="J3261" s="8" t="s">
        <v>3580</v>
      </c>
    </row>
    <row r="3262" spans="1:10" ht="16.5" customHeight="1" x14ac:dyDescent="0.25">
      <c r="A3262" s="8" t="s">
        <v>10927</v>
      </c>
      <c r="B3262" s="8" t="s">
        <v>10928</v>
      </c>
      <c r="C3262" s="8" t="s">
        <v>10929</v>
      </c>
      <c r="D3262" s="8" t="s">
        <v>10928</v>
      </c>
      <c r="E3262" s="105">
        <v>0</v>
      </c>
      <c r="F3262" s="106" t="s">
        <v>2024</v>
      </c>
      <c r="G3262" s="8"/>
      <c r="H3262" s="8"/>
      <c r="I3262" s="107">
        <v>0</v>
      </c>
      <c r="J3262" s="8" t="s">
        <v>3580</v>
      </c>
    </row>
    <row r="3263" spans="1:10" ht="16.5" customHeight="1" x14ac:dyDescent="0.25">
      <c r="A3263" s="8" t="s">
        <v>10930</v>
      </c>
      <c r="B3263" s="8" t="s">
        <v>10931</v>
      </c>
      <c r="C3263" s="8" t="s">
        <v>10932</v>
      </c>
      <c r="D3263" s="8" t="s">
        <v>10931</v>
      </c>
      <c r="E3263" s="105">
        <v>1</v>
      </c>
      <c r="F3263" s="106" t="s">
        <v>2018</v>
      </c>
      <c r="G3263" s="8"/>
      <c r="H3263" s="8"/>
      <c r="I3263" s="107">
        <v>0</v>
      </c>
      <c r="J3263" s="8" t="s">
        <v>4722</v>
      </c>
    </row>
    <row r="3264" spans="1:10" ht="16.5" customHeight="1" x14ac:dyDescent="0.25">
      <c r="A3264" s="8" t="s">
        <v>10933</v>
      </c>
      <c r="B3264" s="8" t="s">
        <v>10934</v>
      </c>
      <c r="C3264" s="8" t="s">
        <v>10935</v>
      </c>
      <c r="D3264" s="8" t="s">
        <v>10934</v>
      </c>
      <c r="E3264" s="105">
        <v>0</v>
      </c>
      <c r="F3264" s="106" t="s">
        <v>2024</v>
      </c>
      <c r="G3264" s="8"/>
      <c r="H3264" s="8"/>
      <c r="I3264" s="107">
        <v>0</v>
      </c>
      <c r="J3264" s="8" t="s">
        <v>3580</v>
      </c>
    </row>
    <row r="3265" spans="1:10" ht="16.5" customHeight="1" x14ac:dyDescent="0.25">
      <c r="A3265" s="8" t="s">
        <v>10936</v>
      </c>
      <c r="B3265" s="8" t="s">
        <v>10937</v>
      </c>
      <c r="C3265" s="8" t="s">
        <v>9582</v>
      </c>
      <c r="D3265" s="8" t="s">
        <v>10937</v>
      </c>
      <c r="E3265" s="105">
        <v>1</v>
      </c>
      <c r="F3265" s="106" t="s">
        <v>2024</v>
      </c>
      <c r="G3265" s="8"/>
      <c r="H3265" s="8"/>
      <c r="I3265" s="107">
        <v>0</v>
      </c>
      <c r="J3265" s="8" t="s">
        <v>3580</v>
      </c>
    </row>
    <row r="3266" spans="1:10" ht="16.5" customHeight="1" x14ac:dyDescent="0.25">
      <c r="A3266" s="8" t="s">
        <v>10938</v>
      </c>
      <c r="B3266" s="8" t="s">
        <v>10939</v>
      </c>
      <c r="C3266" s="8" t="s">
        <v>10940</v>
      </c>
      <c r="D3266" s="8" t="s">
        <v>10939</v>
      </c>
      <c r="E3266" s="105">
        <v>10</v>
      </c>
      <c r="F3266" s="106" t="s">
        <v>2024</v>
      </c>
      <c r="G3266" s="8" t="s">
        <v>1541</v>
      </c>
      <c r="H3266" s="8" t="s">
        <v>10941</v>
      </c>
      <c r="I3266" s="107">
        <v>10</v>
      </c>
      <c r="J3266" s="8" t="s">
        <v>5929</v>
      </c>
    </row>
    <row r="3267" spans="1:10" ht="16.5" customHeight="1" x14ac:dyDescent="0.25">
      <c r="A3267" s="8" t="s">
        <v>10941</v>
      </c>
      <c r="B3267" s="8" t="s">
        <v>10942</v>
      </c>
      <c r="C3267" s="8" t="s">
        <v>10943</v>
      </c>
      <c r="D3267" s="8" t="s">
        <v>10942</v>
      </c>
      <c r="E3267" s="105">
        <v>1</v>
      </c>
      <c r="F3267" s="106" t="s">
        <v>2024</v>
      </c>
      <c r="G3267" s="8" t="s">
        <v>1541</v>
      </c>
      <c r="H3267" s="8"/>
      <c r="I3267" s="107">
        <v>0</v>
      </c>
      <c r="J3267" s="8" t="s">
        <v>5929</v>
      </c>
    </row>
    <row r="3268" spans="1:10" ht="16.5" customHeight="1" x14ac:dyDescent="0.25">
      <c r="A3268" s="8" t="s">
        <v>10944</v>
      </c>
      <c r="B3268" s="8" t="s">
        <v>10945</v>
      </c>
      <c r="C3268" s="8" t="s">
        <v>10946</v>
      </c>
      <c r="D3268" s="8" t="s">
        <v>10945</v>
      </c>
      <c r="E3268" s="105">
        <v>0.5</v>
      </c>
      <c r="F3268" s="106" t="s">
        <v>2024</v>
      </c>
      <c r="G3268" s="8"/>
      <c r="H3268" s="8"/>
      <c r="I3268" s="107">
        <v>0</v>
      </c>
      <c r="J3268" s="8" t="s">
        <v>3580</v>
      </c>
    </row>
    <row r="3269" spans="1:10" ht="16.5" customHeight="1" x14ac:dyDescent="0.25">
      <c r="A3269" s="8" t="s">
        <v>10947</v>
      </c>
      <c r="B3269" s="8" t="s">
        <v>10948</v>
      </c>
      <c r="C3269" s="8" t="s">
        <v>1734</v>
      </c>
      <c r="D3269" s="8" t="s">
        <v>10948</v>
      </c>
      <c r="E3269" s="105">
        <v>10</v>
      </c>
      <c r="F3269" s="106" t="s">
        <v>2024</v>
      </c>
      <c r="G3269" s="8"/>
      <c r="H3269" s="8"/>
      <c r="I3269" s="107">
        <v>0</v>
      </c>
      <c r="J3269" s="8" t="s">
        <v>3580</v>
      </c>
    </row>
    <row r="3270" spans="1:10" ht="16.5" customHeight="1" x14ac:dyDescent="0.25">
      <c r="A3270" s="8" t="s">
        <v>10949</v>
      </c>
      <c r="B3270" s="8" t="s">
        <v>10950</v>
      </c>
      <c r="C3270" s="8" t="s">
        <v>10891</v>
      </c>
      <c r="D3270" s="8" t="s">
        <v>10950</v>
      </c>
      <c r="E3270" s="105">
        <v>1</v>
      </c>
      <c r="F3270" s="106" t="s">
        <v>2024</v>
      </c>
      <c r="G3270" s="8"/>
      <c r="H3270" s="8"/>
      <c r="I3270" s="107">
        <v>0</v>
      </c>
      <c r="J3270" s="8" t="s">
        <v>3580</v>
      </c>
    </row>
    <row r="3271" spans="1:10" ht="16.5" customHeight="1" x14ac:dyDescent="0.25">
      <c r="A3271" s="8" t="s">
        <v>10951</v>
      </c>
      <c r="B3271" s="8" t="s">
        <v>10952</v>
      </c>
      <c r="C3271" s="8" t="s">
        <v>10953</v>
      </c>
      <c r="D3271" s="8" t="s">
        <v>10952</v>
      </c>
      <c r="E3271" s="105">
        <v>30</v>
      </c>
      <c r="F3271" s="106" t="s">
        <v>2024</v>
      </c>
      <c r="G3271" s="8"/>
      <c r="H3271" s="8"/>
      <c r="I3271" s="107">
        <v>0</v>
      </c>
      <c r="J3271" s="8" t="s">
        <v>3580</v>
      </c>
    </row>
    <row r="3272" spans="1:10" ht="16.5" customHeight="1" x14ac:dyDescent="0.25">
      <c r="A3272" s="8" t="s">
        <v>10954</v>
      </c>
      <c r="B3272" s="8" t="s">
        <v>10955</v>
      </c>
      <c r="C3272" s="8" t="s">
        <v>10956</v>
      </c>
      <c r="D3272" s="8" t="s">
        <v>10955</v>
      </c>
      <c r="E3272" s="105">
        <v>5</v>
      </c>
      <c r="F3272" s="106" t="s">
        <v>2024</v>
      </c>
      <c r="G3272" s="8"/>
      <c r="H3272" s="8"/>
      <c r="I3272" s="107">
        <v>0</v>
      </c>
      <c r="J3272" s="8" t="s">
        <v>3580</v>
      </c>
    </row>
    <row r="3273" spans="1:10" ht="16.5" customHeight="1" x14ac:dyDescent="0.25">
      <c r="A3273" s="8" t="s">
        <v>10957</v>
      </c>
      <c r="B3273" s="8" t="s">
        <v>10958</v>
      </c>
      <c r="C3273" s="8" t="s">
        <v>1743</v>
      </c>
      <c r="D3273" s="8" t="s">
        <v>10958</v>
      </c>
      <c r="E3273" s="105">
        <v>10</v>
      </c>
      <c r="F3273" s="106" t="s">
        <v>2024</v>
      </c>
      <c r="G3273" s="8"/>
      <c r="H3273" s="8"/>
      <c r="I3273" s="107">
        <v>0</v>
      </c>
      <c r="J3273" s="8" t="s">
        <v>3580</v>
      </c>
    </row>
    <row r="3274" spans="1:10" ht="16.5" customHeight="1" x14ac:dyDescent="0.25">
      <c r="A3274" s="8" t="s">
        <v>10959</v>
      </c>
      <c r="B3274" s="8" t="s">
        <v>10960</v>
      </c>
      <c r="C3274" s="8" t="s">
        <v>10961</v>
      </c>
      <c r="D3274" s="8" t="s">
        <v>10960</v>
      </c>
      <c r="E3274" s="105">
        <v>14.5</v>
      </c>
      <c r="F3274" s="106" t="s">
        <v>2018</v>
      </c>
      <c r="G3274" s="8"/>
      <c r="H3274" s="8"/>
      <c r="I3274" s="107">
        <v>0</v>
      </c>
      <c r="J3274" s="8" t="s">
        <v>2019</v>
      </c>
    </row>
    <row r="3275" spans="1:10" ht="16.5" customHeight="1" x14ac:dyDescent="0.25">
      <c r="A3275" s="8" t="s">
        <v>10962</v>
      </c>
      <c r="B3275" s="8" t="s">
        <v>10963</v>
      </c>
      <c r="C3275" s="8" t="s">
        <v>10964</v>
      </c>
      <c r="D3275" s="8" t="s">
        <v>10963</v>
      </c>
      <c r="E3275" s="105">
        <v>0</v>
      </c>
      <c r="F3275" s="106" t="s">
        <v>2018</v>
      </c>
      <c r="G3275" s="8"/>
      <c r="H3275" s="8"/>
      <c r="I3275" s="107">
        <v>0</v>
      </c>
      <c r="J3275" s="8" t="s">
        <v>4722</v>
      </c>
    </row>
    <row r="3276" spans="1:10" ht="16.5" customHeight="1" x14ac:dyDescent="0.25">
      <c r="A3276" s="8" t="s">
        <v>10965</v>
      </c>
      <c r="B3276" s="8" t="s">
        <v>10966</v>
      </c>
      <c r="C3276" s="8" t="s">
        <v>10967</v>
      </c>
      <c r="D3276" s="8" t="s">
        <v>10966</v>
      </c>
      <c r="E3276" s="105">
        <v>0</v>
      </c>
      <c r="F3276" s="106" t="s">
        <v>2024</v>
      </c>
      <c r="G3276" s="8"/>
      <c r="H3276" s="8"/>
      <c r="I3276" s="107">
        <v>0</v>
      </c>
      <c r="J3276" s="8" t="s">
        <v>4722</v>
      </c>
    </row>
    <row r="3277" spans="1:10" ht="16.5" customHeight="1" x14ac:dyDescent="0.25">
      <c r="A3277" s="8" t="s">
        <v>10968</v>
      </c>
      <c r="B3277" s="8" t="s">
        <v>10969</v>
      </c>
      <c r="C3277" s="8" t="s">
        <v>3601</v>
      </c>
      <c r="D3277" s="8" t="s">
        <v>10969</v>
      </c>
      <c r="E3277" s="105">
        <v>10</v>
      </c>
      <c r="F3277" s="106" t="s">
        <v>2024</v>
      </c>
      <c r="G3277" s="8"/>
      <c r="H3277" s="8"/>
      <c r="I3277" s="107">
        <v>0</v>
      </c>
      <c r="J3277" s="8" t="s">
        <v>3580</v>
      </c>
    </row>
    <row r="3278" spans="1:10" ht="16.5" customHeight="1" x14ac:dyDescent="0.25">
      <c r="A3278" s="8" t="s">
        <v>10970</v>
      </c>
      <c r="B3278" s="8" t="s">
        <v>10971</v>
      </c>
      <c r="C3278" s="8" t="s">
        <v>4062</v>
      </c>
      <c r="D3278" s="8" t="s">
        <v>10971</v>
      </c>
      <c r="E3278" s="105">
        <v>0.5</v>
      </c>
      <c r="F3278" s="106" t="s">
        <v>2024</v>
      </c>
      <c r="G3278" s="8"/>
      <c r="H3278" s="8"/>
      <c r="I3278" s="107">
        <v>0</v>
      </c>
      <c r="J3278" s="8" t="s">
        <v>3580</v>
      </c>
    </row>
    <row r="3279" spans="1:10" ht="16.5" customHeight="1" x14ac:dyDescent="0.25">
      <c r="A3279" s="8" t="s">
        <v>10972</v>
      </c>
      <c r="B3279" s="8" t="s">
        <v>10973</v>
      </c>
      <c r="C3279" s="8" t="s">
        <v>3604</v>
      </c>
      <c r="D3279" s="8" t="s">
        <v>10973</v>
      </c>
      <c r="E3279" s="105">
        <v>10</v>
      </c>
      <c r="F3279" s="106" t="s">
        <v>2024</v>
      </c>
      <c r="G3279" s="8"/>
      <c r="H3279" s="8"/>
      <c r="I3279" s="107">
        <v>0</v>
      </c>
      <c r="J3279" s="8" t="s">
        <v>3580</v>
      </c>
    </row>
    <row r="3280" spans="1:10" ht="16.5" customHeight="1" x14ac:dyDescent="0.25">
      <c r="A3280" s="8" t="s">
        <v>10974</v>
      </c>
      <c r="B3280" s="8" t="s">
        <v>10975</v>
      </c>
      <c r="C3280" s="8" t="s">
        <v>4064</v>
      </c>
      <c r="D3280" s="8" t="s">
        <v>10975</v>
      </c>
      <c r="E3280" s="105">
        <v>1</v>
      </c>
      <c r="F3280" s="106" t="s">
        <v>2024</v>
      </c>
      <c r="G3280" s="8"/>
      <c r="H3280" s="8"/>
      <c r="I3280" s="107">
        <v>0</v>
      </c>
      <c r="J3280" s="8" t="s">
        <v>3580</v>
      </c>
    </row>
    <row r="3281" spans="1:10" ht="16.5" customHeight="1" x14ac:dyDescent="0.25">
      <c r="A3281" s="8" t="s">
        <v>10976</v>
      </c>
      <c r="B3281" s="8" t="s">
        <v>10977</v>
      </c>
      <c r="C3281" s="8" t="s">
        <v>10978</v>
      </c>
      <c r="D3281" s="8" t="s">
        <v>10977</v>
      </c>
      <c r="E3281" s="105">
        <v>1</v>
      </c>
      <c r="F3281" s="106" t="s">
        <v>2018</v>
      </c>
      <c r="G3281" s="8"/>
      <c r="H3281" s="8"/>
      <c r="I3281" s="107">
        <v>0</v>
      </c>
      <c r="J3281" s="8" t="s">
        <v>10979</v>
      </c>
    </row>
    <row r="3282" spans="1:10" ht="16.5" customHeight="1" x14ac:dyDescent="0.25">
      <c r="A3282" s="8" t="s">
        <v>10980</v>
      </c>
      <c r="B3282" s="8" t="s">
        <v>10981</v>
      </c>
      <c r="C3282" s="8" t="s">
        <v>10982</v>
      </c>
      <c r="D3282" s="8" t="s">
        <v>10981</v>
      </c>
      <c r="E3282" s="105">
        <v>1</v>
      </c>
      <c r="F3282" s="106" t="s">
        <v>2018</v>
      </c>
      <c r="G3282" s="8"/>
      <c r="H3282" s="8"/>
      <c r="I3282" s="107">
        <v>0</v>
      </c>
      <c r="J3282" s="8" t="s">
        <v>10979</v>
      </c>
    </row>
    <row r="3283" spans="1:10" ht="16.5" customHeight="1" x14ac:dyDescent="0.25">
      <c r="A3283" s="8" t="s">
        <v>10983</v>
      </c>
      <c r="B3283" s="8" t="s">
        <v>10984</v>
      </c>
      <c r="C3283" s="8" t="s">
        <v>10985</v>
      </c>
      <c r="D3283" s="8" t="s">
        <v>10984</v>
      </c>
      <c r="E3283" s="105">
        <v>1</v>
      </c>
      <c r="F3283" s="106" t="s">
        <v>2018</v>
      </c>
      <c r="G3283" s="8"/>
      <c r="H3283" s="8"/>
      <c r="I3283" s="107">
        <v>0</v>
      </c>
      <c r="J3283" s="8" t="s">
        <v>10979</v>
      </c>
    </row>
    <row r="3284" spans="1:10" ht="16.5" customHeight="1" x14ac:dyDescent="0.25">
      <c r="A3284" s="8" t="s">
        <v>10986</v>
      </c>
      <c r="B3284" s="8" t="s">
        <v>10987</v>
      </c>
      <c r="C3284" s="8" t="s">
        <v>10988</v>
      </c>
      <c r="D3284" s="8" t="s">
        <v>10987</v>
      </c>
      <c r="E3284" s="105">
        <v>10</v>
      </c>
      <c r="F3284" s="106" t="s">
        <v>2024</v>
      </c>
      <c r="G3284" s="8"/>
      <c r="H3284" s="8"/>
      <c r="I3284" s="107">
        <v>0</v>
      </c>
      <c r="J3284" s="8" t="s">
        <v>3580</v>
      </c>
    </row>
    <row r="3285" spans="1:10" ht="16.5" customHeight="1" x14ac:dyDescent="0.25">
      <c r="A3285" s="8" t="s">
        <v>10989</v>
      </c>
      <c r="B3285" s="8" t="s">
        <v>10990</v>
      </c>
      <c r="C3285" s="8" t="s">
        <v>10991</v>
      </c>
      <c r="D3285" s="8" t="s">
        <v>10990</v>
      </c>
      <c r="E3285" s="105">
        <v>1</v>
      </c>
      <c r="F3285" s="106" t="s">
        <v>2024</v>
      </c>
      <c r="G3285" s="8"/>
      <c r="H3285" s="8"/>
      <c r="I3285" s="107">
        <v>0</v>
      </c>
      <c r="J3285" s="8" t="s">
        <v>3580</v>
      </c>
    </row>
    <row r="3286" spans="1:10" ht="16.5" customHeight="1" x14ac:dyDescent="0.25">
      <c r="A3286" s="8" t="s">
        <v>10992</v>
      </c>
      <c r="B3286" s="8" t="s">
        <v>10993</v>
      </c>
      <c r="C3286" s="8" t="s">
        <v>10994</v>
      </c>
      <c r="D3286" s="8" t="s">
        <v>10993</v>
      </c>
      <c r="E3286" s="105">
        <v>1</v>
      </c>
      <c r="F3286" s="106" t="s">
        <v>2024</v>
      </c>
      <c r="G3286" s="8"/>
      <c r="H3286" s="8"/>
      <c r="I3286" s="107">
        <v>0</v>
      </c>
      <c r="J3286" s="8" t="s">
        <v>3580</v>
      </c>
    </row>
    <row r="3287" spans="1:10" ht="16.5" customHeight="1" x14ac:dyDescent="0.25">
      <c r="A3287" s="8" t="s">
        <v>10995</v>
      </c>
      <c r="B3287" s="8" t="s">
        <v>10996</v>
      </c>
      <c r="C3287" s="8" t="s">
        <v>10997</v>
      </c>
      <c r="D3287" s="8" t="s">
        <v>10996</v>
      </c>
      <c r="E3287" s="105">
        <v>1</v>
      </c>
      <c r="F3287" s="106" t="s">
        <v>2024</v>
      </c>
      <c r="G3287" s="8"/>
      <c r="H3287" s="8"/>
      <c r="I3287" s="107">
        <v>0</v>
      </c>
      <c r="J3287" s="8" t="s">
        <v>3580</v>
      </c>
    </row>
    <row r="3288" spans="1:10" ht="16.5" customHeight="1" x14ac:dyDescent="0.25">
      <c r="A3288" s="8" t="s">
        <v>10998</v>
      </c>
      <c r="B3288" s="8" t="s">
        <v>10934</v>
      </c>
      <c r="C3288" s="8" t="s">
        <v>10935</v>
      </c>
      <c r="D3288" s="8" t="s">
        <v>10934</v>
      </c>
      <c r="E3288" s="105">
        <v>0</v>
      </c>
      <c r="F3288" s="106" t="s">
        <v>2024</v>
      </c>
      <c r="G3288" s="8"/>
      <c r="H3288" s="8"/>
      <c r="I3288" s="107">
        <v>0</v>
      </c>
      <c r="J3288" s="8" t="s">
        <v>3580</v>
      </c>
    </row>
    <row r="3289" spans="1:10" ht="16.5" customHeight="1" x14ac:dyDescent="0.25">
      <c r="A3289" s="8" t="s">
        <v>10999</v>
      </c>
      <c r="B3289" s="8" t="s">
        <v>11000</v>
      </c>
      <c r="C3289" s="8" t="s">
        <v>11001</v>
      </c>
      <c r="D3289" s="8" t="s">
        <v>11000</v>
      </c>
      <c r="E3289" s="105">
        <v>1</v>
      </c>
      <c r="F3289" s="106" t="s">
        <v>2024</v>
      </c>
      <c r="G3289" s="8"/>
      <c r="H3289" s="8"/>
      <c r="I3289" s="107">
        <v>0</v>
      </c>
      <c r="J3289" s="8" t="s">
        <v>3580</v>
      </c>
    </row>
    <row r="3290" spans="1:10" ht="16.5" customHeight="1" x14ac:dyDescent="0.25">
      <c r="A3290" s="8" t="s">
        <v>11002</v>
      </c>
      <c r="B3290" s="8" t="s">
        <v>11003</v>
      </c>
      <c r="C3290" s="8" t="s">
        <v>11004</v>
      </c>
      <c r="D3290" s="8" t="s">
        <v>11003</v>
      </c>
      <c r="E3290" s="105">
        <v>1</v>
      </c>
      <c r="F3290" s="106" t="s">
        <v>2024</v>
      </c>
      <c r="G3290" s="8"/>
      <c r="H3290" s="8"/>
      <c r="I3290" s="107">
        <v>0</v>
      </c>
      <c r="J3290" s="8" t="s">
        <v>3580</v>
      </c>
    </row>
    <row r="3291" spans="1:10" ht="16.5" customHeight="1" x14ac:dyDescent="0.25">
      <c r="A3291" s="8" t="s">
        <v>11005</v>
      </c>
      <c r="B3291" s="8" t="s">
        <v>11006</v>
      </c>
      <c r="C3291" s="8" t="s">
        <v>11007</v>
      </c>
      <c r="D3291" s="8" t="s">
        <v>11006</v>
      </c>
      <c r="E3291" s="105">
        <v>1</v>
      </c>
      <c r="F3291" s="106" t="s">
        <v>2024</v>
      </c>
      <c r="G3291" s="8"/>
      <c r="H3291" s="8"/>
      <c r="I3291" s="107">
        <v>0</v>
      </c>
      <c r="J3291" s="8" t="s">
        <v>3580</v>
      </c>
    </row>
    <row r="3292" spans="1:10" ht="16.5" customHeight="1" x14ac:dyDescent="0.25">
      <c r="A3292" s="8" t="s">
        <v>11008</v>
      </c>
      <c r="B3292" s="8" t="s">
        <v>11009</v>
      </c>
      <c r="C3292" s="8" t="s">
        <v>11010</v>
      </c>
      <c r="D3292" s="8" t="s">
        <v>11009</v>
      </c>
      <c r="E3292" s="105">
        <v>10</v>
      </c>
      <c r="F3292" s="106" t="s">
        <v>2024</v>
      </c>
      <c r="G3292" s="8"/>
      <c r="H3292" s="8"/>
      <c r="I3292" s="107">
        <v>0</v>
      </c>
      <c r="J3292" s="8" t="s">
        <v>3580</v>
      </c>
    </row>
    <row r="3293" spans="1:10" ht="16.5" customHeight="1" x14ac:dyDescent="0.25">
      <c r="A3293" s="8" t="s">
        <v>11011</v>
      </c>
      <c r="B3293" s="8" t="s">
        <v>11012</v>
      </c>
      <c r="C3293" s="8" t="s">
        <v>9775</v>
      </c>
      <c r="D3293" s="8" t="s">
        <v>11012</v>
      </c>
      <c r="E3293" s="105">
        <v>1</v>
      </c>
      <c r="F3293" s="106" t="s">
        <v>2024</v>
      </c>
      <c r="G3293" s="8"/>
      <c r="H3293" s="8"/>
      <c r="I3293" s="107">
        <v>0</v>
      </c>
      <c r="J3293" s="8" t="s">
        <v>3580</v>
      </c>
    </row>
    <row r="3294" spans="1:10" ht="16.5" customHeight="1" x14ac:dyDescent="0.25">
      <c r="A3294" s="8" t="s">
        <v>11013</v>
      </c>
      <c r="B3294" s="8" t="s">
        <v>11014</v>
      </c>
      <c r="C3294" s="8" t="s">
        <v>11015</v>
      </c>
      <c r="D3294" s="8" t="s">
        <v>11014</v>
      </c>
      <c r="E3294" s="105">
        <v>1</v>
      </c>
      <c r="F3294" s="106" t="s">
        <v>2024</v>
      </c>
      <c r="G3294" s="8"/>
      <c r="H3294" s="8"/>
      <c r="I3294" s="107">
        <v>0</v>
      </c>
      <c r="J3294" s="8" t="s">
        <v>3580</v>
      </c>
    </row>
    <row r="3295" spans="1:10" ht="16.5" customHeight="1" x14ac:dyDescent="0.25">
      <c r="A3295" s="8" t="s">
        <v>11016</v>
      </c>
      <c r="B3295" s="8" t="s">
        <v>11017</v>
      </c>
      <c r="C3295" s="8" t="s">
        <v>11018</v>
      </c>
      <c r="D3295" s="8" t="s">
        <v>11017</v>
      </c>
      <c r="E3295" s="105">
        <v>1</v>
      </c>
      <c r="F3295" s="106" t="s">
        <v>2024</v>
      </c>
      <c r="G3295" s="8"/>
      <c r="H3295" s="8"/>
      <c r="I3295" s="107">
        <v>0</v>
      </c>
      <c r="J3295" s="8" t="s">
        <v>3580</v>
      </c>
    </row>
    <row r="3296" spans="1:10" ht="16.5" customHeight="1" x14ac:dyDescent="0.25">
      <c r="A3296" s="8" t="s">
        <v>11019</v>
      </c>
      <c r="B3296" s="8" t="s">
        <v>11020</v>
      </c>
      <c r="C3296" s="8" t="s">
        <v>11021</v>
      </c>
      <c r="D3296" s="8" t="s">
        <v>11020</v>
      </c>
      <c r="E3296" s="105">
        <v>1</v>
      </c>
      <c r="F3296" s="106" t="s">
        <v>2018</v>
      </c>
      <c r="G3296" s="8"/>
      <c r="H3296" s="8"/>
      <c r="I3296" s="107">
        <v>0</v>
      </c>
      <c r="J3296" s="8" t="s">
        <v>6357</v>
      </c>
    </row>
    <row r="3297" spans="1:10" ht="16.5" customHeight="1" x14ac:dyDescent="0.25">
      <c r="A3297" s="8" t="s">
        <v>11022</v>
      </c>
      <c r="B3297" s="8" t="s">
        <v>11023</v>
      </c>
      <c r="C3297" s="8" t="s">
        <v>11024</v>
      </c>
      <c r="D3297" s="8" t="s">
        <v>11023</v>
      </c>
      <c r="E3297" s="105">
        <v>1</v>
      </c>
      <c r="F3297" s="106" t="s">
        <v>2018</v>
      </c>
      <c r="G3297" s="8"/>
      <c r="H3297" s="8"/>
      <c r="I3297" s="107">
        <v>0</v>
      </c>
      <c r="J3297" s="8" t="s">
        <v>6357</v>
      </c>
    </row>
    <row r="3298" spans="1:10" ht="16.5" customHeight="1" x14ac:dyDescent="0.25">
      <c r="A3298" s="8" t="s">
        <v>11025</v>
      </c>
      <c r="B3298" s="8" t="s">
        <v>11026</v>
      </c>
      <c r="C3298" s="8" t="s">
        <v>9760</v>
      </c>
      <c r="D3298" s="8" t="s">
        <v>11026</v>
      </c>
      <c r="E3298" s="105">
        <v>1</v>
      </c>
      <c r="F3298" s="106" t="s">
        <v>2024</v>
      </c>
      <c r="G3298" s="8"/>
      <c r="H3298" s="8"/>
      <c r="I3298" s="107">
        <v>0</v>
      </c>
      <c r="J3298" s="8" t="s">
        <v>3580</v>
      </c>
    </row>
    <row r="3299" spans="1:10" ht="16.5" customHeight="1" x14ac:dyDescent="0.25">
      <c r="A3299" s="8" t="s">
        <v>11027</v>
      </c>
      <c r="B3299" s="8" t="s">
        <v>6982</v>
      </c>
      <c r="C3299" s="8" t="s">
        <v>8927</v>
      </c>
      <c r="D3299" s="8" t="s">
        <v>6982</v>
      </c>
      <c r="E3299" s="105">
        <v>0.85</v>
      </c>
      <c r="F3299" s="106" t="s">
        <v>2024</v>
      </c>
      <c r="G3299" s="8"/>
      <c r="H3299" s="8"/>
      <c r="I3299" s="107">
        <v>0</v>
      </c>
      <c r="J3299" s="8" t="s">
        <v>9755</v>
      </c>
    </row>
    <row r="3300" spans="1:10" ht="16.5" customHeight="1" x14ac:dyDescent="0.25">
      <c r="A3300" s="8" t="s">
        <v>11028</v>
      </c>
      <c r="B3300" s="8" t="s">
        <v>8834</v>
      </c>
      <c r="C3300" s="8" t="s">
        <v>1187</v>
      </c>
      <c r="D3300" s="8" t="s">
        <v>8834</v>
      </c>
      <c r="E3300" s="105">
        <v>1.82</v>
      </c>
      <c r="F3300" s="106" t="s">
        <v>2018</v>
      </c>
      <c r="G3300" s="8"/>
      <c r="H3300" s="8"/>
      <c r="I3300" s="107">
        <v>0</v>
      </c>
      <c r="J3300" s="8" t="s">
        <v>4722</v>
      </c>
    </row>
    <row r="3301" spans="1:10" ht="16.5" customHeight="1" x14ac:dyDescent="0.25">
      <c r="A3301" s="8" t="s">
        <v>11029</v>
      </c>
      <c r="B3301" s="8" t="s">
        <v>11030</v>
      </c>
      <c r="C3301" s="8" t="s">
        <v>11031</v>
      </c>
      <c r="D3301" s="8" t="s">
        <v>11030</v>
      </c>
      <c r="E3301" s="105">
        <v>5</v>
      </c>
      <c r="F3301" s="106" t="s">
        <v>2018</v>
      </c>
      <c r="G3301" s="8"/>
      <c r="H3301" s="8"/>
      <c r="I3301" s="107">
        <v>0</v>
      </c>
      <c r="J3301" s="8" t="s">
        <v>5366</v>
      </c>
    </row>
    <row r="3302" spans="1:10" ht="16.5" customHeight="1" x14ac:dyDescent="0.25">
      <c r="A3302" s="8" t="s">
        <v>11032</v>
      </c>
      <c r="B3302" s="8" t="s">
        <v>11033</v>
      </c>
      <c r="C3302" s="8" t="s">
        <v>11034</v>
      </c>
      <c r="D3302" s="8" t="s">
        <v>11033</v>
      </c>
      <c r="E3302" s="105">
        <v>1</v>
      </c>
      <c r="F3302" s="106" t="s">
        <v>2018</v>
      </c>
      <c r="G3302" s="8"/>
      <c r="H3302" s="8"/>
      <c r="I3302" s="107">
        <v>0</v>
      </c>
      <c r="J3302" s="8" t="s">
        <v>10979</v>
      </c>
    </row>
    <row r="3303" spans="1:10" ht="16.5" customHeight="1" x14ac:dyDescent="0.25">
      <c r="A3303" s="8" t="s">
        <v>11035</v>
      </c>
      <c r="B3303" s="8" t="s">
        <v>11036</v>
      </c>
      <c r="C3303" s="8" t="s">
        <v>11037</v>
      </c>
      <c r="D3303" s="8" t="s">
        <v>11036</v>
      </c>
      <c r="E3303" s="105">
        <v>1</v>
      </c>
      <c r="F3303" s="106" t="s">
        <v>2018</v>
      </c>
      <c r="G3303" s="8"/>
      <c r="H3303" s="8"/>
      <c r="I3303" s="107">
        <v>0</v>
      </c>
      <c r="J3303" s="8" t="s">
        <v>10979</v>
      </c>
    </row>
    <row r="3304" spans="1:10" ht="16.5" customHeight="1" x14ac:dyDescent="0.25">
      <c r="A3304" s="8" t="s">
        <v>11038</v>
      </c>
      <c r="B3304" s="8" t="s">
        <v>11039</v>
      </c>
      <c r="C3304" s="8" t="s">
        <v>11040</v>
      </c>
      <c r="D3304" s="8" t="s">
        <v>11039</v>
      </c>
      <c r="E3304" s="105">
        <v>1</v>
      </c>
      <c r="F3304" s="106" t="s">
        <v>2018</v>
      </c>
      <c r="G3304" s="8"/>
      <c r="H3304" s="8"/>
      <c r="I3304" s="107">
        <v>0</v>
      </c>
      <c r="J3304" s="8" t="s">
        <v>10979</v>
      </c>
    </row>
    <row r="3305" spans="1:10" ht="16.5" customHeight="1" x14ac:dyDescent="0.25">
      <c r="A3305" s="8" t="s">
        <v>11041</v>
      </c>
      <c r="B3305" s="8" t="s">
        <v>11042</v>
      </c>
      <c r="C3305" s="8" t="s">
        <v>11043</v>
      </c>
      <c r="D3305" s="8" t="s">
        <v>11042</v>
      </c>
      <c r="E3305" s="105">
        <v>1</v>
      </c>
      <c r="F3305" s="106" t="s">
        <v>2018</v>
      </c>
      <c r="G3305" s="8"/>
      <c r="H3305" s="8"/>
      <c r="I3305" s="107">
        <v>0</v>
      </c>
      <c r="J3305" s="8" t="s">
        <v>10979</v>
      </c>
    </row>
    <row r="3306" spans="1:10" ht="16.5" customHeight="1" x14ac:dyDescent="0.25">
      <c r="A3306" s="8" t="s">
        <v>11044</v>
      </c>
      <c r="B3306" s="8" t="s">
        <v>11045</v>
      </c>
      <c r="C3306" s="8" t="s">
        <v>11046</v>
      </c>
      <c r="D3306" s="8" t="s">
        <v>11045</v>
      </c>
      <c r="E3306" s="105">
        <v>1</v>
      </c>
      <c r="F3306" s="106" t="s">
        <v>2024</v>
      </c>
      <c r="G3306" s="8"/>
      <c r="H3306" s="8"/>
      <c r="I3306" s="107">
        <v>0</v>
      </c>
      <c r="J3306" s="8" t="s">
        <v>3580</v>
      </c>
    </row>
    <row r="3307" spans="1:10" ht="16.5" customHeight="1" x14ac:dyDescent="0.25">
      <c r="A3307" s="8" t="s">
        <v>11047</v>
      </c>
      <c r="B3307" s="8" t="s">
        <v>11048</v>
      </c>
      <c r="C3307" s="8" t="s">
        <v>11049</v>
      </c>
      <c r="D3307" s="8" t="s">
        <v>11048</v>
      </c>
      <c r="E3307" s="105">
        <v>1</v>
      </c>
      <c r="F3307" s="106" t="s">
        <v>2024</v>
      </c>
      <c r="G3307" s="8"/>
      <c r="H3307" s="8"/>
      <c r="I3307" s="107">
        <v>0</v>
      </c>
      <c r="J3307" s="8" t="s">
        <v>3580</v>
      </c>
    </row>
    <row r="3308" spans="1:10" ht="16.5" customHeight="1" x14ac:dyDescent="0.25">
      <c r="A3308" s="8" t="s">
        <v>11050</v>
      </c>
      <c r="B3308" s="8" t="s">
        <v>10923</v>
      </c>
      <c r="C3308" s="8" t="s">
        <v>9767</v>
      </c>
      <c r="D3308" s="8" t="s">
        <v>10923</v>
      </c>
      <c r="E3308" s="105">
        <v>1</v>
      </c>
      <c r="F3308" s="106" t="s">
        <v>2024</v>
      </c>
      <c r="G3308" s="8"/>
      <c r="H3308" s="8"/>
      <c r="I3308" s="107">
        <v>0</v>
      </c>
      <c r="J3308" s="8" t="s">
        <v>3580</v>
      </c>
    </row>
    <row r="3309" spans="1:10" ht="16.5" customHeight="1" x14ac:dyDescent="0.25">
      <c r="A3309" s="8" t="s">
        <v>11051</v>
      </c>
      <c r="B3309" s="8" t="s">
        <v>11052</v>
      </c>
      <c r="C3309" s="8" t="s">
        <v>11053</v>
      </c>
      <c r="D3309" s="8" t="s">
        <v>11052</v>
      </c>
      <c r="E3309" s="105">
        <v>1</v>
      </c>
      <c r="F3309" s="106" t="s">
        <v>2024</v>
      </c>
      <c r="G3309" s="8"/>
      <c r="H3309" s="8"/>
      <c r="I3309" s="107">
        <v>0</v>
      </c>
      <c r="J3309" s="8" t="s">
        <v>3580</v>
      </c>
    </row>
    <row r="3310" spans="1:10" ht="16.5" customHeight="1" x14ac:dyDescent="0.25">
      <c r="A3310" s="8" t="s">
        <v>11054</v>
      </c>
      <c r="B3310" s="8" t="s">
        <v>11055</v>
      </c>
      <c r="C3310" s="8" t="s">
        <v>11056</v>
      </c>
      <c r="D3310" s="8" t="s">
        <v>11055</v>
      </c>
      <c r="E3310" s="105">
        <v>1</v>
      </c>
      <c r="F3310" s="106" t="s">
        <v>2018</v>
      </c>
      <c r="G3310" s="8"/>
      <c r="H3310" s="8"/>
      <c r="I3310" s="107">
        <v>0</v>
      </c>
      <c r="J3310" s="8" t="s">
        <v>6357</v>
      </c>
    </row>
    <row r="3311" spans="1:10" ht="16.5" customHeight="1" x14ac:dyDescent="0.25">
      <c r="A3311" s="8" t="s">
        <v>11057</v>
      </c>
      <c r="B3311" s="8" t="s">
        <v>11058</v>
      </c>
      <c r="C3311" s="8" t="s">
        <v>11059</v>
      </c>
      <c r="D3311" s="8" t="s">
        <v>11058</v>
      </c>
      <c r="E3311" s="105">
        <v>0</v>
      </c>
      <c r="F3311" s="106" t="s">
        <v>2024</v>
      </c>
      <c r="G3311" s="8"/>
      <c r="H3311" s="8"/>
      <c r="I3311" s="107">
        <v>0</v>
      </c>
      <c r="J3311" s="8" t="s">
        <v>10979</v>
      </c>
    </row>
    <row r="3312" spans="1:10" ht="16.5" customHeight="1" x14ac:dyDescent="0.25">
      <c r="A3312" s="8" t="s">
        <v>11060</v>
      </c>
      <c r="B3312" s="8" t="s">
        <v>11061</v>
      </c>
      <c r="C3312" s="8" t="s">
        <v>11062</v>
      </c>
      <c r="D3312" s="8" t="s">
        <v>11061</v>
      </c>
      <c r="E3312" s="105">
        <v>6</v>
      </c>
      <c r="F3312" s="106" t="s">
        <v>2024</v>
      </c>
      <c r="G3312" s="8" t="s">
        <v>1541</v>
      </c>
      <c r="H3312" s="8" t="s">
        <v>11063</v>
      </c>
      <c r="I3312" s="107">
        <v>24</v>
      </c>
      <c r="J3312" s="8" t="s">
        <v>5929</v>
      </c>
    </row>
    <row r="3313" spans="1:10" ht="16.5" customHeight="1" x14ac:dyDescent="0.25">
      <c r="A3313" s="8" t="s">
        <v>11063</v>
      </c>
      <c r="B3313" s="8" t="s">
        <v>11064</v>
      </c>
      <c r="C3313" s="8" t="s">
        <v>11065</v>
      </c>
      <c r="D3313" s="8" t="s">
        <v>11064</v>
      </c>
      <c r="E3313" s="105">
        <v>0.25</v>
      </c>
      <c r="F3313" s="106" t="s">
        <v>2024</v>
      </c>
      <c r="G3313" s="8" t="s">
        <v>1541</v>
      </c>
      <c r="H3313" s="8"/>
      <c r="I3313" s="107">
        <v>0</v>
      </c>
      <c r="J3313" s="8" t="s">
        <v>5929</v>
      </c>
    </row>
    <row r="3314" spans="1:10" ht="16.5" customHeight="1" x14ac:dyDescent="0.25">
      <c r="A3314" s="8" t="s">
        <v>11066</v>
      </c>
      <c r="B3314" s="8" t="s">
        <v>11067</v>
      </c>
      <c r="C3314" s="8" t="s">
        <v>11068</v>
      </c>
      <c r="D3314" s="8" t="s">
        <v>11067</v>
      </c>
      <c r="E3314" s="105">
        <v>1</v>
      </c>
      <c r="F3314" s="106" t="s">
        <v>2018</v>
      </c>
      <c r="G3314" s="8"/>
      <c r="H3314" s="8"/>
      <c r="I3314" s="107">
        <v>0</v>
      </c>
      <c r="J3314" s="8" t="s">
        <v>6357</v>
      </c>
    </row>
    <row r="3315" spans="1:10" ht="16.5" customHeight="1" x14ac:dyDescent="0.25">
      <c r="A3315" s="8" t="s">
        <v>11069</v>
      </c>
      <c r="B3315" s="8" t="s">
        <v>11070</v>
      </c>
      <c r="C3315" s="8" t="s">
        <v>11071</v>
      </c>
      <c r="D3315" s="8" t="s">
        <v>11070</v>
      </c>
      <c r="E3315" s="105">
        <v>1</v>
      </c>
      <c r="F3315" s="106" t="s">
        <v>2018</v>
      </c>
      <c r="G3315" s="8"/>
      <c r="H3315" s="8"/>
      <c r="I3315" s="107">
        <v>0</v>
      </c>
      <c r="J3315" s="8" t="s">
        <v>6357</v>
      </c>
    </row>
    <row r="3316" spans="1:10" ht="16.5" customHeight="1" x14ac:dyDescent="0.25">
      <c r="A3316" s="8" t="s">
        <v>11072</v>
      </c>
      <c r="B3316" s="8" t="s">
        <v>11073</v>
      </c>
      <c r="C3316" s="8" t="s">
        <v>11074</v>
      </c>
      <c r="D3316" s="8" t="s">
        <v>11073</v>
      </c>
      <c r="E3316" s="105">
        <v>0</v>
      </c>
      <c r="F3316" s="106" t="s">
        <v>2024</v>
      </c>
      <c r="G3316" s="8"/>
      <c r="H3316" s="8"/>
      <c r="I3316" s="107">
        <v>0</v>
      </c>
      <c r="J3316" s="8" t="s">
        <v>4722</v>
      </c>
    </row>
    <row r="3317" spans="1:10" ht="16.5" customHeight="1" x14ac:dyDescent="0.25">
      <c r="A3317" s="8" t="s">
        <v>11075</v>
      </c>
      <c r="B3317" s="8" t="s">
        <v>11076</v>
      </c>
      <c r="C3317" s="8" t="s">
        <v>1546</v>
      </c>
      <c r="D3317" s="8" t="s">
        <v>11076</v>
      </c>
      <c r="E3317" s="105">
        <v>13.096</v>
      </c>
      <c r="F3317" s="106" t="s">
        <v>2024</v>
      </c>
      <c r="G3317" s="8" t="s">
        <v>1541</v>
      </c>
      <c r="H3317" s="8" t="s">
        <v>11077</v>
      </c>
      <c r="I3317" s="107">
        <v>24</v>
      </c>
      <c r="J3317" s="8" t="s">
        <v>5929</v>
      </c>
    </row>
    <row r="3318" spans="1:10" ht="16.5" customHeight="1" x14ac:dyDescent="0.25">
      <c r="A3318" s="8" t="s">
        <v>11077</v>
      </c>
      <c r="B3318" s="8" t="s">
        <v>11078</v>
      </c>
      <c r="C3318" s="8" t="s">
        <v>11079</v>
      </c>
      <c r="D3318" s="8" t="s">
        <v>11078</v>
      </c>
      <c r="E3318" s="105">
        <v>0.54600000000000004</v>
      </c>
      <c r="F3318" s="106" t="s">
        <v>2024</v>
      </c>
      <c r="G3318" s="8" t="s">
        <v>1541</v>
      </c>
      <c r="H3318" s="8"/>
      <c r="I3318" s="107">
        <v>0</v>
      </c>
      <c r="J3318" s="8" t="s">
        <v>5929</v>
      </c>
    </row>
    <row r="3319" spans="1:10" ht="16.5" customHeight="1" x14ac:dyDescent="0.25">
      <c r="A3319" s="8" t="s">
        <v>11080</v>
      </c>
      <c r="B3319" s="8" t="s">
        <v>11081</v>
      </c>
      <c r="C3319" s="8" t="s">
        <v>11082</v>
      </c>
      <c r="D3319" s="8" t="s">
        <v>11081</v>
      </c>
      <c r="E3319" s="105">
        <v>1</v>
      </c>
      <c r="F3319" s="106" t="s">
        <v>2018</v>
      </c>
      <c r="G3319" s="8"/>
      <c r="H3319" s="8"/>
      <c r="I3319" s="107">
        <v>0</v>
      </c>
      <c r="J3319" s="8" t="s">
        <v>6357</v>
      </c>
    </row>
    <row r="3320" spans="1:10" ht="16.5" customHeight="1" x14ac:dyDescent="0.25">
      <c r="A3320" s="8" t="s">
        <v>11083</v>
      </c>
      <c r="B3320" s="8" t="s">
        <v>11084</v>
      </c>
      <c r="C3320" s="8" t="s">
        <v>11085</v>
      </c>
      <c r="D3320" s="8" t="s">
        <v>11084</v>
      </c>
      <c r="E3320" s="105">
        <v>1</v>
      </c>
      <c r="F3320" s="106" t="s">
        <v>2018</v>
      </c>
      <c r="G3320" s="8"/>
      <c r="H3320" s="8"/>
      <c r="I3320" s="107">
        <v>0</v>
      </c>
      <c r="J3320" s="8" t="s">
        <v>6357</v>
      </c>
    </row>
    <row r="3321" spans="1:10" ht="16.5" customHeight="1" x14ac:dyDescent="0.25">
      <c r="A3321" s="8" t="s">
        <v>11086</v>
      </c>
      <c r="B3321" s="8" t="s">
        <v>11087</v>
      </c>
      <c r="C3321" s="8" t="s">
        <v>11088</v>
      </c>
      <c r="D3321" s="8" t="s">
        <v>11087</v>
      </c>
      <c r="E3321" s="105">
        <v>1</v>
      </c>
      <c r="F3321" s="106" t="s">
        <v>2018</v>
      </c>
      <c r="G3321" s="8"/>
      <c r="H3321" s="8"/>
      <c r="I3321" s="107">
        <v>0</v>
      </c>
      <c r="J3321" s="8" t="s">
        <v>6357</v>
      </c>
    </row>
    <row r="3322" spans="1:10" ht="16.5" customHeight="1" x14ac:dyDescent="0.25">
      <c r="A3322" s="8" t="s">
        <v>11089</v>
      </c>
      <c r="B3322" s="8" t="s">
        <v>11090</v>
      </c>
      <c r="C3322" s="8" t="s">
        <v>11091</v>
      </c>
      <c r="D3322" s="8" t="s">
        <v>11090</v>
      </c>
      <c r="E3322" s="105">
        <v>1</v>
      </c>
      <c r="F3322" s="106" t="s">
        <v>2018</v>
      </c>
      <c r="G3322" s="8"/>
      <c r="H3322" s="8"/>
      <c r="I3322" s="107">
        <v>0</v>
      </c>
      <c r="J3322" s="8" t="s">
        <v>7089</v>
      </c>
    </row>
    <row r="3323" spans="1:10" ht="16.5" customHeight="1" x14ac:dyDescent="0.25">
      <c r="A3323" s="8" t="s">
        <v>11092</v>
      </c>
      <c r="B3323" s="8" t="s">
        <v>11093</v>
      </c>
      <c r="C3323" s="8" t="s">
        <v>11094</v>
      </c>
      <c r="D3323" s="8" t="s">
        <v>11093</v>
      </c>
      <c r="E3323" s="105">
        <v>1</v>
      </c>
      <c r="F3323" s="106" t="s">
        <v>2018</v>
      </c>
      <c r="G3323" s="8"/>
      <c r="H3323" s="8"/>
      <c r="I3323" s="107">
        <v>0</v>
      </c>
      <c r="J3323" s="8" t="s">
        <v>6357</v>
      </c>
    </row>
    <row r="3324" spans="1:10" ht="16.5" customHeight="1" x14ac:dyDescent="0.25">
      <c r="A3324" s="8" t="s">
        <v>11095</v>
      </c>
      <c r="B3324" s="8" t="s">
        <v>11096</v>
      </c>
      <c r="C3324" s="8" t="s">
        <v>11097</v>
      </c>
      <c r="D3324" s="8" t="s">
        <v>11096</v>
      </c>
      <c r="E3324" s="105">
        <v>1</v>
      </c>
      <c r="F3324" s="106" t="s">
        <v>2018</v>
      </c>
      <c r="G3324" s="8"/>
      <c r="H3324" s="8"/>
      <c r="I3324" s="107">
        <v>0</v>
      </c>
      <c r="J3324" s="8" t="s">
        <v>6357</v>
      </c>
    </row>
    <row r="3325" spans="1:10" ht="16.5" customHeight="1" x14ac:dyDescent="0.25">
      <c r="A3325" s="8" t="s">
        <v>11098</v>
      </c>
      <c r="B3325" s="8" t="s">
        <v>11099</v>
      </c>
      <c r="C3325" s="8" t="s">
        <v>11100</v>
      </c>
      <c r="D3325" s="8" t="s">
        <v>11099</v>
      </c>
      <c r="E3325" s="105">
        <v>1</v>
      </c>
      <c r="F3325" s="106" t="s">
        <v>2018</v>
      </c>
      <c r="G3325" s="8"/>
      <c r="H3325" s="8"/>
      <c r="I3325" s="107">
        <v>0</v>
      </c>
      <c r="J3325" s="8" t="s">
        <v>6357</v>
      </c>
    </row>
    <row r="3326" spans="1:10" ht="16.5" customHeight="1" x14ac:dyDescent="0.25">
      <c r="A3326" s="8" t="s">
        <v>11101</v>
      </c>
      <c r="B3326" s="8" t="s">
        <v>11102</v>
      </c>
      <c r="C3326" s="8" t="s">
        <v>8266</v>
      </c>
      <c r="D3326" s="8" t="s">
        <v>11102</v>
      </c>
      <c r="E3326" s="105">
        <v>1</v>
      </c>
      <c r="F3326" s="106" t="s">
        <v>2018</v>
      </c>
      <c r="G3326" s="8"/>
      <c r="H3326" s="8"/>
      <c r="I3326" s="107">
        <v>0</v>
      </c>
      <c r="J3326" s="8" t="s">
        <v>2019</v>
      </c>
    </row>
    <row r="3327" spans="1:10" ht="16.5" customHeight="1" x14ac:dyDescent="0.25">
      <c r="A3327" s="8" t="s">
        <v>11103</v>
      </c>
      <c r="B3327" s="8" t="s">
        <v>11104</v>
      </c>
      <c r="C3327" s="8" t="s">
        <v>1080</v>
      </c>
      <c r="D3327" s="8" t="s">
        <v>11104</v>
      </c>
      <c r="E3327" s="105">
        <v>1</v>
      </c>
      <c r="F3327" s="106" t="s">
        <v>2018</v>
      </c>
      <c r="G3327" s="8"/>
      <c r="H3327" s="8"/>
      <c r="I3327" s="107">
        <v>0</v>
      </c>
      <c r="J3327" s="8" t="s">
        <v>3695</v>
      </c>
    </row>
    <row r="3328" spans="1:10" ht="16.5" customHeight="1" x14ac:dyDescent="0.25">
      <c r="A3328" s="8" t="s">
        <v>11105</v>
      </c>
      <c r="B3328" s="8" t="s">
        <v>11106</v>
      </c>
      <c r="C3328" s="8" t="s">
        <v>11107</v>
      </c>
      <c r="D3328" s="8" t="s">
        <v>11106</v>
      </c>
      <c r="E3328" s="105">
        <v>1</v>
      </c>
      <c r="F3328" s="106" t="s">
        <v>2018</v>
      </c>
      <c r="G3328" s="8"/>
      <c r="H3328" s="8"/>
      <c r="I3328" s="107">
        <v>0</v>
      </c>
      <c r="J3328" s="8" t="s">
        <v>6357</v>
      </c>
    </row>
    <row r="3329" spans="1:10" ht="16.5" customHeight="1" x14ac:dyDescent="0.25">
      <c r="A3329" s="8" t="s">
        <v>11108</v>
      </c>
      <c r="B3329" s="8" t="s">
        <v>11109</v>
      </c>
      <c r="C3329" s="8" t="s">
        <v>1383</v>
      </c>
      <c r="D3329" s="8" t="s">
        <v>11109</v>
      </c>
      <c r="E3329" s="105">
        <v>1</v>
      </c>
      <c r="F3329" s="106" t="s">
        <v>2024</v>
      </c>
      <c r="G3329" s="8"/>
      <c r="H3329" s="8"/>
      <c r="I3329" s="107">
        <v>0</v>
      </c>
      <c r="J3329" s="8" t="s">
        <v>2019</v>
      </c>
    </row>
    <row r="3330" spans="1:10" ht="16.5" customHeight="1" x14ac:dyDescent="0.25">
      <c r="A3330" s="8" t="s">
        <v>11110</v>
      </c>
      <c r="B3330" s="8" t="s">
        <v>11111</v>
      </c>
      <c r="C3330" s="8" t="s">
        <v>9775</v>
      </c>
      <c r="D3330" s="8" t="s">
        <v>11111</v>
      </c>
      <c r="E3330" s="105">
        <v>1</v>
      </c>
      <c r="F3330" s="106" t="s">
        <v>2024</v>
      </c>
      <c r="G3330" s="8"/>
      <c r="H3330" s="8"/>
      <c r="I3330" s="107">
        <v>0</v>
      </c>
      <c r="J3330" s="8" t="s">
        <v>3580</v>
      </c>
    </row>
    <row r="3331" spans="1:10" ht="16.5" customHeight="1" x14ac:dyDescent="0.25">
      <c r="A3331" s="8" t="s">
        <v>11112</v>
      </c>
      <c r="B3331" s="8" t="s">
        <v>11113</v>
      </c>
      <c r="C3331" s="8" t="s">
        <v>11114</v>
      </c>
      <c r="D3331" s="8" t="s">
        <v>11113</v>
      </c>
      <c r="E3331" s="105">
        <v>0</v>
      </c>
      <c r="F3331" s="106" t="s">
        <v>2024</v>
      </c>
      <c r="G3331" s="8"/>
      <c r="H3331" s="8"/>
      <c r="I3331" s="107">
        <v>0</v>
      </c>
      <c r="J3331" s="8" t="s">
        <v>10979</v>
      </c>
    </row>
    <row r="3332" spans="1:10" ht="16.5" customHeight="1" x14ac:dyDescent="0.25">
      <c r="A3332" s="8" t="s">
        <v>11115</v>
      </c>
      <c r="B3332" s="8" t="s">
        <v>11116</v>
      </c>
      <c r="C3332" s="8" t="s">
        <v>11117</v>
      </c>
      <c r="D3332" s="8" t="s">
        <v>11116</v>
      </c>
      <c r="E3332" s="105">
        <v>0</v>
      </c>
      <c r="F3332" s="106" t="s">
        <v>2024</v>
      </c>
      <c r="G3332" s="8"/>
      <c r="H3332" s="8"/>
      <c r="I3332" s="107">
        <v>0</v>
      </c>
      <c r="J3332" s="8" t="s">
        <v>10979</v>
      </c>
    </row>
    <row r="3333" spans="1:10" ht="16.5" customHeight="1" x14ac:dyDescent="0.25">
      <c r="A3333" s="8" t="s">
        <v>11118</v>
      </c>
      <c r="B3333" s="8" t="s">
        <v>11119</v>
      </c>
      <c r="C3333" s="8" t="s">
        <v>11120</v>
      </c>
      <c r="D3333" s="8" t="s">
        <v>11119</v>
      </c>
      <c r="E3333" s="105">
        <v>10</v>
      </c>
      <c r="F3333" s="106" t="s">
        <v>2024</v>
      </c>
      <c r="G3333" s="8"/>
      <c r="H3333" s="8"/>
      <c r="I3333" s="107">
        <v>0</v>
      </c>
      <c r="J3333" s="8" t="s">
        <v>5671</v>
      </c>
    </row>
    <row r="3334" spans="1:10" ht="16.5" customHeight="1" x14ac:dyDescent="0.25">
      <c r="A3334" s="8" t="s">
        <v>11121</v>
      </c>
      <c r="B3334" s="8" t="s">
        <v>11122</v>
      </c>
      <c r="C3334" s="8" t="s">
        <v>11123</v>
      </c>
      <c r="D3334" s="8" t="s">
        <v>11122</v>
      </c>
      <c r="E3334" s="105">
        <v>10</v>
      </c>
      <c r="F3334" s="106" t="s">
        <v>2024</v>
      </c>
      <c r="G3334" s="8"/>
      <c r="H3334" s="8"/>
      <c r="I3334" s="107">
        <v>0</v>
      </c>
      <c r="J3334" s="8" t="s">
        <v>5671</v>
      </c>
    </row>
    <row r="3335" spans="1:10" ht="16.5" customHeight="1" x14ac:dyDescent="0.25">
      <c r="A3335" s="8" t="s">
        <v>11124</v>
      </c>
      <c r="B3335" s="8" t="s">
        <v>11125</v>
      </c>
      <c r="C3335" s="8" t="s">
        <v>11126</v>
      </c>
      <c r="D3335" s="8" t="s">
        <v>11125</v>
      </c>
      <c r="E3335" s="105">
        <v>10</v>
      </c>
      <c r="F3335" s="106" t="s">
        <v>2024</v>
      </c>
      <c r="G3335" s="8"/>
      <c r="H3335" s="8"/>
      <c r="I3335" s="107">
        <v>0</v>
      </c>
      <c r="J3335" s="8" t="s">
        <v>5671</v>
      </c>
    </row>
    <row r="3336" spans="1:10" ht="16.5" customHeight="1" x14ac:dyDescent="0.25">
      <c r="A3336" s="8" t="s">
        <v>11127</v>
      </c>
      <c r="B3336" s="8" t="s">
        <v>11128</v>
      </c>
      <c r="C3336" s="8" t="s">
        <v>11129</v>
      </c>
      <c r="D3336" s="8" t="s">
        <v>11128</v>
      </c>
      <c r="E3336" s="105">
        <v>10</v>
      </c>
      <c r="F3336" s="106" t="s">
        <v>2024</v>
      </c>
      <c r="G3336" s="8"/>
      <c r="H3336" s="8"/>
      <c r="I3336" s="107">
        <v>0</v>
      </c>
      <c r="J3336" s="8" t="s">
        <v>5671</v>
      </c>
    </row>
    <row r="3337" spans="1:10" ht="16.5" customHeight="1" x14ac:dyDescent="0.25">
      <c r="A3337" s="8" t="s">
        <v>11130</v>
      </c>
      <c r="B3337" s="8" t="s">
        <v>11131</v>
      </c>
      <c r="C3337" s="8" t="s">
        <v>11132</v>
      </c>
      <c r="D3337" s="8" t="s">
        <v>11131</v>
      </c>
      <c r="E3337" s="105">
        <v>1</v>
      </c>
      <c r="F3337" s="106" t="s">
        <v>2024</v>
      </c>
      <c r="G3337" s="8"/>
      <c r="H3337" s="8"/>
      <c r="I3337" s="107">
        <v>0</v>
      </c>
      <c r="J3337" s="8" t="s">
        <v>5671</v>
      </c>
    </row>
    <row r="3338" spans="1:10" ht="16.5" customHeight="1" x14ac:dyDescent="0.25">
      <c r="A3338" s="8" t="s">
        <v>11133</v>
      </c>
      <c r="B3338" s="8" t="s">
        <v>11134</v>
      </c>
      <c r="C3338" s="8" t="s">
        <v>11135</v>
      </c>
      <c r="D3338" s="8" t="s">
        <v>11134</v>
      </c>
      <c r="E3338" s="105">
        <v>1</v>
      </c>
      <c r="F3338" s="106" t="s">
        <v>2024</v>
      </c>
      <c r="G3338" s="8"/>
      <c r="H3338" s="8"/>
      <c r="I3338" s="107">
        <v>0</v>
      </c>
      <c r="J3338" s="8" t="s">
        <v>5671</v>
      </c>
    </row>
    <row r="3339" spans="1:10" ht="16.5" customHeight="1" x14ac:dyDescent="0.25">
      <c r="A3339" s="8" t="s">
        <v>11136</v>
      </c>
      <c r="B3339" s="8" t="s">
        <v>11137</v>
      </c>
      <c r="C3339" s="8" t="s">
        <v>11138</v>
      </c>
      <c r="D3339" s="8" t="s">
        <v>11137</v>
      </c>
      <c r="E3339" s="105">
        <v>1</v>
      </c>
      <c r="F3339" s="106" t="s">
        <v>2024</v>
      </c>
      <c r="G3339" s="8"/>
      <c r="H3339" s="8"/>
      <c r="I3339" s="107">
        <v>0</v>
      </c>
      <c r="J3339" s="8" t="s">
        <v>5671</v>
      </c>
    </row>
    <row r="3340" spans="1:10" ht="16.5" customHeight="1" x14ac:dyDescent="0.25">
      <c r="A3340" s="8" t="s">
        <v>11139</v>
      </c>
      <c r="B3340" s="8" t="s">
        <v>11140</v>
      </c>
      <c r="C3340" s="8" t="s">
        <v>11141</v>
      </c>
      <c r="D3340" s="8" t="s">
        <v>11140</v>
      </c>
      <c r="E3340" s="105">
        <v>1</v>
      </c>
      <c r="F3340" s="106" t="s">
        <v>2024</v>
      </c>
      <c r="G3340" s="8"/>
      <c r="H3340" s="8"/>
      <c r="I3340" s="107">
        <v>0</v>
      </c>
      <c r="J3340" s="8" t="s">
        <v>5671</v>
      </c>
    </row>
    <row r="3341" spans="1:10" ht="16.5" customHeight="1" x14ac:dyDescent="0.25">
      <c r="A3341" s="8" t="s">
        <v>11142</v>
      </c>
      <c r="B3341" s="8" t="s">
        <v>11143</v>
      </c>
      <c r="C3341" s="8" t="s">
        <v>11144</v>
      </c>
      <c r="D3341" s="8" t="s">
        <v>11143</v>
      </c>
      <c r="E3341" s="105">
        <v>1</v>
      </c>
      <c r="F3341" s="106" t="s">
        <v>2018</v>
      </c>
      <c r="G3341" s="8"/>
      <c r="H3341" s="8"/>
      <c r="I3341" s="107">
        <v>0</v>
      </c>
      <c r="J3341" s="8" t="s">
        <v>6357</v>
      </c>
    </row>
    <row r="3342" spans="1:10" ht="16.5" customHeight="1" x14ac:dyDescent="0.25">
      <c r="A3342" s="8" t="s">
        <v>11145</v>
      </c>
      <c r="B3342" s="8" t="s">
        <v>11146</v>
      </c>
      <c r="C3342" s="8" t="s">
        <v>11147</v>
      </c>
      <c r="D3342" s="8" t="s">
        <v>11146</v>
      </c>
      <c r="E3342" s="105">
        <v>12</v>
      </c>
      <c r="F3342" s="106" t="s">
        <v>2024</v>
      </c>
      <c r="G3342" s="8"/>
      <c r="H3342" s="8"/>
      <c r="I3342" s="107">
        <v>0</v>
      </c>
      <c r="J3342" s="8" t="s">
        <v>5929</v>
      </c>
    </row>
    <row r="3343" spans="1:10" ht="16.5" customHeight="1" x14ac:dyDescent="0.25">
      <c r="A3343" s="8" t="s">
        <v>11148</v>
      </c>
      <c r="B3343" s="8" t="s">
        <v>11149</v>
      </c>
      <c r="C3343" s="8" t="s">
        <v>11150</v>
      </c>
      <c r="D3343" s="8" t="s">
        <v>11149</v>
      </c>
      <c r="E3343" s="105">
        <v>0.01</v>
      </c>
      <c r="F3343" s="106" t="s">
        <v>2024</v>
      </c>
      <c r="G3343" s="8"/>
      <c r="H3343" s="8"/>
      <c r="I3343" s="107">
        <v>0</v>
      </c>
      <c r="J3343" s="8" t="s">
        <v>5929</v>
      </c>
    </row>
    <row r="3344" spans="1:10" ht="16.5" customHeight="1" x14ac:dyDescent="0.25">
      <c r="A3344" s="8" t="s">
        <v>11151</v>
      </c>
      <c r="B3344" s="8" t="s">
        <v>11152</v>
      </c>
      <c r="C3344" s="8" t="s">
        <v>1528</v>
      </c>
      <c r="D3344" s="8" t="s">
        <v>11152</v>
      </c>
      <c r="E3344" s="105">
        <v>10</v>
      </c>
      <c r="F3344" s="106" t="s">
        <v>2024</v>
      </c>
      <c r="G3344" s="8"/>
      <c r="H3344" s="8"/>
      <c r="I3344" s="107">
        <v>0</v>
      </c>
      <c r="J3344" s="8" t="s">
        <v>5671</v>
      </c>
    </row>
    <row r="3345" spans="1:10" ht="16.5" customHeight="1" x14ac:dyDescent="0.25">
      <c r="A3345" s="8" t="s">
        <v>11153</v>
      </c>
      <c r="B3345" s="8" t="s">
        <v>11154</v>
      </c>
      <c r="C3345" s="8" t="s">
        <v>11155</v>
      </c>
      <c r="D3345" s="8" t="s">
        <v>11154</v>
      </c>
      <c r="E3345" s="105">
        <v>1</v>
      </c>
      <c r="F3345" s="106" t="s">
        <v>2024</v>
      </c>
      <c r="G3345" s="8"/>
      <c r="H3345" s="8"/>
      <c r="I3345" s="107">
        <v>0</v>
      </c>
      <c r="J3345" s="8" t="s">
        <v>3580</v>
      </c>
    </row>
    <row r="3346" spans="1:10" ht="16.5" customHeight="1" x14ac:dyDescent="0.25">
      <c r="A3346" s="8" t="s">
        <v>11156</v>
      </c>
      <c r="B3346" s="8" t="s">
        <v>11157</v>
      </c>
      <c r="C3346" s="8" t="s">
        <v>11158</v>
      </c>
      <c r="D3346" s="8" t="s">
        <v>11157</v>
      </c>
      <c r="E3346" s="105">
        <v>1</v>
      </c>
      <c r="F3346" s="106" t="s">
        <v>2024</v>
      </c>
      <c r="G3346" s="8"/>
      <c r="H3346" s="8"/>
      <c r="I3346" s="107">
        <v>0</v>
      </c>
      <c r="J3346" s="8" t="s">
        <v>6357</v>
      </c>
    </row>
    <row r="3347" spans="1:10" ht="16.5" customHeight="1" x14ac:dyDescent="0.25">
      <c r="A3347" s="8" t="s">
        <v>11159</v>
      </c>
      <c r="B3347" s="8" t="s">
        <v>11160</v>
      </c>
      <c r="C3347" s="8" t="s">
        <v>11161</v>
      </c>
      <c r="D3347" s="8" t="s">
        <v>11160</v>
      </c>
      <c r="E3347" s="105">
        <v>1</v>
      </c>
      <c r="F3347" s="106" t="s">
        <v>2018</v>
      </c>
      <c r="G3347" s="8"/>
      <c r="H3347" s="8"/>
      <c r="I3347" s="107">
        <v>0</v>
      </c>
      <c r="J3347" s="8" t="s">
        <v>6357</v>
      </c>
    </row>
    <row r="3348" spans="1:10" ht="16.5" customHeight="1" x14ac:dyDescent="0.25">
      <c r="A3348" s="8" t="s">
        <v>11162</v>
      </c>
      <c r="B3348" s="8" t="s">
        <v>11163</v>
      </c>
      <c r="C3348" s="8" t="s">
        <v>11164</v>
      </c>
      <c r="D3348" s="8" t="s">
        <v>11163</v>
      </c>
      <c r="E3348" s="105">
        <v>3.06</v>
      </c>
      <c r="F3348" s="106" t="s">
        <v>2024</v>
      </c>
      <c r="G3348" s="8" t="s">
        <v>1541</v>
      </c>
      <c r="H3348" s="8" t="s">
        <v>11165</v>
      </c>
      <c r="I3348" s="107">
        <v>12</v>
      </c>
      <c r="J3348" s="8" t="s">
        <v>5929</v>
      </c>
    </row>
    <row r="3349" spans="1:10" ht="16.5" customHeight="1" x14ac:dyDescent="0.25">
      <c r="A3349" s="8" t="s">
        <v>11165</v>
      </c>
      <c r="B3349" s="8" t="s">
        <v>11166</v>
      </c>
      <c r="C3349" s="8" t="s">
        <v>11167</v>
      </c>
      <c r="D3349" s="8" t="s">
        <v>11166</v>
      </c>
      <c r="E3349" s="105">
        <v>0.255</v>
      </c>
      <c r="F3349" s="106" t="s">
        <v>2024</v>
      </c>
      <c r="G3349" s="8" t="s">
        <v>1541</v>
      </c>
      <c r="H3349" s="8"/>
      <c r="I3349" s="107">
        <v>0</v>
      </c>
      <c r="J3349" s="8" t="s">
        <v>5929</v>
      </c>
    </row>
    <row r="3350" spans="1:10" ht="16.5" customHeight="1" x14ac:dyDescent="0.25">
      <c r="A3350" s="8" t="s">
        <v>11168</v>
      </c>
      <c r="B3350" s="8" t="s">
        <v>11169</v>
      </c>
      <c r="C3350" s="8" t="s">
        <v>1630</v>
      </c>
      <c r="D3350" s="8" t="s">
        <v>11169</v>
      </c>
      <c r="E3350" s="105">
        <v>6.12</v>
      </c>
      <c r="F3350" s="106" t="s">
        <v>2024</v>
      </c>
      <c r="G3350" s="8" t="s">
        <v>1541</v>
      </c>
      <c r="H3350" s="8" t="s">
        <v>11165</v>
      </c>
      <c r="I3350" s="107">
        <v>24</v>
      </c>
      <c r="J3350" s="8" t="s">
        <v>5929</v>
      </c>
    </row>
    <row r="3351" spans="1:10" ht="16.5" customHeight="1" x14ac:dyDescent="0.25">
      <c r="A3351" s="8" t="s">
        <v>11170</v>
      </c>
      <c r="B3351" s="8" t="s">
        <v>11171</v>
      </c>
      <c r="C3351" s="8" t="s">
        <v>1695</v>
      </c>
      <c r="D3351" s="8" t="s">
        <v>11171</v>
      </c>
      <c r="E3351" s="105">
        <v>8</v>
      </c>
      <c r="F3351" s="106" t="s">
        <v>2024</v>
      </c>
      <c r="G3351" s="8" t="s">
        <v>1541</v>
      </c>
      <c r="H3351" s="8" t="s">
        <v>11172</v>
      </c>
      <c r="I3351" s="107">
        <v>800</v>
      </c>
      <c r="J3351" s="8" t="s">
        <v>5929</v>
      </c>
    </row>
    <row r="3352" spans="1:10" ht="16.5" customHeight="1" x14ac:dyDescent="0.25">
      <c r="A3352" s="8" t="s">
        <v>11172</v>
      </c>
      <c r="B3352" s="8" t="s">
        <v>11173</v>
      </c>
      <c r="C3352" s="8" t="s">
        <v>11174</v>
      </c>
      <c r="D3352" s="8" t="s">
        <v>11173</v>
      </c>
      <c r="E3352" s="105">
        <v>0.01</v>
      </c>
      <c r="F3352" s="106" t="s">
        <v>2024</v>
      </c>
      <c r="G3352" s="8" t="s">
        <v>1541</v>
      </c>
      <c r="H3352" s="8"/>
      <c r="I3352" s="107">
        <v>0</v>
      </c>
      <c r="J3352" s="8" t="s">
        <v>5929</v>
      </c>
    </row>
    <row r="3353" spans="1:10" ht="16.5" customHeight="1" x14ac:dyDescent="0.25">
      <c r="A3353" s="8" t="s">
        <v>11175</v>
      </c>
      <c r="B3353" s="8" t="s">
        <v>11176</v>
      </c>
      <c r="C3353" s="8" t="s">
        <v>8266</v>
      </c>
      <c r="D3353" s="8" t="s">
        <v>11176</v>
      </c>
      <c r="E3353" s="105">
        <v>1</v>
      </c>
      <c r="F3353" s="106" t="s">
        <v>2018</v>
      </c>
      <c r="G3353" s="8"/>
      <c r="H3353" s="8"/>
      <c r="I3353" s="107">
        <v>0</v>
      </c>
      <c r="J3353" s="8" t="s">
        <v>2019</v>
      </c>
    </row>
    <row r="3354" spans="1:10" ht="16.5" customHeight="1" x14ac:dyDescent="0.25">
      <c r="A3354" s="8" t="s">
        <v>11177</v>
      </c>
      <c r="B3354" s="8" t="s">
        <v>11178</v>
      </c>
      <c r="C3354" s="8" t="s">
        <v>9778</v>
      </c>
      <c r="D3354" s="8" t="s">
        <v>11178</v>
      </c>
      <c r="E3354" s="105">
        <v>1</v>
      </c>
      <c r="F3354" s="106" t="s">
        <v>2024</v>
      </c>
      <c r="G3354" s="8"/>
      <c r="H3354" s="8"/>
      <c r="I3354" s="107">
        <v>0</v>
      </c>
      <c r="J3354" s="8" t="s">
        <v>3580</v>
      </c>
    </row>
    <row r="3355" spans="1:10" ht="16.5" customHeight="1" x14ac:dyDescent="0.25">
      <c r="A3355" s="8" t="s">
        <v>11179</v>
      </c>
      <c r="B3355" s="8" t="s">
        <v>11180</v>
      </c>
      <c r="C3355" s="8" t="s">
        <v>1698</v>
      </c>
      <c r="D3355" s="8" t="s">
        <v>11180</v>
      </c>
      <c r="E3355" s="105">
        <v>8</v>
      </c>
      <c r="F3355" s="106" t="s">
        <v>2024</v>
      </c>
      <c r="G3355" s="8" t="s">
        <v>1541</v>
      </c>
      <c r="H3355" s="8" t="s">
        <v>11181</v>
      </c>
      <c r="I3355" s="107">
        <v>800</v>
      </c>
      <c r="J3355" s="8" t="s">
        <v>5929</v>
      </c>
    </row>
    <row r="3356" spans="1:10" ht="16.5" customHeight="1" x14ac:dyDescent="0.25">
      <c r="A3356" s="8" t="s">
        <v>11181</v>
      </c>
      <c r="B3356" s="8" t="s">
        <v>11182</v>
      </c>
      <c r="C3356" s="8" t="s">
        <v>11183</v>
      </c>
      <c r="D3356" s="8" t="s">
        <v>11182</v>
      </c>
      <c r="E3356" s="105">
        <v>0.01</v>
      </c>
      <c r="F3356" s="106" t="s">
        <v>2024</v>
      </c>
      <c r="G3356" s="8" t="s">
        <v>1541</v>
      </c>
      <c r="H3356" s="8"/>
      <c r="I3356" s="107">
        <v>0</v>
      </c>
      <c r="J3356" s="8" t="s">
        <v>5929</v>
      </c>
    </row>
    <row r="3357" spans="1:10" ht="16.5" customHeight="1" x14ac:dyDescent="0.25">
      <c r="A3357" s="8" t="s">
        <v>11184</v>
      </c>
      <c r="B3357" s="8" t="s">
        <v>11185</v>
      </c>
      <c r="C3357" s="8" t="s">
        <v>11186</v>
      </c>
      <c r="D3357" s="8" t="s">
        <v>11185</v>
      </c>
      <c r="E3357" s="105">
        <v>0</v>
      </c>
      <c r="F3357" s="106" t="s">
        <v>2024</v>
      </c>
      <c r="G3357" s="8"/>
      <c r="H3357" s="8"/>
      <c r="I3357" s="107">
        <v>0</v>
      </c>
      <c r="J3357" s="8" t="s">
        <v>3695</v>
      </c>
    </row>
    <row r="3358" spans="1:10" ht="16.5" customHeight="1" x14ac:dyDescent="0.25">
      <c r="A3358" s="8" t="s">
        <v>11187</v>
      </c>
      <c r="B3358" s="8" t="s">
        <v>11188</v>
      </c>
      <c r="C3358" s="8" t="s">
        <v>11189</v>
      </c>
      <c r="D3358" s="8" t="s">
        <v>11188</v>
      </c>
      <c r="E3358" s="105">
        <v>0</v>
      </c>
      <c r="F3358" s="106" t="s">
        <v>2024</v>
      </c>
      <c r="G3358" s="8"/>
      <c r="H3358" s="8"/>
      <c r="I3358" s="107">
        <v>0</v>
      </c>
      <c r="J3358" s="8" t="s">
        <v>3695</v>
      </c>
    </row>
    <row r="3359" spans="1:10" ht="16.5" customHeight="1" x14ac:dyDescent="0.25">
      <c r="A3359" s="8" t="s">
        <v>11190</v>
      </c>
      <c r="B3359" s="8" t="s">
        <v>11191</v>
      </c>
      <c r="C3359" s="8" t="s">
        <v>11192</v>
      </c>
      <c r="D3359" s="8" t="s">
        <v>11191</v>
      </c>
      <c r="E3359" s="105">
        <v>0</v>
      </c>
      <c r="F3359" s="106" t="s">
        <v>2024</v>
      </c>
      <c r="G3359" s="8"/>
      <c r="H3359" s="8"/>
      <c r="I3359" s="107">
        <v>0</v>
      </c>
      <c r="J3359" s="8" t="s">
        <v>4722</v>
      </c>
    </row>
    <row r="3360" spans="1:10" ht="16.5" customHeight="1" x14ac:dyDescent="0.25">
      <c r="A3360" s="8" t="s">
        <v>11193</v>
      </c>
      <c r="B3360" s="8" t="s">
        <v>11194</v>
      </c>
      <c r="C3360" s="8" t="s">
        <v>11195</v>
      </c>
      <c r="D3360" s="8" t="s">
        <v>11194</v>
      </c>
      <c r="E3360" s="105">
        <v>1</v>
      </c>
      <c r="F3360" s="106" t="s">
        <v>2018</v>
      </c>
      <c r="G3360" s="8"/>
      <c r="H3360" s="8"/>
      <c r="I3360" s="107">
        <v>0</v>
      </c>
      <c r="J3360" s="8" t="s">
        <v>6357</v>
      </c>
    </row>
    <row r="3361" spans="1:10" ht="16.5" customHeight="1" x14ac:dyDescent="0.25">
      <c r="A3361" s="8" t="s">
        <v>11196</v>
      </c>
      <c r="B3361" s="8" t="s">
        <v>11197</v>
      </c>
      <c r="C3361" s="8" t="s">
        <v>11198</v>
      </c>
      <c r="D3361" s="8" t="s">
        <v>11197</v>
      </c>
      <c r="E3361" s="105">
        <v>0.08</v>
      </c>
      <c r="F3361" s="106" t="s">
        <v>2024</v>
      </c>
      <c r="G3361" s="8"/>
      <c r="H3361" s="8"/>
      <c r="I3361" s="107">
        <v>0</v>
      </c>
      <c r="J3361" s="8" t="s">
        <v>2019</v>
      </c>
    </row>
    <row r="3362" spans="1:10" ht="16.5" customHeight="1" x14ac:dyDescent="0.25">
      <c r="A3362" s="8" t="s">
        <v>11199</v>
      </c>
      <c r="B3362" s="8" t="s">
        <v>11200</v>
      </c>
      <c r="C3362" s="8" t="s">
        <v>11201</v>
      </c>
      <c r="D3362" s="8" t="s">
        <v>11200</v>
      </c>
      <c r="E3362" s="105">
        <v>0.12</v>
      </c>
      <c r="F3362" s="106" t="s">
        <v>2024</v>
      </c>
      <c r="G3362" s="8"/>
      <c r="H3362" s="8"/>
      <c r="I3362" s="107">
        <v>0</v>
      </c>
      <c r="J3362" s="8" t="s">
        <v>2019</v>
      </c>
    </row>
    <row r="3363" spans="1:10" ht="16.5" customHeight="1" x14ac:dyDescent="0.25">
      <c r="A3363" s="8" t="s">
        <v>11202</v>
      </c>
      <c r="B3363" s="8" t="s">
        <v>11203</v>
      </c>
      <c r="C3363" s="8" t="s">
        <v>11204</v>
      </c>
      <c r="D3363" s="8" t="s">
        <v>11203</v>
      </c>
      <c r="E3363" s="105">
        <v>8.1199999999999994E-2</v>
      </c>
      <c r="F3363" s="106" t="s">
        <v>2024</v>
      </c>
      <c r="G3363" s="8"/>
      <c r="H3363" s="8"/>
      <c r="I3363" s="107">
        <v>0</v>
      </c>
      <c r="J3363" s="8" t="s">
        <v>2019</v>
      </c>
    </row>
    <row r="3364" spans="1:10" ht="16.5" customHeight="1" x14ac:dyDescent="0.25">
      <c r="A3364" s="8" t="s">
        <v>11205</v>
      </c>
      <c r="B3364" s="8" t="s">
        <v>11206</v>
      </c>
      <c r="C3364" s="8" t="s">
        <v>11207</v>
      </c>
      <c r="D3364" s="8" t="s">
        <v>11206</v>
      </c>
      <c r="E3364" s="105">
        <v>0.12</v>
      </c>
      <c r="F3364" s="106" t="s">
        <v>2024</v>
      </c>
      <c r="G3364" s="8"/>
      <c r="H3364" s="8"/>
      <c r="I3364" s="107">
        <v>0</v>
      </c>
      <c r="J3364" s="8" t="s">
        <v>4722</v>
      </c>
    </row>
    <row r="3365" spans="1:10" ht="16.5" customHeight="1" x14ac:dyDescent="0.25">
      <c r="A3365" s="8" t="s">
        <v>11208</v>
      </c>
      <c r="B3365" s="8" t="s">
        <v>11209</v>
      </c>
      <c r="C3365" s="8" t="s">
        <v>11210</v>
      </c>
      <c r="D3365" s="8" t="s">
        <v>11209</v>
      </c>
      <c r="E3365" s="105">
        <v>1</v>
      </c>
      <c r="F3365" s="106" t="s">
        <v>2018</v>
      </c>
      <c r="G3365" s="8"/>
      <c r="H3365" s="8"/>
      <c r="I3365" s="107">
        <v>0</v>
      </c>
      <c r="J3365" s="8" t="s">
        <v>6357</v>
      </c>
    </row>
    <row r="3366" spans="1:10" ht="16.5" customHeight="1" x14ac:dyDescent="0.25">
      <c r="A3366" s="8" t="s">
        <v>11211</v>
      </c>
      <c r="B3366" s="8" t="s">
        <v>11212</v>
      </c>
      <c r="C3366" s="8" t="s">
        <v>11213</v>
      </c>
      <c r="D3366" s="8" t="s">
        <v>11212</v>
      </c>
      <c r="E3366" s="105">
        <v>0.12</v>
      </c>
      <c r="F3366" s="106" t="s">
        <v>2024</v>
      </c>
      <c r="G3366" s="8"/>
      <c r="H3366" s="8"/>
      <c r="I3366" s="107">
        <v>0</v>
      </c>
      <c r="J3366" s="8" t="s">
        <v>2019</v>
      </c>
    </row>
    <row r="3367" spans="1:10" ht="16.5" customHeight="1" x14ac:dyDescent="0.25">
      <c r="A3367" s="8" t="s">
        <v>11214</v>
      </c>
      <c r="B3367" s="8" t="s">
        <v>11215</v>
      </c>
      <c r="C3367" s="8" t="s">
        <v>11216</v>
      </c>
      <c r="D3367" s="8" t="s">
        <v>11215</v>
      </c>
      <c r="E3367" s="105">
        <v>0.12</v>
      </c>
      <c r="F3367" s="106" t="s">
        <v>2024</v>
      </c>
      <c r="G3367" s="8"/>
      <c r="H3367" s="8"/>
      <c r="I3367" s="107">
        <v>0</v>
      </c>
      <c r="J3367" s="8" t="s">
        <v>2019</v>
      </c>
    </row>
    <row r="3368" spans="1:10" ht="16.5" customHeight="1" x14ac:dyDescent="0.25">
      <c r="A3368" s="8" t="s">
        <v>11217</v>
      </c>
      <c r="B3368" s="8" t="s">
        <v>11218</v>
      </c>
      <c r="C3368" s="8" t="s">
        <v>11219</v>
      </c>
      <c r="D3368" s="8" t="s">
        <v>11218</v>
      </c>
      <c r="E3368" s="105">
        <v>0.08</v>
      </c>
      <c r="F3368" s="106" t="s">
        <v>2024</v>
      </c>
      <c r="G3368" s="8"/>
      <c r="H3368" s="8"/>
      <c r="I3368" s="107">
        <v>0</v>
      </c>
      <c r="J3368" s="8" t="s">
        <v>2019</v>
      </c>
    </row>
    <row r="3369" spans="1:10" ht="16.5" customHeight="1" x14ac:dyDescent="0.25">
      <c r="A3369" s="8" t="s">
        <v>11220</v>
      </c>
      <c r="B3369" s="8" t="s">
        <v>11221</v>
      </c>
      <c r="C3369" s="8" t="s">
        <v>11222</v>
      </c>
      <c r="D3369" s="8" t="s">
        <v>11221</v>
      </c>
      <c r="E3369" s="105">
        <v>0.08</v>
      </c>
      <c r="F3369" s="106" t="s">
        <v>2024</v>
      </c>
      <c r="G3369" s="8"/>
      <c r="H3369" s="8"/>
      <c r="I3369" s="107">
        <v>0</v>
      </c>
      <c r="J3369" s="8" t="s">
        <v>2019</v>
      </c>
    </row>
    <row r="3370" spans="1:10" ht="16.5" customHeight="1" x14ac:dyDescent="0.25">
      <c r="A3370" s="8" t="s">
        <v>11223</v>
      </c>
      <c r="B3370" s="8" t="s">
        <v>11224</v>
      </c>
      <c r="C3370" s="8" t="s">
        <v>11225</v>
      </c>
      <c r="D3370" s="8" t="s">
        <v>11224</v>
      </c>
      <c r="E3370" s="105">
        <v>0.06</v>
      </c>
      <c r="F3370" s="106" t="s">
        <v>2024</v>
      </c>
      <c r="G3370" s="8"/>
      <c r="H3370" s="8"/>
      <c r="I3370" s="107">
        <v>0</v>
      </c>
      <c r="J3370" s="8" t="s">
        <v>2019</v>
      </c>
    </row>
    <row r="3371" spans="1:10" ht="16.5" customHeight="1" x14ac:dyDescent="0.25">
      <c r="A3371" s="8" t="s">
        <v>11226</v>
      </c>
      <c r="B3371" s="8" t="s">
        <v>11227</v>
      </c>
      <c r="C3371" s="8" t="s">
        <v>11228</v>
      </c>
      <c r="D3371" s="8" t="s">
        <v>11227</v>
      </c>
      <c r="E3371" s="105">
        <v>0.01</v>
      </c>
      <c r="F3371" s="106" t="s">
        <v>2024</v>
      </c>
      <c r="G3371" s="8"/>
      <c r="H3371" s="8"/>
      <c r="I3371" s="107">
        <v>0</v>
      </c>
      <c r="J3371" s="8" t="s">
        <v>2019</v>
      </c>
    </row>
    <row r="3372" spans="1:10" ht="16.5" customHeight="1" x14ac:dyDescent="0.25">
      <c r="A3372" s="8" t="s">
        <v>11229</v>
      </c>
      <c r="B3372" s="8" t="s">
        <v>11230</v>
      </c>
      <c r="C3372" s="8" t="s">
        <v>11231</v>
      </c>
      <c r="D3372" s="8" t="s">
        <v>11230</v>
      </c>
      <c r="E3372" s="105">
        <v>0.01</v>
      </c>
      <c r="F3372" s="106" t="s">
        <v>2024</v>
      </c>
      <c r="G3372" s="8"/>
      <c r="H3372" s="8"/>
      <c r="I3372" s="107">
        <v>0</v>
      </c>
      <c r="J3372" s="8" t="s">
        <v>2019</v>
      </c>
    </row>
    <row r="3373" spans="1:10" ht="16.5" customHeight="1" x14ac:dyDescent="0.25">
      <c r="A3373" s="8" t="s">
        <v>11232</v>
      </c>
      <c r="B3373" s="8" t="s">
        <v>11233</v>
      </c>
      <c r="C3373" s="8" t="s">
        <v>11234</v>
      </c>
      <c r="D3373" s="8" t="s">
        <v>11233</v>
      </c>
      <c r="E3373" s="105">
        <v>1</v>
      </c>
      <c r="F3373" s="106" t="s">
        <v>2018</v>
      </c>
      <c r="G3373" s="8"/>
      <c r="H3373" s="8"/>
      <c r="I3373" s="107">
        <v>0</v>
      </c>
      <c r="J3373" s="8" t="s">
        <v>6357</v>
      </c>
    </row>
    <row r="3374" spans="1:10" ht="16.5" customHeight="1" x14ac:dyDescent="0.25">
      <c r="A3374" s="8" t="s">
        <v>11235</v>
      </c>
      <c r="B3374" s="8" t="s">
        <v>11236</v>
      </c>
      <c r="C3374" s="8" t="s">
        <v>11237</v>
      </c>
      <c r="D3374" s="8" t="s">
        <v>11236</v>
      </c>
      <c r="E3374" s="105">
        <v>1</v>
      </c>
      <c r="F3374" s="106" t="s">
        <v>2018</v>
      </c>
      <c r="G3374" s="8"/>
      <c r="H3374" s="8"/>
      <c r="I3374" s="107">
        <v>0</v>
      </c>
      <c r="J3374" s="8" t="s">
        <v>3695</v>
      </c>
    </row>
    <row r="3375" spans="1:10" ht="16.5" customHeight="1" x14ac:dyDescent="0.25">
      <c r="A3375" s="8" t="s">
        <v>11238</v>
      </c>
      <c r="B3375" s="8" t="s">
        <v>11239</v>
      </c>
      <c r="C3375" s="8" t="s">
        <v>9810</v>
      </c>
      <c r="D3375" s="8" t="s">
        <v>11239</v>
      </c>
      <c r="E3375" s="105">
        <v>1</v>
      </c>
      <c r="F3375" s="106" t="s">
        <v>2024</v>
      </c>
      <c r="G3375" s="8"/>
      <c r="H3375" s="8"/>
      <c r="I3375" s="107">
        <v>0</v>
      </c>
      <c r="J3375" s="8" t="s">
        <v>3580</v>
      </c>
    </row>
    <row r="3376" spans="1:10" ht="16.5" customHeight="1" x14ac:dyDescent="0.25">
      <c r="A3376" s="8" t="s">
        <v>11240</v>
      </c>
      <c r="B3376" s="8" t="s">
        <v>11241</v>
      </c>
      <c r="C3376" s="8" t="s">
        <v>11242</v>
      </c>
      <c r="D3376" s="8" t="s">
        <v>11241</v>
      </c>
      <c r="E3376" s="105">
        <v>0</v>
      </c>
      <c r="F3376" s="106" t="s">
        <v>2024</v>
      </c>
      <c r="G3376" s="8"/>
      <c r="H3376" s="8"/>
      <c r="I3376" s="107">
        <v>0</v>
      </c>
      <c r="J3376" s="8" t="s">
        <v>4722</v>
      </c>
    </row>
    <row r="3377" spans="1:10" ht="16.5" customHeight="1" x14ac:dyDescent="0.25">
      <c r="A3377" s="8" t="s">
        <v>11243</v>
      </c>
      <c r="B3377" s="8" t="s">
        <v>11244</v>
      </c>
      <c r="C3377" s="8" t="s">
        <v>11245</v>
      </c>
      <c r="D3377" s="8" t="s">
        <v>11244</v>
      </c>
      <c r="E3377" s="105">
        <v>0</v>
      </c>
      <c r="F3377" s="106" t="s">
        <v>2024</v>
      </c>
      <c r="G3377" s="8"/>
      <c r="H3377" s="8"/>
      <c r="I3377" s="107">
        <v>0</v>
      </c>
      <c r="J3377" s="8" t="s">
        <v>4722</v>
      </c>
    </row>
    <row r="3378" spans="1:10" ht="16.5" customHeight="1" x14ac:dyDescent="0.25">
      <c r="A3378" s="8" t="s">
        <v>11246</v>
      </c>
      <c r="B3378" s="8" t="s">
        <v>11247</v>
      </c>
      <c r="C3378" s="8" t="s">
        <v>11248</v>
      </c>
      <c r="D3378" s="8" t="s">
        <v>11247</v>
      </c>
      <c r="E3378" s="105">
        <v>0</v>
      </c>
      <c r="F3378" s="106" t="s">
        <v>2024</v>
      </c>
      <c r="G3378" s="8"/>
      <c r="H3378" s="8"/>
      <c r="I3378" s="107">
        <v>0</v>
      </c>
      <c r="J3378" s="8" t="s">
        <v>4722</v>
      </c>
    </row>
    <row r="3379" spans="1:10" ht="16.5" customHeight="1" x14ac:dyDescent="0.25">
      <c r="A3379" s="8" t="s">
        <v>11249</v>
      </c>
      <c r="B3379" s="8" t="s">
        <v>11250</v>
      </c>
      <c r="C3379" s="8" t="s">
        <v>11251</v>
      </c>
      <c r="D3379" s="8" t="s">
        <v>11250</v>
      </c>
      <c r="E3379" s="105">
        <v>1</v>
      </c>
      <c r="F3379" s="106" t="s">
        <v>2024</v>
      </c>
      <c r="G3379" s="8"/>
      <c r="H3379" s="8"/>
      <c r="I3379" s="107">
        <v>0</v>
      </c>
      <c r="J3379" s="8" t="s">
        <v>3580</v>
      </c>
    </row>
    <row r="3380" spans="1:10" ht="16.5" customHeight="1" x14ac:dyDescent="0.25">
      <c r="A3380" s="8" t="s">
        <v>11252</v>
      </c>
      <c r="B3380" s="8" t="s">
        <v>11253</v>
      </c>
      <c r="C3380" s="8" t="s">
        <v>9983</v>
      </c>
      <c r="D3380" s="8" t="s">
        <v>11253</v>
      </c>
      <c r="E3380" s="105">
        <v>1</v>
      </c>
      <c r="F3380" s="106" t="s">
        <v>2024</v>
      </c>
      <c r="G3380" s="8"/>
      <c r="H3380" s="8"/>
      <c r="I3380" s="107">
        <v>0</v>
      </c>
      <c r="J3380" s="8" t="s">
        <v>3580</v>
      </c>
    </row>
    <row r="3381" spans="1:10" ht="16.5" customHeight="1" x14ac:dyDescent="0.25">
      <c r="A3381" s="8" t="s">
        <v>11254</v>
      </c>
      <c r="B3381" s="8" t="s">
        <v>11255</v>
      </c>
      <c r="C3381" s="8" t="s">
        <v>9778</v>
      </c>
      <c r="D3381" s="8" t="s">
        <v>11255</v>
      </c>
      <c r="E3381" s="105">
        <v>1</v>
      </c>
      <c r="F3381" s="106" t="s">
        <v>2024</v>
      </c>
      <c r="G3381" s="8"/>
      <c r="H3381" s="8"/>
      <c r="I3381" s="107">
        <v>0</v>
      </c>
      <c r="J3381" s="8" t="s">
        <v>3580</v>
      </c>
    </row>
    <row r="3382" spans="1:10" ht="16.5" customHeight="1" x14ac:dyDescent="0.25">
      <c r="A3382" s="8" t="s">
        <v>11256</v>
      </c>
      <c r="B3382" s="8" t="s">
        <v>11257</v>
      </c>
      <c r="C3382" s="8" t="s">
        <v>11258</v>
      </c>
      <c r="D3382" s="8" t="s">
        <v>11257</v>
      </c>
      <c r="E3382" s="105">
        <v>1</v>
      </c>
      <c r="F3382" s="106" t="s">
        <v>2018</v>
      </c>
      <c r="G3382" s="8"/>
      <c r="H3382" s="8"/>
      <c r="I3382" s="107">
        <v>0</v>
      </c>
      <c r="J3382" s="8" t="s">
        <v>3695</v>
      </c>
    </row>
    <row r="3383" spans="1:10" ht="16.5" customHeight="1" x14ac:dyDescent="0.25">
      <c r="A3383" s="8" t="s">
        <v>11259</v>
      </c>
      <c r="B3383" s="8" t="s">
        <v>11260</v>
      </c>
      <c r="C3383" s="8" t="s">
        <v>11261</v>
      </c>
      <c r="D3383" s="8" t="s">
        <v>11260</v>
      </c>
      <c r="E3383" s="105">
        <v>10</v>
      </c>
      <c r="F3383" s="106" t="s">
        <v>2024</v>
      </c>
      <c r="G3383" s="8"/>
      <c r="H3383" s="8"/>
      <c r="I3383" s="107">
        <v>0</v>
      </c>
      <c r="J3383" s="8" t="s">
        <v>5929</v>
      </c>
    </row>
    <row r="3384" spans="1:10" ht="16.5" customHeight="1" x14ac:dyDescent="0.25">
      <c r="A3384" s="8" t="s">
        <v>11262</v>
      </c>
      <c r="B3384" s="8" t="s">
        <v>11263</v>
      </c>
      <c r="C3384" s="8" t="s">
        <v>11264</v>
      </c>
      <c r="D3384" s="8" t="s">
        <v>11263</v>
      </c>
      <c r="E3384" s="105">
        <v>1</v>
      </c>
      <c r="F3384" s="106" t="s">
        <v>2024</v>
      </c>
      <c r="G3384" s="8"/>
      <c r="H3384" s="8"/>
      <c r="I3384" s="107">
        <v>0</v>
      </c>
      <c r="J3384" s="8" t="s">
        <v>5929</v>
      </c>
    </row>
    <row r="3385" spans="1:10" ht="16.5" customHeight="1" x14ac:dyDescent="0.25">
      <c r="A3385" s="8" t="s">
        <v>11265</v>
      </c>
      <c r="B3385" s="8" t="s">
        <v>11266</v>
      </c>
      <c r="C3385" s="8" t="s">
        <v>11267</v>
      </c>
      <c r="D3385" s="8" t="s">
        <v>11266</v>
      </c>
      <c r="E3385" s="105">
        <v>12</v>
      </c>
      <c r="F3385" s="106" t="s">
        <v>2024</v>
      </c>
      <c r="G3385" s="8"/>
      <c r="H3385" s="8"/>
      <c r="I3385" s="107">
        <v>0</v>
      </c>
      <c r="J3385" s="8" t="s">
        <v>5929</v>
      </c>
    </row>
    <row r="3386" spans="1:10" ht="16.5" customHeight="1" x14ac:dyDescent="0.25">
      <c r="A3386" s="8" t="s">
        <v>11268</v>
      </c>
      <c r="B3386" s="8" t="s">
        <v>11269</v>
      </c>
      <c r="C3386" s="8" t="s">
        <v>11270</v>
      </c>
      <c r="D3386" s="8" t="s">
        <v>11269</v>
      </c>
      <c r="E3386" s="105">
        <v>0.01</v>
      </c>
      <c r="F3386" s="106" t="s">
        <v>2024</v>
      </c>
      <c r="G3386" s="8"/>
      <c r="H3386" s="8"/>
      <c r="I3386" s="107">
        <v>0</v>
      </c>
      <c r="J3386" s="8" t="s">
        <v>5929</v>
      </c>
    </row>
    <row r="3387" spans="1:10" ht="16.5" customHeight="1" x14ac:dyDescent="0.25">
      <c r="A3387" s="8" t="s">
        <v>11271</v>
      </c>
      <c r="B3387" s="8" t="s">
        <v>11272</v>
      </c>
      <c r="C3387" s="8" t="s">
        <v>11273</v>
      </c>
      <c r="D3387" s="8" t="s">
        <v>11272</v>
      </c>
      <c r="E3387" s="105">
        <v>0.12</v>
      </c>
      <c r="F3387" s="106" t="s">
        <v>2018</v>
      </c>
      <c r="G3387" s="8"/>
      <c r="H3387" s="8"/>
      <c r="I3387" s="107">
        <v>0</v>
      </c>
      <c r="J3387" s="8" t="s">
        <v>10979</v>
      </c>
    </row>
    <row r="3388" spans="1:10" ht="16.5" customHeight="1" x14ac:dyDescent="0.25">
      <c r="A3388" s="8" t="s">
        <v>11274</v>
      </c>
      <c r="B3388" s="8" t="s">
        <v>11275</v>
      </c>
      <c r="C3388" s="8" t="s">
        <v>11276</v>
      </c>
      <c r="D3388" s="8" t="s">
        <v>11275</v>
      </c>
      <c r="E3388" s="105">
        <v>0.12</v>
      </c>
      <c r="F3388" s="106" t="s">
        <v>2018</v>
      </c>
      <c r="G3388" s="8"/>
      <c r="H3388" s="8"/>
      <c r="I3388" s="107">
        <v>0</v>
      </c>
      <c r="J3388" s="8" t="s">
        <v>10979</v>
      </c>
    </row>
    <row r="3389" spans="1:10" ht="16.5" customHeight="1" x14ac:dyDescent="0.25">
      <c r="A3389" s="8" t="s">
        <v>11277</v>
      </c>
      <c r="B3389" s="8" t="s">
        <v>11278</v>
      </c>
      <c r="C3389" s="8" t="s">
        <v>11279</v>
      </c>
      <c r="D3389" s="8" t="s">
        <v>11278</v>
      </c>
      <c r="E3389" s="105">
        <v>25</v>
      </c>
      <c r="F3389" s="106" t="s">
        <v>2018</v>
      </c>
      <c r="G3389" s="8"/>
      <c r="H3389" s="8"/>
      <c r="I3389" s="107">
        <v>0</v>
      </c>
      <c r="J3389" s="8" t="s">
        <v>2019</v>
      </c>
    </row>
    <row r="3390" spans="1:10" ht="16.5" customHeight="1" x14ac:dyDescent="0.25">
      <c r="A3390" s="8" t="s">
        <v>11280</v>
      </c>
      <c r="B3390" s="8" t="s">
        <v>11281</v>
      </c>
      <c r="C3390" s="8" t="s">
        <v>11282</v>
      </c>
      <c r="D3390" s="8" t="s">
        <v>11281</v>
      </c>
      <c r="E3390" s="105">
        <v>1</v>
      </c>
      <c r="F3390" s="106" t="s">
        <v>2024</v>
      </c>
      <c r="G3390" s="8"/>
      <c r="H3390" s="8"/>
      <c r="I3390" s="107">
        <v>0</v>
      </c>
      <c r="J3390" s="8" t="s">
        <v>3580</v>
      </c>
    </row>
    <row r="3391" spans="1:10" ht="16.5" customHeight="1" x14ac:dyDescent="0.25">
      <c r="A3391" s="8" t="s">
        <v>11283</v>
      </c>
      <c r="B3391" s="8" t="s">
        <v>11284</v>
      </c>
      <c r="C3391" s="8" t="s">
        <v>11285</v>
      </c>
      <c r="D3391" s="8" t="s">
        <v>11284</v>
      </c>
      <c r="E3391" s="105">
        <v>1</v>
      </c>
      <c r="F3391" s="106" t="s">
        <v>2024</v>
      </c>
      <c r="G3391" s="8"/>
      <c r="H3391" s="8"/>
      <c r="I3391" s="107">
        <v>0</v>
      </c>
      <c r="J3391" s="8" t="s">
        <v>3580</v>
      </c>
    </row>
    <row r="3392" spans="1:10" ht="16.5" customHeight="1" x14ac:dyDescent="0.25">
      <c r="A3392" s="8" t="s">
        <v>11286</v>
      </c>
      <c r="B3392" s="8" t="s">
        <v>11287</v>
      </c>
      <c r="C3392" s="8" t="s">
        <v>11288</v>
      </c>
      <c r="D3392" s="8" t="s">
        <v>11287</v>
      </c>
      <c r="E3392" s="105">
        <v>1</v>
      </c>
      <c r="F3392" s="106" t="s">
        <v>2024</v>
      </c>
      <c r="G3392" s="8"/>
      <c r="H3392" s="8"/>
      <c r="I3392" s="107">
        <v>0</v>
      </c>
      <c r="J3392" s="8" t="s">
        <v>3580</v>
      </c>
    </row>
    <row r="3393" spans="1:10" ht="16.5" customHeight="1" x14ac:dyDescent="0.25">
      <c r="A3393" s="8" t="s">
        <v>11289</v>
      </c>
      <c r="B3393" s="8" t="s">
        <v>11290</v>
      </c>
      <c r="C3393" s="8" t="s">
        <v>11291</v>
      </c>
      <c r="D3393" s="8" t="s">
        <v>11290</v>
      </c>
      <c r="E3393" s="105">
        <v>1</v>
      </c>
      <c r="F3393" s="106" t="s">
        <v>2024</v>
      </c>
      <c r="G3393" s="8"/>
      <c r="H3393" s="8"/>
      <c r="I3393" s="107">
        <v>0</v>
      </c>
      <c r="J3393" s="8" t="s">
        <v>3580</v>
      </c>
    </row>
    <row r="3394" spans="1:10" ht="16.5" customHeight="1" x14ac:dyDescent="0.25">
      <c r="A3394" s="8" t="s">
        <v>11292</v>
      </c>
      <c r="B3394" s="8" t="s">
        <v>11293</v>
      </c>
      <c r="C3394" s="8" t="s">
        <v>11294</v>
      </c>
      <c r="D3394" s="8" t="s">
        <v>11293</v>
      </c>
      <c r="E3394" s="105">
        <v>1</v>
      </c>
      <c r="F3394" s="106" t="s">
        <v>2024</v>
      </c>
      <c r="G3394" s="8"/>
      <c r="H3394" s="8"/>
      <c r="I3394" s="107">
        <v>0</v>
      </c>
      <c r="J3394" s="8" t="s">
        <v>3580</v>
      </c>
    </row>
    <row r="3395" spans="1:10" ht="16.5" customHeight="1" x14ac:dyDescent="0.25">
      <c r="A3395" s="8" t="s">
        <v>11295</v>
      </c>
      <c r="B3395" s="8" t="s">
        <v>11296</v>
      </c>
      <c r="C3395" s="8" t="s">
        <v>11297</v>
      </c>
      <c r="D3395" s="8" t="s">
        <v>11296</v>
      </c>
      <c r="E3395" s="105">
        <v>1</v>
      </c>
      <c r="F3395" s="106" t="s">
        <v>2024</v>
      </c>
      <c r="G3395" s="8"/>
      <c r="H3395" s="8"/>
      <c r="I3395" s="107">
        <v>0</v>
      </c>
      <c r="J3395" s="8" t="s">
        <v>3580</v>
      </c>
    </row>
    <row r="3396" spans="1:10" ht="16.5" customHeight="1" x14ac:dyDescent="0.25">
      <c r="A3396" s="8" t="s">
        <v>11298</v>
      </c>
      <c r="B3396" s="8" t="s">
        <v>11299</v>
      </c>
      <c r="C3396" s="8" t="s">
        <v>11300</v>
      </c>
      <c r="D3396" s="8" t="s">
        <v>11299</v>
      </c>
      <c r="E3396" s="105">
        <v>1</v>
      </c>
      <c r="F3396" s="106" t="s">
        <v>2024</v>
      </c>
      <c r="G3396" s="8"/>
      <c r="H3396" s="8"/>
      <c r="I3396" s="107">
        <v>0</v>
      </c>
      <c r="J3396" s="8" t="s">
        <v>3580</v>
      </c>
    </row>
    <row r="3397" spans="1:10" ht="16.5" customHeight="1" x14ac:dyDescent="0.25">
      <c r="A3397" s="8" t="s">
        <v>11301</v>
      </c>
      <c r="B3397" s="8" t="s">
        <v>10945</v>
      </c>
      <c r="C3397" s="8" t="s">
        <v>10946</v>
      </c>
      <c r="D3397" s="8" t="s">
        <v>10945</v>
      </c>
      <c r="E3397" s="105">
        <v>0.5</v>
      </c>
      <c r="F3397" s="106" t="s">
        <v>2018</v>
      </c>
      <c r="G3397" s="8"/>
      <c r="H3397" s="8"/>
      <c r="I3397" s="107">
        <v>0</v>
      </c>
      <c r="J3397" s="8" t="s">
        <v>3580</v>
      </c>
    </row>
    <row r="3398" spans="1:10" ht="16.5" customHeight="1" x14ac:dyDescent="0.25">
      <c r="A3398" s="8" t="s">
        <v>11302</v>
      </c>
      <c r="B3398" s="8" t="s">
        <v>6085</v>
      </c>
      <c r="C3398" s="8" t="s">
        <v>1618</v>
      </c>
      <c r="D3398" s="8" t="s">
        <v>6085</v>
      </c>
      <c r="E3398" s="105">
        <v>0.4</v>
      </c>
      <c r="F3398" s="106" t="s">
        <v>2024</v>
      </c>
      <c r="G3398" s="8"/>
      <c r="H3398" s="8"/>
      <c r="I3398" s="107">
        <v>0</v>
      </c>
      <c r="J3398" s="8" t="s">
        <v>5929</v>
      </c>
    </row>
    <row r="3399" spans="1:10" ht="16.5" customHeight="1" x14ac:dyDescent="0.25">
      <c r="A3399" s="8" t="s">
        <v>11303</v>
      </c>
      <c r="B3399" s="8" t="s">
        <v>7077</v>
      </c>
      <c r="C3399" s="8" t="s">
        <v>7075</v>
      </c>
      <c r="D3399" s="8" t="s">
        <v>7077</v>
      </c>
      <c r="E3399" s="105">
        <v>0.15</v>
      </c>
      <c r="F3399" s="106" t="s">
        <v>2024</v>
      </c>
      <c r="G3399" s="8"/>
      <c r="H3399" s="8"/>
      <c r="I3399" s="107">
        <v>0</v>
      </c>
      <c r="J3399" s="8" t="s">
        <v>5671</v>
      </c>
    </row>
    <row r="3400" spans="1:10" ht="16.5" customHeight="1" x14ac:dyDescent="0.25">
      <c r="A3400" s="8" t="s">
        <v>11304</v>
      </c>
      <c r="B3400" s="8" t="s">
        <v>9401</v>
      </c>
      <c r="C3400" s="8" t="s">
        <v>9402</v>
      </c>
      <c r="D3400" s="8" t="s">
        <v>9401</v>
      </c>
      <c r="E3400" s="105">
        <v>0.23</v>
      </c>
      <c r="F3400" s="106" t="s">
        <v>2024</v>
      </c>
      <c r="G3400" s="8"/>
      <c r="H3400" s="8"/>
      <c r="I3400" s="107">
        <v>0</v>
      </c>
      <c r="J3400" s="8" t="s">
        <v>5929</v>
      </c>
    </row>
    <row r="3401" spans="1:10" ht="16.5" customHeight="1" x14ac:dyDescent="0.25">
      <c r="A3401" s="8" t="s">
        <v>11305</v>
      </c>
      <c r="B3401" s="8" t="s">
        <v>9197</v>
      </c>
      <c r="C3401" s="8" t="s">
        <v>9198</v>
      </c>
      <c r="D3401" s="8" t="s">
        <v>9197</v>
      </c>
      <c r="E3401" s="105">
        <v>0.5</v>
      </c>
      <c r="F3401" s="106" t="s">
        <v>2024</v>
      </c>
      <c r="G3401" s="8"/>
      <c r="H3401" s="8"/>
      <c r="I3401" s="107">
        <v>0</v>
      </c>
      <c r="J3401" s="8" t="s">
        <v>5671</v>
      </c>
    </row>
    <row r="3402" spans="1:10" ht="16.5" customHeight="1" x14ac:dyDescent="0.25">
      <c r="A3402" s="8" t="s">
        <v>11306</v>
      </c>
      <c r="B3402" s="8" t="s">
        <v>11307</v>
      </c>
      <c r="C3402" s="8" t="s">
        <v>11308</v>
      </c>
      <c r="D3402" s="8" t="s">
        <v>11307</v>
      </c>
      <c r="E3402" s="105">
        <v>1</v>
      </c>
      <c r="F3402" s="106" t="s">
        <v>2024</v>
      </c>
      <c r="G3402" s="8"/>
      <c r="H3402" s="8"/>
      <c r="I3402" s="107">
        <v>0</v>
      </c>
      <c r="J3402" s="8" t="s">
        <v>3580</v>
      </c>
    </row>
    <row r="3403" spans="1:10" ht="16.5" customHeight="1" x14ac:dyDescent="0.25">
      <c r="A3403" s="8" t="s">
        <v>11309</v>
      </c>
      <c r="B3403" s="8" t="s">
        <v>11310</v>
      </c>
      <c r="C3403" s="8" t="s">
        <v>11311</v>
      </c>
      <c r="D3403" s="8" t="s">
        <v>11310</v>
      </c>
      <c r="E3403" s="105">
        <v>0</v>
      </c>
      <c r="F3403" s="106" t="s">
        <v>2018</v>
      </c>
      <c r="G3403" s="8"/>
      <c r="H3403" s="8"/>
      <c r="I3403" s="107">
        <v>0</v>
      </c>
      <c r="J3403" s="8" t="s">
        <v>4722</v>
      </c>
    </row>
    <row r="3404" spans="1:10" ht="16.5" customHeight="1" x14ac:dyDescent="0.25">
      <c r="A3404" s="8" t="s">
        <v>11312</v>
      </c>
      <c r="B3404" s="8" t="s">
        <v>11313</v>
      </c>
      <c r="C3404" s="8" t="s">
        <v>11313</v>
      </c>
      <c r="D3404" s="8" t="s">
        <v>11313</v>
      </c>
      <c r="E3404" s="105">
        <v>1</v>
      </c>
      <c r="F3404" s="106" t="s">
        <v>2024</v>
      </c>
      <c r="G3404" s="8"/>
      <c r="H3404" s="8"/>
      <c r="I3404" s="107">
        <v>0</v>
      </c>
      <c r="J3404" s="8" t="s">
        <v>3580</v>
      </c>
    </row>
    <row r="3405" spans="1:10" ht="16.5" customHeight="1" x14ac:dyDescent="0.25">
      <c r="A3405" s="8" t="s">
        <v>11314</v>
      </c>
      <c r="B3405" s="8" t="s">
        <v>11315</v>
      </c>
      <c r="C3405" s="8" t="s">
        <v>11316</v>
      </c>
      <c r="D3405" s="8" t="s">
        <v>11315</v>
      </c>
      <c r="E3405" s="105">
        <v>1</v>
      </c>
      <c r="F3405" s="106" t="s">
        <v>2018</v>
      </c>
      <c r="G3405" s="8"/>
      <c r="H3405" s="8"/>
      <c r="I3405" s="107">
        <v>0</v>
      </c>
      <c r="J3405" s="8" t="s">
        <v>3695</v>
      </c>
    </row>
    <row r="3406" spans="1:10" ht="16.5" customHeight="1" x14ac:dyDescent="0.25">
      <c r="A3406" s="8" t="s">
        <v>11317</v>
      </c>
      <c r="B3406" s="8" t="s">
        <v>11318</v>
      </c>
      <c r="C3406" s="8" t="s">
        <v>11319</v>
      </c>
      <c r="D3406" s="8" t="s">
        <v>11318</v>
      </c>
      <c r="E3406" s="105">
        <v>1</v>
      </c>
      <c r="F3406" s="106" t="s">
        <v>2018</v>
      </c>
      <c r="G3406" s="8"/>
      <c r="H3406" s="8"/>
      <c r="I3406" s="107">
        <v>0</v>
      </c>
      <c r="J3406" s="8" t="s">
        <v>3695</v>
      </c>
    </row>
    <row r="3407" spans="1:10" ht="16.5" customHeight="1" x14ac:dyDescent="0.25">
      <c r="A3407" s="8" t="s">
        <v>11320</v>
      </c>
      <c r="B3407" s="8" t="s">
        <v>11321</v>
      </c>
      <c r="C3407" s="8" t="s">
        <v>11322</v>
      </c>
      <c r="D3407" s="8" t="s">
        <v>11321</v>
      </c>
      <c r="E3407" s="105">
        <v>1</v>
      </c>
      <c r="F3407" s="106" t="s">
        <v>2024</v>
      </c>
      <c r="G3407" s="8"/>
      <c r="H3407" s="8"/>
      <c r="I3407" s="107">
        <v>0</v>
      </c>
      <c r="J3407" s="8" t="s">
        <v>4722</v>
      </c>
    </row>
    <row r="3408" spans="1:10" ht="16.5" customHeight="1" x14ac:dyDescent="0.25">
      <c r="A3408" s="8" t="s">
        <v>11323</v>
      </c>
      <c r="B3408" s="8" t="s">
        <v>11324</v>
      </c>
      <c r="C3408" s="8" t="s">
        <v>1552</v>
      </c>
      <c r="D3408" s="8" t="s">
        <v>11324</v>
      </c>
      <c r="E3408" s="105">
        <v>10.8</v>
      </c>
      <c r="F3408" s="106" t="s">
        <v>2024</v>
      </c>
      <c r="G3408" s="8" t="s">
        <v>1541</v>
      </c>
      <c r="H3408" s="8" t="s">
        <v>11325</v>
      </c>
      <c r="I3408" s="107">
        <v>6</v>
      </c>
      <c r="J3408" s="8" t="s">
        <v>5929</v>
      </c>
    </row>
    <row r="3409" spans="1:10" ht="16.5" customHeight="1" x14ac:dyDescent="0.25">
      <c r="A3409" s="8" t="s">
        <v>11325</v>
      </c>
      <c r="B3409" s="8" t="s">
        <v>11326</v>
      </c>
      <c r="C3409" s="8" t="s">
        <v>11327</v>
      </c>
      <c r="D3409" s="8" t="s">
        <v>11326</v>
      </c>
      <c r="E3409" s="105">
        <v>1.8</v>
      </c>
      <c r="F3409" s="106" t="s">
        <v>2024</v>
      </c>
      <c r="G3409" s="8" t="s">
        <v>1541</v>
      </c>
      <c r="H3409" s="8"/>
      <c r="I3409" s="107">
        <v>0</v>
      </c>
      <c r="J3409" s="8" t="s">
        <v>5929</v>
      </c>
    </row>
    <row r="3410" spans="1:10" ht="16.5" customHeight="1" x14ac:dyDescent="0.25">
      <c r="A3410" s="8" t="s">
        <v>11328</v>
      </c>
      <c r="B3410" s="8" t="s">
        <v>11329</v>
      </c>
      <c r="C3410" s="8" t="s">
        <v>11330</v>
      </c>
      <c r="D3410" s="8" t="s">
        <v>11329</v>
      </c>
      <c r="E3410" s="105">
        <v>1</v>
      </c>
      <c r="F3410" s="106" t="s">
        <v>2018</v>
      </c>
      <c r="G3410" s="8"/>
      <c r="H3410" s="8"/>
      <c r="I3410" s="107">
        <v>0</v>
      </c>
      <c r="J3410" s="8" t="s">
        <v>3695</v>
      </c>
    </row>
    <row r="3411" spans="1:10" ht="16.5" customHeight="1" x14ac:dyDescent="0.25">
      <c r="A3411" s="8" t="s">
        <v>11331</v>
      </c>
      <c r="B3411" s="8" t="s">
        <v>11332</v>
      </c>
      <c r="C3411" s="8" t="s">
        <v>11333</v>
      </c>
      <c r="D3411" s="8" t="s">
        <v>11332</v>
      </c>
      <c r="E3411" s="105">
        <v>0</v>
      </c>
      <c r="F3411" s="106" t="s">
        <v>2024</v>
      </c>
      <c r="G3411" s="8"/>
      <c r="H3411" s="8"/>
      <c r="I3411" s="107">
        <v>0</v>
      </c>
      <c r="J3411" s="8" t="s">
        <v>3580</v>
      </c>
    </row>
    <row r="3412" spans="1:10" ht="16.5" customHeight="1" x14ac:dyDescent="0.25">
      <c r="A3412" s="8" t="s">
        <v>11334</v>
      </c>
      <c r="B3412" s="8" t="s">
        <v>11335</v>
      </c>
      <c r="C3412" s="8" t="s">
        <v>11336</v>
      </c>
      <c r="D3412" s="8" t="s">
        <v>11335</v>
      </c>
      <c r="E3412" s="105">
        <v>0</v>
      </c>
      <c r="F3412" s="106" t="s">
        <v>2024</v>
      </c>
      <c r="G3412" s="8"/>
      <c r="H3412" s="8"/>
      <c r="I3412" s="107">
        <v>0</v>
      </c>
      <c r="J3412" s="8" t="s">
        <v>3580</v>
      </c>
    </row>
    <row r="3413" spans="1:10" ht="16.5" customHeight="1" x14ac:dyDescent="0.25">
      <c r="A3413" s="8" t="s">
        <v>11337</v>
      </c>
      <c r="B3413" s="8" t="s">
        <v>11166</v>
      </c>
      <c r="C3413" s="8" t="s">
        <v>11167</v>
      </c>
      <c r="D3413" s="8" t="s">
        <v>11166</v>
      </c>
      <c r="E3413" s="105">
        <v>0.255</v>
      </c>
      <c r="F3413" s="106" t="s">
        <v>2024</v>
      </c>
      <c r="G3413" s="8"/>
      <c r="H3413" s="8"/>
      <c r="I3413" s="107">
        <v>0</v>
      </c>
      <c r="J3413" s="8" t="s">
        <v>4789</v>
      </c>
    </row>
    <row r="3414" spans="1:10" ht="16.5" customHeight="1" x14ac:dyDescent="0.25">
      <c r="A3414" s="8" t="s">
        <v>11338</v>
      </c>
      <c r="B3414" s="8" t="s">
        <v>11339</v>
      </c>
      <c r="C3414" s="8" t="s">
        <v>11340</v>
      </c>
      <c r="D3414" s="8" t="s">
        <v>11339</v>
      </c>
      <c r="E3414" s="105">
        <v>1</v>
      </c>
      <c r="F3414" s="106" t="s">
        <v>2024</v>
      </c>
      <c r="G3414" s="8"/>
      <c r="H3414" s="8"/>
      <c r="I3414" s="107">
        <v>0</v>
      </c>
      <c r="J3414" s="8" t="s">
        <v>3580</v>
      </c>
    </row>
    <row r="3415" spans="1:10" ht="16.5" customHeight="1" x14ac:dyDescent="0.25">
      <c r="A3415" s="8" t="s">
        <v>11341</v>
      </c>
      <c r="B3415" s="8" t="s">
        <v>11342</v>
      </c>
      <c r="C3415" s="8" t="s">
        <v>11343</v>
      </c>
      <c r="D3415" s="8" t="s">
        <v>11342</v>
      </c>
      <c r="E3415" s="105">
        <v>1</v>
      </c>
      <c r="F3415" s="106" t="s">
        <v>2024</v>
      </c>
      <c r="G3415" s="8"/>
      <c r="H3415" s="8"/>
      <c r="I3415" s="107">
        <v>0</v>
      </c>
      <c r="J3415" s="8" t="s">
        <v>3580</v>
      </c>
    </row>
    <row r="3416" spans="1:10" ht="16.5" customHeight="1" x14ac:dyDescent="0.25">
      <c r="A3416" s="8" t="s">
        <v>11344</v>
      </c>
      <c r="B3416" s="8" t="s">
        <v>9511</v>
      </c>
      <c r="C3416" s="8" t="s">
        <v>9512</v>
      </c>
      <c r="D3416" s="8" t="s">
        <v>9511</v>
      </c>
      <c r="E3416" s="105">
        <v>0.5</v>
      </c>
      <c r="F3416" s="106" t="s">
        <v>2024</v>
      </c>
      <c r="G3416" s="8"/>
      <c r="H3416" s="8"/>
      <c r="I3416" s="107">
        <v>0</v>
      </c>
      <c r="J3416" s="8" t="s">
        <v>5929</v>
      </c>
    </row>
    <row r="3417" spans="1:10" ht="16.5" customHeight="1" x14ac:dyDescent="0.25">
      <c r="A3417" s="8" t="s">
        <v>11345</v>
      </c>
      <c r="B3417" s="8" t="s">
        <v>8385</v>
      </c>
      <c r="C3417" s="8" t="s">
        <v>1422</v>
      </c>
      <c r="D3417" s="8" t="s">
        <v>8385</v>
      </c>
      <c r="E3417" s="105">
        <v>4.8</v>
      </c>
      <c r="F3417" s="106" t="s">
        <v>2024</v>
      </c>
      <c r="G3417" s="8"/>
      <c r="H3417" s="8"/>
      <c r="I3417" s="107">
        <v>0</v>
      </c>
      <c r="J3417" s="8" t="s">
        <v>5671</v>
      </c>
    </row>
    <row r="3418" spans="1:10" ht="16.5" customHeight="1" x14ac:dyDescent="0.25">
      <c r="A3418" s="8" t="s">
        <v>11346</v>
      </c>
      <c r="B3418" s="8" t="s">
        <v>11163</v>
      </c>
      <c r="C3418" s="8" t="s">
        <v>11164</v>
      </c>
      <c r="D3418" s="8" t="s">
        <v>11163</v>
      </c>
      <c r="E3418" s="105">
        <v>3.06</v>
      </c>
      <c r="F3418" s="106" t="s">
        <v>2024</v>
      </c>
      <c r="G3418" s="8"/>
      <c r="H3418" s="8"/>
      <c r="I3418" s="107">
        <v>0</v>
      </c>
      <c r="J3418" s="8" t="s">
        <v>5929</v>
      </c>
    </row>
    <row r="3419" spans="1:10" ht="16.5" customHeight="1" x14ac:dyDescent="0.25">
      <c r="A3419" s="8" t="s">
        <v>11347</v>
      </c>
      <c r="B3419" s="8" t="s">
        <v>6885</v>
      </c>
      <c r="C3419" s="8" t="s">
        <v>6886</v>
      </c>
      <c r="D3419" s="8" t="s">
        <v>6885</v>
      </c>
      <c r="E3419" s="105">
        <v>13.458</v>
      </c>
      <c r="F3419" s="106" t="s">
        <v>2024</v>
      </c>
      <c r="G3419" s="8"/>
      <c r="H3419" s="8"/>
      <c r="I3419" s="107">
        <v>0</v>
      </c>
      <c r="J3419" s="8" t="s">
        <v>5929</v>
      </c>
    </row>
    <row r="3420" spans="1:10" ht="16.5" customHeight="1" x14ac:dyDescent="0.25">
      <c r="A3420" s="8" t="s">
        <v>11348</v>
      </c>
      <c r="B3420" s="8" t="s">
        <v>11349</v>
      </c>
      <c r="C3420" s="8" t="s">
        <v>11350</v>
      </c>
      <c r="D3420" s="8" t="s">
        <v>11349</v>
      </c>
      <c r="E3420" s="105">
        <v>0</v>
      </c>
      <c r="F3420" s="106" t="s">
        <v>2024</v>
      </c>
      <c r="G3420" s="8"/>
      <c r="H3420" s="8"/>
      <c r="I3420" s="107">
        <v>0</v>
      </c>
      <c r="J3420" s="8" t="s">
        <v>9755</v>
      </c>
    </row>
    <row r="3421" spans="1:10" ht="16.5" customHeight="1" x14ac:dyDescent="0.25">
      <c r="A3421" s="8" t="s">
        <v>11351</v>
      </c>
      <c r="B3421" s="8" t="s">
        <v>11352</v>
      </c>
      <c r="C3421" s="8" t="s">
        <v>11353</v>
      </c>
      <c r="D3421" s="8" t="s">
        <v>11352</v>
      </c>
      <c r="E3421" s="105">
        <v>18</v>
      </c>
      <c r="F3421" s="106" t="s">
        <v>2018</v>
      </c>
      <c r="G3421" s="8"/>
      <c r="H3421" s="8"/>
      <c r="I3421" s="107">
        <v>0</v>
      </c>
      <c r="J3421" s="8" t="s">
        <v>2019</v>
      </c>
    </row>
    <row r="3422" spans="1:10" ht="16.5" customHeight="1" x14ac:dyDescent="0.25">
      <c r="A3422" s="8" t="s">
        <v>11354</v>
      </c>
      <c r="B3422" s="8" t="s">
        <v>11355</v>
      </c>
      <c r="C3422" s="8" t="s">
        <v>11356</v>
      </c>
      <c r="D3422" s="8" t="s">
        <v>11355</v>
      </c>
      <c r="E3422" s="105">
        <v>1</v>
      </c>
      <c r="F3422" s="106" t="s">
        <v>2018</v>
      </c>
      <c r="G3422" s="8"/>
      <c r="H3422" s="8"/>
      <c r="I3422" s="107">
        <v>0</v>
      </c>
      <c r="J3422" s="8" t="s">
        <v>3695</v>
      </c>
    </row>
    <row r="3423" spans="1:10" ht="16.5" customHeight="1" x14ac:dyDescent="0.25">
      <c r="A3423" s="8" t="s">
        <v>1132</v>
      </c>
      <c r="B3423" s="8" t="s">
        <v>1134</v>
      </c>
      <c r="C3423" s="8" t="s">
        <v>1133</v>
      </c>
      <c r="D3423" s="8" t="s">
        <v>1134</v>
      </c>
      <c r="E3423" s="105">
        <v>4.0949999999999998</v>
      </c>
      <c r="F3423" s="106" t="s">
        <v>2018</v>
      </c>
      <c r="G3423" s="8"/>
      <c r="H3423" s="8" t="s">
        <v>11357</v>
      </c>
      <c r="I3423" s="107">
        <v>6</v>
      </c>
      <c r="J3423" s="8" t="s">
        <v>2019</v>
      </c>
    </row>
    <row r="3424" spans="1:10" ht="16.5" customHeight="1" x14ac:dyDescent="0.25">
      <c r="A3424" s="8" t="s">
        <v>11357</v>
      </c>
      <c r="B3424" s="8" t="s">
        <v>11358</v>
      </c>
      <c r="C3424" s="8" t="s">
        <v>1133</v>
      </c>
      <c r="D3424" s="8" t="s">
        <v>11358</v>
      </c>
      <c r="E3424" s="105">
        <v>0.68200000000000005</v>
      </c>
      <c r="F3424" s="106" t="s">
        <v>2018</v>
      </c>
      <c r="G3424" s="8"/>
      <c r="H3424" s="8"/>
      <c r="I3424" s="107">
        <v>0</v>
      </c>
      <c r="J3424" s="8" t="s">
        <v>2019</v>
      </c>
    </row>
    <row r="3425" spans="1:10" ht="16.5" customHeight="1" x14ac:dyDescent="0.25">
      <c r="A3425" s="8" t="s">
        <v>11359</v>
      </c>
      <c r="B3425" s="8" t="s">
        <v>11360</v>
      </c>
      <c r="C3425" s="8" t="s">
        <v>11361</v>
      </c>
      <c r="D3425" s="8" t="s">
        <v>11360</v>
      </c>
      <c r="E3425" s="105">
        <v>1</v>
      </c>
      <c r="F3425" s="106" t="s">
        <v>2018</v>
      </c>
      <c r="G3425" s="8"/>
      <c r="H3425" s="8"/>
      <c r="I3425" s="107">
        <v>0</v>
      </c>
      <c r="J3425" s="8" t="s">
        <v>3695</v>
      </c>
    </row>
    <row r="3426" spans="1:10" ht="16.5" customHeight="1" x14ac:dyDescent="0.25">
      <c r="A3426" s="8" t="s">
        <v>11362</v>
      </c>
      <c r="B3426" s="8" t="s">
        <v>11363</v>
      </c>
      <c r="C3426" s="8" t="s">
        <v>11364</v>
      </c>
      <c r="D3426" s="8" t="s">
        <v>11363</v>
      </c>
      <c r="E3426" s="105">
        <v>1</v>
      </c>
      <c r="F3426" s="106" t="s">
        <v>2018</v>
      </c>
      <c r="G3426" s="8"/>
      <c r="H3426" s="8"/>
      <c r="I3426" s="107">
        <v>0</v>
      </c>
      <c r="J3426" s="8" t="s">
        <v>3695</v>
      </c>
    </row>
    <row r="3427" spans="1:10" ht="16.5" customHeight="1" x14ac:dyDescent="0.25">
      <c r="A3427" s="8" t="s">
        <v>11365</v>
      </c>
      <c r="B3427" s="8" t="s">
        <v>11366</v>
      </c>
      <c r="C3427" s="8" t="s">
        <v>11367</v>
      </c>
      <c r="D3427" s="8" t="s">
        <v>11366</v>
      </c>
      <c r="E3427" s="105">
        <v>1</v>
      </c>
      <c r="F3427" s="106" t="s">
        <v>2018</v>
      </c>
      <c r="G3427" s="8"/>
      <c r="H3427" s="8"/>
      <c r="I3427" s="107">
        <v>0</v>
      </c>
      <c r="J3427" s="8" t="s">
        <v>3695</v>
      </c>
    </row>
    <row r="3428" spans="1:10" ht="16.5" customHeight="1" x14ac:dyDescent="0.25">
      <c r="A3428" s="8" t="s">
        <v>11368</v>
      </c>
      <c r="B3428" s="8" t="s">
        <v>11369</v>
      </c>
      <c r="C3428" s="8" t="s">
        <v>11370</v>
      </c>
      <c r="D3428" s="8" t="s">
        <v>11369</v>
      </c>
      <c r="E3428" s="105">
        <v>30</v>
      </c>
      <c r="F3428" s="106" t="s">
        <v>2018</v>
      </c>
      <c r="G3428" s="8"/>
      <c r="H3428" s="8"/>
      <c r="I3428" s="107">
        <v>0</v>
      </c>
      <c r="J3428" s="8" t="s">
        <v>4722</v>
      </c>
    </row>
    <row r="3429" spans="1:10" ht="16.5" customHeight="1" x14ac:dyDescent="0.25">
      <c r="A3429" s="8" t="s">
        <v>11371</v>
      </c>
      <c r="B3429" s="8" t="s">
        <v>11372</v>
      </c>
      <c r="C3429" s="8" t="s">
        <v>11373</v>
      </c>
      <c r="D3429" s="8" t="s">
        <v>11372</v>
      </c>
      <c r="E3429" s="105">
        <v>0.371</v>
      </c>
      <c r="F3429" s="106" t="s">
        <v>2018</v>
      </c>
      <c r="G3429" s="8"/>
      <c r="H3429" s="8"/>
      <c r="I3429" s="107">
        <v>0</v>
      </c>
      <c r="J3429" s="8" t="s">
        <v>4722</v>
      </c>
    </row>
    <row r="3430" spans="1:10" ht="16.5" customHeight="1" x14ac:dyDescent="0.25">
      <c r="A3430" s="8" t="s">
        <v>11374</v>
      </c>
      <c r="B3430" s="8" t="s">
        <v>11375</v>
      </c>
      <c r="C3430" s="8" t="s">
        <v>1692</v>
      </c>
      <c r="D3430" s="8" t="s">
        <v>11375</v>
      </c>
      <c r="E3430" s="105">
        <v>12.6</v>
      </c>
      <c r="F3430" s="106" t="s">
        <v>2024</v>
      </c>
      <c r="G3430" s="8" t="s">
        <v>1541</v>
      </c>
      <c r="H3430" s="8" t="s">
        <v>11376</v>
      </c>
      <c r="I3430" s="107">
        <v>6</v>
      </c>
      <c r="J3430" s="8" t="s">
        <v>5929</v>
      </c>
    </row>
    <row r="3431" spans="1:10" ht="16.5" customHeight="1" x14ac:dyDescent="0.25">
      <c r="A3431" s="8" t="s">
        <v>11377</v>
      </c>
      <c r="B3431" s="8" t="s">
        <v>11378</v>
      </c>
      <c r="C3431" s="8" t="s">
        <v>1594</v>
      </c>
      <c r="D3431" s="8" t="s">
        <v>11378</v>
      </c>
      <c r="E3431" s="105">
        <v>16.8</v>
      </c>
      <c r="F3431" s="106" t="s">
        <v>2024</v>
      </c>
      <c r="G3431" s="8" t="s">
        <v>1541</v>
      </c>
      <c r="H3431" s="8" t="s">
        <v>11379</v>
      </c>
      <c r="I3431" s="107">
        <v>4</v>
      </c>
      <c r="J3431" s="8" t="s">
        <v>5929</v>
      </c>
    </row>
    <row r="3432" spans="1:10" ht="16.5" customHeight="1" x14ac:dyDescent="0.25">
      <c r="A3432" s="8" t="s">
        <v>11376</v>
      </c>
      <c r="B3432" s="8" t="s">
        <v>11380</v>
      </c>
      <c r="C3432" s="8" t="s">
        <v>11381</v>
      </c>
      <c r="D3432" s="8" t="s">
        <v>11380</v>
      </c>
      <c r="E3432" s="105">
        <v>2.1</v>
      </c>
      <c r="F3432" s="106" t="s">
        <v>2024</v>
      </c>
      <c r="G3432" s="8" t="s">
        <v>1541</v>
      </c>
      <c r="H3432" s="8"/>
      <c r="I3432" s="107">
        <v>0</v>
      </c>
      <c r="J3432" s="8" t="s">
        <v>5929</v>
      </c>
    </row>
    <row r="3433" spans="1:10" ht="16.5" customHeight="1" x14ac:dyDescent="0.25">
      <c r="A3433" s="8" t="s">
        <v>11379</v>
      </c>
      <c r="B3433" s="8" t="s">
        <v>11382</v>
      </c>
      <c r="C3433" s="8" t="s">
        <v>11383</v>
      </c>
      <c r="D3433" s="8" t="s">
        <v>11382</v>
      </c>
      <c r="E3433" s="105">
        <v>4.2</v>
      </c>
      <c r="F3433" s="106" t="s">
        <v>2024</v>
      </c>
      <c r="G3433" s="8" t="s">
        <v>1541</v>
      </c>
      <c r="H3433" s="8"/>
      <c r="I3433" s="107">
        <v>0</v>
      </c>
      <c r="J3433" s="8" t="s">
        <v>5929</v>
      </c>
    </row>
    <row r="3434" spans="1:10" ht="16.5" customHeight="1" x14ac:dyDescent="0.25">
      <c r="A3434" s="8" t="s">
        <v>11384</v>
      </c>
      <c r="B3434" s="8" t="s">
        <v>11385</v>
      </c>
      <c r="C3434" s="8" t="s">
        <v>11386</v>
      </c>
      <c r="D3434" s="8" t="s">
        <v>11385</v>
      </c>
      <c r="E3434" s="105">
        <v>1</v>
      </c>
      <c r="F3434" s="106" t="s">
        <v>2018</v>
      </c>
      <c r="G3434" s="8"/>
      <c r="H3434" s="8"/>
      <c r="I3434" s="107">
        <v>0</v>
      </c>
      <c r="J3434" s="8" t="s">
        <v>3695</v>
      </c>
    </row>
    <row r="3435" spans="1:10" ht="16.5" customHeight="1" x14ac:dyDescent="0.25">
      <c r="A3435" s="8" t="s">
        <v>11387</v>
      </c>
      <c r="B3435" s="8" t="s">
        <v>11388</v>
      </c>
      <c r="C3435" s="8" t="s">
        <v>11389</v>
      </c>
      <c r="D3435" s="8" t="s">
        <v>11388</v>
      </c>
      <c r="E3435" s="105">
        <v>19.224</v>
      </c>
      <c r="F3435" s="106" t="s">
        <v>2024</v>
      </c>
      <c r="G3435" s="8" t="s">
        <v>1541</v>
      </c>
      <c r="H3435" s="8" t="s">
        <v>11390</v>
      </c>
      <c r="I3435" s="107">
        <v>4</v>
      </c>
      <c r="J3435" s="8" t="s">
        <v>5929</v>
      </c>
    </row>
    <row r="3436" spans="1:10" ht="16.5" customHeight="1" x14ac:dyDescent="0.25">
      <c r="A3436" s="8" t="s">
        <v>11390</v>
      </c>
      <c r="B3436" s="8" t="s">
        <v>11391</v>
      </c>
      <c r="C3436" s="8" t="s">
        <v>11392</v>
      </c>
      <c r="D3436" s="8" t="s">
        <v>11391</v>
      </c>
      <c r="E3436" s="105">
        <v>4.806</v>
      </c>
      <c r="F3436" s="106" t="s">
        <v>2024</v>
      </c>
      <c r="G3436" s="8" t="s">
        <v>1541</v>
      </c>
      <c r="H3436" s="8"/>
      <c r="I3436" s="107">
        <v>0</v>
      </c>
      <c r="J3436" s="8" t="s">
        <v>5929</v>
      </c>
    </row>
    <row r="3437" spans="1:10" ht="16.5" customHeight="1" x14ac:dyDescent="0.25">
      <c r="A3437" s="8" t="s">
        <v>1161</v>
      </c>
      <c r="B3437" s="8" t="s">
        <v>1163</v>
      </c>
      <c r="C3437" s="8" t="s">
        <v>1162</v>
      </c>
      <c r="D3437" s="8" t="s">
        <v>1163</v>
      </c>
      <c r="E3437" s="105">
        <v>14</v>
      </c>
      <c r="F3437" s="106" t="s">
        <v>2018</v>
      </c>
      <c r="G3437" s="8"/>
      <c r="H3437" s="8" t="s">
        <v>11393</v>
      </c>
      <c r="I3437" s="107">
        <v>4</v>
      </c>
      <c r="J3437" s="8" t="s">
        <v>10697</v>
      </c>
    </row>
    <row r="3438" spans="1:10" ht="16.5" customHeight="1" x14ac:dyDescent="0.25">
      <c r="A3438" s="8" t="s">
        <v>11394</v>
      </c>
      <c r="B3438" s="8" t="s">
        <v>11395</v>
      </c>
      <c r="C3438" s="8" t="s">
        <v>9521</v>
      </c>
      <c r="D3438" s="8" t="s">
        <v>11395</v>
      </c>
      <c r="E3438" s="105">
        <v>1</v>
      </c>
      <c r="F3438" s="106" t="s">
        <v>2024</v>
      </c>
      <c r="G3438" s="8"/>
      <c r="H3438" s="8"/>
      <c r="I3438" s="107">
        <v>0</v>
      </c>
      <c r="J3438" s="8" t="s">
        <v>3580</v>
      </c>
    </row>
    <row r="3439" spans="1:10" ht="16.5" customHeight="1" x14ac:dyDescent="0.25">
      <c r="A3439" s="8" t="s">
        <v>11396</v>
      </c>
      <c r="B3439" s="8" t="s">
        <v>11397</v>
      </c>
      <c r="C3439" s="8" t="s">
        <v>11398</v>
      </c>
      <c r="D3439" s="8" t="s">
        <v>11397</v>
      </c>
      <c r="E3439" s="105">
        <v>1</v>
      </c>
      <c r="F3439" s="106" t="s">
        <v>2018</v>
      </c>
      <c r="G3439" s="8"/>
      <c r="H3439" s="8"/>
      <c r="I3439" s="107">
        <v>0</v>
      </c>
      <c r="J3439" s="8" t="s">
        <v>3695</v>
      </c>
    </row>
    <row r="3440" spans="1:10" ht="16.5" customHeight="1" x14ac:dyDescent="0.25">
      <c r="A3440" s="8" t="s">
        <v>11399</v>
      </c>
      <c r="B3440" s="8" t="s">
        <v>11400</v>
      </c>
      <c r="C3440" s="8" t="s">
        <v>2155</v>
      </c>
      <c r="D3440" s="8" t="s">
        <v>11400</v>
      </c>
      <c r="E3440" s="105">
        <v>1</v>
      </c>
      <c r="F3440" s="106" t="s">
        <v>2018</v>
      </c>
      <c r="G3440" s="8"/>
      <c r="H3440" s="8"/>
      <c r="I3440" s="107">
        <v>0</v>
      </c>
      <c r="J3440" s="8" t="s">
        <v>2019</v>
      </c>
    </row>
    <row r="3441" spans="1:10" ht="16.5" customHeight="1" x14ac:dyDescent="0.25">
      <c r="A3441" s="8" t="s">
        <v>11401</v>
      </c>
      <c r="B3441" s="8" t="s">
        <v>11402</v>
      </c>
      <c r="C3441" s="8" t="s">
        <v>11403</v>
      </c>
      <c r="D3441" s="8" t="s">
        <v>11402</v>
      </c>
      <c r="E3441" s="105">
        <v>0.14560000000000001</v>
      </c>
      <c r="F3441" s="106" t="s">
        <v>2018</v>
      </c>
      <c r="G3441" s="8"/>
      <c r="H3441" s="8"/>
      <c r="I3441" s="107">
        <v>0</v>
      </c>
      <c r="J3441" s="8" t="s">
        <v>4722</v>
      </c>
    </row>
    <row r="3442" spans="1:10" ht="16.5" customHeight="1" x14ac:dyDescent="0.25">
      <c r="A3442" s="8" t="s">
        <v>11404</v>
      </c>
      <c r="B3442" s="8" t="s">
        <v>11405</v>
      </c>
      <c r="C3442" s="8" t="s">
        <v>11406</v>
      </c>
      <c r="D3442" s="8" t="s">
        <v>11405</v>
      </c>
      <c r="E3442" s="105">
        <v>0.14499999999999999</v>
      </c>
      <c r="F3442" s="106" t="s">
        <v>2018</v>
      </c>
      <c r="G3442" s="8"/>
      <c r="H3442" s="8"/>
      <c r="I3442" s="107">
        <v>0</v>
      </c>
      <c r="J3442" s="8" t="s">
        <v>4722</v>
      </c>
    </row>
    <row r="3443" spans="1:10" ht="16.5" customHeight="1" x14ac:dyDescent="0.25">
      <c r="A3443" s="8" t="s">
        <v>11407</v>
      </c>
      <c r="B3443" s="8" t="s">
        <v>11408</v>
      </c>
      <c r="C3443" s="8" t="s">
        <v>11409</v>
      </c>
      <c r="D3443" s="8" t="s">
        <v>11408</v>
      </c>
      <c r="E3443" s="105">
        <v>4.4999999999999998E-2</v>
      </c>
      <c r="F3443" s="106" t="s">
        <v>2018</v>
      </c>
      <c r="G3443" s="8"/>
      <c r="H3443" s="8"/>
      <c r="I3443" s="107">
        <v>0</v>
      </c>
      <c r="J3443" s="8" t="s">
        <v>4722</v>
      </c>
    </row>
    <row r="3444" spans="1:10" ht="16.5" customHeight="1" x14ac:dyDescent="0.25">
      <c r="A3444" s="8" t="s">
        <v>11410</v>
      </c>
      <c r="B3444" s="8" t="s">
        <v>11411</v>
      </c>
      <c r="C3444" s="8" t="s">
        <v>11412</v>
      </c>
      <c r="D3444" s="8" t="s">
        <v>11411</v>
      </c>
      <c r="E3444" s="105">
        <v>4.4999999999999998E-2</v>
      </c>
      <c r="F3444" s="106" t="s">
        <v>2018</v>
      </c>
      <c r="G3444" s="8"/>
      <c r="H3444" s="8"/>
      <c r="I3444" s="107">
        <v>0</v>
      </c>
      <c r="J3444" s="8" t="s">
        <v>4722</v>
      </c>
    </row>
    <row r="3445" spans="1:10" ht="16.5" customHeight="1" x14ac:dyDescent="0.25">
      <c r="A3445" s="8" t="s">
        <v>11413</v>
      </c>
      <c r="B3445" s="8" t="s">
        <v>11414</v>
      </c>
      <c r="C3445" s="8" t="s">
        <v>11415</v>
      </c>
      <c r="D3445" s="8" t="s">
        <v>11414</v>
      </c>
      <c r="E3445" s="105">
        <v>0.14499999999999999</v>
      </c>
      <c r="F3445" s="106" t="s">
        <v>2018</v>
      </c>
      <c r="G3445" s="8"/>
      <c r="H3445" s="8"/>
      <c r="I3445" s="107">
        <v>0</v>
      </c>
      <c r="J3445" s="8" t="s">
        <v>4722</v>
      </c>
    </row>
    <row r="3446" spans="1:10" ht="16.5" customHeight="1" x14ac:dyDescent="0.25">
      <c r="A3446" s="8" t="s">
        <v>11416</v>
      </c>
      <c r="B3446" s="8" t="s">
        <v>11417</v>
      </c>
      <c r="C3446" s="8" t="s">
        <v>11418</v>
      </c>
      <c r="D3446" s="8" t="s">
        <v>11417</v>
      </c>
      <c r="E3446" s="105">
        <v>0.14499999999999999</v>
      </c>
      <c r="F3446" s="106" t="s">
        <v>2018</v>
      </c>
      <c r="G3446" s="8"/>
      <c r="H3446" s="8"/>
      <c r="I3446" s="107">
        <v>0</v>
      </c>
      <c r="J3446" s="8" t="s">
        <v>4722</v>
      </c>
    </row>
    <row r="3447" spans="1:10" ht="16.5" customHeight="1" x14ac:dyDescent="0.25">
      <c r="A3447" s="8" t="s">
        <v>11419</v>
      </c>
      <c r="B3447" s="8" t="s">
        <v>11420</v>
      </c>
      <c r="C3447" s="8" t="s">
        <v>11421</v>
      </c>
      <c r="D3447" s="8" t="s">
        <v>11420</v>
      </c>
      <c r="E3447" s="105">
        <v>1</v>
      </c>
      <c r="F3447" s="106" t="s">
        <v>2018</v>
      </c>
      <c r="G3447" s="8"/>
      <c r="H3447" s="8"/>
      <c r="I3447" s="107">
        <v>0</v>
      </c>
      <c r="J3447" s="8" t="s">
        <v>10979</v>
      </c>
    </row>
    <row r="3448" spans="1:10" ht="16.5" customHeight="1" x14ac:dyDescent="0.25">
      <c r="A3448" s="8" t="s">
        <v>11422</v>
      </c>
      <c r="B3448" s="8" t="s">
        <v>11423</v>
      </c>
      <c r="C3448" s="8" t="s">
        <v>11424</v>
      </c>
      <c r="D3448" s="8" t="s">
        <v>11423</v>
      </c>
      <c r="E3448" s="105">
        <v>1</v>
      </c>
      <c r="F3448" s="106" t="s">
        <v>2018</v>
      </c>
      <c r="G3448" s="8"/>
      <c r="H3448" s="8"/>
      <c r="I3448" s="107">
        <v>0</v>
      </c>
      <c r="J3448" s="8" t="s">
        <v>10979</v>
      </c>
    </row>
    <row r="3449" spans="1:10" ht="16.5" customHeight="1" x14ac:dyDescent="0.25">
      <c r="A3449" s="8" t="s">
        <v>11425</v>
      </c>
      <c r="B3449" s="8" t="s">
        <v>11426</v>
      </c>
      <c r="C3449" s="8" t="s">
        <v>2802</v>
      </c>
      <c r="D3449" s="8" t="s">
        <v>11426</v>
      </c>
      <c r="E3449" s="105">
        <v>8.7360000000000007</v>
      </c>
      <c r="F3449" s="106" t="s">
        <v>2018</v>
      </c>
      <c r="G3449" s="8"/>
      <c r="H3449" s="8" t="s">
        <v>2896</v>
      </c>
      <c r="I3449" s="107">
        <v>24</v>
      </c>
      <c r="J3449" s="8" t="s">
        <v>2019</v>
      </c>
    </row>
    <row r="3450" spans="1:10" ht="16.5" customHeight="1" x14ac:dyDescent="0.25">
      <c r="A3450" s="8" t="s">
        <v>11427</v>
      </c>
      <c r="B3450" s="8" t="s">
        <v>11428</v>
      </c>
      <c r="C3450" s="8" t="s">
        <v>11429</v>
      </c>
      <c r="D3450" s="8" t="s">
        <v>11428</v>
      </c>
      <c r="E3450" s="105">
        <v>33</v>
      </c>
      <c r="F3450" s="106" t="s">
        <v>2018</v>
      </c>
      <c r="G3450" s="8"/>
      <c r="H3450" s="8"/>
      <c r="I3450" s="107">
        <v>0</v>
      </c>
      <c r="J3450" s="8" t="s">
        <v>6357</v>
      </c>
    </row>
    <row r="3451" spans="1:10" ht="16.5" customHeight="1" x14ac:dyDescent="0.25">
      <c r="A3451" s="8" t="s">
        <v>11430</v>
      </c>
      <c r="B3451" s="8" t="s">
        <v>11431</v>
      </c>
      <c r="C3451" s="8" t="s">
        <v>10376</v>
      </c>
      <c r="D3451" s="8" t="s">
        <v>11431</v>
      </c>
      <c r="E3451" s="105">
        <v>1</v>
      </c>
      <c r="F3451" s="106" t="s">
        <v>2018</v>
      </c>
      <c r="G3451" s="8"/>
      <c r="H3451" s="8"/>
      <c r="I3451" s="107">
        <v>0</v>
      </c>
      <c r="J3451" s="8" t="s">
        <v>2019</v>
      </c>
    </row>
    <row r="3452" spans="1:10" ht="16.5" customHeight="1" x14ac:dyDescent="0.25">
      <c r="A3452" s="8" t="s">
        <v>11432</v>
      </c>
      <c r="B3452" s="8" t="s">
        <v>9537</v>
      </c>
      <c r="C3452" s="8" t="s">
        <v>9538</v>
      </c>
      <c r="D3452" s="8" t="s">
        <v>9537</v>
      </c>
      <c r="E3452" s="105">
        <v>1</v>
      </c>
      <c r="F3452" s="106" t="s">
        <v>2024</v>
      </c>
      <c r="G3452" s="8"/>
      <c r="H3452" s="8"/>
      <c r="I3452" s="107">
        <v>0</v>
      </c>
      <c r="J3452" s="8" t="s">
        <v>4722</v>
      </c>
    </row>
    <row r="3453" spans="1:10" ht="16.5" customHeight="1" x14ac:dyDescent="0.25">
      <c r="A3453" s="8" t="s">
        <v>11433</v>
      </c>
      <c r="B3453" s="8" t="s">
        <v>11434</v>
      </c>
      <c r="C3453" s="8" t="s">
        <v>11435</v>
      </c>
      <c r="D3453" s="8" t="s">
        <v>11434</v>
      </c>
      <c r="E3453" s="105">
        <v>1</v>
      </c>
      <c r="F3453" s="106" t="s">
        <v>2024</v>
      </c>
      <c r="G3453" s="8"/>
      <c r="H3453" s="8"/>
      <c r="I3453" s="107">
        <v>0</v>
      </c>
      <c r="J3453" s="8" t="s">
        <v>3580</v>
      </c>
    </row>
    <row r="3454" spans="1:10" ht="16.5" customHeight="1" x14ac:dyDescent="0.25">
      <c r="A3454" s="8" t="s">
        <v>11436</v>
      </c>
      <c r="B3454" s="8" t="s">
        <v>11437</v>
      </c>
      <c r="C3454" s="8" t="s">
        <v>11438</v>
      </c>
      <c r="D3454" s="8" t="s">
        <v>11437</v>
      </c>
      <c r="E3454" s="105">
        <v>1</v>
      </c>
      <c r="F3454" s="106" t="s">
        <v>2018</v>
      </c>
      <c r="G3454" s="8"/>
      <c r="H3454" s="8"/>
      <c r="I3454" s="107">
        <v>0</v>
      </c>
      <c r="J3454" s="8" t="s">
        <v>6357</v>
      </c>
    </row>
    <row r="3455" spans="1:10" ht="16.5" customHeight="1" x14ac:dyDescent="0.25">
      <c r="A3455" s="8" t="s">
        <v>11439</v>
      </c>
      <c r="B3455" s="8" t="s">
        <v>11440</v>
      </c>
      <c r="C3455" s="8" t="s">
        <v>1672</v>
      </c>
      <c r="D3455" s="8" t="s">
        <v>11440</v>
      </c>
      <c r="E3455" s="105">
        <v>12.6</v>
      </c>
      <c r="F3455" s="106" t="s">
        <v>2024</v>
      </c>
      <c r="G3455" s="8" t="s">
        <v>1541</v>
      </c>
      <c r="H3455" s="8" t="s">
        <v>11441</v>
      </c>
      <c r="I3455" s="107">
        <v>6</v>
      </c>
      <c r="J3455" s="8" t="s">
        <v>5929</v>
      </c>
    </row>
    <row r="3456" spans="1:10" ht="16.5" customHeight="1" x14ac:dyDescent="0.25">
      <c r="A3456" s="8" t="s">
        <v>11441</v>
      </c>
      <c r="B3456" s="8" t="s">
        <v>11442</v>
      </c>
      <c r="C3456" s="8" t="s">
        <v>11443</v>
      </c>
      <c r="D3456" s="8" t="s">
        <v>11442</v>
      </c>
      <c r="E3456" s="105">
        <v>2.1</v>
      </c>
      <c r="F3456" s="106" t="s">
        <v>2024</v>
      </c>
      <c r="G3456" s="8" t="s">
        <v>1541</v>
      </c>
      <c r="H3456" s="8"/>
      <c r="I3456" s="107">
        <v>0</v>
      </c>
      <c r="J3456" s="8" t="s">
        <v>5929</v>
      </c>
    </row>
    <row r="3457" spans="1:10" ht="16.5" customHeight="1" x14ac:dyDescent="0.25">
      <c r="A3457" s="8" t="s">
        <v>11444</v>
      </c>
      <c r="B3457" s="8" t="s">
        <v>11166</v>
      </c>
      <c r="C3457" s="8" t="s">
        <v>11167</v>
      </c>
      <c r="D3457" s="8" t="s">
        <v>11166</v>
      </c>
      <c r="E3457" s="105">
        <v>0.255</v>
      </c>
      <c r="F3457" s="106" t="s">
        <v>2024</v>
      </c>
      <c r="G3457" s="8"/>
      <c r="H3457" s="8"/>
      <c r="I3457" s="107">
        <v>0</v>
      </c>
      <c r="J3457" s="8" t="s">
        <v>2019</v>
      </c>
    </row>
    <row r="3458" spans="1:10" ht="16.5" customHeight="1" x14ac:dyDescent="0.25">
      <c r="A3458" s="8" t="s">
        <v>11445</v>
      </c>
      <c r="B3458" s="8" t="s">
        <v>11446</v>
      </c>
      <c r="C3458" s="8" t="s">
        <v>1743</v>
      </c>
      <c r="D3458" s="8" t="s">
        <v>11446</v>
      </c>
      <c r="E3458" s="105">
        <v>10</v>
      </c>
      <c r="F3458" s="106" t="s">
        <v>2024</v>
      </c>
      <c r="G3458" s="8"/>
      <c r="H3458" s="8"/>
      <c r="I3458" s="107">
        <v>0</v>
      </c>
      <c r="J3458" s="8" t="s">
        <v>3580</v>
      </c>
    </row>
    <row r="3459" spans="1:10" ht="16.5" customHeight="1" x14ac:dyDescent="0.25">
      <c r="A3459" s="8" t="s">
        <v>11447</v>
      </c>
      <c r="B3459" s="8" t="s">
        <v>11448</v>
      </c>
      <c r="C3459" s="8" t="s">
        <v>10946</v>
      </c>
      <c r="D3459" s="8" t="s">
        <v>11448</v>
      </c>
      <c r="E3459" s="105">
        <v>0.5</v>
      </c>
      <c r="F3459" s="106" t="s">
        <v>2024</v>
      </c>
      <c r="G3459" s="8"/>
      <c r="H3459" s="8"/>
      <c r="I3459" s="107">
        <v>0</v>
      </c>
      <c r="J3459" s="8" t="s">
        <v>3580</v>
      </c>
    </row>
    <row r="3460" spans="1:10" ht="16.5" customHeight="1" x14ac:dyDescent="0.25">
      <c r="A3460" s="8" t="s">
        <v>11449</v>
      </c>
      <c r="B3460" s="8" t="s">
        <v>11450</v>
      </c>
      <c r="C3460" s="8" t="s">
        <v>1734</v>
      </c>
      <c r="D3460" s="8" t="s">
        <v>11450</v>
      </c>
      <c r="E3460" s="105">
        <v>10</v>
      </c>
      <c r="F3460" s="106" t="s">
        <v>2024</v>
      </c>
      <c r="G3460" s="8"/>
      <c r="H3460" s="8"/>
      <c r="I3460" s="107">
        <v>0</v>
      </c>
      <c r="J3460" s="8" t="s">
        <v>3580</v>
      </c>
    </row>
    <row r="3461" spans="1:10" ht="16.5" customHeight="1" x14ac:dyDescent="0.25">
      <c r="A3461" s="8" t="s">
        <v>11451</v>
      </c>
      <c r="B3461" s="8" t="s">
        <v>11452</v>
      </c>
      <c r="C3461" s="8" t="s">
        <v>10891</v>
      </c>
      <c r="D3461" s="8" t="s">
        <v>11452</v>
      </c>
      <c r="E3461" s="105">
        <v>1</v>
      </c>
      <c r="F3461" s="106" t="s">
        <v>2024</v>
      </c>
      <c r="G3461" s="8"/>
      <c r="H3461" s="8"/>
      <c r="I3461" s="107">
        <v>0</v>
      </c>
      <c r="J3461" s="8" t="s">
        <v>3580</v>
      </c>
    </row>
    <row r="3462" spans="1:10" ht="16.5" customHeight="1" x14ac:dyDescent="0.25">
      <c r="A3462" s="8" t="s">
        <v>11453</v>
      </c>
      <c r="B3462" s="8" t="s">
        <v>11454</v>
      </c>
      <c r="C3462" s="8" t="s">
        <v>1734</v>
      </c>
      <c r="D3462" s="8" t="s">
        <v>11454</v>
      </c>
      <c r="E3462" s="105">
        <v>10</v>
      </c>
      <c r="F3462" s="106" t="s">
        <v>2024</v>
      </c>
      <c r="G3462" s="8"/>
      <c r="H3462" s="8"/>
      <c r="I3462" s="107">
        <v>0</v>
      </c>
      <c r="J3462" s="8" t="s">
        <v>3580</v>
      </c>
    </row>
    <row r="3463" spans="1:10" ht="16.5" customHeight="1" x14ac:dyDescent="0.25">
      <c r="A3463" s="8" t="s">
        <v>11455</v>
      </c>
      <c r="B3463" s="8" t="s">
        <v>11456</v>
      </c>
      <c r="C3463" s="8" t="s">
        <v>10891</v>
      </c>
      <c r="D3463" s="8" t="s">
        <v>11456</v>
      </c>
      <c r="E3463" s="105">
        <v>1</v>
      </c>
      <c r="F3463" s="106" t="s">
        <v>2024</v>
      </c>
      <c r="G3463" s="8"/>
      <c r="H3463" s="8"/>
      <c r="I3463" s="107">
        <v>0</v>
      </c>
      <c r="J3463" s="8" t="s">
        <v>3580</v>
      </c>
    </row>
    <row r="3464" spans="1:10" ht="16.5" customHeight="1" x14ac:dyDescent="0.25">
      <c r="A3464" s="8" t="s">
        <v>11457</v>
      </c>
      <c r="B3464" s="8" t="s">
        <v>11458</v>
      </c>
      <c r="C3464" s="8" t="s">
        <v>11459</v>
      </c>
      <c r="D3464" s="8" t="s">
        <v>11458</v>
      </c>
      <c r="E3464" s="105">
        <v>0</v>
      </c>
      <c r="F3464" s="106" t="s">
        <v>2018</v>
      </c>
      <c r="G3464" s="8"/>
      <c r="H3464" s="8"/>
      <c r="I3464" s="107">
        <v>0</v>
      </c>
      <c r="J3464" s="8" t="s">
        <v>4722</v>
      </c>
    </row>
    <row r="3465" spans="1:10" ht="16.5" customHeight="1" x14ac:dyDescent="0.25">
      <c r="A3465" s="8" t="s">
        <v>11460</v>
      </c>
      <c r="B3465" s="8" t="s">
        <v>11461</v>
      </c>
      <c r="C3465" s="8" t="s">
        <v>11462</v>
      </c>
      <c r="D3465" s="8" t="s">
        <v>11461</v>
      </c>
      <c r="E3465" s="105">
        <v>0</v>
      </c>
      <c r="F3465" s="106" t="s">
        <v>2018</v>
      </c>
      <c r="G3465" s="8"/>
      <c r="H3465" s="8"/>
      <c r="I3465" s="107">
        <v>0</v>
      </c>
      <c r="J3465" s="8" t="s">
        <v>4722</v>
      </c>
    </row>
    <row r="3466" spans="1:10" ht="16.5" customHeight="1" x14ac:dyDescent="0.25">
      <c r="A3466" s="8" t="s">
        <v>11463</v>
      </c>
      <c r="B3466" s="8" t="s">
        <v>11464</v>
      </c>
      <c r="C3466" s="8" t="s">
        <v>10307</v>
      </c>
      <c r="D3466" s="8" t="s">
        <v>11464</v>
      </c>
      <c r="E3466" s="105">
        <v>1</v>
      </c>
      <c r="F3466" s="106" t="s">
        <v>2018</v>
      </c>
      <c r="G3466" s="8"/>
      <c r="H3466" s="8"/>
      <c r="I3466" s="107">
        <v>0</v>
      </c>
      <c r="J3466" s="8" t="s">
        <v>2019</v>
      </c>
    </row>
    <row r="3467" spans="1:10" ht="16.5" customHeight="1" x14ac:dyDescent="0.25">
      <c r="A3467" s="8" t="s">
        <v>11465</v>
      </c>
      <c r="B3467" s="8" t="s">
        <v>11466</v>
      </c>
      <c r="C3467" s="8" t="s">
        <v>11467</v>
      </c>
      <c r="D3467" s="8" t="s">
        <v>11466</v>
      </c>
      <c r="E3467" s="105">
        <v>25</v>
      </c>
      <c r="F3467" s="106" t="s">
        <v>2024</v>
      </c>
      <c r="G3467" s="8"/>
      <c r="H3467" s="8"/>
      <c r="I3467" s="107">
        <v>0</v>
      </c>
      <c r="J3467" s="8" t="s">
        <v>2019</v>
      </c>
    </row>
    <row r="3468" spans="1:10" ht="16.5" customHeight="1" x14ac:dyDescent="0.25">
      <c r="A3468" s="8" t="s">
        <v>11468</v>
      </c>
      <c r="B3468" s="8" t="s">
        <v>11469</v>
      </c>
      <c r="C3468" s="8" t="s">
        <v>9521</v>
      </c>
      <c r="D3468" s="8" t="s">
        <v>11469</v>
      </c>
      <c r="E3468" s="105">
        <v>1</v>
      </c>
      <c r="F3468" s="106" t="s">
        <v>2024</v>
      </c>
      <c r="G3468" s="8"/>
      <c r="H3468" s="8"/>
      <c r="I3468" s="107">
        <v>0</v>
      </c>
      <c r="J3468" s="8" t="s">
        <v>3580</v>
      </c>
    </row>
    <row r="3469" spans="1:10" ht="16.5" customHeight="1" x14ac:dyDescent="0.25">
      <c r="A3469" s="8" t="s">
        <v>1192</v>
      </c>
      <c r="B3469" s="8" t="s">
        <v>1194</v>
      </c>
      <c r="C3469" s="8" t="s">
        <v>1193</v>
      </c>
      <c r="D3469" s="8" t="s">
        <v>1194</v>
      </c>
      <c r="E3469" s="105">
        <v>1</v>
      </c>
      <c r="F3469" s="106" t="s">
        <v>2018</v>
      </c>
      <c r="G3469" s="8"/>
      <c r="H3469" s="8"/>
      <c r="I3469" s="107">
        <v>0</v>
      </c>
      <c r="J3469" s="8" t="s">
        <v>2019</v>
      </c>
    </row>
    <row r="3470" spans="1:10" ht="16.5" customHeight="1" x14ac:dyDescent="0.25">
      <c r="A3470" s="8" t="s">
        <v>11470</v>
      </c>
      <c r="B3470" s="8" t="s">
        <v>11471</v>
      </c>
      <c r="C3470" s="8" t="s">
        <v>11472</v>
      </c>
      <c r="D3470" s="8" t="s">
        <v>11471</v>
      </c>
      <c r="E3470" s="105">
        <v>1</v>
      </c>
      <c r="F3470" s="106" t="s">
        <v>2018</v>
      </c>
      <c r="G3470" s="8"/>
      <c r="H3470" s="8"/>
      <c r="I3470" s="107">
        <v>0</v>
      </c>
      <c r="J3470" s="8" t="s">
        <v>2019</v>
      </c>
    </row>
    <row r="3471" spans="1:10" ht="16.5" customHeight="1" x14ac:dyDescent="0.25">
      <c r="A3471" s="8" t="s">
        <v>11473</v>
      </c>
      <c r="B3471" s="8" t="s">
        <v>11474</v>
      </c>
      <c r="C3471" s="8" t="s">
        <v>11475</v>
      </c>
      <c r="D3471" s="8" t="s">
        <v>11474</v>
      </c>
      <c r="E3471" s="105">
        <v>1</v>
      </c>
      <c r="F3471" s="106" t="s">
        <v>2018</v>
      </c>
      <c r="G3471" s="8"/>
      <c r="H3471" s="8"/>
      <c r="I3471" s="107">
        <v>0</v>
      </c>
      <c r="J3471" s="8" t="s">
        <v>6357</v>
      </c>
    </row>
    <row r="3472" spans="1:10" ht="16.5" customHeight="1" x14ac:dyDescent="0.25">
      <c r="A3472" s="8" t="s">
        <v>1374</v>
      </c>
      <c r="B3472" s="8" t="s">
        <v>1376</v>
      </c>
      <c r="C3472" s="8" t="s">
        <v>1375</v>
      </c>
      <c r="D3472" s="8" t="s">
        <v>1376</v>
      </c>
      <c r="E3472" s="105">
        <v>30</v>
      </c>
      <c r="F3472" s="106" t="s">
        <v>2018</v>
      </c>
      <c r="G3472" s="8"/>
      <c r="H3472" s="8"/>
      <c r="I3472" s="107">
        <v>0</v>
      </c>
      <c r="J3472" s="8" t="s">
        <v>2019</v>
      </c>
    </row>
    <row r="3473" spans="1:10" ht="16.5" customHeight="1" x14ac:dyDescent="0.25">
      <c r="A3473" s="8" t="s">
        <v>11476</v>
      </c>
      <c r="B3473" s="8" t="s">
        <v>11477</v>
      </c>
      <c r="C3473" s="8" t="s">
        <v>11478</v>
      </c>
      <c r="D3473" s="8" t="s">
        <v>11477</v>
      </c>
      <c r="E3473" s="105">
        <v>0</v>
      </c>
      <c r="F3473" s="106" t="s">
        <v>2024</v>
      </c>
      <c r="G3473" s="8"/>
      <c r="H3473" s="8"/>
      <c r="I3473" s="107">
        <v>0</v>
      </c>
      <c r="J3473" s="8" t="s">
        <v>4789</v>
      </c>
    </row>
    <row r="3474" spans="1:10" ht="16.5" customHeight="1" x14ac:dyDescent="0.25">
      <c r="A3474" s="8" t="s">
        <v>11479</v>
      </c>
      <c r="B3474" s="8" t="s">
        <v>11480</v>
      </c>
      <c r="C3474" s="8" t="s">
        <v>11481</v>
      </c>
      <c r="D3474" s="8" t="s">
        <v>11480</v>
      </c>
      <c r="E3474" s="105">
        <v>0</v>
      </c>
      <c r="F3474" s="106" t="s">
        <v>2024</v>
      </c>
      <c r="G3474" s="8"/>
      <c r="H3474" s="8"/>
      <c r="I3474" s="107">
        <v>0</v>
      </c>
      <c r="J3474" s="8" t="s">
        <v>4789</v>
      </c>
    </row>
    <row r="3475" spans="1:10" ht="16.5" customHeight="1" x14ac:dyDescent="0.25">
      <c r="A3475" s="8" t="s">
        <v>11482</v>
      </c>
      <c r="B3475" s="8" t="s">
        <v>11483</v>
      </c>
      <c r="C3475" s="8" t="s">
        <v>11484</v>
      </c>
      <c r="D3475" s="8" t="s">
        <v>11483</v>
      </c>
      <c r="E3475" s="105">
        <v>3.06</v>
      </c>
      <c r="F3475" s="106" t="s">
        <v>2024</v>
      </c>
      <c r="G3475" s="8" t="s">
        <v>1541</v>
      </c>
      <c r="H3475" s="8" t="s">
        <v>11485</v>
      </c>
      <c r="I3475" s="107">
        <v>12</v>
      </c>
      <c r="J3475" s="8" t="s">
        <v>5929</v>
      </c>
    </row>
    <row r="3476" spans="1:10" ht="16.5" customHeight="1" x14ac:dyDescent="0.25">
      <c r="A3476" s="8" t="s">
        <v>11485</v>
      </c>
      <c r="B3476" s="8" t="s">
        <v>11486</v>
      </c>
      <c r="C3476" s="8" t="s">
        <v>11487</v>
      </c>
      <c r="D3476" s="8" t="s">
        <v>11486</v>
      </c>
      <c r="E3476" s="105">
        <v>0.255</v>
      </c>
      <c r="F3476" s="106" t="s">
        <v>2024</v>
      </c>
      <c r="G3476" s="8" t="s">
        <v>1541</v>
      </c>
      <c r="H3476" s="8"/>
      <c r="I3476" s="107">
        <v>0</v>
      </c>
      <c r="J3476" s="8" t="s">
        <v>5929</v>
      </c>
    </row>
    <row r="3477" spans="1:10" ht="16.5" customHeight="1" x14ac:dyDescent="0.25">
      <c r="A3477" s="8" t="s">
        <v>11488</v>
      </c>
      <c r="B3477" s="8" t="s">
        <v>11489</v>
      </c>
      <c r="C3477" s="8" t="s">
        <v>1636</v>
      </c>
      <c r="D3477" s="8" t="s">
        <v>11489</v>
      </c>
      <c r="E3477" s="105">
        <v>6.12</v>
      </c>
      <c r="F3477" s="106" t="s">
        <v>2024</v>
      </c>
      <c r="G3477" s="8" t="s">
        <v>1541</v>
      </c>
      <c r="H3477" s="8" t="s">
        <v>11485</v>
      </c>
      <c r="I3477" s="107">
        <v>24</v>
      </c>
      <c r="J3477" s="8" t="s">
        <v>5929</v>
      </c>
    </row>
    <row r="3478" spans="1:10" ht="16.5" customHeight="1" x14ac:dyDescent="0.25">
      <c r="A3478" s="8" t="s">
        <v>11490</v>
      </c>
      <c r="B3478" s="8" t="s">
        <v>11491</v>
      </c>
      <c r="C3478" s="8" t="s">
        <v>11492</v>
      </c>
      <c r="D3478" s="8" t="s">
        <v>11491</v>
      </c>
      <c r="E3478" s="105">
        <v>12.6</v>
      </c>
      <c r="F3478" s="106" t="s">
        <v>2024</v>
      </c>
      <c r="G3478" s="8" t="s">
        <v>1541</v>
      </c>
      <c r="H3478" s="8" t="s">
        <v>11493</v>
      </c>
      <c r="I3478" s="107">
        <v>6</v>
      </c>
      <c r="J3478" s="8" t="s">
        <v>5929</v>
      </c>
    </row>
    <row r="3479" spans="1:10" ht="16.5" customHeight="1" x14ac:dyDescent="0.25">
      <c r="A3479" s="8" t="s">
        <v>11493</v>
      </c>
      <c r="B3479" s="8" t="s">
        <v>11494</v>
      </c>
      <c r="C3479" s="8" t="s">
        <v>11495</v>
      </c>
      <c r="D3479" s="8" t="s">
        <v>11494</v>
      </c>
      <c r="E3479" s="105">
        <v>2.1</v>
      </c>
      <c r="F3479" s="106" t="s">
        <v>2024</v>
      </c>
      <c r="G3479" s="8" t="s">
        <v>1541</v>
      </c>
      <c r="H3479" s="8"/>
      <c r="I3479" s="107">
        <v>0</v>
      </c>
      <c r="J3479" s="8" t="s">
        <v>5929</v>
      </c>
    </row>
    <row r="3480" spans="1:10" ht="16.5" customHeight="1" x14ac:dyDescent="0.25">
      <c r="A3480" s="8" t="s">
        <v>11496</v>
      </c>
      <c r="B3480" s="8" t="s">
        <v>11497</v>
      </c>
      <c r="C3480" s="8" t="s">
        <v>11498</v>
      </c>
      <c r="D3480" s="8" t="s">
        <v>11497</v>
      </c>
      <c r="E3480" s="105">
        <v>0</v>
      </c>
      <c r="F3480" s="106" t="s">
        <v>2018</v>
      </c>
      <c r="G3480" s="8"/>
      <c r="H3480" s="8"/>
      <c r="I3480" s="107">
        <v>0</v>
      </c>
      <c r="J3480" s="8" t="s">
        <v>3695</v>
      </c>
    </row>
    <row r="3481" spans="1:10" ht="16.5" customHeight="1" x14ac:dyDescent="0.25">
      <c r="A3481" s="8" t="s">
        <v>11499</v>
      </c>
      <c r="B3481" s="8" t="s">
        <v>11500</v>
      </c>
      <c r="C3481" s="8" t="s">
        <v>9983</v>
      </c>
      <c r="D3481" s="8" t="s">
        <v>11500</v>
      </c>
      <c r="E3481" s="105">
        <v>1</v>
      </c>
      <c r="F3481" s="106" t="s">
        <v>2024</v>
      </c>
      <c r="G3481" s="8"/>
      <c r="H3481" s="8"/>
      <c r="I3481" s="107">
        <v>0</v>
      </c>
      <c r="J3481" s="8" t="s">
        <v>3580</v>
      </c>
    </row>
    <row r="3482" spans="1:10" ht="16.5" customHeight="1" x14ac:dyDescent="0.25">
      <c r="A3482" s="8" t="s">
        <v>11501</v>
      </c>
      <c r="B3482" s="8" t="s">
        <v>11502</v>
      </c>
      <c r="C3482" s="8" t="s">
        <v>11503</v>
      </c>
      <c r="D3482" s="8" t="s">
        <v>11502</v>
      </c>
      <c r="E3482" s="105">
        <v>1</v>
      </c>
      <c r="F3482" s="106" t="s">
        <v>2018</v>
      </c>
      <c r="G3482" s="8"/>
      <c r="H3482" s="8"/>
      <c r="I3482" s="107">
        <v>0</v>
      </c>
      <c r="J3482" s="8" t="s">
        <v>2019</v>
      </c>
    </row>
    <row r="3483" spans="1:10" ht="16.5" customHeight="1" x14ac:dyDescent="0.25">
      <c r="A3483" s="8" t="s">
        <v>11504</v>
      </c>
      <c r="B3483" s="8" t="s">
        <v>11505</v>
      </c>
      <c r="C3483" s="8" t="s">
        <v>11506</v>
      </c>
      <c r="D3483" s="8" t="s">
        <v>11505</v>
      </c>
      <c r="E3483" s="105">
        <v>1</v>
      </c>
      <c r="F3483" s="106" t="s">
        <v>2024</v>
      </c>
      <c r="G3483" s="8"/>
      <c r="H3483" s="8"/>
      <c r="I3483" s="107">
        <v>0</v>
      </c>
      <c r="J3483" s="8"/>
    </row>
    <row r="3484" spans="1:10" ht="16.5" customHeight="1" x14ac:dyDescent="0.25">
      <c r="A3484" s="8" t="s">
        <v>11507</v>
      </c>
      <c r="B3484" s="8" t="s">
        <v>11508</v>
      </c>
      <c r="C3484" s="8" t="s">
        <v>11509</v>
      </c>
      <c r="D3484" s="8" t="s">
        <v>11508</v>
      </c>
      <c r="E3484" s="105">
        <v>1</v>
      </c>
      <c r="F3484" s="106" t="s">
        <v>2018</v>
      </c>
      <c r="G3484" s="8"/>
      <c r="H3484" s="8"/>
      <c r="I3484" s="107">
        <v>0</v>
      </c>
      <c r="J3484" s="8" t="s">
        <v>2019</v>
      </c>
    </row>
    <row r="3485" spans="1:10" ht="16.5" customHeight="1" x14ac:dyDescent="0.25">
      <c r="A3485" s="8" t="s">
        <v>11510</v>
      </c>
      <c r="B3485" s="8" t="s">
        <v>11511</v>
      </c>
      <c r="C3485" s="8" t="s">
        <v>8481</v>
      </c>
      <c r="D3485" s="8" t="s">
        <v>11511</v>
      </c>
      <c r="E3485" s="105">
        <v>0.5</v>
      </c>
      <c r="F3485" s="106" t="s">
        <v>2024</v>
      </c>
      <c r="G3485" s="8"/>
      <c r="H3485" s="8"/>
      <c r="I3485" s="107">
        <v>0</v>
      </c>
      <c r="J3485" s="8" t="s">
        <v>2019</v>
      </c>
    </row>
    <row r="3486" spans="1:10" ht="16.5" customHeight="1" x14ac:dyDescent="0.25">
      <c r="A3486" s="8" t="s">
        <v>1759</v>
      </c>
      <c r="B3486" s="8" t="s">
        <v>44</v>
      </c>
      <c r="C3486" s="8" t="s">
        <v>1760</v>
      </c>
      <c r="D3486" s="8" t="s">
        <v>44</v>
      </c>
      <c r="E3486" s="105">
        <v>12.336</v>
      </c>
      <c r="F3486" s="106" t="s">
        <v>2018</v>
      </c>
      <c r="G3486" s="8"/>
      <c r="H3486" s="8" t="s">
        <v>11512</v>
      </c>
      <c r="I3486" s="107">
        <v>12</v>
      </c>
      <c r="J3486" s="8" t="s">
        <v>8088</v>
      </c>
    </row>
    <row r="3487" spans="1:10" ht="16.5" customHeight="1" x14ac:dyDescent="0.25">
      <c r="A3487" s="8" t="s">
        <v>11512</v>
      </c>
      <c r="B3487" s="8" t="s">
        <v>11513</v>
      </c>
      <c r="C3487" s="8" t="s">
        <v>11514</v>
      </c>
      <c r="D3487" s="8" t="s">
        <v>11513</v>
      </c>
      <c r="E3487" s="105">
        <v>1.028</v>
      </c>
      <c r="F3487" s="106" t="s">
        <v>2018</v>
      </c>
      <c r="G3487" s="8"/>
      <c r="H3487" s="8"/>
      <c r="I3487" s="107">
        <v>0</v>
      </c>
      <c r="J3487" s="8" t="s">
        <v>8088</v>
      </c>
    </row>
    <row r="3488" spans="1:10" ht="16.5" customHeight="1" x14ac:dyDescent="0.25">
      <c r="A3488" s="8" t="s">
        <v>1766</v>
      </c>
      <c r="B3488" s="8" t="s">
        <v>1768</v>
      </c>
      <c r="C3488" s="8" t="s">
        <v>1767</v>
      </c>
      <c r="D3488" s="8" t="s">
        <v>1768</v>
      </c>
      <c r="E3488" s="105">
        <v>12.336</v>
      </c>
      <c r="F3488" s="106" t="s">
        <v>2018</v>
      </c>
      <c r="G3488" s="8"/>
      <c r="H3488" s="8" t="s">
        <v>11515</v>
      </c>
      <c r="I3488" s="107">
        <v>12</v>
      </c>
      <c r="J3488" s="8" t="s">
        <v>8088</v>
      </c>
    </row>
    <row r="3489" spans="1:10" ht="16.5" customHeight="1" x14ac:dyDescent="0.25">
      <c r="A3489" s="8" t="s">
        <v>11515</v>
      </c>
      <c r="B3489" s="8" t="s">
        <v>11516</v>
      </c>
      <c r="C3489" s="8" t="s">
        <v>11517</v>
      </c>
      <c r="D3489" s="8" t="s">
        <v>11516</v>
      </c>
      <c r="E3489" s="105">
        <v>1.028</v>
      </c>
      <c r="F3489" s="106" t="s">
        <v>2018</v>
      </c>
      <c r="G3489" s="8"/>
      <c r="H3489" s="8"/>
      <c r="I3489" s="107">
        <v>0</v>
      </c>
      <c r="J3489" s="8" t="s">
        <v>8088</v>
      </c>
    </row>
    <row r="3490" spans="1:10" ht="16.5" customHeight="1" x14ac:dyDescent="0.25">
      <c r="A3490" s="8" t="s">
        <v>1769</v>
      </c>
      <c r="B3490" s="8" t="s">
        <v>58</v>
      </c>
      <c r="C3490" s="8" t="s">
        <v>1770</v>
      </c>
      <c r="D3490" s="8" t="s">
        <v>58</v>
      </c>
      <c r="E3490" s="105">
        <v>12.336</v>
      </c>
      <c r="F3490" s="106" t="s">
        <v>2018</v>
      </c>
      <c r="G3490" s="8"/>
      <c r="H3490" s="8" t="s">
        <v>11518</v>
      </c>
      <c r="I3490" s="107">
        <v>12</v>
      </c>
      <c r="J3490" s="8" t="s">
        <v>8097</v>
      </c>
    </row>
    <row r="3491" spans="1:10" ht="16.5" customHeight="1" x14ac:dyDescent="0.25">
      <c r="A3491" s="8" t="s">
        <v>11518</v>
      </c>
      <c r="B3491" s="8" t="s">
        <v>11519</v>
      </c>
      <c r="C3491" s="8" t="s">
        <v>11520</v>
      </c>
      <c r="D3491" s="8" t="s">
        <v>11519</v>
      </c>
      <c r="E3491" s="105">
        <v>1.028</v>
      </c>
      <c r="F3491" s="106" t="s">
        <v>2018</v>
      </c>
      <c r="G3491" s="8"/>
      <c r="H3491" s="8"/>
      <c r="I3491" s="107">
        <v>0</v>
      </c>
      <c r="J3491" s="8" t="s">
        <v>8088</v>
      </c>
    </row>
    <row r="3492" spans="1:10" ht="16.5" customHeight="1" x14ac:dyDescent="0.25">
      <c r="A3492" s="8" t="s">
        <v>11521</v>
      </c>
      <c r="B3492" s="8" t="s">
        <v>11522</v>
      </c>
      <c r="C3492" s="8" t="s">
        <v>11523</v>
      </c>
      <c r="D3492" s="8" t="s">
        <v>11522</v>
      </c>
      <c r="E3492" s="105">
        <v>0.2</v>
      </c>
      <c r="F3492" s="106" t="s">
        <v>2024</v>
      </c>
      <c r="G3492" s="8"/>
      <c r="H3492" s="8"/>
      <c r="I3492" s="107">
        <v>0</v>
      </c>
      <c r="J3492" s="8" t="s">
        <v>2019</v>
      </c>
    </row>
    <row r="3493" spans="1:10" ht="16.5" customHeight="1" x14ac:dyDescent="0.25">
      <c r="A3493" s="8" t="s">
        <v>11524</v>
      </c>
      <c r="B3493" s="8" t="s">
        <v>11525</v>
      </c>
      <c r="C3493" s="8" t="s">
        <v>11526</v>
      </c>
      <c r="D3493" s="8" t="s">
        <v>11525</v>
      </c>
      <c r="E3493" s="105">
        <v>1</v>
      </c>
      <c r="F3493" s="106" t="s">
        <v>2018</v>
      </c>
      <c r="G3493" s="8"/>
      <c r="H3493" s="8"/>
      <c r="I3493" s="107">
        <v>0</v>
      </c>
      <c r="J3493" s="8"/>
    </row>
    <row r="3494" spans="1:10" ht="16.5" customHeight="1" x14ac:dyDescent="0.25">
      <c r="A3494" s="8" t="s">
        <v>11527</v>
      </c>
      <c r="B3494" s="8" t="s">
        <v>11528</v>
      </c>
      <c r="C3494" s="8" t="s">
        <v>11529</v>
      </c>
      <c r="D3494" s="8" t="s">
        <v>11528</v>
      </c>
      <c r="E3494" s="105">
        <v>0</v>
      </c>
      <c r="F3494" s="106" t="s">
        <v>2024</v>
      </c>
      <c r="G3494" s="8"/>
      <c r="H3494" s="8"/>
      <c r="I3494" s="107">
        <v>0</v>
      </c>
      <c r="J3494" s="8" t="s">
        <v>4722</v>
      </c>
    </row>
    <row r="3495" spans="1:10" ht="16.5" customHeight="1" x14ac:dyDescent="0.25">
      <c r="A3495" s="8" t="s">
        <v>11530</v>
      </c>
      <c r="B3495" s="8" t="s">
        <v>4275</v>
      </c>
      <c r="C3495" s="8" t="s">
        <v>4276</v>
      </c>
      <c r="D3495" s="8" t="s">
        <v>4275</v>
      </c>
      <c r="E3495" s="105">
        <v>0</v>
      </c>
      <c r="F3495" s="106" t="s">
        <v>2018</v>
      </c>
      <c r="G3495" s="8"/>
      <c r="H3495" s="8"/>
      <c r="I3495" s="107">
        <v>0</v>
      </c>
      <c r="J3495" s="8" t="s">
        <v>4722</v>
      </c>
    </row>
    <row r="3496" spans="1:10" ht="16.5" customHeight="1" x14ac:dyDescent="0.25">
      <c r="A3496" s="8" t="s">
        <v>11531</v>
      </c>
      <c r="B3496" s="8" t="s">
        <v>11532</v>
      </c>
      <c r="C3496" s="8" t="s">
        <v>1495</v>
      </c>
      <c r="D3496" s="8" t="s">
        <v>11532</v>
      </c>
      <c r="E3496" s="105">
        <v>10</v>
      </c>
      <c r="F3496" s="106" t="s">
        <v>2024</v>
      </c>
      <c r="G3496" s="8"/>
      <c r="H3496" s="8"/>
      <c r="I3496" s="107">
        <v>0</v>
      </c>
      <c r="J3496" s="8" t="s">
        <v>5671</v>
      </c>
    </row>
    <row r="3497" spans="1:10" ht="16.5" customHeight="1" x14ac:dyDescent="0.25">
      <c r="A3497" s="8" t="s">
        <v>11533</v>
      </c>
      <c r="B3497" s="8" t="s">
        <v>11534</v>
      </c>
      <c r="C3497" s="8" t="s">
        <v>11535</v>
      </c>
      <c r="D3497" s="8" t="s">
        <v>11534</v>
      </c>
      <c r="E3497" s="105">
        <v>10</v>
      </c>
      <c r="F3497" s="106" t="s">
        <v>2024</v>
      </c>
      <c r="G3497" s="8"/>
      <c r="H3497" s="8"/>
      <c r="I3497" s="107">
        <v>0</v>
      </c>
      <c r="J3497" s="8" t="s">
        <v>5671</v>
      </c>
    </row>
    <row r="3498" spans="1:10" ht="16.5" customHeight="1" x14ac:dyDescent="0.25">
      <c r="A3498" s="8" t="s">
        <v>11536</v>
      </c>
      <c r="B3498" s="8" t="s">
        <v>11537</v>
      </c>
      <c r="C3498" s="8" t="s">
        <v>11538</v>
      </c>
      <c r="D3498" s="8" t="s">
        <v>11537</v>
      </c>
      <c r="E3498" s="105">
        <v>1</v>
      </c>
      <c r="F3498" s="106" t="s">
        <v>2024</v>
      </c>
      <c r="G3498" s="8"/>
      <c r="H3498" s="8"/>
      <c r="I3498" s="107">
        <v>0</v>
      </c>
      <c r="J3498" s="8" t="s">
        <v>5671</v>
      </c>
    </row>
    <row r="3499" spans="1:10" ht="16.5" customHeight="1" x14ac:dyDescent="0.25">
      <c r="A3499" s="8" t="s">
        <v>11539</v>
      </c>
      <c r="B3499" s="8" t="s">
        <v>11335</v>
      </c>
      <c r="C3499" s="8" t="s">
        <v>11336</v>
      </c>
      <c r="D3499" s="8" t="s">
        <v>11335</v>
      </c>
      <c r="E3499" s="105">
        <v>0</v>
      </c>
      <c r="F3499" s="106" t="s">
        <v>2018</v>
      </c>
      <c r="G3499" s="8"/>
      <c r="H3499" s="8"/>
      <c r="I3499" s="107">
        <v>0</v>
      </c>
      <c r="J3499" s="8" t="s">
        <v>3695</v>
      </c>
    </row>
    <row r="3500" spans="1:10" ht="16.5" customHeight="1" x14ac:dyDescent="0.25">
      <c r="A3500" s="8" t="s">
        <v>11540</v>
      </c>
      <c r="B3500" s="8" t="s">
        <v>11541</v>
      </c>
      <c r="C3500" s="8" t="s">
        <v>5401</v>
      </c>
      <c r="D3500" s="8" t="s">
        <v>11541</v>
      </c>
      <c r="E3500" s="105">
        <v>0</v>
      </c>
      <c r="F3500" s="106" t="s">
        <v>2018</v>
      </c>
      <c r="G3500" s="8"/>
      <c r="H3500" s="8"/>
      <c r="I3500" s="107">
        <v>0</v>
      </c>
      <c r="J3500" s="8" t="s">
        <v>6357</v>
      </c>
    </row>
    <row r="3501" spans="1:10" ht="16.5" customHeight="1" x14ac:dyDescent="0.25">
      <c r="A3501" s="8" t="s">
        <v>11542</v>
      </c>
      <c r="B3501" s="8" t="s">
        <v>11543</v>
      </c>
      <c r="C3501" s="8" t="s">
        <v>5389</v>
      </c>
      <c r="D3501" s="8" t="s">
        <v>11543</v>
      </c>
      <c r="E3501" s="105">
        <v>0</v>
      </c>
      <c r="F3501" s="106" t="s">
        <v>2018</v>
      </c>
      <c r="G3501" s="8"/>
      <c r="H3501" s="8"/>
      <c r="I3501" s="107">
        <v>0</v>
      </c>
      <c r="J3501" s="8" t="s">
        <v>6357</v>
      </c>
    </row>
    <row r="3502" spans="1:10" ht="16.5" customHeight="1" x14ac:dyDescent="0.25">
      <c r="A3502" s="8" t="s">
        <v>11544</v>
      </c>
      <c r="B3502" s="8" t="s">
        <v>11545</v>
      </c>
      <c r="C3502" s="8" t="s">
        <v>11546</v>
      </c>
      <c r="D3502" s="8" t="s">
        <v>11545</v>
      </c>
      <c r="E3502" s="105">
        <v>0</v>
      </c>
      <c r="F3502" s="106" t="s">
        <v>2024</v>
      </c>
      <c r="G3502" s="8"/>
      <c r="H3502" s="8"/>
      <c r="I3502" s="107">
        <v>0</v>
      </c>
      <c r="J3502" s="8" t="s">
        <v>4789</v>
      </c>
    </row>
    <row r="3503" spans="1:10" ht="16.5" customHeight="1" x14ac:dyDescent="0.25">
      <c r="A3503" s="8" t="s">
        <v>11547</v>
      </c>
      <c r="B3503" s="8" t="s">
        <v>11548</v>
      </c>
      <c r="C3503" s="8" t="s">
        <v>11549</v>
      </c>
      <c r="D3503" s="8" t="s">
        <v>11548</v>
      </c>
      <c r="E3503" s="105">
        <v>1</v>
      </c>
      <c r="F3503" s="106" t="s">
        <v>2018</v>
      </c>
      <c r="G3503" s="8"/>
      <c r="H3503" s="8"/>
      <c r="I3503" s="107">
        <v>0</v>
      </c>
      <c r="J3503" s="8"/>
    </row>
    <row r="3504" spans="1:10" ht="16.5" customHeight="1" x14ac:dyDescent="0.25">
      <c r="A3504" s="8" t="s">
        <v>11550</v>
      </c>
      <c r="B3504" s="8" t="s">
        <v>11551</v>
      </c>
      <c r="C3504" s="8" t="s">
        <v>11552</v>
      </c>
      <c r="D3504" s="8" t="s">
        <v>11551</v>
      </c>
      <c r="E3504" s="105">
        <v>18</v>
      </c>
      <c r="F3504" s="106" t="s">
        <v>2018</v>
      </c>
      <c r="G3504" s="8"/>
      <c r="H3504" s="8"/>
      <c r="I3504" s="107">
        <v>0</v>
      </c>
      <c r="J3504" s="8" t="s">
        <v>4722</v>
      </c>
    </row>
    <row r="3505" spans="1:10" ht="16.5" customHeight="1" x14ac:dyDescent="0.25">
      <c r="A3505" s="8" t="s">
        <v>11553</v>
      </c>
      <c r="B3505" s="8" t="s">
        <v>10685</v>
      </c>
      <c r="C3505" s="8" t="s">
        <v>11554</v>
      </c>
      <c r="D3505" s="8" t="s">
        <v>10685</v>
      </c>
      <c r="E3505" s="105">
        <v>1</v>
      </c>
      <c r="F3505" s="106" t="s">
        <v>2024</v>
      </c>
      <c r="G3505" s="8"/>
      <c r="H3505" s="8"/>
      <c r="I3505" s="107">
        <v>0</v>
      </c>
      <c r="J3505" s="8" t="s">
        <v>3580</v>
      </c>
    </row>
    <row r="3506" spans="1:10" ht="16.5" customHeight="1" x14ac:dyDescent="0.25">
      <c r="A3506" s="8" t="s">
        <v>11555</v>
      </c>
      <c r="B3506" s="8" t="s">
        <v>11556</v>
      </c>
      <c r="C3506" s="8" t="s">
        <v>11557</v>
      </c>
      <c r="D3506" s="8" t="s">
        <v>11556</v>
      </c>
      <c r="E3506" s="105">
        <v>1</v>
      </c>
      <c r="F3506" s="106" t="s">
        <v>2018</v>
      </c>
      <c r="G3506" s="8"/>
      <c r="H3506" s="8"/>
      <c r="I3506" s="107">
        <v>0</v>
      </c>
      <c r="J3506" s="8" t="s">
        <v>3695</v>
      </c>
    </row>
    <row r="3507" spans="1:10" ht="16.5" customHeight="1" x14ac:dyDescent="0.25">
      <c r="A3507" s="8" t="s">
        <v>11558</v>
      </c>
      <c r="B3507" s="8" t="s">
        <v>11559</v>
      </c>
      <c r="C3507" s="8" t="s">
        <v>11560</v>
      </c>
      <c r="D3507" s="8" t="s">
        <v>11559</v>
      </c>
      <c r="E3507" s="105">
        <v>1</v>
      </c>
      <c r="F3507" s="106" t="s">
        <v>2018</v>
      </c>
      <c r="G3507" s="8"/>
      <c r="H3507" s="8"/>
      <c r="I3507" s="107">
        <v>0</v>
      </c>
      <c r="J3507" s="8"/>
    </row>
    <row r="3508" spans="1:10" ht="16.5" customHeight="1" x14ac:dyDescent="0.25">
      <c r="A3508" s="8" t="s">
        <v>11561</v>
      </c>
      <c r="B3508" s="8" t="s">
        <v>11562</v>
      </c>
      <c r="C3508" s="8" t="s">
        <v>11563</v>
      </c>
      <c r="D3508" s="8" t="s">
        <v>11562</v>
      </c>
      <c r="E3508" s="105">
        <v>1</v>
      </c>
      <c r="F3508" s="106" t="s">
        <v>2018</v>
      </c>
      <c r="G3508" s="8"/>
      <c r="H3508" s="8"/>
      <c r="I3508" s="107">
        <v>0</v>
      </c>
      <c r="J3508" s="8"/>
    </row>
    <row r="3509" spans="1:10" ht="16.5" customHeight="1" x14ac:dyDescent="0.25">
      <c r="A3509" s="8" t="s">
        <v>11564</v>
      </c>
      <c r="B3509" s="8" t="s">
        <v>11565</v>
      </c>
      <c r="C3509" s="8" t="s">
        <v>11566</v>
      </c>
      <c r="D3509" s="8" t="s">
        <v>11565</v>
      </c>
      <c r="E3509" s="105">
        <v>1</v>
      </c>
      <c r="F3509" s="106" t="s">
        <v>2018</v>
      </c>
      <c r="G3509" s="8"/>
      <c r="H3509" s="8"/>
      <c r="I3509" s="107">
        <v>0</v>
      </c>
      <c r="J3509" s="8"/>
    </row>
    <row r="3510" spans="1:10" ht="16.5" customHeight="1" x14ac:dyDescent="0.25">
      <c r="A3510" s="8" t="s">
        <v>11567</v>
      </c>
      <c r="B3510" s="8" t="s">
        <v>11568</v>
      </c>
      <c r="C3510" s="8" t="s">
        <v>10654</v>
      </c>
      <c r="D3510" s="8" t="s">
        <v>11568</v>
      </c>
      <c r="E3510" s="105">
        <v>1</v>
      </c>
      <c r="F3510" s="106" t="s">
        <v>2024</v>
      </c>
      <c r="G3510" s="8"/>
      <c r="H3510" s="8"/>
      <c r="I3510" s="107">
        <v>0</v>
      </c>
      <c r="J3510" s="8" t="s">
        <v>3580</v>
      </c>
    </row>
    <row r="3511" spans="1:10" ht="16.5" customHeight="1" x14ac:dyDescent="0.25">
      <c r="A3511" s="8" t="s">
        <v>11569</v>
      </c>
      <c r="B3511" s="8" t="s">
        <v>11570</v>
      </c>
      <c r="C3511" s="8" t="s">
        <v>11571</v>
      </c>
      <c r="D3511" s="8" t="s">
        <v>11570</v>
      </c>
      <c r="E3511" s="105">
        <v>0</v>
      </c>
      <c r="F3511" s="106" t="s">
        <v>2018</v>
      </c>
      <c r="G3511" s="8"/>
      <c r="H3511" s="8"/>
      <c r="I3511" s="107">
        <v>0</v>
      </c>
      <c r="J3511" s="8" t="s">
        <v>6357</v>
      </c>
    </row>
    <row r="3512" spans="1:10" ht="16.5" customHeight="1" x14ac:dyDescent="0.25">
      <c r="A3512" s="8" t="s">
        <v>11572</v>
      </c>
      <c r="B3512" s="8" t="s">
        <v>11573</v>
      </c>
      <c r="C3512" s="8" t="s">
        <v>11574</v>
      </c>
      <c r="D3512" s="8" t="s">
        <v>11573</v>
      </c>
      <c r="E3512" s="105">
        <v>0</v>
      </c>
      <c r="F3512" s="106" t="s">
        <v>2018</v>
      </c>
      <c r="G3512" s="8"/>
      <c r="H3512" s="8"/>
      <c r="I3512" s="107">
        <v>0</v>
      </c>
      <c r="J3512" s="8" t="s">
        <v>6357</v>
      </c>
    </row>
    <row r="3513" spans="1:10" ht="16.5" customHeight="1" x14ac:dyDescent="0.25">
      <c r="A3513" s="8" t="s">
        <v>11575</v>
      </c>
      <c r="B3513" s="8" t="s">
        <v>11576</v>
      </c>
      <c r="C3513" s="8" t="s">
        <v>1639</v>
      </c>
      <c r="D3513" s="8" t="s">
        <v>11576</v>
      </c>
      <c r="E3513" s="105">
        <v>13.2</v>
      </c>
      <c r="F3513" s="106" t="s">
        <v>2024</v>
      </c>
      <c r="G3513" s="8" t="s">
        <v>1541</v>
      </c>
      <c r="H3513" s="8" t="s">
        <v>11577</v>
      </c>
      <c r="I3513" s="107">
        <v>6</v>
      </c>
      <c r="J3513" s="8" t="s">
        <v>5929</v>
      </c>
    </row>
    <row r="3514" spans="1:10" ht="16.5" customHeight="1" x14ac:dyDescent="0.25">
      <c r="A3514" s="8" t="s">
        <v>11577</v>
      </c>
      <c r="B3514" s="8" t="s">
        <v>11578</v>
      </c>
      <c r="C3514" s="8" t="s">
        <v>11579</v>
      </c>
      <c r="D3514" s="8" t="s">
        <v>11578</v>
      </c>
      <c r="E3514" s="105">
        <v>2.2000000000000002</v>
      </c>
      <c r="F3514" s="106" t="s">
        <v>2024</v>
      </c>
      <c r="G3514" s="8" t="s">
        <v>1541</v>
      </c>
      <c r="H3514" s="8"/>
      <c r="I3514" s="107">
        <v>0</v>
      </c>
      <c r="J3514" s="8" t="s">
        <v>5929</v>
      </c>
    </row>
    <row r="3515" spans="1:10" ht="16.5" customHeight="1" x14ac:dyDescent="0.25">
      <c r="A3515" s="8" t="s">
        <v>11580</v>
      </c>
      <c r="B3515" s="8" t="s">
        <v>11581</v>
      </c>
      <c r="C3515" s="8" t="s">
        <v>11582</v>
      </c>
      <c r="D3515" s="8" t="s">
        <v>11581</v>
      </c>
      <c r="E3515" s="105">
        <v>0</v>
      </c>
      <c r="F3515" s="106" t="s">
        <v>2018</v>
      </c>
      <c r="G3515" s="8"/>
      <c r="H3515" s="8"/>
      <c r="I3515" s="107">
        <v>0</v>
      </c>
      <c r="J3515" s="8" t="s">
        <v>6357</v>
      </c>
    </row>
    <row r="3516" spans="1:10" ht="16.5" customHeight="1" x14ac:dyDescent="0.25">
      <c r="A3516" s="8" t="s">
        <v>11583</v>
      </c>
      <c r="B3516" s="8" t="s">
        <v>11584</v>
      </c>
      <c r="C3516" s="8" t="s">
        <v>1455</v>
      </c>
      <c r="D3516" s="8" t="s">
        <v>11584</v>
      </c>
      <c r="E3516" s="105">
        <v>4.8</v>
      </c>
      <c r="F3516" s="106" t="s">
        <v>2024</v>
      </c>
      <c r="G3516" s="8"/>
      <c r="H3516" s="8"/>
      <c r="I3516" s="107">
        <v>0</v>
      </c>
      <c r="J3516" s="8" t="s">
        <v>5671</v>
      </c>
    </row>
    <row r="3517" spans="1:10" ht="16.5" customHeight="1" x14ac:dyDescent="0.25">
      <c r="A3517" s="8" t="s">
        <v>11585</v>
      </c>
      <c r="B3517" s="8" t="s">
        <v>11586</v>
      </c>
      <c r="C3517" s="8" t="s">
        <v>11587</v>
      </c>
      <c r="D3517" s="8" t="s">
        <v>11586</v>
      </c>
      <c r="E3517" s="105">
        <v>0.2</v>
      </c>
      <c r="F3517" s="106" t="s">
        <v>2024</v>
      </c>
      <c r="G3517" s="8"/>
      <c r="H3517" s="8"/>
      <c r="I3517" s="107">
        <v>0</v>
      </c>
      <c r="J3517" s="8" t="s">
        <v>5671</v>
      </c>
    </row>
    <row r="3518" spans="1:10" ht="16.5" customHeight="1" x14ac:dyDescent="0.25">
      <c r="A3518" s="8" t="s">
        <v>11588</v>
      </c>
      <c r="B3518" s="8" t="s">
        <v>11589</v>
      </c>
      <c r="C3518" s="8" t="s">
        <v>1488</v>
      </c>
      <c r="D3518" s="8" t="s">
        <v>11589</v>
      </c>
      <c r="E3518" s="105">
        <v>4.8</v>
      </c>
      <c r="F3518" s="106" t="s">
        <v>2024</v>
      </c>
      <c r="G3518" s="8"/>
      <c r="H3518" s="8"/>
      <c r="I3518" s="107">
        <v>0</v>
      </c>
      <c r="J3518" s="8" t="s">
        <v>5671</v>
      </c>
    </row>
    <row r="3519" spans="1:10" ht="16.5" customHeight="1" x14ac:dyDescent="0.25">
      <c r="A3519" s="8" t="s">
        <v>11590</v>
      </c>
      <c r="B3519" s="8" t="s">
        <v>11591</v>
      </c>
      <c r="C3519" s="8" t="s">
        <v>1485</v>
      </c>
      <c r="D3519" s="8" t="s">
        <v>11591</v>
      </c>
      <c r="E3519" s="105">
        <v>4.8</v>
      </c>
      <c r="F3519" s="106" t="s">
        <v>2024</v>
      </c>
      <c r="G3519" s="8"/>
      <c r="H3519" s="8"/>
      <c r="I3519" s="107">
        <v>0</v>
      </c>
      <c r="J3519" s="8" t="s">
        <v>5671</v>
      </c>
    </row>
    <row r="3520" spans="1:10" ht="16.5" customHeight="1" x14ac:dyDescent="0.25">
      <c r="A3520" s="8" t="s">
        <v>11592</v>
      </c>
      <c r="B3520" s="8" t="s">
        <v>11593</v>
      </c>
      <c r="C3520" s="8" t="s">
        <v>1536</v>
      </c>
      <c r="D3520" s="8" t="s">
        <v>11593</v>
      </c>
      <c r="E3520" s="105">
        <v>10</v>
      </c>
      <c r="F3520" s="106" t="s">
        <v>2024</v>
      </c>
      <c r="G3520" s="8"/>
      <c r="H3520" s="8"/>
      <c r="I3520" s="107">
        <v>0</v>
      </c>
      <c r="J3520" s="8" t="s">
        <v>5671</v>
      </c>
    </row>
    <row r="3521" spans="1:10" ht="16.5" customHeight="1" x14ac:dyDescent="0.25">
      <c r="A3521" s="8" t="s">
        <v>11594</v>
      </c>
      <c r="B3521" s="8" t="s">
        <v>11595</v>
      </c>
      <c r="C3521" s="8" t="s">
        <v>11596</v>
      </c>
      <c r="D3521" s="8" t="s">
        <v>11595</v>
      </c>
      <c r="E3521" s="105">
        <v>10</v>
      </c>
      <c r="F3521" s="106" t="s">
        <v>2024</v>
      </c>
      <c r="G3521" s="8"/>
      <c r="H3521" s="8"/>
      <c r="I3521" s="107">
        <v>0</v>
      </c>
      <c r="J3521" s="8" t="s">
        <v>5671</v>
      </c>
    </row>
    <row r="3522" spans="1:10" ht="16.5" customHeight="1" x14ac:dyDescent="0.25">
      <c r="A3522" s="8" t="s">
        <v>11597</v>
      </c>
      <c r="B3522" s="8" t="s">
        <v>11598</v>
      </c>
      <c r="C3522" s="8" t="s">
        <v>11599</v>
      </c>
      <c r="D3522" s="8" t="s">
        <v>11598</v>
      </c>
      <c r="E3522" s="105">
        <v>1</v>
      </c>
      <c r="F3522" s="106" t="s">
        <v>2024</v>
      </c>
      <c r="G3522" s="8"/>
      <c r="H3522" s="8"/>
      <c r="I3522" s="107">
        <v>0</v>
      </c>
      <c r="J3522" s="8" t="s">
        <v>5671</v>
      </c>
    </row>
    <row r="3523" spans="1:10" ht="16.5" customHeight="1" x14ac:dyDescent="0.25">
      <c r="A3523" s="8" t="s">
        <v>11600</v>
      </c>
      <c r="B3523" s="8" t="s">
        <v>11601</v>
      </c>
      <c r="C3523" s="8" t="s">
        <v>9778</v>
      </c>
      <c r="D3523" s="8" t="s">
        <v>11601</v>
      </c>
      <c r="E3523" s="105">
        <v>1</v>
      </c>
      <c r="F3523" s="106" t="s">
        <v>2024</v>
      </c>
      <c r="G3523" s="8"/>
      <c r="H3523" s="8"/>
      <c r="I3523" s="107">
        <v>0</v>
      </c>
      <c r="J3523" s="8" t="s">
        <v>3580</v>
      </c>
    </row>
    <row r="3524" spans="1:10" ht="16.5" customHeight="1" x14ac:dyDescent="0.25">
      <c r="A3524" s="8" t="s">
        <v>11602</v>
      </c>
      <c r="B3524" s="8" t="s">
        <v>11603</v>
      </c>
      <c r="C3524" s="8" t="s">
        <v>11604</v>
      </c>
      <c r="D3524" s="8" t="s">
        <v>11603</v>
      </c>
      <c r="E3524" s="105">
        <v>0</v>
      </c>
      <c r="F3524" s="106" t="s">
        <v>2018</v>
      </c>
      <c r="G3524" s="8"/>
      <c r="H3524" s="8"/>
      <c r="I3524" s="107">
        <v>0</v>
      </c>
      <c r="J3524" s="8" t="s">
        <v>4722</v>
      </c>
    </row>
    <row r="3525" spans="1:10" ht="16.5" customHeight="1" x14ac:dyDescent="0.25">
      <c r="A3525" s="8" t="s">
        <v>11605</v>
      </c>
      <c r="B3525" s="8" t="s">
        <v>11606</v>
      </c>
      <c r="C3525" s="8" t="s">
        <v>11607</v>
      </c>
      <c r="D3525" s="8" t="s">
        <v>11606</v>
      </c>
      <c r="E3525" s="105">
        <v>0</v>
      </c>
      <c r="F3525" s="106" t="s">
        <v>2018</v>
      </c>
      <c r="G3525" s="8"/>
      <c r="H3525" s="8"/>
      <c r="I3525" s="107">
        <v>0</v>
      </c>
      <c r="J3525" s="8" t="s">
        <v>4722</v>
      </c>
    </row>
    <row r="3526" spans="1:10" ht="16.5" customHeight="1" x14ac:dyDescent="0.25">
      <c r="A3526" s="8" t="s">
        <v>11608</v>
      </c>
      <c r="B3526" s="8" t="s">
        <v>11609</v>
      </c>
      <c r="C3526" s="8" t="s">
        <v>11610</v>
      </c>
      <c r="D3526" s="8" t="s">
        <v>11609</v>
      </c>
      <c r="E3526" s="105">
        <v>0</v>
      </c>
      <c r="F3526" s="106" t="s">
        <v>2018</v>
      </c>
      <c r="G3526" s="8"/>
      <c r="H3526" s="8"/>
      <c r="I3526" s="107">
        <v>0</v>
      </c>
      <c r="J3526" s="8" t="s">
        <v>4722</v>
      </c>
    </row>
    <row r="3527" spans="1:10" ht="16.5" customHeight="1" x14ac:dyDescent="0.25">
      <c r="A3527" s="8" t="s">
        <v>11611</v>
      </c>
      <c r="B3527" s="8" t="s">
        <v>11612</v>
      </c>
      <c r="C3527" s="8" t="s">
        <v>11613</v>
      </c>
      <c r="D3527" s="8" t="s">
        <v>11612</v>
      </c>
      <c r="E3527" s="105">
        <v>0</v>
      </c>
      <c r="F3527" s="106" t="s">
        <v>2018</v>
      </c>
      <c r="G3527" s="8"/>
      <c r="H3527" s="8"/>
      <c r="I3527" s="107">
        <v>0</v>
      </c>
      <c r="J3527" s="8" t="s">
        <v>4722</v>
      </c>
    </row>
    <row r="3528" spans="1:10" ht="16.5" customHeight="1" x14ac:dyDescent="0.25">
      <c r="A3528" s="8" t="s">
        <v>11614</v>
      </c>
      <c r="B3528" s="8" t="s">
        <v>11615</v>
      </c>
      <c r="C3528" s="8" t="s">
        <v>11616</v>
      </c>
      <c r="D3528" s="8" t="s">
        <v>11615</v>
      </c>
      <c r="E3528" s="105">
        <v>0</v>
      </c>
      <c r="F3528" s="106" t="s">
        <v>2018</v>
      </c>
      <c r="G3528" s="8"/>
      <c r="H3528" s="8"/>
      <c r="I3528" s="107">
        <v>0</v>
      </c>
      <c r="J3528" s="8" t="s">
        <v>4722</v>
      </c>
    </row>
    <row r="3529" spans="1:10" ht="16.5" customHeight="1" x14ac:dyDescent="0.25">
      <c r="A3529" s="8" t="s">
        <v>1764</v>
      </c>
      <c r="B3529" s="8" t="s">
        <v>43</v>
      </c>
      <c r="C3529" s="8" t="s">
        <v>1765</v>
      </c>
      <c r="D3529" s="8" t="s">
        <v>43</v>
      </c>
      <c r="E3529" s="105">
        <v>12.336</v>
      </c>
      <c r="F3529" s="106" t="s">
        <v>2018</v>
      </c>
      <c r="G3529" s="8"/>
      <c r="H3529" s="8" t="s">
        <v>11617</v>
      </c>
      <c r="I3529" s="107">
        <v>12</v>
      </c>
      <c r="J3529" s="8" t="s">
        <v>8097</v>
      </c>
    </row>
    <row r="3530" spans="1:10" ht="16.5" customHeight="1" x14ac:dyDescent="0.25">
      <c r="A3530" s="8" t="s">
        <v>11617</v>
      </c>
      <c r="B3530" s="8" t="s">
        <v>11618</v>
      </c>
      <c r="C3530" s="8" t="s">
        <v>11619</v>
      </c>
      <c r="D3530" s="8" t="s">
        <v>11618</v>
      </c>
      <c r="E3530" s="105">
        <v>1.028</v>
      </c>
      <c r="F3530" s="106" t="s">
        <v>2018</v>
      </c>
      <c r="G3530" s="8"/>
      <c r="H3530" s="8"/>
      <c r="I3530" s="107">
        <v>0</v>
      </c>
      <c r="J3530" s="8" t="s">
        <v>8088</v>
      </c>
    </row>
    <row r="3531" spans="1:10" ht="16.5" customHeight="1" x14ac:dyDescent="0.25">
      <c r="A3531" s="8" t="s">
        <v>11620</v>
      </c>
      <c r="B3531" s="8" t="s">
        <v>6696</v>
      </c>
      <c r="C3531" s="8" t="s">
        <v>6694</v>
      </c>
      <c r="D3531" s="8" t="s">
        <v>6696</v>
      </c>
      <c r="E3531" s="105">
        <v>0</v>
      </c>
      <c r="F3531" s="106" t="s">
        <v>2024</v>
      </c>
      <c r="G3531" s="8"/>
      <c r="H3531" s="8"/>
      <c r="I3531" s="107">
        <v>0</v>
      </c>
      <c r="J3531" s="8" t="s">
        <v>4722</v>
      </c>
    </row>
    <row r="3532" spans="1:10" ht="16.5" customHeight="1" x14ac:dyDescent="0.25">
      <c r="A3532" s="8" t="s">
        <v>11621</v>
      </c>
      <c r="B3532" s="8" t="s">
        <v>10027</v>
      </c>
      <c r="C3532" s="8" t="s">
        <v>10028</v>
      </c>
      <c r="D3532" s="8" t="s">
        <v>10027</v>
      </c>
      <c r="E3532" s="105">
        <v>1</v>
      </c>
      <c r="F3532" s="106" t="s">
        <v>2018</v>
      </c>
      <c r="G3532" s="8"/>
      <c r="H3532" s="8"/>
      <c r="I3532" s="107">
        <v>0</v>
      </c>
      <c r="J3532" s="8" t="s">
        <v>3580</v>
      </c>
    </row>
    <row r="3533" spans="1:10" ht="16.5" customHeight="1" x14ac:dyDescent="0.25">
      <c r="A3533" s="8" t="s">
        <v>11622</v>
      </c>
      <c r="B3533" s="8" t="s">
        <v>10007</v>
      </c>
      <c r="C3533" s="8" t="s">
        <v>10008</v>
      </c>
      <c r="D3533" s="8" t="s">
        <v>10007</v>
      </c>
      <c r="E3533" s="105">
        <v>1</v>
      </c>
      <c r="F3533" s="106" t="s">
        <v>2024</v>
      </c>
      <c r="G3533" s="8"/>
      <c r="H3533" s="8"/>
      <c r="I3533" s="107">
        <v>0</v>
      </c>
      <c r="J3533" s="8" t="s">
        <v>3580</v>
      </c>
    </row>
    <row r="3534" spans="1:10" ht="16.5" customHeight="1" x14ac:dyDescent="0.25">
      <c r="A3534" s="8" t="s">
        <v>11623</v>
      </c>
      <c r="B3534" s="8" t="s">
        <v>1007</v>
      </c>
      <c r="C3534" s="8" t="s">
        <v>1006</v>
      </c>
      <c r="D3534" s="8" t="s">
        <v>1007</v>
      </c>
      <c r="E3534" s="105">
        <v>18</v>
      </c>
      <c r="F3534" s="106" t="s">
        <v>2018</v>
      </c>
      <c r="G3534" s="8"/>
      <c r="H3534" s="8"/>
      <c r="I3534" s="107">
        <v>0</v>
      </c>
      <c r="J3534" s="8" t="s">
        <v>2019</v>
      </c>
    </row>
    <row r="3535" spans="1:10" ht="16.5" customHeight="1" x14ac:dyDescent="0.25">
      <c r="A3535" s="8" t="s">
        <v>11624</v>
      </c>
      <c r="B3535" s="8" t="s">
        <v>11625</v>
      </c>
      <c r="C3535" s="8" t="s">
        <v>9743</v>
      </c>
      <c r="D3535" s="8" t="s">
        <v>11625</v>
      </c>
      <c r="E3535" s="105">
        <v>1</v>
      </c>
      <c r="F3535" s="106" t="s">
        <v>2024</v>
      </c>
      <c r="G3535" s="8"/>
      <c r="H3535" s="8"/>
      <c r="I3535" s="107">
        <v>0</v>
      </c>
      <c r="J3535" s="8" t="s">
        <v>3580</v>
      </c>
    </row>
    <row r="3536" spans="1:10" ht="16.5" customHeight="1" x14ac:dyDescent="0.25">
      <c r="A3536" s="8" t="s">
        <v>11626</v>
      </c>
      <c r="B3536" s="8" t="s">
        <v>11627</v>
      </c>
      <c r="C3536" s="8" t="s">
        <v>11628</v>
      </c>
      <c r="D3536" s="8" t="s">
        <v>11627</v>
      </c>
      <c r="E3536" s="105">
        <v>7.0000000000000007E-2</v>
      </c>
      <c r="F3536" s="106" t="s">
        <v>2024</v>
      </c>
      <c r="G3536" s="8"/>
      <c r="H3536" s="8"/>
      <c r="I3536" s="107">
        <v>0</v>
      </c>
      <c r="J3536" s="8" t="s">
        <v>4722</v>
      </c>
    </row>
    <row r="3537" spans="1:10" ht="16.5" customHeight="1" x14ac:dyDescent="0.25">
      <c r="A3537" s="8" t="s">
        <v>11629</v>
      </c>
      <c r="B3537" s="8" t="s">
        <v>11630</v>
      </c>
      <c r="C3537" s="8" t="s">
        <v>7216</v>
      </c>
      <c r="D3537" s="8" t="s">
        <v>11630</v>
      </c>
      <c r="E3537" s="105">
        <v>25</v>
      </c>
      <c r="F3537" s="106" t="s">
        <v>2018</v>
      </c>
      <c r="G3537" s="8"/>
      <c r="H3537" s="8"/>
      <c r="I3537" s="107">
        <v>0</v>
      </c>
      <c r="J3537" s="8" t="s">
        <v>2019</v>
      </c>
    </row>
    <row r="3538" spans="1:10" ht="16.5" customHeight="1" x14ac:dyDescent="0.25">
      <c r="A3538" s="8" t="s">
        <v>1919</v>
      </c>
      <c r="B3538" s="8" t="s">
        <v>1935</v>
      </c>
      <c r="C3538" s="8" t="s">
        <v>1920</v>
      </c>
      <c r="D3538" s="8" t="s">
        <v>1935</v>
      </c>
      <c r="E3538" s="105">
        <v>0.432</v>
      </c>
      <c r="F3538" s="106" t="s">
        <v>2018</v>
      </c>
      <c r="G3538" s="8"/>
      <c r="H3538" s="8" t="s">
        <v>11631</v>
      </c>
      <c r="I3538" s="107">
        <v>12</v>
      </c>
      <c r="J3538" s="8" t="s">
        <v>8088</v>
      </c>
    </row>
    <row r="3539" spans="1:10" ht="16.5" customHeight="1" x14ac:dyDescent="0.25">
      <c r="A3539" s="8" t="s">
        <v>11631</v>
      </c>
      <c r="B3539" s="8" t="s">
        <v>11632</v>
      </c>
      <c r="C3539" s="8" t="s">
        <v>11633</v>
      </c>
      <c r="D3539" s="8" t="s">
        <v>11632</v>
      </c>
      <c r="E3539" s="105">
        <v>3.5999999999999997E-2</v>
      </c>
      <c r="F3539" s="106" t="s">
        <v>2018</v>
      </c>
      <c r="G3539" s="8"/>
      <c r="H3539" s="8"/>
      <c r="I3539" s="107">
        <v>0</v>
      </c>
      <c r="J3539" s="8" t="s">
        <v>8088</v>
      </c>
    </row>
    <row r="3540" spans="1:10" ht="16.5" customHeight="1" x14ac:dyDescent="0.25">
      <c r="A3540" s="8" t="s">
        <v>11634</v>
      </c>
      <c r="B3540" s="8" t="s">
        <v>11635</v>
      </c>
      <c r="C3540" s="8" t="s">
        <v>11636</v>
      </c>
      <c r="D3540" s="8" t="s">
        <v>11635</v>
      </c>
      <c r="E3540" s="105">
        <v>0.36</v>
      </c>
      <c r="F3540" s="106" t="s">
        <v>2018</v>
      </c>
      <c r="G3540" s="8"/>
      <c r="H3540" s="8" t="s">
        <v>11637</v>
      </c>
      <c r="I3540" s="107">
        <v>12</v>
      </c>
      <c r="J3540" s="8" t="s">
        <v>8088</v>
      </c>
    </row>
    <row r="3541" spans="1:10" ht="16.5" customHeight="1" x14ac:dyDescent="0.25">
      <c r="A3541" s="8" t="s">
        <v>11637</v>
      </c>
      <c r="B3541" s="8" t="s">
        <v>11638</v>
      </c>
      <c r="C3541" s="8" t="s">
        <v>11639</v>
      </c>
      <c r="D3541" s="8" t="s">
        <v>11638</v>
      </c>
      <c r="E3541" s="105">
        <v>0.03</v>
      </c>
      <c r="F3541" s="106" t="s">
        <v>2018</v>
      </c>
      <c r="G3541" s="8"/>
      <c r="H3541" s="8"/>
      <c r="I3541" s="107">
        <v>0</v>
      </c>
      <c r="J3541" s="8" t="s">
        <v>8088</v>
      </c>
    </row>
    <row r="3542" spans="1:10" ht="16.5" customHeight="1" x14ac:dyDescent="0.25">
      <c r="A3542" s="8" t="s">
        <v>1868</v>
      </c>
      <c r="B3542" s="8" t="s">
        <v>11640</v>
      </c>
      <c r="C3542" s="8" t="s">
        <v>11641</v>
      </c>
      <c r="D3542" s="8" t="s">
        <v>11640</v>
      </c>
      <c r="E3542" s="105">
        <v>0.36</v>
      </c>
      <c r="F3542" s="106" t="s">
        <v>2018</v>
      </c>
      <c r="G3542" s="8"/>
      <c r="H3542" s="8" t="s">
        <v>11642</v>
      </c>
      <c r="I3542" s="107">
        <v>12</v>
      </c>
      <c r="J3542" s="8" t="s">
        <v>8088</v>
      </c>
    </row>
    <row r="3543" spans="1:10" ht="16.5" customHeight="1" x14ac:dyDescent="0.25">
      <c r="A3543" s="8" t="s">
        <v>11642</v>
      </c>
      <c r="B3543" s="8" t="s">
        <v>11643</v>
      </c>
      <c r="C3543" s="8" t="s">
        <v>11644</v>
      </c>
      <c r="D3543" s="8" t="s">
        <v>11643</v>
      </c>
      <c r="E3543" s="105">
        <v>0.03</v>
      </c>
      <c r="F3543" s="106" t="s">
        <v>2018</v>
      </c>
      <c r="G3543" s="8"/>
      <c r="H3543" s="8"/>
      <c r="I3543" s="107">
        <v>0</v>
      </c>
      <c r="J3543" s="8" t="s">
        <v>8088</v>
      </c>
    </row>
    <row r="3544" spans="1:10" ht="16.5" customHeight="1" x14ac:dyDescent="0.25">
      <c r="A3544" s="8" t="s">
        <v>1867</v>
      </c>
      <c r="B3544" s="8" t="s">
        <v>1937</v>
      </c>
      <c r="C3544" s="8" t="s">
        <v>1938</v>
      </c>
      <c r="D3544" s="8" t="s">
        <v>1937</v>
      </c>
      <c r="E3544" s="105">
        <v>0.432</v>
      </c>
      <c r="F3544" s="106" t="s">
        <v>2018</v>
      </c>
      <c r="G3544" s="8"/>
      <c r="H3544" s="8" t="s">
        <v>11645</v>
      </c>
      <c r="I3544" s="107">
        <v>12</v>
      </c>
      <c r="J3544" s="8" t="s">
        <v>8088</v>
      </c>
    </row>
    <row r="3545" spans="1:10" ht="16.5" customHeight="1" x14ac:dyDescent="0.25">
      <c r="A3545" s="8" t="s">
        <v>11645</v>
      </c>
      <c r="B3545" s="8" t="s">
        <v>11646</v>
      </c>
      <c r="C3545" s="8" t="s">
        <v>11647</v>
      </c>
      <c r="D3545" s="8" t="s">
        <v>11646</v>
      </c>
      <c r="E3545" s="105">
        <v>3.5999999999999997E-2</v>
      </c>
      <c r="F3545" s="106" t="s">
        <v>2018</v>
      </c>
      <c r="G3545" s="8"/>
      <c r="H3545" s="8"/>
      <c r="I3545" s="107">
        <v>0</v>
      </c>
      <c r="J3545" s="8" t="s">
        <v>8088</v>
      </c>
    </row>
    <row r="3546" spans="1:10" ht="16.5" customHeight="1" x14ac:dyDescent="0.25">
      <c r="A3546" s="8" t="s">
        <v>1870</v>
      </c>
      <c r="B3546" s="8" t="s">
        <v>11648</v>
      </c>
      <c r="C3546" s="8" t="s">
        <v>11649</v>
      </c>
      <c r="D3546" s="8" t="s">
        <v>11648</v>
      </c>
      <c r="E3546" s="105">
        <v>0.432</v>
      </c>
      <c r="F3546" s="106" t="s">
        <v>2018</v>
      </c>
      <c r="G3546" s="8"/>
      <c r="H3546" s="8" t="s">
        <v>11650</v>
      </c>
      <c r="I3546" s="107">
        <v>12</v>
      </c>
      <c r="J3546" s="8" t="s">
        <v>8088</v>
      </c>
    </row>
    <row r="3547" spans="1:10" ht="16.5" customHeight="1" x14ac:dyDescent="0.25">
      <c r="A3547" s="8" t="s">
        <v>11650</v>
      </c>
      <c r="B3547" s="8" t="s">
        <v>11651</v>
      </c>
      <c r="C3547" s="8" t="s">
        <v>11652</v>
      </c>
      <c r="D3547" s="8" t="s">
        <v>11651</v>
      </c>
      <c r="E3547" s="105">
        <v>3.5999999999999997E-2</v>
      </c>
      <c r="F3547" s="106" t="s">
        <v>2018</v>
      </c>
      <c r="G3547" s="8"/>
      <c r="H3547" s="8"/>
      <c r="I3547" s="107">
        <v>0</v>
      </c>
      <c r="J3547" s="8" t="s">
        <v>8088</v>
      </c>
    </row>
    <row r="3548" spans="1:10" ht="16.5" customHeight="1" x14ac:dyDescent="0.25">
      <c r="A3548" s="8" t="s">
        <v>11653</v>
      </c>
      <c r="B3548" s="8" t="s">
        <v>11654</v>
      </c>
      <c r="C3548" s="8" t="s">
        <v>202</v>
      </c>
      <c r="D3548" s="8" t="s">
        <v>11654</v>
      </c>
      <c r="E3548" s="105">
        <v>0.432</v>
      </c>
      <c r="F3548" s="106" t="s">
        <v>2018</v>
      </c>
      <c r="G3548" s="8"/>
      <c r="H3548" s="8" t="s">
        <v>11655</v>
      </c>
      <c r="I3548" s="107">
        <v>12</v>
      </c>
      <c r="J3548" s="8" t="s">
        <v>8088</v>
      </c>
    </row>
    <row r="3549" spans="1:10" ht="16.5" customHeight="1" x14ac:dyDescent="0.25">
      <c r="A3549" s="8" t="s">
        <v>11655</v>
      </c>
      <c r="B3549" s="8" t="s">
        <v>11656</v>
      </c>
      <c r="C3549" s="8" t="s">
        <v>11657</v>
      </c>
      <c r="D3549" s="8" t="s">
        <v>11656</v>
      </c>
      <c r="E3549" s="105">
        <v>3.5999999999999997E-2</v>
      </c>
      <c r="F3549" s="106" t="s">
        <v>2018</v>
      </c>
      <c r="G3549" s="8"/>
      <c r="H3549" s="8"/>
      <c r="I3549" s="107">
        <v>0</v>
      </c>
      <c r="J3549" s="8" t="s">
        <v>8088</v>
      </c>
    </row>
    <row r="3550" spans="1:10" ht="16.5" customHeight="1" x14ac:dyDescent="0.25">
      <c r="A3550" s="8" t="s">
        <v>11658</v>
      </c>
      <c r="B3550" s="8" t="s">
        <v>11659</v>
      </c>
      <c r="C3550" s="8" t="s">
        <v>11660</v>
      </c>
      <c r="D3550" s="8" t="s">
        <v>11659</v>
      </c>
      <c r="E3550" s="105">
        <v>0.36</v>
      </c>
      <c r="F3550" s="106" t="s">
        <v>2018</v>
      </c>
      <c r="G3550" s="8"/>
      <c r="H3550" s="8" t="s">
        <v>11661</v>
      </c>
      <c r="I3550" s="107">
        <v>12</v>
      </c>
      <c r="J3550" s="8" t="s">
        <v>8088</v>
      </c>
    </row>
    <row r="3551" spans="1:10" ht="16.5" customHeight="1" x14ac:dyDescent="0.25">
      <c r="A3551" s="8" t="s">
        <v>11661</v>
      </c>
      <c r="B3551" s="8" t="s">
        <v>11662</v>
      </c>
      <c r="C3551" s="8" t="s">
        <v>11663</v>
      </c>
      <c r="D3551" s="8" t="s">
        <v>11662</v>
      </c>
      <c r="E3551" s="105">
        <v>0.03</v>
      </c>
      <c r="F3551" s="106" t="s">
        <v>2018</v>
      </c>
      <c r="G3551" s="8"/>
      <c r="H3551" s="8"/>
      <c r="I3551" s="107">
        <v>0</v>
      </c>
      <c r="J3551" s="8" t="s">
        <v>8088</v>
      </c>
    </row>
    <row r="3552" spans="1:10" ht="16.5" customHeight="1" x14ac:dyDescent="0.25">
      <c r="A3552" s="8" t="s">
        <v>11664</v>
      </c>
      <c r="B3552" s="8" t="s">
        <v>11665</v>
      </c>
      <c r="C3552" s="8" t="s">
        <v>201</v>
      </c>
      <c r="D3552" s="8" t="s">
        <v>11665</v>
      </c>
      <c r="E3552" s="105">
        <v>0.432</v>
      </c>
      <c r="F3552" s="106" t="s">
        <v>2018</v>
      </c>
      <c r="G3552" s="8"/>
      <c r="H3552" s="8" t="s">
        <v>11666</v>
      </c>
      <c r="I3552" s="107">
        <v>12</v>
      </c>
      <c r="J3552" s="8" t="s">
        <v>8088</v>
      </c>
    </row>
    <row r="3553" spans="1:10" ht="16.5" customHeight="1" x14ac:dyDescent="0.25">
      <c r="A3553" s="8" t="s">
        <v>11666</v>
      </c>
      <c r="B3553" s="8" t="s">
        <v>11667</v>
      </c>
      <c r="C3553" s="8" t="s">
        <v>11668</v>
      </c>
      <c r="D3553" s="8" t="s">
        <v>11667</v>
      </c>
      <c r="E3553" s="105">
        <v>3.5999999999999997E-2</v>
      </c>
      <c r="F3553" s="106" t="s">
        <v>2018</v>
      </c>
      <c r="G3553" s="8"/>
      <c r="H3553" s="8"/>
      <c r="I3553" s="107">
        <v>0</v>
      </c>
      <c r="J3553" s="8" t="s">
        <v>8088</v>
      </c>
    </row>
    <row r="3554" spans="1:10" ht="16.5" customHeight="1" x14ac:dyDescent="0.25">
      <c r="A3554" s="8" t="s">
        <v>11669</v>
      </c>
      <c r="B3554" s="8" t="s">
        <v>11670</v>
      </c>
      <c r="C3554" s="8" t="s">
        <v>10207</v>
      </c>
      <c r="D3554" s="8" t="s">
        <v>11670</v>
      </c>
      <c r="E3554" s="105">
        <v>1</v>
      </c>
      <c r="F3554" s="106" t="s">
        <v>2024</v>
      </c>
      <c r="G3554" s="8"/>
      <c r="H3554" s="8"/>
      <c r="I3554" s="107">
        <v>0</v>
      </c>
      <c r="J3554" s="8" t="s">
        <v>3580</v>
      </c>
    </row>
    <row r="3555" spans="1:10" ht="16.5" customHeight="1" x14ac:dyDescent="0.25">
      <c r="A3555" s="8" t="s">
        <v>11671</v>
      </c>
      <c r="B3555" s="8" t="s">
        <v>11672</v>
      </c>
      <c r="C3555" s="8" t="s">
        <v>10048</v>
      </c>
      <c r="D3555" s="8" t="s">
        <v>11672</v>
      </c>
      <c r="E3555" s="105">
        <v>1</v>
      </c>
      <c r="F3555" s="106" t="s">
        <v>2024</v>
      </c>
      <c r="G3555" s="8"/>
      <c r="H3555" s="8"/>
      <c r="I3555" s="107">
        <v>0</v>
      </c>
      <c r="J3555" s="8" t="s">
        <v>3580</v>
      </c>
    </row>
    <row r="3556" spans="1:10" ht="16.5" customHeight="1" x14ac:dyDescent="0.25">
      <c r="A3556" s="8" t="s">
        <v>11673</v>
      </c>
      <c r="B3556" s="8" t="s">
        <v>11674</v>
      </c>
      <c r="C3556" s="8" t="s">
        <v>11675</v>
      </c>
      <c r="D3556" s="8" t="s">
        <v>11674</v>
      </c>
      <c r="E3556" s="105">
        <v>2.5</v>
      </c>
      <c r="F3556" s="106" t="s">
        <v>2018</v>
      </c>
      <c r="G3556" s="8"/>
      <c r="H3556" s="8" t="s">
        <v>11676</v>
      </c>
      <c r="I3556" s="107">
        <v>50</v>
      </c>
      <c r="J3556" s="8" t="s">
        <v>8088</v>
      </c>
    </row>
    <row r="3557" spans="1:10" ht="16.5" customHeight="1" x14ac:dyDescent="0.25">
      <c r="A3557" s="8" t="s">
        <v>11676</v>
      </c>
      <c r="B3557" s="8" t="s">
        <v>11677</v>
      </c>
      <c r="C3557" s="8" t="s">
        <v>11678</v>
      </c>
      <c r="D3557" s="8" t="s">
        <v>11677</v>
      </c>
      <c r="E3557" s="105">
        <v>0.05</v>
      </c>
      <c r="F3557" s="106" t="s">
        <v>2018</v>
      </c>
      <c r="G3557" s="8"/>
      <c r="H3557" s="8"/>
      <c r="I3557" s="107">
        <v>0</v>
      </c>
      <c r="J3557" s="8" t="s">
        <v>8088</v>
      </c>
    </row>
    <row r="3558" spans="1:10" ht="16.5" customHeight="1" x14ac:dyDescent="0.25">
      <c r="A3558" s="8" t="s">
        <v>11679</v>
      </c>
      <c r="B3558" s="8" t="s">
        <v>1896</v>
      </c>
      <c r="C3558" s="8" t="s">
        <v>11680</v>
      </c>
      <c r="D3558" s="8" t="s">
        <v>1896</v>
      </c>
      <c r="E3558" s="105">
        <v>5</v>
      </c>
      <c r="F3558" s="106" t="s">
        <v>2018</v>
      </c>
      <c r="G3558" s="8"/>
      <c r="H3558" s="8" t="s">
        <v>11681</v>
      </c>
      <c r="I3558" s="107">
        <v>5</v>
      </c>
      <c r="J3558" s="8" t="s">
        <v>8088</v>
      </c>
    </row>
    <row r="3559" spans="1:10" ht="16.5" customHeight="1" x14ac:dyDescent="0.25">
      <c r="A3559" s="8" t="s">
        <v>11681</v>
      </c>
      <c r="B3559" s="8" t="s">
        <v>11682</v>
      </c>
      <c r="C3559" s="8" t="s">
        <v>11683</v>
      </c>
      <c r="D3559" s="8" t="s">
        <v>11682</v>
      </c>
      <c r="E3559" s="105">
        <v>1</v>
      </c>
      <c r="F3559" s="106" t="s">
        <v>2018</v>
      </c>
      <c r="G3559" s="8"/>
      <c r="H3559" s="8"/>
      <c r="I3559" s="107">
        <v>0</v>
      </c>
      <c r="J3559" s="8" t="s">
        <v>8088</v>
      </c>
    </row>
    <row r="3560" spans="1:10" ht="16.5" customHeight="1" x14ac:dyDescent="0.25">
      <c r="A3560" s="8" t="s">
        <v>11684</v>
      </c>
      <c r="B3560" s="8" t="s">
        <v>11685</v>
      </c>
      <c r="C3560" s="8" t="s">
        <v>11686</v>
      </c>
      <c r="D3560" s="8" t="s">
        <v>11685</v>
      </c>
      <c r="E3560" s="105">
        <v>2.5</v>
      </c>
      <c r="F3560" s="106" t="s">
        <v>2018</v>
      </c>
      <c r="G3560" s="8"/>
      <c r="H3560" s="8" t="s">
        <v>11687</v>
      </c>
      <c r="I3560" s="107">
        <v>50</v>
      </c>
      <c r="J3560" s="8" t="s">
        <v>8088</v>
      </c>
    </row>
    <row r="3561" spans="1:10" ht="16.5" customHeight="1" x14ac:dyDescent="0.25">
      <c r="A3561" s="8" t="s">
        <v>11687</v>
      </c>
      <c r="B3561" s="8" t="s">
        <v>11688</v>
      </c>
      <c r="C3561" s="8" t="s">
        <v>11689</v>
      </c>
      <c r="D3561" s="8" t="s">
        <v>11688</v>
      </c>
      <c r="E3561" s="105">
        <v>0.05</v>
      </c>
      <c r="F3561" s="106" t="s">
        <v>2018</v>
      </c>
      <c r="G3561" s="8"/>
      <c r="H3561" s="8"/>
      <c r="I3561" s="107">
        <v>0</v>
      </c>
      <c r="J3561" s="8" t="s">
        <v>8088</v>
      </c>
    </row>
    <row r="3562" spans="1:10" ht="16.5" customHeight="1" x14ac:dyDescent="0.25">
      <c r="A3562" s="8" t="s">
        <v>11690</v>
      </c>
      <c r="B3562" s="8" t="s">
        <v>11691</v>
      </c>
      <c r="C3562" s="8" t="s">
        <v>11692</v>
      </c>
      <c r="D3562" s="8" t="s">
        <v>11691</v>
      </c>
      <c r="E3562" s="105">
        <v>2.5</v>
      </c>
      <c r="F3562" s="106" t="s">
        <v>2018</v>
      </c>
      <c r="G3562" s="8"/>
      <c r="H3562" s="8" t="s">
        <v>11693</v>
      </c>
      <c r="I3562" s="107">
        <v>50</v>
      </c>
      <c r="J3562" s="8" t="s">
        <v>8088</v>
      </c>
    </row>
    <row r="3563" spans="1:10" ht="16.5" customHeight="1" x14ac:dyDescent="0.25">
      <c r="A3563" s="8" t="s">
        <v>11693</v>
      </c>
      <c r="B3563" s="8" t="s">
        <v>11694</v>
      </c>
      <c r="C3563" s="8" t="s">
        <v>11695</v>
      </c>
      <c r="D3563" s="8" t="s">
        <v>11694</v>
      </c>
      <c r="E3563" s="105">
        <v>0.05</v>
      </c>
      <c r="F3563" s="106" t="s">
        <v>2018</v>
      </c>
      <c r="G3563" s="8"/>
      <c r="H3563" s="8"/>
      <c r="I3563" s="107">
        <v>0</v>
      </c>
      <c r="J3563" s="8" t="s">
        <v>8088</v>
      </c>
    </row>
    <row r="3564" spans="1:10" ht="16.5" customHeight="1" x14ac:dyDescent="0.25">
      <c r="A3564" s="8" t="s">
        <v>1854</v>
      </c>
      <c r="B3564" s="8" t="s">
        <v>1856</v>
      </c>
      <c r="C3564" s="8" t="s">
        <v>1855</v>
      </c>
      <c r="D3564" s="8" t="s">
        <v>1856</v>
      </c>
      <c r="E3564" s="105">
        <v>1.2</v>
      </c>
      <c r="F3564" s="106" t="s">
        <v>2018</v>
      </c>
      <c r="G3564" s="8"/>
      <c r="H3564" s="8" t="s">
        <v>11696</v>
      </c>
      <c r="I3564" s="107">
        <v>24</v>
      </c>
      <c r="J3564" s="8" t="s">
        <v>8088</v>
      </c>
    </row>
    <row r="3565" spans="1:10" ht="16.5" customHeight="1" x14ac:dyDescent="0.25">
      <c r="A3565" s="8" t="s">
        <v>11696</v>
      </c>
      <c r="B3565" s="8" t="s">
        <v>11697</v>
      </c>
      <c r="C3565" s="8" t="s">
        <v>11698</v>
      </c>
      <c r="D3565" s="8" t="s">
        <v>11697</v>
      </c>
      <c r="E3565" s="105">
        <v>0.05</v>
      </c>
      <c r="F3565" s="106" t="s">
        <v>2018</v>
      </c>
      <c r="G3565" s="8"/>
      <c r="H3565" s="8"/>
      <c r="I3565" s="107">
        <v>0</v>
      </c>
      <c r="J3565" s="8" t="s">
        <v>8088</v>
      </c>
    </row>
    <row r="3566" spans="1:10" ht="16.5" customHeight="1" x14ac:dyDescent="0.25">
      <c r="A3566" s="8" t="s">
        <v>11699</v>
      </c>
      <c r="B3566" s="8" t="s">
        <v>11700</v>
      </c>
      <c r="C3566" s="8" t="s">
        <v>11701</v>
      </c>
      <c r="D3566" s="8" t="s">
        <v>11700</v>
      </c>
      <c r="E3566" s="105">
        <v>1.8</v>
      </c>
      <c r="F3566" s="106" t="s">
        <v>2018</v>
      </c>
      <c r="G3566" s="8"/>
      <c r="H3566" s="8" t="s">
        <v>11702</v>
      </c>
      <c r="I3566" s="107">
        <v>36</v>
      </c>
      <c r="J3566" s="8" t="s">
        <v>8088</v>
      </c>
    </row>
    <row r="3567" spans="1:10" ht="16.5" customHeight="1" x14ac:dyDescent="0.25">
      <c r="A3567" s="8" t="s">
        <v>11702</v>
      </c>
      <c r="B3567" s="8" t="s">
        <v>11703</v>
      </c>
      <c r="C3567" s="8" t="s">
        <v>11704</v>
      </c>
      <c r="D3567" s="8" t="s">
        <v>11703</v>
      </c>
      <c r="E3567" s="105">
        <v>0.05</v>
      </c>
      <c r="F3567" s="106" t="s">
        <v>2018</v>
      </c>
      <c r="G3567" s="8"/>
      <c r="H3567" s="8"/>
      <c r="I3567" s="107">
        <v>0</v>
      </c>
      <c r="J3567" s="8" t="s">
        <v>8088</v>
      </c>
    </row>
    <row r="3568" spans="1:10" ht="16.5" customHeight="1" x14ac:dyDescent="0.25">
      <c r="A3568" s="8" t="s">
        <v>11705</v>
      </c>
      <c r="B3568" s="8" t="s">
        <v>11706</v>
      </c>
      <c r="C3568" s="8" t="s">
        <v>11707</v>
      </c>
      <c r="D3568" s="8" t="s">
        <v>11706</v>
      </c>
      <c r="E3568" s="105">
        <v>1.8</v>
      </c>
      <c r="F3568" s="106" t="s">
        <v>2018</v>
      </c>
      <c r="G3568" s="8"/>
      <c r="H3568" s="8" t="s">
        <v>11708</v>
      </c>
      <c r="I3568" s="107">
        <v>36</v>
      </c>
      <c r="J3568" s="8" t="s">
        <v>8088</v>
      </c>
    </row>
    <row r="3569" spans="1:10" ht="16.5" customHeight="1" x14ac:dyDescent="0.25">
      <c r="A3569" s="8" t="s">
        <v>11708</v>
      </c>
      <c r="B3569" s="8" t="s">
        <v>11709</v>
      </c>
      <c r="C3569" s="8" t="s">
        <v>11710</v>
      </c>
      <c r="D3569" s="8" t="s">
        <v>11709</v>
      </c>
      <c r="E3569" s="105">
        <v>0.05</v>
      </c>
      <c r="F3569" s="106" t="s">
        <v>2018</v>
      </c>
      <c r="G3569" s="8"/>
      <c r="H3569" s="8"/>
      <c r="I3569" s="107">
        <v>0</v>
      </c>
      <c r="J3569" s="8" t="s">
        <v>8088</v>
      </c>
    </row>
    <row r="3570" spans="1:10" ht="16.5" customHeight="1" x14ac:dyDescent="0.25">
      <c r="A3570" s="8" t="s">
        <v>11711</v>
      </c>
      <c r="B3570" s="8" t="s">
        <v>11712</v>
      </c>
      <c r="C3570" s="8" t="s">
        <v>11713</v>
      </c>
      <c r="D3570" s="8" t="s">
        <v>11712</v>
      </c>
      <c r="E3570" s="105">
        <v>7.2</v>
      </c>
      <c r="F3570" s="106" t="s">
        <v>2018</v>
      </c>
      <c r="G3570" s="8"/>
      <c r="H3570" s="8" t="s">
        <v>11714</v>
      </c>
      <c r="I3570" s="107">
        <v>72</v>
      </c>
      <c r="J3570" s="8" t="s">
        <v>8088</v>
      </c>
    </row>
    <row r="3571" spans="1:10" ht="16.5" customHeight="1" x14ac:dyDescent="0.25">
      <c r="A3571" s="8" t="s">
        <v>11714</v>
      </c>
      <c r="B3571" s="8" t="s">
        <v>11715</v>
      </c>
      <c r="C3571" s="8" t="s">
        <v>11716</v>
      </c>
      <c r="D3571" s="8" t="s">
        <v>11715</v>
      </c>
      <c r="E3571" s="105">
        <v>0.1</v>
      </c>
      <c r="F3571" s="106" t="s">
        <v>2018</v>
      </c>
      <c r="G3571" s="8"/>
      <c r="H3571" s="8"/>
      <c r="I3571" s="107">
        <v>0</v>
      </c>
      <c r="J3571" s="8" t="s">
        <v>8088</v>
      </c>
    </row>
    <row r="3572" spans="1:10" ht="16.5" customHeight="1" x14ac:dyDescent="0.25">
      <c r="A3572" s="8" t="s">
        <v>1780</v>
      </c>
      <c r="B3572" s="8" t="s">
        <v>1782</v>
      </c>
      <c r="C3572" s="8" t="s">
        <v>1781</v>
      </c>
      <c r="D3572" s="8" t="s">
        <v>1782</v>
      </c>
      <c r="E3572" s="105">
        <v>0.96</v>
      </c>
      <c r="F3572" s="106" t="s">
        <v>2018</v>
      </c>
      <c r="G3572" s="8"/>
      <c r="H3572" s="8" t="s">
        <v>11717</v>
      </c>
      <c r="I3572" s="107">
        <v>24</v>
      </c>
      <c r="J3572" s="8" t="s">
        <v>8088</v>
      </c>
    </row>
    <row r="3573" spans="1:10" ht="16.5" customHeight="1" x14ac:dyDescent="0.25">
      <c r="A3573" s="8" t="s">
        <v>11717</v>
      </c>
      <c r="B3573" s="8" t="s">
        <v>11718</v>
      </c>
      <c r="C3573" s="8" t="s">
        <v>11719</v>
      </c>
      <c r="D3573" s="8" t="s">
        <v>11718</v>
      </c>
      <c r="E3573" s="105">
        <v>0.04</v>
      </c>
      <c r="F3573" s="106" t="s">
        <v>2018</v>
      </c>
      <c r="G3573" s="8"/>
      <c r="H3573" s="8"/>
      <c r="I3573" s="107">
        <v>0</v>
      </c>
      <c r="J3573" s="8" t="s">
        <v>8088</v>
      </c>
    </row>
    <row r="3574" spans="1:10" ht="16.5" customHeight="1" x14ac:dyDescent="0.25">
      <c r="A3574" s="8" t="s">
        <v>11720</v>
      </c>
      <c r="B3574" s="8" t="s">
        <v>11721</v>
      </c>
      <c r="C3574" s="8" t="s">
        <v>11722</v>
      </c>
      <c r="D3574" s="8" t="s">
        <v>11721</v>
      </c>
      <c r="E3574" s="105">
        <v>0</v>
      </c>
      <c r="F3574" s="106" t="s">
        <v>2024</v>
      </c>
      <c r="G3574" s="8"/>
      <c r="H3574" s="8"/>
      <c r="I3574" s="107">
        <v>0</v>
      </c>
      <c r="J3574" s="8" t="s">
        <v>4789</v>
      </c>
    </row>
    <row r="3575" spans="1:10" ht="16.5" customHeight="1" x14ac:dyDescent="0.25">
      <c r="A3575" s="8" t="s">
        <v>11723</v>
      </c>
      <c r="B3575" s="8" t="s">
        <v>11724</v>
      </c>
      <c r="C3575" s="8" t="s">
        <v>11725</v>
      </c>
      <c r="D3575" s="8" t="s">
        <v>11724</v>
      </c>
      <c r="E3575" s="105">
        <v>1</v>
      </c>
      <c r="F3575" s="106" t="s">
        <v>2018</v>
      </c>
      <c r="G3575" s="8"/>
      <c r="H3575" s="8"/>
      <c r="I3575" s="107">
        <v>0</v>
      </c>
      <c r="J3575" s="8" t="s">
        <v>6357</v>
      </c>
    </row>
    <row r="3576" spans="1:10" ht="16.5" customHeight="1" x14ac:dyDescent="0.25">
      <c r="A3576" s="8" t="s">
        <v>11726</v>
      </c>
      <c r="B3576" s="8" t="s">
        <v>11727</v>
      </c>
      <c r="C3576" s="8" t="s">
        <v>11728</v>
      </c>
      <c r="D3576" s="8" t="s">
        <v>11727</v>
      </c>
      <c r="E3576" s="105">
        <v>1</v>
      </c>
      <c r="F3576" s="106" t="s">
        <v>2018</v>
      </c>
      <c r="G3576" s="8"/>
      <c r="H3576" s="8"/>
      <c r="I3576" s="107">
        <v>0</v>
      </c>
      <c r="J3576" s="8" t="s">
        <v>6357</v>
      </c>
    </row>
    <row r="3577" spans="1:10" ht="16.5" customHeight="1" x14ac:dyDescent="0.25">
      <c r="A3577" s="8" t="s">
        <v>11729</v>
      </c>
      <c r="B3577" s="8" t="s">
        <v>11730</v>
      </c>
      <c r="C3577" s="8" t="s">
        <v>11731</v>
      </c>
      <c r="D3577" s="8" t="s">
        <v>11730</v>
      </c>
      <c r="E3577" s="105">
        <v>20</v>
      </c>
      <c r="F3577" s="106" t="s">
        <v>2018</v>
      </c>
      <c r="G3577" s="8"/>
      <c r="H3577" s="8"/>
      <c r="I3577" s="107">
        <v>0</v>
      </c>
      <c r="J3577" s="8" t="s">
        <v>2019</v>
      </c>
    </row>
    <row r="3578" spans="1:10" ht="16.5" customHeight="1" x14ac:dyDescent="0.25">
      <c r="A3578" s="8" t="s">
        <v>11732</v>
      </c>
      <c r="B3578" s="8" t="s">
        <v>11733</v>
      </c>
      <c r="C3578" s="8" t="s">
        <v>5404</v>
      </c>
      <c r="D3578" s="8" t="s">
        <v>11733</v>
      </c>
      <c r="E3578" s="105">
        <v>0</v>
      </c>
      <c r="F3578" s="106" t="s">
        <v>2024</v>
      </c>
      <c r="G3578" s="8"/>
      <c r="H3578" s="8"/>
      <c r="I3578" s="107">
        <v>0</v>
      </c>
      <c r="J3578" s="8" t="s">
        <v>3580</v>
      </c>
    </row>
    <row r="3579" spans="1:10" ht="16.5" customHeight="1" x14ac:dyDescent="0.25">
      <c r="A3579" s="8" t="s">
        <v>11393</v>
      </c>
      <c r="B3579" s="8" t="s">
        <v>11734</v>
      </c>
      <c r="C3579" s="8" t="s">
        <v>11735</v>
      </c>
      <c r="D3579" s="8" t="s">
        <v>11734</v>
      </c>
      <c r="E3579" s="105">
        <v>3.5</v>
      </c>
      <c r="F3579" s="106" t="s">
        <v>2018</v>
      </c>
      <c r="G3579" s="8"/>
      <c r="H3579" s="8"/>
      <c r="I3579" s="107">
        <v>0</v>
      </c>
      <c r="J3579" s="8" t="s">
        <v>10697</v>
      </c>
    </row>
    <row r="3580" spans="1:10" ht="16.5" customHeight="1" x14ac:dyDescent="0.25">
      <c r="A3580" s="8" t="s">
        <v>11736</v>
      </c>
      <c r="B3580" s="8" t="s">
        <v>11737</v>
      </c>
      <c r="C3580" s="8" t="s">
        <v>11738</v>
      </c>
      <c r="D3580" s="8" t="s">
        <v>11737</v>
      </c>
      <c r="E3580" s="105">
        <v>0</v>
      </c>
      <c r="F3580" s="106" t="s">
        <v>2024</v>
      </c>
      <c r="G3580" s="8"/>
      <c r="H3580" s="8"/>
      <c r="I3580" s="107">
        <v>0</v>
      </c>
      <c r="J3580" s="8" t="s">
        <v>5929</v>
      </c>
    </row>
    <row r="3581" spans="1:10" ht="16.5" customHeight="1" x14ac:dyDescent="0.25">
      <c r="A3581" s="8" t="s">
        <v>11739</v>
      </c>
      <c r="B3581" s="8" t="s">
        <v>11740</v>
      </c>
      <c r="C3581" s="8" t="s">
        <v>11741</v>
      </c>
      <c r="D3581" s="8" t="s">
        <v>11740</v>
      </c>
      <c r="E3581" s="105">
        <v>0</v>
      </c>
      <c r="F3581" s="106" t="s">
        <v>2024</v>
      </c>
      <c r="G3581" s="8"/>
      <c r="H3581" s="8"/>
      <c r="I3581" s="107">
        <v>0</v>
      </c>
      <c r="J3581" s="8" t="s">
        <v>5929</v>
      </c>
    </row>
    <row r="3582" spans="1:10" ht="16.5" customHeight="1" x14ac:dyDescent="0.25">
      <c r="A3582" s="8" t="s">
        <v>11742</v>
      </c>
      <c r="B3582" s="8" t="s">
        <v>11743</v>
      </c>
      <c r="C3582" s="8" t="s">
        <v>11744</v>
      </c>
      <c r="D3582" s="8" t="s">
        <v>11743</v>
      </c>
      <c r="E3582" s="105">
        <v>0</v>
      </c>
      <c r="F3582" s="106" t="s">
        <v>2024</v>
      </c>
      <c r="G3582" s="8"/>
      <c r="H3582" s="8"/>
      <c r="I3582" s="107">
        <v>0</v>
      </c>
      <c r="J3582" s="8" t="s">
        <v>5929</v>
      </c>
    </row>
    <row r="3583" spans="1:10" ht="16.5" customHeight="1" x14ac:dyDescent="0.25">
      <c r="A3583" s="8" t="s">
        <v>11745</v>
      </c>
      <c r="B3583" s="8" t="s">
        <v>11746</v>
      </c>
      <c r="C3583" s="8" t="s">
        <v>11747</v>
      </c>
      <c r="D3583" s="8" t="s">
        <v>11746</v>
      </c>
      <c r="E3583" s="105">
        <v>0</v>
      </c>
      <c r="F3583" s="106" t="s">
        <v>2024</v>
      </c>
      <c r="G3583" s="8"/>
      <c r="H3583" s="8"/>
      <c r="I3583" s="107">
        <v>0</v>
      </c>
      <c r="J3583" s="8" t="s">
        <v>5929</v>
      </c>
    </row>
    <row r="3584" spans="1:10" ht="16.5" customHeight="1" x14ac:dyDescent="0.25">
      <c r="A3584" s="8" t="s">
        <v>11748</v>
      </c>
      <c r="B3584" s="8" t="s">
        <v>11749</v>
      </c>
      <c r="C3584" s="8" t="s">
        <v>11750</v>
      </c>
      <c r="D3584" s="8" t="s">
        <v>11749</v>
      </c>
      <c r="E3584" s="105">
        <v>0</v>
      </c>
      <c r="F3584" s="106" t="s">
        <v>2024</v>
      </c>
      <c r="G3584" s="8"/>
      <c r="H3584" s="8"/>
      <c r="I3584" s="107">
        <v>0</v>
      </c>
      <c r="J3584" s="8" t="s">
        <v>5929</v>
      </c>
    </row>
    <row r="3585" spans="1:10" ht="16.5" customHeight="1" x14ac:dyDescent="0.25">
      <c r="A3585" s="8" t="s">
        <v>11751</v>
      </c>
      <c r="B3585" s="8" t="s">
        <v>11752</v>
      </c>
      <c r="C3585" s="8" t="s">
        <v>11753</v>
      </c>
      <c r="D3585" s="8" t="s">
        <v>11752</v>
      </c>
      <c r="E3585" s="105">
        <v>0</v>
      </c>
      <c r="F3585" s="106" t="s">
        <v>2024</v>
      </c>
      <c r="G3585" s="8"/>
      <c r="H3585" s="8"/>
      <c r="I3585" s="107">
        <v>0</v>
      </c>
      <c r="J3585" s="8" t="s">
        <v>5929</v>
      </c>
    </row>
    <row r="3586" spans="1:10" ht="16.5" customHeight="1" x14ac:dyDescent="0.25">
      <c r="A3586" s="8" t="s">
        <v>11754</v>
      </c>
      <c r="B3586" s="8" t="s">
        <v>11755</v>
      </c>
      <c r="C3586" s="8" t="s">
        <v>10645</v>
      </c>
      <c r="D3586" s="8" t="s">
        <v>11755</v>
      </c>
      <c r="E3586" s="105">
        <v>1</v>
      </c>
      <c r="F3586" s="106" t="s">
        <v>2024</v>
      </c>
      <c r="G3586" s="8"/>
      <c r="H3586" s="8"/>
      <c r="I3586" s="107">
        <v>0</v>
      </c>
      <c r="J3586" s="8" t="s">
        <v>3580</v>
      </c>
    </row>
    <row r="3587" spans="1:10" ht="16.5" customHeight="1" x14ac:dyDescent="0.25">
      <c r="A3587" s="8" t="s">
        <v>11756</v>
      </c>
      <c r="B3587" s="8" t="s">
        <v>11757</v>
      </c>
      <c r="C3587" s="8" t="s">
        <v>10645</v>
      </c>
      <c r="D3587" s="8" t="s">
        <v>11757</v>
      </c>
      <c r="E3587" s="105">
        <v>1</v>
      </c>
      <c r="F3587" s="106" t="s">
        <v>2024</v>
      </c>
      <c r="G3587" s="8"/>
      <c r="H3587" s="8"/>
      <c r="I3587" s="107">
        <v>0</v>
      </c>
      <c r="J3587" s="8" t="s">
        <v>3580</v>
      </c>
    </row>
    <row r="3588" spans="1:10" ht="16.5" customHeight="1" x14ac:dyDescent="0.25">
      <c r="A3588" s="8" t="s">
        <v>11758</v>
      </c>
      <c r="B3588" s="8" t="s">
        <v>11759</v>
      </c>
      <c r="C3588" s="8" t="s">
        <v>11760</v>
      </c>
      <c r="D3588" s="8" t="s">
        <v>11759</v>
      </c>
      <c r="E3588" s="105">
        <v>15</v>
      </c>
      <c r="F3588" s="106" t="s">
        <v>2024</v>
      </c>
      <c r="G3588" s="8" t="s">
        <v>1541</v>
      </c>
      <c r="H3588" s="8" t="s">
        <v>11761</v>
      </c>
      <c r="I3588" s="107">
        <v>3</v>
      </c>
      <c r="J3588" s="8" t="s">
        <v>5929</v>
      </c>
    </row>
    <row r="3589" spans="1:10" ht="16.5" customHeight="1" x14ac:dyDescent="0.25">
      <c r="A3589" s="8" t="s">
        <v>11762</v>
      </c>
      <c r="B3589" s="8" t="s">
        <v>11763</v>
      </c>
      <c r="C3589" s="8" t="s">
        <v>11764</v>
      </c>
      <c r="D3589" s="8" t="s">
        <v>11763</v>
      </c>
      <c r="E3589" s="105">
        <v>20</v>
      </c>
      <c r="F3589" s="106" t="s">
        <v>2024</v>
      </c>
      <c r="G3589" s="8" t="s">
        <v>1541</v>
      </c>
      <c r="H3589" s="8" t="s">
        <v>11765</v>
      </c>
      <c r="I3589" s="107">
        <v>2</v>
      </c>
      <c r="J3589" s="8" t="s">
        <v>5929</v>
      </c>
    </row>
    <row r="3590" spans="1:10" ht="16.5" customHeight="1" x14ac:dyDescent="0.25">
      <c r="A3590" s="8" t="s">
        <v>11761</v>
      </c>
      <c r="B3590" s="8" t="s">
        <v>11766</v>
      </c>
      <c r="C3590" s="8" t="s">
        <v>11767</v>
      </c>
      <c r="D3590" s="8" t="s">
        <v>11766</v>
      </c>
      <c r="E3590" s="105">
        <v>5</v>
      </c>
      <c r="F3590" s="106" t="s">
        <v>2024</v>
      </c>
      <c r="G3590" s="8" t="s">
        <v>1541</v>
      </c>
      <c r="H3590" s="8"/>
      <c r="I3590" s="107">
        <v>0</v>
      </c>
      <c r="J3590" s="8" t="s">
        <v>5929</v>
      </c>
    </row>
    <row r="3591" spans="1:10" ht="16.5" customHeight="1" x14ac:dyDescent="0.25">
      <c r="A3591" s="8" t="s">
        <v>11765</v>
      </c>
      <c r="B3591" s="8" t="s">
        <v>11768</v>
      </c>
      <c r="C3591" s="8" t="s">
        <v>11769</v>
      </c>
      <c r="D3591" s="8" t="s">
        <v>11768</v>
      </c>
      <c r="E3591" s="105">
        <v>10</v>
      </c>
      <c r="F3591" s="106" t="s">
        <v>2024</v>
      </c>
      <c r="G3591" s="8" t="s">
        <v>1541</v>
      </c>
      <c r="H3591" s="8"/>
      <c r="I3591" s="107">
        <v>0</v>
      </c>
      <c r="J3591" s="8" t="s">
        <v>5929</v>
      </c>
    </row>
    <row r="3592" spans="1:10" ht="16.5" customHeight="1" x14ac:dyDescent="0.25">
      <c r="A3592" s="8" t="s">
        <v>11770</v>
      </c>
      <c r="B3592" s="8" t="s">
        <v>11771</v>
      </c>
      <c r="C3592" s="8" t="s">
        <v>11772</v>
      </c>
      <c r="D3592" s="8" t="s">
        <v>11771</v>
      </c>
      <c r="E3592" s="105">
        <v>0</v>
      </c>
      <c r="F3592" s="106" t="s">
        <v>2018</v>
      </c>
      <c r="G3592" s="8"/>
      <c r="H3592" s="8"/>
      <c r="I3592" s="107">
        <v>0</v>
      </c>
      <c r="J3592" s="8" t="s">
        <v>6357</v>
      </c>
    </row>
    <row r="3593" spans="1:10" ht="16.5" customHeight="1" x14ac:dyDescent="0.25">
      <c r="A3593" s="8" t="s">
        <v>11773</v>
      </c>
      <c r="B3593" s="8" t="s">
        <v>11774</v>
      </c>
      <c r="C3593" s="8" t="s">
        <v>11775</v>
      </c>
      <c r="D3593" s="8" t="s">
        <v>11774</v>
      </c>
      <c r="E3593" s="105">
        <v>0</v>
      </c>
      <c r="F3593" s="106" t="s">
        <v>2018</v>
      </c>
      <c r="G3593" s="8"/>
      <c r="H3593" s="8"/>
      <c r="I3593" s="107">
        <v>0</v>
      </c>
      <c r="J3593" s="8" t="s">
        <v>6357</v>
      </c>
    </row>
    <row r="3594" spans="1:10" ht="16.5" customHeight="1" x14ac:dyDescent="0.25">
      <c r="A3594" s="8" t="s">
        <v>11776</v>
      </c>
      <c r="B3594" s="8" t="s">
        <v>11777</v>
      </c>
      <c r="C3594" s="8" t="s">
        <v>11778</v>
      </c>
      <c r="D3594" s="8" t="s">
        <v>11777</v>
      </c>
      <c r="E3594" s="105">
        <v>0</v>
      </c>
      <c r="F3594" s="106" t="s">
        <v>2018</v>
      </c>
      <c r="G3594" s="8"/>
      <c r="H3594" s="8"/>
      <c r="I3594" s="107">
        <v>0</v>
      </c>
      <c r="J3594" s="8" t="s">
        <v>6357</v>
      </c>
    </row>
    <row r="3595" spans="1:10" ht="16.5" customHeight="1" x14ac:dyDescent="0.25">
      <c r="A3595" s="8" t="s">
        <v>11779</v>
      </c>
      <c r="B3595" s="8" t="s">
        <v>11780</v>
      </c>
      <c r="C3595" s="8" t="s">
        <v>11781</v>
      </c>
      <c r="D3595" s="8" t="s">
        <v>11780</v>
      </c>
      <c r="E3595" s="105">
        <v>0</v>
      </c>
      <c r="F3595" s="106" t="s">
        <v>2018</v>
      </c>
      <c r="G3595" s="8"/>
      <c r="H3595" s="8"/>
      <c r="I3595" s="107">
        <v>0</v>
      </c>
      <c r="J3595" s="8" t="s">
        <v>8088</v>
      </c>
    </row>
    <row r="3596" spans="1:10" ht="16.5" customHeight="1" x14ac:dyDescent="0.25">
      <c r="A3596" s="8" t="s">
        <v>11782</v>
      </c>
      <c r="B3596" s="8" t="s">
        <v>11783</v>
      </c>
      <c r="C3596" s="8" t="s">
        <v>11784</v>
      </c>
      <c r="D3596" s="8" t="s">
        <v>11783</v>
      </c>
      <c r="E3596" s="105">
        <v>0</v>
      </c>
      <c r="F3596" s="106" t="s">
        <v>2018</v>
      </c>
      <c r="G3596" s="8"/>
      <c r="H3596" s="8"/>
      <c r="I3596" s="107">
        <v>0</v>
      </c>
      <c r="J3596" s="8" t="s">
        <v>8088</v>
      </c>
    </row>
    <row r="3597" spans="1:10" ht="16.5" customHeight="1" x14ac:dyDescent="0.25">
      <c r="A3597" s="8" t="s">
        <v>11785</v>
      </c>
      <c r="B3597" s="8" t="s">
        <v>11786</v>
      </c>
      <c r="C3597" s="8" t="s">
        <v>11787</v>
      </c>
      <c r="D3597" s="8" t="s">
        <v>11786</v>
      </c>
      <c r="E3597" s="105">
        <v>0</v>
      </c>
      <c r="F3597" s="106" t="s">
        <v>2018</v>
      </c>
      <c r="G3597" s="8"/>
      <c r="H3597" s="8"/>
      <c r="I3597" s="107">
        <v>0</v>
      </c>
      <c r="J3597" s="8" t="s">
        <v>6357</v>
      </c>
    </row>
    <row r="3598" spans="1:10" ht="16.5" customHeight="1" x14ac:dyDescent="0.25">
      <c r="A3598" s="8" t="s">
        <v>1827</v>
      </c>
      <c r="B3598" s="8" t="s">
        <v>1829</v>
      </c>
      <c r="C3598" s="8" t="s">
        <v>1828</v>
      </c>
      <c r="D3598" s="8" t="s">
        <v>1829</v>
      </c>
      <c r="E3598" s="105">
        <v>2.64</v>
      </c>
      <c r="F3598" s="106" t="s">
        <v>2018</v>
      </c>
      <c r="G3598" s="8"/>
      <c r="H3598" s="8" t="s">
        <v>11788</v>
      </c>
      <c r="I3598" s="107">
        <v>24</v>
      </c>
      <c r="J3598" s="8" t="s">
        <v>4789</v>
      </c>
    </row>
    <row r="3599" spans="1:10" ht="16.5" customHeight="1" x14ac:dyDescent="0.25">
      <c r="A3599" s="8" t="s">
        <v>11788</v>
      </c>
      <c r="B3599" s="8" t="s">
        <v>11789</v>
      </c>
      <c r="C3599" s="8" t="s">
        <v>11790</v>
      </c>
      <c r="D3599" s="8" t="s">
        <v>11789</v>
      </c>
      <c r="E3599" s="105">
        <v>0.11</v>
      </c>
      <c r="F3599" s="106" t="s">
        <v>2018</v>
      </c>
      <c r="G3599" s="8"/>
      <c r="H3599" s="8"/>
      <c r="I3599" s="107">
        <v>0</v>
      </c>
      <c r="J3599" s="8" t="s">
        <v>4789</v>
      </c>
    </row>
    <row r="3600" spans="1:10" ht="16.5" customHeight="1" x14ac:dyDescent="0.25">
      <c r="A3600" s="8" t="s">
        <v>11791</v>
      </c>
      <c r="B3600" s="8" t="s">
        <v>11792</v>
      </c>
      <c r="C3600" s="8" t="s">
        <v>11793</v>
      </c>
      <c r="D3600" s="8" t="s">
        <v>11792</v>
      </c>
      <c r="E3600" s="105">
        <v>2.88</v>
      </c>
      <c r="F3600" s="106" t="s">
        <v>2018</v>
      </c>
      <c r="G3600" s="8"/>
      <c r="H3600" s="8" t="s">
        <v>11794</v>
      </c>
      <c r="I3600" s="107">
        <v>24</v>
      </c>
      <c r="J3600" s="8" t="s">
        <v>4789</v>
      </c>
    </row>
    <row r="3601" spans="1:10" ht="16.5" customHeight="1" x14ac:dyDescent="0.25">
      <c r="A3601" s="8" t="s">
        <v>11794</v>
      </c>
      <c r="B3601" s="8" t="s">
        <v>11795</v>
      </c>
      <c r="C3601" s="8" t="s">
        <v>11796</v>
      </c>
      <c r="D3601" s="8" t="s">
        <v>11795</v>
      </c>
      <c r="E3601" s="105">
        <v>0.12</v>
      </c>
      <c r="F3601" s="106" t="s">
        <v>2018</v>
      </c>
      <c r="G3601" s="8"/>
      <c r="H3601" s="8"/>
      <c r="I3601" s="107">
        <v>0</v>
      </c>
      <c r="J3601" s="8" t="s">
        <v>4789</v>
      </c>
    </row>
    <row r="3602" spans="1:10" ht="16.5" customHeight="1" x14ac:dyDescent="0.25">
      <c r="A3602" s="8" t="s">
        <v>1863</v>
      </c>
      <c r="B3602" s="8" t="s">
        <v>1940</v>
      </c>
      <c r="C3602" s="8" t="s">
        <v>1864</v>
      </c>
      <c r="D3602" s="8" t="s">
        <v>1940</v>
      </c>
      <c r="E3602" s="105">
        <v>4.8</v>
      </c>
      <c r="F3602" s="106" t="s">
        <v>2018</v>
      </c>
      <c r="G3602" s="8"/>
      <c r="H3602" s="8" t="s">
        <v>11797</v>
      </c>
      <c r="I3602" s="107">
        <v>24</v>
      </c>
      <c r="J3602" s="8" t="s">
        <v>4789</v>
      </c>
    </row>
    <row r="3603" spans="1:10" ht="16.5" customHeight="1" x14ac:dyDescent="0.25">
      <c r="A3603" s="8" t="s">
        <v>11797</v>
      </c>
      <c r="B3603" s="8" t="s">
        <v>11798</v>
      </c>
      <c r="C3603" s="8" t="s">
        <v>11799</v>
      </c>
      <c r="D3603" s="8" t="s">
        <v>11798</v>
      </c>
      <c r="E3603" s="105">
        <v>0.2</v>
      </c>
      <c r="F3603" s="106" t="s">
        <v>2018</v>
      </c>
      <c r="G3603" s="8"/>
      <c r="H3603" s="8"/>
      <c r="I3603" s="107">
        <v>0</v>
      </c>
      <c r="J3603" s="8" t="s">
        <v>4789</v>
      </c>
    </row>
    <row r="3604" spans="1:10" ht="16.5" customHeight="1" x14ac:dyDescent="0.25">
      <c r="A3604" s="8" t="s">
        <v>11800</v>
      </c>
      <c r="B3604" s="8" t="s">
        <v>11801</v>
      </c>
      <c r="C3604" s="8" t="s">
        <v>11802</v>
      </c>
      <c r="D3604" s="8" t="s">
        <v>11801</v>
      </c>
      <c r="E3604" s="105">
        <v>4.8</v>
      </c>
      <c r="F3604" s="106" t="s">
        <v>2018</v>
      </c>
      <c r="G3604" s="8"/>
      <c r="H3604" s="8" t="s">
        <v>11803</v>
      </c>
      <c r="I3604" s="107">
        <v>24</v>
      </c>
      <c r="J3604" s="8" t="s">
        <v>4789</v>
      </c>
    </row>
    <row r="3605" spans="1:10" ht="16.5" customHeight="1" x14ac:dyDescent="0.25">
      <c r="A3605" s="8" t="s">
        <v>11803</v>
      </c>
      <c r="B3605" s="8" t="s">
        <v>11804</v>
      </c>
      <c r="C3605" s="8" t="s">
        <v>11805</v>
      </c>
      <c r="D3605" s="8" t="s">
        <v>11804</v>
      </c>
      <c r="E3605" s="105">
        <v>0.2</v>
      </c>
      <c r="F3605" s="106" t="s">
        <v>2018</v>
      </c>
      <c r="G3605" s="8"/>
      <c r="H3605" s="8"/>
      <c r="I3605" s="107">
        <v>0</v>
      </c>
      <c r="J3605" s="8" t="s">
        <v>4789</v>
      </c>
    </row>
    <row r="3606" spans="1:10" ht="16.5" customHeight="1" x14ac:dyDescent="0.25">
      <c r="A3606" s="8" t="s">
        <v>11806</v>
      </c>
      <c r="B3606" s="8" t="s">
        <v>11807</v>
      </c>
      <c r="C3606" s="8" t="s">
        <v>11808</v>
      </c>
      <c r="D3606" s="8" t="s">
        <v>11807</v>
      </c>
      <c r="E3606" s="105">
        <v>1.1519999999999999</v>
      </c>
      <c r="F3606" s="106" t="s">
        <v>2018</v>
      </c>
      <c r="G3606" s="8"/>
      <c r="H3606" s="8" t="s">
        <v>11809</v>
      </c>
      <c r="I3606" s="107">
        <v>48</v>
      </c>
      <c r="J3606" s="8" t="s">
        <v>4789</v>
      </c>
    </row>
    <row r="3607" spans="1:10" ht="16.5" customHeight="1" x14ac:dyDescent="0.25">
      <c r="A3607" s="8" t="s">
        <v>11809</v>
      </c>
      <c r="B3607" s="8" t="s">
        <v>11810</v>
      </c>
      <c r="C3607" s="8" t="s">
        <v>11811</v>
      </c>
      <c r="D3607" s="8" t="s">
        <v>11810</v>
      </c>
      <c r="E3607" s="105">
        <v>2.4E-2</v>
      </c>
      <c r="F3607" s="106" t="s">
        <v>2018</v>
      </c>
      <c r="G3607" s="8"/>
      <c r="H3607" s="8"/>
      <c r="I3607" s="107">
        <v>0</v>
      </c>
      <c r="J3607" s="8" t="s">
        <v>4789</v>
      </c>
    </row>
    <row r="3608" spans="1:10" ht="16.5" customHeight="1" x14ac:dyDescent="0.25">
      <c r="A3608" s="8" t="s">
        <v>11812</v>
      </c>
      <c r="B3608" s="8" t="s">
        <v>11813</v>
      </c>
      <c r="C3608" s="8" t="s">
        <v>11814</v>
      </c>
      <c r="D3608" s="8" t="s">
        <v>11813</v>
      </c>
      <c r="E3608" s="105">
        <v>1.2</v>
      </c>
      <c r="F3608" s="106" t="s">
        <v>2018</v>
      </c>
      <c r="G3608" s="8"/>
      <c r="H3608" s="8" t="s">
        <v>11815</v>
      </c>
      <c r="I3608" s="107">
        <v>48</v>
      </c>
      <c r="J3608" s="8" t="s">
        <v>4789</v>
      </c>
    </row>
    <row r="3609" spans="1:10" ht="16.5" customHeight="1" x14ac:dyDescent="0.25">
      <c r="A3609" s="8" t="s">
        <v>11815</v>
      </c>
      <c r="B3609" s="8" t="s">
        <v>11816</v>
      </c>
      <c r="C3609" s="8" t="s">
        <v>11817</v>
      </c>
      <c r="D3609" s="8" t="s">
        <v>11816</v>
      </c>
      <c r="E3609" s="105">
        <v>2.5000000000000001E-2</v>
      </c>
      <c r="F3609" s="106" t="s">
        <v>2018</v>
      </c>
      <c r="G3609" s="8"/>
      <c r="H3609" s="8"/>
      <c r="I3609" s="107">
        <v>0</v>
      </c>
      <c r="J3609" s="8" t="s">
        <v>4789</v>
      </c>
    </row>
    <row r="3610" spans="1:10" ht="16.5" customHeight="1" x14ac:dyDescent="0.25">
      <c r="A3610" s="8" t="s">
        <v>11818</v>
      </c>
      <c r="B3610" s="8" t="s">
        <v>11819</v>
      </c>
      <c r="C3610" s="8" t="s">
        <v>11820</v>
      </c>
      <c r="D3610" s="8" t="s">
        <v>11819</v>
      </c>
      <c r="E3610" s="105">
        <v>1.08</v>
      </c>
      <c r="F3610" s="106" t="s">
        <v>2018</v>
      </c>
      <c r="G3610" s="8"/>
      <c r="H3610" s="8" t="s">
        <v>11821</v>
      </c>
      <c r="I3610" s="107">
        <v>24</v>
      </c>
      <c r="J3610" s="8" t="s">
        <v>4789</v>
      </c>
    </row>
    <row r="3611" spans="1:10" ht="16.5" customHeight="1" x14ac:dyDescent="0.25">
      <c r="A3611" s="8" t="s">
        <v>11821</v>
      </c>
      <c r="B3611" s="8" t="s">
        <v>11822</v>
      </c>
      <c r="C3611" s="8" t="s">
        <v>11823</v>
      </c>
      <c r="D3611" s="8" t="s">
        <v>11822</v>
      </c>
      <c r="E3611" s="105">
        <v>4.4999999999999998E-2</v>
      </c>
      <c r="F3611" s="106" t="s">
        <v>2018</v>
      </c>
      <c r="G3611" s="8"/>
      <c r="H3611" s="8"/>
      <c r="I3611" s="107">
        <v>0</v>
      </c>
      <c r="J3611" s="8" t="s">
        <v>4789</v>
      </c>
    </row>
    <row r="3612" spans="1:10" ht="16.5" customHeight="1" x14ac:dyDescent="0.25">
      <c r="A3612" s="8" t="s">
        <v>11824</v>
      </c>
      <c r="B3612" s="8" t="s">
        <v>11825</v>
      </c>
      <c r="C3612" s="8" t="s">
        <v>11826</v>
      </c>
      <c r="D3612" s="8" t="s">
        <v>11825</v>
      </c>
      <c r="E3612" s="105">
        <v>6</v>
      </c>
      <c r="F3612" s="106" t="s">
        <v>2018</v>
      </c>
      <c r="G3612" s="8"/>
      <c r="H3612" s="8" t="s">
        <v>11827</v>
      </c>
      <c r="I3612" s="107">
        <v>6</v>
      </c>
      <c r="J3612" s="8" t="s">
        <v>4789</v>
      </c>
    </row>
    <row r="3613" spans="1:10" ht="16.5" customHeight="1" x14ac:dyDescent="0.25">
      <c r="A3613" s="8" t="s">
        <v>11827</v>
      </c>
      <c r="B3613" s="8" t="s">
        <v>11828</v>
      </c>
      <c r="C3613" s="8" t="s">
        <v>11829</v>
      </c>
      <c r="D3613" s="8" t="s">
        <v>11828</v>
      </c>
      <c r="E3613" s="105">
        <v>1</v>
      </c>
      <c r="F3613" s="106" t="s">
        <v>2018</v>
      </c>
      <c r="G3613" s="8"/>
      <c r="H3613" s="8"/>
      <c r="I3613" s="107">
        <v>0</v>
      </c>
      <c r="J3613" s="8" t="s">
        <v>4789</v>
      </c>
    </row>
    <row r="3614" spans="1:10" ht="16.5" customHeight="1" x14ac:dyDescent="0.25">
      <c r="A3614" s="8" t="s">
        <v>11830</v>
      </c>
      <c r="B3614" s="8" t="s">
        <v>11831</v>
      </c>
      <c r="C3614" s="8" t="s">
        <v>11832</v>
      </c>
      <c r="D3614" s="8" t="s">
        <v>11831</v>
      </c>
      <c r="E3614" s="105">
        <v>6</v>
      </c>
      <c r="F3614" s="106" t="s">
        <v>2018</v>
      </c>
      <c r="G3614" s="8"/>
      <c r="H3614" s="8" t="s">
        <v>11833</v>
      </c>
      <c r="I3614" s="107">
        <v>6</v>
      </c>
      <c r="J3614" s="8" t="s">
        <v>4789</v>
      </c>
    </row>
    <row r="3615" spans="1:10" ht="16.5" customHeight="1" x14ac:dyDescent="0.25">
      <c r="A3615" s="8" t="s">
        <v>11833</v>
      </c>
      <c r="B3615" s="8" t="s">
        <v>11834</v>
      </c>
      <c r="C3615" s="8" t="s">
        <v>11835</v>
      </c>
      <c r="D3615" s="8" t="s">
        <v>11834</v>
      </c>
      <c r="E3615" s="105">
        <v>1</v>
      </c>
      <c r="F3615" s="106" t="s">
        <v>2018</v>
      </c>
      <c r="G3615" s="8"/>
      <c r="H3615" s="8"/>
      <c r="I3615" s="107">
        <v>0</v>
      </c>
      <c r="J3615" s="8" t="s">
        <v>4789</v>
      </c>
    </row>
    <row r="3616" spans="1:10" ht="16.5" customHeight="1" x14ac:dyDescent="0.25">
      <c r="A3616" s="8" t="s">
        <v>11836</v>
      </c>
      <c r="B3616" s="8" t="s">
        <v>11837</v>
      </c>
      <c r="C3616" s="8" t="s">
        <v>11838</v>
      </c>
      <c r="D3616" s="8" t="s">
        <v>11837</v>
      </c>
      <c r="E3616" s="105">
        <v>0</v>
      </c>
      <c r="F3616" s="106" t="s">
        <v>2024</v>
      </c>
      <c r="G3616" s="8"/>
      <c r="H3616" s="8"/>
      <c r="I3616" s="107">
        <v>0</v>
      </c>
      <c r="J3616" s="8" t="s">
        <v>2019</v>
      </c>
    </row>
    <row r="3617" spans="1:10" ht="16.5" customHeight="1" x14ac:dyDescent="0.25">
      <c r="A3617" s="8" t="s">
        <v>11839</v>
      </c>
      <c r="B3617" s="8" t="s">
        <v>11740</v>
      </c>
      <c r="C3617" s="8" t="s">
        <v>11840</v>
      </c>
      <c r="D3617" s="8" t="s">
        <v>11740</v>
      </c>
      <c r="E3617" s="105">
        <v>0</v>
      </c>
      <c r="F3617" s="106" t="s">
        <v>2024</v>
      </c>
      <c r="G3617" s="8"/>
      <c r="H3617" s="8"/>
      <c r="I3617" s="107">
        <v>0</v>
      </c>
      <c r="J3617" s="8" t="s">
        <v>2019</v>
      </c>
    </row>
    <row r="3618" spans="1:10" ht="16.5" customHeight="1" x14ac:dyDescent="0.25">
      <c r="A3618" s="8" t="s">
        <v>11841</v>
      </c>
      <c r="B3618" s="8" t="s">
        <v>11842</v>
      </c>
      <c r="C3618" s="8" t="s">
        <v>11843</v>
      </c>
      <c r="D3618" s="8" t="s">
        <v>11842</v>
      </c>
      <c r="E3618" s="105">
        <v>0</v>
      </c>
      <c r="F3618" s="106" t="s">
        <v>2024</v>
      </c>
      <c r="G3618" s="8"/>
      <c r="H3618" s="8"/>
      <c r="I3618" s="107">
        <v>0</v>
      </c>
      <c r="J3618" s="8" t="s">
        <v>2019</v>
      </c>
    </row>
    <row r="3619" spans="1:10" ht="16.5" customHeight="1" x14ac:dyDescent="0.25">
      <c r="A3619" s="8" t="s">
        <v>11844</v>
      </c>
      <c r="B3619" s="8" t="s">
        <v>11746</v>
      </c>
      <c r="C3619" s="8" t="s">
        <v>11845</v>
      </c>
      <c r="D3619" s="8" t="s">
        <v>11746</v>
      </c>
      <c r="E3619" s="105">
        <v>0</v>
      </c>
      <c r="F3619" s="106" t="s">
        <v>2024</v>
      </c>
      <c r="G3619" s="8"/>
      <c r="H3619" s="8"/>
      <c r="I3619" s="107">
        <v>0</v>
      </c>
      <c r="J3619" s="8" t="s">
        <v>2019</v>
      </c>
    </row>
    <row r="3620" spans="1:10" ht="16.5" customHeight="1" x14ac:dyDescent="0.25">
      <c r="A3620" s="8" t="s">
        <v>11846</v>
      </c>
      <c r="B3620" s="8" t="s">
        <v>11749</v>
      </c>
      <c r="C3620" s="8" t="s">
        <v>11847</v>
      </c>
      <c r="D3620" s="8" t="s">
        <v>11749</v>
      </c>
      <c r="E3620" s="105">
        <v>0</v>
      </c>
      <c r="F3620" s="106" t="s">
        <v>2024</v>
      </c>
      <c r="G3620" s="8"/>
      <c r="H3620" s="8"/>
      <c r="I3620" s="107">
        <v>0</v>
      </c>
      <c r="J3620" s="8" t="s">
        <v>2019</v>
      </c>
    </row>
    <row r="3621" spans="1:10" ht="16.5" customHeight="1" x14ac:dyDescent="0.25">
      <c r="A3621" s="8" t="s">
        <v>11848</v>
      </c>
      <c r="B3621" s="8" t="s">
        <v>11752</v>
      </c>
      <c r="C3621" s="8" t="s">
        <v>11753</v>
      </c>
      <c r="D3621" s="8" t="s">
        <v>11752</v>
      </c>
      <c r="E3621" s="105">
        <v>0</v>
      </c>
      <c r="F3621" s="106" t="s">
        <v>2024</v>
      </c>
      <c r="G3621" s="8"/>
      <c r="H3621" s="8"/>
      <c r="I3621" s="107">
        <v>0</v>
      </c>
      <c r="J3621" s="8" t="s">
        <v>2019</v>
      </c>
    </row>
    <row r="3622" spans="1:10" ht="16.5" customHeight="1" x14ac:dyDescent="0.25">
      <c r="A3622" s="8" t="s">
        <v>11849</v>
      </c>
      <c r="B3622" s="8" t="s">
        <v>11486</v>
      </c>
      <c r="C3622" s="8" t="s">
        <v>11487</v>
      </c>
      <c r="D3622" s="8" t="s">
        <v>11486</v>
      </c>
      <c r="E3622" s="105">
        <v>0.255</v>
      </c>
      <c r="F3622" s="106" t="s">
        <v>2024</v>
      </c>
      <c r="G3622" s="8"/>
      <c r="H3622" s="8"/>
      <c r="I3622" s="107">
        <v>0</v>
      </c>
      <c r="J3622" s="8" t="s">
        <v>4789</v>
      </c>
    </row>
    <row r="3623" spans="1:10" ht="16.5" customHeight="1" x14ac:dyDescent="0.25">
      <c r="A3623" s="8" t="s">
        <v>11850</v>
      </c>
      <c r="B3623" s="8" t="s">
        <v>11851</v>
      </c>
      <c r="C3623" s="8" t="s">
        <v>11852</v>
      </c>
      <c r="D3623" s="8" t="s">
        <v>11851</v>
      </c>
      <c r="E3623" s="105">
        <v>10</v>
      </c>
      <c r="F3623" s="106" t="s">
        <v>2024</v>
      </c>
      <c r="G3623" s="8"/>
      <c r="H3623" s="8"/>
      <c r="I3623" s="107">
        <v>0</v>
      </c>
      <c r="J3623" s="8" t="s">
        <v>5671</v>
      </c>
    </row>
    <row r="3624" spans="1:10" ht="16.5" customHeight="1" x14ac:dyDescent="0.25">
      <c r="A3624" s="8" t="s">
        <v>11853</v>
      </c>
      <c r="B3624" s="8" t="s">
        <v>11854</v>
      </c>
      <c r="C3624" s="8" t="s">
        <v>1491</v>
      </c>
      <c r="D3624" s="8" t="s">
        <v>11854</v>
      </c>
      <c r="E3624" s="105">
        <v>10</v>
      </c>
      <c r="F3624" s="106" t="s">
        <v>2024</v>
      </c>
      <c r="G3624" s="8"/>
      <c r="H3624" s="8"/>
      <c r="I3624" s="107">
        <v>0</v>
      </c>
      <c r="J3624" s="8" t="s">
        <v>5671</v>
      </c>
    </row>
    <row r="3625" spans="1:10" ht="16.5" customHeight="1" x14ac:dyDescent="0.25">
      <c r="A3625" s="8" t="s">
        <v>11855</v>
      </c>
      <c r="B3625" s="8" t="s">
        <v>11856</v>
      </c>
      <c r="C3625" s="8" t="s">
        <v>11857</v>
      </c>
      <c r="D3625" s="8" t="s">
        <v>11856</v>
      </c>
      <c r="E3625" s="105">
        <v>10</v>
      </c>
      <c r="F3625" s="106" t="s">
        <v>2024</v>
      </c>
      <c r="G3625" s="8"/>
      <c r="H3625" s="8"/>
      <c r="I3625" s="107">
        <v>0</v>
      </c>
      <c r="J3625" s="8" t="s">
        <v>5671</v>
      </c>
    </row>
    <row r="3626" spans="1:10" ht="16.5" customHeight="1" x14ac:dyDescent="0.25">
      <c r="A3626" s="8" t="s">
        <v>11858</v>
      </c>
      <c r="B3626" s="8" t="s">
        <v>11859</v>
      </c>
      <c r="C3626" s="8" t="s">
        <v>11860</v>
      </c>
      <c r="D3626" s="8" t="s">
        <v>11859</v>
      </c>
      <c r="E3626" s="105">
        <v>10</v>
      </c>
      <c r="F3626" s="106" t="s">
        <v>2024</v>
      </c>
      <c r="G3626" s="8"/>
      <c r="H3626" s="8"/>
      <c r="I3626" s="107">
        <v>0</v>
      </c>
      <c r="J3626" s="8" t="s">
        <v>5671</v>
      </c>
    </row>
    <row r="3627" spans="1:10" ht="16.5" customHeight="1" x14ac:dyDescent="0.25">
      <c r="A3627" s="8" t="s">
        <v>11861</v>
      </c>
      <c r="B3627" s="8" t="s">
        <v>11862</v>
      </c>
      <c r="C3627" s="8" t="s">
        <v>11863</v>
      </c>
      <c r="D3627" s="8" t="s">
        <v>11862</v>
      </c>
      <c r="E3627" s="105">
        <v>1</v>
      </c>
      <c r="F3627" s="106" t="s">
        <v>2024</v>
      </c>
      <c r="G3627" s="8"/>
      <c r="H3627" s="8"/>
      <c r="I3627" s="107">
        <v>0</v>
      </c>
      <c r="J3627" s="8" t="s">
        <v>5671</v>
      </c>
    </row>
    <row r="3628" spans="1:10" ht="16.5" customHeight="1" x14ac:dyDescent="0.25">
      <c r="A3628" s="8" t="s">
        <v>11864</v>
      </c>
      <c r="B3628" s="8" t="s">
        <v>11489</v>
      </c>
      <c r="C3628" s="8" t="s">
        <v>1636</v>
      </c>
      <c r="D3628" s="8" t="s">
        <v>11489</v>
      </c>
      <c r="E3628" s="105">
        <v>3.06</v>
      </c>
      <c r="F3628" s="106" t="s">
        <v>2024</v>
      </c>
      <c r="G3628" s="8"/>
      <c r="H3628" s="8"/>
      <c r="I3628" s="107">
        <v>0</v>
      </c>
      <c r="J3628" s="8" t="s">
        <v>4789</v>
      </c>
    </row>
    <row r="3629" spans="1:10" ht="16.5" customHeight="1" x14ac:dyDescent="0.25">
      <c r="A3629" s="8" t="s">
        <v>11865</v>
      </c>
      <c r="B3629" s="8" t="s">
        <v>11866</v>
      </c>
      <c r="C3629" s="8" t="s">
        <v>11867</v>
      </c>
      <c r="D3629" s="8" t="s">
        <v>11866</v>
      </c>
      <c r="E3629" s="105">
        <v>0</v>
      </c>
      <c r="F3629" s="106" t="s">
        <v>2018</v>
      </c>
      <c r="G3629" s="8"/>
      <c r="H3629" s="8"/>
      <c r="I3629" s="107">
        <v>0</v>
      </c>
      <c r="J3629" s="8" t="s">
        <v>6357</v>
      </c>
    </row>
    <row r="3630" spans="1:10" ht="16.5" customHeight="1" x14ac:dyDescent="0.25">
      <c r="A3630" s="8" t="s">
        <v>11868</v>
      </c>
      <c r="B3630" s="8" t="s">
        <v>11869</v>
      </c>
      <c r="C3630" s="8" t="s">
        <v>11870</v>
      </c>
      <c r="D3630" s="8" t="s">
        <v>11869</v>
      </c>
      <c r="E3630" s="105">
        <v>0</v>
      </c>
      <c r="F3630" s="106" t="s">
        <v>2018</v>
      </c>
      <c r="G3630" s="8"/>
      <c r="H3630" s="8"/>
      <c r="I3630" s="107">
        <v>0</v>
      </c>
      <c r="J3630" s="8" t="s">
        <v>6357</v>
      </c>
    </row>
    <row r="3631" spans="1:10" ht="16.5" customHeight="1" x14ac:dyDescent="0.25">
      <c r="A3631" s="8" t="s">
        <v>11871</v>
      </c>
      <c r="B3631" s="8" t="s">
        <v>11872</v>
      </c>
      <c r="C3631" s="8" t="s">
        <v>11873</v>
      </c>
      <c r="D3631" s="8" t="s">
        <v>11872</v>
      </c>
      <c r="E3631" s="105">
        <v>0</v>
      </c>
      <c r="F3631" s="106" t="s">
        <v>2018</v>
      </c>
      <c r="G3631" s="8"/>
      <c r="H3631" s="8"/>
      <c r="I3631" s="107">
        <v>0</v>
      </c>
      <c r="J3631" s="8" t="s">
        <v>8088</v>
      </c>
    </row>
    <row r="3632" spans="1:10" ht="16.5" customHeight="1" x14ac:dyDescent="0.25">
      <c r="A3632" s="8" t="s">
        <v>11874</v>
      </c>
      <c r="B3632" s="8" t="s">
        <v>11875</v>
      </c>
      <c r="C3632" s="8" t="s">
        <v>9772</v>
      </c>
      <c r="D3632" s="8" t="s">
        <v>11875</v>
      </c>
      <c r="E3632" s="105">
        <v>1</v>
      </c>
      <c r="F3632" s="106" t="s">
        <v>2024</v>
      </c>
      <c r="G3632" s="8"/>
      <c r="H3632" s="8"/>
      <c r="I3632" s="107">
        <v>0</v>
      </c>
      <c r="J3632" s="8" t="s">
        <v>3580</v>
      </c>
    </row>
    <row r="3633" spans="1:10" ht="16.5" customHeight="1" x14ac:dyDescent="0.25">
      <c r="A3633" s="8" t="s">
        <v>11876</v>
      </c>
      <c r="B3633" s="8" t="s">
        <v>7154</v>
      </c>
      <c r="C3633" s="8" t="s">
        <v>7155</v>
      </c>
      <c r="D3633" s="8" t="s">
        <v>7154</v>
      </c>
      <c r="E3633" s="105">
        <v>0</v>
      </c>
      <c r="F3633" s="106" t="s">
        <v>2024</v>
      </c>
      <c r="G3633" s="8"/>
      <c r="H3633" s="8"/>
      <c r="I3633" s="107">
        <v>0</v>
      </c>
      <c r="J3633" s="8" t="s">
        <v>4823</v>
      </c>
    </row>
    <row r="3634" spans="1:10" ht="16.5" customHeight="1" x14ac:dyDescent="0.25">
      <c r="A3634" s="8" t="s">
        <v>8651</v>
      </c>
      <c r="B3634" s="8" t="s">
        <v>11877</v>
      </c>
      <c r="C3634" s="8" t="s">
        <v>3258</v>
      </c>
      <c r="D3634" s="8" t="s">
        <v>11877</v>
      </c>
      <c r="E3634" s="105">
        <v>4.55</v>
      </c>
      <c r="F3634" s="106" t="s">
        <v>2018</v>
      </c>
      <c r="G3634" s="8"/>
      <c r="H3634" s="8"/>
      <c r="I3634" s="107">
        <v>0</v>
      </c>
      <c r="J3634" s="8" t="s">
        <v>2019</v>
      </c>
    </row>
    <row r="3635" spans="1:10" ht="16.5" customHeight="1" x14ac:dyDescent="0.25">
      <c r="A3635" s="8" t="s">
        <v>8655</v>
      </c>
      <c r="B3635" s="8" t="s">
        <v>11878</v>
      </c>
      <c r="C3635" s="8" t="s">
        <v>8654</v>
      </c>
      <c r="D3635" s="8" t="s">
        <v>11878</v>
      </c>
      <c r="E3635" s="105">
        <v>1.82</v>
      </c>
      <c r="F3635" s="106" t="s">
        <v>2018</v>
      </c>
      <c r="G3635" s="8"/>
      <c r="H3635" s="8"/>
      <c r="I3635" s="107">
        <v>0</v>
      </c>
      <c r="J3635" s="8" t="s">
        <v>2019</v>
      </c>
    </row>
    <row r="3636" spans="1:10" ht="16.5" customHeight="1" x14ac:dyDescent="0.25">
      <c r="A3636" s="8" t="s">
        <v>11879</v>
      </c>
      <c r="B3636" s="8" t="s">
        <v>9406</v>
      </c>
      <c r="C3636" s="8" t="s">
        <v>9407</v>
      </c>
      <c r="D3636" s="8" t="s">
        <v>9406</v>
      </c>
      <c r="E3636" s="105">
        <v>0.23</v>
      </c>
      <c r="F3636" s="106" t="s">
        <v>2024</v>
      </c>
      <c r="G3636" s="8"/>
      <c r="H3636" s="8"/>
      <c r="I3636" s="107">
        <v>0</v>
      </c>
      <c r="J3636" s="8" t="s">
        <v>2019</v>
      </c>
    </row>
    <row r="3637" spans="1:10" ht="16.5" customHeight="1" x14ac:dyDescent="0.25">
      <c r="A3637" s="8" t="s">
        <v>11880</v>
      </c>
      <c r="B3637" s="8" t="s">
        <v>11881</v>
      </c>
      <c r="C3637" s="8" t="s">
        <v>11882</v>
      </c>
      <c r="D3637" s="8" t="s">
        <v>11881</v>
      </c>
      <c r="E3637" s="105">
        <v>6.18</v>
      </c>
      <c r="F3637" s="106" t="s">
        <v>2024</v>
      </c>
      <c r="G3637" s="8"/>
      <c r="H3637" s="8"/>
      <c r="I3637" s="107">
        <v>0</v>
      </c>
      <c r="J3637" s="8" t="s">
        <v>8097</v>
      </c>
    </row>
    <row r="3638" spans="1:10" ht="16.5" customHeight="1" x14ac:dyDescent="0.25">
      <c r="A3638" s="8" t="s">
        <v>11883</v>
      </c>
      <c r="B3638" s="8" t="s">
        <v>11884</v>
      </c>
      <c r="C3638" s="8" t="s">
        <v>11885</v>
      </c>
      <c r="D3638" s="8" t="s">
        <v>11884</v>
      </c>
      <c r="E3638" s="105">
        <v>6.1680000000000001</v>
      </c>
      <c r="F3638" s="106" t="s">
        <v>2024</v>
      </c>
      <c r="G3638" s="8"/>
      <c r="H3638" s="8"/>
      <c r="I3638" s="107">
        <v>0</v>
      </c>
      <c r="J3638" s="8" t="s">
        <v>8097</v>
      </c>
    </row>
    <row r="3639" spans="1:10" ht="16.5" customHeight="1" x14ac:dyDescent="0.25">
      <c r="A3639" s="8" t="s">
        <v>11886</v>
      </c>
      <c r="B3639" s="8" t="s">
        <v>11887</v>
      </c>
      <c r="C3639" s="8" t="s">
        <v>11888</v>
      </c>
      <c r="D3639" s="8" t="s">
        <v>11887</v>
      </c>
      <c r="E3639" s="105">
        <v>6.1680000000000001</v>
      </c>
      <c r="F3639" s="106" t="s">
        <v>2024</v>
      </c>
      <c r="G3639" s="8"/>
      <c r="H3639" s="8"/>
      <c r="I3639" s="107">
        <v>0</v>
      </c>
      <c r="J3639" s="8" t="s">
        <v>8097</v>
      </c>
    </row>
    <row r="3640" spans="1:10" ht="16.5" customHeight="1" x14ac:dyDescent="0.25">
      <c r="A3640" s="8" t="s">
        <v>11889</v>
      </c>
      <c r="B3640" s="8" t="s">
        <v>11890</v>
      </c>
      <c r="C3640" s="8" t="s">
        <v>11891</v>
      </c>
      <c r="D3640" s="8" t="s">
        <v>11890</v>
      </c>
      <c r="E3640" s="105">
        <v>6.18</v>
      </c>
      <c r="F3640" s="106" t="s">
        <v>2024</v>
      </c>
      <c r="G3640" s="8"/>
      <c r="H3640" s="8"/>
      <c r="I3640" s="107">
        <v>0</v>
      </c>
      <c r="J3640" s="8" t="s">
        <v>8097</v>
      </c>
    </row>
    <row r="3641" spans="1:10" ht="16.5" customHeight="1" x14ac:dyDescent="0.25">
      <c r="A3641" s="8" t="s">
        <v>11892</v>
      </c>
      <c r="B3641" s="8" t="s">
        <v>11893</v>
      </c>
      <c r="C3641" s="8" t="s">
        <v>11894</v>
      </c>
      <c r="D3641" s="8" t="s">
        <v>11893</v>
      </c>
      <c r="E3641" s="105">
        <v>1</v>
      </c>
      <c r="F3641" s="106" t="s">
        <v>2018</v>
      </c>
      <c r="G3641" s="8"/>
      <c r="H3641" s="8"/>
      <c r="I3641" s="107">
        <v>0</v>
      </c>
      <c r="J3641" s="8" t="s">
        <v>6357</v>
      </c>
    </row>
    <row r="3642" spans="1:10" ht="16.5" customHeight="1" x14ac:dyDescent="0.25">
      <c r="A3642" s="8" t="s">
        <v>11895</v>
      </c>
      <c r="B3642" s="8" t="s">
        <v>11896</v>
      </c>
      <c r="C3642" s="8" t="s">
        <v>11897</v>
      </c>
      <c r="D3642" s="8" t="s">
        <v>11896</v>
      </c>
      <c r="E3642" s="105">
        <v>1</v>
      </c>
      <c r="F3642" s="106" t="s">
        <v>2018</v>
      </c>
      <c r="G3642" s="8"/>
      <c r="H3642" s="8"/>
      <c r="I3642" s="107">
        <v>0</v>
      </c>
      <c r="J3642" s="8" t="s">
        <v>4823</v>
      </c>
    </row>
    <row r="3643" spans="1:10" ht="16.5" customHeight="1" x14ac:dyDescent="0.25">
      <c r="A3643" s="8" t="s">
        <v>11898</v>
      </c>
      <c r="B3643" s="8" t="s">
        <v>11899</v>
      </c>
      <c r="C3643" s="8" t="s">
        <v>4071</v>
      </c>
      <c r="D3643" s="8" t="s">
        <v>11899</v>
      </c>
      <c r="E3643" s="105">
        <v>0.15</v>
      </c>
      <c r="F3643" s="106" t="s">
        <v>2024</v>
      </c>
      <c r="G3643" s="8"/>
      <c r="H3643" s="8"/>
      <c r="I3643" s="107">
        <v>0</v>
      </c>
      <c r="J3643" s="8" t="s">
        <v>4823</v>
      </c>
    </row>
    <row r="3644" spans="1:10" ht="16.5" customHeight="1" x14ac:dyDescent="0.25">
      <c r="A3644" s="8" t="s">
        <v>11900</v>
      </c>
      <c r="B3644" s="8" t="s">
        <v>11901</v>
      </c>
      <c r="C3644" s="8" t="s">
        <v>11902</v>
      </c>
      <c r="D3644" s="8" t="s">
        <v>11901</v>
      </c>
      <c r="E3644" s="105">
        <v>0.4</v>
      </c>
      <c r="F3644" s="106" t="s">
        <v>2024</v>
      </c>
      <c r="G3644" s="8"/>
      <c r="H3644" s="8"/>
      <c r="I3644" s="107">
        <v>0</v>
      </c>
      <c r="J3644" s="8" t="s">
        <v>5779</v>
      </c>
    </row>
    <row r="3645" spans="1:10" ht="16.5" customHeight="1" x14ac:dyDescent="0.25">
      <c r="A3645" s="8" t="s">
        <v>11903</v>
      </c>
      <c r="B3645" s="8" t="s">
        <v>11904</v>
      </c>
      <c r="C3645" s="8" t="s">
        <v>11905</v>
      </c>
      <c r="D3645" s="8" t="s">
        <v>11904</v>
      </c>
      <c r="E3645" s="105">
        <v>0.27</v>
      </c>
      <c r="F3645" s="106" t="s">
        <v>2024</v>
      </c>
      <c r="G3645" s="8"/>
      <c r="H3645" s="8"/>
      <c r="I3645" s="107">
        <v>0</v>
      </c>
      <c r="J3645" s="8" t="s">
        <v>4789</v>
      </c>
    </row>
    <row r="3646" spans="1:10" ht="16.5" customHeight="1" x14ac:dyDescent="0.25">
      <c r="A3646" s="8" t="s">
        <v>11906</v>
      </c>
      <c r="B3646" s="8" t="s">
        <v>11907</v>
      </c>
      <c r="C3646" s="8" t="s">
        <v>1573</v>
      </c>
      <c r="D3646" s="8" t="s">
        <v>11907</v>
      </c>
      <c r="E3646" s="105">
        <v>0.38</v>
      </c>
      <c r="F3646" s="106" t="s">
        <v>2024</v>
      </c>
      <c r="G3646" s="8"/>
      <c r="H3646" s="8"/>
      <c r="I3646" s="107">
        <v>0</v>
      </c>
      <c r="J3646" s="8" t="s">
        <v>4789</v>
      </c>
    </row>
    <row r="3647" spans="1:10" ht="16.5" customHeight="1" x14ac:dyDescent="0.25">
      <c r="A3647" s="8" t="s">
        <v>11908</v>
      </c>
      <c r="B3647" s="8" t="s">
        <v>11909</v>
      </c>
      <c r="C3647" s="8" t="s">
        <v>11910</v>
      </c>
      <c r="D3647" s="8" t="s">
        <v>11909</v>
      </c>
      <c r="E3647" s="105">
        <v>0.23</v>
      </c>
      <c r="F3647" s="106" t="s">
        <v>2024</v>
      </c>
      <c r="G3647" s="8"/>
      <c r="H3647" s="8"/>
      <c r="I3647" s="107">
        <v>0</v>
      </c>
      <c r="J3647" s="8" t="s">
        <v>4789</v>
      </c>
    </row>
    <row r="3648" spans="1:10" ht="16.5" customHeight="1" x14ac:dyDescent="0.25">
      <c r="A3648" s="8" t="s">
        <v>11911</v>
      </c>
      <c r="B3648" s="8" t="s">
        <v>11912</v>
      </c>
      <c r="C3648" s="8" t="s">
        <v>11913</v>
      </c>
      <c r="D3648" s="8" t="s">
        <v>11912</v>
      </c>
      <c r="E3648" s="105">
        <v>1</v>
      </c>
      <c r="F3648" s="106" t="s">
        <v>2018</v>
      </c>
      <c r="G3648" s="8"/>
      <c r="H3648" s="8"/>
      <c r="I3648" s="107">
        <v>0</v>
      </c>
      <c r="J3648" s="8" t="s">
        <v>5779</v>
      </c>
    </row>
    <row r="3649" spans="1:10" ht="16.5" customHeight="1" x14ac:dyDescent="0.25">
      <c r="A3649" s="8" t="s">
        <v>11914</v>
      </c>
      <c r="B3649" s="8" t="s">
        <v>11915</v>
      </c>
      <c r="C3649" s="8" t="s">
        <v>11916</v>
      </c>
      <c r="D3649" s="8" t="s">
        <v>11915</v>
      </c>
      <c r="E3649" s="105">
        <v>1</v>
      </c>
      <c r="F3649" s="106" t="s">
        <v>2018</v>
      </c>
      <c r="G3649" s="8"/>
      <c r="H3649" s="8"/>
      <c r="I3649" s="107">
        <v>0</v>
      </c>
      <c r="J3649" s="8" t="s">
        <v>5779</v>
      </c>
    </row>
    <row r="3650" spans="1:10" ht="16.5" customHeight="1" x14ac:dyDescent="0.25">
      <c r="A3650" s="8" t="s">
        <v>11917</v>
      </c>
      <c r="B3650" s="8" t="s">
        <v>11918</v>
      </c>
      <c r="C3650" s="8" t="s">
        <v>5941</v>
      </c>
      <c r="D3650" s="8" t="s">
        <v>11918</v>
      </c>
      <c r="E3650" s="105">
        <v>0.314</v>
      </c>
      <c r="F3650" s="106" t="s">
        <v>2024</v>
      </c>
      <c r="G3650" s="8"/>
      <c r="H3650" s="8"/>
      <c r="I3650" s="107">
        <v>0</v>
      </c>
      <c r="J3650" s="8" t="s">
        <v>4789</v>
      </c>
    </row>
    <row r="3651" spans="1:10" ht="16.5" customHeight="1" x14ac:dyDescent="0.25">
      <c r="A3651" s="8" t="s">
        <v>11919</v>
      </c>
      <c r="B3651" s="8" t="s">
        <v>11920</v>
      </c>
      <c r="C3651" s="8" t="s">
        <v>11921</v>
      </c>
      <c r="D3651" s="8" t="s">
        <v>11920</v>
      </c>
      <c r="E3651" s="105">
        <v>0.91</v>
      </c>
      <c r="F3651" s="106" t="s">
        <v>2018</v>
      </c>
      <c r="G3651" s="8"/>
      <c r="H3651" s="8"/>
      <c r="I3651" s="107">
        <v>0</v>
      </c>
      <c r="J3651" s="8" t="s">
        <v>4722</v>
      </c>
    </row>
    <row r="3652" spans="1:10" ht="16.5" customHeight="1" x14ac:dyDescent="0.25">
      <c r="A3652" s="8" t="s">
        <v>11922</v>
      </c>
      <c r="B3652" s="8" t="s">
        <v>11923</v>
      </c>
      <c r="C3652" s="8" t="s">
        <v>11924</v>
      </c>
      <c r="D3652" s="8" t="s">
        <v>11923</v>
      </c>
      <c r="E3652" s="105">
        <v>1.5</v>
      </c>
      <c r="F3652" s="106" t="s">
        <v>2018</v>
      </c>
      <c r="G3652" s="8"/>
      <c r="H3652" s="8"/>
      <c r="I3652" s="107">
        <v>0</v>
      </c>
      <c r="J3652" s="8" t="s">
        <v>5779</v>
      </c>
    </row>
    <row r="3653" spans="1:10" ht="16.5" customHeight="1" x14ac:dyDescent="0.25">
      <c r="A3653" s="8" t="s">
        <v>11925</v>
      </c>
      <c r="B3653" s="8" t="s">
        <v>9142</v>
      </c>
      <c r="C3653" s="8" t="s">
        <v>941</v>
      </c>
      <c r="D3653" s="8" t="s">
        <v>9142</v>
      </c>
      <c r="E3653" s="105">
        <v>4.55</v>
      </c>
      <c r="F3653" s="106" t="s">
        <v>2018</v>
      </c>
      <c r="G3653" s="8"/>
      <c r="H3653" s="8"/>
      <c r="I3653" s="107">
        <v>0</v>
      </c>
      <c r="J3653" s="8" t="s">
        <v>4722</v>
      </c>
    </row>
    <row r="3654" spans="1:10" ht="16.5" customHeight="1" x14ac:dyDescent="0.25">
      <c r="A3654" s="8" t="s">
        <v>11926</v>
      </c>
      <c r="B3654" s="8" t="s">
        <v>11927</v>
      </c>
      <c r="C3654" s="8" t="s">
        <v>11928</v>
      </c>
      <c r="D3654" s="8" t="s">
        <v>11927</v>
      </c>
      <c r="E3654" s="105">
        <v>0</v>
      </c>
      <c r="F3654" s="106" t="s">
        <v>2018</v>
      </c>
      <c r="G3654" s="8"/>
      <c r="H3654" s="8"/>
      <c r="I3654" s="107">
        <v>0</v>
      </c>
      <c r="J3654" s="8" t="s">
        <v>4722</v>
      </c>
    </row>
    <row r="3655" spans="1:10" ht="16.5" customHeight="1" x14ac:dyDescent="0.25">
      <c r="A3655" s="8" t="s">
        <v>11929</v>
      </c>
      <c r="B3655" s="8" t="s">
        <v>11930</v>
      </c>
      <c r="C3655" s="8" t="s">
        <v>11931</v>
      </c>
      <c r="D3655" s="8" t="s">
        <v>11930</v>
      </c>
      <c r="E3655" s="105">
        <v>0</v>
      </c>
      <c r="F3655" s="106" t="s">
        <v>2018</v>
      </c>
      <c r="G3655" s="8"/>
      <c r="H3655" s="8"/>
      <c r="I3655" s="107">
        <v>0</v>
      </c>
      <c r="J3655" s="8" t="s">
        <v>4722</v>
      </c>
    </row>
    <row r="3656" spans="1:10" ht="16.5" customHeight="1" x14ac:dyDescent="0.25">
      <c r="A3656" s="8" t="s">
        <v>11932</v>
      </c>
      <c r="B3656" s="8" t="s">
        <v>11933</v>
      </c>
      <c r="C3656" s="8" t="s">
        <v>11934</v>
      </c>
      <c r="D3656" s="8" t="s">
        <v>11933</v>
      </c>
      <c r="E3656" s="105">
        <v>1</v>
      </c>
      <c r="F3656" s="106" t="s">
        <v>2018</v>
      </c>
      <c r="G3656" s="8"/>
      <c r="H3656" s="8"/>
      <c r="I3656" s="107">
        <v>0</v>
      </c>
      <c r="J3656" s="8" t="s">
        <v>6357</v>
      </c>
    </row>
    <row r="3657" spans="1:10" ht="16.5" customHeight="1" x14ac:dyDescent="0.25">
      <c r="A3657" s="8" t="s">
        <v>11935</v>
      </c>
      <c r="B3657" s="8" t="s">
        <v>11936</v>
      </c>
      <c r="C3657" s="8" t="s">
        <v>11937</v>
      </c>
      <c r="D3657" s="8" t="s">
        <v>11936</v>
      </c>
      <c r="E3657" s="105">
        <v>1</v>
      </c>
      <c r="F3657" s="106" t="s">
        <v>2018</v>
      </c>
      <c r="G3657" s="8"/>
      <c r="H3657" s="8"/>
      <c r="I3657" s="107">
        <v>0</v>
      </c>
      <c r="J3657" s="8" t="s">
        <v>6357</v>
      </c>
    </row>
    <row r="3658" spans="1:10" ht="16.5" customHeight="1" x14ac:dyDescent="0.25">
      <c r="A3658" s="8" t="s">
        <v>11938</v>
      </c>
      <c r="B3658" s="8" t="s">
        <v>11939</v>
      </c>
      <c r="C3658" s="8" t="s">
        <v>11940</v>
      </c>
      <c r="D3658" s="8" t="s">
        <v>11939</v>
      </c>
      <c r="E3658" s="105">
        <v>1</v>
      </c>
      <c r="F3658" s="106" t="s">
        <v>2018</v>
      </c>
      <c r="G3658" s="8"/>
      <c r="H3658" s="8"/>
      <c r="I3658" s="107">
        <v>0</v>
      </c>
      <c r="J3658" s="8" t="s">
        <v>6357</v>
      </c>
    </row>
    <row r="3659" spans="1:10" ht="16.5" customHeight="1" x14ac:dyDescent="0.25">
      <c r="A3659" s="8" t="s">
        <v>11941</v>
      </c>
      <c r="B3659" s="8" t="s">
        <v>11942</v>
      </c>
      <c r="C3659" s="8" t="s">
        <v>11943</v>
      </c>
      <c r="D3659" s="8" t="s">
        <v>11942</v>
      </c>
      <c r="E3659" s="105">
        <v>1</v>
      </c>
      <c r="F3659" s="106" t="s">
        <v>2018</v>
      </c>
      <c r="G3659" s="8"/>
      <c r="H3659" s="8"/>
      <c r="I3659" s="107">
        <v>0</v>
      </c>
      <c r="J3659" s="8" t="s">
        <v>6357</v>
      </c>
    </row>
    <row r="3660" spans="1:10" ht="16.5" customHeight="1" x14ac:dyDescent="0.25">
      <c r="A3660" s="8" t="s">
        <v>11944</v>
      </c>
      <c r="B3660" s="8" t="s">
        <v>11945</v>
      </c>
      <c r="C3660" s="8" t="s">
        <v>11946</v>
      </c>
      <c r="D3660" s="8" t="s">
        <v>11945</v>
      </c>
      <c r="E3660" s="105">
        <v>1</v>
      </c>
      <c r="F3660" s="106" t="s">
        <v>2018</v>
      </c>
      <c r="G3660" s="8"/>
      <c r="H3660" s="8"/>
      <c r="I3660" s="107">
        <v>0</v>
      </c>
      <c r="J3660" s="8" t="s">
        <v>6357</v>
      </c>
    </row>
    <row r="3661" spans="1:10" ht="16.5" customHeight="1" x14ac:dyDescent="0.25">
      <c r="A3661" s="8" t="s">
        <v>11947</v>
      </c>
      <c r="B3661" s="8" t="s">
        <v>11948</v>
      </c>
      <c r="C3661" s="8" t="s">
        <v>11949</v>
      </c>
      <c r="D3661" s="8" t="s">
        <v>11948</v>
      </c>
      <c r="E3661" s="105">
        <v>1</v>
      </c>
      <c r="F3661" s="106" t="s">
        <v>2018</v>
      </c>
      <c r="G3661" s="8"/>
      <c r="H3661" s="8"/>
      <c r="I3661" s="107">
        <v>0</v>
      </c>
      <c r="J3661" s="8" t="s">
        <v>6357</v>
      </c>
    </row>
    <row r="3662" spans="1:10" ht="16.5" customHeight="1" x14ac:dyDescent="0.25">
      <c r="A3662" s="8" t="s">
        <v>11950</v>
      </c>
      <c r="B3662" s="8" t="s">
        <v>11951</v>
      </c>
      <c r="C3662" s="8" t="s">
        <v>11952</v>
      </c>
      <c r="D3662" s="8" t="s">
        <v>11951</v>
      </c>
      <c r="E3662" s="105">
        <v>0</v>
      </c>
      <c r="F3662" s="106" t="s">
        <v>2024</v>
      </c>
      <c r="G3662" s="8"/>
      <c r="H3662" s="8"/>
      <c r="I3662" s="107">
        <v>0</v>
      </c>
      <c r="J3662" s="8" t="s">
        <v>4823</v>
      </c>
    </row>
    <row r="3663" spans="1:10" ht="16.5" customHeight="1" x14ac:dyDescent="0.25">
      <c r="A3663" s="8" t="s">
        <v>11953</v>
      </c>
      <c r="B3663" s="8" t="s">
        <v>11954</v>
      </c>
      <c r="C3663" s="8" t="s">
        <v>5861</v>
      </c>
      <c r="D3663" s="8" t="s">
        <v>11954</v>
      </c>
      <c r="E3663" s="105">
        <v>1</v>
      </c>
      <c r="F3663" s="106" t="s">
        <v>2018</v>
      </c>
      <c r="G3663" s="8"/>
      <c r="H3663" s="8"/>
      <c r="I3663" s="107">
        <v>0</v>
      </c>
      <c r="J3663" s="8" t="s">
        <v>2019</v>
      </c>
    </row>
    <row r="3664" spans="1:10" ht="16.5" customHeight="1" x14ac:dyDescent="0.25">
      <c r="A3664" s="8" t="s">
        <v>11955</v>
      </c>
      <c r="B3664" s="8" t="s">
        <v>11956</v>
      </c>
      <c r="C3664" s="8" t="s">
        <v>11957</v>
      </c>
      <c r="D3664" s="8" t="s">
        <v>11956</v>
      </c>
      <c r="E3664" s="105">
        <v>1</v>
      </c>
      <c r="F3664" s="106" t="s">
        <v>2024</v>
      </c>
      <c r="G3664" s="8"/>
      <c r="H3664" s="8"/>
      <c r="I3664" s="107">
        <v>0</v>
      </c>
      <c r="J3664" s="8" t="s">
        <v>3580</v>
      </c>
    </row>
    <row r="3665" spans="1:10" ht="16.5" customHeight="1" x14ac:dyDescent="0.25">
      <c r="A3665" s="8" t="s">
        <v>11958</v>
      </c>
      <c r="B3665" s="8" t="s">
        <v>11959</v>
      </c>
      <c r="C3665" s="8" t="s">
        <v>11960</v>
      </c>
      <c r="D3665" s="8" t="s">
        <v>11959</v>
      </c>
      <c r="E3665" s="105">
        <v>1</v>
      </c>
      <c r="F3665" s="106" t="s">
        <v>2024</v>
      </c>
      <c r="G3665" s="8"/>
      <c r="H3665" s="8"/>
      <c r="I3665" s="107">
        <v>0</v>
      </c>
      <c r="J3665" s="8" t="s">
        <v>3580</v>
      </c>
    </row>
    <row r="3666" spans="1:10" ht="16.5" customHeight="1" x14ac:dyDescent="0.25">
      <c r="A3666" s="8" t="s">
        <v>11961</v>
      </c>
      <c r="B3666" s="8" t="s">
        <v>11962</v>
      </c>
      <c r="C3666" s="8" t="s">
        <v>11963</v>
      </c>
      <c r="D3666" s="8" t="s">
        <v>11962</v>
      </c>
      <c r="E3666" s="105">
        <v>1</v>
      </c>
      <c r="F3666" s="106" t="s">
        <v>2024</v>
      </c>
      <c r="G3666" s="8"/>
      <c r="H3666" s="8"/>
      <c r="I3666" s="107">
        <v>0</v>
      </c>
      <c r="J3666" s="8" t="s">
        <v>3580</v>
      </c>
    </row>
    <row r="3667" spans="1:10" ht="16.5" customHeight="1" x14ac:dyDescent="0.25">
      <c r="A3667" s="8" t="s">
        <v>11964</v>
      </c>
      <c r="B3667" s="8" t="s">
        <v>11965</v>
      </c>
      <c r="C3667" s="8" t="s">
        <v>11966</v>
      </c>
      <c r="D3667" s="8" t="s">
        <v>11965</v>
      </c>
      <c r="E3667" s="105">
        <v>0</v>
      </c>
      <c r="F3667" s="106" t="s">
        <v>2018</v>
      </c>
      <c r="G3667" s="8"/>
      <c r="H3667" s="8"/>
      <c r="I3667" s="107">
        <v>0</v>
      </c>
      <c r="J3667" s="8" t="s">
        <v>4722</v>
      </c>
    </row>
    <row r="3668" spans="1:10" ht="16.5" customHeight="1" x14ac:dyDescent="0.25">
      <c r="A3668" s="8" t="s">
        <v>11967</v>
      </c>
      <c r="B3668" s="8" t="s">
        <v>942</v>
      </c>
      <c r="C3668" s="8" t="s">
        <v>941</v>
      </c>
      <c r="D3668" s="8" t="s">
        <v>942</v>
      </c>
      <c r="E3668" s="105">
        <v>18.2</v>
      </c>
      <c r="F3668" s="106" t="s">
        <v>2018</v>
      </c>
      <c r="G3668" s="8"/>
      <c r="H3668" s="8"/>
      <c r="I3668" s="107">
        <v>0</v>
      </c>
      <c r="J3668" s="8" t="s">
        <v>4722</v>
      </c>
    </row>
    <row r="3669" spans="1:10" ht="16.5" customHeight="1" x14ac:dyDescent="0.25">
      <c r="A3669" s="8" t="s">
        <v>11968</v>
      </c>
      <c r="B3669" s="8" t="s">
        <v>11969</v>
      </c>
      <c r="C3669" s="8" t="s">
        <v>11970</v>
      </c>
      <c r="D3669" s="8" t="s">
        <v>11969</v>
      </c>
      <c r="E3669" s="105">
        <v>0</v>
      </c>
      <c r="F3669" s="106" t="s">
        <v>2018</v>
      </c>
      <c r="G3669" s="8"/>
      <c r="H3669" s="8"/>
      <c r="I3669" s="107">
        <v>0</v>
      </c>
      <c r="J3669" s="8" t="s">
        <v>4722</v>
      </c>
    </row>
    <row r="3670" spans="1:10" ht="16.5" customHeight="1" x14ac:dyDescent="0.25">
      <c r="A3670" s="8" t="s">
        <v>11971</v>
      </c>
      <c r="B3670" s="8" t="s">
        <v>11972</v>
      </c>
      <c r="C3670" s="8" t="s">
        <v>11973</v>
      </c>
      <c r="D3670" s="8" t="s">
        <v>11972</v>
      </c>
      <c r="E3670" s="105">
        <v>0</v>
      </c>
      <c r="F3670" s="106" t="s">
        <v>2018</v>
      </c>
      <c r="G3670" s="8"/>
      <c r="H3670" s="8"/>
      <c r="I3670" s="107">
        <v>0</v>
      </c>
      <c r="J3670" s="8" t="s">
        <v>4722</v>
      </c>
    </row>
    <row r="3671" spans="1:10" ht="16.5" customHeight="1" x14ac:dyDescent="0.25">
      <c r="A3671" s="8" t="s">
        <v>11974</v>
      </c>
      <c r="B3671" s="8" t="s">
        <v>11975</v>
      </c>
      <c r="C3671" s="8" t="s">
        <v>11976</v>
      </c>
      <c r="D3671" s="8" t="s">
        <v>11975</v>
      </c>
      <c r="E3671" s="105">
        <v>3.6</v>
      </c>
      <c r="F3671" s="106" t="s">
        <v>2018</v>
      </c>
      <c r="G3671" s="8"/>
      <c r="H3671" s="8"/>
      <c r="I3671" s="107">
        <v>0</v>
      </c>
      <c r="J3671" s="8" t="s">
        <v>10697</v>
      </c>
    </row>
    <row r="3672" spans="1:10" ht="16.5" customHeight="1" x14ac:dyDescent="0.25">
      <c r="A3672" s="8" t="s">
        <v>11977</v>
      </c>
      <c r="B3672" s="8" t="s">
        <v>11978</v>
      </c>
      <c r="C3672" s="8" t="s">
        <v>11979</v>
      </c>
      <c r="D3672" s="8" t="s">
        <v>11978</v>
      </c>
      <c r="E3672" s="105">
        <v>14.4</v>
      </c>
      <c r="F3672" s="106" t="s">
        <v>2018</v>
      </c>
      <c r="G3672" s="8"/>
      <c r="H3672" s="8" t="s">
        <v>11974</v>
      </c>
      <c r="I3672" s="107">
        <v>4</v>
      </c>
      <c r="J3672" s="8" t="s">
        <v>10697</v>
      </c>
    </row>
    <row r="3673" spans="1:10" ht="16.5" customHeight="1" x14ac:dyDescent="0.25">
      <c r="A3673" s="8" t="s">
        <v>11980</v>
      </c>
      <c r="B3673" s="8" t="s">
        <v>11981</v>
      </c>
      <c r="C3673" s="8" t="s">
        <v>11982</v>
      </c>
      <c r="D3673" s="8" t="s">
        <v>11981</v>
      </c>
      <c r="E3673" s="105">
        <v>0.75</v>
      </c>
      <c r="F3673" s="106" t="s">
        <v>2018</v>
      </c>
      <c r="G3673" s="8"/>
      <c r="H3673" s="8"/>
      <c r="I3673" s="107">
        <v>0</v>
      </c>
      <c r="J3673" s="8" t="s">
        <v>10697</v>
      </c>
    </row>
    <row r="3674" spans="1:10" ht="16.5" customHeight="1" x14ac:dyDescent="0.25">
      <c r="A3674" s="8" t="s">
        <v>11983</v>
      </c>
      <c r="B3674" s="8" t="s">
        <v>11984</v>
      </c>
      <c r="C3674" s="8" t="s">
        <v>11985</v>
      </c>
      <c r="D3674" s="8" t="s">
        <v>11984</v>
      </c>
      <c r="E3674" s="105">
        <v>12</v>
      </c>
      <c r="F3674" s="106" t="s">
        <v>2018</v>
      </c>
      <c r="G3674" s="8"/>
      <c r="H3674" s="8" t="s">
        <v>11980</v>
      </c>
      <c r="I3674" s="107">
        <v>16</v>
      </c>
      <c r="J3674" s="8" t="s">
        <v>10697</v>
      </c>
    </row>
    <row r="3675" spans="1:10" ht="16.5" customHeight="1" x14ac:dyDescent="0.25">
      <c r="A3675" s="8" t="s">
        <v>11986</v>
      </c>
      <c r="B3675" s="8" t="s">
        <v>11987</v>
      </c>
      <c r="C3675" s="8" t="s">
        <v>11988</v>
      </c>
      <c r="D3675" s="8" t="s">
        <v>11987</v>
      </c>
      <c r="E3675" s="105">
        <v>1</v>
      </c>
      <c r="F3675" s="106" t="s">
        <v>2018</v>
      </c>
      <c r="G3675" s="8"/>
      <c r="H3675" s="8"/>
      <c r="I3675" s="107">
        <v>0</v>
      </c>
      <c r="J3675" s="8" t="s">
        <v>6357</v>
      </c>
    </row>
    <row r="3676" spans="1:10" ht="16.5" customHeight="1" x14ac:dyDescent="0.25">
      <c r="A3676" s="8" t="s">
        <v>11989</v>
      </c>
      <c r="B3676" s="8" t="s">
        <v>11990</v>
      </c>
      <c r="C3676" s="8" t="s">
        <v>11991</v>
      </c>
      <c r="D3676" s="8" t="s">
        <v>11990</v>
      </c>
      <c r="E3676" s="105">
        <v>1</v>
      </c>
      <c r="F3676" s="106" t="s">
        <v>2018</v>
      </c>
      <c r="G3676" s="8"/>
      <c r="H3676" s="8"/>
      <c r="I3676" s="107">
        <v>0</v>
      </c>
      <c r="J3676" s="8" t="s">
        <v>6357</v>
      </c>
    </row>
    <row r="3677" spans="1:10" ht="16.5" customHeight="1" x14ac:dyDescent="0.25">
      <c r="A3677" s="8" t="s">
        <v>11992</v>
      </c>
      <c r="B3677" s="8" t="s">
        <v>11993</v>
      </c>
      <c r="C3677" s="8" t="s">
        <v>11994</v>
      </c>
      <c r="D3677" s="8" t="s">
        <v>11993</v>
      </c>
      <c r="E3677" s="105">
        <v>1</v>
      </c>
      <c r="F3677" s="106" t="s">
        <v>2018</v>
      </c>
      <c r="G3677" s="8"/>
      <c r="H3677" s="8"/>
      <c r="I3677" s="107">
        <v>0</v>
      </c>
      <c r="J3677" s="8" t="s">
        <v>6357</v>
      </c>
    </row>
    <row r="3678" spans="1:10" ht="16.5" customHeight="1" x14ac:dyDescent="0.25">
      <c r="A3678" s="8" t="s">
        <v>11995</v>
      </c>
      <c r="B3678" s="8" t="s">
        <v>11996</v>
      </c>
      <c r="C3678" s="8" t="s">
        <v>11997</v>
      </c>
      <c r="D3678" s="8" t="s">
        <v>11996</v>
      </c>
      <c r="E3678" s="105">
        <v>1</v>
      </c>
      <c r="F3678" s="106" t="s">
        <v>2018</v>
      </c>
      <c r="G3678" s="8"/>
      <c r="H3678" s="8"/>
      <c r="I3678" s="107">
        <v>0</v>
      </c>
      <c r="J3678" s="8" t="s">
        <v>6357</v>
      </c>
    </row>
    <row r="3679" spans="1:10" ht="16.5" customHeight="1" x14ac:dyDescent="0.25">
      <c r="A3679" s="8" t="s">
        <v>11998</v>
      </c>
      <c r="B3679" s="8" t="s">
        <v>11999</v>
      </c>
      <c r="C3679" s="8" t="s">
        <v>12000</v>
      </c>
      <c r="D3679" s="8" t="s">
        <v>11999</v>
      </c>
      <c r="E3679" s="105">
        <v>13.8</v>
      </c>
      <c r="F3679" s="106" t="s">
        <v>2024</v>
      </c>
      <c r="G3679" s="8" t="s">
        <v>1541</v>
      </c>
      <c r="H3679" s="8" t="s">
        <v>12001</v>
      </c>
      <c r="I3679" s="107">
        <v>6</v>
      </c>
      <c r="J3679" s="8" t="s">
        <v>5929</v>
      </c>
    </row>
    <row r="3680" spans="1:10" ht="16.5" customHeight="1" x14ac:dyDescent="0.25">
      <c r="A3680" s="8" t="s">
        <v>12001</v>
      </c>
      <c r="B3680" s="8" t="s">
        <v>12002</v>
      </c>
      <c r="C3680" s="8" t="s">
        <v>12003</v>
      </c>
      <c r="D3680" s="8" t="s">
        <v>12002</v>
      </c>
      <c r="E3680" s="105">
        <v>2.2999999999999998</v>
      </c>
      <c r="F3680" s="106" t="s">
        <v>2024</v>
      </c>
      <c r="G3680" s="8" t="s">
        <v>1541</v>
      </c>
      <c r="H3680" s="8"/>
      <c r="I3680" s="107">
        <v>0</v>
      </c>
      <c r="J3680" s="8" t="s">
        <v>5929</v>
      </c>
    </row>
    <row r="3681" spans="1:10" ht="16.5" customHeight="1" x14ac:dyDescent="0.25">
      <c r="A3681" s="8" t="s">
        <v>12004</v>
      </c>
      <c r="B3681" s="8" t="s">
        <v>12005</v>
      </c>
      <c r="C3681" s="8" t="s">
        <v>12006</v>
      </c>
      <c r="D3681" s="8" t="s">
        <v>12005</v>
      </c>
      <c r="E3681" s="105">
        <v>2</v>
      </c>
      <c r="F3681" s="106" t="s">
        <v>2024</v>
      </c>
      <c r="G3681" s="8"/>
      <c r="H3681" s="8"/>
      <c r="I3681" s="107">
        <v>0</v>
      </c>
      <c r="J3681" s="8" t="s">
        <v>2019</v>
      </c>
    </row>
    <row r="3682" spans="1:10" ht="16.5" customHeight="1" x14ac:dyDescent="0.25">
      <c r="A3682" s="8" t="s">
        <v>12007</v>
      </c>
      <c r="B3682" s="8" t="s">
        <v>12008</v>
      </c>
      <c r="C3682" s="8" t="s">
        <v>9983</v>
      </c>
      <c r="D3682" s="8" t="s">
        <v>12008</v>
      </c>
      <c r="E3682" s="105">
        <v>1</v>
      </c>
      <c r="F3682" s="106" t="s">
        <v>2024</v>
      </c>
      <c r="G3682" s="8"/>
      <c r="H3682" s="8"/>
      <c r="I3682" s="107">
        <v>0</v>
      </c>
      <c r="J3682" s="8" t="s">
        <v>3580</v>
      </c>
    </row>
    <row r="3683" spans="1:10" ht="16.5" customHeight="1" x14ac:dyDescent="0.25">
      <c r="A3683" s="8" t="s">
        <v>12009</v>
      </c>
      <c r="B3683" s="8" t="s">
        <v>12010</v>
      </c>
      <c r="C3683" s="8" t="s">
        <v>12011</v>
      </c>
      <c r="D3683" s="8" t="s">
        <v>12010</v>
      </c>
      <c r="E3683" s="105">
        <v>7.44</v>
      </c>
      <c r="F3683" s="106" t="s">
        <v>2018</v>
      </c>
      <c r="G3683" s="8"/>
      <c r="H3683" s="8" t="s">
        <v>12012</v>
      </c>
      <c r="I3683" s="107">
        <v>12</v>
      </c>
      <c r="J3683" s="8" t="s">
        <v>4789</v>
      </c>
    </row>
    <row r="3684" spans="1:10" ht="16.5" customHeight="1" x14ac:dyDescent="0.25">
      <c r="A3684" s="8" t="s">
        <v>12012</v>
      </c>
      <c r="B3684" s="8" t="s">
        <v>12013</v>
      </c>
      <c r="C3684" s="8" t="s">
        <v>12014</v>
      </c>
      <c r="D3684" s="8" t="s">
        <v>12013</v>
      </c>
      <c r="E3684" s="105">
        <v>0.62</v>
      </c>
      <c r="F3684" s="106" t="s">
        <v>2018</v>
      </c>
      <c r="G3684" s="8"/>
      <c r="H3684" s="8"/>
      <c r="I3684" s="107">
        <v>0</v>
      </c>
      <c r="J3684" s="8" t="s">
        <v>4789</v>
      </c>
    </row>
    <row r="3685" spans="1:10" ht="16.5" customHeight="1" x14ac:dyDescent="0.25">
      <c r="A3685" s="8" t="s">
        <v>12015</v>
      </c>
      <c r="B3685" s="8" t="s">
        <v>12016</v>
      </c>
      <c r="C3685" s="8" t="s">
        <v>12017</v>
      </c>
      <c r="D3685" s="8" t="s">
        <v>12016</v>
      </c>
      <c r="E3685" s="105">
        <v>7.44</v>
      </c>
      <c r="F3685" s="106" t="s">
        <v>2018</v>
      </c>
      <c r="G3685" s="8"/>
      <c r="H3685" s="8" t="s">
        <v>12018</v>
      </c>
      <c r="I3685" s="107">
        <v>12</v>
      </c>
      <c r="J3685" s="8" t="s">
        <v>4789</v>
      </c>
    </row>
    <row r="3686" spans="1:10" ht="16.5" customHeight="1" x14ac:dyDescent="0.25">
      <c r="A3686" s="8" t="s">
        <v>12018</v>
      </c>
      <c r="B3686" s="8" t="s">
        <v>12019</v>
      </c>
      <c r="C3686" s="8" t="s">
        <v>12020</v>
      </c>
      <c r="D3686" s="8" t="s">
        <v>12019</v>
      </c>
      <c r="E3686" s="105">
        <v>0.62</v>
      </c>
      <c r="F3686" s="106" t="s">
        <v>2018</v>
      </c>
      <c r="G3686" s="8"/>
      <c r="H3686" s="8"/>
      <c r="I3686" s="107">
        <v>0</v>
      </c>
      <c r="J3686" s="8" t="s">
        <v>4789</v>
      </c>
    </row>
    <row r="3687" spans="1:10" ht="16.5" customHeight="1" x14ac:dyDescent="0.25">
      <c r="A3687" s="8" t="s">
        <v>12021</v>
      </c>
      <c r="B3687" s="8" t="s">
        <v>12022</v>
      </c>
      <c r="C3687" s="8" t="s">
        <v>12023</v>
      </c>
      <c r="D3687" s="8" t="s">
        <v>12022</v>
      </c>
      <c r="E3687" s="105">
        <v>9.15</v>
      </c>
      <c r="F3687" s="106" t="s">
        <v>2018</v>
      </c>
      <c r="G3687" s="8"/>
      <c r="H3687" s="8" t="s">
        <v>12024</v>
      </c>
      <c r="I3687" s="107">
        <v>15</v>
      </c>
      <c r="J3687" s="8" t="s">
        <v>4789</v>
      </c>
    </row>
    <row r="3688" spans="1:10" ht="16.5" customHeight="1" x14ac:dyDescent="0.25">
      <c r="A3688" s="8" t="s">
        <v>12024</v>
      </c>
      <c r="B3688" s="8" t="s">
        <v>12025</v>
      </c>
      <c r="C3688" s="8" t="s">
        <v>12026</v>
      </c>
      <c r="D3688" s="8" t="s">
        <v>12025</v>
      </c>
      <c r="E3688" s="105">
        <v>0.61</v>
      </c>
      <c r="F3688" s="106" t="s">
        <v>2018</v>
      </c>
      <c r="G3688" s="8"/>
      <c r="H3688" s="8"/>
      <c r="I3688" s="107">
        <v>0</v>
      </c>
      <c r="J3688" s="8" t="s">
        <v>4789</v>
      </c>
    </row>
    <row r="3689" spans="1:10" ht="16.5" customHeight="1" x14ac:dyDescent="0.25">
      <c r="A3689" s="8" t="s">
        <v>1845</v>
      </c>
      <c r="B3689" s="8" t="s">
        <v>1847</v>
      </c>
      <c r="C3689" s="8" t="s">
        <v>1846</v>
      </c>
      <c r="D3689" s="8" t="s">
        <v>1847</v>
      </c>
      <c r="E3689" s="105">
        <v>14.58</v>
      </c>
      <c r="F3689" s="106" t="s">
        <v>2018</v>
      </c>
      <c r="G3689" s="8"/>
      <c r="H3689" s="8" t="s">
        <v>12027</v>
      </c>
      <c r="I3689" s="107">
        <v>6</v>
      </c>
      <c r="J3689" s="8" t="s">
        <v>4789</v>
      </c>
    </row>
    <row r="3690" spans="1:10" ht="16.5" customHeight="1" x14ac:dyDescent="0.25">
      <c r="A3690" s="8" t="s">
        <v>12027</v>
      </c>
      <c r="B3690" s="8" t="s">
        <v>12028</v>
      </c>
      <c r="C3690" s="8" t="s">
        <v>12029</v>
      </c>
      <c r="D3690" s="8" t="s">
        <v>12028</v>
      </c>
      <c r="E3690" s="105">
        <v>2.4300000000000002</v>
      </c>
      <c r="F3690" s="106" t="s">
        <v>2018</v>
      </c>
      <c r="G3690" s="8"/>
      <c r="H3690" s="8"/>
      <c r="I3690" s="107">
        <v>0</v>
      </c>
      <c r="J3690" s="8" t="s">
        <v>4789</v>
      </c>
    </row>
    <row r="3691" spans="1:10" ht="16.5" customHeight="1" x14ac:dyDescent="0.25">
      <c r="A3691" s="8" t="s">
        <v>1761</v>
      </c>
      <c r="B3691" s="8" t="s">
        <v>1763</v>
      </c>
      <c r="C3691" s="8" t="s">
        <v>1762</v>
      </c>
      <c r="D3691" s="8" t="s">
        <v>1763</v>
      </c>
      <c r="E3691" s="105">
        <v>23.52</v>
      </c>
      <c r="F3691" s="106" t="s">
        <v>2018</v>
      </c>
      <c r="G3691" s="8"/>
      <c r="H3691" s="8" t="s">
        <v>12030</v>
      </c>
      <c r="I3691" s="107">
        <v>4</v>
      </c>
      <c r="J3691" s="8" t="s">
        <v>4789</v>
      </c>
    </row>
    <row r="3692" spans="1:10" ht="16.5" customHeight="1" x14ac:dyDescent="0.25">
      <c r="A3692" s="8" t="s">
        <v>12030</v>
      </c>
      <c r="B3692" s="8" t="s">
        <v>12031</v>
      </c>
      <c r="C3692" s="8" t="s">
        <v>12032</v>
      </c>
      <c r="D3692" s="8" t="s">
        <v>12031</v>
      </c>
      <c r="E3692" s="105">
        <v>5.88</v>
      </c>
      <c r="F3692" s="106" t="s">
        <v>2018</v>
      </c>
      <c r="G3692" s="8"/>
      <c r="H3692" s="8"/>
      <c r="I3692" s="107">
        <v>0</v>
      </c>
      <c r="J3692" s="8" t="s">
        <v>4789</v>
      </c>
    </row>
    <row r="3693" spans="1:10" ht="16.5" customHeight="1" x14ac:dyDescent="0.25">
      <c r="A3693" s="8" t="s">
        <v>12033</v>
      </c>
      <c r="B3693" s="8" t="s">
        <v>12034</v>
      </c>
      <c r="C3693" s="8" t="s">
        <v>12035</v>
      </c>
      <c r="D3693" s="8" t="s">
        <v>12034</v>
      </c>
      <c r="E3693" s="105">
        <v>0</v>
      </c>
      <c r="F3693" s="106" t="s">
        <v>2024</v>
      </c>
      <c r="G3693" s="8"/>
      <c r="H3693" s="8"/>
      <c r="I3693" s="107">
        <v>0</v>
      </c>
      <c r="J3693" s="8" t="s">
        <v>4789</v>
      </c>
    </row>
    <row r="3694" spans="1:10" ht="16.5" customHeight="1" x14ac:dyDescent="0.25">
      <c r="A3694" s="8" t="s">
        <v>12036</v>
      </c>
      <c r="B3694" s="8" t="s">
        <v>12037</v>
      </c>
      <c r="C3694" s="8" t="s">
        <v>12038</v>
      </c>
      <c r="D3694" s="8" t="s">
        <v>12037</v>
      </c>
      <c r="E3694" s="105">
        <v>0</v>
      </c>
      <c r="F3694" s="106" t="s">
        <v>2018</v>
      </c>
      <c r="G3694" s="8"/>
      <c r="H3694" s="8"/>
      <c r="I3694" s="107">
        <v>0</v>
      </c>
      <c r="J3694" s="8" t="s">
        <v>6357</v>
      </c>
    </row>
    <row r="3695" spans="1:10" ht="16.5" customHeight="1" x14ac:dyDescent="0.25">
      <c r="A3695" s="8" t="s">
        <v>12039</v>
      </c>
      <c r="B3695" s="8" t="s">
        <v>12040</v>
      </c>
      <c r="C3695" s="8" t="s">
        <v>12041</v>
      </c>
      <c r="D3695" s="8" t="s">
        <v>12040</v>
      </c>
      <c r="E3695" s="105">
        <v>0</v>
      </c>
      <c r="F3695" s="106" t="s">
        <v>2018</v>
      </c>
      <c r="G3695" s="8"/>
      <c r="H3695" s="8"/>
      <c r="I3695" s="107">
        <v>0</v>
      </c>
      <c r="J3695" s="8" t="s">
        <v>6357</v>
      </c>
    </row>
    <row r="3696" spans="1:10" ht="16.5" customHeight="1" x14ac:dyDescent="0.25">
      <c r="A3696" s="8" t="s">
        <v>12042</v>
      </c>
      <c r="B3696" s="8" t="s">
        <v>12043</v>
      </c>
      <c r="C3696" s="8" t="s">
        <v>12044</v>
      </c>
      <c r="D3696" s="8" t="s">
        <v>12043</v>
      </c>
      <c r="E3696" s="105">
        <v>0</v>
      </c>
      <c r="F3696" s="106" t="s">
        <v>2018</v>
      </c>
      <c r="G3696" s="8"/>
      <c r="H3696" s="8"/>
      <c r="I3696" s="107">
        <v>0</v>
      </c>
      <c r="J3696" s="8" t="s">
        <v>6357</v>
      </c>
    </row>
    <row r="3697" spans="1:10" ht="16.5" customHeight="1" x14ac:dyDescent="0.25">
      <c r="A3697" s="8" t="s">
        <v>12045</v>
      </c>
      <c r="B3697" s="8" t="s">
        <v>12046</v>
      </c>
      <c r="C3697" s="8" t="s">
        <v>12047</v>
      </c>
      <c r="D3697" s="8" t="s">
        <v>12046</v>
      </c>
      <c r="E3697" s="105">
        <v>0</v>
      </c>
      <c r="F3697" s="106" t="s">
        <v>2018</v>
      </c>
      <c r="G3697" s="8"/>
      <c r="H3697" s="8"/>
      <c r="I3697" s="107">
        <v>0</v>
      </c>
      <c r="J3697" s="8" t="s">
        <v>6357</v>
      </c>
    </row>
    <row r="3698" spans="1:10" ht="16.5" customHeight="1" x14ac:dyDescent="0.25">
      <c r="A3698" s="8" t="s">
        <v>12048</v>
      </c>
      <c r="B3698" s="8" t="s">
        <v>12049</v>
      </c>
      <c r="C3698" s="8" t="s">
        <v>12050</v>
      </c>
      <c r="D3698" s="8" t="s">
        <v>12049</v>
      </c>
      <c r="E3698" s="105">
        <v>0</v>
      </c>
      <c r="F3698" s="106" t="s">
        <v>2018</v>
      </c>
      <c r="G3698" s="8"/>
      <c r="H3698" s="8"/>
      <c r="I3698" s="107">
        <v>0</v>
      </c>
      <c r="J3698" s="8" t="s">
        <v>6357</v>
      </c>
    </row>
    <row r="3699" spans="1:10" ht="16.5" customHeight="1" x14ac:dyDescent="0.25">
      <c r="A3699" s="8" t="s">
        <v>12051</v>
      </c>
      <c r="B3699" s="8" t="s">
        <v>12052</v>
      </c>
      <c r="C3699" s="8" t="s">
        <v>12053</v>
      </c>
      <c r="D3699" s="8" t="s">
        <v>12052</v>
      </c>
      <c r="E3699" s="105">
        <v>0</v>
      </c>
      <c r="F3699" s="106" t="s">
        <v>2018</v>
      </c>
      <c r="G3699" s="8"/>
      <c r="H3699" s="8"/>
      <c r="I3699" s="107">
        <v>0</v>
      </c>
      <c r="J3699" s="8" t="s">
        <v>6357</v>
      </c>
    </row>
    <row r="3700" spans="1:10" ht="16.5" customHeight="1" x14ac:dyDescent="0.25">
      <c r="A3700" s="8" t="s">
        <v>12054</v>
      </c>
      <c r="B3700" s="8" t="s">
        <v>12055</v>
      </c>
      <c r="C3700" s="8" t="s">
        <v>12056</v>
      </c>
      <c r="D3700" s="8" t="s">
        <v>12055</v>
      </c>
      <c r="E3700" s="105">
        <v>0</v>
      </c>
      <c r="F3700" s="106" t="s">
        <v>2018</v>
      </c>
      <c r="G3700" s="8"/>
      <c r="H3700" s="8"/>
      <c r="I3700" s="107">
        <v>0</v>
      </c>
      <c r="J3700" s="8" t="s">
        <v>6357</v>
      </c>
    </row>
    <row r="3701" spans="1:10" ht="16.5" customHeight="1" x14ac:dyDescent="0.25">
      <c r="A3701" s="8" t="s">
        <v>12057</v>
      </c>
      <c r="B3701" s="8" t="s">
        <v>12058</v>
      </c>
      <c r="C3701" s="8" t="s">
        <v>12059</v>
      </c>
      <c r="D3701" s="8" t="s">
        <v>12058</v>
      </c>
      <c r="E3701" s="105">
        <v>0</v>
      </c>
      <c r="F3701" s="106" t="s">
        <v>2018</v>
      </c>
      <c r="G3701" s="8"/>
      <c r="H3701" s="8"/>
      <c r="I3701" s="107">
        <v>0</v>
      </c>
      <c r="J3701" s="8" t="s">
        <v>6357</v>
      </c>
    </row>
    <row r="3702" spans="1:10" ht="16.5" customHeight="1" x14ac:dyDescent="0.25">
      <c r="A3702" s="8" t="s">
        <v>12060</v>
      </c>
      <c r="B3702" s="8" t="s">
        <v>12061</v>
      </c>
      <c r="C3702" s="8" t="s">
        <v>12062</v>
      </c>
      <c r="D3702" s="8" t="s">
        <v>12061</v>
      </c>
      <c r="E3702" s="105">
        <v>1</v>
      </c>
      <c r="F3702" s="106" t="s">
        <v>2018</v>
      </c>
      <c r="G3702" s="8"/>
      <c r="H3702" s="8"/>
      <c r="I3702" s="107">
        <v>0</v>
      </c>
      <c r="J3702" s="8" t="s">
        <v>6357</v>
      </c>
    </row>
    <row r="3703" spans="1:10" ht="16.5" customHeight="1" x14ac:dyDescent="0.25">
      <c r="A3703" s="8" t="s">
        <v>12063</v>
      </c>
      <c r="B3703" s="8" t="s">
        <v>12064</v>
      </c>
      <c r="C3703" s="8" t="s">
        <v>12065</v>
      </c>
      <c r="D3703" s="8" t="s">
        <v>12064</v>
      </c>
      <c r="E3703" s="105">
        <v>3</v>
      </c>
      <c r="F3703" s="106" t="s">
        <v>2024</v>
      </c>
      <c r="G3703" s="8"/>
      <c r="H3703" s="8"/>
      <c r="I3703" s="107">
        <v>0</v>
      </c>
      <c r="J3703" s="8" t="s">
        <v>3580</v>
      </c>
    </row>
    <row r="3704" spans="1:10" ht="16.5" customHeight="1" x14ac:dyDescent="0.25">
      <c r="A3704" s="8" t="s">
        <v>12066</v>
      </c>
      <c r="B3704" s="8" t="s">
        <v>12067</v>
      </c>
      <c r="C3704" s="8" t="s">
        <v>12068</v>
      </c>
      <c r="D3704" s="8" t="s">
        <v>12067</v>
      </c>
      <c r="E3704" s="105">
        <v>10</v>
      </c>
      <c r="F3704" s="106" t="s">
        <v>2024</v>
      </c>
      <c r="G3704" s="8"/>
      <c r="H3704" s="8"/>
      <c r="I3704" s="107">
        <v>0</v>
      </c>
      <c r="J3704" s="8" t="s">
        <v>3580</v>
      </c>
    </row>
    <row r="3705" spans="1:10" ht="16.5" customHeight="1" x14ac:dyDescent="0.25">
      <c r="A3705" s="8" t="s">
        <v>12069</v>
      </c>
      <c r="B3705" s="8" t="s">
        <v>12070</v>
      </c>
      <c r="C3705" s="8" t="s">
        <v>12071</v>
      </c>
      <c r="D3705" s="8" t="s">
        <v>12070</v>
      </c>
      <c r="E3705" s="105">
        <v>1</v>
      </c>
      <c r="F3705" s="106" t="s">
        <v>2024</v>
      </c>
      <c r="G3705" s="8"/>
      <c r="H3705" s="8"/>
      <c r="I3705" s="107">
        <v>0</v>
      </c>
      <c r="J3705" s="8" t="s">
        <v>3580</v>
      </c>
    </row>
    <row r="3706" spans="1:10" ht="16.5" customHeight="1" x14ac:dyDescent="0.25">
      <c r="A3706" s="8" t="s">
        <v>12072</v>
      </c>
      <c r="B3706" s="8" t="s">
        <v>12073</v>
      </c>
      <c r="C3706" s="8" t="s">
        <v>9775</v>
      </c>
      <c r="D3706" s="8" t="s">
        <v>12073</v>
      </c>
      <c r="E3706" s="105">
        <v>1</v>
      </c>
      <c r="F3706" s="106" t="s">
        <v>2024</v>
      </c>
      <c r="G3706" s="8"/>
      <c r="H3706" s="8"/>
      <c r="I3706" s="107">
        <v>0</v>
      </c>
      <c r="J3706" s="8" t="s">
        <v>3580</v>
      </c>
    </row>
    <row r="3707" spans="1:10" ht="16.5" customHeight="1" x14ac:dyDescent="0.25">
      <c r="A3707" s="8" t="s">
        <v>12074</v>
      </c>
      <c r="B3707" s="8" t="s">
        <v>12075</v>
      </c>
      <c r="C3707" s="8" t="s">
        <v>12076</v>
      </c>
      <c r="D3707" s="8" t="s">
        <v>12075</v>
      </c>
      <c r="E3707" s="105">
        <v>25</v>
      </c>
      <c r="F3707" s="106" t="s">
        <v>2018</v>
      </c>
      <c r="G3707" s="8"/>
      <c r="H3707" s="8"/>
      <c r="I3707" s="107">
        <v>0</v>
      </c>
      <c r="J3707" s="8" t="s">
        <v>2019</v>
      </c>
    </row>
    <row r="3708" spans="1:10" ht="16.5" customHeight="1" x14ac:dyDescent="0.25">
      <c r="A3708" s="8" t="s">
        <v>12077</v>
      </c>
      <c r="B3708" s="8" t="s">
        <v>12078</v>
      </c>
      <c r="C3708" s="8" t="s">
        <v>12079</v>
      </c>
      <c r="D3708" s="8" t="s">
        <v>12078</v>
      </c>
      <c r="E3708" s="105">
        <v>0</v>
      </c>
      <c r="F3708" s="106" t="s">
        <v>2024</v>
      </c>
      <c r="G3708" s="8"/>
      <c r="H3708" s="8"/>
      <c r="I3708" s="107">
        <v>0</v>
      </c>
      <c r="J3708" s="8" t="s">
        <v>2019</v>
      </c>
    </row>
    <row r="3709" spans="1:10" ht="16.5" customHeight="1" x14ac:dyDescent="0.25">
      <c r="A3709" s="8" t="s">
        <v>12080</v>
      </c>
      <c r="B3709" s="8" t="s">
        <v>12081</v>
      </c>
      <c r="C3709" s="8" t="s">
        <v>12082</v>
      </c>
      <c r="D3709" s="8" t="s">
        <v>12081</v>
      </c>
      <c r="E3709" s="105">
        <v>0</v>
      </c>
      <c r="F3709" s="106" t="s">
        <v>2024</v>
      </c>
      <c r="G3709" s="8"/>
      <c r="H3709" s="8"/>
      <c r="I3709" s="107">
        <v>0</v>
      </c>
      <c r="J3709" s="8" t="s">
        <v>2019</v>
      </c>
    </row>
    <row r="3710" spans="1:10" ht="16.5" customHeight="1" x14ac:dyDescent="0.25">
      <c r="A3710" s="8" t="s">
        <v>12083</v>
      </c>
      <c r="B3710" s="8" t="s">
        <v>12084</v>
      </c>
      <c r="C3710" s="8" t="s">
        <v>9778</v>
      </c>
      <c r="D3710" s="8" t="s">
        <v>12084</v>
      </c>
      <c r="E3710" s="105">
        <v>1</v>
      </c>
      <c r="F3710" s="106" t="s">
        <v>2024</v>
      </c>
      <c r="G3710" s="8"/>
      <c r="H3710" s="8"/>
      <c r="I3710" s="107">
        <v>0</v>
      </c>
      <c r="J3710" s="8" t="s">
        <v>3580</v>
      </c>
    </row>
    <row r="3711" spans="1:10" ht="16.5" customHeight="1" x14ac:dyDescent="0.25">
      <c r="A3711" s="8" t="s">
        <v>12085</v>
      </c>
      <c r="B3711" s="8" t="s">
        <v>12086</v>
      </c>
      <c r="C3711" s="8" t="s">
        <v>12087</v>
      </c>
      <c r="D3711" s="8" t="s">
        <v>12086</v>
      </c>
      <c r="E3711" s="105">
        <v>0</v>
      </c>
      <c r="F3711" s="106" t="s">
        <v>2024</v>
      </c>
      <c r="G3711" s="8"/>
      <c r="H3711" s="8"/>
      <c r="I3711" s="107">
        <v>0</v>
      </c>
      <c r="J3711" s="8" t="s">
        <v>2019</v>
      </c>
    </row>
    <row r="3712" spans="1:10" ht="16.5" customHeight="1" x14ac:dyDescent="0.25">
      <c r="A3712" s="8" t="s">
        <v>12088</v>
      </c>
      <c r="B3712" s="8" t="s">
        <v>12089</v>
      </c>
      <c r="C3712" s="8" t="s">
        <v>12090</v>
      </c>
      <c r="D3712" s="8" t="s">
        <v>12089</v>
      </c>
      <c r="E3712" s="105">
        <v>0</v>
      </c>
      <c r="F3712" s="106" t="s">
        <v>2024</v>
      </c>
      <c r="G3712" s="8"/>
      <c r="H3712" s="8"/>
      <c r="I3712" s="107">
        <v>0</v>
      </c>
      <c r="J3712" s="8" t="s">
        <v>2019</v>
      </c>
    </row>
    <row r="3713" spans="1:10" ht="16.5" customHeight="1" x14ac:dyDescent="0.25">
      <c r="A3713" s="8" t="s">
        <v>12091</v>
      </c>
      <c r="B3713" s="8" t="s">
        <v>12092</v>
      </c>
      <c r="C3713" s="8" t="s">
        <v>12093</v>
      </c>
      <c r="D3713" s="8" t="s">
        <v>12092</v>
      </c>
      <c r="E3713" s="105">
        <v>0</v>
      </c>
      <c r="F3713" s="106" t="s">
        <v>2024</v>
      </c>
      <c r="G3713" s="8"/>
      <c r="H3713" s="8"/>
      <c r="I3713" s="107">
        <v>0</v>
      </c>
      <c r="J3713" s="8" t="s">
        <v>2019</v>
      </c>
    </row>
    <row r="3714" spans="1:10" ht="16.5" customHeight="1" x14ac:dyDescent="0.25">
      <c r="A3714" s="8" t="s">
        <v>12094</v>
      </c>
      <c r="B3714" s="8" t="s">
        <v>12095</v>
      </c>
      <c r="C3714" s="8" t="s">
        <v>12096</v>
      </c>
      <c r="D3714" s="8" t="s">
        <v>12095</v>
      </c>
      <c r="E3714" s="105">
        <v>0</v>
      </c>
      <c r="F3714" s="106" t="s">
        <v>2024</v>
      </c>
      <c r="G3714" s="8"/>
      <c r="H3714" s="8"/>
      <c r="I3714" s="107">
        <v>0</v>
      </c>
      <c r="J3714" s="8" t="s">
        <v>2019</v>
      </c>
    </row>
    <row r="3715" spans="1:10" ht="16.5" customHeight="1" x14ac:dyDescent="0.25">
      <c r="A3715" s="8" t="s">
        <v>12097</v>
      </c>
      <c r="B3715" s="8" t="s">
        <v>12098</v>
      </c>
      <c r="C3715" s="8" t="s">
        <v>12099</v>
      </c>
      <c r="D3715" s="8" t="s">
        <v>12098</v>
      </c>
      <c r="E3715" s="105">
        <v>13.906000000000001</v>
      </c>
      <c r="F3715" s="106" t="s">
        <v>2024</v>
      </c>
      <c r="G3715" s="8" t="s">
        <v>1541</v>
      </c>
      <c r="H3715" s="8" t="s">
        <v>12100</v>
      </c>
      <c r="I3715" s="107">
        <v>6</v>
      </c>
      <c r="J3715" s="8" t="s">
        <v>5929</v>
      </c>
    </row>
    <row r="3716" spans="1:10" ht="16.5" customHeight="1" x14ac:dyDescent="0.25">
      <c r="A3716" s="8" t="s">
        <v>12100</v>
      </c>
      <c r="B3716" s="8" t="s">
        <v>12101</v>
      </c>
      <c r="C3716" s="8" t="s">
        <v>12102</v>
      </c>
      <c r="D3716" s="8" t="s">
        <v>12101</v>
      </c>
      <c r="E3716" s="105">
        <v>2.1850000000000001</v>
      </c>
      <c r="F3716" s="106" t="s">
        <v>2024</v>
      </c>
      <c r="G3716" s="8" t="s">
        <v>1541</v>
      </c>
      <c r="H3716" s="8"/>
      <c r="I3716" s="107">
        <v>0</v>
      </c>
      <c r="J3716" s="8" t="s">
        <v>5929</v>
      </c>
    </row>
    <row r="3717" spans="1:10" ht="16.5" customHeight="1" x14ac:dyDescent="0.25">
      <c r="A3717" s="8" t="s">
        <v>12103</v>
      </c>
      <c r="B3717" s="8" t="s">
        <v>12104</v>
      </c>
      <c r="C3717" s="8" t="s">
        <v>12105</v>
      </c>
      <c r="D3717" s="8" t="s">
        <v>12104</v>
      </c>
      <c r="E3717" s="105">
        <v>1</v>
      </c>
      <c r="F3717" s="106" t="s">
        <v>2018</v>
      </c>
      <c r="G3717" s="8"/>
      <c r="H3717" s="8"/>
      <c r="I3717" s="107">
        <v>0</v>
      </c>
      <c r="J3717" s="8" t="s">
        <v>6357</v>
      </c>
    </row>
    <row r="3718" spans="1:10" ht="16.5" customHeight="1" x14ac:dyDescent="0.25">
      <c r="A3718" s="8" t="s">
        <v>12106</v>
      </c>
      <c r="B3718" s="8" t="s">
        <v>12107</v>
      </c>
      <c r="C3718" s="8" t="s">
        <v>12108</v>
      </c>
      <c r="D3718" s="8" t="s">
        <v>12107</v>
      </c>
      <c r="E3718" s="105">
        <v>1</v>
      </c>
      <c r="F3718" s="106" t="s">
        <v>2024</v>
      </c>
      <c r="G3718" s="8"/>
      <c r="H3718" s="8"/>
      <c r="I3718" s="107">
        <v>0</v>
      </c>
      <c r="J3718" s="8" t="s">
        <v>3580</v>
      </c>
    </row>
    <row r="3719" spans="1:10" ht="16.5" customHeight="1" x14ac:dyDescent="0.25">
      <c r="A3719" s="8" t="s">
        <v>12109</v>
      </c>
      <c r="B3719" s="8" t="s">
        <v>12110</v>
      </c>
      <c r="C3719" s="8" t="s">
        <v>12111</v>
      </c>
      <c r="D3719" s="8" t="s">
        <v>12110</v>
      </c>
      <c r="E3719" s="105">
        <v>1</v>
      </c>
      <c r="F3719" s="106" t="s">
        <v>2018</v>
      </c>
      <c r="G3719" s="8"/>
      <c r="H3719" s="8"/>
      <c r="I3719" s="107">
        <v>0</v>
      </c>
      <c r="J3719" s="8" t="s">
        <v>6357</v>
      </c>
    </row>
    <row r="3720" spans="1:10" ht="16.5" customHeight="1" x14ac:dyDescent="0.25">
      <c r="A3720" s="8" t="s">
        <v>12112</v>
      </c>
      <c r="B3720" s="8" t="s">
        <v>12113</v>
      </c>
      <c r="C3720" s="8" t="s">
        <v>12114</v>
      </c>
      <c r="D3720" s="8" t="s">
        <v>12113</v>
      </c>
      <c r="E3720" s="105">
        <v>1</v>
      </c>
      <c r="F3720" s="106" t="s">
        <v>2018</v>
      </c>
      <c r="G3720" s="8"/>
      <c r="H3720" s="8"/>
      <c r="I3720" s="107">
        <v>0</v>
      </c>
      <c r="J3720" s="8" t="s">
        <v>6357</v>
      </c>
    </row>
    <row r="3721" spans="1:10" ht="16.5" customHeight="1" x14ac:dyDescent="0.25">
      <c r="A3721" s="8" t="s">
        <v>12115</v>
      </c>
      <c r="B3721" s="8" t="s">
        <v>12116</v>
      </c>
      <c r="C3721" s="8" t="s">
        <v>12117</v>
      </c>
      <c r="D3721" s="8" t="s">
        <v>12116</v>
      </c>
      <c r="E3721" s="105">
        <v>10.92</v>
      </c>
      <c r="F3721" s="106" t="s">
        <v>2018</v>
      </c>
      <c r="G3721" s="8"/>
      <c r="H3721" s="8"/>
      <c r="I3721" s="107">
        <v>0</v>
      </c>
      <c r="J3721" s="8" t="s">
        <v>2019</v>
      </c>
    </row>
    <row r="3722" spans="1:10" ht="16.5" customHeight="1" x14ac:dyDescent="0.25">
      <c r="A3722" s="8" t="s">
        <v>12118</v>
      </c>
      <c r="B3722" s="8" t="s">
        <v>12119</v>
      </c>
      <c r="C3722" s="8" t="s">
        <v>12120</v>
      </c>
      <c r="D3722" s="8" t="s">
        <v>12119</v>
      </c>
      <c r="E3722" s="105">
        <v>25</v>
      </c>
      <c r="F3722" s="106" t="s">
        <v>2018</v>
      </c>
      <c r="G3722" s="8"/>
      <c r="H3722" s="8"/>
      <c r="I3722" s="107">
        <v>0</v>
      </c>
      <c r="J3722" s="8" t="s">
        <v>2019</v>
      </c>
    </row>
    <row r="3723" spans="1:10" ht="16.5" customHeight="1" x14ac:dyDescent="0.25">
      <c r="A3723" s="8" t="s">
        <v>12121</v>
      </c>
      <c r="B3723" s="8" t="s">
        <v>12122</v>
      </c>
      <c r="C3723" s="8" t="s">
        <v>12123</v>
      </c>
      <c r="D3723" s="8" t="s">
        <v>12122</v>
      </c>
      <c r="E3723" s="105">
        <v>18</v>
      </c>
      <c r="F3723" s="106" t="s">
        <v>2018</v>
      </c>
      <c r="G3723" s="8"/>
      <c r="H3723" s="8"/>
      <c r="I3723" s="107">
        <v>0</v>
      </c>
      <c r="J3723" s="8" t="s">
        <v>2019</v>
      </c>
    </row>
    <row r="3724" spans="1:10" ht="16.5" customHeight="1" x14ac:dyDescent="0.25">
      <c r="A3724" s="8" t="s">
        <v>12124</v>
      </c>
      <c r="B3724" s="8" t="s">
        <v>12125</v>
      </c>
      <c r="C3724" s="8" t="s">
        <v>12126</v>
      </c>
      <c r="D3724" s="8" t="s">
        <v>12125</v>
      </c>
      <c r="E3724" s="105">
        <v>1.8</v>
      </c>
      <c r="F3724" s="106" t="s">
        <v>2018</v>
      </c>
      <c r="G3724" s="8"/>
      <c r="H3724" s="8" t="s">
        <v>12127</v>
      </c>
      <c r="I3724" s="107">
        <v>10</v>
      </c>
      <c r="J3724" s="8" t="s">
        <v>8088</v>
      </c>
    </row>
    <row r="3725" spans="1:10" ht="16.5" customHeight="1" x14ac:dyDescent="0.25">
      <c r="A3725" s="8" t="s">
        <v>12127</v>
      </c>
      <c r="B3725" s="8" t="s">
        <v>12128</v>
      </c>
      <c r="C3725" s="8" t="s">
        <v>12129</v>
      </c>
      <c r="D3725" s="8" t="s">
        <v>12128</v>
      </c>
      <c r="E3725" s="105">
        <v>0.18</v>
      </c>
      <c r="F3725" s="106" t="s">
        <v>2018</v>
      </c>
      <c r="G3725" s="8"/>
      <c r="H3725" s="8"/>
      <c r="I3725" s="107">
        <v>0</v>
      </c>
      <c r="J3725" s="8" t="s">
        <v>8088</v>
      </c>
    </row>
    <row r="3726" spans="1:10" ht="16.5" customHeight="1" x14ac:dyDescent="0.25">
      <c r="A3726" s="8" t="s">
        <v>12130</v>
      </c>
      <c r="B3726" s="8" t="s">
        <v>12131</v>
      </c>
      <c r="C3726" s="8" t="s">
        <v>12132</v>
      </c>
      <c r="D3726" s="8" t="s">
        <v>12131</v>
      </c>
      <c r="E3726" s="105">
        <v>1.5</v>
      </c>
      <c r="F3726" s="106" t="s">
        <v>2018</v>
      </c>
      <c r="G3726" s="8"/>
      <c r="H3726" s="8" t="s">
        <v>12133</v>
      </c>
      <c r="I3726" s="107">
        <v>10</v>
      </c>
      <c r="J3726" s="8" t="s">
        <v>8088</v>
      </c>
    </row>
    <row r="3727" spans="1:10" ht="16.5" customHeight="1" x14ac:dyDescent="0.25">
      <c r="A3727" s="8" t="s">
        <v>12133</v>
      </c>
      <c r="B3727" s="8" t="s">
        <v>12134</v>
      </c>
      <c r="C3727" s="8" t="s">
        <v>12135</v>
      </c>
      <c r="D3727" s="8" t="s">
        <v>12134</v>
      </c>
      <c r="E3727" s="105">
        <v>0.15</v>
      </c>
      <c r="F3727" s="106" t="s">
        <v>2018</v>
      </c>
      <c r="G3727" s="8"/>
      <c r="H3727" s="8"/>
      <c r="I3727" s="107">
        <v>0</v>
      </c>
      <c r="J3727" s="8" t="s">
        <v>8088</v>
      </c>
    </row>
    <row r="3728" spans="1:10" ht="16.5" customHeight="1" x14ac:dyDescent="0.25">
      <c r="A3728" s="8" t="s">
        <v>12136</v>
      </c>
      <c r="B3728" s="8" t="s">
        <v>12137</v>
      </c>
      <c r="C3728" s="8" t="s">
        <v>12138</v>
      </c>
      <c r="D3728" s="8" t="s">
        <v>12137</v>
      </c>
      <c r="E3728" s="105">
        <v>1.5</v>
      </c>
      <c r="F3728" s="106" t="s">
        <v>2018</v>
      </c>
      <c r="G3728" s="8"/>
      <c r="H3728" s="8" t="s">
        <v>12139</v>
      </c>
      <c r="I3728" s="107">
        <v>10</v>
      </c>
      <c r="J3728" s="8" t="s">
        <v>8088</v>
      </c>
    </row>
    <row r="3729" spans="1:10" ht="16.5" customHeight="1" x14ac:dyDescent="0.25">
      <c r="A3729" s="8" t="s">
        <v>12139</v>
      </c>
      <c r="B3729" s="8" t="s">
        <v>12140</v>
      </c>
      <c r="C3729" s="8" t="s">
        <v>12141</v>
      </c>
      <c r="D3729" s="8" t="s">
        <v>12140</v>
      </c>
      <c r="E3729" s="105">
        <v>0.15</v>
      </c>
      <c r="F3729" s="106" t="s">
        <v>2018</v>
      </c>
      <c r="G3729" s="8"/>
      <c r="H3729" s="8"/>
      <c r="I3729" s="107">
        <v>0</v>
      </c>
      <c r="J3729" s="8" t="s">
        <v>8088</v>
      </c>
    </row>
    <row r="3730" spans="1:10" ht="16.5" customHeight="1" x14ac:dyDescent="0.25">
      <c r="A3730" s="8" t="s">
        <v>12142</v>
      </c>
      <c r="B3730" s="8" t="s">
        <v>12143</v>
      </c>
      <c r="C3730" s="8" t="s">
        <v>203</v>
      </c>
      <c r="D3730" s="8" t="s">
        <v>12143</v>
      </c>
      <c r="E3730" s="105">
        <v>1.8</v>
      </c>
      <c r="F3730" s="106" t="s">
        <v>2018</v>
      </c>
      <c r="G3730" s="8"/>
      <c r="H3730" s="8" t="s">
        <v>12144</v>
      </c>
      <c r="I3730" s="107">
        <v>10</v>
      </c>
      <c r="J3730" s="8" t="s">
        <v>8088</v>
      </c>
    </row>
    <row r="3731" spans="1:10" ht="16.5" customHeight="1" x14ac:dyDescent="0.25">
      <c r="A3731" s="8" t="s">
        <v>12144</v>
      </c>
      <c r="B3731" s="8" t="s">
        <v>12145</v>
      </c>
      <c r="C3731" s="8" t="s">
        <v>12146</v>
      </c>
      <c r="D3731" s="8" t="s">
        <v>12145</v>
      </c>
      <c r="E3731" s="105">
        <v>0.18</v>
      </c>
      <c r="F3731" s="106" t="s">
        <v>2018</v>
      </c>
      <c r="G3731" s="8"/>
      <c r="H3731" s="8"/>
      <c r="I3731" s="107">
        <v>0</v>
      </c>
      <c r="J3731" s="8" t="s">
        <v>8088</v>
      </c>
    </row>
    <row r="3732" spans="1:10" ht="16.5" customHeight="1" x14ac:dyDescent="0.25">
      <c r="A3732" s="8" t="s">
        <v>12147</v>
      </c>
      <c r="B3732" s="8" t="s">
        <v>12148</v>
      </c>
      <c r="C3732" s="8" t="s">
        <v>12149</v>
      </c>
      <c r="D3732" s="8" t="s">
        <v>12148</v>
      </c>
      <c r="E3732" s="105">
        <v>1.8</v>
      </c>
      <c r="F3732" s="106" t="s">
        <v>2018</v>
      </c>
      <c r="G3732" s="8"/>
      <c r="H3732" s="8" t="s">
        <v>12150</v>
      </c>
      <c r="I3732" s="107">
        <v>10</v>
      </c>
      <c r="J3732" s="8" t="s">
        <v>8088</v>
      </c>
    </row>
    <row r="3733" spans="1:10" ht="16.5" customHeight="1" x14ac:dyDescent="0.25">
      <c r="A3733" s="8" t="s">
        <v>12150</v>
      </c>
      <c r="B3733" s="8" t="s">
        <v>12151</v>
      </c>
      <c r="C3733" s="8" t="s">
        <v>12152</v>
      </c>
      <c r="D3733" s="8" t="s">
        <v>12151</v>
      </c>
      <c r="E3733" s="105">
        <v>0.18</v>
      </c>
      <c r="F3733" s="106" t="s">
        <v>2018</v>
      </c>
      <c r="G3733" s="8"/>
      <c r="H3733" s="8"/>
      <c r="I3733" s="107">
        <v>0</v>
      </c>
      <c r="J3733" s="8" t="s">
        <v>8088</v>
      </c>
    </row>
    <row r="3734" spans="1:10" ht="16.5" customHeight="1" x14ac:dyDescent="0.25">
      <c r="A3734" s="8" t="s">
        <v>12153</v>
      </c>
      <c r="B3734" s="8" t="s">
        <v>12154</v>
      </c>
      <c r="C3734" s="8" t="s">
        <v>12155</v>
      </c>
      <c r="D3734" s="8" t="s">
        <v>12154</v>
      </c>
      <c r="E3734" s="105">
        <v>1.8</v>
      </c>
      <c r="F3734" s="106" t="s">
        <v>2018</v>
      </c>
      <c r="G3734" s="8"/>
      <c r="H3734" s="8" t="s">
        <v>12156</v>
      </c>
      <c r="I3734" s="107">
        <v>10</v>
      </c>
      <c r="J3734" s="8" t="s">
        <v>8088</v>
      </c>
    </row>
    <row r="3735" spans="1:10" ht="16.5" customHeight="1" x14ac:dyDescent="0.25">
      <c r="A3735" s="8" t="s">
        <v>12156</v>
      </c>
      <c r="B3735" s="8" t="s">
        <v>12157</v>
      </c>
      <c r="C3735" s="8" t="s">
        <v>12158</v>
      </c>
      <c r="D3735" s="8" t="s">
        <v>12157</v>
      </c>
      <c r="E3735" s="105">
        <v>0.18</v>
      </c>
      <c r="F3735" s="106" t="s">
        <v>2018</v>
      </c>
      <c r="G3735" s="8"/>
      <c r="H3735" s="8"/>
      <c r="I3735" s="107">
        <v>0</v>
      </c>
      <c r="J3735" s="8" t="s">
        <v>8088</v>
      </c>
    </row>
    <row r="3736" spans="1:10" ht="16.5" customHeight="1" x14ac:dyDescent="0.25">
      <c r="A3736" s="8" t="s">
        <v>12159</v>
      </c>
      <c r="B3736" s="8" t="s">
        <v>12160</v>
      </c>
      <c r="C3736" s="8" t="s">
        <v>12161</v>
      </c>
      <c r="D3736" s="8" t="s">
        <v>12160</v>
      </c>
      <c r="E3736" s="105">
        <v>1.5</v>
      </c>
      <c r="F3736" s="106" t="s">
        <v>2018</v>
      </c>
      <c r="G3736" s="8"/>
      <c r="H3736" s="8" t="s">
        <v>12162</v>
      </c>
      <c r="I3736" s="107">
        <v>10</v>
      </c>
      <c r="J3736" s="8" t="s">
        <v>8088</v>
      </c>
    </row>
    <row r="3737" spans="1:10" ht="16.5" customHeight="1" x14ac:dyDescent="0.25">
      <c r="A3737" s="8" t="s">
        <v>12162</v>
      </c>
      <c r="B3737" s="8" t="s">
        <v>12163</v>
      </c>
      <c r="C3737" s="8" t="s">
        <v>12164</v>
      </c>
      <c r="D3737" s="8" t="s">
        <v>12163</v>
      </c>
      <c r="E3737" s="105">
        <v>0.15</v>
      </c>
      <c r="F3737" s="106" t="s">
        <v>2018</v>
      </c>
      <c r="G3737" s="8"/>
      <c r="H3737" s="8"/>
      <c r="I3737" s="107">
        <v>0</v>
      </c>
      <c r="J3737" s="8" t="s">
        <v>8088</v>
      </c>
    </row>
    <row r="3738" spans="1:10" ht="16.5" customHeight="1" x14ac:dyDescent="0.25">
      <c r="A3738" s="8" t="s">
        <v>12165</v>
      </c>
      <c r="B3738" s="8" t="s">
        <v>12166</v>
      </c>
      <c r="C3738" s="8" t="s">
        <v>12167</v>
      </c>
      <c r="D3738" s="8" t="s">
        <v>12166</v>
      </c>
      <c r="E3738" s="105">
        <v>1.8</v>
      </c>
      <c r="F3738" s="106" t="s">
        <v>2018</v>
      </c>
      <c r="G3738" s="8"/>
      <c r="H3738" s="8" t="s">
        <v>12168</v>
      </c>
      <c r="I3738" s="107">
        <v>10</v>
      </c>
      <c r="J3738" s="8" t="s">
        <v>8088</v>
      </c>
    </row>
    <row r="3739" spans="1:10" ht="16.5" customHeight="1" x14ac:dyDescent="0.25">
      <c r="A3739" s="8" t="s">
        <v>12168</v>
      </c>
      <c r="B3739" s="8" t="s">
        <v>12169</v>
      </c>
      <c r="C3739" s="8" t="s">
        <v>12170</v>
      </c>
      <c r="D3739" s="8" t="s">
        <v>12169</v>
      </c>
      <c r="E3739" s="105">
        <v>0.18</v>
      </c>
      <c r="F3739" s="106" t="s">
        <v>2018</v>
      </c>
      <c r="G3739" s="8"/>
      <c r="H3739" s="8"/>
      <c r="I3739" s="107">
        <v>0</v>
      </c>
      <c r="J3739" s="8" t="s">
        <v>8088</v>
      </c>
    </row>
    <row r="3740" spans="1:10" ht="16.5" customHeight="1" x14ac:dyDescent="0.25">
      <c r="A3740" s="8" t="s">
        <v>12171</v>
      </c>
      <c r="B3740" s="8" t="s">
        <v>12172</v>
      </c>
      <c r="C3740" s="8" t="s">
        <v>1576</v>
      </c>
      <c r="D3740" s="8" t="s">
        <v>12172</v>
      </c>
      <c r="E3740" s="105">
        <v>13.385999999999999</v>
      </c>
      <c r="F3740" s="106" t="s">
        <v>2024</v>
      </c>
      <c r="G3740" s="8" t="s">
        <v>1541</v>
      </c>
      <c r="H3740" s="8" t="s">
        <v>12173</v>
      </c>
      <c r="I3740" s="107">
        <v>24</v>
      </c>
      <c r="J3740" s="8" t="s">
        <v>5929</v>
      </c>
    </row>
    <row r="3741" spans="1:10" ht="16.5" customHeight="1" x14ac:dyDescent="0.25">
      <c r="A3741" s="8" t="s">
        <v>12173</v>
      </c>
      <c r="B3741" s="8" t="s">
        <v>12174</v>
      </c>
      <c r="C3741" s="8" t="s">
        <v>12175</v>
      </c>
      <c r="D3741" s="8" t="s">
        <v>12174</v>
      </c>
      <c r="E3741" s="105">
        <v>0.55800000000000005</v>
      </c>
      <c r="F3741" s="106" t="s">
        <v>2024</v>
      </c>
      <c r="G3741" s="8" t="s">
        <v>1541</v>
      </c>
      <c r="H3741" s="8"/>
      <c r="I3741" s="107">
        <v>0</v>
      </c>
      <c r="J3741" s="8" t="s">
        <v>5929</v>
      </c>
    </row>
    <row r="3742" spans="1:10" ht="16.5" customHeight="1" x14ac:dyDescent="0.25">
      <c r="A3742" s="8" t="s">
        <v>1824</v>
      </c>
      <c r="B3742" s="8" t="s">
        <v>1826</v>
      </c>
      <c r="C3742" s="8" t="s">
        <v>1825</v>
      </c>
      <c r="D3742" s="8" t="s">
        <v>1826</v>
      </c>
      <c r="E3742" s="105">
        <v>2.88</v>
      </c>
      <c r="F3742" s="106" t="s">
        <v>2018</v>
      </c>
      <c r="G3742" s="8"/>
      <c r="H3742" s="8" t="s">
        <v>12176</v>
      </c>
      <c r="I3742" s="107">
        <v>48</v>
      </c>
      <c r="J3742" s="8" t="s">
        <v>4789</v>
      </c>
    </row>
    <row r="3743" spans="1:10" ht="16.5" customHeight="1" x14ac:dyDescent="0.25">
      <c r="A3743" s="8" t="s">
        <v>12176</v>
      </c>
      <c r="B3743" s="8" t="s">
        <v>12177</v>
      </c>
      <c r="C3743" s="8" t="s">
        <v>12178</v>
      </c>
      <c r="D3743" s="8" t="s">
        <v>12177</v>
      </c>
      <c r="E3743" s="105">
        <v>0.06</v>
      </c>
      <c r="F3743" s="106" t="s">
        <v>2018</v>
      </c>
      <c r="G3743" s="8"/>
      <c r="H3743" s="8"/>
      <c r="I3743" s="107">
        <v>0</v>
      </c>
      <c r="J3743" s="8" t="s">
        <v>4789</v>
      </c>
    </row>
    <row r="3744" spans="1:10" ht="16.5" customHeight="1" x14ac:dyDescent="0.25">
      <c r="A3744" s="8" t="s">
        <v>1842</v>
      </c>
      <c r="B3744" s="8" t="s">
        <v>1844</v>
      </c>
      <c r="C3744" s="8" t="s">
        <v>1843</v>
      </c>
      <c r="D3744" s="8" t="s">
        <v>1844</v>
      </c>
      <c r="E3744" s="105">
        <v>2.4</v>
      </c>
      <c r="F3744" s="106" t="s">
        <v>2018</v>
      </c>
      <c r="G3744" s="8"/>
      <c r="H3744" s="8" t="s">
        <v>12179</v>
      </c>
      <c r="I3744" s="107">
        <v>48</v>
      </c>
      <c r="J3744" s="8" t="s">
        <v>4789</v>
      </c>
    </row>
    <row r="3745" spans="1:10" ht="16.5" customHeight="1" x14ac:dyDescent="0.25">
      <c r="A3745" s="8" t="s">
        <v>12179</v>
      </c>
      <c r="B3745" s="8" t="s">
        <v>12180</v>
      </c>
      <c r="C3745" s="8" t="s">
        <v>12181</v>
      </c>
      <c r="D3745" s="8" t="s">
        <v>12180</v>
      </c>
      <c r="E3745" s="105">
        <v>0.05</v>
      </c>
      <c r="F3745" s="106" t="s">
        <v>2018</v>
      </c>
      <c r="G3745" s="8"/>
      <c r="H3745" s="8"/>
      <c r="I3745" s="107">
        <v>0</v>
      </c>
      <c r="J3745" s="8" t="s">
        <v>4789</v>
      </c>
    </row>
    <row r="3746" spans="1:10" ht="16.5" customHeight="1" x14ac:dyDescent="0.25">
      <c r="A3746" s="8" t="s">
        <v>12182</v>
      </c>
      <c r="B3746" s="8" t="s">
        <v>12183</v>
      </c>
      <c r="C3746" s="8" t="s">
        <v>12184</v>
      </c>
      <c r="D3746" s="8" t="s">
        <v>12183</v>
      </c>
      <c r="E3746" s="105">
        <v>0.03</v>
      </c>
      <c r="F3746" s="106" t="s">
        <v>2024</v>
      </c>
      <c r="G3746" s="8"/>
      <c r="H3746" s="8"/>
      <c r="I3746" s="107">
        <v>0</v>
      </c>
      <c r="J3746" s="8" t="s">
        <v>5330</v>
      </c>
    </row>
    <row r="3747" spans="1:10" ht="16.5" customHeight="1" x14ac:dyDescent="0.25">
      <c r="A3747" s="8" t="s">
        <v>12185</v>
      </c>
      <c r="B3747" s="8" t="s">
        <v>12186</v>
      </c>
      <c r="C3747" s="8" t="s">
        <v>12187</v>
      </c>
      <c r="D3747" s="8" t="s">
        <v>12186</v>
      </c>
      <c r="E3747" s="105">
        <v>1</v>
      </c>
      <c r="F3747" s="106" t="s">
        <v>2018</v>
      </c>
      <c r="G3747" s="8"/>
      <c r="H3747" s="8"/>
      <c r="I3747" s="107">
        <v>0</v>
      </c>
      <c r="J3747" s="8" t="s">
        <v>6357</v>
      </c>
    </row>
    <row r="3748" spans="1:10" ht="16.5" customHeight="1" x14ac:dyDescent="0.25">
      <c r="A3748" s="8" t="s">
        <v>12188</v>
      </c>
      <c r="B3748" s="8" t="s">
        <v>12189</v>
      </c>
      <c r="C3748" s="8" t="s">
        <v>12190</v>
      </c>
      <c r="D3748" s="8" t="s">
        <v>12189</v>
      </c>
      <c r="E3748" s="105">
        <v>1</v>
      </c>
      <c r="F3748" s="106" t="s">
        <v>2018</v>
      </c>
      <c r="G3748" s="8"/>
      <c r="H3748" s="8"/>
      <c r="I3748" s="107">
        <v>0</v>
      </c>
      <c r="J3748" s="8" t="s">
        <v>6357</v>
      </c>
    </row>
    <row r="3749" spans="1:10" ht="16.5" customHeight="1" x14ac:dyDescent="0.25">
      <c r="A3749" s="8" t="s">
        <v>12191</v>
      </c>
      <c r="B3749" s="8" t="s">
        <v>12192</v>
      </c>
      <c r="C3749" s="8" t="s">
        <v>11053</v>
      </c>
      <c r="D3749" s="8" t="s">
        <v>12192</v>
      </c>
      <c r="E3749" s="105">
        <v>1</v>
      </c>
      <c r="F3749" s="106" t="s">
        <v>2024</v>
      </c>
      <c r="G3749" s="8"/>
      <c r="H3749" s="8"/>
      <c r="I3749" s="107">
        <v>0</v>
      </c>
      <c r="J3749" s="8" t="s">
        <v>3580</v>
      </c>
    </row>
    <row r="3750" spans="1:10" ht="16.5" customHeight="1" x14ac:dyDescent="0.25">
      <c r="A3750" s="8" t="s">
        <v>12193</v>
      </c>
      <c r="B3750" s="8" t="s">
        <v>12194</v>
      </c>
      <c r="C3750" s="8" t="s">
        <v>12195</v>
      </c>
      <c r="D3750" s="8" t="s">
        <v>12194</v>
      </c>
      <c r="E3750" s="105">
        <v>1</v>
      </c>
      <c r="F3750" s="106" t="s">
        <v>2018</v>
      </c>
      <c r="G3750" s="8"/>
      <c r="H3750" s="8"/>
      <c r="I3750" s="107">
        <v>0</v>
      </c>
      <c r="J3750" s="8" t="s">
        <v>6357</v>
      </c>
    </row>
    <row r="3751" spans="1:10" ht="16.5" customHeight="1" x14ac:dyDescent="0.25">
      <c r="A3751" s="8" t="s">
        <v>12196</v>
      </c>
      <c r="B3751" s="8" t="s">
        <v>12197</v>
      </c>
      <c r="C3751" s="8" t="s">
        <v>12198</v>
      </c>
      <c r="D3751" s="8" t="s">
        <v>12197</v>
      </c>
      <c r="E3751" s="105">
        <v>1</v>
      </c>
      <c r="F3751" s="106" t="s">
        <v>2018</v>
      </c>
      <c r="G3751" s="8"/>
      <c r="H3751" s="8"/>
      <c r="I3751" s="107">
        <v>0</v>
      </c>
      <c r="J3751" s="8" t="s">
        <v>6357</v>
      </c>
    </row>
    <row r="3752" spans="1:10" ht="16.5" customHeight="1" x14ac:dyDescent="0.25">
      <c r="A3752" s="8" t="s">
        <v>12199</v>
      </c>
      <c r="B3752" s="8" t="s">
        <v>12200</v>
      </c>
      <c r="C3752" s="8" t="s">
        <v>12201</v>
      </c>
      <c r="D3752" s="8" t="s">
        <v>12200</v>
      </c>
      <c r="E3752" s="105">
        <v>1</v>
      </c>
      <c r="F3752" s="106" t="s">
        <v>2018</v>
      </c>
      <c r="G3752" s="8"/>
      <c r="H3752" s="8"/>
      <c r="I3752" s="107">
        <v>0</v>
      </c>
      <c r="J3752" s="8" t="s">
        <v>6357</v>
      </c>
    </row>
    <row r="3753" spans="1:10" ht="16.5" customHeight="1" x14ac:dyDescent="0.25">
      <c r="A3753" s="8" t="s">
        <v>12202</v>
      </c>
      <c r="B3753" s="8" t="s">
        <v>12203</v>
      </c>
      <c r="C3753" s="8" t="s">
        <v>12204</v>
      </c>
      <c r="D3753" s="8" t="s">
        <v>12203</v>
      </c>
      <c r="E3753" s="105">
        <v>10</v>
      </c>
      <c r="F3753" s="106" t="s">
        <v>2018</v>
      </c>
      <c r="G3753" s="8"/>
      <c r="H3753" s="8"/>
      <c r="I3753" s="107">
        <v>0</v>
      </c>
      <c r="J3753" s="8" t="s">
        <v>2019</v>
      </c>
    </row>
    <row r="3754" spans="1:10" ht="16.5" customHeight="1" x14ac:dyDescent="0.25">
      <c r="A3754" s="8" t="s">
        <v>12205</v>
      </c>
      <c r="B3754" s="8" t="s">
        <v>12206</v>
      </c>
      <c r="C3754" s="8" t="s">
        <v>12207</v>
      </c>
      <c r="D3754" s="8" t="s">
        <v>12206</v>
      </c>
      <c r="E3754" s="105">
        <v>0.4</v>
      </c>
      <c r="F3754" s="106" t="s">
        <v>2018</v>
      </c>
      <c r="G3754" s="8"/>
      <c r="H3754" s="8"/>
      <c r="I3754" s="107">
        <v>0</v>
      </c>
      <c r="J3754" s="8" t="s">
        <v>10697</v>
      </c>
    </row>
    <row r="3755" spans="1:10" ht="16.5" customHeight="1" x14ac:dyDescent="0.25">
      <c r="A3755" s="8" t="s">
        <v>1308</v>
      </c>
      <c r="B3755" s="8" t="s">
        <v>1310</v>
      </c>
      <c r="C3755" s="8" t="s">
        <v>1309</v>
      </c>
      <c r="D3755" s="8" t="s">
        <v>1310</v>
      </c>
      <c r="E3755" s="105">
        <v>9.6</v>
      </c>
      <c r="F3755" s="106" t="s">
        <v>2018</v>
      </c>
      <c r="G3755" s="8"/>
      <c r="H3755" s="8" t="s">
        <v>12205</v>
      </c>
      <c r="I3755" s="107">
        <v>24</v>
      </c>
      <c r="J3755" s="8" t="s">
        <v>10697</v>
      </c>
    </row>
    <row r="3756" spans="1:10" ht="16.5" customHeight="1" x14ac:dyDescent="0.25">
      <c r="A3756" s="8" t="s">
        <v>12208</v>
      </c>
      <c r="B3756" s="8" t="s">
        <v>12209</v>
      </c>
      <c r="C3756" s="8" t="s">
        <v>12210</v>
      </c>
      <c r="D3756" s="8" t="s">
        <v>12209</v>
      </c>
      <c r="E3756" s="105">
        <v>0.75</v>
      </c>
      <c r="F3756" s="106" t="s">
        <v>2018</v>
      </c>
      <c r="G3756" s="8"/>
      <c r="H3756" s="8"/>
      <c r="I3756" s="107">
        <v>0</v>
      </c>
      <c r="J3756" s="8" t="s">
        <v>10697</v>
      </c>
    </row>
    <row r="3757" spans="1:10" ht="16.5" customHeight="1" x14ac:dyDescent="0.25">
      <c r="A3757" s="8" t="s">
        <v>1311</v>
      </c>
      <c r="B3757" s="8" t="s">
        <v>1313</v>
      </c>
      <c r="C3757" s="8" t="s">
        <v>1312</v>
      </c>
      <c r="D3757" s="8" t="s">
        <v>1313</v>
      </c>
      <c r="E3757" s="105">
        <v>12</v>
      </c>
      <c r="F3757" s="106" t="s">
        <v>2018</v>
      </c>
      <c r="G3757" s="8"/>
      <c r="H3757" s="8" t="s">
        <v>12208</v>
      </c>
      <c r="I3757" s="107">
        <v>16</v>
      </c>
      <c r="J3757" s="8" t="s">
        <v>10697</v>
      </c>
    </row>
    <row r="3758" spans="1:10" ht="16.5" customHeight="1" x14ac:dyDescent="0.25">
      <c r="A3758" s="8" t="s">
        <v>12211</v>
      </c>
      <c r="B3758" s="8" t="s">
        <v>12212</v>
      </c>
      <c r="C3758" s="8" t="s">
        <v>12213</v>
      </c>
      <c r="D3758" s="8" t="s">
        <v>12212</v>
      </c>
      <c r="E3758" s="105">
        <v>1.4</v>
      </c>
      <c r="F3758" s="106" t="s">
        <v>2018</v>
      </c>
      <c r="G3758" s="8"/>
      <c r="H3758" s="8"/>
      <c r="I3758" s="107">
        <v>0</v>
      </c>
      <c r="J3758" s="8" t="s">
        <v>10697</v>
      </c>
    </row>
    <row r="3759" spans="1:10" ht="16.5" customHeight="1" x14ac:dyDescent="0.25">
      <c r="A3759" s="8" t="s">
        <v>1055</v>
      </c>
      <c r="B3759" s="8" t="s">
        <v>1057</v>
      </c>
      <c r="C3759" s="8" t="s">
        <v>1056</v>
      </c>
      <c r="D3759" s="8" t="s">
        <v>1057</v>
      </c>
      <c r="E3759" s="105">
        <v>11.2</v>
      </c>
      <c r="F3759" s="106" t="s">
        <v>2018</v>
      </c>
      <c r="G3759" s="8"/>
      <c r="H3759" s="8" t="s">
        <v>12211</v>
      </c>
      <c r="I3759" s="107">
        <v>8</v>
      </c>
      <c r="J3759" s="8" t="s">
        <v>10697</v>
      </c>
    </row>
    <row r="3760" spans="1:10" ht="16.5" customHeight="1" x14ac:dyDescent="0.25">
      <c r="A3760" s="8" t="s">
        <v>12214</v>
      </c>
      <c r="B3760" s="8" t="s">
        <v>12215</v>
      </c>
      <c r="C3760" s="8" t="s">
        <v>12216</v>
      </c>
      <c r="D3760" s="8" t="s">
        <v>12215</v>
      </c>
      <c r="E3760" s="105">
        <v>3.5</v>
      </c>
      <c r="F3760" s="106" t="s">
        <v>2018</v>
      </c>
      <c r="G3760" s="8"/>
      <c r="H3760" s="8"/>
      <c r="I3760" s="107">
        <v>0</v>
      </c>
      <c r="J3760" s="8" t="s">
        <v>10697</v>
      </c>
    </row>
    <row r="3761" spans="1:10" ht="16.5" customHeight="1" x14ac:dyDescent="0.25">
      <c r="A3761" s="8" t="s">
        <v>1076</v>
      </c>
      <c r="B3761" s="8" t="s">
        <v>1078</v>
      </c>
      <c r="C3761" s="8" t="s">
        <v>1077</v>
      </c>
      <c r="D3761" s="8" t="s">
        <v>1078</v>
      </c>
      <c r="E3761" s="105">
        <v>14</v>
      </c>
      <c r="F3761" s="106" t="s">
        <v>2018</v>
      </c>
      <c r="G3761" s="8"/>
      <c r="H3761" s="8" t="s">
        <v>12214</v>
      </c>
      <c r="I3761" s="107">
        <v>4</v>
      </c>
      <c r="J3761" s="8" t="s">
        <v>10697</v>
      </c>
    </row>
    <row r="3762" spans="1:10" ht="16.5" customHeight="1" x14ac:dyDescent="0.25">
      <c r="A3762" s="8" t="s">
        <v>1017</v>
      </c>
      <c r="B3762" s="8" t="s">
        <v>1019</v>
      </c>
      <c r="C3762" s="8" t="s">
        <v>1018</v>
      </c>
      <c r="D3762" s="8" t="s">
        <v>1019</v>
      </c>
      <c r="E3762" s="105">
        <v>9</v>
      </c>
      <c r="F3762" s="106" t="s">
        <v>2018</v>
      </c>
      <c r="G3762" s="8"/>
      <c r="H3762" s="8"/>
      <c r="I3762" s="107">
        <v>0</v>
      </c>
      <c r="J3762" s="8" t="s">
        <v>10697</v>
      </c>
    </row>
    <row r="3763" spans="1:10" ht="16.5" customHeight="1" x14ac:dyDescent="0.25">
      <c r="A3763" s="8" t="s">
        <v>1242</v>
      </c>
      <c r="B3763" s="8" t="s">
        <v>1244</v>
      </c>
      <c r="C3763" s="8" t="s">
        <v>1243</v>
      </c>
      <c r="D3763" s="8" t="s">
        <v>1244</v>
      </c>
      <c r="E3763" s="105">
        <v>18</v>
      </c>
      <c r="F3763" s="106" t="s">
        <v>2018</v>
      </c>
      <c r="G3763" s="8"/>
      <c r="H3763" s="8"/>
      <c r="I3763" s="107">
        <v>0</v>
      </c>
      <c r="J3763" s="8" t="s">
        <v>10697</v>
      </c>
    </row>
    <row r="3764" spans="1:10" ht="16.5" customHeight="1" x14ac:dyDescent="0.25">
      <c r="A3764" s="8" t="s">
        <v>12217</v>
      </c>
      <c r="B3764" s="8" t="s">
        <v>12218</v>
      </c>
      <c r="C3764" s="8" t="s">
        <v>12219</v>
      </c>
      <c r="D3764" s="8" t="s">
        <v>12218</v>
      </c>
      <c r="E3764" s="105">
        <v>3.5</v>
      </c>
      <c r="F3764" s="106" t="s">
        <v>2018</v>
      </c>
      <c r="G3764" s="8"/>
      <c r="H3764" s="8"/>
      <c r="I3764" s="107">
        <v>0</v>
      </c>
      <c r="J3764" s="8" t="s">
        <v>10697</v>
      </c>
    </row>
    <row r="3765" spans="1:10" ht="16.5" customHeight="1" x14ac:dyDescent="0.25">
      <c r="A3765" s="8" t="s">
        <v>12220</v>
      </c>
      <c r="B3765" s="8" t="s">
        <v>9945</v>
      </c>
      <c r="C3765" s="8" t="s">
        <v>12221</v>
      </c>
      <c r="D3765" s="8" t="s">
        <v>9945</v>
      </c>
      <c r="E3765" s="105">
        <v>8</v>
      </c>
      <c r="F3765" s="106" t="s">
        <v>2024</v>
      </c>
      <c r="G3765" s="8"/>
      <c r="H3765" s="8"/>
      <c r="I3765" s="107">
        <v>0</v>
      </c>
      <c r="J3765" s="8" t="s">
        <v>2019</v>
      </c>
    </row>
    <row r="3766" spans="1:10" ht="16.5" customHeight="1" x14ac:dyDescent="0.25">
      <c r="A3766" s="8" t="s">
        <v>1011</v>
      </c>
      <c r="B3766" s="8" t="s">
        <v>1013</v>
      </c>
      <c r="C3766" s="8" t="s">
        <v>1012</v>
      </c>
      <c r="D3766" s="8" t="s">
        <v>1013</v>
      </c>
      <c r="E3766" s="105">
        <v>14</v>
      </c>
      <c r="F3766" s="106" t="s">
        <v>2018</v>
      </c>
      <c r="G3766" s="8"/>
      <c r="H3766" s="8" t="s">
        <v>12217</v>
      </c>
      <c r="I3766" s="107">
        <v>4</v>
      </c>
      <c r="J3766" s="8" t="s">
        <v>10697</v>
      </c>
    </row>
    <row r="3767" spans="1:10" ht="16.5" customHeight="1" x14ac:dyDescent="0.25">
      <c r="A3767" s="8" t="s">
        <v>12222</v>
      </c>
      <c r="B3767" s="8" t="s">
        <v>12223</v>
      </c>
      <c r="C3767" s="8" t="s">
        <v>12224</v>
      </c>
      <c r="D3767" s="8" t="s">
        <v>12223</v>
      </c>
      <c r="E3767" s="105">
        <v>0.99</v>
      </c>
      <c r="F3767" s="106" t="s">
        <v>2018</v>
      </c>
      <c r="G3767" s="8"/>
      <c r="H3767" s="8"/>
      <c r="I3767" s="107">
        <v>0</v>
      </c>
      <c r="J3767" s="8" t="s">
        <v>10697</v>
      </c>
    </row>
    <row r="3768" spans="1:10" ht="16.5" customHeight="1" x14ac:dyDescent="0.25">
      <c r="A3768" s="8" t="s">
        <v>1318</v>
      </c>
      <c r="B3768" s="8" t="s">
        <v>12225</v>
      </c>
      <c r="C3768" s="8" t="s">
        <v>12226</v>
      </c>
      <c r="D3768" s="8" t="s">
        <v>12225</v>
      </c>
      <c r="E3768" s="105">
        <v>11.88</v>
      </c>
      <c r="F3768" s="106" t="s">
        <v>2018</v>
      </c>
      <c r="G3768" s="8"/>
      <c r="H3768" s="8" t="s">
        <v>12222</v>
      </c>
      <c r="I3768" s="107">
        <v>12</v>
      </c>
      <c r="J3768" s="8" t="s">
        <v>10697</v>
      </c>
    </row>
    <row r="3769" spans="1:10" ht="16.5" customHeight="1" x14ac:dyDescent="0.25">
      <c r="A3769" s="8" t="s">
        <v>12227</v>
      </c>
      <c r="B3769" s="8" t="s">
        <v>12228</v>
      </c>
      <c r="C3769" s="8" t="s">
        <v>12229</v>
      </c>
      <c r="D3769" s="8" t="s">
        <v>12228</v>
      </c>
      <c r="E3769" s="105">
        <v>0.99</v>
      </c>
      <c r="F3769" s="106" t="s">
        <v>2018</v>
      </c>
      <c r="G3769" s="8"/>
      <c r="H3769" s="8"/>
      <c r="I3769" s="107">
        <v>0</v>
      </c>
      <c r="J3769" s="8" t="s">
        <v>10697</v>
      </c>
    </row>
    <row r="3770" spans="1:10" ht="16.5" customHeight="1" x14ac:dyDescent="0.25">
      <c r="A3770" s="8" t="s">
        <v>1164</v>
      </c>
      <c r="B3770" s="8" t="s">
        <v>1166</v>
      </c>
      <c r="C3770" s="8" t="s">
        <v>1165</v>
      </c>
      <c r="D3770" s="8" t="s">
        <v>1166</v>
      </c>
      <c r="E3770" s="105">
        <v>11.88</v>
      </c>
      <c r="F3770" s="106" t="s">
        <v>2018</v>
      </c>
      <c r="G3770" s="8"/>
      <c r="H3770" s="8" t="s">
        <v>12227</v>
      </c>
      <c r="I3770" s="107">
        <v>12</v>
      </c>
      <c r="J3770" s="8" t="s">
        <v>10697</v>
      </c>
    </row>
    <row r="3771" spans="1:10" ht="16.5" customHeight="1" x14ac:dyDescent="0.25">
      <c r="A3771" s="8" t="s">
        <v>12230</v>
      </c>
      <c r="B3771" s="8" t="s">
        <v>12231</v>
      </c>
      <c r="C3771" s="8" t="s">
        <v>12232</v>
      </c>
      <c r="D3771" s="8" t="s">
        <v>12231</v>
      </c>
      <c r="E3771" s="105">
        <v>3.5</v>
      </c>
      <c r="F3771" s="106" t="s">
        <v>2018</v>
      </c>
      <c r="G3771" s="8"/>
      <c r="H3771" s="8"/>
      <c r="I3771" s="107">
        <v>0</v>
      </c>
      <c r="J3771" s="8" t="s">
        <v>10697</v>
      </c>
    </row>
    <row r="3772" spans="1:10" ht="16.5" customHeight="1" x14ac:dyDescent="0.25">
      <c r="A3772" s="8" t="s">
        <v>1030</v>
      </c>
      <c r="B3772" s="8" t="s">
        <v>1032</v>
      </c>
      <c r="C3772" s="8" t="s">
        <v>1031</v>
      </c>
      <c r="D3772" s="8" t="s">
        <v>1032</v>
      </c>
      <c r="E3772" s="105">
        <v>14</v>
      </c>
      <c r="F3772" s="106" t="s">
        <v>2018</v>
      </c>
      <c r="G3772" s="8"/>
      <c r="H3772" s="8" t="s">
        <v>12230</v>
      </c>
      <c r="I3772" s="107">
        <v>4</v>
      </c>
      <c r="J3772" s="8" t="s">
        <v>10697</v>
      </c>
    </row>
    <row r="3773" spans="1:10" ht="16.5" customHeight="1" x14ac:dyDescent="0.25">
      <c r="A3773" s="8" t="s">
        <v>12233</v>
      </c>
      <c r="B3773" s="8" t="s">
        <v>12234</v>
      </c>
      <c r="C3773" s="8" t="s">
        <v>12235</v>
      </c>
      <c r="D3773" s="8" t="s">
        <v>12234</v>
      </c>
      <c r="E3773" s="105">
        <v>3.5</v>
      </c>
      <c r="F3773" s="106" t="s">
        <v>2018</v>
      </c>
      <c r="G3773" s="8"/>
      <c r="H3773" s="8"/>
      <c r="I3773" s="107">
        <v>0</v>
      </c>
      <c r="J3773" s="8" t="s">
        <v>10697</v>
      </c>
    </row>
    <row r="3774" spans="1:10" ht="16.5" customHeight="1" x14ac:dyDescent="0.25">
      <c r="A3774" s="8" t="s">
        <v>1112</v>
      </c>
      <c r="B3774" s="8" t="s">
        <v>1114</v>
      </c>
      <c r="C3774" s="8" t="s">
        <v>1113</v>
      </c>
      <c r="D3774" s="8" t="s">
        <v>1114</v>
      </c>
      <c r="E3774" s="105">
        <v>14</v>
      </c>
      <c r="F3774" s="106" t="s">
        <v>2018</v>
      </c>
      <c r="G3774" s="8"/>
      <c r="H3774" s="8" t="s">
        <v>12233</v>
      </c>
      <c r="I3774" s="107">
        <v>4</v>
      </c>
      <c r="J3774" s="8" t="s">
        <v>10697</v>
      </c>
    </row>
    <row r="3775" spans="1:10" ht="16.5" customHeight="1" x14ac:dyDescent="0.25">
      <c r="A3775" s="8" t="s">
        <v>12236</v>
      </c>
      <c r="B3775" s="8" t="s">
        <v>12237</v>
      </c>
      <c r="C3775" s="8" t="s">
        <v>12238</v>
      </c>
      <c r="D3775" s="8" t="s">
        <v>12237</v>
      </c>
      <c r="E3775" s="105">
        <v>9</v>
      </c>
      <c r="F3775" s="106" t="s">
        <v>2018</v>
      </c>
      <c r="G3775" s="8"/>
      <c r="H3775" s="8"/>
      <c r="I3775" s="107">
        <v>0</v>
      </c>
      <c r="J3775" s="8" t="s">
        <v>10697</v>
      </c>
    </row>
    <row r="3776" spans="1:10" ht="16.5" customHeight="1" x14ac:dyDescent="0.25">
      <c r="A3776" s="8" t="s">
        <v>1245</v>
      </c>
      <c r="B3776" s="8" t="s">
        <v>1247</v>
      </c>
      <c r="C3776" s="8" t="s">
        <v>1246</v>
      </c>
      <c r="D3776" s="8" t="s">
        <v>1247</v>
      </c>
      <c r="E3776" s="105">
        <v>18</v>
      </c>
      <c r="F3776" s="106" t="s">
        <v>2018</v>
      </c>
      <c r="G3776" s="8"/>
      <c r="H3776" s="8" t="s">
        <v>12236</v>
      </c>
      <c r="I3776" s="107">
        <v>2</v>
      </c>
      <c r="J3776" s="8" t="s">
        <v>10697</v>
      </c>
    </row>
    <row r="3777" spans="1:10" ht="16.5" customHeight="1" x14ac:dyDescent="0.25">
      <c r="A3777" s="8" t="s">
        <v>12239</v>
      </c>
      <c r="B3777" s="8" t="s">
        <v>12240</v>
      </c>
      <c r="C3777" s="8" t="s">
        <v>12241</v>
      </c>
      <c r="D3777" s="8" t="s">
        <v>12240</v>
      </c>
      <c r="E3777" s="105">
        <v>9</v>
      </c>
      <c r="F3777" s="106" t="s">
        <v>2018</v>
      </c>
      <c r="G3777" s="8"/>
      <c r="H3777" s="8"/>
      <c r="I3777" s="107">
        <v>0</v>
      </c>
      <c r="J3777" s="8" t="s">
        <v>10697</v>
      </c>
    </row>
    <row r="3778" spans="1:10" ht="16.5" customHeight="1" x14ac:dyDescent="0.25">
      <c r="A3778" s="8" t="s">
        <v>1239</v>
      </c>
      <c r="B3778" s="8" t="s">
        <v>1241</v>
      </c>
      <c r="C3778" s="8" t="s">
        <v>1240</v>
      </c>
      <c r="D3778" s="8" t="s">
        <v>1241</v>
      </c>
      <c r="E3778" s="105">
        <v>18</v>
      </c>
      <c r="F3778" s="106" t="s">
        <v>2018</v>
      </c>
      <c r="G3778" s="8"/>
      <c r="H3778" s="8" t="s">
        <v>12239</v>
      </c>
      <c r="I3778" s="107">
        <v>2</v>
      </c>
      <c r="J3778" s="8" t="s">
        <v>10697</v>
      </c>
    </row>
    <row r="3779" spans="1:10" ht="16.5" customHeight="1" x14ac:dyDescent="0.25">
      <c r="A3779" s="8" t="s">
        <v>12242</v>
      </c>
      <c r="B3779" s="8" t="s">
        <v>12243</v>
      </c>
      <c r="C3779" s="8" t="s">
        <v>12244</v>
      </c>
      <c r="D3779" s="8" t="s">
        <v>12243</v>
      </c>
      <c r="E3779" s="105">
        <v>0.496</v>
      </c>
      <c r="F3779" s="106" t="s">
        <v>2018</v>
      </c>
      <c r="G3779" s="8"/>
      <c r="H3779" s="8"/>
      <c r="I3779" s="107">
        <v>0</v>
      </c>
      <c r="J3779" s="8" t="s">
        <v>10697</v>
      </c>
    </row>
    <row r="3780" spans="1:10" ht="16.5" customHeight="1" x14ac:dyDescent="0.25">
      <c r="A3780" s="8" t="s">
        <v>1183</v>
      </c>
      <c r="B3780" s="8" t="s">
        <v>1185</v>
      </c>
      <c r="C3780" s="8" t="s">
        <v>1184</v>
      </c>
      <c r="D3780" s="8" t="s">
        <v>1185</v>
      </c>
      <c r="E3780" s="105">
        <v>11.904</v>
      </c>
      <c r="F3780" s="106" t="s">
        <v>2018</v>
      </c>
      <c r="G3780" s="8"/>
      <c r="H3780" s="8" t="s">
        <v>12242</v>
      </c>
      <c r="I3780" s="107">
        <v>24</v>
      </c>
      <c r="J3780" s="8" t="s">
        <v>10697</v>
      </c>
    </row>
    <row r="3781" spans="1:10" ht="16.5" customHeight="1" x14ac:dyDescent="0.25">
      <c r="A3781" s="8" t="s">
        <v>12245</v>
      </c>
      <c r="B3781" s="8" t="s">
        <v>12246</v>
      </c>
      <c r="C3781" s="8" t="s">
        <v>1561</v>
      </c>
      <c r="D3781" s="8" t="s">
        <v>12246</v>
      </c>
      <c r="E3781" s="105">
        <v>6.12</v>
      </c>
      <c r="F3781" s="106" t="s">
        <v>2024</v>
      </c>
      <c r="G3781" s="8" t="s">
        <v>1541</v>
      </c>
      <c r="H3781" s="8" t="s">
        <v>12247</v>
      </c>
      <c r="I3781" s="107">
        <v>24</v>
      </c>
      <c r="J3781" s="8" t="s">
        <v>5929</v>
      </c>
    </row>
    <row r="3782" spans="1:10" ht="16.5" customHeight="1" x14ac:dyDescent="0.25">
      <c r="A3782" s="8" t="s">
        <v>12247</v>
      </c>
      <c r="B3782" s="8" t="s">
        <v>12248</v>
      </c>
      <c r="C3782" s="8" t="s">
        <v>12249</v>
      </c>
      <c r="D3782" s="8" t="s">
        <v>12248</v>
      </c>
      <c r="E3782" s="105">
        <v>0.255</v>
      </c>
      <c r="F3782" s="106" t="s">
        <v>2024</v>
      </c>
      <c r="G3782" s="8" t="s">
        <v>1541</v>
      </c>
      <c r="H3782" s="8"/>
      <c r="I3782" s="107">
        <v>0</v>
      </c>
      <c r="J3782" s="8" t="s">
        <v>5929</v>
      </c>
    </row>
    <row r="3783" spans="1:10" ht="16.5" customHeight="1" x14ac:dyDescent="0.25">
      <c r="A3783" s="8" t="s">
        <v>12250</v>
      </c>
      <c r="B3783" s="8" t="s">
        <v>12251</v>
      </c>
      <c r="C3783" s="8" t="s">
        <v>12252</v>
      </c>
      <c r="D3783" s="8" t="s">
        <v>12251</v>
      </c>
      <c r="E3783" s="105">
        <v>0</v>
      </c>
      <c r="F3783" s="106" t="s">
        <v>2024</v>
      </c>
      <c r="G3783" s="8"/>
      <c r="H3783" s="8"/>
      <c r="I3783" s="107">
        <v>0</v>
      </c>
      <c r="J3783" s="8" t="s">
        <v>6357</v>
      </c>
    </row>
    <row r="3784" spans="1:10" ht="16.5" customHeight="1" x14ac:dyDescent="0.25">
      <c r="A3784" s="8" t="s">
        <v>12253</v>
      </c>
      <c r="B3784" s="8" t="s">
        <v>12254</v>
      </c>
      <c r="C3784" s="8" t="s">
        <v>1564</v>
      </c>
      <c r="D3784" s="8" t="s">
        <v>12254</v>
      </c>
      <c r="E3784" s="105">
        <v>6.12</v>
      </c>
      <c r="F3784" s="106" t="s">
        <v>2024</v>
      </c>
      <c r="G3784" s="8" t="s">
        <v>1541</v>
      </c>
      <c r="H3784" s="8" t="s">
        <v>12255</v>
      </c>
      <c r="I3784" s="107">
        <v>24</v>
      </c>
      <c r="J3784" s="8" t="s">
        <v>5929</v>
      </c>
    </row>
    <row r="3785" spans="1:10" ht="16.5" customHeight="1" x14ac:dyDescent="0.25">
      <c r="A3785" s="8" t="s">
        <v>12255</v>
      </c>
      <c r="B3785" s="8" t="s">
        <v>12256</v>
      </c>
      <c r="C3785" s="8" t="s">
        <v>12257</v>
      </c>
      <c r="D3785" s="8" t="s">
        <v>12256</v>
      </c>
      <c r="E3785" s="105">
        <v>0.255</v>
      </c>
      <c r="F3785" s="106" t="s">
        <v>2024</v>
      </c>
      <c r="G3785" s="8" t="s">
        <v>1541</v>
      </c>
      <c r="H3785" s="8"/>
      <c r="I3785" s="107">
        <v>0</v>
      </c>
      <c r="J3785" s="8" t="s">
        <v>5929</v>
      </c>
    </row>
    <row r="3786" spans="1:10" ht="16.5" customHeight="1" x14ac:dyDescent="0.25">
      <c r="A3786" s="8" t="s">
        <v>12258</v>
      </c>
      <c r="B3786" s="8" t="s">
        <v>12259</v>
      </c>
      <c r="C3786" s="8" t="s">
        <v>1549</v>
      </c>
      <c r="D3786" s="8" t="s">
        <v>12259</v>
      </c>
      <c r="E3786" s="105">
        <v>17.088000000000001</v>
      </c>
      <c r="F3786" s="106" t="s">
        <v>2024</v>
      </c>
      <c r="G3786" s="8" t="s">
        <v>1541</v>
      </c>
      <c r="H3786" s="8" t="s">
        <v>12260</v>
      </c>
      <c r="I3786" s="107">
        <v>4</v>
      </c>
      <c r="J3786" s="8" t="s">
        <v>5929</v>
      </c>
    </row>
    <row r="3787" spans="1:10" ht="16.5" customHeight="1" x14ac:dyDescent="0.25">
      <c r="A3787" s="8" t="s">
        <v>12260</v>
      </c>
      <c r="B3787" s="8" t="s">
        <v>12261</v>
      </c>
      <c r="C3787" s="8" t="s">
        <v>12262</v>
      </c>
      <c r="D3787" s="8" t="s">
        <v>12261</v>
      </c>
      <c r="E3787" s="105">
        <v>4.2720000000000002</v>
      </c>
      <c r="F3787" s="106" t="s">
        <v>2024</v>
      </c>
      <c r="G3787" s="8" t="s">
        <v>1541</v>
      </c>
      <c r="H3787" s="8"/>
      <c r="I3787" s="107">
        <v>0</v>
      </c>
      <c r="J3787" s="8" t="s">
        <v>5929</v>
      </c>
    </row>
    <row r="3788" spans="1:10" ht="16.5" customHeight="1" x14ac:dyDescent="0.25">
      <c r="A3788" s="8" t="s">
        <v>12263</v>
      </c>
      <c r="B3788" s="8" t="s">
        <v>5819</v>
      </c>
      <c r="C3788" s="8" t="s">
        <v>1422</v>
      </c>
      <c r="D3788" s="8" t="s">
        <v>5819</v>
      </c>
      <c r="E3788" s="105">
        <v>0</v>
      </c>
      <c r="F3788" s="106" t="s">
        <v>2024</v>
      </c>
      <c r="G3788" s="8"/>
      <c r="H3788" s="8"/>
      <c r="I3788" s="107">
        <v>0</v>
      </c>
      <c r="J3788" s="8" t="s">
        <v>4722</v>
      </c>
    </row>
    <row r="3789" spans="1:10" ht="16.5" customHeight="1" x14ac:dyDescent="0.25">
      <c r="A3789" s="8" t="s">
        <v>12264</v>
      </c>
      <c r="B3789" s="8" t="s">
        <v>12265</v>
      </c>
      <c r="C3789" s="8" t="s">
        <v>12266</v>
      </c>
      <c r="D3789" s="8" t="s">
        <v>12265</v>
      </c>
      <c r="E3789" s="105">
        <v>12</v>
      </c>
      <c r="F3789" s="106" t="s">
        <v>2024</v>
      </c>
      <c r="G3789" s="8" t="s">
        <v>1541</v>
      </c>
      <c r="H3789" s="8" t="s">
        <v>12267</v>
      </c>
      <c r="I3789" s="107">
        <v>4</v>
      </c>
      <c r="J3789" s="8" t="s">
        <v>5929</v>
      </c>
    </row>
    <row r="3790" spans="1:10" ht="16.5" customHeight="1" x14ac:dyDescent="0.25">
      <c r="A3790" s="8" t="s">
        <v>12267</v>
      </c>
      <c r="B3790" s="8" t="s">
        <v>12268</v>
      </c>
      <c r="C3790" s="8" t="s">
        <v>12268</v>
      </c>
      <c r="D3790" s="8" t="s">
        <v>12268</v>
      </c>
      <c r="E3790" s="105">
        <v>3</v>
      </c>
      <c r="F3790" s="106" t="s">
        <v>2024</v>
      </c>
      <c r="G3790" s="8" t="s">
        <v>1541</v>
      </c>
      <c r="H3790" s="8"/>
      <c r="I3790" s="107">
        <v>0</v>
      </c>
      <c r="J3790" s="8" t="s">
        <v>5929</v>
      </c>
    </row>
    <row r="3791" spans="1:10" ht="16.5" customHeight="1" x14ac:dyDescent="0.25">
      <c r="A3791" s="8" t="s">
        <v>12269</v>
      </c>
      <c r="B3791" s="8" t="s">
        <v>12270</v>
      </c>
      <c r="C3791" s="8" t="s">
        <v>9778</v>
      </c>
      <c r="D3791" s="8" t="s">
        <v>12270</v>
      </c>
      <c r="E3791" s="105">
        <v>1</v>
      </c>
      <c r="F3791" s="106" t="s">
        <v>2024</v>
      </c>
      <c r="G3791" s="8"/>
      <c r="H3791" s="8"/>
      <c r="I3791" s="107">
        <v>0</v>
      </c>
      <c r="J3791" s="8" t="s">
        <v>3580</v>
      </c>
    </row>
    <row r="3792" spans="1:10" ht="16.5" customHeight="1" x14ac:dyDescent="0.25">
      <c r="A3792" s="8" t="s">
        <v>12271</v>
      </c>
      <c r="B3792" s="8" t="s">
        <v>12272</v>
      </c>
      <c r="C3792" s="8" t="s">
        <v>12273</v>
      </c>
      <c r="D3792" s="8" t="s">
        <v>12272</v>
      </c>
      <c r="E3792" s="105">
        <v>5</v>
      </c>
      <c r="F3792" s="106" t="s">
        <v>2018</v>
      </c>
      <c r="G3792" s="8"/>
      <c r="H3792" s="8"/>
      <c r="I3792" s="107">
        <v>0</v>
      </c>
      <c r="J3792" s="8" t="s">
        <v>5779</v>
      </c>
    </row>
    <row r="3793" spans="1:10" ht="16.5" customHeight="1" x14ac:dyDescent="0.25">
      <c r="A3793" s="8" t="s">
        <v>12274</v>
      </c>
      <c r="B3793" s="8" t="s">
        <v>12275</v>
      </c>
      <c r="C3793" s="8" t="s">
        <v>11982</v>
      </c>
      <c r="D3793" s="8" t="s">
        <v>12275</v>
      </c>
      <c r="E3793" s="105">
        <v>0.75</v>
      </c>
      <c r="F3793" s="106" t="s">
        <v>2018</v>
      </c>
      <c r="G3793" s="8"/>
      <c r="H3793" s="8"/>
      <c r="I3793" s="107">
        <v>0</v>
      </c>
      <c r="J3793" s="8" t="s">
        <v>4722</v>
      </c>
    </row>
    <row r="3794" spans="1:10" ht="16.5" customHeight="1" x14ac:dyDescent="0.25">
      <c r="A3794" s="8" t="s">
        <v>12276</v>
      </c>
      <c r="B3794" s="8" t="s">
        <v>12277</v>
      </c>
      <c r="C3794" s="8" t="s">
        <v>12278</v>
      </c>
      <c r="D3794" s="8" t="s">
        <v>12277</v>
      </c>
      <c r="E3794" s="105">
        <v>1</v>
      </c>
      <c r="F3794" s="106" t="s">
        <v>2018</v>
      </c>
      <c r="G3794" s="8"/>
      <c r="H3794" s="8"/>
      <c r="I3794" s="107">
        <v>0</v>
      </c>
      <c r="J3794" s="8" t="s">
        <v>6357</v>
      </c>
    </row>
    <row r="3795" spans="1:10" ht="16.5" customHeight="1" x14ac:dyDescent="0.25">
      <c r="A3795" s="8" t="s">
        <v>12279</v>
      </c>
      <c r="B3795" s="8" t="s">
        <v>12280</v>
      </c>
      <c r="C3795" s="8" t="s">
        <v>12281</v>
      </c>
      <c r="D3795" s="8" t="s">
        <v>12280</v>
      </c>
      <c r="E3795" s="105">
        <v>1</v>
      </c>
      <c r="F3795" s="106" t="s">
        <v>2018</v>
      </c>
      <c r="G3795" s="8"/>
      <c r="H3795" s="8"/>
      <c r="I3795" s="107">
        <v>0</v>
      </c>
      <c r="J3795" s="8" t="s">
        <v>6357</v>
      </c>
    </row>
    <row r="3796" spans="1:10" ht="16.5" customHeight="1" x14ac:dyDescent="0.25">
      <c r="A3796" s="8" t="s">
        <v>12282</v>
      </c>
      <c r="B3796" s="8" t="s">
        <v>12283</v>
      </c>
      <c r="C3796" s="8" t="s">
        <v>12284</v>
      </c>
      <c r="D3796" s="8" t="s">
        <v>12283</v>
      </c>
      <c r="E3796" s="105">
        <v>1</v>
      </c>
      <c r="F3796" s="106" t="s">
        <v>2018</v>
      </c>
      <c r="G3796" s="8"/>
      <c r="H3796" s="8"/>
      <c r="I3796" s="107">
        <v>0</v>
      </c>
      <c r="J3796" s="8" t="s">
        <v>6357</v>
      </c>
    </row>
    <row r="3797" spans="1:10" ht="16.5" customHeight="1" x14ac:dyDescent="0.25">
      <c r="A3797" s="8" t="s">
        <v>12285</v>
      </c>
      <c r="B3797" s="8" t="s">
        <v>12286</v>
      </c>
      <c r="C3797" s="8" t="s">
        <v>12287</v>
      </c>
      <c r="D3797" s="8" t="s">
        <v>12286</v>
      </c>
      <c r="E3797" s="105">
        <v>0</v>
      </c>
      <c r="F3797" s="106" t="s">
        <v>2018</v>
      </c>
      <c r="G3797" s="8"/>
      <c r="H3797" s="8"/>
      <c r="I3797" s="107">
        <v>0</v>
      </c>
      <c r="J3797" s="8" t="s">
        <v>5779</v>
      </c>
    </row>
    <row r="3798" spans="1:10" ht="16.5" customHeight="1" x14ac:dyDescent="0.25">
      <c r="A3798" s="8" t="s">
        <v>12288</v>
      </c>
      <c r="B3798" s="8" t="s">
        <v>12289</v>
      </c>
      <c r="C3798" s="8" t="s">
        <v>12290</v>
      </c>
      <c r="D3798" s="8" t="s">
        <v>12289</v>
      </c>
      <c r="E3798" s="105">
        <v>1</v>
      </c>
      <c r="F3798" s="106" t="s">
        <v>2024</v>
      </c>
      <c r="G3798" s="8"/>
      <c r="H3798" s="8"/>
      <c r="I3798" s="107">
        <v>0</v>
      </c>
      <c r="J3798" s="8" t="s">
        <v>2019</v>
      </c>
    </row>
    <row r="3799" spans="1:10" ht="16.5" customHeight="1" x14ac:dyDescent="0.25">
      <c r="A3799" s="8" t="s">
        <v>12291</v>
      </c>
      <c r="B3799" s="8" t="s">
        <v>12292</v>
      </c>
      <c r="C3799" s="8" t="s">
        <v>12293</v>
      </c>
      <c r="D3799" s="8" t="s">
        <v>12292</v>
      </c>
      <c r="E3799" s="105">
        <v>18.2</v>
      </c>
      <c r="F3799" s="106" t="s">
        <v>2018</v>
      </c>
      <c r="G3799" s="8"/>
      <c r="H3799" s="8"/>
      <c r="I3799" s="107">
        <v>0</v>
      </c>
      <c r="J3799" s="8" t="s">
        <v>2019</v>
      </c>
    </row>
    <row r="3800" spans="1:10" ht="16.5" customHeight="1" x14ac:dyDescent="0.25">
      <c r="A3800" s="8" t="s">
        <v>12294</v>
      </c>
      <c r="B3800" s="8" t="s">
        <v>12295</v>
      </c>
      <c r="C3800" s="8" t="s">
        <v>12296</v>
      </c>
      <c r="D3800" s="8" t="s">
        <v>12295</v>
      </c>
      <c r="E3800" s="105">
        <v>10.92</v>
      </c>
      <c r="F3800" s="106" t="s">
        <v>2018</v>
      </c>
      <c r="G3800" s="8"/>
      <c r="H3800" s="8"/>
      <c r="I3800" s="107">
        <v>0</v>
      </c>
      <c r="J3800" s="8" t="s">
        <v>2019</v>
      </c>
    </row>
    <row r="3801" spans="1:10" ht="16.5" customHeight="1" x14ac:dyDescent="0.25">
      <c r="A3801" s="8" t="s">
        <v>12297</v>
      </c>
      <c r="B3801" s="8" t="s">
        <v>12298</v>
      </c>
      <c r="C3801" s="8" t="s">
        <v>12299</v>
      </c>
      <c r="D3801" s="8" t="s">
        <v>12298</v>
      </c>
      <c r="E3801" s="105">
        <v>1</v>
      </c>
      <c r="F3801" s="106" t="s">
        <v>2018</v>
      </c>
      <c r="G3801" s="8"/>
      <c r="H3801" s="8"/>
      <c r="I3801" s="107">
        <v>0</v>
      </c>
      <c r="J3801" s="8" t="s">
        <v>6357</v>
      </c>
    </row>
    <row r="3802" spans="1:10" ht="16.5" customHeight="1" x14ac:dyDescent="0.25">
      <c r="A3802" s="8" t="s">
        <v>12300</v>
      </c>
      <c r="B3802" s="8" t="s">
        <v>12301</v>
      </c>
      <c r="C3802" s="8" t="s">
        <v>12302</v>
      </c>
      <c r="D3802" s="8" t="s">
        <v>12301</v>
      </c>
      <c r="E3802" s="105">
        <v>1</v>
      </c>
      <c r="F3802" s="106" t="s">
        <v>2018</v>
      </c>
      <c r="G3802" s="8"/>
      <c r="H3802" s="8"/>
      <c r="I3802" s="107">
        <v>0</v>
      </c>
      <c r="J3802" s="8" t="s">
        <v>6357</v>
      </c>
    </row>
    <row r="3803" spans="1:10" ht="16.5" customHeight="1" x14ac:dyDescent="0.25">
      <c r="A3803" s="8" t="s">
        <v>12303</v>
      </c>
      <c r="B3803" s="8" t="s">
        <v>12304</v>
      </c>
      <c r="C3803" s="8" t="s">
        <v>1648</v>
      </c>
      <c r="D3803" s="8" t="s">
        <v>11759</v>
      </c>
      <c r="E3803" s="105">
        <v>15</v>
      </c>
      <c r="F3803" s="106" t="s">
        <v>2024</v>
      </c>
      <c r="G3803" s="8" t="s">
        <v>1541</v>
      </c>
      <c r="H3803" s="8" t="s">
        <v>12305</v>
      </c>
      <c r="I3803" s="107">
        <v>3</v>
      </c>
      <c r="J3803" s="8" t="s">
        <v>5929</v>
      </c>
    </row>
    <row r="3804" spans="1:10" ht="16.5" customHeight="1" x14ac:dyDescent="0.25">
      <c r="A3804" s="8" t="s">
        <v>12306</v>
      </c>
      <c r="B3804" s="8" t="s">
        <v>12307</v>
      </c>
      <c r="C3804" s="8" t="s">
        <v>1585</v>
      </c>
      <c r="D3804" s="8" t="s">
        <v>12308</v>
      </c>
      <c r="E3804" s="105">
        <v>20</v>
      </c>
      <c r="F3804" s="106" t="s">
        <v>2024</v>
      </c>
      <c r="G3804" s="8" t="s">
        <v>1541</v>
      </c>
      <c r="H3804" s="8" t="s">
        <v>12309</v>
      </c>
      <c r="I3804" s="107">
        <v>2</v>
      </c>
      <c r="J3804" s="8" t="s">
        <v>5929</v>
      </c>
    </row>
    <row r="3805" spans="1:10" ht="16.5" customHeight="1" x14ac:dyDescent="0.25">
      <c r="A3805" s="8" t="s">
        <v>12309</v>
      </c>
      <c r="B3805" s="8" t="s">
        <v>11768</v>
      </c>
      <c r="C3805" s="8" t="s">
        <v>12310</v>
      </c>
      <c r="D3805" s="8" t="s">
        <v>11768</v>
      </c>
      <c r="E3805" s="105">
        <v>10</v>
      </c>
      <c r="F3805" s="106" t="s">
        <v>2024</v>
      </c>
      <c r="G3805" s="8" t="s">
        <v>1541</v>
      </c>
      <c r="H3805" s="8"/>
      <c r="I3805" s="107">
        <v>0</v>
      </c>
      <c r="J3805" s="8" t="s">
        <v>5929</v>
      </c>
    </row>
    <row r="3806" spans="1:10" ht="16.5" customHeight="1" x14ac:dyDescent="0.25">
      <c r="A3806" s="8" t="s">
        <v>12305</v>
      </c>
      <c r="B3806" s="8" t="s">
        <v>12311</v>
      </c>
      <c r="C3806" s="8" t="s">
        <v>12312</v>
      </c>
      <c r="D3806" s="8" t="s">
        <v>11766</v>
      </c>
      <c r="E3806" s="105">
        <v>5</v>
      </c>
      <c r="F3806" s="106" t="s">
        <v>2024</v>
      </c>
      <c r="G3806" s="8" t="s">
        <v>1541</v>
      </c>
      <c r="H3806" s="8"/>
      <c r="I3806" s="107">
        <v>0</v>
      </c>
      <c r="J3806" s="8" t="s">
        <v>5929</v>
      </c>
    </row>
    <row r="3807" spans="1:10" ht="16.5" customHeight="1" x14ac:dyDescent="0.25">
      <c r="A3807" s="8" t="s">
        <v>12313</v>
      </c>
      <c r="B3807" s="8" t="s">
        <v>12314</v>
      </c>
      <c r="C3807" s="8" t="s">
        <v>12315</v>
      </c>
      <c r="D3807" s="8" t="s">
        <v>12314</v>
      </c>
      <c r="E3807" s="105">
        <v>0</v>
      </c>
      <c r="F3807" s="106" t="s">
        <v>2024</v>
      </c>
      <c r="G3807" s="8"/>
      <c r="H3807" s="8"/>
      <c r="I3807" s="107">
        <v>0</v>
      </c>
      <c r="J3807" s="8" t="s">
        <v>4789</v>
      </c>
    </row>
    <row r="3808" spans="1:10" ht="16.5" customHeight="1" x14ac:dyDescent="0.25">
      <c r="A3808" s="8" t="s">
        <v>12316</v>
      </c>
      <c r="B3808" s="8" t="s">
        <v>12317</v>
      </c>
      <c r="C3808" s="8" t="s">
        <v>12318</v>
      </c>
      <c r="D3808" s="8" t="s">
        <v>12317</v>
      </c>
      <c r="E3808" s="105">
        <v>1</v>
      </c>
      <c r="F3808" s="106" t="s">
        <v>2018</v>
      </c>
      <c r="G3808" s="8"/>
      <c r="H3808" s="8"/>
      <c r="I3808" s="107">
        <v>0</v>
      </c>
      <c r="J3808" s="8" t="s">
        <v>6357</v>
      </c>
    </row>
    <row r="3809" spans="1:10" ht="16.5" customHeight="1" x14ac:dyDescent="0.25">
      <c r="A3809" s="8" t="s">
        <v>12319</v>
      </c>
      <c r="B3809" s="8" t="s">
        <v>12320</v>
      </c>
      <c r="C3809" s="8" t="s">
        <v>12321</v>
      </c>
      <c r="D3809" s="8" t="s">
        <v>12320</v>
      </c>
      <c r="E3809" s="105">
        <v>0.5</v>
      </c>
      <c r="F3809" s="106" t="s">
        <v>2024</v>
      </c>
      <c r="G3809" s="8"/>
      <c r="H3809" s="8"/>
      <c r="I3809" s="107">
        <v>0</v>
      </c>
      <c r="J3809" s="8" t="s">
        <v>2019</v>
      </c>
    </row>
    <row r="3810" spans="1:10" ht="16.5" customHeight="1" x14ac:dyDescent="0.25">
      <c r="A3810" s="8" t="s">
        <v>12322</v>
      </c>
      <c r="B3810" s="8" t="s">
        <v>12323</v>
      </c>
      <c r="C3810" s="8" t="s">
        <v>10464</v>
      </c>
      <c r="D3810" s="8" t="s">
        <v>12323</v>
      </c>
      <c r="E3810" s="105">
        <v>1</v>
      </c>
      <c r="F3810" s="106" t="s">
        <v>2024</v>
      </c>
      <c r="G3810" s="8"/>
      <c r="H3810" s="8"/>
      <c r="I3810" s="107">
        <v>0</v>
      </c>
      <c r="J3810" s="8" t="s">
        <v>3580</v>
      </c>
    </row>
    <row r="3811" spans="1:10" ht="16.5" customHeight="1" x14ac:dyDescent="0.25">
      <c r="A3811" s="8" t="s">
        <v>12324</v>
      </c>
      <c r="B3811" s="8" t="s">
        <v>12325</v>
      </c>
      <c r="C3811" s="8" t="s">
        <v>9802</v>
      </c>
      <c r="D3811" s="8" t="s">
        <v>12325</v>
      </c>
      <c r="E3811" s="105">
        <v>1</v>
      </c>
      <c r="F3811" s="106" t="s">
        <v>2024</v>
      </c>
      <c r="G3811" s="8"/>
      <c r="H3811" s="8"/>
      <c r="I3811" s="107">
        <v>0</v>
      </c>
      <c r="J3811" s="8" t="s">
        <v>3580</v>
      </c>
    </row>
    <row r="3812" spans="1:10" ht="16.5" customHeight="1" x14ac:dyDescent="0.25">
      <c r="A3812" s="8" t="s">
        <v>12326</v>
      </c>
      <c r="B3812" s="8" t="s">
        <v>12327</v>
      </c>
      <c r="C3812" s="8" t="s">
        <v>9645</v>
      </c>
      <c r="D3812" s="8" t="s">
        <v>12327</v>
      </c>
      <c r="E3812" s="105">
        <v>1</v>
      </c>
      <c r="F3812" s="106" t="s">
        <v>2024</v>
      </c>
      <c r="G3812" s="8"/>
      <c r="H3812" s="8"/>
      <c r="I3812" s="107">
        <v>0</v>
      </c>
      <c r="J3812" s="8" t="s">
        <v>3580</v>
      </c>
    </row>
    <row r="3813" spans="1:10" ht="16.5" customHeight="1" x14ac:dyDescent="0.25">
      <c r="A3813" s="8" t="s">
        <v>12328</v>
      </c>
      <c r="B3813" s="8" t="s">
        <v>12329</v>
      </c>
      <c r="C3813" s="8" t="s">
        <v>9795</v>
      </c>
      <c r="D3813" s="8" t="s">
        <v>12329</v>
      </c>
      <c r="E3813" s="105">
        <v>1</v>
      </c>
      <c r="F3813" s="106" t="s">
        <v>2024</v>
      </c>
      <c r="G3813" s="8"/>
      <c r="H3813" s="8"/>
      <c r="I3813" s="107">
        <v>0</v>
      </c>
      <c r="J3813" s="8" t="s">
        <v>3580</v>
      </c>
    </row>
    <row r="3814" spans="1:10" ht="16.5" customHeight="1" x14ac:dyDescent="0.25">
      <c r="A3814" s="8" t="s">
        <v>12330</v>
      </c>
      <c r="B3814" s="8" t="s">
        <v>12331</v>
      </c>
      <c r="C3814" s="8" t="s">
        <v>9743</v>
      </c>
      <c r="D3814" s="8" t="s">
        <v>12331</v>
      </c>
      <c r="E3814" s="105">
        <v>1</v>
      </c>
      <c r="F3814" s="106" t="s">
        <v>2024</v>
      </c>
      <c r="G3814" s="8"/>
      <c r="H3814" s="8"/>
      <c r="I3814" s="107">
        <v>0</v>
      </c>
      <c r="J3814" s="8" t="s">
        <v>3580</v>
      </c>
    </row>
    <row r="3815" spans="1:10" ht="16.5" customHeight="1" x14ac:dyDescent="0.25">
      <c r="A3815" s="8" t="s">
        <v>12332</v>
      </c>
      <c r="B3815" s="8" t="s">
        <v>12333</v>
      </c>
      <c r="C3815" s="8" t="s">
        <v>9819</v>
      </c>
      <c r="D3815" s="8" t="s">
        <v>12333</v>
      </c>
      <c r="E3815" s="105">
        <v>1</v>
      </c>
      <c r="F3815" s="106" t="s">
        <v>2024</v>
      </c>
      <c r="G3815" s="8"/>
      <c r="H3815" s="8"/>
      <c r="I3815" s="107">
        <v>0</v>
      </c>
      <c r="J3815" s="8" t="s">
        <v>3580</v>
      </c>
    </row>
    <row r="3816" spans="1:10" ht="16.5" customHeight="1" x14ac:dyDescent="0.25">
      <c r="A3816" s="8" t="s">
        <v>12334</v>
      </c>
      <c r="B3816" s="8" t="s">
        <v>12335</v>
      </c>
      <c r="C3816" s="8" t="s">
        <v>12336</v>
      </c>
      <c r="D3816" s="8" t="s">
        <v>12335</v>
      </c>
      <c r="E3816" s="105">
        <v>1</v>
      </c>
      <c r="F3816" s="106" t="s">
        <v>2018</v>
      </c>
      <c r="G3816" s="8"/>
      <c r="H3816" s="8"/>
      <c r="I3816" s="107">
        <v>0</v>
      </c>
      <c r="J3816" s="8" t="s">
        <v>6357</v>
      </c>
    </row>
    <row r="3817" spans="1:10" ht="16.5" customHeight="1" x14ac:dyDescent="0.25">
      <c r="A3817" s="8" t="s">
        <v>12337</v>
      </c>
      <c r="B3817" s="8" t="s">
        <v>12338</v>
      </c>
      <c r="C3817" s="8" t="s">
        <v>12339</v>
      </c>
      <c r="D3817" s="8" t="s">
        <v>12338</v>
      </c>
      <c r="E3817" s="105">
        <v>10</v>
      </c>
      <c r="F3817" s="106" t="s">
        <v>2024</v>
      </c>
      <c r="G3817" s="8" t="s">
        <v>1541</v>
      </c>
      <c r="H3817" s="8" t="s">
        <v>12340</v>
      </c>
      <c r="I3817" s="107">
        <v>10</v>
      </c>
      <c r="J3817" s="8" t="s">
        <v>5929</v>
      </c>
    </row>
    <row r="3818" spans="1:10" ht="16.5" customHeight="1" x14ac:dyDescent="0.25">
      <c r="A3818" s="8" t="s">
        <v>12340</v>
      </c>
      <c r="B3818" s="8" t="s">
        <v>12341</v>
      </c>
      <c r="C3818" s="8" t="s">
        <v>12342</v>
      </c>
      <c r="D3818" s="8" t="s">
        <v>12341</v>
      </c>
      <c r="E3818" s="105">
        <v>1</v>
      </c>
      <c r="F3818" s="106" t="s">
        <v>2024</v>
      </c>
      <c r="G3818" s="8" t="s">
        <v>1541</v>
      </c>
      <c r="H3818" s="8"/>
      <c r="I3818" s="107">
        <v>0</v>
      </c>
      <c r="J3818" s="8" t="s">
        <v>5929</v>
      </c>
    </row>
    <row r="3819" spans="1:10" ht="16.5" customHeight="1" x14ac:dyDescent="0.25">
      <c r="A3819" s="8" t="s">
        <v>12343</v>
      </c>
      <c r="B3819" s="8" t="s">
        <v>12344</v>
      </c>
      <c r="C3819" s="8" t="s">
        <v>12345</v>
      </c>
      <c r="D3819" s="8" t="s">
        <v>12344</v>
      </c>
      <c r="E3819" s="105">
        <v>10</v>
      </c>
      <c r="F3819" s="106" t="s">
        <v>2024</v>
      </c>
      <c r="G3819" s="8" t="s">
        <v>1541</v>
      </c>
      <c r="H3819" s="8" t="s">
        <v>12346</v>
      </c>
      <c r="I3819" s="107">
        <v>10</v>
      </c>
      <c r="J3819" s="8" t="s">
        <v>5929</v>
      </c>
    </row>
    <row r="3820" spans="1:10" ht="16.5" customHeight="1" x14ac:dyDescent="0.25">
      <c r="A3820" s="8" t="s">
        <v>12346</v>
      </c>
      <c r="B3820" s="8" t="s">
        <v>12347</v>
      </c>
      <c r="C3820" s="8" t="s">
        <v>12348</v>
      </c>
      <c r="D3820" s="8" t="s">
        <v>12347</v>
      </c>
      <c r="E3820" s="105">
        <v>1</v>
      </c>
      <c r="F3820" s="106" t="s">
        <v>2024</v>
      </c>
      <c r="G3820" s="8" t="s">
        <v>1541</v>
      </c>
      <c r="H3820" s="8"/>
      <c r="I3820" s="107">
        <v>0</v>
      </c>
      <c r="J3820" s="8" t="s">
        <v>5929</v>
      </c>
    </row>
    <row r="3821" spans="1:10" ht="16.5" customHeight="1" x14ac:dyDescent="0.25">
      <c r="A3821" s="8" t="s">
        <v>12349</v>
      </c>
      <c r="B3821" s="8" t="s">
        <v>12350</v>
      </c>
      <c r="C3821" s="8" t="s">
        <v>12351</v>
      </c>
      <c r="D3821" s="8" t="s">
        <v>12350</v>
      </c>
      <c r="E3821" s="105">
        <v>8.5</v>
      </c>
      <c r="F3821" s="106" t="s">
        <v>2024</v>
      </c>
      <c r="G3821" s="8" t="s">
        <v>1541</v>
      </c>
      <c r="H3821" s="8" t="s">
        <v>12352</v>
      </c>
      <c r="I3821" s="107">
        <v>10</v>
      </c>
      <c r="J3821" s="8" t="s">
        <v>5929</v>
      </c>
    </row>
    <row r="3822" spans="1:10" ht="16.5" customHeight="1" x14ac:dyDescent="0.25">
      <c r="A3822" s="8" t="s">
        <v>12352</v>
      </c>
      <c r="B3822" s="8" t="s">
        <v>12353</v>
      </c>
      <c r="C3822" s="8" t="s">
        <v>12354</v>
      </c>
      <c r="D3822" s="8" t="s">
        <v>12353</v>
      </c>
      <c r="E3822" s="105">
        <v>0.85</v>
      </c>
      <c r="F3822" s="106" t="s">
        <v>2024</v>
      </c>
      <c r="G3822" s="8" t="s">
        <v>1541</v>
      </c>
      <c r="H3822" s="8"/>
      <c r="I3822" s="107">
        <v>0</v>
      </c>
      <c r="J3822" s="8" t="s">
        <v>5929</v>
      </c>
    </row>
    <row r="3823" spans="1:10" ht="16.5" customHeight="1" x14ac:dyDescent="0.25">
      <c r="A3823" s="8" t="s">
        <v>12355</v>
      </c>
      <c r="B3823" s="8" t="s">
        <v>12356</v>
      </c>
      <c r="C3823" s="8" t="s">
        <v>12357</v>
      </c>
      <c r="D3823" s="8" t="s">
        <v>12356</v>
      </c>
      <c r="E3823" s="105">
        <v>8.5</v>
      </c>
      <c r="F3823" s="106" t="s">
        <v>2024</v>
      </c>
      <c r="G3823" s="8" t="s">
        <v>1541</v>
      </c>
      <c r="H3823" s="8" t="s">
        <v>12358</v>
      </c>
      <c r="I3823" s="107">
        <v>10</v>
      </c>
      <c r="J3823" s="8" t="s">
        <v>5929</v>
      </c>
    </row>
    <row r="3824" spans="1:10" ht="16.5" customHeight="1" x14ac:dyDescent="0.25">
      <c r="A3824" s="8" t="s">
        <v>12358</v>
      </c>
      <c r="B3824" s="8" t="s">
        <v>12359</v>
      </c>
      <c r="C3824" s="8" t="s">
        <v>12360</v>
      </c>
      <c r="D3824" s="8" t="s">
        <v>12359</v>
      </c>
      <c r="E3824" s="105">
        <v>0.85</v>
      </c>
      <c r="F3824" s="106" t="s">
        <v>2024</v>
      </c>
      <c r="G3824" s="8" t="s">
        <v>1541</v>
      </c>
      <c r="H3824" s="8"/>
      <c r="I3824" s="107">
        <v>0</v>
      </c>
      <c r="J3824" s="8" t="s">
        <v>5929</v>
      </c>
    </row>
    <row r="3825" spans="1:10" ht="16.5" customHeight="1" x14ac:dyDescent="0.25">
      <c r="A3825" s="8" t="s">
        <v>12361</v>
      </c>
      <c r="B3825" s="8" t="s">
        <v>12362</v>
      </c>
      <c r="C3825" s="8" t="s">
        <v>12363</v>
      </c>
      <c r="D3825" s="8" t="s">
        <v>12362</v>
      </c>
      <c r="E3825" s="105">
        <v>0</v>
      </c>
      <c r="F3825" s="106" t="s">
        <v>2018</v>
      </c>
      <c r="G3825" s="8"/>
      <c r="H3825" s="8"/>
      <c r="I3825" s="107">
        <v>0</v>
      </c>
      <c r="J3825" s="8" t="s">
        <v>5779</v>
      </c>
    </row>
    <row r="3826" spans="1:10" ht="16.5" customHeight="1" x14ac:dyDescent="0.25">
      <c r="A3826" s="8" t="s">
        <v>12364</v>
      </c>
      <c r="B3826" s="8" t="s">
        <v>12365</v>
      </c>
      <c r="C3826" s="8" t="s">
        <v>12366</v>
      </c>
      <c r="D3826" s="8" t="s">
        <v>12365</v>
      </c>
      <c r="E3826" s="105">
        <v>0</v>
      </c>
      <c r="F3826" s="106" t="s">
        <v>2018</v>
      </c>
      <c r="G3826" s="8"/>
      <c r="H3826" s="8"/>
      <c r="I3826" s="107">
        <v>0</v>
      </c>
      <c r="J3826" s="8" t="s">
        <v>5779</v>
      </c>
    </row>
    <row r="3827" spans="1:10" ht="16.5" customHeight="1" x14ac:dyDescent="0.25">
      <c r="A3827" s="8" t="s">
        <v>12367</v>
      </c>
      <c r="B3827" s="8" t="s">
        <v>12368</v>
      </c>
      <c r="C3827" s="8" t="s">
        <v>12368</v>
      </c>
      <c r="D3827" s="8" t="s">
        <v>12368</v>
      </c>
      <c r="E3827" s="105">
        <v>0</v>
      </c>
      <c r="F3827" s="106" t="s">
        <v>2018</v>
      </c>
      <c r="G3827" s="8"/>
      <c r="H3827" s="8"/>
      <c r="I3827" s="107">
        <v>0</v>
      </c>
      <c r="J3827" s="8" t="s">
        <v>5779</v>
      </c>
    </row>
    <row r="3828" spans="1:10" ht="16.5" customHeight="1" x14ac:dyDescent="0.25">
      <c r="A3828" s="8" t="s">
        <v>12369</v>
      </c>
      <c r="B3828" s="8" t="s">
        <v>12370</v>
      </c>
      <c r="C3828" s="8" t="s">
        <v>12370</v>
      </c>
      <c r="D3828" s="8" t="s">
        <v>12370</v>
      </c>
      <c r="E3828" s="105">
        <v>0</v>
      </c>
      <c r="F3828" s="106" t="s">
        <v>2018</v>
      </c>
      <c r="G3828" s="8"/>
      <c r="H3828" s="8"/>
      <c r="I3828" s="107">
        <v>0</v>
      </c>
      <c r="J3828" s="8" t="s">
        <v>5779</v>
      </c>
    </row>
    <row r="3829" spans="1:10" ht="16.5" customHeight="1" x14ac:dyDescent="0.25">
      <c r="A3829" s="8" t="s">
        <v>12371</v>
      </c>
      <c r="B3829" s="8" t="s">
        <v>12372</v>
      </c>
      <c r="C3829" s="8" t="s">
        <v>12373</v>
      </c>
      <c r="D3829" s="8" t="s">
        <v>12372</v>
      </c>
      <c r="E3829" s="105">
        <v>9.7569999999999997</v>
      </c>
      <c r="F3829" s="106" t="s">
        <v>2024</v>
      </c>
      <c r="G3829" s="8" t="s">
        <v>1541</v>
      </c>
      <c r="H3829" s="8" t="s">
        <v>12374</v>
      </c>
      <c r="I3829" s="107">
        <v>12</v>
      </c>
      <c r="J3829" s="8" t="s">
        <v>5929</v>
      </c>
    </row>
    <row r="3830" spans="1:10" ht="16.5" customHeight="1" x14ac:dyDescent="0.25">
      <c r="A3830" s="8" t="s">
        <v>12374</v>
      </c>
      <c r="B3830" s="8" t="s">
        <v>12375</v>
      </c>
      <c r="C3830" s="8" t="s">
        <v>12376</v>
      </c>
      <c r="D3830" s="8" t="s">
        <v>12375</v>
      </c>
      <c r="E3830" s="105">
        <v>0.81299999999999994</v>
      </c>
      <c r="F3830" s="106" t="s">
        <v>2024</v>
      </c>
      <c r="G3830" s="8" t="s">
        <v>1541</v>
      </c>
      <c r="H3830" s="8"/>
      <c r="I3830" s="107">
        <v>0</v>
      </c>
      <c r="J3830" s="8" t="s">
        <v>5929</v>
      </c>
    </row>
    <row r="3831" spans="1:10" ht="16.5" customHeight="1" x14ac:dyDescent="0.25">
      <c r="A3831" s="8" t="s">
        <v>12377</v>
      </c>
      <c r="B3831" s="8" t="s">
        <v>12378</v>
      </c>
      <c r="C3831" s="8" t="s">
        <v>12379</v>
      </c>
      <c r="D3831" s="8" t="s">
        <v>12378</v>
      </c>
      <c r="E3831" s="105">
        <v>13.385999999999999</v>
      </c>
      <c r="F3831" s="106" t="s">
        <v>2024</v>
      </c>
      <c r="G3831" s="8" t="s">
        <v>1541</v>
      </c>
      <c r="H3831" s="8" t="s">
        <v>12380</v>
      </c>
      <c r="I3831" s="107">
        <v>24</v>
      </c>
      <c r="J3831" s="8" t="s">
        <v>5929</v>
      </c>
    </row>
    <row r="3832" spans="1:10" ht="16.5" customHeight="1" x14ac:dyDescent="0.25">
      <c r="A3832" s="8" t="s">
        <v>12380</v>
      </c>
      <c r="B3832" s="8" t="s">
        <v>12381</v>
      </c>
      <c r="C3832" s="8" t="s">
        <v>12382</v>
      </c>
      <c r="D3832" s="8" t="s">
        <v>12381</v>
      </c>
      <c r="E3832" s="105">
        <v>0.55800000000000005</v>
      </c>
      <c r="F3832" s="106" t="s">
        <v>2024</v>
      </c>
      <c r="G3832" s="8" t="s">
        <v>1541</v>
      </c>
      <c r="H3832" s="8"/>
      <c r="I3832" s="107">
        <v>0</v>
      </c>
      <c r="J3832" s="8" t="s">
        <v>5929</v>
      </c>
    </row>
    <row r="3833" spans="1:10" ht="16.5" customHeight="1" x14ac:dyDescent="0.25">
      <c r="A3833" s="8" t="s">
        <v>1798</v>
      </c>
      <c r="B3833" s="8" t="s">
        <v>42</v>
      </c>
      <c r="C3833" s="8" t="s">
        <v>1799</v>
      </c>
      <c r="D3833" s="8" t="s">
        <v>42</v>
      </c>
      <c r="E3833" s="105">
        <v>12</v>
      </c>
      <c r="F3833" s="106" t="s">
        <v>2018</v>
      </c>
      <c r="G3833" s="8"/>
      <c r="H3833" s="8" t="s">
        <v>12383</v>
      </c>
      <c r="I3833" s="107">
        <v>12</v>
      </c>
      <c r="J3833" s="8" t="s">
        <v>8088</v>
      </c>
    </row>
    <row r="3834" spans="1:10" ht="16.5" customHeight="1" x14ac:dyDescent="0.25">
      <c r="A3834" s="8" t="s">
        <v>12383</v>
      </c>
      <c r="B3834" s="8" t="s">
        <v>12384</v>
      </c>
      <c r="C3834" s="8" t="s">
        <v>12385</v>
      </c>
      <c r="D3834" s="8" t="s">
        <v>12384</v>
      </c>
      <c r="E3834" s="105">
        <v>1</v>
      </c>
      <c r="F3834" s="106" t="s">
        <v>2018</v>
      </c>
      <c r="G3834" s="8"/>
      <c r="H3834" s="8"/>
      <c r="I3834" s="107">
        <v>0</v>
      </c>
      <c r="J3834" s="8" t="s">
        <v>8088</v>
      </c>
    </row>
    <row r="3835" spans="1:10" ht="16.5" customHeight="1" x14ac:dyDescent="0.25">
      <c r="A3835" s="8" t="s">
        <v>12386</v>
      </c>
      <c r="B3835" s="8" t="s">
        <v>12387</v>
      </c>
      <c r="C3835" s="8" t="s">
        <v>12388</v>
      </c>
      <c r="D3835" s="8" t="s">
        <v>12387</v>
      </c>
      <c r="E3835" s="105">
        <v>6</v>
      </c>
      <c r="F3835" s="106" t="s">
        <v>2018</v>
      </c>
      <c r="G3835" s="8"/>
      <c r="H3835" s="8" t="s">
        <v>12389</v>
      </c>
      <c r="I3835" s="107">
        <v>100</v>
      </c>
      <c r="J3835" s="8" t="s">
        <v>4789</v>
      </c>
    </row>
    <row r="3836" spans="1:10" ht="16.5" customHeight="1" x14ac:dyDescent="0.25">
      <c r="A3836" s="8" t="s">
        <v>12389</v>
      </c>
      <c r="B3836" s="8" t="s">
        <v>12390</v>
      </c>
      <c r="C3836" s="8" t="s">
        <v>12391</v>
      </c>
      <c r="D3836" s="8" t="s">
        <v>12390</v>
      </c>
      <c r="E3836" s="105">
        <v>0.06</v>
      </c>
      <c r="F3836" s="106" t="s">
        <v>2018</v>
      </c>
      <c r="G3836" s="8"/>
      <c r="H3836" s="8"/>
      <c r="I3836" s="107">
        <v>0</v>
      </c>
      <c r="J3836" s="8" t="s">
        <v>4789</v>
      </c>
    </row>
    <row r="3837" spans="1:10" ht="16.5" customHeight="1" x14ac:dyDescent="0.25">
      <c r="A3837" s="8" t="s">
        <v>12392</v>
      </c>
      <c r="B3837" s="8" t="s">
        <v>12393</v>
      </c>
      <c r="C3837" s="8" t="s">
        <v>12394</v>
      </c>
      <c r="D3837" s="8" t="s">
        <v>12393</v>
      </c>
      <c r="E3837" s="105">
        <v>6</v>
      </c>
      <c r="F3837" s="106" t="s">
        <v>2018</v>
      </c>
      <c r="G3837" s="8"/>
      <c r="H3837" s="8" t="s">
        <v>12395</v>
      </c>
      <c r="I3837" s="107">
        <v>100</v>
      </c>
      <c r="J3837" s="8" t="s">
        <v>4789</v>
      </c>
    </row>
    <row r="3838" spans="1:10" ht="16.5" customHeight="1" x14ac:dyDescent="0.25">
      <c r="A3838" s="8" t="s">
        <v>12395</v>
      </c>
      <c r="B3838" s="8" t="s">
        <v>12396</v>
      </c>
      <c r="C3838" s="8" t="s">
        <v>12397</v>
      </c>
      <c r="D3838" s="8" t="s">
        <v>12396</v>
      </c>
      <c r="E3838" s="105">
        <v>0.06</v>
      </c>
      <c r="F3838" s="106" t="s">
        <v>2018</v>
      </c>
      <c r="G3838" s="8"/>
      <c r="H3838" s="8"/>
      <c r="I3838" s="107">
        <v>0</v>
      </c>
      <c r="J3838" s="8" t="s">
        <v>4789</v>
      </c>
    </row>
    <row r="3839" spans="1:10" ht="16.5" customHeight="1" x14ac:dyDescent="0.25">
      <c r="A3839" s="8" t="s">
        <v>12398</v>
      </c>
      <c r="B3839" s="8" t="s">
        <v>12399</v>
      </c>
      <c r="C3839" s="8" t="s">
        <v>1464</v>
      </c>
      <c r="D3839" s="8" t="s">
        <v>12399</v>
      </c>
      <c r="E3839" s="105">
        <v>6</v>
      </c>
      <c r="F3839" s="106" t="s">
        <v>2024</v>
      </c>
      <c r="G3839" s="8"/>
      <c r="H3839" s="8"/>
      <c r="I3839" s="107">
        <v>0</v>
      </c>
      <c r="J3839" s="8" t="s">
        <v>5671</v>
      </c>
    </row>
    <row r="3840" spans="1:10" ht="16.5" customHeight="1" x14ac:dyDescent="0.25">
      <c r="A3840" s="8" t="s">
        <v>12400</v>
      </c>
      <c r="B3840" s="8" t="s">
        <v>12401</v>
      </c>
      <c r="C3840" s="8" t="s">
        <v>12402</v>
      </c>
      <c r="D3840" s="8" t="s">
        <v>12401</v>
      </c>
      <c r="E3840" s="105">
        <v>0.5</v>
      </c>
      <c r="F3840" s="106" t="s">
        <v>2024</v>
      </c>
      <c r="G3840" s="8"/>
      <c r="H3840" s="8"/>
      <c r="I3840" s="107">
        <v>0</v>
      </c>
      <c r="J3840" s="8" t="s">
        <v>5671</v>
      </c>
    </row>
    <row r="3841" spans="1:10" ht="16.5" customHeight="1" x14ac:dyDescent="0.25">
      <c r="A3841" s="8" t="s">
        <v>12403</v>
      </c>
      <c r="B3841" s="8" t="s">
        <v>12404</v>
      </c>
      <c r="C3841" s="8" t="s">
        <v>12405</v>
      </c>
      <c r="D3841" s="8" t="s">
        <v>12404</v>
      </c>
      <c r="E3841" s="105">
        <v>1</v>
      </c>
      <c r="F3841" s="106" t="s">
        <v>2018</v>
      </c>
      <c r="G3841" s="8"/>
      <c r="H3841" s="8"/>
      <c r="I3841" s="107">
        <v>0</v>
      </c>
      <c r="J3841" s="8" t="s">
        <v>6357</v>
      </c>
    </row>
    <row r="3842" spans="1:10" ht="16.5" customHeight="1" x14ac:dyDescent="0.25">
      <c r="A3842" s="8" t="s">
        <v>12406</v>
      </c>
      <c r="B3842" s="8" t="s">
        <v>12407</v>
      </c>
      <c r="C3842" s="8" t="s">
        <v>9760</v>
      </c>
      <c r="D3842" s="8" t="s">
        <v>12407</v>
      </c>
      <c r="E3842" s="105">
        <v>1</v>
      </c>
      <c r="F3842" s="106" t="s">
        <v>2024</v>
      </c>
      <c r="G3842" s="8"/>
      <c r="H3842" s="8"/>
      <c r="I3842" s="107">
        <v>0</v>
      </c>
      <c r="J3842" s="8" t="s">
        <v>3580</v>
      </c>
    </row>
    <row r="3843" spans="1:10" ht="16.5" customHeight="1" x14ac:dyDescent="0.25">
      <c r="A3843" s="8" t="s">
        <v>12408</v>
      </c>
      <c r="B3843" s="8" t="s">
        <v>12409</v>
      </c>
      <c r="C3843" s="8" t="s">
        <v>12410</v>
      </c>
      <c r="D3843" s="8" t="s">
        <v>12409</v>
      </c>
      <c r="E3843" s="105">
        <v>1</v>
      </c>
      <c r="F3843" s="106" t="s">
        <v>2018</v>
      </c>
      <c r="G3843" s="8"/>
      <c r="H3843" s="8"/>
      <c r="I3843" s="107">
        <v>0</v>
      </c>
      <c r="J3843" s="8" t="s">
        <v>6357</v>
      </c>
    </row>
    <row r="3844" spans="1:10" ht="16.5" customHeight="1" x14ac:dyDescent="0.25">
      <c r="A3844" s="8" t="s">
        <v>12411</v>
      </c>
      <c r="B3844" s="8" t="s">
        <v>12412</v>
      </c>
      <c r="C3844" s="8" t="s">
        <v>972</v>
      </c>
      <c r="D3844" s="8" t="s">
        <v>12413</v>
      </c>
      <c r="E3844" s="105">
        <v>1.82</v>
      </c>
      <c r="F3844" s="106" t="s">
        <v>2018</v>
      </c>
      <c r="G3844" s="8"/>
      <c r="H3844" s="8"/>
      <c r="I3844" s="107">
        <v>0</v>
      </c>
      <c r="J3844" s="8" t="s">
        <v>4722</v>
      </c>
    </row>
    <row r="3845" spans="1:10" ht="16.5" customHeight="1" x14ac:dyDescent="0.25">
      <c r="A3845" s="8" t="s">
        <v>12414</v>
      </c>
      <c r="B3845" s="8" t="s">
        <v>12415</v>
      </c>
      <c r="C3845" s="8" t="s">
        <v>12416</v>
      </c>
      <c r="D3845" s="8" t="s">
        <v>12415</v>
      </c>
      <c r="E3845" s="105">
        <v>0</v>
      </c>
      <c r="F3845" s="106" t="s">
        <v>2018</v>
      </c>
      <c r="G3845" s="8"/>
      <c r="H3845" s="8"/>
      <c r="I3845" s="107">
        <v>0</v>
      </c>
      <c r="J3845" s="8" t="s">
        <v>4722</v>
      </c>
    </row>
    <row r="3846" spans="1:10" ht="16.5" customHeight="1" x14ac:dyDescent="0.25">
      <c r="A3846" s="8" t="s">
        <v>12417</v>
      </c>
      <c r="B3846" s="8" t="s">
        <v>12418</v>
      </c>
      <c r="C3846" s="8" t="s">
        <v>12419</v>
      </c>
      <c r="D3846" s="8" t="s">
        <v>12418</v>
      </c>
      <c r="E3846" s="105">
        <v>0</v>
      </c>
      <c r="F3846" s="106" t="s">
        <v>2018</v>
      </c>
      <c r="G3846" s="8"/>
      <c r="H3846" s="8"/>
      <c r="I3846" s="107">
        <v>0</v>
      </c>
      <c r="J3846" s="8" t="s">
        <v>4722</v>
      </c>
    </row>
    <row r="3847" spans="1:10" ht="16.5" customHeight="1" x14ac:dyDescent="0.25">
      <c r="A3847" s="8" t="s">
        <v>12420</v>
      </c>
      <c r="B3847" s="8" t="s">
        <v>12421</v>
      </c>
      <c r="C3847" s="8" t="s">
        <v>12422</v>
      </c>
      <c r="D3847" s="8" t="s">
        <v>12421</v>
      </c>
      <c r="E3847" s="105">
        <v>0.13800000000000001</v>
      </c>
      <c r="F3847" s="106" t="s">
        <v>2024</v>
      </c>
      <c r="G3847" s="8"/>
      <c r="H3847" s="8"/>
      <c r="I3847" s="107">
        <v>0</v>
      </c>
      <c r="J3847" s="8" t="s">
        <v>2019</v>
      </c>
    </row>
    <row r="3848" spans="1:10" ht="16.5" customHeight="1" x14ac:dyDescent="0.25">
      <c r="A3848" s="8" t="s">
        <v>12423</v>
      </c>
      <c r="B3848" s="8" t="s">
        <v>12424</v>
      </c>
      <c r="C3848" s="8" t="s">
        <v>11308</v>
      </c>
      <c r="D3848" s="8" t="s">
        <v>12424</v>
      </c>
      <c r="E3848" s="105">
        <v>1</v>
      </c>
      <c r="F3848" s="106" t="s">
        <v>2024</v>
      </c>
      <c r="G3848" s="8"/>
      <c r="H3848" s="8"/>
      <c r="I3848" s="107">
        <v>0</v>
      </c>
      <c r="J3848" s="8" t="s">
        <v>3580</v>
      </c>
    </row>
    <row r="3849" spans="1:10" ht="16.5" customHeight="1" x14ac:dyDescent="0.25">
      <c r="A3849" s="8" t="s">
        <v>12425</v>
      </c>
      <c r="B3849" s="8" t="s">
        <v>11586</v>
      </c>
      <c r="C3849" s="8" t="s">
        <v>12426</v>
      </c>
      <c r="D3849" s="8" t="s">
        <v>11586</v>
      </c>
      <c r="E3849" s="105">
        <v>0.2</v>
      </c>
      <c r="F3849" s="106" t="s">
        <v>2024</v>
      </c>
      <c r="G3849" s="8"/>
      <c r="H3849" s="8"/>
      <c r="I3849" s="107">
        <v>0</v>
      </c>
      <c r="J3849" s="8" t="s">
        <v>4722</v>
      </c>
    </row>
    <row r="3850" spans="1:10" ht="16.5" customHeight="1" x14ac:dyDescent="0.25">
      <c r="A3850" s="8" t="s">
        <v>12427</v>
      </c>
      <c r="B3850" s="8" t="s">
        <v>12428</v>
      </c>
      <c r="C3850" s="8" t="s">
        <v>12429</v>
      </c>
      <c r="D3850" s="8" t="s">
        <v>12428</v>
      </c>
      <c r="E3850" s="105">
        <v>1</v>
      </c>
      <c r="F3850" s="106" t="s">
        <v>2018</v>
      </c>
      <c r="G3850" s="8"/>
      <c r="H3850" s="8"/>
      <c r="I3850" s="107">
        <v>0</v>
      </c>
      <c r="J3850" s="8" t="s">
        <v>2019</v>
      </c>
    </row>
    <row r="3851" spans="1:10" ht="16.5" customHeight="1" x14ac:dyDescent="0.25">
      <c r="A3851" s="8" t="s">
        <v>12430</v>
      </c>
      <c r="B3851" s="8" t="s">
        <v>12431</v>
      </c>
      <c r="C3851" s="8" t="s">
        <v>12432</v>
      </c>
      <c r="D3851" s="8" t="s">
        <v>12431</v>
      </c>
      <c r="E3851" s="105">
        <v>0.18</v>
      </c>
      <c r="F3851" s="106" t="s">
        <v>2024</v>
      </c>
      <c r="G3851" s="8"/>
      <c r="H3851" s="8"/>
      <c r="I3851" s="107">
        <v>0</v>
      </c>
      <c r="J3851" s="8" t="s">
        <v>2019</v>
      </c>
    </row>
    <row r="3852" spans="1:10" ht="16.5" customHeight="1" x14ac:dyDescent="0.25">
      <c r="A3852" s="8" t="s">
        <v>12433</v>
      </c>
      <c r="B3852" s="8" t="s">
        <v>12434</v>
      </c>
      <c r="C3852" s="8" t="s">
        <v>12435</v>
      </c>
      <c r="D3852" s="8" t="s">
        <v>12434</v>
      </c>
      <c r="E3852" s="105">
        <v>17.773</v>
      </c>
      <c r="F3852" s="106" t="s">
        <v>2024</v>
      </c>
      <c r="G3852" s="8"/>
      <c r="H3852" s="8"/>
      <c r="I3852" s="107">
        <v>0</v>
      </c>
      <c r="J3852" s="8" t="s">
        <v>5929</v>
      </c>
    </row>
    <row r="3853" spans="1:10" ht="16.5" customHeight="1" x14ac:dyDescent="0.25">
      <c r="A3853" s="8" t="s">
        <v>12436</v>
      </c>
      <c r="B3853" s="8" t="s">
        <v>12437</v>
      </c>
      <c r="C3853" s="8" t="s">
        <v>12438</v>
      </c>
      <c r="D3853" s="8" t="s">
        <v>12439</v>
      </c>
      <c r="E3853" s="105">
        <v>4.4432</v>
      </c>
      <c r="F3853" s="106" t="s">
        <v>2024</v>
      </c>
      <c r="G3853" s="8"/>
      <c r="H3853" s="8"/>
      <c r="I3853" s="107">
        <v>0</v>
      </c>
      <c r="J3853" s="8" t="s">
        <v>5929</v>
      </c>
    </row>
    <row r="3854" spans="1:10" ht="16.5" customHeight="1" x14ac:dyDescent="0.25">
      <c r="A3854" s="8" t="s">
        <v>12440</v>
      </c>
      <c r="B3854" s="8" t="s">
        <v>12441</v>
      </c>
      <c r="C3854" s="8" t="s">
        <v>12442</v>
      </c>
      <c r="D3854" s="8" t="s">
        <v>12441</v>
      </c>
      <c r="E3854" s="105">
        <v>34.6</v>
      </c>
      <c r="F3854" s="106" t="s">
        <v>2024</v>
      </c>
      <c r="G3854" s="8"/>
      <c r="H3854" s="8"/>
      <c r="I3854" s="107">
        <v>0</v>
      </c>
      <c r="J3854" s="8" t="s">
        <v>5929</v>
      </c>
    </row>
    <row r="3855" spans="1:10" ht="16.5" customHeight="1" x14ac:dyDescent="0.25">
      <c r="A3855" s="8" t="s">
        <v>12443</v>
      </c>
      <c r="B3855" s="8" t="s">
        <v>12444</v>
      </c>
      <c r="C3855" s="8" t="s">
        <v>12445</v>
      </c>
      <c r="D3855" s="8" t="s">
        <v>12444</v>
      </c>
      <c r="E3855" s="105">
        <v>0</v>
      </c>
      <c r="F3855" s="106" t="s">
        <v>2024</v>
      </c>
      <c r="G3855" s="8"/>
      <c r="H3855" s="8"/>
      <c r="I3855" s="107">
        <v>0</v>
      </c>
      <c r="J3855" s="8" t="s">
        <v>4789</v>
      </c>
    </row>
    <row r="3856" spans="1:10" ht="16.5" customHeight="1" x14ac:dyDescent="0.25">
      <c r="A3856" s="8" t="s">
        <v>12446</v>
      </c>
      <c r="B3856" s="8" t="s">
        <v>12447</v>
      </c>
      <c r="C3856" s="8" t="s">
        <v>12448</v>
      </c>
      <c r="D3856" s="8" t="s">
        <v>12447</v>
      </c>
      <c r="E3856" s="105">
        <v>0</v>
      </c>
      <c r="F3856" s="106" t="s">
        <v>2018</v>
      </c>
      <c r="G3856" s="8"/>
      <c r="H3856" s="8"/>
      <c r="I3856" s="107">
        <v>0</v>
      </c>
      <c r="J3856" s="8" t="s">
        <v>4789</v>
      </c>
    </row>
    <row r="3857" spans="1:10" ht="16.5" customHeight="1" x14ac:dyDescent="0.25">
      <c r="A3857" s="8" t="s">
        <v>12449</v>
      </c>
      <c r="B3857" s="8" t="s">
        <v>12450</v>
      </c>
      <c r="C3857" s="8" t="s">
        <v>12451</v>
      </c>
      <c r="D3857" s="8" t="s">
        <v>12450</v>
      </c>
      <c r="E3857" s="105">
        <v>1</v>
      </c>
      <c r="F3857" s="106" t="s">
        <v>2024</v>
      </c>
      <c r="G3857" s="8"/>
      <c r="H3857" s="8"/>
      <c r="I3857" s="107">
        <v>0</v>
      </c>
      <c r="J3857" s="8" t="s">
        <v>3580</v>
      </c>
    </row>
    <row r="3858" spans="1:10" ht="16.5" customHeight="1" x14ac:dyDescent="0.25">
      <c r="A3858" s="8" t="s">
        <v>12452</v>
      </c>
      <c r="B3858" s="8" t="s">
        <v>12453</v>
      </c>
      <c r="C3858" s="8" t="s">
        <v>12454</v>
      </c>
      <c r="D3858" s="8" t="s">
        <v>12453</v>
      </c>
      <c r="E3858" s="105">
        <v>2</v>
      </c>
      <c r="F3858" s="106" t="s">
        <v>2024</v>
      </c>
      <c r="G3858" s="8"/>
      <c r="H3858" s="8"/>
      <c r="I3858" s="107">
        <v>0</v>
      </c>
      <c r="J3858" s="8" t="s">
        <v>2019</v>
      </c>
    </row>
    <row r="3859" spans="1:10" ht="16.5" customHeight="1" x14ac:dyDescent="0.25">
      <c r="A3859" s="8" t="s">
        <v>12455</v>
      </c>
      <c r="B3859" s="8" t="s">
        <v>12456</v>
      </c>
      <c r="C3859" s="8" t="s">
        <v>12457</v>
      </c>
      <c r="D3859" s="8" t="s">
        <v>12456</v>
      </c>
      <c r="E3859" s="105">
        <v>1.3</v>
      </c>
      <c r="F3859" s="106" t="s">
        <v>2024</v>
      </c>
      <c r="G3859" s="8"/>
      <c r="H3859" s="8"/>
      <c r="I3859" s="107">
        <v>0</v>
      </c>
      <c r="J3859" s="8" t="s">
        <v>2019</v>
      </c>
    </row>
    <row r="3860" spans="1:10" ht="16.5" customHeight="1" x14ac:dyDescent="0.25">
      <c r="A3860" s="8" t="s">
        <v>12458</v>
      </c>
      <c r="B3860" s="8" t="s">
        <v>5168</v>
      </c>
      <c r="C3860" s="8" t="s">
        <v>12459</v>
      </c>
      <c r="D3860" s="8" t="s">
        <v>5168</v>
      </c>
      <c r="E3860" s="105">
        <v>1</v>
      </c>
      <c r="F3860" s="106" t="s">
        <v>2024</v>
      </c>
      <c r="G3860" s="8"/>
      <c r="H3860" s="8"/>
      <c r="I3860" s="107">
        <v>0</v>
      </c>
      <c r="J3860" s="8" t="s">
        <v>3580</v>
      </c>
    </row>
    <row r="3861" spans="1:10" ht="16.5" customHeight="1" x14ac:dyDescent="0.25">
      <c r="A3861" s="8" t="s">
        <v>12460</v>
      </c>
      <c r="B3861" s="8" t="s">
        <v>12461</v>
      </c>
      <c r="C3861" s="8" t="s">
        <v>12462</v>
      </c>
      <c r="D3861" s="8" t="s">
        <v>12461</v>
      </c>
      <c r="E3861" s="105">
        <v>10</v>
      </c>
      <c r="F3861" s="106" t="s">
        <v>2024</v>
      </c>
      <c r="G3861" s="8"/>
      <c r="H3861" s="8"/>
      <c r="I3861" s="107">
        <v>0</v>
      </c>
      <c r="J3861" s="8" t="s">
        <v>3580</v>
      </c>
    </row>
    <row r="3862" spans="1:10" ht="16.5" customHeight="1" x14ac:dyDescent="0.25">
      <c r="A3862" s="8" t="s">
        <v>12463</v>
      </c>
      <c r="B3862" s="8" t="s">
        <v>12461</v>
      </c>
      <c r="C3862" s="8" t="s">
        <v>12464</v>
      </c>
      <c r="D3862" s="8" t="s">
        <v>12461</v>
      </c>
      <c r="E3862" s="105">
        <v>0.5</v>
      </c>
      <c r="F3862" s="106" t="s">
        <v>2024</v>
      </c>
      <c r="G3862" s="8"/>
      <c r="H3862" s="8"/>
      <c r="I3862" s="107">
        <v>0</v>
      </c>
      <c r="J3862" s="8" t="s">
        <v>3580</v>
      </c>
    </row>
    <row r="3863" spans="1:10" ht="16.5" customHeight="1" x14ac:dyDescent="0.25">
      <c r="A3863" s="8" t="s">
        <v>12465</v>
      </c>
      <c r="B3863" s="8" t="s">
        <v>12466</v>
      </c>
      <c r="C3863" s="8" t="s">
        <v>12467</v>
      </c>
      <c r="D3863" s="8" t="s">
        <v>12466</v>
      </c>
      <c r="E3863" s="105">
        <v>10</v>
      </c>
      <c r="F3863" s="106" t="s">
        <v>2024</v>
      </c>
      <c r="G3863" s="8"/>
      <c r="H3863" s="8"/>
      <c r="I3863" s="107">
        <v>0</v>
      </c>
      <c r="J3863" s="8" t="s">
        <v>3580</v>
      </c>
    </row>
    <row r="3864" spans="1:10" ht="16.5" customHeight="1" x14ac:dyDescent="0.25">
      <c r="A3864" s="8" t="s">
        <v>12468</v>
      </c>
      <c r="B3864" s="8" t="s">
        <v>12466</v>
      </c>
      <c r="C3864" s="8" t="s">
        <v>12469</v>
      </c>
      <c r="D3864" s="8" t="s">
        <v>12466</v>
      </c>
      <c r="E3864" s="105">
        <v>0.5</v>
      </c>
      <c r="F3864" s="106" t="s">
        <v>2024</v>
      </c>
      <c r="G3864" s="8"/>
      <c r="H3864" s="8"/>
      <c r="I3864" s="107">
        <v>0</v>
      </c>
      <c r="J3864" s="8" t="s">
        <v>3580</v>
      </c>
    </row>
    <row r="3865" spans="1:10" ht="16.5" customHeight="1" x14ac:dyDescent="0.25">
      <c r="A3865" s="8" t="s">
        <v>12470</v>
      </c>
      <c r="B3865" s="8" t="s">
        <v>12471</v>
      </c>
      <c r="C3865" s="8" t="s">
        <v>12472</v>
      </c>
      <c r="D3865" s="8" t="s">
        <v>12471</v>
      </c>
      <c r="E3865" s="105">
        <v>1</v>
      </c>
      <c r="F3865" s="106" t="s">
        <v>2018</v>
      </c>
      <c r="G3865" s="8"/>
      <c r="H3865" s="8"/>
      <c r="I3865" s="107">
        <v>0</v>
      </c>
      <c r="J3865" s="8" t="s">
        <v>6357</v>
      </c>
    </row>
    <row r="3866" spans="1:10" ht="16.5" customHeight="1" x14ac:dyDescent="0.25">
      <c r="A3866" s="8" t="s">
        <v>12473</v>
      </c>
      <c r="B3866" s="8" t="s">
        <v>12474</v>
      </c>
      <c r="C3866" s="8" t="s">
        <v>12475</v>
      </c>
      <c r="D3866" s="8" t="s">
        <v>12474</v>
      </c>
      <c r="E3866" s="105">
        <v>1</v>
      </c>
      <c r="F3866" s="106" t="s">
        <v>2018</v>
      </c>
      <c r="G3866" s="8"/>
      <c r="H3866" s="8"/>
      <c r="I3866" s="107">
        <v>0</v>
      </c>
      <c r="J3866" s="8" t="s">
        <v>6357</v>
      </c>
    </row>
    <row r="3867" spans="1:10" ht="16.5" customHeight="1" x14ac:dyDescent="0.25">
      <c r="A3867" s="8" t="s">
        <v>12476</v>
      </c>
      <c r="B3867" s="8" t="s">
        <v>12477</v>
      </c>
      <c r="C3867" s="8" t="s">
        <v>1171</v>
      </c>
      <c r="D3867" s="8" t="s">
        <v>12477</v>
      </c>
      <c r="E3867" s="105">
        <v>0.91</v>
      </c>
      <c r="F3867" s="106" t="s">
        <v>2018</v>
      </c>
      <c r="G3867" s="8"/>
      <c r="H3867" s="8"/>
      <c r="I3867" s="107">
        <v>0</v>
      </c>
      <c r="J3867" s="8" t="s">
        <v>2019</v>
      </c>
    </row>
    <row r="3868" spans="1:10" ht="16.5" customHeight="1" x14ac:dyDescent="0.25">
      <c r="A3868" s="8" t="s">
        <v>12478</v>
      </c>
      <c r="B3868" s="8" t="s">
        <v>12479</v>
      </c>
      <c r="C3868" s="8" t="s">
        <v>1485</v>
      </c>
      <c r="D3868" s="8" t="s">
        <v>12479</v>
      </c>
      <c r="E3868" s="105">
        <v>4.8</v>
      </c>
      <c r="F3868" s="106" t="s">
        <v>2024</v>
      </c>
      <c r="G3868" s="8"/>
      <c r="H3868" s="8"/>
      <c r="I3868" s="107">
        <v>0</v>
      </c>
      <c r="J3868" s="8" t="s">
        <v>4789</v>
      </c>
    </row>
    <row r="3869" spans="1:10" ht="16.5" customHeight="1" x14ac:dyDescent="0.25">
      <c r="A3869" s="8" t="s">
        <v>12480</v>
      </c>
      <c r="B3869" s="8" t="s">
        <v>12481</v>
      </c>
      <c r="C3869" s="8" t="s">
        <v>1422</v>
      </c>
      <c r="D3869" s="8" t="s">
        <v>12481</v>
      </c>
      <c r="E3869" s="105">
        <v>4.8</v>
      </c>
      <c r="F3869" s="106" t="s">
        <v>2024</v>
      </c>
      <c r="G3869" s="8"/>
      <c r="H3869" s="8"/>
      <c r="I3869" s="107">
        <v>0</v>
      </c>
      <c r="J3869" s="8" t="s">
        <v>4789</v>
      </c>
    </row>
    <row r="3870" spans="1:10" ht="16.5" customHeight="1" x14ac:dyDescent="0.25">
      <c r="A3870" s="8" t="s">
        <v>12482</v>
      </c>
      <c r="B3870" s="8" t="s">
        <v>11591</v>
      </c>
      <c r="C3870" s="8" t="s">
        <v>1485</v>
      </c>
      <c r="D3870" s="8" t="s">
        <v>11591</v>
      </c>
      <c r="E3870" s="105">
        <v>4.8</v>
      </c>
      <c r="F3870" s="106" t="s">
        <v>2024</v>
      </c>
      <c r="G3870" s="8"/>
      <c r="H3870" s="8"/>
      <c r="I3870" s="107">
        <v>0</v>
      </c>
      <c r="J3870" s="8" t="s">
        <v>4789</v>
      </c>
    </row>
    <row r="3871" spans="1:10" ht="16.5" customHeight="1" x14ac:dyDescent="0.25">
      <c r="A3871" s="8" t="s">
        <v>12483</v>
      </c>
      <c r="B3871" s="8" t="s">
        <v>12484</v>
      </c>
      <c r="C3871" s="8" t="s">
        <v>9775</v>
      </c>
      <c r="D3871" s="8" t="s">
        <v>12484</v>
      </c>
      <c r="E3871" s="105">
        <v>1</v>
      </c>
      <c r="F3871" s="106" t="s">
        <v>2024</v>
      </c>
      <c r="G3871" s="8"/>
      <c r="H3871" s="8"/>
      <c r="I3871" s="107">
        <v>0</v>
      </c>
      <c r="J3871" s="8" t="s">
        <v>3580</v>
      </c>
    </row>
    <row r="3872" spans="1:10" ht="16.5" customHeight="1" x14ac:dyDescent="0.25">
      <c r="A3872" s="8" t="s">
        <v>12485</v>
      </c>
      <c r="B3872" s="8" t="s">
        <v>12486</v>
      </c>
      <c r="C3872" s="8" t="s">
        <v>12487</v>
      </c>
      <c r="D3872" s="8" t="s">
        <v>12486</v>
      </c>
      <c r="E3872" s="105">
        <v>0</v>
      </c>
      <c r="F3872" s="106" t="s">
        <v>2018</v>
      </c>
      <c r="G3872" s="8"/>
      <c r="H3872" s="8"/>
      <c r="I3872" s="107">
        <v>0</v>
      </c>
      <c r="J3872" s="8" t="s">
        <v>4789</v>
      </c>
    </row>
    <row r="3873" spans="1:10" ht="16.5" customHeight="1" x14ac:dyDescent="0.25">
      <c r="A3873" s="8" t="s">
        <v>12488</v>
      </c>
      <c r="B3873" s="8" t="s">
        <v>12489</v>
      </c>
      <c r="C3873" s="8" t="s">
        <v>9521</v>
      </c>
      <c r="D3873" s="8" t="s">
        <v>12489</v>
      </c>
      <c r="E3873" s="105">
        <v>1</v>
      </c>
      <c r="F3873" s="106" t="s">
        <v>2024</v>
      </c>
      <c r="G3873" s="8"/>
      <c r="H3873" s="8"/>
      <c r="I3873" s="107">
        <v>0</v>
      </c>
      <c r="J3873" s="8" t="s">
        <v>3580</v>
      </c>
    </row>
    <row r="3874" spans="1:10" ht="16.5" customHeight="1" x14ac:dyDescent="0.25">
      <c r="A3874" s="8" t="s">
        <v>12490</v>
      </c>
      <c r="B3874" s="8" t="s">
        <v>12491</v>
      </c>
      <c r="C3874" s="8" t="s">
        <v>12492</v>
      </c>
      <c r="D3874" s="8" t="s">
        <v>12491</v>
      </c>
      <c r="E3874" s="105">
        <v>1</v>
      </c>
      <c r="F3874" s="106" t="s">
        <v>2018</v>
      </c>
      <c r="G3874" s="8"/>
      <c r="H3874" s="8"/>
      <c r="I3874" s="107">
        <v>0</v>
      </c>
      <c r="J3874" s="8" t="s">
        <v>6357</v>
      </c>
    </row>
    <row r="3875" spans="1:10" ht="16.5" customHeight="1" x14ac:dyDescent="0.25">
      <c r="A3875" s="8" t="s">
        <v>12493</v>
      </c>
      <c r="B3875" s="8" t="s">
        <v>12494</v>
      </c>
      <c r="C3875" s="8" t="s">
        <v>9846</v>
      </c>
      <c r="D3875" s="8" t="s">
        <v>9845</v>
      </c>
      <c r="E3875" s="105">
        <v>1</v>
      </c>
      <c r="F3875" s="106" t="s">
        <v>2018</v>
      </c>
      <c r="G3875" s="8"/>
      <c r="H3875" s="8"/>
      <c r="I3875" s="107">
        <v>0</v>
      </c>
      <c r="J3875" s="8" t="s">
        <v>3580</v>
      </c>
    </row>
    <row r="3876" spans="1:10" ht="16.5" customHeight="1" x14ac:dyDescent="0.25">
      <c r="A3876" s="8" t="s">
        <v>12495</v>
      </c>
      <c r="B3876" s="8" t="s">
        <v>12496</v>
      </c>
      <c r="C3876" s="8" t="s">
        <v>9849</v>
      </c>
      <c r="D3876" s="8" t="s">
        <v>9848</v>
      </c>
      <c r="E3876" s="105">
        <v>1</v>
      </c>
      <c r="F3876" s="106" t="s">
        <v>2018</v>
      </c>
      <c r="G3876" s="8"/>
      <c r="H3876" s="8"/>
      <c r="I3876" s="107">
        <v>0</v>
      </c>
      <c r="J3876" s="8" t="s">
        <v>3580</v>
      </c>
    </row>
    <row r="3877" spans="1:10" ht="16.5" customHeight="1" x14ac:dyDescent="0.25">
      <c r="A3877" s="8" t="s">
        <v>12497</v>
      </c>
      <c r="B3877" s="8" t="s">
        <v>1376</v>
      </c>
      <c r="C3877" s="8" t="s">
        <v>1375</v>
      </c>
      <c r="D3877" s="8" t="s">
        <v>1376</v>
      </c>
      <c r="E3877" s="105">
        <v>1</v>
      </c>
      <c r="F3877" s="106" t="s">
        <v>2018</v>
      </c>
      <c r="G3877" s="8"/>
      <c r="H3877" s="8"/>
      <c r="I3877" s="107">
        <v>0</v>
      </c>
      <c r="J3877" s="8" t="s">
        <v>2019</v>
      </c>
    </row>
    <row r="3878" spans="1:10" ht="16.5" customHeight="1" x14ac:dyDescent="0.25">
      <c r="A3878" s="8" t="s">
        <v>12498</v>
      </c>
      <c r="B3878" s="8" t="s">
        <v>12172</v>
      </c>
      <c r="C3878" s="8" t="s">
        <v>1576</v>
      </c>
      <c r="D3878" s="8" t="s">
        <v>12172</v>
      </c>
      <c r="E3878" s="105">
        <v>13.385999999999999</v>
      </c>
      <c r="F3878" s="106" t="s">
        <v>2024</v>
      </c>
      <c r="G3878" s="8"/>
      <c r="H3878" s="8"/>
      <c r="I3878" s="107">
        <v>0</v>
      </c>
      <c r="J3878" s="8" t="s">
        <v>4722</v>
      </c>
    </row>
    <row r="3879" spans="1:10" ht="16.5" customHeight="1" x14ac:dyDescent="0.25">
      <c r="A3879" s="8" t="s">
        <v>12499</v>
      </c>
      <c r="B3879" s="8" t="s">
        <v>12174</v>
      </c>
      <c r="C3879" s="8" t="s">
        <v>12175</v>
      </c>
      <c r="D3879" s="8" t="s">
        <v>12174</v>
      </c>
      <c r="E3879" s="105">
        <v>0.55800000000000005</v>
      </c>
      <c r="F3879" s="106" t="s">
        <v>2024</v>
      </c>
      <c r="G3879" s="8"/>
      <c r="H3879" s="8"/>
      <c r="I3879" s="107">
        <v>0</v>
      </c>
      <c r="J3879" s="8" t="s">
        <v>4722</v>
      </c>
    </row>
    <row r="3880" spans="1:10" ht="16.5" customHeight="1" x14ac:dyDescent="0.25">
      <c r="A3880" s="8" t="s">
        <v>12500</v>
      </c>
      <c r="B3880" s="8" t="s">
        <v>12501</v>
      </c>
      <c r="C3880" s="8" t="s">
        <v>12502</v>
      </c>
      <c r="D3880" s="8" t="s">
        <v>12501</v>
      </c>
      <c r="E3880" s="105">
        <v>25</v>
      </c>
      <c r="F3880" s="106" t="s">
        <v>2024</v>
      </c>
      <c r="G3880" s="8" t="s">
        <v>1541</v>
      </c>
      <c r="H3880" s="8"/>
      <c r="I3880" s="107">
        <v>0</v>
      </c>
      <c r="J3880" s="8" t="s">
        <v>5929</v>
      </c>
    </row>
    <row r="3881" spans="1:10" ht="16.5" customHeight="1" x14ac:dyDescent="0.25">
      <c r="A3881" s="8" t="s">
        <v>12503</v>
      </c>
      <c r="B3881" s="8" t="s">
        <v>12504</v>
      </c>
      <c r="C3881" s="8" t="s">
        <v>12505</v>
      </c>
      <c r="D3881" s="8" t="s">
        <v>12504</v>
      </c>
      <c r="E3881" s="105">
        <v>0</v>
      </c>
      <c r="F3881" s="106" t="s">
        <v>2024</v>
      </c>
      <c r="G3881" s="8"/>
      <c r="H3881" s="8"/>
      <c r="I3881" s="107">
        <v>0</v>
      </c>
      <c r="J3881" s="8" t="s">
        <v>3580</v>
      </c>
    </row>
    <row r="3882" spans="1:10" ht="16.5" customHeight="1" x14ac:dyDescent="0.25">
      <c r="A3882" s="8" t="s">
        <v>12506</v>
      </c>
      <c r="B3882" s="8" t="s">
        <v>12507</v>
      </c>
      <c r="C3882" s="8" t="s">
        <v>12508</v>
      </c>
      <c r="D3882" s="8" t="s">
        <v>12507</v>
      </c>
      <c r="E3882" s="105">
        <v>0</v>
      </c>
      <c r="F3882" s="106" t="s">
        <v>2018</v>
      </c>
      <c r="G3882" s="8"/>
      <c r="H3882" s="8"/>
      <c r="I3882" s="107">
        <v>0</v>
      </c>
      <c r="J3882" s="8" t="s">
        <v>4789</v>
      </c>
    </row>
    <row r="3883" spans="1:10" ht="16.5" customHeight="1" x14ac:dyDescent="0.25">
      <c r="A3883" s="8" t="s">
        <v>12509</v>
      </c>
      <c r="B3883" s="8" t="s">
        <v>12510</v>
      </c>
      <c r="C3883" s="8" t="s">
        <v>12511</v>
      </c>
      <c r="D3883" s="8" t="s">
        <v>12510</v>
      </c>
      <c r="E3883" s="105">
        <v>0</v>
      </c>
      <c r="F3883" s="106" t="s">
        <v>2024</v>
      </c>
      <c r="G3883" s="8"/>
      <c r="H3883" s="8"/>
      <c r="I3883" s="107">
        <v>0</v>
      </c>
      <c r="J3883" s="8" t="s">
        <v>4789</v>
      </c>
    </row>
    <row r="3884" spans="1:10" ht="16.5" customHeight="1" x14ac:dyDescent="0.25">
      <c r="A3884" s="8" t="s">
        <v>12512</v>
      </c>
      <c r="B3884" s="8" t="s">
        <v>12513</v>
      </c>
      <c r="C3884" s="8" t="s">
        <v>12514</v>
      </c>
      <c r="D3884" s="8" t="s">
        <v>12513</v>
      </c>
      <c r="E3884" s="105">
        <v>0</v>
      </c>
      <c r="F3884" s="106" t="s">
        <v>2024</v>
      </c>
      <c r="G3884" s="8"/>
      <c r="H3884" s="8"/>
      <c r="I3884" s="107">
        <v>0</v>
      </c>
      <c r="J3884" s="8" t="s">
        <v>4789</v>
      </c>
    </row>
    <row r="3885" spans="1:10" ht="16.5" customHeight="1" x14ac:dyDescent="0.25">
      <c r="A3885" s="8" t="s">
        <v>12515</v>
      </c>
      <c r="B3885" s="8" t="s">
        <v>12516</v>
      </c>
      <c r="C3885" s="8" t="s">
        <v>12517</v>
      </c>
      <c r="D3885" s="8" t="s">
        <v>12516</v>
      </c>
      <c r="E3885" s="105">
        <v>1</v>
      </c>
      <c r="F3885" s="106" t="s">
        <v>2018</v>
      </c>
      <c r="G3885" s="8"/>
      <c r="H3885" s="8"/>
      <c r="I3885" s="107">
        <v>0</v>
      </c>
      <c r="J3885" s="8" t="s">
        <v>6357</v>
      </c>
    </row>
    <row r="3886" spans="1:10" ht="16.5" customHeight="1" x14ac:dyDescent="0.25">
      <c r="A3886" s="8" t="s">
        <v>12518</v>
      </c>
      <c r="B3886" s="8" t="s">
        <v>12519</v>
      </c>
      <c r="C3886" s="8" t="s">
        <v>12520</v>
      </c>
      <c r="D3886" s="8" t="s">
        <v>12519</v>
      </c>
      <c r="E3886" s="105">
        <v>4.3499999999999996</v>
      </c>
      <c r="F3886" s="106" t="s">
        <v>2018</v>
      </c>
      <c r="G3886" s="8"/>
      <c r="H3886" s="8"/>
      <c r="I3886" s="107">
        <v>0</v>
      </c>
      <c r="J3886" s="8" t="s">
        <v>10697</v>
      </c>
    </row>
    <row r="3887" spans="1:10" ht="16.5" customHeight="1" x14ac:dyDescent="0.25">
      <c r="A3887" s="8" t="s">
        <v>12521</v>
      </c>
      <c r="B3887" s="8" t="s">
        <v>12522</v>
      </c>
      <c r="C3887" s="8" t="s">
        <v>12523</v>
      </c>
      <c r="D3887" s="8" t="s">
        <v>12522</v>
      </c>
      <c r="E3887" s="105">
        <v>17.399999999999999</v>
      </c>
      <c r="F3887" s="106" t="s">
        <v>2018</v>
      </c>
      <c r="G3887" s="8"/>
      <c r="H3887" s="8" t="s">
        <v>12518</v>
      </c>
      <c r="I3887" s="107">
        <v>4</v>
      </c>
      <c r="J3887" s="8" t="s">
        <v>10697</v>
      </c>
    </row>
    <row r="3888" spans="1:10" ht="16.5" customHeight="1" x14ac:dyDescent="0.25">
      <c r="A3888" s="8" t="s">
        <v>12524</v>
      </c>
      <c r="B3888" s="8" t="s">
        <v>12525</v>
      </c>
      <c r="C3888" s="8" t="s">
        <v>12526</v>
      </c>
      <c r="D3888" s="8" t="s">
        <v>12525</v>
      </c>
      <c r="E3888" s="105">
        <v>1.5</v>
      </c>
      <c r="F3888" s="106" t="s">
        <v>2018</v>
      </c>
      <c r="G3888" s="8"/>
      <c r="H3888" s="8"/>
      <c r="I3888" s="107">
        <v>0</v>
      </c>
      <c r="J3888" s="8" t="s">
        <v>10697</v>
      </c>
    </row>
    <row r="3889" spans="1:10" ht="16.5" customHeight="1" x14ac:dyDescent="0.25">
      <c r="A3889" s="8" t="s">
        <v>12527</v>
      </c>
      <c r="B3889" s="8" t="s">
        <v>12528</v>
      </c>
      <c r="C3889" s="8" t="s">
        <v>12529</v>
      </c>
      <c r="D3889" s="8" t="s">
        <v>12528</v>
      </c>
      <c r="E3889" s="105">
        <v>1</v>
      </c>
      <c r="F3889" s="106" t="s">
        <v>2018</v>
      </c>
      <c r="G3889" s="8"/>
      <c r="H3889" s="8"/>
      <c r="I3889" s="107">
        <v>0</v>
      </c>
      <c r="J3889" s="8" t="s">
        <v>3695</v>
      </c>
    </row>
    <row r="3890" spans="1:10" ht="16.5" customHeight="1" x14ac:dyDescent="0.25">
      <c r="A3890" s="8" t="s">
        <v>12530</v>
      </c>
      <c r="B3890" s="8" t="s">
        <v>12531</v>
      </c>
      <c r="C3890" s="8" t="s">
        <v>12532</v>
      </c>
      <c r="D3890" s="8" t="s">
        <v>12531</v>
      </c>
      <c r="E3890" s="105">
        <v>1</v>
      </c>
      <c r="F3890" s="106" t="s">
        <v>2024</v>
      </c>
      <c r="G3890" s="8"/>
      <c r="H3890" s="8"/>
      <c r="I3890" s="107">
        <v>0</v>
      </c>
      <c r="J3890" s="8" t="s">
        <v>3580</v>
      </c>
    </row>
    <row r="3891" spans="1:10" ht="16.5" customHeight="1" x14ac:dyDescent="0.25">
      <c r="A3891" s="8" t="s">
        <v>12533</v>
      </c>
      <c r="B3891" s="8" t="s">
        <v>12534</v>
      </c>
      <c r="C3891" s="8" t="s">
        <v>12535</v>
      </c>
      <c r="D3891" s="8" t="s">
        <v>12534</v>
      </c>
      <c r="E3891" s="105">
        <v>1</v>
      </c>
      <c r="F3891" s="106" t="s">
        <v>2024</v>
      </c>
      <c r="G3891" s="8"/>
      <c r="H3891" s="8"/>
      <c r="I3891" s="107">
        <v>0</v>
      </c>
      <c r="J3891" s="8" t="s">
        <v>3580</v>
      </c>
    </row>
    <row r="3892" spans="1:10" ht="16.5" customHeight="1" x14ac:dyDescent="0.25">
      <c r="A3892" s="8" t="s">
        <v>12536</v>
      </c>
      <c r="B3892" s="8" t="s">
        <v>12537</v>
      </c>
      <c r="C3892" s="8" t="s">
        <v>12538</v>
      </c>
      <c r="D3892" s="8" t="s">
        <v>12537</v>
      </c>
      <c r="E3892" s="105">
        <v>1</v>
      </c>
      <c r="F3892" s="106" t="s">
        <v>2024</v>
      </c>
      <c r="G3892" s="8"/>
      <c r="H3892" s="8"/>
      <c r="I3892" s="107">
        <v>0</v>
      </c>
      <c r="J3892" s="8" t="s">
        <v>3580</v>
      </c>
    </row>
    <row r="3893" spans="1:10" ht="16.5" customHeight="1" x14ac:dyDescent="0.25">
      <c r="A3893" s="8" t="s">
        <v>12539</v>
      </c>
      <c r="B3893" s="8" t="s">
        <v>12540</v>
      </c>
      <c r="C3893" s="8" t="s">
        <v>12541</v>
      </c>
      <c r="D3893" s="8" t="s">
        <v>12540</v>
      </c>
      <c r="E3893" s="105">
        <v>1</v>
      </c>
      <c r="F3893" s="106" t="s">
        <v>2024</v>
      </c>
      <c r="G3893" s="8"/>
      <c r="H3893" s="8"/>
      <c r="I3893" s="107">
        <v>0</v>
      </c>
      <c r="J3893" s="8" t="s">
        <v>3580</v>
      </c>
    </row>
    <row r="3894" spans="1:10" ht="16.5" customHeight="1" x14ac:dyDescent="0.25">
      <c r="A3894" s="8" t="s">
        <v>12542</v>
      </c>
      <c r="B3894" s="8" t="s">
        <v>12543</v>
      </c>
      <c r="C3894" s="8" t="s">
        <v>1346</v>
      </c>
      <c r="D3894" s="8" t="s">
        <v>12543</v>
      </c>
      <c r="E3894" s="105">
        <v>1</v>
      </c>
      <c r="F3894" s="106" t="s">
        <v>2018</v>
      </c>
      <c r="G3894" s="8"/>
      <c r="H3894" s="8"/>
      <c r="I3894" s="107">
        <v>0</v>
      </c>
      <c r="J3894" s="8" t="s">
        <v>3695</v>
      </c>
    </row>
    <row r="3895" spans="1:10" ht="16.5" customHeight="1" x14ac:dyDescent="0.25">
      <c r="A3895" s="8" t="s">
        <v>12544</v>
      </c>
      <c r="B3895" s="8" t="s">
        <v>12545</v>
      </c>
      <c r="C3895" s="8" t="s">
        <v>1588</v>
      </c>
      <c r="D3895" s="8" t="s">
        <v>12545</v>
      </c>
      <c r="E3895" s="105">
        <v>5.6219999999999999</v>
      </c>
      <c r="F3895" s="106" t="s">
        <v>2024</v>
      </c>
      <c r="G3895" s="8" t="s">
        <v>1541</v>
      </c>
      <c r="H3895" s="8" t="s">
        <v>5951</v>
      </c>
      <c r="I3895" s="107">
        <v>24</v>
      </c>
      <c r="J3895" s="8" t="s">
        <v>5929</v>
      </c>
    </row>
    <row r="3896" spans="1:10" ht="16.5" customHeight="1" x14ac:dyDescent="0.25">
      <c r="A3896" s="8" t="s">
        <v>1079</v>
      </c>
      <c r="B3896" s="8" t="s">
        <v>1081</v>
      </c>
      <c r="C3896" s="8" t="s">
        <v>1080</v>
      </c>
      <c r="D3896" s="8" t="s">
        <v>1081</v>
      </c>
      <c r="E3896" s="105">
        <v>250</v>
      </c>
      <c r="F3896" s="106" t="s">
        <v>2018</v>
      </c>
      <c r="G3896" s="8"/>
      <c r="H3896" s="8"/>
      <c r="I3896" s="107">
        <v>0</v>
      </c>
      <c r="J3896" s="8" t="s">
        <v>2019</v>
      </c>
    </row>
    <row r="3897" spans="1:10" ht="16.5" customHeight="1" x14ac:dyDescent="0.25">
      <c r="A3897" s="8" t="s">
        <v>12546</v>
      </c>
      <c r="B3897" s="8" t="s">
        <v>12547</v>
      </c>
      <c r="C3897" s="8" t="s">
        <v>9355</v>
      </c>
      <c r="D3897" s="8" t="s">
        <v>12547</v>
      </c>
      <c r="E3897" s="105">
        <v>1</v>
      </c>
      <c r="F3897" s="106" t="s">
        <v>2018</v>
      </c>
      <c r="G3897" s="8"/>
      <c r="H3897" s="8"/>
      <c r="I3897" s="107">
        <v>0</v>
      </c>
      <c r="J3897" s="8" t="s">
        <v>2019</v>
      </c>
    </row>
    <row r="3898" spans="1:10" ht="16.5" customHeight="1" x14ac:dyDescent="0.25">
      <c r="A3898" s="8" t="s">
        <v>12548</v>
      </c>
      <c r="B3898" s="8" t="s">
        <v>12549</v>
      </c>
      <c r="C3898" s="8" t="s">
        <v>12550</v>
      </c>
      <c r="D3898" s="8" t="s">
        <v>12549</v>
      </c>
      <c r="E3898" s="105">
        <v>1</v>
      </c>
      <c r="F3898" s="106" t="s">
        <v>2018</v>
      </c>
      <c r="G3898" s="8"/>
      <c r="H3898" s="8"/>
      <c r="I3898" s="107">
        <v>0</v>
      </c>
      <c r="J3898" s="8" t="s">
        <v>12551</v>
      </c>
    </row>
    <row r="3899" spans="1:10" ht="16.5" customHeight="1" x14ac:dyDescent="0.25">
      <c r="A3899" s="8" t="s">
        <v>12552</v>
      </c>
      <c r="B3899" s="8" t="s">
        <v>12553</v>
      </c>
      <c r="C3899" s="8" t="s">
        <v>12554</v>
      </c>
      <c r="D3899" s="8" t="s">
        <v>12553</v>
      </c>
      <c r="E3899" s="105">
        <v>0.2</v>
      </c>
      <c r="F3899" s="106" t="s">
        <v>2018</v>
      </c>
      <c r="G3899" s="8"/>
      <c r="H3899" s="8"/>
      <c r="I3899" s="107">
        <v>0</v>
      </c>
      <c r="J3899" s="8" t="s">
        <v>8088</v>
      </c>
    </row>
    <row r="3900" spans="1:10" ht="16.5" customHeight="1" x14ac:dyDescent="0.25">
      <c r="A3900" s="8" t="s">
        <v>12555</v>
      </c>
      <c r="B3900" s="8" t="s">
        <v>12556</v>
      </c>
      <c r="C3900" s="8" t="s">
        <v>9743</v>
      </c>
      <c r="D3900" s="8" t="s">
        <v>12556</v>
      </c>
      <c r="E3900" s="105">
        <v>1</v>
      </c>
      <c r="F3900" s="106" t="s">
        <v>2024</v>
      </c>
      <c r="G3900" s="8"/>
      <c r="H3900" s="8"/>
      <c r="I3900" s="107">
        <v>0</v>
      </c>
      <c r="J3900" s="8" t="s">
        <v>3580</v>
      </c>
    </row>
    <row r="3901" spans="1:10" ht="16.5" customHeight="1" x14ac:dyDescent="0.25">
      <c r="A3901" s="8" t="s">
        <v>1774</v>
      </c>
      <c r="B3901" s="8" t="s">
        <v>1776</v>
      </c>
      <c r="C3901" s="8" t="s">
        <v>1775</v>
      </c>
      <c r="D3901" s="8" t="s">
        <v>1776</v>
      </c>
      <c r="E3901" s="105">
        <v>4</v>
      </c>
      <c r="F3901" s="106" t="s">
        <v>2018</v>
      </c>
      <c r="G3901" s="8"/>
      <c r="H3901" s="8" t="s">
        <v>12557</v>
      </c>
      <c r="I3901" s="107">
        <v>10</v>
      </c>
      <c r="J3901" s="8" t="s">
        <v>8088</v>
      </c>
    </row>
    <row r="3902" spans="1:10" ht="16.5" customHeight="1" x14ac:dyDescent="0.25">
      <c r="A3902" s="8" t="s">
        <v>12558</v>
      </c>
      <c r="B3902" s="8" t="s">
        <v>12559</v>
      </c>
      <c r="C3902" s="8" t="s">
        <v>12560</v>
      </c>
      <c r="D3902" s="8" t="s">
        <v>12559</v>
      </c>
      <c r="E3902" s="105">
        <v>3.5</v>
      </c>
      <c r="F3902" s="106" t="s">
        <v>2018</v>
      </c>
      <c r="G3902" s="8"/>
      <c r="H3902" s="8" t="s">
        <v>12561</v>
      </c>
      <c r="I3902" s="107">
        <v>50</v>
      </c>
      <c r="J3902" s="8" t="s">
        <v>8088</v>
      </c>
    </row>
    <row r="3903" spans="1:10" ht="16.5" customHeight="1" x14ac:dyDescent="0.25">
      <c r="A3903" s="8" t="s">
        <v>12562</v>
      </c>
      <c r="B3903" s="8" t="s">
        <v>12563</v>
      </c>
      <c r="C3903" s="8" t="s">
        <v>12564</v>
      </c>
      <c r="D3903" s="8" t="s">
        <v>12563</v>
      </c>
      <c r="E3903" s="105">
        <v>7.2</v>
      </c>
      <c r="F3903" s="106" t="s">
        <v>2018</v>
      </c>
      <c r="G3903" s="8"/>
      <c r="H3903" s="8"/>
      <c r="I3903" s="107">
        <v>0</v>
      </c>
      <c r="J3903" s="8" t="s">
        <v>2019</v>
      </c>
    </row>
    <row r="3904" spans="1:10" ht="16.5" customHeight="1" x14ac:dyDescent="0.25">
      <c r="A3904" s="8" t="s">
        <v>12565</v>
      </c>
      <c r="B3904" s="8" t="s">
        <v>12566</v>
      </c>
      <c r="C3904" s="8" t="s">
        <v>12567</v>
      </c>
      <c r="D3904" s="8" t="s">
        <v>12566</v>
      </c>
      <c r="E3904" s="105">
        <v>9.6</v>
      </c>
      <c r="F3904" s="106" t="s">
        <v>2018</v>
      </c>
      <c r="G3904" s="8"/>
      <c r="H3904" s="8"/>
      <c r="I3904" s="107">
        <v>0</v>
      </c>
      <c r="J3904" s="8" t="s">
        <v>2019</v>
      </c>
    </row>
    <row r="3905" spans="1:10" ht="16.5" customHeight="1" x14ac:dyDescent="0.25">
      <c r="A3905" s="8" t="s">
        <v>12557</v>
      </c>
      <c r="B3905" s="8" t="s">
        <v>12568</v>
      </c>
      <c r="C3905" s="8" t="s">
        <v>12569</v>
      </c>
      <c r="D3905" s="8" t="s">
        <v>12568</v>
      </c>
      <c r="E3905" s="105">
        <v>0.4</v>
      </c>
      <c r="F3905" s="106" t="s">
        <v>2018</v>
      </c>
      <c r="G3905" s="8"/>
      <c r="H3905" s="8"/>
      <c r="I3905" s="107">
        <v>0</v>
      </c>
      <c r="J3905" s="8" t="s">
        <v>8088</v>
      </c>
    </row>
    <row r="3906" spans="1:10" ht="16.5" customHeight="1" x14ac:dyDescent="0.25">
      <c r="A3906" s="8" t="s">
        <v>12561</v>
      </c>
      <c r="B3906" s="8" t="s">
        <v>12570</v>
      </c>
      <c r="C3906" s="8" t="s">
        <v>12571</v>
      </c>
      <c r="D3906" s="8" t="s">
        <v>12570</v>
      </c>
      <c r="E3906" s="105">
        <v>7.0000000000000007E-2</v>
      </c>
      <c r="F3906" s="106" t="s">
        <v>2018</v>
      </c>
      <c r="G3906" s="8"/>
      <c r="H3906" s="8"/>
      <c r="I3906" s="107">
        <v>0</v>
      </c>
      <c r="J3906" s="8" t="s">
        <v>8088</v>
      </c>
    </row>
    <row r="3907" spans="1:10" ht="16.5" customHeight="1" x14ac:dyDescent="0.25">
      <c r="A3907" s="8" t="s">
        <v>12572</v>
      </c>
      <c r="B3907" s="8" t="s">
        <v>12573</v>
      </c>
      <c r="C3907" s="8" t="s">
        <v>9772</v>
      </c>
      <c r="D3907" s="8" t="s">
        <v>12573</v>
      </c>
      <c r="E3907" s="105">
        <v>40</v>
      </c>
      <c r="F3907" s="106" t="s">
        <v>2018</v>
      </c>
      <c r="G3907" s="8"/>
      <c r="H3907" s="8"/>
      <c r="I3907" s="107">
        <v>0</v>
      </c>
      <c r="J3907" s="8" t="s">
        <v>3580</v>
      </c>
    </row>
    <row r="3908" spans="1:10" ht="16.5" customHeight="1" x14ac:dyDescent="0.25">
      <c r="A3908" s="8" t="s">
        <v>1368</v>
      </c>
      <c r="B3908" s="8" t="s">
        <v>1370</v>
      </c>
      <c r="C3908" s="8" t="s">
        <v>1369</v>
      </c>
      <c r="D3908" s="8" t="s">
        <v>1370</v>
      </c>
      <c r="E3908" s="105">
        <v>20</v>
      </c>
      <c r="F3908" s="106" t="s">
        <v>2018</v>
      </c>
      <c r="G3908" s="8"/>
      <c r="H3908" s="8"/>
      <c r="I3908" s="107">
        <v>0</v>
      </c>
      <c r="J3908" s="8" t="s">
        <v>2019</v>
      </c>
    </row>
    <row r="3909" spans="1:10" ht="16.5" customHeight="1" x14ac:dyDescent="0.25">
      <c r="A3909" s="8" t="s">
        <v>12574</v>
      </c>
      <c r="B3909" s="8" t="s">
        <v>12575</v>
      </c>
      <c r="C3909" s="8" t="s">
        <v>9778</v>
      </c>
      <c r="D3909" s="8" t="s">
        <v>12575</v>
      </c>
      <c r="E3909" s="105">
        <v>1</v>
      </c>
      <c r="F3909" s="106" t="s">
        <v>2024</v>
      </c>
      <c r="G3909" s="8"/>
      <c r="H3909" s="8"/>
      <c r="I3909" s="107">
        <v>0</v>
      </c>
      <c r="J3909" s="8" t="s">
        <v>3580</v>
      </c>
    </row>
    <row r="3910" spans="1:10" ht="16.5" customHeight="1" x14ac:dyDescent="0.25">
      <c r="A3910" s="8" t="s">
        <v>12576</v>
      </c>
      <c r="B3910" s="8" t="s">
        <v>12577</v>
      </c>
      <c r="C3910" s="8" t="s">
        <v>1645</v>
      </c>
      <c r="D3910" s="8" t="s">
        <v>12577</v>
      </c>
      <c r="E3910" s="105">
        <v>9.6</v>
      </c>
      <c r="F3910" s="106" t="s">
        <v>2024</v>
      </c>
      <c r="G3910" s="8" t="s">
        <v>1541</v>
      </c>
      <c r="H3910" s="8" t="s">
        <v>12578</v>
      </c>
      <c r="I3910" s="107">
        <v>12</v>
      </c>
      <c r="J3910" s="8" t="s">
        <v>5929</v>
      </c>
    </row>
    <row r="3911" spans="1:10" ht="16.5" customHeight="1" x14ac:dyDescent="0.25">
      <c r="A3911" s="8" t="s">
        <v>12578</v>
      </c>
      <c r="B3911" s="8" t="s">
        <v>12579</v>
      </c>
      <c r="C3911" s="8" t="s">
        <v>12580</v>
      </c>
      <c r="D3911" s="8" t="s">
        <v>12579</v>
      </c>
      <c r="E3911" s="105">
        <v>0.8</v>
      </c>
      <c r="F3911" s="106" t="s">
        <v>2024</v>
      </c>
      <c r="G3911" s="8" t="s">
        <v>1541</v>
      </c>
      <c r="H3911" s="8"/>
      <c r="I3911" s="107">
        <v>0</v>
      </c>
      <c r="J3911" s="8" t="s">
        <v>5929</v>
      </c>
    </row>
    <row r="3912" spans="1:10" ht="16.5" customHeight="1" x14ac:dyDescent="0.25">
      <c r="A3912" s="8" t="s">
        <v>12581</v>
      </c>
      <c r="B3912" s="8" t="s">
        <v>12582</v>
      </c>
      <c r="C3912" s="8" t="s">
        <v>12583</v>
      </c>
      <c r="D3912" s="8" t="s">
        <v>12582</v>
      </c>
      <c r="E3912" s="105">
        <v>0.12</v>
      </c>
      <c r="F3912" s="106" t="s">
        <v>2018</v>
      </c>
      <c r="G3912" s="8"/>
      <c r="H3912" s="8"/>
      <c r="I3912" s="107">
        <v>0</v>
      </c>
      <c r="J3912" s="8" t="s">
        <v>10979</v>
      </c>
    </row>
    <row r="3913" spans="1:10" ht="16.5" customHeight="1" x14ac:dyDescent="0.25">
      <c r="A3913" s="8" t="s">
        <v>12584</v>
      </c>
      <c r="B3913" s="8" t="s">
        <v>12585</v>
      </c>
      <c r="C3913" s="8" t="s">
        <v>12586</v>
      </c>
      <c r="D3913" s="8" t="s">
        <v>12585</v>
      </c>
      <c r="E3913" s="105">
        <v>0.12</v>
      </c>
      <c r="F3913" s="106" t="s">
        <v>2018</v>
      </c>
      <c r="G3913" s="8"/>
      <c r="H3913" s="8"/>
      <c r="I3913" s="107">
        <v>0</v>
      </c>
      <c r="J3913" s="8" t="s">
        <v>10979</v>
      </c>
    </row>
    <row r="3914" spans="1:10" ht="16.5" customHeight="1" x14ac:dyDescent="0.25">
      <c r="A3914" s="8" t="s">
        <v>12587</v>
      </c>
      <c r="B3914" s="8" t="s">
        <v>12588</v>
      </c>
      <c r="C3914" s="8" t="s">
        <v>12589</v>
      </c>
      <c r="D3914" s="8" t="s">
        <v>12588</v>
      </c>
      <c r="E3914" s="105">
        <v>1</v>
      </c>
      <c r="F3914" s="106" t="s">
        <v>2018</v>
      </c>
      <c r="G3914" s="8"/>
      <c r="H3914" s="8"/>
      <c r="I3914" s="107">
        <v>0</v>
      </c>
      <c r="J3914" s="8" t="s">
        <v>12551</v>
      </c>
    </row>
    <row r="3915" spans="1:10" ht="16.5" customHeight="1" x14ac:dyDescent="0.25">
      <c r="A3915" s="8" t="s">
        <v>12590</v>
      </c>
      <c r="B3915" s="8" t="s">
        <v>12591</v>
      </c>
      <c r="C3915" s="8" t="s">
        <v>9778</v>
      </c>
      <c r="D3915" s="8" t="s">
        <v>12591</v>
      </c>
      <c r="E3915" s="105">
        <v>25</v>
      </c>
      <c r="F3915" s="106" t="s">
        <v>2018</v>
      </c>
      <c r="G3915" s="8"/>
      <c r="H3915" s="8"/>
      <c r="I3915" s="107">
        <v>0</v>
      </c>
      <c r="J3915" s="8" t="s">
        <v>3580</v>
      </c>
    </row>
    <row r="3916" spans="1:10" ht="16.5" customHeight="1" x14ac:dyDescent="0.25">
      <c r="A3916" s="8" t="s">
        <v>12592</v>
      </c>
      <c r="B3916" s="8" t="s">
        <v>12593</v>
      </c>
      <c r="C3916" s="8" t="s">
        <v>12594</v>
      </c>
      <c r="D3916" s="8" t="s">
        <v>12593</v>
      </c>
      <c r="E3916" s="105">
        <v>7.8</v>
      </c>
      <c r="F3916" s="106" t="s">
        <v>2018</v>
      </c>
      <c r="G3916" s="8"/>
      <c r="H3916" s="8" t="s">
        <v>12595</v>
      </c>
      <c r="I3916" s="107">
        <v>120</v>
      </c>
      <c r="J3916" s="8" t="s">
        <v>4789</v>
      </c>
    </row>
    <row r="3917" spans="1:10" ht="16.5" customHeight="1" x14ac:dyDescent="0.25">
      <c r="A3917" s="8" t="s">
        <v>1880</v>
      </c>
      <c r="B3917" s="8" t="s">
        <v>1882</v>
      </c>
      <c r="C3917" s="8" t="s">
        <v>1881</v>
      </c>
      <c r="D3917" s="8" t="s">
        <v>1882</v>
      </c>
      <c r="E3917" s="105">
        <v>14.423</v>
      </c>
      <c r="F3917" s="106" t="s">
        <v>2018</v>
      </c>
      <c r="G3917" s="8"/>
      <c r="H3917" s="8" t="s">
        <v>12596</v>
      </c>
      <c r="I3917" s="107">
        <v>12</v>
      </c>
      <c r="J3917" s="8" t="s">
        <v>4789</v>
      </c>
    </row>
    <row r="3918" spans="1:10" ht="16.5" customHeight="1" x14ac:dyDescent="0.25">
      <c r="A3918" s="8" t="s">
        <v>12596</v>
      </c>
      <c r="B3918" s="8" t="s">
        <v>12597</v>
      </c>
      <c r="C3918" s="8" t="s">
        <v>12598</v>
      </c>
      <c r="D3918" s="8" t="s">
        <v>12597</v>
      </c>
      <c r="E3918" s="105">
        <v>1.202</v>
      </c>
      <c r="F3918" s="106" t="s">
        <v>2018</v>
      </c>
      <c r="G3918" s="8"/>
      <c r="H3918" s="8"/>
      <c r="I3918" s="107">
        <v>0</v>
      </c>
      <c r="J3918" s="8" t="s">
        <v>4789</v>
      </c>
    </row>
    <row r="3919" spans="1:10" ht="16.5" customHeight="1" x14ac:dyDescent="0.25">
      <c r="A3919" s="8" t="s">
        <v>1860</v>
      </c>
      <c r="B3919" s="8" t="s">
        <v>1862</v>
      </c>
      <c r="C3919" s="8" t="s">
        <v>1861</v>
      </c>
      <c r="D3919" s="8" t="s">
        <v>1862</v>
      </c>
      <c r="E3919" s="105">
        <v>14.183</v>
      </c>
      <c r="F3919" s="106" t="s">
        <v>2018</v>
      </c>
      <c r="G3919" s="8"/>
      <c r="H3919" s="8" t="s">
        <v>12599</v>
      </c>
      <c r="I3919" s="107">
        <v>12</v>
      </c>
      <c r="J3919" s="8" t="s">
        <v>4789</v>
      </c>
    </row>
    <row r="3920" spans="1:10" ht="16.5" customHeight="1" x14ac:dyDescent="0.25">
      <c r="A3920" s="8" t="s">
        <v>12599</v>
      </c>
      <c r="B3920" s="8" t="s">
        <v>12600</v>
      </c>
      <c r="C3920" s="8" t="s">
        <v>12601</v>
      </c>
      <c r="D3920" s="8" t="s">
        <v>12600</v>
      </c>
      <c r="E3920" s="105">
        <v>1.1819999999999999</v>
      </c>
      <c r="F3920" s="106" t="s">
        <v>2018</v>
      </c>
      <c r="G3920" s="8"/>
      <c r="H3920" s="8"/>
      <c r="I3920" s="107">
        <v>0</v>
      </c>
      <c r="J3920" s="8" t="s">
        <v>4789</v>
      </c>
    </row>
    <row r="3921" spans="1:10" ht="16.5" customHeight="1" x14ac:dyDescent="0.25">
      <c r="A3921" s="8" t="s">
        <v>12602</v>
      </c>
      <c r="B3921" s="8" t="s">
        <v>12603</v>
      </c>
      <c r="C3921" s="8" t="s">
        <v>12604</v>
      </c>
      <c r="D3921" s="8" t="s">
        <v>12603</v>
      </c>
      <c r="E3921" s="105">
        <v>1</v>
      </c>
      <c r="F3921" s="106" t="s">
        <v>2018</v>
      </c>
      <c r="G3921" s="8"/>
      <c r="H3921" s="8"/>
      <c r="I3921" s="107">
        <v>0</v>
      </c>
      <c r="J3921" s="8" t="s">
        <v>10979</v>
      </c>
    </row>
    <row r="3922" spans="1:10" ht="16.5" customHeight="1" x14ac:dyDescent="0.25">
      <c r="A3922" s="8" t="s">
        <v>12605</v>
      </c>
      <c r="B3922" s="8" t="s">
        <v>12606</v>
      </c>
      <c r="C3922" s="8" t="s">
        <v>12607</v>
      </c>
      <c r="D3922" s="8" t="s">
        <v>12606</v>
      </c>
      <c r="E3922" s="105">
        <v>1</v>
      </c>
      <c r="F3922" s="106" t="s">
        <v>2018</v>
      </c>
      <c r="G3922" s="8"/>
      <c r="H3922" s="8"/>
      <c r="I3922" s="107">
        <v>0</v>
      </c>
      <c r="J3922" s="8" t="s">
        <v>10979</v>
      </c>
    </row>
    <row r="3923" spans="1:10" ht="16.5" customHeight="1" x14ac:dyDescent="0.25">
      <c r="A3923" s="8" t="s">
        <v>12608</v>
      </c>
      <c r="B3923" s="8" t="s">
        <v>12609</v>
      </c>
      <c r="C3923" s="8" t="s">
        <v>12610</v>
      </c>
      <c r="D3923" s="8" t="s">
        <v>12609</v>
      </c>
      <c r="E3923" s="105">
        <v>0</v>
      </c>
      <c r="F3923" s="106" t="s">
        <v>2018</v>
      </c>
      <c r="G3923" s="8"/>
      <c r="H3923" s="8"/>
      <c r="I3923" s="107">
        <v>0</v>
      </c>
      <c r="J3923" s="8" t="s">
        <v>4789</v>
      </c>
    </row>
    <row r="3924" spans="1:10" ht="16.5" customHeight="1" x14ac:dyDescent="0.25">
      <c r="A3924" s="8" t="s">
        <v>12611</v>
      </c>
      <c r="B3924" s="8" t="s">
        <v>12612</v>
      </c>
      <c r="C3924" s="8" t="s">
        <v>12613</v>
      </c>
      <c r="D3924" s="8" t="s">
        <v>12612</v>
      </c>
      <c r="E3924" s="105">
        <v>0.2</v>
      </c>
      <c r="F3924" s="106" t="s">
        <v>2024</v>
      </c>
      <c r="G3924" s="8"/>
      <c r="H3924" s="8"/>
      <c r="I3924" s="107">
        <v>0</v>
      </c>
      <c r="J3924" s="8" t="s">
        <v>5671</v>
      </c>
    </row>
    <row r="3925" spans="1:10" ht="16.5" customHeight="1" x14ac:dyDescent="0.25">
      <c r="A3925" s="8" t="s">
        <v>12614</v>
      </c>
      <c r="B3925" s="8" t="s">
        <v>12615</v>
      </c>
      <c r="C3925" s="8" t="s">
        <v>1458</v>
      </c>
      <c r="D3925" s="8" t="s">
        <v>12615</v>
      </c>
      <c r="E3925" s="105">
        <v>4.8</v>
      </c>
      <c r="F3925" s="106" t="s">
        <v>2024</v>
      </c>
      <c r="G3925" s="8"/>
      <c r="H3925" s="8"/>
      <c r="I3925" s="107">
        <v>0</v>
      </c>
      <c r="J3925" s="8" t="s">
        <v>5671</v>
      </c>
    </row>
    <row r="3926" spans="1:10" ht="16.5" customHeight="1" x14ac:dyDescent="0.25">
      <c r="A3926" s="8" t="s">
        <v>12616</v>
      </c>
      <c r="B3926" s="8" t="s">
        <v>12617</v>
      </c>
      <c r="C3926" s="8" t="s">
        <v>12618</v>
      </c>
      <c r="D3926" s="8" t="s">
        <v>12617</v>
      </c>
      <c r="E3926" s="105">
        <v>6.12</v>
      </c>
      <c r="F3926" s="106" t="s">
        <v>2024</v>
      </c>
      <c r="G3926" s="8" t="s">
        <v>1541</v>
      </c>
      <c r="H3926" s="8" t="s">
        <v>12619</v>
      </c>
      <c r="I3926" s="107">
        <v>24</v>
      </c>
      <c r="J3926" s="8" t="s">
        <v>5929</v>
      </c>
    </row>
    <row r="3927" spans="1:10" ht="16.5" customHeight="1" x14ac:dyDescent="0.25">
      <c r="A3927" s="8" t="s">
        <v>12619</v>
      </c>
      <c r="B3927" s="8" t="s">
        <v>12620</v>
      </c>
      <c r="C3927" s="8" t="s">
        <v>12621</v>
      </c>
      <c r="D3927" s="8" t="s">
        <v>12620</v>
      </c>
      <c r="E3927" s="105">
        <v>0.255</v>
      </c>
      <c r="F3927" s="106" t="s">
        <v>2024</v>
      </c>
      <c r="G3927" s="8" t="s">
        <v>1541</v>
      </c>
      <c r="H3927" s="8"/>
      <c r="I3927" s="107">
        <v>0</v>
      </c>
      <c r="J3927" s="8" t="s">
        <v>5929</v>
      </c>
    </row>
    <row r="3928" spans="1:10" ht="16.5" customHeight="1" x14ac:dyDescent="0.25">
      <c r="A3928" s="8" t="s">
        <v>12622</v>
      </c>
      <c r="B3928" s="8" t="s">
        <v>12623</v>
      </c>
      <c r="C3928" s="8" t="s">
        <v>12624</v>
      </c>
      <c r="D3928" s="8" t="s">
        <v>12623</v>
      </c>
      <c r="E3928" s="105">
        <v>6.12</v>
      </c>
      <c r="F3928" s="106" t="s">
        <v>2024</v>
      </c>
      <c r="G3928" s="8" t="s">
        <v>1541</v>
      </c>
      <c r="H3928" s="8" t="s">
        <v>12625</v>
      </c>
      <c r="I3928" s="107">
        <v>24</v>
      </c>
      <c r="J3928" s="8" t="s">
        <v>5929</v>
      </c>
    </row>
    <row r="3929" spans="1:10" ht="16.5" customHeight="1" x14ac:dyDescent="0.25">
      <c r="A3929" s="8" t="s">
        <v>12625</v>
      </c>
      <c r="B3929" s="8" t="s">
        <v>12626</v>
      </c>
      <c r="C3929" s="8" t="s">
        <v>12627</v>
      </c>
      <c r="D3929" s="8" t="s">
        <v>12626</v>
      </c>
      <c r="E3929" s="105">
        <v>0.255</v>
      </c>
      <c r="F3929" s="106" t="s">
        <v>2024</v>
      </c>
      <c r="G3929" s="8" t="s">
        <v>1541</v>
      </c>
      <c r="H3929" s="8"/>
      <c r="I3929" s="107">
        <v>0</v>
      </c>
      <c r="J3929" s="8" t="s">
        <v>5929</v>
      </c>
    </row>
    <row r="3930" spans="1:10" ht="16.5" customHeight="1" x14ac:dyDescent="0.25">
      <c r="A3930" s="8" t="s">
        <v>12595</v>
      </c>
      <c r="B3930" s="8" t="s">
        <v>12628</v>
      </c>
      <c r="C3930" s="8" t="s">
        <v>12629</v>
      </c>
      <c r="D3930" s="8" t="s">
        <v>12628</v>
      </c>
      <c r="E3930" s="105">
        <v>6.5000000000000002E-2</v>
      </c>
      <c r="F3930" s="106" t="s">
        <v>2018</v>
      </c>
      <c r="G3930" s="8"/>
      <c r="H3930" s="8"/>
      <c r="I3930" s="107">
        <v>0</v>
      </c>
      <c r="J3930" s="8" t="s">
        <v>4789</v>
      </c>
    </row>
    <row r="3931" spans="1:10" ht="16.5" customHeight="1" x14ac:dyDescent="0.25">
      <c r="A3931" s="8" t="s">
        <v>12630</v>
      </c>
      <c r="B3931" s="8" t="s">
        <v>12631</v>
      </c>
      <c r="C3931" s="8" t="s">
        <v>12632</v>
      </c>
      <c r="D3931" s="8" t="s">
        <v>12631</v>
      </c>
      <c r="E3931" s="105">
        <v>0</v>
      </c>
      <c r="F3931" s="106" t="s">
        <v>2018</v>
      </c>
      <c r="G3931" s="8"/>
      <c r="H3931" s="8"/>
      <c r="I3931" s="107">
        <v>0</v>
      </c>
      <c r="J3931" s="8" t="s">
        <v>4789</v>
      </c>
    </row>
    <row r="3932" spans="1:10" ht="16.5" customHeight="1" x14ac:dyDescent="0.25">
      <c r="A3932" s="8" t="s">
        <v>12633</v>
      </c>
      <c r="B3932" s="8" t="s">
        <v>12634</v>
      </c>
      <c r="C3932" s="8" t="s">
        <v>12635</v>
      </c>
      <c r="D3932" s="8" t="s">
        <v>12634</v>
      </c>
      <c r="E3932" s="105">
        <v>0</v>
      </c>
      <c r="F3932" s="106" t="s">
        <v>2018</v>
      </c>
      <c r="G3932" s="8"/>
      <c r="H3932" s="8"/>
      <c r="I3932" s="107">
        <v>0</v>
      </c>
      <c r="J3932" s="8" t="s">
        <v>4722</v>
      </c>
    </row>
    <row r="3933" spans="1:10" ht="16.5" customHeight="1" x14ac:dyDescent="0.25">
      <c r="A3933" s="8" t="s">
        <v>12636</v>
      </c>
      <c r="B3933" s="8" t="s">
        <v>12637</v>
      </c>
      <c r="C3933" s="8" t="s">
        <v>12638</v>
      </c>
      <c r="D3933" s="8" t="s">
        <v>12637</v>
      </c>
      <c r="E3933" s="105">
        <v>0.02</v>
      </c>
      <c r="F3933" s="106" t="s">
        <v>2024</v>
      </c>
      <c r="G3933" s="8"/>
      <c r="H3933" s="8"/>
      <c r="I3933" s="107">
        <v>0</v>
      </c>
      <c r="J3933" s="8" t="s">
        <v>2019</v>
      </c>
    </row>
    <row r="3934" spans="1:10" ht="16.5" customHeight="1" x14ac:dyDescent="0.25">
      <c r="A3934" s="8" t="s">
        <v>12639</v>
      </c>
      <c r="B3934" s="8" t="s">
        <v>12640</v>
      </c>
      <c r="C3934" s="8" t="s">
        <v>12641</v>
      </c>
      <c r="D3934" s="8" t="s">
        <v>12640</v>
      </c>
      <c r="E3934" s="105">
        <v>1.76</v>
      </c>
      <c r="F3934" s="106" t="s">
        <v>2018</v>
      </c>
      <c r="G3934" s="8"/>
      <c r="H3934" s="8" t="s">
        <v>12642</v>
      </c>
      <c r="I3934" s="107">
        <v>22</v>
      </c>
      <c r="J3934" s="8" t="s">
        <v>8088</v>
      </c>
    </row>
    <row r="3935" spans="1:10" ht="16.5" customHeight="1" x14ac:dyDescent="0.25">
      <c r="A3935" s="8" t="s">
        <v>12642</v>
      </c>
      <c r="B3935" s="8" t="s">
        <v>12643</v>
      </c>
      <c r="C3935" s="8" t="s">
        <v>12644</v>
      </c>
      <c r="D3935" s="8" t="s">
        <v>12643</v>
      </c>
      <c r="E3935" s="105">
        <v>0.08</v>
      </c>
      <c r="F3935" s="106" t="s">
        <v>2018</v>
      </c>
      <c r="G3935" s="8"/>
      <c r="H3935" s="8"/>
      <c r="I3935" s="107">
        <v>0</v>
      </c>
      <c r="J3935" s="8" t="s">
        <v>8088</v>
      </c>
    </row>
    <row r="3936" spans="1:10" ht="16.5" customHeight="1" x14ac:dyDescent="0.25">
      <c r="A3936" s="8" t="s">
        <v>1739</v>
      </c>
      <c r="B3936" s="8" t="s">
        <v>1741</v>
      </c>
      <c r="C3936" s="8" t="s">
        <v>1740</v>
      </c>
      <c r="D3936" s="8" t="s">
        <v>1741</v>
      </c>
      <c r="E3936" s="105">
        <v>10</v>
      </c>
      <c r="F3936" s="106" t="s">
        <v>2018</v>
      </c>
      <c r="G3936" s="8"/>
      <c r="H3936" s="8" t="s">
        <v>12645</v>
      </c>
      <c r="I3936" s="107">
        <v>20</v>
      </c>
      <c r="J3936" s="8" t="s">
        <v>3580</v>
      </c>
    </row>
    <row r="3937" spans="1:10" ht="16.5" customHeight="1" x14ac:dyDescent="0.25">
      <c r="A3937" s="8" t="s">
        <v>1730</v>
      </c>
      <c r="B3937" s="8" t="s">
        <v>1732</v>
      </c>
      <c r="C3937" s="8" t="s">
        <v>1731</v>
      </c>
      <c r="D3937" s="8" t="s">
        <v>1732</v>
      </c>
      <c r="E3937" s="105">
        <v>10</v>
      </c>
      <c r="F3937" s="106" t="s">
        <v>2018</v>
      </c>
      <c r="G3937" s="8"/>
      <c r="H3937" s="8" t="s">
        <v>12646</v>
      </c>
      <c r="I3937" s="107">
        <v>20</v>
      </c>
      <c r="J3937" s="8" t="s">
        <v>3580</v>
      </c>
    </row>
    <row r="3938" spans="1:10" ht="16.5" customHeight="1" x14ac:dyDescent="0.25">
      <c r="A3938" s="8" t="s">
        <v>12647</v>
      </c>
      <c r="B3938" s="8" t="s">
        <v>12648</v>
      </c>
      <c r="C3938" s="8" t="s">
        <v>12649</v>
      </c>
      <c r="D3938" s="8" t="s">
        <v>12648</v>
      </c>
      <c r="E3938" s="105">
        <v>1.76</v>
      </c>
      <c r="F3938" s="106" t="s">
        <v>2018</v>
      </c>
      <c r="G3938" s="8"/>
      <c r="H3938" s="8" t="s">
        <v>12650</v>
      </c>
      <c r="I3938" s="107">
        <v>22</v>
      </c>
      <c r="J3938" s="8" t="s">
        <v>8088</v>
      </c>
    </row>
    <row r="3939" spans="1:10" ht="16.5" customHeight="1" x14ac:dyDescent="0.25">
      <c r="A3939" s="8" t="s">
        <v>12650</v>
      </c>
      <c r="B3939" s="8" t="s">
        <v>12651</v>
      </c>
      <c r="C3939" s="8" t="s">
        <v>12652</v>
      </c>
      <c r="D3939" s="8" t="s">
        <v>12651</v>
      </c>
      <c r="E3939" s="105">
        <v>0.08</v>
      </c>
      <c r="F3939" s="106" t="s">
        <v>2018</v>
      </c>
      <c r="G3939" s="8"/>
      <c r="H3939" s="8"/>
      <c r="I3939" s="107">
        <v>0</v>
      </c>
      <c r="J3939" s="8" t="s">
        <v>8088</v>
      </c>
    </row>
    <row r="3940" spans="1:10" ht="16.5" customHeight="1" x14ac:dyDescent="0.25">
      <c r="A3940" s="8" t="s">
        <v>12653</v>
      </c>
      <c r="B3940" s="8" t="s">
        <v>12654</v>
      </c>
      <c r="C3940" s="8" t="s">
        <v>12655</v>
      </c>
      <c r="D3940" s="8" t="s">
        <v>12654</v>
      </c>
      <c r="E3940" s="105">
        <v>1.76</v>
      </c>
      <c r="F3940" s="106" t="s">
        <v>2018</v>
      </c>
      <c r="G3940" s="8"/>
      <c r="H3940" s="8" t="s">
        <v>12656</v>
      </c>
      <c r="I3940" s="107">
        <v>22</v>
      </c>
      <c r="J3940" s="8" t="s">
        <v>8088</v>
      </c>
    </row>
    <row r="3941" spans="1:10" ht="16.5" customHeight="1" x14ac:dyDescent="0.25">
      <c r="A3941" s="8" t="s">
        <v>12656</v>
      </c>
      <c r="B3941" s="8" t="s">
        <v>12657</v>
      </c>
      <c r="C3941" s="8" t="s">
        <v>12658</v>
      </c>
      <c r="D3941" s="8" t="s">
        <v>12657</v>
      </c>
      <c r="E3941" s="105">
        <v>0.08</v>
      </c>
      <c r="F3941" s="106" t="s">
        <v>2018</v>
      </c>
      <c r="G3941" s="8"/>
      <c r="H3941" s="8"/>
      <c r="I3941" s="107">
        <v>0</v>
      </c>
      <c r="J3941" s="8" t="s">
        <v>8088</v>
      </c>
    </row>
    <row r="3942" spans="1:10" ht="16.5" customHeight="1" x14ac:dyDescent="0.25">
      <c r="A3942" s="8" t="s">
        <v>12659</v>
      </c>
      <c r="B3942" s="8" t="s">
        <v>12660</v>
      </c>
      <c r="C3942" s="8" t="s">
        <v>12661</v>
      </c>
      <c r="D3942" s="8" t="s">
        <v>12660</v>
      </c>
      <c r="E3942" s="105">
        <v>1.76</v>
      </c>
      <c r="F3942" s="106" t="s">
        <v>2018</v>
      </c>
      <c r="G3942" s="8"/>
      <c r="H3942" s="8" t="s">
        <v>12662</v>
      </c>
      <c r="I3942" s="107">
        <v>22</v>
      </c>
      <c r="J3942" s="8" t="s">
        <v>8088</v>
      </c>
    </row>
    <row r="3943" spans="1:10" ht="16.5" customHeight="1" x14ac:dyDescent="0.25">
      <c r="A3943" s="8" t="s">
        <v>12662</v>
      </c>
      <c r="B3943" s="8" t="s">
        <v>12663</v>
      </c>
      <c r="C3943" s="8" t="s">
        <v>12664</v>
      </c>
      <c r="D3943" s="8" t="s">
        <v>12663</v>
      </c>
      <c r="E3943" s="105">
        <v>0.08</v>
      </c>
      <c r="F3943" s="106" t="s">
        <v>2018</v>
      </c>
      <c r="G3943" s="8"/>
      <c r="H3943" s="8"/>
      <c r="I3943" s="107">
        <v>0</v>
      </c>
      <c r="J3943" s="8" t="s">
        <v>8088</v>
      </c>
    </row>
    <row r="3944" spans="1:10" ht="16.5" customHeight="1" x14ac:dyDescent="0.25">
      <c r="A3944" s="8" t="s">
        <v>12665</v>
      </c>
      <c r="B3944" s="8" t="s">
        <v>12666</v>
      </c>
      <c r="C3944" s="8" t="s">
        <v>12667</v>
      </c>
      <c r="D3944" s="8" t="s">
        <v>12666</v>
      </c>
      <c r="E3944" s="105">
        <v>1</v>
      </c>
      <c r="F3944" s="106" t="s">
        <v>2024</v>
      </c>
      <c r="G3944" s="8"/>
      <c r="H3944" s="8"/>
      <c r="I3944" s="107">
        <v>0</v>
      </c>
      <c r="J3944" s="8" t="s">
        <v>4722</v>
      </c>
    </row>
    <row r="3945" spans="1:10" ht="16.5" customHeight="1" x14ac:dyDescent="0.25">
      <c r="A3945" s="8" t="s">
        <v>12668</v>
      </c>
      <c r="B3945" s="8" t="s">
        <v>12669</v>
      </c>
      <c r="C3945" s="8" t="s">
        <v>12670</v>
      </c>
      <c r="D3945" s="8" t="s">
        <v>12669</v>
      </c>
      <c r="E3945" s="105">
        <v>1</v>
      </c>
      <c r="F3945" s="106" t="s">
        <v>2024</v>
      </c>
      <c r="G3945" s="8"/>
      <c r="H3945" s="8"/>
      <c r="I3945" s="107">
        <v>0</v>
      </c>
      <c r="J3945" s="8" t="s">
        <v>4722</v>
      </c>
    </row>
    <row r="3946" spans="1:10" ht="16.5" customHeight="1" x14ac:dyDescent="0.25">
      <c r="A3946" s="8" t="s">
        <v>12671</v>
      </c>
      <c r="B3946" s="8" t="s">
        <v>12672</v>
      </c>
      <c r="C3946" s="8" t="s">
        <v>11018</v>
      </c>
      <c r="D3946" s="8" t="s">
        <v>12672</v>
      </c>
      <c r="E3946" s="105">
        <v>1</v>
      </c>
      <c r="F3946" s="106" t="s">
        <v>2018</v>
      </c>
      <c r="G3946" s="8"/>
      <c r="H3946" s="8"/>
      <c r="I3946" s="107">
        <v>0</v>
      </c>
      <c r="J3946" s="8" t="s">
        <v>3580</v>
      </c>
    </row>
    <row r="3947" spans="1:10" ht="16.5" customHeight="1" x14ac:dyDescent="0.25">
      <c r="A3947" s="8" t="s">
        <v>12673</v>
      </c>
      <c r="B3947" s="8" t="s">
        <v>12674</v>
      </c>
      <c r="C3947" s="8" t="s">
        <v>12675</v>
      </c>
      <c r="D3947" s="8" t="s">
        <v>12674</v>
      </c>
      <c r="E3947" s="105">
        <v>1</v>
      </c>
      <c r="F3947" s="106" t="s">
        <v>2018</v>
      </c>
      <c r="G3947" s="8"/>
      <c r="H3947" s="8"/>
      <c r="I3947" s="107">
        <v>0</v>
      </c>
      <c r="J3947" s="8" t="s">
        <v>2019</v>
      </c>
    </row>
    <row r="3948" spans="1:10" ht="16.5" customHeight="1" x14ac:dyDescent="0.25">
      <c r="A3948" s="8" t="s">
        <v>12676</v>
      </c>
      <c r="B3948" s="8" t="s">
        <v>12677</v>
      </c>
      <c r="C3948" s="8" t="s">
        <v>12678</v>
      </c>
      <c r="D3948" s="8" t="s">
        <v>12677</v>
      </c>
      <c r="E3948" s="105">
        <v>1</v>
      </c>
      <c r="F3948" s="106" t="s">
        <v>2018</v>
      </c>
      <c r="G3948" s="8"/>
      <c r="H3948" s="8"/>
      <c r="I3948" s="107">
        <v>0</v>
      </c>
      <c r="J3948" s="8" t="s">
        <v>2019</v>
      </c>
    </row>
    <row r="3949" spans="1:10" ht="16.5" customHeight="1" x14ac:dyDescent="0.25">
      <c r="A3949" s="8" t="s">
        <v>1303</v>
      </c>
      <c r="B3949" s="8" t="s">
        <v>12679</v>
      </c>
      <c r="C3949" s="8" t="s">
        <v>1304</v>
      </c>
      <c r="D3949" s="8" t="s">
        <v>12679</v>
      </c>
      <c r="E3949" s="105">
        <v>13.65</v>
      </c>
      <c r="F3949" s="106" t="s">
        <v>2018</v>
      </c>
      <c r="G3949" s="8"/>
      <c r="H3949" s="8" t="s">
        <v>12680</v>
      </c>
      <c r="I3949" s="107">
        <v>3</v>
      </c>
      <c r="J3949" s="8" t="s">
        <v>2019</v>
      </c>
    </row>
    <row r="3950" spans="1:10" ht="16.5" customHeight="1" x14ac:dyDescent="0.25">
      <c r="A3950" s="8" t="s">
        <v>12680</v>
      </c>
      <c r="B3950" s="8" t="s">
        <v>12681</v>
      </c>
      <c r="C3950" s="8" t="s">
        <v>1304</v>
      </c>
      <c r="D3950" s="8" t="s">
        <v>12681</v>
      </c>
      <c r="E3950" s="105">
        <v>4.55</v>
      </c>
      <c r="F3950" s="106" t="s">
        <v>2018</v>
      </c>
      <c r="G3950" s="8"/>
      <c r="H3950" s="8"/>
      <c r="I3950" s="107">
        <v>0</v>
      </c>
      <c r="J3950" s="8" t="s">
        <v>2019</v>
      </c>
    </row>
    <row r="3951" spans="1:10" ht="16.5" customHeight="1" x14ac:dyDescent="0.25">
      <c r="A3951" s="8" t="s">
        <v>12682</v>
      </c>
      <c r="B3951" s="8" t="s">
        <v>12683</v>
      </c>
      <c r="C3951" s="8" t="s">
        <v>12684</v>
      </c>
      <c r="D3951" s="8" t="s">
        <v>12683</v>
      </c>
      <c r="E3951" s="105">
        <v>25</v>
      </c>
      <c r="F3951" s="106" t="s">
        <v>2018</v>
      </c>
      <c r="G3951" s="8"/>
      <c r="H3951" s="8"/>
      <c r="I3951" s="107">
        <v>0</v>
      </c>
      <c r="J3951" s="8" t="s">
        <v>2019</v>
      </c>
    </row>
    <row r="3952" spans="1:10" ht="16.5" customHeight="1" x14ac:dyDescent="0.25">
      <c r="A3952" s="8" t="s">
        <v>12685</v>
      </c>
      <c r="B3952" s="8" t="s">
        <v>12686</v>
      </c>
      <c r="C3952" s="8" t="s">
        <v>12687</v>
      </c>
      <c r="D3952" s="8" t="s">
        <v>12686</v>
      </c>
      <c r="E3952" s="105">
        <v>25</v>
      </c>
      <c r="F3952" s="106" t="s">
        <v>2018</v>
      </c>
      <c r="G3952" s="8"/>
      <c r="H3952" s="8"/>
      <c r="I3952" s="107">
        <v>0</v>
      </c>
      <c r="J3952" s="8" t="s">
        <v>2019</v>
      </c>
    </row>
    <row r="3953" spans="1:10" ht="16.5" customHeight="1" x14ac:dyDescent="0.25">
      <c r="A3953" s="8" t="s">
        <v>1385</v>
      </c>
      <c r="B3953" s="8" t="s">
        <v>1387</v>
      </c>
      <c r="C3953" s="8" t="s">
        <v>1386</v>
      </c>
      <c r="D3953" s="8" t="s">
        <v>1387</v>
      </c>
      <c r="E3953" s="105">
        <v>9</v>
      </c>
      <c r="F3953" s="106" t="s">
        <v>2018</v>
      </c>
      <c r="G3953" s="8"/>
      <c r="H3953" s="8"/>
      <c r="I3953" s="107">
        <v>0</v>
      </c>
      <c r="J3953" s="8" t="s">
        <v>10697</v>
      </c>
    </row>
    <row r="3954" spans="1:10" ht="16.5" customHeight="1" x14ac:dyDescent="0.25">
      <c r="A3954" s="8" t="s">
        <v>12688</v>
      </c>
      <c r="B3954" s="8" t="s">
        <v>12689</v>
      </c>
      <c r="C3954" s="8" t="s">
        <v>12690</v>
      </c>
      <c r="D3954" s="8" t="s">
        <v>12689</v>
      </c>
      <c r="E3954" s="105">
        <v>3.76</v>
      </c>
      <c r="F3954" s="106" t="s">
        <v>2018</v>
      </c>
      <c r="G3954" s="8"/>
      <c r="H3954" s="8"/>
      <c r="I3954" s="107">
        <v>0</v>
      </c>
      <c r="J3954" s="8" t="s">
        <v>10697</v>
      </c>
    </row>
    <row r="3955" spans="1:10" ht="16.5" customHeight="1" x14ac:dyDescent="0.25">
      <c r="A3955" s="8" t="s">
        <v>1316</v>
      </c>
      <c r="B3955" s="8" t="s">
        <v>12691</v>
      </c>
      <c r="C3955" s="8" t="s">
        <v>12692</v>
      </c>
      <c r="D3955" s="8" t="s">
        <v>12691</v>
      </c>
      <c r="E3955" s="105">
        <v>15.04</v>
      </c>
      <c r="F3955" s="106" t="s">
        <v>2018</v>
      </c>
      <c r="G3955" s="8"/>
      <c r="H3955" s="8" t="s">
        <v>12688</v>
      </c>
      <c r="I3955" s="107">
        <v>4</v>
      </c>
      <c r="J3955" s="8" t="s">
        <v>10697</v>
      </c>
    </row>
    <row r="3956" spans="1:10" ht="16.5" customHeight="1" x14ac:dyDescent="0.25">
      <c r="A3956" s="8" t="s">
        <v>12693</v>
      </c>
      <c r="B3956" s="8" t="s">
        <v>12694</v>
      </c>
      <c r="C3956" s="8" t="s">
        <v>12695</v>
      </c>
      <c r="D3956" s="8" t="s">
        <v>12694</v>
      </c>
      <c r="E3956" s="105">
        <v>1.6E-2</v>
      </c>
      <c r="F3956" s="106" t="s">
        <v>2024</v>
      </c>
      <c r="G3956" s="8"/>
      <c r="H3956" s="8"/>
      <c r="I3956" s="107">
        <v>0</v>
      </c>
      <c r="J3956" s="8" t="s">
        <v>4789</v>
      </c>
    </row>
    <row r="3957" spans="1:10" ht="16.5" customHeight="1" x14ac:dyDescent="0.25">
      <c r="A3957" s="8" t="s">
        <v>12696</v>
      </c>
      <c r="B3957" s="8" t="s">
        <v>12697</v>
      </c>
      <c r="C3957" s="8" t="s">
        <v>12698</v>
      </c>
      <c r="D3957" s="8" t="s">
        <v>12697</v>
      </c>
      <c r="E3957" s="105">
        <v>1</v>
      </c>
      <c r="F3957" s="106" t="s">
        <v>2018</v>
      </c>
      <c r="G3957" s="8"/>
      <c r="H3957" s="8"/>
      <c r="I3957" s="107">
        <v>0</v>
      </c>
      <c r="J3957" s="8" t="s">
        <v>3695</v>
      </c>
    </row>
    <row r="3958" spans="1:10" ht="16.5" customHeight="1" x14ac:dyDescent="0.25">
      <c r="A3958" s="8" t="s">
        <v>12699</v>
      </c>
      <c r="B3958" s="8" t="s">
        <v>12700</v>
      </c>
      <c r="C3958" s="8" t="s">
        <v>9243</v>
      </c>
      <c r="D3958" s="8" t="s">
        <v>12700</v>
      </c>
      <c r="E3958" s="105">
        <v>0.2</v>
      </c>
      <c r="F3958" s="106" t="s">
        <v>2024</v>
      </c>
      <c r="G3958" s="8"/>
      <c r="H3958" s="8"/>
      <c r="I3958" s="107">
        <v>0</v>
      </c>
      <c r="J3958" s="8" t="s">
        <v>2019</v>
      </c>
    </row>
    <row r="3959" spans="1:10" ht="16.5" customHeight="1" x14ac:dyDescent="0.25">
      <c r="A3959" s="8" t="s">
        <v>12701</v>
      </c>
      <c r="B3959" s="8" t="s">
        <v>12702</v>
      </c>
      <c r="C3959" s="8" t="s">
        <v>12068</v>
      </c>
      <c r="D3959" s="8" t="s">
        <v>12702</v>
      </c>
      <c r="E3959" s="105">
        <v>10</v>
      </c>
      <c r="F3959" s="106" t="s">
        <v>2018</v>
      </c>
      <c r="G3959" s="8"/>
      <c r="H3959" s="8" t="s">
        <v>12703</v>
      </c>
      <c r="I3959" s="107">
        <v>10</v>
      </c>
      <c r="J3959" s="8" t="s">
        <v>3580</v>
      </c>
    </row>
    <row r="3960" spans="1:10" ht="16.5" customHeight="1" x14ac:dyDescent="0.25">
      <c r="A3960" s="8" t="s">
        <v>1748</v>
      </c>
      <c r="B3960" s="8" t="s">
        <v>1750</v>
      </c>
      <c r="C3960" s="8" t="s">
        <v>1749</v>
      </c>
      <c r="D3960" s="8" t="s">
        <v>1750</v>
      </c>
      <c r="E3960" s="105">
        <v>10</v>
      </c>
      <c r="F3960" s="106" t="s">
        <v>2018</v>
      </c>
      <c r="G3960" s="8"/>
      <c r="H3960" s="8" t="s">
        <v>12704</v>
      </c>
      <c r="I3960" s="107">
        <v>10</v>
      </c>
      <c r="J3960" s="8" t="s">
        <v>3580</v>
      </c>
    </row>
    <row r="3961" spans="1:10" ht="16.5" customHeight="1" x14ac:dyDescent="0.25">
      <c r="A3961" s="8" t="s">
        <v>1751</v>
      </c>
      <c r="B3961" s="8" t="s">
        <v>1753</v>
      </c>
      <c r="C3961" s="8" t="s">
        <v>1752</v>
      </c>
      <c r="D3961" s="8" t="s">
        <v>1753</v>
      </c>
      <c r="E3961" s="105">
        <v>10</v>
      </c>
      <c r="F3961" s="106" t="s">
        <v>2018</v>
      </c>
      <c r="G3961" s="8"/>
      <c r="H3961" s="8" t="s">
        <v>12705</v>
      </c>
      <c r="I3961" s="107">
        <v>20</v>
      </c>
      <c r="J3961" s="8" t="s">
        <v>3580</v>
      </c>
    </row>
    <row r="3962" spans="1:10" ht="16.5" customHeight="1" x14ac:dyDescent="0.25">
      <c r="A3962" s="8" t="s">
        <v>12706</v>
      </c>
      <c r="B3962" s="8" t="s">
        <v>12707</v>
      </c>
      <c r="C3962" s="8" t="s">
        <v>12708</v>
      </c>
      <c r="D3962" s="8" t="s">
        <v>12707</v>
      </c>
      <c r="E3962" s="105">
        <v>25</v>
      </c>
      <c r="F3962" s="106" t="s">
        <v>2018</v>
      </c>
      <c r="G3962" s="8"/>
      <c r="H3962" s="8"/>
      <c r="I3962" s="107">
        <v>0</v>
      </c>
      <c r="J3962" s="8" t="s">
        <v>3580</v>
      </c>
    </row>
    <row r="3963" spans="1:10" ht="16.5" customHeight="1" x14ac:dyDescent="0.25">
      <c r="A3963" s="8" t="s">
        <v>12709</v>
      </c>
      <c r="B3963" s="8" t="s">
        <v>12710</v>
      </c>
      <c r="C3963" s="8" t="s">
        <v>12711</v>
      </c>
      <c r="D3963" s="8" t="s">
        <v>12710</v>
      </c>
      <c r="E3963" s="105">
        <v>25</v>
      </c>
      <c r="F3963" s="106" t="s">
        <v>2018</v>
      </c>
      <c r="G3963" s="8"/>
      <c r="H3963" s="8"/>
      <c r="I3963" s="107">
        <v>0</v>
      </c>
      <c r="J3963" s="8" t="s">
        <v>3580</v>
      </c>
    </row>
    <row r="3964" spans="1:10" ht="16.5" customHeight="1" x14ac:dyDescent="0.25">
      <c r="A3964" s="8" t="s">
        <v>12712</v>
      </c>
      <c r="B3964" s="8" t="s">
        <v>12713</v>
      </c>
      <c r="C3964" s="8" t="s">
        <v>9852</v>
      </c>
      <c r="D3964" s="8" t="s">
        <v>12713</v>
      </c>
      <c r="E3964" s="105">
        <v>1</v>
      </c>
      <c r="F3964" s="106" t="s">
        <v>2018</v>
      </c>
      <c r="G3964" s="8"/>
      <c r="H3964" s="8"/>
      <c r="I3964" s="107">
        <v>0</v>
      </c>
      <c r="J3964" s="8" t="s">
        <v>3580</v>
      </c>
    </row>
    <row r="3965" spans="1:10" ht="16.5" customHeight="1" x14ac:dyDescent="0.25">
      <c r="A3965" s="8" t="s">
        <v>12714</v>
      </c>
      <c r="B3965" s="8" t="s">
        <v>12715</v>
      </c>
      <c r="C3965" s="8" t="s">
        <v>9775</v>
      </c>
      <c r="D3965" s="8" t="s">
        <v>12715</v>
      </c>
      <c r="E3965" s="105">
        <v>40</v>
      </c>
      <c r="F3965" s="106" t="s">
        <v>2018</v>
      </c>
      <c r="G3965" s="8"/>
      <c r="H3965" s="8"/>
      <c r="I3965" s="107">
        <v>0</v>
      </c>
      <c r="J3965" s="8" t="s">
        <v>3580</v>
      </c>
    </row>
    <row r="3966" spans="1:10" ht="16.5" customHeight="1" x14ac:dyDescent="0.25">
      <c r="A3966" s="8" t="s">
        <v>12716</v>
      </c>
      <c r="B3966" s="8" t="s">
        <v>12717</v>
      </c>
      <c r="C3966" s="8" t="s">
        <v>9521</v>
      </c>
      <c r="D3966" s="8" t="s">
        <v>12717</v>
      </c>
      <c r="E3966" s="105">
        <v>25</v>
      </c>
      <c r="F3966" s="106" t="s">
        <v>2018</v>
      </c>
      <c r="G3966" s="8"/>
      <c r="H3966" s="8"/>
      <c r="I3966" s="107">
        <v>0</v>
      </c>
      <c r="J3966" s="8" t="s">
        <v>3580</v>
      </c>
    </row>
    <row r="3967" spans="1:10" ht="16.5" customHeight="1" x14ac:dyDescent="0.25">
      <c r="A3967" s="8" t="s">
        <v>12718</v>
      </c>
      <c r="B3967" s="8" t="s">
        <v>12719</v>
      </c>
      <c r="C3967" s="8" t="s">
        <v>9521</v>
      </c>
      <c r="D3967" s="8" t="s">
        <v>12719</v>
      </c>
      <c r="E3967" s="105">
        <v>25</v>
      </c>
      <c r="F3967" s="106" t="s">
        <v>2018</v>
      </c>
      <c r="G3967" s="8"/>
      <c r="H3967" s="8"/>
      <c r="I3967" s="107">
        <v>0</v>
      </c>
      <c r="J3967" s="8" t="s">
        <v>3580</v>
      </c>
    </row>
    <row r="3968" spans="1:10" ht="16.5" customHeight="1" x14ac:dyDescent="0.25">
      <c r="A3968" s="8" t="s">
        <v>12720</v>
      </c>
      <c r="B3968" s="8" t="s">
        <v>12721</v>
      </c>
      <c r="C3968" s="8" t="s">
        <v>9743</v>
      </c>
      <c r="D3968" s="8" t="s">
        <v>12721</v>
      </c>
      <c r="E3968" s="105">
        <v>25</v>
      </c>
      <c r="F3968" s="106" t="s">
        <v>2018</v>
      </c>
      <c r="G3968" s="8"/>
      <c r="H3968" s="8"/>
      <c r="I3968" s="107">
        <v>0</v>
      </c>
      <c r="J3968" s="8" t="s">
        <v>3580</v>
      </c>
    </row>
    <row r="3969" spans="1:10" ht="16.5" customHeight="1" x14ac:dyDescent="0.25">
      <c r="A3969" s="8" t="s">
        <v>12722</v>
      </c>
      <c r="B3969" s="8" t="s">
        <v>12723</v>
      </c>
      <c r="C3969" s="8" t="s">
        <v>9521</v>
      </c>
      <c r="D3969" s="8" t="s">
        <v>12723</v>
      </c>
      <c r="E3969" s="105">
        <v>25</v>
      </c>
      <c r="F3969" s="106" t="s">
        <v>2018</v>
      </c>
      <c r="G3969" s="8"/>
      <c r="H3969" s="8"/>
      <c r="I3969" s="107">
        <v>0</v>
      </c>
      <c r="J3969" s="8" t="s">
        <v>3580</v>
      </c>
    </row>
    <row r="3970" spans="1:10" ht="16.5" customHeight="1" x14ac:dyDescent="0.25">
      <c r="A3970" s="8" t="s">
        <v>12724</v>
      </c>
      <c r="B3970" s="8" t="s">
        <v>12725</v>
      </c>
      <c r="C3970" s="8" t="s">
        <v>9760</v>
      </c>
      <c r="D3970" s="8" t="s">
        <v>12725</v>
      </c>
      <c r="E3970" s="105">
        <v>25</v>
      </c>
      <c r="F3970" s="106" t="s">
        <v>2018</v>
      </c>
      <c r="G3970" s="8"/>
      <c r="H3970" s="8"/>
      <c r="I3970" s="107">
        <v>0</v>
      </c>
      <c r="J3970" s="8" t="s">
        <v>3580</v>
      </c>
    </row>
    <row r="3971" spans="1:10" ht="16.5" customHeight="1" x14ac:dyDescent="0.25">
      <c r="A3971" s="8" t="s">
        <v>12726</v>
      </c>
      <c r="B3971" s="8" t="s">
        <v>12727</v>
      </c>
      <c r="C3971" s="8" t="s">
        <v>9788</v>
      </c>
      <c r="D3971" s="8" t="s">
        <v>12727</v>
      </c>
      <c r="E3971" s="105">
        <v>25</v>
      </c>
      <c r="F3971" s="106" t="s">
        <v>2018</v>
      </c>
      <c r="G3971" s="8"/>
      <c r="H3971" s="8"/>
      <c r="I3971" s="107">
        <v>0</v>
      </c>
      <c r="J3971" s="8" t="s">
        <v>3580</v>
      </c>
    </row>
    <row r="3972" spans="1:10" ht="16.5" customHeight="1" x14ac:dyDescent="0.25">
      <c r="A3972" s="8" t="s">
        <v>12728</v>
      </c>
      <c r="B3972" s="8" t="s">
        <v>12729</v>
      </c>
      <c r="C3972" s="8" t="s">
        <v>9521</v>
      </c>
      <c r="D3972" s="8" t="s">
        <v>12729</v>
      </c>
      <c r="E3972" s="105">
        <v>25</v>
      </c>
      <c r="F3972" s="106" t="s">
        <v>2018</v>
      </c>
      <c r="G3972" s="8"/>
      <c r="H3972" s="8"/>
      <c r="I3972" s="107">
        <v>0</v>
      </c>
      <c r="J3972" s="8" t="s">
        <v>3580</v>
      </c>
    </row>
    <row r="3973" spans="1:10" ht="16.5" customHeight="1" x14ac:dyDescent="0.25">
      <c r="A3973" s="8" t="s">
        <v>12730</v>
      </c>
      <c r="B3973" s="8" t="s">
        <v>12731</v>
      </c>
      <c r="C3973" s="8" t="s">
        <v>9521</v>
      </c>
      <c r="D3973" s="8" t="s">
        <v>12731</v>
      </c>
      <c r="E3973" s="105">
        <v>25</v>
      </c>
      <c r="F3973" s="106" t="s">
        <v>2018</v>
      </c>
      <c r="G3973" s="8"/>
      <c r="H3973" s="8"/>
      <c r="I3973" s="107">
        <v>0</v>
      </c>
      <c r="J3973" s="8" t="s">
        <v>3580</v>
      </c>
    </row>
    <row r="3974" spans="1:10" ht="16.5" customHeight="1" x14ac:dyDescent="0.25">
      <c r="A3974" s="8" t="s">
        <v>12732</v>
      </c>
      <c r="B3974" s="8" t="s">
        <v>12733</v>
      </c>
      <c r="C3974" s="8" t="s">
        <v>11053</v>
      </c>
      <c r="D3974" s="8" t="s">
        <v>12733</v>
      </c>
      <c r="E3974" s="105">
        <v>40</v>
      </c>
      <c r="F3974" s="106" t="s">
        <v>2018</v>
      </c>
      <c r="G3974" s="8"/>
      <c r="H3974" s="8"/>
      <c r="I3974" s="107">
        <v>0</v>
      </c>
      <c r="J3974" s="8" t="s">
        <v>3580</v>
      </c>
    </row>
    <row r="3975" spans="1:10" ht="16.5" customHeight="1" x14ac:dyDescent="0.25">
      <c r="A3975" s="8" t="s">
        <v>12734</v>
      </c>
      <c r="B3975" s="8" t="s">
        <v>12735</v>
      </c>
      <c r="C3975" s="8" t="s">
        <v>12736</v>
      </c>
      <c r="D3975" s="8" t="s">
        <v>12735</v>
      </c>
      <c r="E3975" s="105">
        <v>40</v>
      </c>
      <c r="F3975" s="106" t="s">
        <v>2018</v>
      </c>
      <c r="G3975" s="8"/>
      <c r="H3975" s="8"/>
      <c r="I3975" s="107">
        <v>0</v>
      </c>
      <c r="J3975" s="8" t="s">
        <v>3580</v>
      </c>
    </row>
    <row r="3976" spans="1:10" ht="16.5" customHeight="1" x14ac:dyDescent="0.25">
      <c r="A3976" s="8" t="s">
        <v>12737</v>
      </c>
      <c r="B3976" s="8" t="s">
        <v>12738</v>
      </c>
      <c r="C3976" s="8" t="s">
        <v>9819</v>
      </c>
      <c r="D3976" s="8" t="s">
        <v>12738</v>
      </c>
      <c r="E3976" s="105">
        <v>25</v>
      </c>
      <c r="F3976" s="106" t="s">
        <v>2018</v>
      </c>
      <c r="G3976" s="8"/>
      <c r="H3976" s="8"/>
      <c r="I3976" s="107">
        <v>0</v>
      </c>
      <c r="J3976" s="8" t="s">
        <v>3580</v>
      </c>
    </row>
    <row r="3977" spans="1:10" ht="16.5" customHeight="1" x14ac:dyDescent="0.25">
      <c r="A3977" s="8" t="s">
        <v>12739</v>
      </c>
      <c r="B3977" s="8" t="s">
        <v>12740</v>
      </c>
      <c r="C3977" s="8" t="s">
        <v>9645</v>
      </c>
      <c r="D3977" s="8" t="s">
        <v>12740</v>
      </c>
      <c r="E3977" s="105">
        <v>25</v>
      </c>
      <c r="F3977" s="106" t="s">
        <v>2018</v>
      </c>
      <c r="G3977" s="8"/>
      <c r="H3977" s="8"/>
      <c r="I3977" s="107">
        <v>0</v>
      </c>
      <c r="J3977" s="8" t="s">
        <v>3580</v>
      </c>
    </row>
    <row r="3978" spans="1:10" ht="16.5" customHeight="1" x14ac:dyDescent="0.25">
      <c r="A3978" s="8" t="s">
        <v>12741</v>
      </c>
      <c r="B3978" s="8" t="s">
        <v>12742</v>
      </c>
      <c r="C3978" s="8" t="s">
        <v>9795</v>
      </c>
      <c r="D3978" s="8" t="s">
        <v>12742</v>
      </c>
      <c r="E3978" s="105">
        <v>25</v>
      </c>
      <c r="F3978" s="106" t="s">
        <v>2018</v>
      </c>
      <c r="G3978" s="8"/>
      <c r="H3978" s="8"/>
      <c r="I3978" s="107">
        <v>0</v>
      </c>
      <c r="J3978" s="8" t="s">
        <v>3580</v>
      </c>
    </row>
    <row r="3979" spans="1:10" ht="16.5" customHeight="1" x14ac:dyDescent="0.25">
      <c r="A3979" s="8" t="s">
        <v>12743</v>
      </c>
      <c r="B3979" s="8" t="s">
        <v>12744</v>
      </c>
      <c r="C3979" s="8" t="s">
        <v>9521</v>
      </c>
      <c r="D3979" s="8" t="s">
        <v>12744</v>
      </c>
      <c r="E3979" s="105">
        <v>25</v>
      </c>
      <c r="F3979" s="106" t="s">
        <v>2018</v>
      </c>
      <c r="G3979" s="8"/>
      <c r="H3979" s="8"/>
      <c r="I3979" s="107">
        <v>0</v>
      </c>
      <c r="J3979" s="8" t="s">
        <v>3580</v>
      </c>
    </row>
    <row r="3980" spans="1:10" ht="16.5" customHeight="1" x14ac:dyDescent="0.25">
      <c r="A3980" s="8" t="s">
        <v>12745</v>
      </c>
      <c r="B3980" s="8" t="s">
        <v>12746</v>
      </c>
      <c r="C3980" s="8" t="s">
        <v>10437</v>
      </c>
      <c r="D3980" s="8" t="s">
        <v>12746</v>
      </c>
      <c r="E3980" s="105">
        <v>40</v>
      </c>
      <c r="F3980" s="106" t="s">
        <v>2018</v>
      </c>
      <c r="G3980" s="8"/>
      <c r="H3980" s="8"/>
      <c r="I3980" s="107">
        <v>0</v>
      </c>
      <c r="J3980" s="8" t="s">
        <v>3580</v>
      </c>
    </row>
    <row r="3981" spans="1:10" ht="16.5" customHeight="1" x14ac:dyDescent="0.25">
      <c r="A3981" s="8" t="s">
        <v>12747</v>
      </c>
      <c r="B3981" s="8" t="s">
        <v>12748</v>
      </c>
      <c r="C3981" s="8" t="s">
        <v>10434</v>
      </c>
      <c r="D3981" s="8" t="s">
        <v>12748</v>
      </c>
      <c r="E3981" s="105">
        <v>40</v>
      </c>
      <c r="F3981" s="106" t="s">
        <v>2018</v>
      </c>
      <c r="G3981" s="8"/>
      <c r="H3981" s="8"/>
      <c r="I3981" s="107">
        <v>0</v>
      </c>
      <c r="J3981" s="8" t="s">
        <v>3580</v>
      </c>
    </row>
    <row r="3982" spans="1:10" ht="16.5" customHeight="1" x14ac:dyDescent="0.25">
      <c r="A3982" s="8" t="s">
        <v>12749</v>
      </c>
      <c r="B3982" s="8" t="s">
        <v>12750</v>
      </c>
      <c r="C3982" s="8" t="s">
        <v>9821</v>
      </c>
      <c r="D3982" s="8" t="s">
        <v>12750</v>
      </c>
      <c r="E3982" s="105">
        <v>25</v>
      </c>
      <c r="F3982" s="106" t="s">
        <v>2018</v>
      </c>
      <c r="G3982" s="8"/>
      <c r="H3982" s="8"/>
      <c r="I3982" s="107">
        <v>0</v>
      </c>
      <c r="J3982" s="8" t="s">
        <v>3580</v>
      </c>
    </row>
    <row r="3983" spans="1:10" ht="16.5" customHeight="1" x14ac:dyDescent="0.25">
      <c r="A3983" s="8" t="s">
        <v>12751</v>
      </c>
      <c r="B3983" s="8" t="s">
        <v>12752</v>
      </c>
      <c r="C3983" s="8" t="s">
        <v>9805</v>
      </c>
      <c r="D3983" s="8" t="s">
        <v>12752</v>
      </c>
      <c r="E3983" s="105">
        <v>25</v>
      </c>
      <c r="F3983" s="106" t="s">
        <v>2018</v>
      </c>
      <c r="G3983" s="8"/>
      <c r="H3983" s="8"/>
      <c r="I3983" s="107">
        <v>0</v>
      </c>
      <c r="J3983" s="8" t="s">
        <v>3580</v>
      </c>
    </row>
    <row r="3984" spans="1:10" ht="16.5" customHeight="1" x14ac:dyDescent="0.25">
      <c r="A3984" s="8" t="s">
        <v>12753</v>
      </c>
      <c r="B3984" s="8" t="s">
        <v>12754</v>
      </c>
      <c r="C3984" s="8" t="s">
        <v>9775</v>
      </c>
      <c r="D3984" s="8" t="s">
        <v>12754</v>
      </c>
      <c r="E3984" s="105">
        <v>40</v>
      </c>
      <c r="F3984" s="106" t="s">
        <v>2018</v>
      </c>
      <c r="G3984" s="8"/>
      <c r="H3984" s="8"/>
      <c r="I3984" s="107">
        <v>0</v>
      </c>
      <c r="J3984" s="8" t="s">
        <v>3580</v>
      </c>
    </row>
    <row r="3985" spans="1:10" ht="16.5" customHeight="1" x14ac:dyDescent="0.25">
      <c r="A3985" s="8" t="s">
        <v>12755</v>
      </c>
      <c r="B3985" s="8" t="s">
        <v>12756</v>
      </c>
      <c r="C3985" s="8" t="s">
        <v>9767</v>
      </c>
      <c r="D3985" s="8" t="s">
        <v>12756</v>
      </c>
      <c r="E3985" s="105">
        <v>40</v>
      </c>
      <c r="F3985" s="106" t="s">
        <v>2018</v>
      </c>
      <c r="G3985" s="8"/>
      <c r="H3985" s="8"/>
      <c r="I3985" s="107">
        <v>0</v>
      </c>
      <c r="J3985" s="8" t="s">
        <v>3580</v>
      </c>
    </row>
    <row r="3986" spans="1:10" ht="16.5" customHeight="1" x14ac:dyDescent="0.25">
      <c r="A3986" s="8" t="s">
        <v>12757</v>
      </c>
      <c r="B3986" s="8" t="s">
        <v>12758</v>
      </c>
      <c r="C3986" s="8" t="s">
        <v>9813</v>
      </c>
      <c r="D3986" s="8" t="s">
        <v>12758</v>
      </c>
      <c r="E3986" s="105">
        <v>25</v>
      </c>
      <c r="F3986" s="106" t="s">
        <v>2018</v>
      </c>
      <c r="G3986" s="8"/>
      <c r="H3986" s="8"/>
      <c r="I3986" s="107">
        <v>0</v>
      </c>
      <c r="J3986" s="8" t="s">
        <v>3580</v>
      </c>
    </row>
    <row r="3987" spans="1:10" ht="16.5" customHeight="1" x14ac:dyDescent="0.25">
      <c r="A3987" s="8" t="s">
        <v>12759</v>
      </c>
      <c r="B3987" s="8" t="s">
        <v>12760</v>
      </c>
      <c r="C3987" s="8" t="s">
        <v>9775</v>
      </c>
      <c r="D3987" s="8" t="s">
        <v>12760</v>
      </c>
      <c r="E3987" s="105">
        <v>40</v>
      </c>
      <c r="F3987" s="106" t="s">
        <v>2018</v>
      </c>
      <c r="G3987" s="8"/>
      <c r="H3987" s="8"/>
      <c r="I3987" s="107">
        <v>0</v>
      </c>
      <c r="J3987" s="8" t="s">
        <v>3580</v>
      </c>
    </row>
    <row r="3988" spans="1:10" ht="16.5" customHeight="1" x14ac:dyDescent="0.25">
      <c r="A3988" s="8" t="s">
        <v>12761</v>
      </c>
      <c r="B3988" s="8" t="s">
        <v>12762</v>
      </c>
      <c r="C3988" s="8" t="s">
        <v>9802</v>
      </c>
      <c r="D3988" s="8" t="s">
        <v>12762</v>
      </c>
      <c r="E3988" s="105">
        <v>25</v>
      </c>
      <c r="F3988" s="106" t="s">
        <v>2018</v>
      </c>
      <c r="G3988" s="8"/>
      <c r="H3988" s="8"/>
      <c r="I3988" s="107">
        <v>0</v>
      </c>
      <c r="J3988" s="8" t="s">
        <v>3580</v>
      </c>
    </row>
    <row r="3989" spans="1:10" ht="16.5" customHeight="1" x14ac:dyDescent="0.25">
      <c r="A3989" s="8" t="s">
        <v>12763</v>
      </c>
      <c r="B3989" s="8" t="s">
        <v>12764</v>
      </c>
      <c r="C3989" s="8" t="s">
        <v>9767</v>
      </c>
      <c r="D3989" s="8" t="s">
        <v>12764</v>
      </c>
      <c r="E3989" s="105">
        <v>40</v>
      </c>
      <c r="F3989" s="106" t="s">
        <v>2018</v>
      </c>
      <c r="G3989" s="8"/>
      <c r="H3989" s="8"/>
      <c r="I3989" s="107">
        <v>0</v>
      </c>
      <c r="J3989" s="8" t="s">
        <v>3580</v>
      </c>
    </row>
    <row r="3990" spans="1:10" ht="16.5" customHeight="1" x14ac:dyDescent="0.25">
      <c r="A3990" s="8" t="s">
        <v>12765</v>
      </c>
      <c r="B3990" s="8" t="s">
        <v>12766</v>
      </c>
      <c r="C3990" s="8" t="s">
        <v>12108</v>
      </c>
      <c r="D3990" s="8" t="s">
        <v>12766</v>
      </c>
      <c r="E3990" s="105">
        <v>1</v>
      </c>
      <c r="F3990" s="106" t="s">
        <v>2018</v>
      </c>
      <c r="G3990" s="8"/>
      <c r="H3990" s="8"/>
      <c r="I3990" s="107">
        <v>0</v>
      </c>
      <c r="J3990" s="8" t="s">
        <v>3580</v>
      </c>
    </row>
    <row r="3991" spans="1:10" ht="16.5" customHeight="1" x14ac:dyDescent="0.25">
      <c r="A3991" s="8" t="s">
        <v>12767</v>
      </c>
      <c r="B3991" s="8" t="s">
        <v>12768</v>
      </c>
      <c r="C3991" s="8" t="s">
        <v>9645</v>
      </c>
      <c r="D3991" s="8" t="s">
        <v>12768</v>
      </c>
      <c r="E3991" s="105">
        <v>25</v>
      </c>
      <c r="F3991" s="106" t="s">
        <v>2018</v>
      </c>
      <c r="G3991" s="8"/>
      <c r="H3991" s="8"/>
      <c r="I3991" s="107">
        <v>0</v>
      </c>
      <c r="J3991" s="8" t="s">
        <v>3580</v>
      </c>
    </row>
    <row r="3992" spans="1:10" ht="16.5" customHeight="1" x14ac:dyDescent="0.25">
      <c r="A3992" s="8" t="s">
        <v>12769</v>
      </c>
      <c r="B3992" s="8" t="s">
        <v>12770</v>
      </c>
      <c r="C3992" s="8" t="s">
        <v>9743</v>
      </c>
      <c r="D3992" s="8" t="s">
        <v>12770</v>
      </c>
      <c r="E3992" s="105">
        <v>25</v>
      </c>
      <c r="F3992" s="106" t="s">
        <v>2018</v>
      </c>
      <c r="G3992" s="8"/>
      <c r="H3992" s="8"/>
      <c r="I3992" s="107">
        <v>0</v>
      </c>
      <c r="J3992" s="8" t="s">
        <v>3580</v>
      </c>
    </row>
    <row r="3993" spans="1:10" ht="16.5" customHeight="1" x14ac:dyDescent="0.25">
      <c r="A3993" s="8" t="s">
        <v>12771</v>
      </c>
      <c r="B3993" s="8" t="s">
        <v>12772</v>
      </c>
      <c r="C3993" s="8" t="s">
        <v>9795</v>
      </c>
      <c r="D3993" s="8" t="s">
        <v>12772</v>
      </c>
      <c r="E3993" s="105">
        <v>25</v>
      </c>
      <c r="F3993" s="106" t="s">
        <v>2018</v>
      </c>
      <c r="G3993" s="8"/>
      <c r="H3993" s="8"/>
      <c r="I3993" s="107">
        <v>0</v>
      </c>
      <c r="J3993" s="8" t="s">
        <v>3580</v>
      </c>
    </row>
    <row r="3994" spans="1:10" ht="16.5" customHeight="1" x14ac:dyDescent="0.25">
      <c r="A3994" s="8" t="s">
        <v>12773</v>
      </c>
      <c r="B3994" s="8" t="s">
        <v>12774</v>
      </c>
      <c r="C3994" s="8" t="s">
        <v>9821</v>
      </c>
      <c r="D3994" s="8" t="s">
        <v>12774</v>
      </c>
      <c r="E3994" s="105">
        <v>25</v>
      </c>
      <c r="F3994" s="106" t="s">
        <v>2018</v>
      </c>
      <c r="G3994" s="8"/>
      <c r="H3994" s="8"/>
      <c r="I3994" s="107">
        <v>0</v>
      </c>
      <c r="J3994" s="8" t="s">
        <v>3580</v>
      </c>
    </row>
    <row r="3995" spans="1:10" ht="16.5" customHeight="1" x14ac:dyDescent="0.25">
      <c r="A3995" s="8" t="s">
        <v>12775</v>
      </c>
      <c r="B3995" s="8" t="s">
        <v>12776</v>
      </c>
      <c r="C3995" s="8" t="s">
        <v>9813</v>
      </c>
      <c r="D3995" s="8" t="s">
        <v>12776</v>
      </c>
      <c r="E3995" s="105">
        <v>25</v>
      </c>
      <c r="F3995" s="106" t="s">
        <v>2024</v>
      </c>
      <c r="G3995" s="8"/>
      <c r="H3995" s="8"/>
      <c r="I3995" s="107">
        <v>0</v>
      </c>
      <c r="J3995" s="8" t="s">
        <v>3580</v>
      </c>
    </row>
    <row r="3996" spans="1:10" ht="16.5" customHeight="1" x14ac:dyDescent="0.25">
      <c r="A3996" s="8" t="s">
        <v>12777</v>
      </c>
      <c r="B3996" s="8" t="s">
        <v>12778</v>
      </c>
      <c r="C3996" s="8" t="s">
        <v>7427</v>
      </c>
      <c r="D3996" s="8" t="s">
        <v>12778</v>
      </c>
      <c r="E3996" s="105">
        <v>25</v>
      </c>
      <c r="F3996" s="106" t="s">
        <v>2018</v>
      </c>
      <c r="G3996" s="8"/>
      <c r="H3996" s="8"/>
      <c r="I3996" s="107">
        <v>0</v>
      </c>
      <c r="J3996" s="8" t="s">
        <v>3580</v>
      </c>
    </row>
    <row r="3997" spans="1:10" ht="16.5" customHeight="1" x14ac:dyDescent="0.25">
      <c r="A3997" s="8" t="s">
        <v>12779</v>
      </c>
      <c r="B3997" s="8" t="s">
        <v>12780</v>
      </c>
      <c r="C3997" s="8" t="s">
        <v>9743</v>
      </c>
      <c r="D3997" s="8" t="s">
        <v>12780</v>
      </c>
      <c r="E3997" s="105">
        <v>25</v>
      </c>
      <c r="F3997" s="106" t="s">
        <v>2018</v>
      </c>
      <c r="G3997" s="8"/>
      <c r="H3997" s="8"/>
      <c r="I3997" s="107">
        <v>0</v>
      </c>
      <c r="J3997" s="8" t="s">
        <v>3580</v>
      </c>
    </row>
    <row r="3998" spans="1:10" ht="16.5" customHeight="1" x14ac:dyDescent="0.25">
      <c r="A3998" s="8" t="s">
        <v>12781</v>
      </c>
      <c r="B3998" s="8" t="s">
        <v>12782</v>
      </c>
      <c r="C3998" s="8" t="s">
        <v>9778</v>
      </c>
      <c r="D3998" s="8" t="s">
        <v>12782</v>
      </c>
      <c r="E3998" s="105">
        <v>25</v>
      </c>
      <c r="F3998" s="106" t="s">
        <v>2018</v>
      </c>
      <c r="G3998" s="8"/>
      <c r="H3998" s="8"/>
      <c r="I3998" s="107">
        <v>0</v>
      </c>
      <c r="J3998" s="8" t="s">
        <v>3580</v>
      </c>
    </row>
    <row r="3999" spans="1:10" ht="16.5" customHeight="1" x14ac:dyDescent="0.25">
      <c r="A3999" s="8" t="s">
        <v>12783</v>
      </c>
      <c r="B3999" s="8" t="s">
        <v>12784</v>
      </c>
      <c r="C3999" s="8" t="s">
        <v>9521</v>
      </c>
      <c r="D3999" s="8" t="s">
        <v>12784</v>
      </c>
      <c r="E3999" s="105">
        <v>25</v>
      </c>
      <c r="F3999" s="106" t="s">
        <v>2018</v>
      </c>
      <c r="G3999" s="8"/>
      <c r="H3999" s="8"/>
      <c r="I3999" s="107">
        <v>0</v>
      </c>
      <c r="J3999" s="8" t="s">
        <v>3580</v>
      </c>
    </row>
    <row r="4000" spans="1:10" ht="16.5" customHeight="1" x14ac:dyDescent="0.25">
      <c r="A4000" s="8" t="s">
        <v>12785</v>
      </c>
      <c r="B4000" s="8" t="s">
        <v>12786</v>
      </c>
      <c r="C4000" s="8" t="s">
        <v>9521</v>
      </c>
      <c r="D4000" s="8" t="s">
        <v>12786</v>
      </c>
      <c r="E4000" s="105">
        <v>25</v>
      </c>
      <c r="F4000" s="106" t="s">
        <v>2018</v>
      </c>
      <c r="G4000" s="8"/>
      <c r="H4000" s="8"/>
      <c r="I4000" s="107">
        <v>0</v>
      </c>
      <c r="J4000" s="8" t="s">
        <v>3580</v>
      </c>
    </row>
    <row r="4001" spans="1:10" ht="16.5" customHeight="1" x14ac:dyDescent="0.25">
      <c r="A4001" s="8" t="s">
        <v>12787</v>
      </c>
      <c r="B4001" s="8" t="s">
        <v>12788</v>
      </c>
      <c r="C4001" s="8" t="s">
        <v>9837</v>
      </c>
      <c r="D4001" s="8" t="s">
        <v>12788</v>
      </c>
      <c r="E4001" s="105">
        <v>25</v>
      </c>
      <c r="F4001" s="106" t="s">
        <v>2018</v>
      </c>
      <c r="G4001" s="8"/>
      <c r="H4001" s="8"/>
      <c r="I4001" s="107">
        <v>0</v>
      </c>
      <c r="J4001" s="8" t="s">
        <v>3580</v>
      </c>
    </row>
    <row r="4002" spans="1:10" ht="16.5" customHeight="1" x14ac:dyDescent="0.25">
      <c r="A4002" s="8" t="s">
        <v>12789</v>
      </c>
      <c r="B4002" s="8" t="s">
        <v>12790</v>
      </c>
      <c r="C4002" s="8" t="s">
        <v>11963</v>
      </c>
      <c r="D4002" s="8" t="s">
        <v>12790</v>
      </c>
      <c r="E4002" s="105">
        <v>40</v>
      </c>
      <c r="F4002" s="106" t="s">
        <v>2018</v>
      </c>
      <c r="G4002" s="8"/>
      <c r="H4002" s="8"/>
      <c r="I4002" s="107">
        <v>0</v>
      </c>
      <c r="J4002" s="8" t="s">
        <v>3580</v>
      </c>
    </row>
    <row r="4003" spans="1:10" ht="16.5" customHeight="1" x14ac:dyDescent="0.25">
      <c r="A4003" s="8" t="s">
        <v>12791</v>
      </c>
      <c r="B4003" s="8" t="s">
        <v>12792</v>
      </c>
      <c r="C4003" s="8" t="s">
        <v>10645</v>
      </c>
      <c r="D4003" s="8" t="s">
        <v>12792</v>
      </c>
      <c r="E4003" s="105">
        <v>25</v>
      </c>
      <c r="F4003" s="106" t="s">
        <v>2018</v>
      </c>
      <c r="G4003" s="8"/>
      <c r="H4003" s="8"/>
      <c r="I4003" s="107">
        <v>0</v>
      </c>
      <c r="J4003" s="8" t="s">
        <v>3580</v>
      </c>
    </row>
    <row r="4004" spans="1:10" ht="16.5" customHeight="1" x14ac:dyDescent="0.25">
      <c r="A4004" s="8" t="s">
        <v>12703</v>
      </c>
      <c r="B4004" s="8" t="s">
        <v>12793</v>
      </c>
      <c r="C4004" s="8" t="s">
        <v>12071</v>
      </c>
      <c r="D4004" s="8" t="s">
        <v>12793</v>
      </c>
      <c r="E4004" s="105">
        <v>1</v>
      </c>
      <c r="F4004" s="106" t="s">
        <v>2018</v>
      </c>
      <c r="G4004" s="8"/>
      <c r="H4004" s="8"/>
      <c r="I4004" s="107">
        <v>0</v>
      </c>
      <c r="J4004" s="8" t="s">
        <v>3580</v>
      </c>
    </row>
    <row r="4005" spans="1:10" ht="16.5" customHeight="1" x14ac:dyDescent="0.25">
      <c r="A4005" s="8" t="s">
        <v>12705</v>
      </c>
      <c r="B4005" s="8" t="s">
        <v>12794</v>
      </c>
      <c r="C4005" s="8" t="s">
        <v>10683</v>
      </c>
      <c r="D4005" s="8" t="s">
        <v>12794</v>
      </c>
      <c r="E4005" s="105">
        <v>0.5</v>
      </c>
      <c r="F4005" s="106" t="s">
        <v>2018</v>
      </c>
      <c r="G4005" s="8"/>
      <c r="H4005" s="8"/>
      <c r="I4005" s="107">
        <v>0</v>
      </c>
      <c r="J4005" s="8" t="s">
        <v>3580</v>
      </c>
    </row>
    <row r="4006" spans="1:10" ht="16.5" customHeight="1" x14ac:dyDescent="0.25">
      <c r="A4006" s="8" t="s">
        <v>12704</v>
      </c>
      <c r="B4006" s="8" t="s">
        <v>12795</v>
      </c>
      <c r="C4006" s="8" t="s">
        <v>10849</v>
      </c>
      <c r="D4006" s="8" t="s">
        <v>12795</v>
      </c>
      <c r="E4006" s="105">
        <v>1</v>
      </c>
      <c r="F4006" s="106" t="s">
        <v>2018</v>
      </c>
      <c r="G4006" s="8"/>
      <c r="H4006" s="8"/>
      <c r="I4006" s="107">
        <v>0</v>
      </c>
      <c r="J4006" s="8" t="s">
        <v>3580</v>
      </c>
    </row>
    <row r="4007" spans="1:10" ht="16.5" customHeight="1" x14ac:dyDescent="0.25">
      <c r="A4007" s="8" t="s">
        <v>12796</v>
      </c>
      <c r="B4007" s="8" t="s">
        <v>12797</v>
      </c>
      <c r="C4007" s="8" t="s">
        <v>12798</v>
      </c>
      <c r="D4007" s="8" t="s">
        <v>12797</v>
      </c>
      <c r="E4007" s="105">
        <v>25</v>
      </c>
      <c r="F4007" s="106" t="s">
        <v>2018</v>
      </c>
      <c r="G4007" s="8"/>
      <c r="H4007" s="8"/>
      <c r="I4007" s="107">
        <v>0</v>
      </c>
      <c r="J4007" s="8" t="s">
        <v>3580</v>
      </c>
    </row>
    <row r="4008" spans="1:10" ht="16.5" customHeight="1" x14ac:dyDescent="0.25">
      <c r="A4008" s="8" t="s">
        <v>12799</v>
      </c>
      <c r="B4008" s="8" t="s">
        <v>12800</v>
      </c>
      <c r="C4008" s="8" t="s">
        <v>11308</v>
      </c>
      <c r="D4008" s="8" t="s">
        <v>12800</v>
      </c>
      <c r="E4008" s="105">
        <v>25</v>
      </c>
      <c r="F4008" s="106" t="s">
        <v>2018</v>
      </c>
      <c r="G4008" s="8"/>
      <c r="H4008" s="8"/>
      <c r="I4008" s="107">
        <v>0</v>
      </c>
      <c r="J4008" s="8" t="s">
        <v>3580</v>
      </c>
    </row>
    <row r="4009" spans="1:10" ht="16.5" customHeight="1" x14ac:dyDescent="0.25">
      <c r="A4009" s="8" t="s">
        <v>12801</v>
      </c>
      <c r="B4009" s="8" t="s">
        <v>12802</v>
      </c>
      <c r="C4009" s="8" t="s">
        <v>10499</v>
      </c>
      <c r="D4009" s="8" t="s">
        <v>12802</v>
      </c>
      <c r="E4009" s="105">
        <v>25</v>
      </c>
      <c r="F4009" s="106" t="s">
        <v>2018</v>
      </c>
      <c r="G4009" s="8"/>
      <c r="H4009" s="8"/>
      <c r="I4009" s="107">
        <v>0</v>
      </c>
      <c r="J4009" s="8" t="s">
        <v>3580</v>
      </c>
    </row>
    <row r="4010" spans="1:10" ht="16.5" customHeight="1" x14ac:dyDescent="0.25">
      <c r="A4010" s="8" t="s">
        <v>12803</v>
      </c>
      <c r="B4010" s="8" t="s">
        <v>12804</v>
      </c>
      <c r="C4010" s="8" t="s">
        <v>9813</v>
      </c>
      <c r="D4010" s="8" t="s">
        <v>12804</v>
      </c>
      <c r="E4010" s="105">
        <v>25</v>
      </c>
      <c r="F4010" s="106" t="s">
        <v>2018</v>
      </c>
      <c r="G4010" s="8"/>
      <c r="H4010" s="8"/>
      <c r="I4010" s="107">
        <v>0</v>
      </c>
      <c r="J4010" s="8" t="s">
        <v>3580</v>
      </c>
    </row>
    <row r="4011" spans="1:10" ht="16.5" customHeight="1" x14ac:dyDescent="0.25">
      <c r="A4011" s="8" t="s">
        <v>12805</v>
      </c>
      <c r="B4011" s="8" t="s">
        <v>12806</v>
      </c>
      <c r="C4011" s="8" t="s">
        <v>10550</v>
      </c>
      <c r="D4011" s="8" t="s">
        <v>12806</v>
      </c>
      <c r="E4011" s="105">
        <v>5</v>
      </c>
      <c r="F4011" s="106" t="s">
        <v>2018</v>
      </c>
      <c r="G4011" s="8"/>
      <c r="H4011" s="8"/>
      <c r="I4011" s="107">
        <v>0</v>
      </c>
      <c r="J4011" s="8" t="s">
        <v>3580</v>
      </c>
    </row>
    <row r="4012" spans="1:10" ht="16.5" customHeight="1" x14ac:dyDescent="0.25">
      <c r="A4012" s="8" t="s">
        <v>12807</v>
      </c>
      <c r="B4012" s="8" t="s">
        <v>12808</v>
      </c>
      <c r="C4012" s="8" t="s">
        <v>10502</v>
      </c>
      <c r="D4012" s="8" t="s">
        <v>12808</v>
      </c>
      <c r="E4012" s="105">
        <v>25</v>
      </c>
      <c r="F4012" s="106" t="s">
        <v>2018</v>
      </c>
      <c r="G4012" s="8"/>
      <c r="H4012" s="8"/>
      <c r="I4012" s="107">
        <v>0</v>
      </c>
      <c r="J4012" s="8" t="s">
        <v>3580</v>
      </c>
    </row>
    <row r="4013" spans="1:10" ht="16.5" customHeight="1" x14ac:dyDescent="0.25">
      <c r="A4013" s="8" t="s">
        <v>12809</v>
      </c>
      <c r="B4013" s="8" t="s">
        <v>12810</v>
      </c>
      <c r="C4013" s="8" t="s">
        <v>10505</v>
      </c>
      <c r="D4013" s="8" t="s">
        <v>12810</v>
      </c>
      <c r="E4013" s="105">
        <v>25</v>
      </c>
      <c r="F4013" s="106" t="s">
        <v>2018</v>
      </c>
      <c r="G4013" s="8"/>
      <c r="H4013" s="8"/>
      <c r="I4013" s="107">
        <v>0</v>
      </c>
      <c r="J4013" s="8" t="s">
        <v>3580</v>
      </c>
    </row>
    <row r="4014" spans="1:10" ht="16.5" customHeight="1" x14ac:dyDescent="0.25">
      <c r="A4014" s="8" t="s">
        <v>12811</v>
      </c>
      <c r="B4014" s="8" t="s">
        <v>12812</v>
      </c>
      <c r="C4014" s="8" t="s">
        <v>12813</v>
      </c>
      <c r="D4014" s="8" t="s">
        <v>12812</v>
      </c>
      <c r="E4014" s="105">
        <v>25</v>
      </c>
      <c r="F4014" s="106" t="s">
        <v>2018</v>
      </c>
      <c r="G4014" s="8"/>
      <c r="H4014" s="8"/>
      <c r="I4014" s="107">
        <v>0</v>
      </c>
      <c r="J4014" s="8" t="s">
        <v>3580</v>
      </c>
    </row>
    <row r="4015" spans="1:10" ht="16.5" customHeight="1" x14ac:dyDescent="0.25">
      <c r="A4015" s="8" t="s">
        <v>12814</v>
      </c>
      <c r="B4015" s="8" t="s">
        <v>12815</v>
      </c>
      <c r="C4015" s="8" t="s">
        <v>12816</v>
      </c>
      <c r="D4015" s="8" t="s">
        <v>12815</v>
      </c>
      <c r="E4015" s="105">
        <v>5</v>
      </c>
      <c r="F4015" s="106" t="s">
        <v>2018</v>
      </c>
      <c r="G4015" s="8"/>
      <c r="H4015" s="8"/>
      <c r="I4015" s="107">
        <v>0</v>
      </c>
      <c r="J4015" s="8" t="s">
        <v>3580</v>
      </c>
    </row>
    <row r="4016" spans="1:10" ht="16.5" customHeight="1" x14ac:dyDescent="0.25">
      <c r="A4016" s="8" t="s">
        <v>12817</v>
      </c>
      <c r="B4016" s="8" t="s">
        <v>12818</v>
      </c>
      <c r="C4016" s="8" t="s">
        <v>10514</v>
      </c>
      <c r="D4016" s="8" t="s">
        <v>12818</v>
      </c>
      <c r="E4016" s="105">
        <v>25</v>
      </c>
      <c r="F4016" s="106" t="s">
        <v>2018</v>
      </c>
      <c r="G4016" s="8"/>
      <c r="H4016" s="8"/>
      <c r="I4016" s="107">
        <v>0</v>
      </c>
      <c r="J4016" s="8" t="s">
        <v>3580</v>
      </c>
    </row>
    <row r="4017" spans="1:10" ht="16.5" customHeight="1" x14ac:dyDescent="0.25">
      <c r="A4017" s="8" t="s">
        <v>12819</v>
      </c>
      <c r="B4017" s="8" t="s">
        <v>12820</v>
      </c>
      <c r="C4017" s="8" t="s">
        <v>9810</v>
      </c>
      <c r="D4017" s="8" t="s">
        <v>12820</v>
      </c>
      <c r="E4017" s="105">
        <v>25</v>
      </c>
      <c r="F4017" s="106" t="s">
        <v>2018</v>
      </c>
      <c r="G4017" s="8"/>
      <c r="H4017" s="8"/>
      <c r="I4017" s="107">
        <v>0</v>
      </c>
      <c r="J4017" s="8" t="s">
        <v>3580</v>
      </c>
    </row>
    <row r="4018" spans="1:10" ht="16.5" customHeight="1" x14ac:dyDescent="0.25">
      <c r="A4018" s="8" t="s">
        <v>12821</v>
      </c>
      <c r="B4018" s="8" t="s">
        <v>12822</v>
      </c>
      <c r="C4018" s="8" t="s">
        <v>9810</v>
      </c>
      <c r="D4018" s="8" t="s">
        <v>12822</v>
      </c>
      <c r="E4018" s="105">
        <v>25</v>
      </c>
      <c r="F4018" s="106" t="s">
        <v>2018</v>
      </c>
      <c r="G4018" s="8"/>
      <c r="H4018" s="8"/>
      <c r="I4018" s="107">
        <v>0</v>
      </c>
      <c r="J4018" s="8" t="s">
        <v>3580</v>
      </c>
    </row>
    <row r="4019" spans="1:10" ht="16.5" customHeight="1" x14ac:dyDescent="0.25">
      <c r="A4019" s="8" t="s">
        <v>12823</v>
      </c>
      <c r="B4019" s="8" t="s">
        <v>12824</v>
      </c>
      <c r="C4019" s="8" t="s">
        <v>10553</v>
      </c>
      <c r="D4019" s="8" t="s">
        <v>12824</v>
      </c>
      <c r="E4019" s="105">
        <v>5</v>
      </c>
      <c r="F4019" s="106" t="s">
        <v>2018</v>
      </c>
      <c r="G4019" s="8"/>
      <c r="H4019" s="8"/>
      <c r="I4019" s="107">
        <v>0</v>
      </c>
      <c r="J4019" s="8" t="s">
        <v>3580</v>
      </c>
    </row>
    <row r="4020" spans="1:10" ht="16.5" customHeight="1" x14ac:dyDescent="0.25">
      <c r="A4020" s="8" t="s">
        <v>12825</v>
      </c>
      <c r="B4020" s="8" t="s">
        <v>12826</v>
      </c>
      <c r="C4020" s="8" t="s">
        <v>10476</v>
      </c>
      <c r="D4020" s="8" t="s">
        <v>12826</v>
      </c>
      <c r="E4020" s="105">
        <v>25</v>
      </c>
      <c r="F4020" s="106" t="s">
        <v>2018</v>
      </c>
      <c r="G4020" s="8"/>
      <c r="H4020" s="8"/>
      <c r="I4020" s="107">
        <v>0</v>
      </c>
      <c r="J4020" s="8" t="s">
        <v>3580</v>
      </c>
    </row>
    <row r="4021" spans="1:10" ht="16.5" customHeight="1" x14ac:dyDescent="0.25">
      <c r="A4021" s="8" t="s">
        <v>12827</v>
      </c>
      <c r="B4021" s="8" t="s">
        <v>12828</v>
      </c>
      <c r="C4021" s="8" t="s">
        <v>10556</v>
      </c>
      <c r="D4021" s="8" t="s">
        <v>12828</v>
      </c>
      <c r="E4021" s="105">
        <v>5</v>
      </c>
      <c r="F4021" s="106" t="s">
        <v>2018</v>
      </c>
      <c r="G4021" s="8"/>
      <c r="H4021" s="8"/>
      <c r="I4021" s="107">
        <v>0</v>
      </c>
      <c r="J4021" s="8" t="s">
        <v>3580</v>
      </c>
    </row>
    <row r="4022" spans="1:10" ht="16.5" customHeight="1" x14ac:dyDescent="0.25">
      <c r="A4022" s="8" t="s">
        <v>12829</v>
      </c>
      <c r="B4022" s="8" t="s">
        <v>12830</v>
      </c>
      <c r="C4022" s="8" t="s">
        <v>9645</v>
      </c>
      <c r="D4022" s="8" t="s">
        <v>12830</v>
      </c>
      <c r="E4022" s="105">
        <v>25</v>
      </c>
      <c r="F4022" s="106" t="s">
        <v>2018</v>
      </c>
      <c r="G4022" s="8"/>
      <c r="H4022" s="8"/>
      <c r="I4022" s="107">
        <v>0</v>
      </c>
      <c r="J4022" s="8" t="s">
        <v>3580</v>
      </c>
    </row>
    <row r="4023" spans="1:10" ht="16.5" customHeight="1" x14ac:dyDescent="0.25">
      <c r="A4023" s="8" t="s">
        <v>12831</v>
      </c>
      <c r="B4023" s="8" t="s">
        <v>12832</v>
      </c>
      <c r="C4023" s="8" t="s">
        <v>10547</v>
      </c>
      <c r="D4023" s="8" t="s">
        <v>12832</v>
      </c>
      <c r="E4023" s="105">
        <v>5</v>
      </c>
      <c r="F4023" s="106" t="s">
        <v>2018</v>
      </c>
      <c r="G4023" s="8"/>
      <c r="H4023" s="8"/>
      <c r="I4023" s="107">
        <v>0</v>
      </c>
      <c r="J4023" s="8" t="s">
        <v>3580</v>
      </c>
    </row>
    <row r="4024" spans="1:10" ht="16.5" customHeight="1" x14ac:dyDescent="0.25">
      <c r="A4024" s="8" t="s">
        <v>12833</v>
      </c>
      <c r="B4024" s="8" t="s">
        <v>12834</v>
      </c>
      <c r="C4024" s="8" t="s">
        <v>10479</v>
      </c>
      <c r="D4024" s="8" t="s">
        <v>12834</v>
      </c>
      <c r="E4024" s="105">
        <v>25</v>
      </c>
      <c r="F4024" s="106" t="s">
        <v>2018</v>
      </c>
      <c r="G4024" s="8"/>
      <c r="H4024" s="8"/>
      <c r="I4024" s="107">
        <v>0</v>
      </c>
      <c r="J4024" s="8" t="s">
        <v>3580</v>
      </c>
    </row>
    <row r="4025" spans="1:10" ht="16.5" customHeight="1" x14ac:dyDescent="0.25">
      <c r="A4025" s="8" t="s">
        <v>12835</v>
      </c>
      <c r="B4025" s="8" t="s">
        <v>12836</v>
      </c>
      <c r="C4025" s="8" t="s">
        <v>10532</v>
      </c>
      <c r="D4025" s="8" t="s">
        <v>12836</v>
      </c>
      <c r="E4025" s="105">
        <v>5</v>
      </c>
      <c r="F4025" s="106" t="s">
        <v>2018</v>
      </c>
      <c r="G4025" s="8"/>
      <c r="H4025" s="8"/>
      <c r="I4025" s="107">
        <v>0</v>
      </c>
      <c r="J4025" s="8" t="s">
        <v>3580</v>
      </c>
    </row>
    <row r="4026" spans="1:10" ht="16.5" customHeight="1" x14ac:dyDescent="0.25">
      <c r="A4026" s="8" t="s">
        <v>12837</v>
      </c>
      <c r="B4026" s="8" t="s">
        <v>12838</v>
      </c>
      <c r="C4026" s="8" t="s">
        <v>11343</v>
      </c>
      <c r="D4026" s="8" t="s">
        <v>12838</v>
      </c>
      <c r="E4026" s="105">
        <v>25</v>
      </c>
      <c r="F4026" s="106" t="s">
        <v>2018</v>
      </c>
      <c r="G4026" s="8"/>
      <c r="H4026" s="8"/>
      <c r="I4026" s="107">
        <v>0</v>
      </c>
      <c r="J4026" s="8" t="s">
        <v>3580</v>
      </c>
    </row>
    <row r="4027" spans="1:10" ht="16.5" customHeight="1" x14ac:dyDescent="0.25">
      <c r="A4027" s="8" t="s">
        <v>12839</v>
      </c>
      <c r="B4027" s="8" t="s">
        <v>12840</v>
      </c>
      <c r="C4027" s="8" t="s">
        <v>10484</v>
      </c>
      <c r="D4027" s="8" t="s">
        <v>12840</v>
      </c>
      <c r="E4027" s="105">
        <v>25</v>
      </c>
      <c r="F4027" s="106" t="s">
        <v>2018</v>
      </c>
      <c r="G4027" s="8"/>
      <c r="H4027" s="8"/>
      <c r="I4027" s="107">
        <v>0</v>
      </c>
      <c r="J4027" s="8" t="s">
        <v>3580</v>
      </c>
    </row>
    <row r="4028" spans="1:10" ht="16.5" customHeight="1" x14ac:dyDescent="0.25">
      <c r="A4028" s="8" t="s">
        <v>12841</v>
      </c>
      <c r="B4028" s="8" t="s">
        <v>12842</v>
      </c>
      <c r="C4028" s="8" t="s">
        <v>10467</v>
      </c>
      <c r="D4028" s="8" t="s">
        <v>12842</v>
      </c>
      <c r="E4028" s="105">
        <v>5</v>
      </c>
      <c r="F4028" s="106" t="s">
        <v>2018</v>
      </c>
      <c r="G4028" s="8"/>
      <c r="H4028" s="8"/>
      <c r="I4028" s="107">
        <v>0</v>
      </c>
      <c r="J4028" s="8" t="s">
        <v>3580</v>
      </c>
    </row>
    <row r="4029" spans="1:10" ht="16.5" customHeight="1" x14ac:dyDescent="0.25">
      <c r="A4029" s="8" t="s">
        <v>12843</v>
      </c>
      <c r="B4029" s="8" t="s">
        <v>12844</v>
      </c>
      <c r="C4029" s="8" t="s">
        <v>10654</v>
      </c>
      <c r="D4029" s="8" t="s">
        <v>12844</v>
      </c>
      <c r="E4029" s="105">
        <v>25</v>
      </c>
      <c r="F4029" s="106" t="s">
        <v>2018</v>
      </c>
      <c r="G4029" s="8"/>
      <c r="H4029" s="8"/>
      <c r="I4029" s="107">
        <v>0</v>
      </c>
      <c r="J4029" s="8" t="s">
        <v>3580</v>
      </c>
    </row>
    <row r="4030" spans="1:10" ht="16.5" customHeight="1" x14ac:dyDescent="0.25">
      <c r="A4030" s="8" t="s">
        <v>12845</v>
      </c>
      <c r="B4030" s="8" t="s">
        <v>12846</v>
      </c>
      <c r="C4030" s="8" t="s">
        <v>10654</v>
      </c>
      <c r="D4030" s="8" t="s">
        <v>12846</v>
      </c>
      <c r="E4030" s="105">
        <v>25</v>
      </c>
      <c r="F4030" s="106" t="s">
        <v>2018</v>
      </c>
      <c r="G4030" s="8"/>
      <c r="H4030" s="8"/>
      <c r="I4030" s="107">
        <v>0</v>
      </c>
      <c r="J4030" s="8" t="s">
        <v>3580</v>
      </c>
    </row>
    <row r="4031" spans="1:10" ht="16.5" customHeight="1" x14ac:dyDescent="0.25">
      <c r="A4031" s="8" t="s">
        <v>12847</v>
      </c>
      <c r="B4031" s="8" t="s">
        <v>12848</v>
      </c>
      <c r="C4031" s="8" t="s">
        <v>10654</v>
      </c>
      <c r="D4031" s="8" t="s">
        <v>12848</v>
      </c>
      <c r="E4031" s="105">
        <v>25</v>
      </c>
      <c r="F4031" s="106" t="s">
        <v>2018</v>
      </c>
      <c r="G4031" s="8"/>
      <c r="H4031" s="8"/>
      <c r="I4031" s="107">
        <v>0</v>
      </c>
      <c r="J4031" s="8" t="s">
        <v>3580</v>
      </c>
    </row>
    <row r="4032" spans="1:10" ht="16.5" customHeight="1" x14ac:dyDescent="0.25">
      <c r="A4032" s="8" t="s">
        <v>12849</v>
      </c>
      <c r="B4032" s="8" t="s">
        <v>12850</v>
      </c>
      <c r="C4032" s="8" t="s">
        <v>10654</v>
      </c>
      <c r="D4032" s="8" t="s">
        <v>12850</v>
      </c>
      <c r="E4032" s="105">
        <v>25</v>
      </c>
      <c r="F4032" s="106" t="s">
        <v>2018</v>
      </c>
      <c r="G4032" s="8"/>
      <c r="H4032" s="8"/>
      <c r="I4032" s="107">
        <v>0</v>
      </c>
      <c r="J4032" s="8" t="s">
        <v>3580</v>
      </c>
    </row>
    <row r="4033" spans="1:10" ht="16.5" customHeight="1" x14ac:dyDescent="0.25">
      <c r="A4033" s="8" t="s">
        <v>12851</v>
      </c>
      <c r="B4033" s="8" t="s">
        <v>12852</v>
      </c>
      <c r="C4033" s="8" t="s">
        <v>10508</v>
      </c>
      <c r="D4033" s="8" t="s">
        <v>12852</v>
      </c>
      <c r="E4033" s="105">
        <v>25</v>
      </c>
      <c r="F4033" s="106" t="s">
        <v>2018</v>
      </c>
      <c r="G4033" s="8"/>
      <c r="H4033" s="8"/>
      <c r="I4033" s="107">
        <v>0</v>
      </c>
      <c r="J4033" s="8" t="s">
        <v>3580</v>
      </c>
    </row>
    <row r="4034" spans="1:10" ht="16.5" customHeight="1" x14ac:dyDescent="0.25">
      <c r="A4034" s="8" t="s">
        <v>12853</v>
      </c>
      <c r="B4034" s="8" t="s">
        <v>12854</v>
      </c>
      <c r="C4034" s="8" t="s">
        <v>9521</v>
      </c>
      <c r="D4034" s="8" t="s">
        <v>12854</v>
      </c>
      <c r="E4034" s="105">
        <v>25</v>
      </c>
      <c r="F4034" s="106" t="s">
        <v>2018</v>
      </c>
      <c r="G4034" s="8"/>
      <c r="H4034" s="8"/>
      <c r="I4034" s="107">
        <v>0</v>
      </c>
      <c r="J4034" s="8" t="s">
        <v>3580</v>
      </c>
    </row>
    <row r="4035" spans="1:10" ht="16.5" customHeight="1" x14ac:dyDescent="0.25">
      <c r="A4035" s="8" t="s">
        <v>12855</v>
      </c>
      <c r="B4035" s="8" t="s">
        <v>12856</v>
      </c>
      <c r="C4035" s="8" t="s">
        <v>9521</v>
      </c>
      <c r="D4035" s="8" t="s">
        <v>12856</v>
      </c>
      <c r="E4035" s="105">
        <v>25</v>
      </c>
      <c r="F4035" s="106" t="s">
        <v>2018</v>
      </c>
      <c r="G4035" s="8"/>
      <c r="H4035" s="8"/>
      <c r="I4035" s="107">
        <v>0</v>
      </c>
      <c r="J4035" s="8" t="s">
        <v>3580</v>
      </c>
    </row>
    <row r="4036" spans="1:10" ht="16.5" customHeight="1" x14ac:dyDescent="0.25">
      <c r="A4036" s="8" t="s">
        <v>12857</v>
      </c>
      <c r="B4036" s="8" t="s">
        <v>12858</v>
      </c>
      <c r="C4036" s="8" t="s">
        <v>9521</v>
      </c>
      <c r="D4036" s="8" t="s">
        <v>12858</v>
      </c>
      <c r="E4036" s="105">
        <v>25</v>
      </c>
      <c r="F4036" s="106" t="s">
        <v>2018</v>
      </c>
      <c r="G4036" s="8"/>
      <c r="H4036" s="8"/>
      <c r="I4036" s="107">
        <v>0</v>
      </c>
      <c r="J4036" s="8" t="s">
        <v>3580</v>
      </c>
    </row>
    <row r="4037" spans="1:10" ht="16.5" customHeight="1" x14ac:dyDescent="0.25">
      <c r="A4037" s="8" t="s">
        <v>12859</v>
      </c>
      <c r="B4037" s="8" t="s">
        <v>12860</v>
      </c>
      <c r="C4037" s="8" t="s">
        <v>10541</v>
      </c>
      <c r="D4037" s="8" t="s">
        <v>12860</v>
      </c>
      <c r="E4037" s="105">
        <v>5</v>
      </c>
      <c r="F4037" s="106" t="s">
        <v>2018</v>
      </c>
      <c r="G4037" s="8"/>
      <c r="H4037" s="8"/>
      <c r="I4037" s="107">
        <v>0</v>
      </c>
      <c r="J4037" s="8" t="s">
        <v>3580</v>
      </c>
    </row>
    <row r="4038" spans="1:10" ht="16.5" customHeight="1" x14ac:dyDescent="0.25">
      <c r="A4038" s="8" t="s">
        <v>12861</v>
      </c>
      <c r="B4038" s="8" t="s">
        <v>12862</v>
      </c>
      <c r="C4038" s="8" t="s">
        <v>12863</v>
      </c>
      <c r="D4038" s="8" t="s">
        <v>12862</v>
      </c>
      <c r="E4038" s="105">
        <v>25</v>
      </c>
      <c r="F4038" s="106" t="s">
        <v>2018</v>
      </c>
      <c r="G4038" s="8"/>
      <c r="H4038" s="8"/>
      <c r="I4038" s="107">
        <v>0</v>
      </c>
      <c r="J4038" s="8" t="s">
        <v>3580</v>
      </c>
    </row>
    <row r="4039" spans="1:10" ht="16.5" customHeight="1" x14ac:dyDescent="0.25">
      <c r="A4039" s="8" t="s">
        <v>12864</v>
      </c>
      <c r="B4039" s="8" t="s">
        <v>12865</v>
      </c>
      <c r="C4039" s="8" t="s">
        <v>10489</v>
      </c>
      <c r="D4039" s="8" t="s">
        <v>12865</v>
      </c>
      <c r="E4039" s="105">
        <v>25</v>
      </c>
      <c r="F4039" s="106" t="s">
        <v>2018</v>
      </c>
      <c r="G4039" s="8"/>
      <c r="H4039" s="8"/>
      <c r="I4039" s="107">
        <v>0</v>
      </c>
      <c r="J4039" s="8" t="s">
        <v>3580</v>
      </c>
    </row>
    <row r="4040" spans="1:10" ht="16.5" customHeight="1" x14ac:dyDescent="0.25">
      <c r="A4040" s="8" t="s">
        <v>12866</v>
      </c>
      <c r="B4040" s="8" t="s">
        <v>12867</v>
      </c>
      <c r="C4040" s="8" t="s">
        <v>10489</v>
      </c>
      <c r="D4040" s="8" t="s">
        <v>12867</v>
      </c>
      <c r="E4040" s="105">
        <v>25</v>
      </c>
      <c r="F4040" s="106" t="s">
        <v>2018</v>
      </c>
      <c r="G4040" s="8"/>
      <c r="H4040" s="8"/>
      <c r="I4040" s="107">
        <v>0</v>
      </c>
      <c r="J4040" s="8" t="s">
        <v>3580</v>
      </c>
    </row>
    <row r="4041" spans="1:10" ht="16.5" customHeight="1" x14ac:dyDescent="0.25">
      <c r="A4041" s="8" t="s">
        <v>12868</v>
      </c>
      <c r="B4041" s="8" t="s">
        <v>12869</v>
      </c>
      <c r="C4041" s="8" t="s">
        <v>10544</v>
      </c>
      <c r="D4041" s="8" t="s">
        <v>12869</v>
      </c>
      <c r="E4041" s="105">
        <v>5</v>
      </c>
      <c r="F4041" s="106" t="s">
        <v>2018</v>
      </c>
      <c r="G4041" s="8"/>
      <c r="H4041" s="8"/>
      <c r="I4041" s="107">
        <v>0</v>
      </c>
      <c r="J4041" s="8" t="s">
        <v>3580</v>
      </c>
    </row>
    <row r="4042" spans="1:10" ht="16.5" customHeight="1" x14ac:dyDescent="0.25">
      <c r="A4042" s="8" t="s">
        <v>12870</v>
      </c>
      <c r="B4042" s="8" t="s">
        <v>12871</v>
      </c>
      <c r="C4042" s="8" t="s">
        <v>12872</v>
      </c>
      <c r="D4042" s="8" t="s">
        <v>12871</v>
      </c>
      <c r="E4042" s="105">
        <v>25</v>
      </c>
      <c r="F4042" s="106" t="s">
        <v>2018</v>
      </c>
      <c r="G4042" s="8"/>
      <c r="H4042" s="8"/>
      <c r="I4042" s="107">
        <v>0</v>
      </c>
      <c r="J4042" s="8" t="s">
        <v>3580</v>
      </c>
    </row>
    <row r="4043" spans="1:10" ht="16.5" customHeight="1" x14ac:dyDescent="0.25">
      <c r="A4043" s="8" t="s">
        <v>12873</v>
      </c>
      <c r="B4043" s="8" t="s">
        <v>12874</v>
      </c>
      <c r="C4043" s="8" t="s">
        <v>12872</v>
      </c>
      <c r="D4043" s="8" t="s">
        <v>12874</v>
      </c>
      <c r="E4043" s="105">
        <v>25</v>
      </c>
      <c r="F4043" s="106" t="s">
        <v>2018</v>
      </c>
      <c r="G4043" s="8"/>
      <c r="H4043" s="8"/>
      <c r="I4043" s="107">
        <v>0</v>
      </c>
      <c r="J4043" s="8" t="s">
        <v>3580</v>
      </c>
    </row>
    <row r="4044" spans="1:10" ht="16.5" customHeight="1" x14ac:dyDescent="0.25">
      <c r="A4044" s="8" t="s">
        <v>12875</v>
      </c>
      <c r="B4044" s="8" t="s">
        <v>12876</v>
      </c>
      <c r="C4044" s="8" t="s">
        <v>12872</v>
      </c>
      <c r="D4044" s="8" t="s">
        <v>12876</v>
      </c>
      <c r="E4044" s="105">
        <v>25</v>
      </c>
      <c r="F4044" s="106" t="s">
        <v>2018</v>
      </c>
      <c r="G4044" s="8"/>
      <c r="H4044" s="8"/>
      <c r="I4044" s="107">
        <v>0</v>
      </c>
      <c r="J4044" s="8" t="s">
        <v>3580</v>
      </c>
    </row>
    <row r="4045" spans="1:10" ht="16.5" customHeight="1" x14ac:dyDescent="0.25">
      <c r="A4045" s="8" t="s">
        <v>12877</v>
      </c>
      <c r="B4045" s="8" t="s">
        <v>12878</v>
      </c>
      <c r="C4045" s="8" t="s">
        <v>12879</v>
      </c>
      <c r="D4045" s="8" t="s">
        <v>12878</v>
      </c>
      <c r="E4045" s="105">
        <v>5</v>
      </c>
      <c r="F4045" s="106" t="s">
        <v>2018</v>
      </c>
      <c r="G4045" s="8"/>
      <c r="H4045" s="8"/>
      <c r="I4045" s="107">
        <v>0</v>
      </c>
      <c r="J4045" s="8" t="s">
        <v>3580</v>
      </c>
    </row>
    <row r="4046" spans="1:10" ht="16.5" customHeight="1" x14ac:dyDescent="0.25">
      <c r="A4046" s="8" t="s">
        <v>12880</v>
      </c>
      <c r="B4046" s="8" t="s">
        <v>12881</v>
      </c>
      <c r="C4046" s="8" t="s">
        <v>12882</v>
      </c>
      <c r="D4046" s="8" t="s">
        <v>12881</v>
      </c>
      <c r="E4046" s="105">
        <v>40</v>
      </c>
      <c r="F4046" s="106" t="s">
        <v>2018</v>
      </c>
      <c r="G4046" s="8"/>
      <c r="H4046" s="8"/>
      <c r="I4046" s="107">
        <v>0</v>
      </c>
      <c r="J4046" s="8" t="s">
        <v>3580</v>
      </c>
    </row>
    <row r="4047" spans="1:10" ht="16.5" customHeight="1" x14ac:dyDescent="0.25">
      <c r="A4047" s="8" t="s">
        <v>12883</v>
      </c>
      <c r="B4047" s="8" t="s">
        <v>12884</v>
      </c>
      <c r="C4047" s="8" t="s">
        <v>10511</v>
      </c>
      <c r="D4047" s="8" t="s">
        <v>12884</v>
      </c>
      <c r="E4047" s="105">
        <v>25</v>
      </c>
      <c r="F4047" s="106" t="s">
        <v>2018</v>
      </c>
      <c r="G4047" s="8"/>
      <c r="H4047" s="8"/>
      <c r="I4047" s="107">
        <v>0</v>
      </c>
      <c r="J4047" s="8" t="s">
        <v>3580</v>
      </c>
    </row>
    <row r="4048" spans="1:10" ht="16.5" customHeight="1" x14ac:dyDescent="0.25">
      <c r="A4048" s="8" t="s">
        <v>12885</v>
      </c>
      <c r="B4048" s="8" t="s">
        <v>12886</v>
      </c>
      <c r="C4048" s="8" t="s">
        <v>9983</v>
      </c>
      <c r="D4048" s="8" t="s">
        <v>12886</v>
      </c>
      <c r="E4048" s="105">
        <v>25</v>
      </c>
      <c r="F4048" s="106" t="s">
        <v>2018</v>
      </c>
      <c r="G4048" s="8"/>
      <c r="H4048" s="8"/>
      <c r="I4048" s="107">
        <v>0</v>
      </c>
      <c r="J4048" s="8" t="s">
        <v>3580</v>
      </c>
    </row>
    <row r="4049" spans="1:10" ht="16.5" customHeight="1" x14ac:dyDescent="0.25">
      <c r="A4049" s="8" t="s">
        <v>12887</v>
      </c>
      <c r="B4049" s="8" t="s">
        <v>12888</v>
      </c>
      <c r="C4049" s="8" t="s">
        <v>9983</v>
      </c>
      <c r="D4049" s="8" t="s">
        <v>12888</v>
      </c>
      <c r="E4049" s="105">
        <v>25</v>
      </c>
      <c r="F4049" s="106" t="s">
        <v>2018</v>
      </c>
      <c r="G4049" s="8"/>
      <c r="H4049" s="8"/>
      <c r="I4049" s="107">
        <v>0</v>
      </c>
      <c r="J4049" s="8" t="s">
        <v>3580</v>
      </c>
    </row>
    <row r="4050" spans="1:10" ht="16.5" customHeight="1" x14ac:dyDescent="0.25">
      <c r="A4050" s="8" t="s">
        <v>12889</v>
      </c>
      <c r="B4050" s="8" t="s">
        <v>12890</v>
      </c>
      <c r="C4050" s="8" t="s">
        <v>9983</v>
      </c>
      <c r="D4050" s="8" t="s">
        <v>12890</v>
      </c>
      <c r="E4050" s="105">
        <v>25</v>
      </c>
      <c r="F4050" s="106" t="s">
        <v>2018</v>
      </c>
      <c r="G4050" s="8"/>
      <c r="H4050" s="8"/>
      <c r="I4050" s="107">
        <v>0</v>
      </c>
      <c r="J4050" s="8" t="s">
        <v>3580</v>
      </c>
    </row>
    <row r="4051" spans="1:10" ht="16.5" customHeight="1" x14ac:dyDescent="0.25">
      <c r="A4051" s="8" t="s">
        <v>12891</v>
      </c>
      <c r="B4051" s="8" t="s">
        <v>12892</v>
      </c>
      <c r="C4051" s="8" t="s">
        <v>9983</v>
      </c>
      <c r="D4051" s="8" t="s">
        <v>12892</v>
      </c>
      <c r="E4051" s="105">
        <v>25</v>
      </c>
      <c r="F4051" s="106" t="s">
        <v>2018</v>
      </c>
      <c r="G4051" s="8"/>
      <c r="H4051" s="8"/>
      <c r="I4051" s="107">
        <v>0</v>
      </c>
      <c r="J4051" s="8" t="s">
        <v>3580</v>
      </c>
    </row>
    <row r="4052" spans="1:10" ht="16.5" customHeight="1" x14ac:dyDescent="0.25">
      <c r="A4052" s="8" t="s">
        <v>12893</v>
      </c>
      <c r="B4052" s="8" t="s">
        <v>12894</v>
      </c>
      <c r="C4052" s="8" t="s">
        <v>10559</v>
      </c>
      <c r="D4052" s="8" t="s">
        <v>12894</v>
      </c>
      <c r="E4052" s="105">
        <v>5</v>
      </c>
      <c r="F4052" s="106" t="s">
        <v>2018</v>
      </c>
      <c r="G4052" s="8"/>
      <c r="H4052" s="8"/>
      <c r="I4052" s="107">
        <v>0</v>
      </c>
      <c r="J4052" s="8" t="s">
        <v>3580</v>
      </c>
    </row>
    <row r="4053" spans="1:10" ht="16.5" customHeight="1" x14ac:dyDescent="0.25">
      <c r="A4053" s="8" t="s">
        <v>12895</v>
      </c>
      <c r="B4053" s="8" t="s">
        <v>12896</v>
      </c>
      <c r="C4053" s="8" t="s">
        <v>12451</v>
      </c>
      <c r="D4053" s="8" t="s">
        <v>12896</v>
      </c>
      <c r="E4053" s="105">
        <v>25</v>
      </c>
      <c r="F4053" s="106" t="s">
        <v>2018</v>
      </c>
      <c r="G4053" s="8"/>
      <c r="H4053" s="8"/>
      <c r="I4053" s="107">
        <v>0</v>
      </c>
      <c r="J4053" s="8" t="s">
        <v>3580</v>
      </c>
    </row>
    <row r="4054" spans="1:10" ht="16.5" customHeight="1" x14ac:dyDescent="0.25">
      <c r="A4054" s="8" t="s">
        <v>12897</v>
      </c>
      <c r="B4054" s="8" t="s">
        <v>12898</v>
      </c>
      <c r="C4054" s="8" t="s">
        <v>12899</v>
      </c>
      <c r="D4054" s="8" t="s">
        <v>12898</v>
      </c>
      <c r="E4054" s="105">
        <v>25</v>
      </c>
      <c r="F4054" s="106" t="s">
        <v>2018</v>
      </c>
      <c r="G4054" s="8"/>
      <c r="H4054" s="8"/>
      <c r="I4054" s="107">
        <v>0</v>
      </c>
      <c r="J4054" s="8" t="s">
        <v>3580</v>
      </c>
    </row>
    <row r="4055" spans="1:10" ht="16.5" customHeight="1" x14ac:dyDescent="0.25">
      <c r="A4055" s="8" t="s">
        <v>12900</v>
      </c>
      <c r="B4055" s="8" t="s">
        <v>12901</v>
      </c>
      <c r="C4055" s="8" t="s">
        <v>12902</v>
      </c>
      <c r="D4055" s="8" t="s">
        <v>12901</v>
      </c>
      <c r="E4055" s="105">
        <v>5</v>
      </c>
      <c r="F4055" s="106" t="s">
        <v>2018</v>
      </c>
      <c r="G4055" s="8"/>
      <c r="H4055" s="8"/>
      <c r="I4055" s="107">
        <v>0</v>
      </c>
      <c r="J4055" s="8" t="s">
        <v>3580</v>
      </c>
    </row>
    <row r="4056" spans="1:10" ht="16.5" customHeight="1" x14ac:dyDescent="0.25">
      <c r="A4056" s="8" t="s">
        <v>12903</v>
      </c>
      <c r="B4056" s="8" t="s">
        <v>12904</v>
      </c>
      <c r="C4056" s="8" t="s">
        <v>10645</v>
      </c>
      <c r="D4056" s="8" t="s">
        <v>12904</v>
      </c>
      <c r="E4056" s="105">
        <v>25</v>
      </c>
      <c r="F4056" s="106" t="s">
        <v>2018</v>
      </c>
      <c r="G4056" s="8"/>
      <c r="H4056" s="8"/>
      <c r="I4056" s="107">
        <v>0</v>
      </c>
      <c r="J4056" s="8" t="s">
        <v>3580</v>
      </c>
    </row>
    <row r="4057" spans="1:10" ht="16.5" customHeight="1" x14ac:dyDescent="0.25">
      <c r="A4057" s="8" t="s">
        <v>12905</v>
      </c>
      <c r="B4057" s="8" t="s">
        <v>12906</v>
      </c>
      <c r="C4057" s="8" t="s">
        <v>10645</v>
      </c>
      <c r="D4057" s="8" t="s">
        <v>12906</v>
      </c>
      <c r="E4057" s="105">
        <v>25</v>
      </c>
      <c r="F4057" s="106" t="s">
        <v>2018</v>
      </c>
      <c r="G4057" s="8"/>
      <c r="H4057" s="8"/>
      <c r="I4057" s="107">
        <v>0</v>
      </c>
      <c r="J4057" s="8" t="s">
        <v>3580</v>
      </c>
    </row>
    <row r="4058" spans="1:10" ht="16.5" customHeight="1" x14ac:dyDescent="0.25">
      <c r="A4058" s="8" t="s">
        <v>12907</v>
      </c>
      <c r="B4058" s="8" t="s">
        <v>12908</v>
      </c>
      <c r="C4058" s="8" t="s">
        <v>10648</v>
      </c>
      <c r="D4058" s="8" t="s">
        <v>12908</v>
      </c>
      <c r="E4058" s="105">
        <v>25</v>
      </c>
      <c r="F4058" s="106" t="s">
        <v>2018</v>
      </c>
      <c r="G4058" s="8"/>
      <c r="H4058" s="8"/>
      <c r="I4058" s="107">
        <v>0</v>
      </c>
      <c r="J4058" s="8" t="s">
        <v>3580</v>
      </c>
    </row>
    <row r="4059" spans="1:10" ht="16.5" customHeight="1" x14ac:dyDescent="0.25">
      <c r="A4059" s="8" t="s">
        <v>12909</v>
      </c>
      <c r="B4059" s="8" t="s">
        <v>12910</v>
      </c>
      <c r="C4059" s="8" t="s">
        <v>10651</v>
      </c>
      <c r="D4059" s="8" t="s">
        <v>12910</v>
      </c>
      <c r="E4059" s="105">
        <v>25</v>
      </c>
      <c r="F4059" s="106" t="s">
        <v>2018</v>
      </c>
      <c r="G4059" s="8"/>
      <c r="H4059" s="8"/>
      <c r="I4059" s="107">
        <v>0</v>
      </c>
      <c r="J4059" s="8" t="s">
        <v>3580</v>
      </c>
    </row>
    <row r="4060" spans="1:10" ht="16.5" customHeight="1" x14ac:dyDescent="0.25">
      <c r="A4060" s="8" t="s">
        <v>12911</v>
      </c>
      <c r="B4060" s="8" t="s">
        <v>12912</v>
      </c>
      <c r="C4060" s="8" t="s">
        <v>12913</v>
      </c>
      <c r="D4060" s="8" t="s">
        <v>12912</v>
      </c>
      <c r="E4060" s="105">
        <v>40</v>
      </c>
      <c r="F4060" s="106" t="s">
        <v>2018</v>
      </c>
      <c r="G4060" s="8"/>
      <c r="H4060" s="8"/>
      <c r="I4060" s="107">
        <v>0</v>
      </c>
      <c r="J4060" s="8"/>
    </row>
    <row r="4061" spans="1:10" ht="16.5" customHeight="1" x14ac:dyDescent="0.25">
      <c r="A4061" s="8" t="s">
        <v>12914</v>
      </c>
      <c r="B4061" s="8" t="s">
        <v>12915</v>
      </c>
      <c r="C4061" s="8" t="s">
        <v>12916</v>
      </c>
      <c r="D4061" s="8" t="s">
        <v>12915</v>
      </c>
      <c r="E4061" s="105">
        <v>25</v>
      </c>
      <c r="F4061" s="106" t="s">
        <v>2018</v>
      </c>
      <c r="G4061" s="8"/>
      <c r="H4061" s="8"/>
      <c r="I4061" s="107">
        <v>0</v>
      </c>
      <c r="J4061" s="8" t="s">
        <v>3580</v>
      </c>
    </row>
    <row r="4062" spans="1:10" ht="16.5" customHeight="1" x14ac:dyDescent="0.25">
      <c r="A4062" s="8" t="s">
        <v>12917</v>
      </c>
      <c r="B4062" s="8" t="s">
        <v>12918</v>
      </c>
      <c r="C4062" s="8" t="s">
        <v>9778</v>
      </c>
      <c r="D4062" s="8" t="s">
        <v>12918</v>
      </c>
      <c r="E4062" s="105">
        <v>25</v>
      </c>
      <c r="F4062" s="106" t="s">
        <v>2018</v>
      </c>
      <c r="G4062" s="8"/>
      <c r="H4062" s="8"/>
      <c r="I4062" s="107">
        <v>0</v>
      </c>
      <c r="J4062" s="8" t="s">
        <v>3580</v>
      </c>
    </row>
    <row r="4063" spans="1:10" ht="16.5" customHeight="1" x14ac:dyDescent="0.25">
      <c r="A4063" s="8" t="s">
        <v>12919</v>
      </c>
      <c r="B4063" s="8" t="s">
        <v>12920</v>
      </c>
      <c r="C4063" s="8" t="s">
        <v>9778</v>
      </c>
      <c r="D4063" s="8" t="s">
        <v>12920</v>
      </c>
      <c r="E4063" s="105">
        <v>25</v>
      </c>
      <c r="F4063" s="106" t="s">
        <v>2018</v>
      </c>
      <c r="G4063" s="8"/>
      <c r="H4063" s="8"/>
      <c r="I4063" s="107">
        <v>0</v>
      </c>
      <c r="J4063" s="8" t="s">
        <v>3580</v>
      </c>
    </row>
    <row r="4064" spans="1:10" ht="16.5" customHeight="1" x14ac:dyDescent="0.25">
      <c r="A4064" s="8" t="s">
        <v>12921</v>
      </c>
      <c r="B4064" s="8" t="s">
        <v>12922</v>
      </c>
      <c r="C4064" s="8" t="s">
        <v>10538</v>
      </c>
      <c r="D4064" s="8" t="s">
        <v>12922</v>
      </c>
      <c r="E4064" s="105">
        <v>5</v>
      </c>
      <c r="F4064" s="106" t="s">
        <v>2018</v>
      </c>
      <c r="G4064" s="8"/>
      <c r="H4064" s="8"/>
      <c r="I4064" s="107">
        <v>0</v>
      </c>
      <c r="J4064" s="8" t="s">
        <v>3580</v>
      </c>
    </row>
    <row r="4065" spans="1:10" ht="16.5" customHeight="1" x14ac:dyDescent="0.25">
      <c r="A4065" s="8" t="s">
        <v>12923</v>
      </c>
      <c r="B4065" s="8" t="s">
        <v>12924</v>
      </c>
      <c r="C4065" s="8" t="s">
        <v>9760</v>
      </c>
      <c r="D4065" s="8" t="s">
        <v>12924</v>
      </c>
      <c r="E4065" s="105">
        <v>25</v>
      </c>
      <c r="F4065" s="106" t="s">
        <v>2018</v>
      </c>
      <c r="G4065" s="8"/>
      <c r="H4065" s="8"/>
      <c r="I4065" s="107">
        <v>0</v>
      </c>
      <c r="J4065" s="8" t="s">
        <v>3580</v>
      </c>
    </row>
    <row r="4066" spans="1:10" ht="16.5" customHeight="1" x14ac:dyDescent="0.25">
      <c r="A4066" s="8" t="s">
        <v>12925</v>
      </c>
      <c r="B4066" s="8" t="s">
        <v>12926</v>
      </c>
      <c r="C4066" s="8" t="s">
        <v>9760</v>
      </c>
      <c r="D4066" s="8" t="s">
        <v>12926</v>
      </c>
      <c r="E4066" s="105">
        <v>25</v>
      </c>
      <c r="F4066" s="106" t="s">
        <v>2018</v>
      </c>
      <c r="G4066" s="8"/>
      <c r="H4066" s="8"/>
      <c r="I4066" s="107">
        <v>0</v>
      </c>
      <c r="J4066" s="8" t="s">
        <v>4823</v>
      </c>
    </row>
    <row r="4067" spans="1:10" ht="16.5" customHeight="1" x14ac:dyDescent="0.25">
      <c r="A4067" s="8" t="s">
        <v>12927</v>
      </c>
      <c r="B4067" s="8" t="s">
        <v>12928</v>
      </c>
      <c r="C4067" s="8" t="s">
        <v>9760</v>
      </c>
      <c r="D4067" s="8" t="s">
        <v>12928</v>
      </c>
      <c r="E4067" s="105">
        <v>25</v>
      </c>
      <c r="F4067" s="106" t="s">
        <v>2018</v>
      </c>
      <c r="G4067" s="8"/>
      <c r="H4067" s="8"/>
      <c r="I4067" s="107">
        <v>0</v>
      </c>
      <c r="J4067" s="8" t="s">
        <v>3580</v>
      </c>
    </row>
    <row r="4068" spans="1:10" ht="16.5" customHeight="1" x14ac:dyDescent="0.25">
      <c r="A4068" s="8" t="s">
        <v>12929</v>
      </c>
      <c r="B4068" s="8" t="s">
        <v>12930</v>
      </c>
      <c r="C4068" s="8" t="s">
        <v>9760</v>
      </c>
      <c r="D4068" s="8" t="s">
        <v>12930</v>
      </c>
      <c r="E4068" s="105">
        <v>25</v>
      </c>
      <c r="F4068" s="106" t="s">
        <v>2018</v>
      </c>
      <c r="G4068" s="8"/>
      <c r="H4068" s="8"/>
      <c r="I4068" s="107">
        <v>0</v>
      </c>
      <c r="J4068" s="8" t="s">
        <v>3580</v>
      </c>
    </row>
    <row r="4069" spans="1:10" ht="16.5" customHeight="1" x14ac:dyDescent="0.25">
      <c r="A4069" s="8" t="s">
        <v>12931</v>
      </c>
      <c r="B4069" s="8" t="s">
        <v>12932</v>
      </c>
      <c r="C4069" s="8" t="s">
        <v>9760</v>
      </c>
      <c r="D4069" s="8" t="s">
        <v>12932</v>
      </c>
      <c r="E4069" s="105">
        <v>25</v>
      </c>
      <c r="F4069" s="106" t="s">
        <v>2018</v>
      </c>
      <c r="G4069" s="8"/>
      <c r="H4069" s="8"/>
      <c r="I4069" s="107">
        <v>0</v>
      </c>
      <c r="J4069" s="8" t="s">
        <v>3580</v>
      </c>
    </row>
    <row r="4070" spans="1:10" ht="16.5" customHeight="1" x14ac:dyDescent="0.25">
      <c r="A4070" s="8" t="s">
        <v>12933</v>
      </c>
      <c r="B4070" s="8" t="s">
        <v>12934</v>
      </c>
      <c r="C4070" s="8" t="s">
        <v>9767</v>
      </c>
      <c r="D4070" s="8" t="s">
        <v>12934</v>
      </c>
      <c r="E4070" s="105">
        <v>40</v>
      </c>
      <c r="F4070" s="106" t="s">
        <v>2018</v>
      </c>
      <c r="G4070" s="8"/>
      <c r="H4070" s="8"/>
      <c r="I4070" s="107">
        <v>0</v>
      </c>
      <c r="J4070" s="8" t="s">
        <v>3580</v>
      </c>
    </row>
    <row r="4071" spans="1:10" ht="16.5" customHeight="1" x14ac:dyDescent="0.25">
      <c r="A4071" s="8" t="s">
        <v>12935</v>
      </c>
      <c r="B4071" s="8" t="s">
        <v>12936</v>
      </c>
      <c r="C4071" s="8" t="s">
        <v>10535</v>
      </c>
      <c r="D4071" s="8" t="s">
        <v>12936</v>
      </c>
      <c r="E4071" s="105">
        <v>5</v>
      </c>
      <c r="F4071" s="106" t="s">
        <v>2018</v>
      </c>
      <c r="G4071" s="8"/>
      <c r="H4071" s="8"/>
      <c r="I4071" s="107">
        <v>0</v>
      </c>
      <c r="J4071" s="8" t="s">
        <v>3580</v>
      </c>
    </row>
    <row r="4072" spans="1:10" ht="16.5" customHeight="1" x14ac:dyDescent="0.25">
      <c r="A4072" s="8" t="s">
        <v>12937</v>
      </c>
      <c r="B4072" s="8" t="s">
        <v>12938</v>
      </c>
      <c r="C4072" s="8" t="s">
        <v>10390</v>
      </c>
      <c r="D4072" s="8" t="s">
        <v>12938</v>
      </c>
      <c r="E4072" s="105">
        <v>10</v>
      </c>
      <c r="F4072" s="106" t="s">
        <v>2018</v>
      </c>
      <c r="G4072" s="8"/>
      <c r="H4072" s="8"/>
      <c r="I4072" s="107">
        <v>0</v>
      </c>
      <c r="J4072" s="8" t="s">
        <v>3580</v>
      </c>
    </row>
    <row r="4073" spans="1:10" ht="16.5" customHeight="1" x14ac:dyDescent="0.25">
      <c r="A4073" s="8" t="s">
        <v>12939</v>
      </c>
      <c r="B4073" s="8" t="s">
        <v>12940</v>
      </c>
      <c r="C4073" s="8" t="s">
        <v>11251</v>
      </c>
      <c r="D4073" s="8" t="s">
        <v>12940</v>
      </c>
      <c r="E4073" s="105">
        <v>25</v>
      </c>
      <c r="F4073" s="106" t="s">
        <v>2018</v>
      </c>
      <c r="G4073" s="8"/>
      <c r="H4073" s="8"/>
      <c r="I4073" s="107">
        <v>0</v>
      </c>
      <c r="J4073" s="8" t="s">
        <v>3580</v>
      </c>
    </row>
    <row r="4074" spans="1:10" ht="16.5" customHeight="1" x14ac:dyDescent="0.25">
      <c r="A4074" s="8" t="s">
        <v>12941</v>
      </c>
      <c r="B4074" s="8" t="s">
        <v>12942</v>
      </c>
      <c r="C4074" s="8" t="s">
        <v>10585</v>
      </c>
      <c r="D4074" s="8" t="s">
        <v>12942</v>
      </c>
      <c r="E4074" s="105">
        <v>25</v>
      </c>
      <c r="F4074" s="106" t="s">
        <v>2018</v>
      </c>
      <c r="G4074" s="8"/>
      <c r="H4074" s="8"/>
      <c r="I4074" s="107">
        <v>0</v>
      </c>
      <c r="J4074" s="8" t="s">
        <v>3580</v>
      </c>
    </row>
    <row r="4075" spans="1:10" ht="16.5" customHeight="1" x14ac:dyDescent="0.25">
      <c r="A4075" s="8" t="s">
        <v>12943</v>
      </c>
      <c r="B4075" s="8" t="s">
        <v>12944</v>
      </c>
      <c r="C4075" s="8" t="s">
        <v>9743</v>
      </c>
      <c r="D4075" s="8" t="s">
        <v>12944</v>
      </c>
      <c r="E4075" s="105">
        <v>25</v>
      </c>
      <c r="F4075" s="106" t="s">
        <v>2018</v>
      </c>
      <c r="G4075" s="8"/>
      <c r="H4075" s="8"/>
      <c r="I4075" s="107">
        <v>0</v>
      </c>
      <c r="J4075" s="8" t="s">
        <v>3580</v>
      </c>
    </row>
    <row r="4076" spans="1:10" ht="16.5" customHeight="1" x14ac:dyDescent="0.25">
      <c r="A4076" s="8" t="s">
        <v>12945</v>
      </c>
      <c r="B4076" s="8" t="s">
        <v>12946</v>
      </c>
      <c r="C4076" s="8" t="s">
        <v>9743</v>
      </c>
      <c r="D4076" s="8" t="s">
        <v>12946</v>
      </c>
      <c r="E4076" s="105">
        <v>25</v>
      </c>
      <c r="F4076" s="106" t="s">
        <v>2018</v>
      </c>
      <c r="G4076" s="8"/>
      <c r="H4076" s="8"/>
      <c r="I4076" s="107">
        <v>0</v>
      </c>
      <c r="J4076" s="8" t="s">
        <v>3580</v>
      </c>
    </row>
    <row r="4077" spans="1:10" ht="16.5" customHeight="1" x14ac:dyDescent="0.25">
      <c r="A4077" s="8" t="s">
        <v>12947</v>
      </c>
      <c r="B4077" s="8" t="s">
        <v>12948</v>
      </c>
      <c r="C4077" s="8" t="s">
        <v>9743</v>
      </c>
      <c r="D4077" s="8" t="s">
        <v>12948</v>
      </c>
      <c r="E4077" s="105">
        <v>25</v>
      </c>
      <c r="F4077" s="106" t="s">
        <v>2018</v>
      </c>
      <c r="G4077" s="8"/>
      <c r="H4077" s="8"/>
      <c r="I4077" s="107">
        <v>0</v>
      </c>
      <c r="J4077" s="8" t="s">
        <v>3580</v>
      </c>
    </row>
    <row r="4078" spans="1:10" ht="16.5" customHeight="1" x14ac:dyDescent="0.25">
      <c r="A4078" s="8" t="s">
        <v>12949</v>
      </c>
      <c r="B4078" s="8" t="s">
        <v>12950</v>
      </c>
      <c r="C4078" s="8" t="s">
        <v>12951</v>
      </c>
      <c r="D4078" s="8" t="s">
        <v>12950</v>
      </c>
      <c r="E4078" s="105">
        <v>25</v>
      </c>
      <c r="F4078" s="106" t="s">
        <v>2018</v>
      </c>
      <c r="G4078" s="8"/>
      <c r="H4078" s="8"/>
      <c r="I4078" s="107">
        <v>0</v>
      </c>
      <c r="J4078" s="8" t="s">
        <v>3580</v>
      </c>
    </row>
    <row r="4079" spans="1:10" ht="16.5" customHeight="1" x14ac:dyDescent="0.25">
      <c r="A4079" s="8" t="s">
        <v>12952</v>
      </c>
      <c r="B4079" s="8" t="s">
        <v>12953</v>
      </c>
      <c r="C4079" s="8" t="s">
        <v>10562</v>
      </c>
      <c r="D4079" s="8" t="s">
        <v>12953</v>
      </c>
      <c r="E4079" s="105">
        <v>5</v>
      </c>
      <c r="F4079" s="106" t="s">
        <v>2018</v>
      </c>
      <c r="G4079" s="8"/>
      <c r="H4079" s="8"/>
      <c r="I4079" s="107">
        <v>0</v>
      </c>
      <c r="J4079" s="8" t="s">
        <v>3580</v>
      </c>
    </row>
    <row r="4080" spans="1:10" ht="16.5" customHeight="1" x14ac:dyDescent="0.25">
      <c r="A4080" s="8" t="s">
        <v>12954</v>
      </c>
      <c r="B4080" s="8" t="s">
        <v>12955</v>
      </c>
      <c r="C4080" s="8" t="s">
        <v>12956</v>
      </c>
      <c r="D4080" s="8" t="s">
        <v>12955</v>
      </c>
      <c r="E4080" s="105">
        <v>1</v>
      </c>
      <c r="F4080" s="106" t="s">
        <v>2018</v>
      </c>
      <c r="G4080" s="8"/>
      <c r="H4080" s="8"/>
      <c r="I4080" s="107">
        <v>0</v>
      </c>
      <c r="J4080" s="8" t="s">
        <v>3580</v>
      </c>
    </row>
    <row r="4081" spans="1:10" ht="16.5" customHeight="1" x14ac:dyDescent="0.25">
      <c r="A4081" s="8" t="s">
        <v>12957</v>
      </c>
      <c r="B4081" s="8" t="s">
        <v>12958</v>
      </c>
      <c r="C4081" s="8" t="s">
        <v>12959</v>
      </c>
      <c r="D4081" s="8" t="s">
        <v>12958</v>
      </c>
      <c r="E4081" s="105">
        <v>1</v>
      </c>
      <c r="F4081" s="106" t="s">
        <v>2018</v>
      </c>
      <c r="G4081" s="8"/>
      <c r="H4081" s="8"/>
      <c r="I4081" s="107">
        <v>0</v>
      </c>
      <c r="J4081" s="8" t="s">
        <v>3580</v>
      </c>
    </row>
    <row r="4082" spans="1:10" ht="16.5" customHeight="1" x14ac:dyDescent="0.25">
      <c r="A4082" s="8" t="s">
        <v>12960</v>
      </c>
      <c r="B4082" s="8" t="s">
        <v>12961</v>
      </c>
      <c r="C4082" s="8" t="s">
        <v>10956</v>
      </c>
      <c r="D4082" s="8" t="s">
        <v>12961</v>
      </c>
      <c r="E4082" s="105">
        <v>5</v>
      </c>
      <c r="F4082" s="106" t="s">
        <v>2024</v>
      </c>
      <c r="G4082" s="8"/>
      <c r="H4082" s="8"/>
      <c r="I4082" s="107">
        <v>0</v>
      </c>
      <c r="J4082" s="8" t="s">
        <v>3580</v>
      </c>
    </row>
    <row r="4083" spans="1:10" ht="16.5" customHeight="1" x14ac:dyDescent="0.25">
      <c r="A4083" s="8" t="s">
        <v>12962</v>
      </c>
      <c r="B4083" s="8" t="s">
        <v>12963</v>
      </c>
      <c r="C4083" s="8" t="s">
        <v>10953</v>
      </c>
      <c r="D4083" s="8" t="s">
        <v>12963</v>
      </c>
      <c r="E4083" s="105">
        <v>30</v>
      </c>
      <c r="F4083" s="106" t="s">
        <v>2018</v>
      </c>
      <c r="G4083" s="8"/>
      <c r="H4083" s="8" t="s">
        <v>12964</v>
      </c>
      <c r="I4083" s="107">
        <v>6</v>
      </c>
      <c r="J4083" s="8" t="s">
        <v>3580</v>
      </c>
    </row>
    <row r="4084" spans="1:10" ht="16.5" customHeight="1" x14ac:dyDescent="0.25">
      <c r="A4084" s="8" t="s">
        <v>12965</v>
      </c>
      <c r="B4084" s="8" t="s">
        <v>12966</v>
      </c>
      <c r="C4084" s="8" t="s">
        <v>9760</v>
      </c>
      <c r="D4084" s="8" t="s">
        <v>12966</v>
      </c>
      <c r="E4084" s="105">
        <v>25</v>
      </c>
      <c r="F4084" s="106" t="s">
        <v>2018</v>
      </c>
      <c r="G4084" s="8"/>
      <c r="H4084" s="8"/>
      <c r="I4084" s="107">
        <v>0</v>
      </c>
      <c r="J4084" s="8" t="s">
        <v>3580</v>
      </c>
    </row>
    <row r="4085" spans="1:10" ht="16.5" customHeight="1" x14ac:dyDescent="0.25">
      <c r="A4085" s="8" t="s">
        <v>12967</v>
      </c>
      <c r="B4085" s="8" t="s">
        <v>12968</v>
      </c>
      <c r="C4085" s="8" t="s">
        <v>9778</v>
      </c>
      <c r="D4085" s="8" t="s">
        <v>12968</v>
      </c>
      <c r="E4085" s="105">
        <v>25</v>
      </c>
      <c r="F4085" s="106" t="s">
        <v>2018</v>
      </c>
      <c r="G4085" s="8"/>
      <c r="H4085" s="8"/>
      <c r="I4085" s="107">
        <v>0</v>
      </c>
      <c r="J4085" s="8" t="s">
        <v>3580</v>
      </c>
    </row>
    <row r="4086" spans="1:10" ht="16.5" customHeight="1" x14ac:dyDescent="0.25">
      <c r="A4086" s="8" t="s">
        <v>12969</v>
      </c>
      <c r="B4086" s="8" t="s">
        <v>12970</v>
      </c>
      <c r="C4086" s="8" t="s">
        <v>9778</v>
      </c>
      <c r="D4086" s="8" t="s">
        <v>12970</v>
      </c>
      <c r="E4086" s="105">
        <v>25</v>
      </c>
      <c r="F4086" s="106" t="s">
        <v>2018</v>
      </c>
      <c r="G4086" s="8"/>
      <c r="H4086" s="8"/>
      <c r="I4086" s="107">
        <v>0</v>
      </c>
      <c r="J4086" s="8" t="s">
        <v>3580</v>
      </c>
    </row>
    <row r="4087" spans="1:10" ht="16.5" customHeight="1" x14ac:dyDescent="0.25">
      <c r="A4087" s="8" t="s">
        <v>12971</v>
      </c>
      <c r="B4087" s="8" t="s">
        <v>12972</v>
      </c>
      <c r="C4087" s="8" t="s">
        <v>11960</v>
      </c>
      <c r="D4087" s="8" t="s">
        <v>12972</v>
      </c>
      <c r="E4087" s="105">
        <v>40</v>
      </c>
      <c r="F4087" s="106" t="s">
        <v>2018</v>
      </c>
      <c r="G4087" s="8"/>
      <c r="H4087" s="8"/>
      <c r="I4087" s="107">
        <v>0</v>
      </c>
      <c r="J4087" s="8" t="s">
        <v>3580</v>
      </c>
    </row>
    <row r="4088" spans="1:10" ht="16.5" customHeight="1" x14ac:dyDescent="0.25">
      <c r="A4088" s="8" t="s">
        <v>12973</v>
      </c>
      <c r="B4088" s="8" t="s">
        <v>12974</v>
      </c>
      <c r="C4088" s="8" t="s">
        <v>9778</v>
      </c>
      <c r="D4088" s="8" t="s">
        <v>12974</v>
      </c>
      <c r="E4088" s="105">
        <v>25</v>
      </c>
      <c r="F4088" s="106" t="s">
        <v>2018</v>
      </c>
      <c r="G4088" s="8"/>
      <c r="H4088" s="8"/>
      <c r="I4088" s="107">
        <v>0</v>
      </c>
      <c r="J4088" s="8" t="s">
        <v>3580</v>
      </c>
    </row>
    <row r="4089" spans="1:10" ht="16.5" customHeight="1" x14ac:dyDescent="0.25">
      <c r="A4089" s="8" t="s">
        <v>12975</v>
      </c>
      <c r="B4089" s="8" t="s">
        <v>12976</v>
      </c>
      <c r="C4089" s="8" t="s">
        <v>9810</v>
      </c>
      <c r="D4089" s="8" t="s">
        <v>12976</v>
      </c>
      <c r="E4089" s="105">
        <v>25</v>
      </c>
      <c r="F4089" s="106" t="s">
        <v>2018</v>
      </c>
      <c r="G4089" s="8"/>
      <c r="H4089" s="8"/>
      <c r="I4089" s="107">
        <v>0</v>
      </c>
      <c r="J4089" s="8" t="s">
        <v>3580</v>
      </c>
    </row>
    <row r="4090" spans="1:10" ht="16.5" customHeight="1" x14ac:dyDescent="0.25">
      <c r="A4090" s="8" t="s">
        <v>12977</v>
      </c>
      <c r="B4090" s="8" t="s">
        <v>12978</v>
      </c>
      <c r="C4090" s="8" t="s">
        <v>9840</v>
      </c>
      <c r="D4090" s="8" t="s">
        <v>12978</v>
      </c>
      <c r="E4090" s="105">
        <v>1</v>
      </c>
      <c r="F4090" s="106" t="s">
        <v>2018</v>
      </c>
      <c r="G4090" s="8"/>
      <c r="H4090" s="8"/>
      <c r="I4090" s="107">
        <v>0</v>
      </c>
      <c r="J4090" s="8" t="s">
        <v>3580</v>
      </c>
    </row>
    <row r="4091" spans="1:10" ht="16.5" customHeight="1" x14ac:dyDescent="0.25">
      <c r="A4091" s="8" t="s">
        <v>12979</v>
      </c>
      <c r="B4091" s="8" t="s">
        <v>12980</v>
      </c>
      <c r="C4091" s="8" t="s">
        <v>9778</v>
      </c>
      <c r="D4091" s="8" t="s">
        <v>12980</v>
      </c>
      <c r="E4091" s="105">
        <v>25</v>
      </c>
      <c r="F4091" s="106" t="s">
        <v>2018</v>
      </c>
      <c r="G4091" s="8"/>
      <c r="H4091" s="8"/>
      <c r="I4091" s="107">
        <v>0</v>
      </c>
      <c r="J4091" s="8" t="s">
        <v>3580</v>
      </c>
    </row>
    <row r="4092" spans="1:10" ht="16.5" customHeight="1" x14ac:dyDescent="0.25">
      <c r="A4092" s="8" t="s">
        <v>12981</v>
      </c>
      <c r="B4092" s="8" t="s">
        <v>12982</v>
      </c>
      <c r="C4092" s="8" t="s">
        <v>9521</v>
      </c>
      <c r="D4092" s="8" t="s">
        <v>12982</v>
      </c>
      <c r="E4092" s="105">
        <v>25</v>
      </c>
      <c r="F4092" s="106" t="s">
        <v>2018</v>
      </c>
      <c r="G4092" s="8"/>
      <c r="H4092" s="8"/>
      <c r="I4092" s="107">
        <v>0</v>
      </c>
      <c r="J4092" s="8" t="s">
        <v>3580</v>
      </c>
    </row>
    <row r="4093" spans="1:10" ht="16.5" customHeight="1" x14ac:dyDescent="0.25">
      <c r="A4093" s="8" t="s">
        <v>12983</v>
      </c>
      <c r="B4093" s="8" t="s">
        <v>12984</v>
      </c>
      <c r="C4093" s="8" t="s">
        <v>9767</v>
      </c>
      <c r="D4093" s="8" t="s">
        <v>12984</v>
      </c>
      <c r="E4093" s="105">
        <v>40</v>
      </c>
      <c r="F4093" s="106" t="s">
        <v>2018</v>
      </c>
      <c r="G4093" s="8"/>
      <c r="H4093" s="8"/>
      <c r="I4093" s="107">
        <v>0</v>
      </c>
      <c r="J4093" s="8" t="s">
        <v>3580</v>
      </c>
    </row>
    <row r="4094" spans="1:10" ht="16.5" customHeight="1" x14ac:dyDescent="0.25">
      <c r="A4094" s="8" t="s">
        <v>12985</v>
      </c>
      <c r="B4094" s="8" t="s">
        <v>12986</v>
      </c>
      <c r="C4094" s="8" t="s">
        <v>11957</v>
      </c>
      <c r="D4094" s="8" t="s">
        <v>12986</v>
      </c>
      <c r="E4094" s="105">
        <v>40</v>
      </c>
      <c r="F4094" s="106" t="s">
        <v>2018</v>
      </c>
      <c r="G4094" s="8"/>
      <c r="H4094" s="8"/>
      <c r="I4094" s="107">
        <v>0</v>
      </c>
      <c r="J4094" s="8" t="s">
        <v>3580</v>
      </c>
    </row>
    <row r="4095" spans="1:10" ht="16.5" customHeight="1" x14ac:dyDescent="0.25">
      <c r="A4095" s="8" t="s">
        <v>12987</v>
      </c>
      <c r="B4095" s="8" t="s">
        <v>12988</v>
      </c>
      <c r="C4095" s="8" t="s">
        <v>9775</v>
      </c>
      <c r="D4095" s="8" t="s">
        <v>12988</v>
      </c>
      <c r="E4095" s="105">
        <v>40</v>
      </c>
      <c r="F4095" s="106" t="s">
        <v>2018</v>
      </c>
      <c r="G4095" s="8"/>
      <c r="H4095" s="8"/>
      <c r="I4095" s="107">
        <v>0</v>
      </c>
      <c r="J4095" s="8" t="s">
        <v>3580</v>
      </c>
    </row>
    <row r="4096" spans="1:10" ht="16.5" customHeight="1" x14ac:dyDescent="0.25">
      <c r="A4096" s="8" t="s">
        <v>12989</v>
      </c>
      <c r="B4096" s="8" t="s">
        <v>12990</v>
      </c>
      <c r="C4096" s="8" t="s">
        <v>9816</v>
      </c>
      <c r="D4096" s="8" t="s">
        <v>12990</v>
      </c>
      <c r="E4096" s="105">
        <v>25</v>
      </c>
      <c r="F4096" s="106" t="s">
        <v>2018</v>
      </c>
      <c r="G4096" s="8"/>
      <c r="H4096" s="8"/>
      <c r="I4096" s="107">
        <v>0</v>
      </c>
      <c r="J4096" s="8" t="s">
        <v>3580</v>
      </c>
    </row>
    <row r="4097" spans="1:10" ht="16.5" customHeight="1" x14ac:dyDescent="0.25">
      <c r="A4097" s="8" t="s">
        <v>12991</v>
      </c>
      <c r="B4097" s="8" t="s">
        <v>12992</v>
      </c>
      <c r="C4097" s="8" t="s">
        <v>9775</v>
      </c>
      <c r="D4097" s="8" t="s">
        <v>12992</v>
      </c>
      <c r="E4097" s="105">
        <v>40</v>
      </c>
      <c r="F4097" s="106" t="s">
        <v>2018</v>
      </c>
      <c r="G4097" s="8"/>
      <c r="H4097" s="8"/>
      <c r="I4097" s="107">
        <v>0</v>
      </c>
      <c r="J4097" s="8" t="s">
        <v>3580</v>
      </c>
    </row>
    <row r="4098" spans="1:10" ht="16.5" customHeight="1" x14ac:dyDescent="0.25">
      <c r="A4098" s="8" t="s">
        <v>12993</v>
      </c>
      <c r="B4098" s="8" t="s">
        <v>12994</v>
      </c>
      <c r="C4098" s="8" t="s">
        <v>8782</v>
      </c>
      <c r="D4098" s="8" t="s">
        <v>12994</v>
      </c>
      <c r="E4098" s="105">
        <v>40</v>
      </c>
      <c r="F4098" s="106" t="s">
        <v>2018</v>
      </c>
      <c r="G4098" s="8"/>
      <c r="H4098" s="8"/>
      <c r="I4098" s="107">
        <v>0</v>
      </c>
      <c r="J4098" s="8" t="s">
        <v>3580</v>
      </c>
    </row>
    <row r="4099" spans="1:10" ht="16.5" customHeight="1" x14ac:dyDescent="0.25">
      <c r="A4099" s="8" t="s">
        <v>12995</v>
      </c>
      <c r="B4099" s="8" t="s">
        <v>12996</v>
      </c>
      <c r="C4099" s="8" t="s">
        <v>9521</v>
      </c>
      <c r="D4099" s="8" t="s">
        <v>12996</v>
      </c>
      <c r="E4099" s="105">
        <v>25</v>
      </c>
      <c r="F4099" s="106" t="s">
        <v>2018</v>
      </c>
      <c r="G4099" s="8"/>
      <c r="H4099" s="8"/>
      <c r="I4099" s="107">
        <v>0</v>
      </c>
      <c r="J4099" s="8" t="s">
        <v>3580</v>
      </c>
    </row>
    <row r="4100" spans="1:10" ht="16.5" customHeight="1" x14ac:dyDescent="0.25">
      <c r="A4100" s="8" t="s">
        <v>12997</v>
      </c>
      <c r="B4100" s="8" t="s">
        <v>12998</v>
      </c>
      <c r="C4100" s="8" t="s">
        <v>9834</v>
      </c>
      <c r="D4100" s="8" t="s">
        <v>12998</v>
      </c>
      <c r="E4100" s="105">
        <v>25</v>
      </c>
      <c r="F4100" s="106" t="s">
        <v>2018</v>
      </c>
      <c r="G4100" s="8"/>
      <c r="H4100" s="8"/>
      <c r="I4100" s="107">
        <v>0</v>
      </c>
      <c r="J4100" s="8" t="s">
        <v>3580</v>
      </c>
    </row>
    <row r="4101" spans="1:10" ht="16.5" customHeight="1" x14ac:dyDescent="0.25">
      <c r="A4101" s="8" t="s">
        <v>12999</v>
      </c>
      <c r="B4101" s="8" t="s">
        <v>13000</v>
      </c>
      <c r="C4101" s="8" t="s">
        <v>9826</v>
      </c>
      <c r="D4101" s="8" t="s">
        <v>13000</v>
      </c>
      <c r="E4101" s="105">
        <v>25</v>
      </c>
      <c r="F4101" s="106" t="s">
        <v>2018</v>
      </c>
      <c r="G4101" s="8"/>
      <c r="H4101" s="8"/>
      <c r="I4101" s="107">
        <v>0</v>
      </c>
      <c r="J4101" s="8" t="s">
        <v>3580</v>
      </c>
    </row>
    <row r="4102" spans="1:10" ht="16.5" customHeight="1" x14ac:dyDescent="0.25">
      <c r="A4102" s="8" t="s">
        <v>13001</v>
      </c>
      <c r="B4102" s="8" t="s">
        <v>13002</v>
      </c>
      <c r="C4102" s="8" t="s">
        <v>9821</v>
      </c>
      <c r="D4102" s="8" t="s">
        <v>13002</v>
      </c>
      <c r="E4102" s="105">
        <v>25</v>
      </c>
      <c r="F4102" s="106" t="s">
        <v>2018</v>
      </c>
      <c r="G4102" s="8"/>
      <c r="H4102" s="8"/>
      <c r="I4102" s="107">
        <v>0</v>
      </c>
      <c r="J4102" s="8" t="s">
        <v>3580</v>
      </c>
    </row>
    <row r="4103" spans="1:10" ht="16.5" customHeight="1" x14ac:dyDescent="0.25">
      <c r="A4103" s="8" t="s">
        <v>13003</v>
      </c>
      <c r="B4103" s="8" t="s">
        <v>13004</v>
      </c>
      <c r="C4103" s="8" t="s">
        <v>9802</v>
      </c>
      <c r="D4103" s="8" t="s">
        <v>13004</v>
      </c>
      <c r="E4103" s="105">
        <v>25</v>
      </c>
      <c r="F4103" s="106" t="s">
        <v>2018</v>
      </c>
      <c r="G4103" s="8"/>
      <c r="H4103" s="8"/>
      <c r="I4103" s="107">
        <v>0</v>
      </c>
      <c r="J4103" s="8" t="s">
        <v>3580</v>
      </c>
    </row>
    <row r="4104" spans="1:10" ht="16.5" customHeight="1" x14ac:dyDescent="0.25">
      <c r="A4104" s="8" t="s">
        <v>13005</v>
      </c>
      <c r="B4104" s="8" t="s">
        <v>13006</v>
      </c>
      <c r="C4104" s="8" t="s">
        <v>9760</v>
      </c>
      <c r="D4104" s="8" t="s">
        <v>13006</v>
      </c>
      <c r="E4104" s="105">
        <v>25</v>
      </c>
      <c r="F4104" s="106" t="s">
        <v>2018</v>
      </c>
      <c r="G4104" s="8"/>
      <c r="H4104" s="8"/>
      <c r="I4104" s="107">
        <v>0</v>
      </c>
      <c r="J4104" s="8" t="s">
        <v>3580</v>
      </c>
    </row>
    <row r="4105" spans="1:10" ht="16.5" customHeight="1" x14ac:dyDescent="0.25">
      <c r="A4105" s="8" t="s">
        <v>13007</v>
      </c>
      <c r="B4105" s="8" t="s">
        <v>13008</v>
      </c>
      <c r="C4105" s="8" t="s">
        <v>7999</v>
      </c>
      <c r="D4105" s="8" t="s">
        <v>13008</v>
      </c>
      <c r="E4105" s="105">
        <v>40</v>
      </c>
      <c r="F4105" s="106" t="s">
        <v>2018</v>
      </c>
      <c r="G4105" s="8"/>
      <c r="H4105" s="8"/>
      <c r="I4105" s="107">
        <v>0</v>
      </c>
      <c r="J4105" s="8" t="s">
        <v>3580</v>
      </c>
    </row>
    <row r="4106" spans="1:10" ht="16.5" customHeight="1" x14ac:dyDescent="0.25">
      <c r="A4106" s="8" t="s">
        <v>13009</v>
      </c>
      <c r="B4106" s="8" t="s">
        <v>13010</v>
      </c>
      <c r="C4106" s="8" t="s">
        <v>9743</v>
      </c>
      <c r="D4106" s="8" t="s">
        <v>13010</v>
      </c>
      <c r="E4106" s="105">
        <v>25</v>
      </c>
      <c r="F4106" s="106" t="s">
        <v>2018</v>
      </c>
      <c r="G4106" s="8"/>
      <c r="H4106" s="8"/>
      <c r="I4106" s="107">
        <v>0</v>
      </c>
      <c r="J4106" s="8" t="s">
        <v>3580</v>
      </c>
    </row>
    <row r="4107" spans="1:10" ht="16.5" customHeight="1" x14ac:dyDescent="0.25">
      <c r="A4107" s="8" t="s">
        <v>13011</v>
      </c>
      <c r="B4107" s="8" t="s">
        <v>13012</v>
      </c>
      <c r="C4107" s="8" t="s">
        <v>9810</v>
      </c>
      <c r="D4107" s="8" t="s">
        <v>13012</v>
      </c>
      <c r="E4107" s="105">
        <v>25</v>
      </c>
      <c r="F4107" s="106" t="s">
        <v>2018</v>
      </c>
      <c r="G4107" s="8"/>
      <c r="H4107" s="8"/>
      <c r="I4107" s="107">
        <v>0</v>
      </c>
      <c r="J4107" s="8" t="s">
        <v>3580</v>
      </c>
    </row>
    <row r="4108" spans="1:10" ht="16.5" customHeight="1" x14ac:dyDescent="0.25">
      <c r="A4108" s="8" t="s">
        <v>13013</v>
      </c>
      <c r="B4108" s="8" t="s">
        <v>13014</v>
      </c>
      <c r="C4108" s="8" t="s">
        <v>9778</v>
      </c>
      <c r="D4108" s="8" t="s">
        <v>13014</v>
      </c>
      <c r="E4108" s="105">
        <v>25</v>
      </c>
      <c r="F4108" s="106" t="s">
        <v>2018</v>
      </c>
      <c r="G4108" s="8"/>
      <c r="H4108" s="8"/>
      <c r="I4108" s="107">
        <v>0</v>
      </c>
      <c r="J4108" s="8" t="s">
        <v>3580</v>
      </c>
    </row>
    <row r="4109" spans="1:10" ht="16.5" customHeight="1" x14ac:dyDescent="0.25">
      <c r="A4109" s="8" t="s">
        <v>13015</v>
      </c>
      <c r="B4109" s="8" t="s">
        <v>13016</v>
      </c>
      <c r="C4109" s="8" t="s">
        <v>9802</v>
      </c>
      <c r="D4109" s="8" t="s">
        <v>13016</v>
      </c>
      <c r="E4109" s="105">
        <v>25</v>
      </c>
      <c r="F4109" s="106" t="s">
        <v>2018</v>
      </c>
      <c r="G4109" s="8"/>
      <c r="H4109" s="8"/>
      <c r="I4109" s="107">
        <v>0</v>
      </c>
      <c r="J4109" s="8" t="s">
        <v>3580</v>
      </c>
    </row>
    <row r="4110" spans="1:10" ht="16.5" customHeight="1" x14ac:dyDescent="0.25">
      <c r="A4110" s="8" t="s">
        <v>13017</v>
      </c>
      <c r="B4110" s="8" t="s">
        <v>13018</v>
      </c>
      <c r="C4110" s="8" t="s">
        <v>9645</v>
      </c>
      <c r="D4110" s="8" t="s">
        <v>13018</v>
      </c>
      <c r="E4110" s="105">
        <v>25</v>
      </c>
      <c r="F4110" s="106" t="s">
        <v>2018</v>
      </c>
      <c r="G4110" s="8"/>
      <c r="H4110" s="8"/>
      <c r="I4110" s="107">
        <v>0</v>
      </c>
      <c r="J4110" s="8" t="s">
        <v>3580</v>
      </c>
    </row>
    <row r="4111" spans="1:10" ht="16.5" customHeight="1" x14ac:dyDescent="0.25">
      <c r="A4111" s="8" t="s">
        <v>13019</v>
      </c>
      <c r="B4111" s="8" t="s">
        <v>13020</v>
      </c>
      <c r="C4111" s="8" t="s">
        <v>9795</v>
      </c>
      <c r="D4111" s="8" t="s">
        <v>13020</v>
      </c>
      <c r="E4111" s="105">
        <v>25</v>
      </c>
      <c r="F4111" s="106" t="s">
        <v>2018</v>
      </c>
      <c r="G4111" s="8"/>
      <c r="H4111" s="8"/>
      <c r="I4111" s="107">
        <v>0</v>
      </c>
      <c r="J4111" s="8" t="s">
        <v>3580</v>
      </c>
    </row>
    <row r="4112" spans="1:10" ht="16.5" customHeight="1" x14ac:dyDescent="0.25">
      <c r="A4112" s="8" t="s">
        <v>13021</v>
      </c>
      <c r="B4112" s="8" t="s">
        <v>13022</v>
      </c>
      <c r="C4112" s="8" t="s">
        <v>9819</v>
      </c>
      <c r="D4112" s="8" t="s">
        <v>13022</v>
      </c>
      <c r="E4112" s="105">
        <v>25</v>
      </c>
      <c r="F4112" s="106" t="s">
        <v>2018</v>
      </c>
      <c r="G4112" s="8"/>
      <c r="H4112" s="8"/>
      <c r="I4112" s="107">
        <v>0</v>
      </c>
      <c r="J4112" s="8" t="s">
        <v>3580</v>
      </c>
    </row>
    <row r="4113" spans="1:10" ht="16.5" customHeight="1" x14ac:dyDescent="0.25">
      <c r="A4113" s="8" t="s">
        <v>13023</v>
      </c>
      <c r="B4113" s="8" t="s">
        <v>13024</v>
      </c>
      <c r="C4113" s="8" t="s">
        <v>9743</v>
      </c>
      <c r="D4113" s="8" t="s">
        <v>13024</v>
      </c>
      <c r="E4113" s="105">
        <v>25</v>
      </c>
      <c r="F4113" s="106" t="s">
        <v>2018</v>
      </c>
      <c r="G4113" s="8"/>
      <c r="H4113" s="8"/>
      <c r="I4113" s="107">
        <v>0</v>
      </c>
      <c r="J4113" s="8" t="s">
        <v>3580</v>
      </c>
    </row>
    <row r="4114" spans="1:10" ht="16.5" customHeight="1" x14ac:dyDescent="0.25">
      <c r="A4114" s="8" t="s">
        <v>13025</v>
      </c>
      <c r="B4114" s="8" t="s">
        <v>13026</v>
      </c>
      <c r="C4114" s="8" t="s">
        <v>9767</v>
      </c>
      <c r="D4114" s="8" t="s">
        <v>13026</v>
      </c>
      <c r="E4114" s="105">
        <v>40</v>
      </c>
      <c r="F4114" s="106" t="s">
        <v>2018</v>
      </c>
      <c r="G4114" s="8"/>
      <c r="H4114" s="8"/>
      <c r="I4114" s="107">
        <v>0</v>
      </c>
      <c r="J4114" s="8" t="s">
        <v>3580</v>
      </c>
    </row>
    <row r="4115" spans="1:10" ht="16.5" customHeight="1" x14ac:dyDescent="0.25">
      <c r="A4115" s="8" t="s">
        <v>13027</v>
      </c>
      <c r="B4115" s="8" t="s">
        <v>13028</v>
      </c>
      <c r="C4115" s="8" t="s">
        <v>9805</v>
      </c>
      <c r="D4115" s="8" t="s">
        <v>13028</v>
      </c>
      <c r="E4115" s="105">
        <v>25</v>
      </c>
      <c r="F4115" s="106" t="s">
        <v>2018</v>
      </c>
      <c r="G4115" s="8"/>
      <c r="H4115" s="8"/>
      <c r="I4115" s="107">
        <v>0</v>
      </c>
      <c r="J4115" s="8" t="s">
        <v>3580</v>
      </c>
    </row>
    <row r="4116" spans="1:10" ht="16.5" customHeight="1" x14ac:dyDescent="0.25">
      <c r="A4116" s="8" t="s">
        <v>13029</v>
      </c>
      <c r="B4116" s="8" t="s">
        <v>13030</v>
      </c>
      <c r="C4116" s="8" t="s">
        <v>9805</v>
      </c>
      <c r="D4116" s="8" t="s">
        <v>13030</v>
      </c>
      <c r="E4116" s="105">
        <v>25</v>
      </c>
      <c r="F4116" s="106" t="s">
        <v>2018</v>
      </c>
      <c r="G4116" s="8"/>
      <c r="H4116" s="8"/>
      <c r="I4116" s="107">
        <v>0</v>
      </c>
      <c r="J4116" s="8" t="s">
        <v>3580</v>
      </c>
    </row>
    <row r="4117" spans="1:10" ht="16.5" customHeight="1" x14ac:dyDescent="0.25">
      <c r="A4117" s="8" t="s">
        <v>13031</v>
      </c>
      <c r="B4117" s="8" t="s">
        <v>13032</v>
      </c>
      <c r="C4117" s="8" t="s">
        <v>13033</v>
      </c>
      <c r="D4117" s="8" t="s">
        <v>13032</v>
      </c>
      <c r="E4117" s="105">
        <v>25</v>
      </c>
      <c r="F4117" s="106" t="s">
        <v>2018</v>
      </c>
      <c r="G4117" s="8"/>
      <c r="H4117" s="8"/>
      <c r="I4117" s="107">
        <v>0</v>
      </c>
      <c r="J4117" s="8" t="s">
        <v>3580</v>
      </c>
    </row>
    <row r="4118" spans="1:10" ht="16.5" customHeight="1" x14ac:dyDescent="0.25">
      <c r="A4118" s="8" t="s">
        <v>13034</v>
      </c>
      <c r="B4118" s="8" t="s">
        <v>13035</v>
      </c>
      <c r="C4118" s="8" t="s">
        <v>13036</v>
      </c>
      <c r="D4118" s="8" t="s">
        <v>13035</v>
      </c>
      <c r="E4118" s="105">
        <v>40</v>
      </c>
      <c r="F4118" s="106" t="s">
        <v>2018</v>
      </c>
      <c r="G4118" s="8"/>
      <c r="H4118" s="8"/>
      <c r="I4118" s="107">
        <v>0</v>
      </c>
      <c r="J4118" s="8" t="s">
        <v>3580</v>
      </c>
    </row>
    <row r="4119" spans="1:10" ht="16.5" customHeight="1" x14ac:dyDescent="0.25">
      <c r="A4119" s="8" t="s">
        <v>13037</v>
      </c>
      <c r="B4119" s="8" t="s">
        <v>13038</v>
      </c>
      <c r="C4119" s="8" t="s">
        <v>10014</v>
      </c>
      <c r="D4119" s="8" t="s">
        <v>13038</v>
      </c>
      <c r="E4119" s="105">
        <v>40</v>
      </c>
      <c r="F4119" s="106" t="s">
        <v>2018</v>
      </c>
      <c r="G4119" s="8"/>
      <c r="H4119" s="8"/>
      <c r="I4119" s="107">
        <v>0</v>
      </c>
      <c r="J4119" s="8" t="s">
        <v>3580</v>
      </c>
    </row>
    <row r="4120" spans="1:10" ht="16.5" customHeight="1" x14ac:dyDescent="0.25">
      <c r="A4120" s="8" t="s">
        <v>13039</v>
      </c>
      <c r="B4120" s="8" t="s">
        <v>13040</v>
      </c>
      <c r="C4120" s="8" t="s">
        <v>10011</v>
      </c>
      <c r="D4120" s="8" t="s">
        <v>13040</v>
      </c>
      <c r="E4120" s="105">
        <v>40</v>
      </c>
      <c r="F4120" s="106" t="s">
        <v>2018</v>
      </c>
      <c r="G4120" s="8"/>
      <c r="H4120" s="8"/>
      <c r="I4120" s="107">
        <v>0</v>
      </c>
      <c r="J4120" s="8" t="s">
        <v>3580</v>
      </c>
    </row>
    <row r="4121" spans="1:10" ht="16.5" customHeight="1" x14ac:dyDescent="0.25">
      <c r="A4121" s="8" t="s">
        <v>13041</v>
      </c>
      <c r="B4121" s="8" t="s">
        <v>13042</v>
      </c>
      <c r="C4121" s="8" t="s">
        <v>13043</v>
      </c>
      <c r="D4121" s="8" t="s">
        <v>13042</v>
      </c>
      <c r="E4121" s="105">
        <v>40</v>
      </c>
      <c r="F4121" s="106" t="s">
        <v>2018</v>
      </c>
      <c r="G4121" s="8"/>
      <c r="H4121" s="8"/>
      <c r="I4121" s="107">
        <v>0</v>
      </c>
      <c r="J4121" s="8" t="s">
        <v>3580</v>
      </c>
    </row>
    <row r="4122" spans="1:10" ht="16.5" customHeight="1" x14ac:dyDescent="0.25">
      <c r="A4122" s="8" t="s">
        <v>13044</v>
      </c>
      <c r="B4122" s="8" t="s">
        <v>13045</v>
      </c>
      <c r="C4122" s="8" t="s">
        <v>13046</v>
      </c>
      <c r="D4122" s="8" t="s">
        <v>13045</v>
      </c>
      <c r="E4122" s="105">
        <v>40</v>
      </c>
      <c r="F4122" s="106" t="s">
        <v>2018</v>
      </c>
      <c r="G4122" s="8"/>
      <c r="H4122" s="8"/>
      <c r="I4122" s="107">
        <v>0</v>
      </c>
      <c r="J4122" s="8" t="s">
        <v>3580</v>
      </c>
    </row>
    <row r="4123" spans="1:10" ht="16.5" customHeight="1" x14ac:dyDescent="0.25">
      <c r="A4123" s="8" t="s">
        <v>13047</v>
      </c>
      <c r="B4123" s="8" t="s">
        <v>13048</v>
      </c>
      <c r="C4123" s="8" t="s">
        <v>9976</v>
      </c>
      <c r="D4123" s="8" t="s">
        <v>13048</v>
      </c>
      <c r="E4123" s="105">
        <v>40</v>
      </c>
      <c r="F4123" s="106" t="s">
        <v>2018</v>
      </c>
      <c r="G4123" s="8"/>
      <c r="H4123" s="8"/>
      <c r="I4123" s="107">
        <v>0</v>
      </c>
      <c r="J4123" s="8" t="s">
        <v>3580</v>
      </c>
    </row>
    <row r="4124" spans="1:10" ht="16.5" customHeight="1" x14ac:dyDescent="0.25">
      <c r="A4124" s="8" t="s">
        <v>13049</v>
      </c>
      <c r="B4124" s="8" t="s">
        <v>13050</v>
      </c>
      <c r="C4124" s="8" t="s">
        <v>13051</v>
      </c>
      <c r="D4124" s="8" t="s">
        <v>13050</v>
      </c>
      <c r="E4124" s="105">
        <v>25</v>
      </c>
      <c r="F4124" s="106" t="s">
        <v>2018</v>
      </c>
      <c r="G4124" s="8"/>
      <c r="H4124" s="8"/>
      <c r="I4124" s="107">
        <v>0</v>
      </c>
      <c r="J4124" s="8" t="s">
        <v>3580</v>
      </c>
    </row>
    <row r="4125" spans="1:10" ht="16.5" customHeight="1" x14ac:dyDescent="0.25">
      <c r="A4125" s="8" t="s">
        <v>13052</v>
      </c>
      <c r="B4125" s="8" t="s">
        <v>13053</v>
      </c>
      <c r="C4125" s="8" t="s">
        <v>13054</v>
      </c>
      <c r="D4125" s="8" t="s">
        <v>13053</v>
      </c>
      <c r="E4125" s="105">
        <v>40</v>
      </c>
      <c r="F4125" s="106" t="s">
        <v>2018</v>
      </c>
      <c r="G4125" s="8"/>
      <c r="H4125" s="8"/>
      <c r="I4125" s="107">
        <v>0</v>
      </c>
      <c r="J4125" s="8" t="s">
        <v>3580</v>
      </c>
    </row>
    <row r="4126" spans="1:10" ht="16.5" customHeight="1" x14ac:dyDescent="0.25">
      <c r="A4126" s="8" t="s">
        <v>13055</v>
      </c>
      <c r="B4126" s="8" t="s">
        <v>13056</v>
      </c>
      <c r="C4126" s="8" t="s">
        <v>13057</v>
      </c>
      <c r="D4126" s="8" t="s">
        <v>13056</v>
      </c>
      <c r="E4126" s="105">
        <v>25</v>
      </c>
      <c r="F4126" s="106" t="s">
        <v>2018</v>
      </c>
      <c r="G4126" s="8"/>
      <c r="H4126" s="8"/>
      <c r="I4126" s="107">
        <v>0</v>
      </c>
      <c r="J4126" s="8" t="s">
        <v>3580</v>
      </c>
    </row>
    <row r="4127" spans="1:10" ht="16.5" customHeight="1" x14ac:dyDescent="0.25">
      <c r="A4127" s="8" t="s">
        <v>13058</v>
      </c>
      <c r="B4127" s="8" t="s">
        <v>13059</v>
      </c>
      <c r="C4127" s="8" t="s">
        <v>12872</v>
      </c>
      <c r="D4127" s="8" t="s">
        <v>13059</v>
      </c>
      <c r="E4127" s="105">
        <v>25</v>
      </c>
      <c r="F4127" s="106" t="s">
        <v>2018</v>
      </c>
      <c r="G4127" s="8"/>
      <c r="H4127" s="8"/>
      <c r="I4127" s="107">
        <v>0</v>
      </c>
      <c r="J4127" s="8" t="s">
        <v>3580</v>
      </c>
    </row>
    <row r="4128" spans="1:10" ht="16.5" customHeight="1" x14ac:dyDescent="0.25">
      <c r="A4128" s="8" t="s">
        <v>13060</v>
      </c>
      <c r="B4128" s="8" t="s">
        <v>13061</v>
      </c>
      <c r="C4128" s="8" t="s">
        <v>13062</v>
      </c>
      <c r="D4128" s="8" t="s">
        <v>13061</v>
      </c>
      <c r="E4128" s="105">
        <v>25</v>
      </c>
      <c r="F4128" s="106" t="s">
        <v>2018</v>
      </c>
      <c r="G4128" s="8"/>
      <c r="H4128" s="8"/>
      <c r="I4128" s="107">
        <v>0</v>
      </c>
      <c r="J4128" s="8" t="s">
        <v>3580</v>
      </c>
    </row>
    <row r="4129" spans="1:10" ht="16.5" customHeight="1" x14ac:dyDescent="0.25">
      <c r="A4129" s="8" t="s">
        <v>13063</v>
      </c>
      <c r="B4129" s="8" t="s">
        <v>13064</v>
      </c>
      <c r="C4129" s="8" t="s">
        <v>10570</v>
      </c>
      <c r="D4129" s="8" t="s">
        <v>13064</v>
      </c>
      <c r="E4129" s="105">
        <v>25</v>
      </c>
      <c r="F4129" s="106" t="s">
        <v>2018</v>
      </c>
      <c r="G4129" s="8"/>
      <c r="H4129" s="8"/>
      <c r="I4129" s="107">
        <v>0</v>
      </c>
      <c r="J4129" s="8" t="s">
        <v>3580</v>
      </c>
    </row>
    <row r="4130" spans="1:10" ht="16.5" customHeight="1" x14ac:dyDescent="0.25">
      <c r="A4130" s="8" t="s">
        <v>13065</v>
      </c>
      <c r="B4130" s="8" t="s">
        <v>13066</v>
      </c>
      <c r="C4130" s="8" t="s">
        <v>10023</v>
      </c>
      <c r="D4130" s="8" t="s">
        <v>13066</v>
      </c>
      <c r="E4130" s="105">
        <v>37.5</v>
      </c>
      <c r="F4130" s="106" t="s">
        <v>2018</v>
      </c>
      <c r="G4130" s="8"/>
      <c r="H4130" s="8"/>
      <c r="I4130" s="107">
        <v>0</v>
      </c>
      <c r="J4130" s="8" t="s">
        <v>3580</v>
      </c>
    </row>
    <row r="4131" spans="1:10" ht="16.5" customHeight="1" x14ac:dyDescent="0.25">
      <c r="A4131" s="8" t="s">
        <v>13067</v>
      </c>
      <c r="B4131" s="8" t="s">
        <v>13068</v>
      </c>
      <c r="C4131" s="8" t="s">
        <v>9555</v>
      </c>
      <c r="D4131" s="8" t="s">
        <v>13068</v>
      </c>
      <c r="E4131" s="105">
        <v>40</v>
      </c>
      <c r="F4131" s="106" t="s">
        <v>2018</v>
      </c>
      <c r="G4131" s="8"/>
      <c r="H4131" s="8"/>
      <c r="I4131" s="107">
        <v>0</v>
      </c>
      <c r="J4131" s="8" t="s">
        <v>3580</v>
      </c>
    </row>
    <row r="4132" spans="1:10" ht="16.5" customHeight="1" x14ac:dyDescent="0.25">
      <c r="A4132" s="8" t="s">
        <v>13069</v>
      </c>
      <c r="B4132" s="8" t="s">
        <v>13070</v>
      </c>
      <c r="C4132" s="8" t="s">
        <v>9778</v>
      </c>
      <c r="D4132" s="8" t="s">
        <v>13070</v>
      </c>
      <c r="E4132" s="105">
        <v>25</v>
      </c>
      <c r="F4132" s="106" t="s">
        <v>2018</v>
      </c>
      <c r="G4132" s="8"/>
      <c r="H4132" s="8"/>
      <c r="I4132" s="107">
        <v>0</v>
      </c>
      <c r="J4132" s="8" t="s">
        <v>3580</v>
      </c>
    </row>
    <row r="4133" spans="1:10" ht="16.5" customHeight="1" x14ac:dyDescent="0.25">
      <c r="A4133" s="8" t="s">
        <v>13071</v>
      </c>
      <c r="B4133" s="8" t="s">
        <v>13072</v>
      </c>
      <c r="C4133" s="8" t="s">
        <v>9772</v>
      </c>
      <c r="D4133" s="8" t="s">
        <v>13072</v>
      </c>
      <c r="E4133" s="105">
        <v>40</v>
      </c>
      <c r="F4133" s="106" t="s">
        <v>2018</v>
      </c>
      <c r="G4133" s="8"/>
      <c r="H4133" s="8"/>
      <c r="I4133" s="107">
        <v>0</v>
      </c>
      <c r="J4133" s="8" t="s">
        <v>3580</v>
      </c>
    </row>
    <row r="4134" spans="1:10" ht="16.5" customHeight="1" x14ac:dyDescent="0.25">
      <c r="A4134" s="8" t="s">
        <v>13073</v>
      </c>
      <c r="B4134" s="8" t="s">
        <v>13074</v>
      </c>
      <c r="C4134" s="8" t="s">
        <v>13075</v>
      </c>
      <c r="D4134" s="8" t="s">
        <v>13074</v>
      </c>
      <c r="E4134" s="105">
        <v>40</v>
      </c>
      <c r="F4134" s="106" t="s">
        <v>2018</v>
      </c>
      <c r="G4134" s="8"/>
      <c r="H4134" s="8"/>
      <c r="I4134" s="107">
        <v>0</v>
      </c>
      <c r="J4134" s="8" t="s">
        <v>3580</v>
      </c>
    </row>
    <row r="4135" spans="1:10" ht="16.5" customHeight="1" x14ac:dyDescent="0.25">
      <c r="A4135" s="8" t="s">
        <v>13076</v>
      </c>
      <c r="B4135" s="8" t="s">
        <v>13077</v>
      </c>
      <c r="C4135" s="8" t="s">
        <v>13078</v>
      </c>
      <c r="D4135" s="8" t="s">
        <v>13077</v>
      </c>
      <c r="E4135" s="105">
        <v>40</v>
      </c>
      <c r="F4135" s="106" t="s">
        <v>2018</v>
      </c>
      <c r="G4135" s="8"/>
      <c r="H4135" s="8"/>
      <c r="I4135" s="107">
        <v>0</v>
      </c>
      <c r="J4135" s="8" t="s">
        <v>3580</v>
      </c>
    </row>
    <row r="4136" spans="1:10" ht="16.5" customHeight="1" x14ac:dyDescent="0.25">
      <c r="A4136" s="8" t="s">
        <v>13079</v>
      </c>
      <c r="B4136" s="8" t="s">
        <v>13080</v>
      </c>
      <c r="C4136" s="8" t="s">
        <v>10171</v>
      </c>
      <c r="D4136" s="8" t="s">
        <v>13080</v>
      </c>
      <c r="E4136" s="105">
        <v>40</v>
      </c>
      <c r="F4136" s="106" t="s">
        <v>2018</v>
      </c>
      <c r="G4136" s="8"/>
      <c r="H4136" s="8"/>
      <c r="I4136" s="107">
        <v>0</v>
      </c>
      <c r="J4136" s="8" t="s">
        <v>3580</v>
      </c>
    </row>
    <row r="4137" spans="1:10" ht="16.5" customHeight="1" x14ac:dyDescent="0.25">
      <c r="A4137" s="8" t="s">
        <v>13081</v>
      </c>
      <c r="B4137" s="8" t="s">
        <v>13082</v>
      </c>
      <c r="C4137" s="8" t="s">
        <v>13083</v>
      </c>
      <c r="D4137" s="8" t="s">
        <v>13082</v>
      </c>
      <c r="E4137" s="105">
        <v>40</v>
      </c>
      <c r="F4137" s="106" t="s">
        <v>2018</v>
      </c>
      <c r="G4137" s="8"/>
      <c r="H4137" s="8"/>
      <c r="I4137" s="107">
        <v>0</v>
      </c>
      <c r="J4137" s="8" t="s">
        <v>3580</v>
      </c>
    </row>
    <row r="4138" spans="1:10" ht="16.5" customHeight="1" x14ac:dyDescent="0.25">
      <c r="A4138" s="8" t="s">
        <v>13084</v>
      </c>
      <c r="B4138" s="8" t="s">
        <v>13085</v>
      </c>
      <c r="C4138" s="8" t="s">
        <v>10165</v>
      </c>
      <c r="D4138" s="8" t="s">
        <v>13085</v>
      </c>
      <c r="E4138" s="105">
        <v>40</v>
      </c>
      <c r="F4138" s="106" t="s">
        <v>2018</v>
      </c>
      <c r="G4138" s="8"/>
      <c r="H4138" s="8"/>
      <c r="I4138" s="107">
        <v>0</v>
      </c>
      <c r="J4138" s="8" t="s">
        <v>3580</v>
      </c>
    </row>
    <row r="4139" spans="1:10" ht="16.5" customHeight="1" x14ac:dyDescent="0.25">
      <c r="A4139" s="8" t="s">
        <v>13086</v>
      </c>
      <c r="B4139" s="8" t="s">
        <v>13087</v>
      </c>
      <c r="C4139" s="8" t="s">
        <v>9564</v>
      </c>
      <c r="D4139" s="8" t="s">
        <v>13087</v>
      </c>
      <c r="E4139" s="105">
        <v>40</v>
      </c>
      <c r="F4139" s="106" t="s">
        <v>2018</v>
      </c>
      <c r="G4139" s="8"/>
      <c r="H4139" s="8"/>
      <c r="I4139" s="107">
        <v>0</v>
      </c>
      <c r="J4139" s="8" t="s">
        <v>3580</v>
      </c>
    </row>
    <row r="4140" spans="1:10" ht="16.5" customHeight="1" x14ac:dyDescent="0.25">
      <c r="A4140" s="8" t="s">
        <v>13088</v>
      </c>
      <c r="B4140" s="8" t="s">
        <v>13089</v>
      </c>
      <c r="C4140" s="8" t="s">
        <v>9558</v>
      </c>
      <c r="D4140" s="8" t="s">
        <v>13089</v>
      </c>
      <c r="E4140" s="105">
        <v>40</v>
      </c>
      <c r="F4140" s="106" t="s">
        <v>2018</v>
      </c>
      <c r="G4140" s="8"/>
      <c r="H4140" s="8"/>
      <c r="I4140" s="107">
        <v>0</v>
      </c>
      <c r="J4140" s="8" t="s">
        <v>3580</v>
      </c>
    </row>
    <row r="4141" spans="1:10" ht="16.5" customHeight="1" x14ac:dyDescent="0.25">
      <c r="A4141" s="8" t="s">
        <v>1736</v>
      </c>
      <c r="B4141" s="8" t="s">
        <v>1738</v>
      </c>
      <c r="C4141" s="8" t="s">
        <v>1737</v>
      </c>
      <c r="D4141" s="8" t="s">
        <v>1738</v>
      </c>
      <c r="E4141" s="105">
        <v>10</v>
      </c>
      <c r="F4141" s="106" t="s">
        <v>2018</v>
      </c>
      <c r="G4141" s="8" t="s">
        <v>1723</v>
      </c>
      <c r="H4141" s="8" t="s">
        <v>13090</v>
      </c>
      <c r="I4141" s="107">
        <v>10</v>
      </c>
      <c r="J4141" s="8" t="s">
        <v>3580</v>
      </c>
    </row>
    <row r="4142" spans="1:10" ht="16.5" customHeight="1" x14ac:dyDescent="0.25">
      <c r="A4142" s="8" t="s">
        <v>1724</v>
      </c>
      <c r="B4142" s="8" t="s">
        <v>1726</v>
      </c>
      <c r="C4142" s="8" t="s">
        <v>1725</v>
      </c>
      <c r="D4142" s="8" t="s">
        <v>1726</v>
      </c>
      <c r="E4142" s="105">
        <v>10</v>
      </c>
      <c r="F4142" s="106" t="s">
        <v>2018</v>
      </c>
      <c r="G4142" s="8" t="s">
        <v>1723</v>
      </c>
      <c r="H4142" s="8" t="s">
        <v>13091</v>
      </c>
      <c r="I4142" s="107">
        <v>10</v>
      </c>
      <c r="J4142" s="8" t="s">
        <v>3580</v>
      </c>
    </row>
    <row r="4143" spans="1:10" ht="16.5" customHeight="1" x14ac:dyDescent="0.25">
      <c r="A4143" s="8" t="s">
        <v>13092</v>
      </c>
      <c r="B4143" s="8" t="s">
        <v>13093</v>
      </c>
      <c r="C4143" s="8" t="s">
        <v>10048</v>
      </c>
      <c r="D4143" s="8" t="s">
        <v>13093</v>
      </c>
      <c r="E4143" s="105">
        <v>40</v>
      </c>
      <c r="F4143" s="106" t="s">
        <v>2018</v>
      </c>
      <c r="G4143" s="8"/>
      <c r="H4143" s="8"/>
      <c r="I4143" s="107">
        <v>0</v>
      </c>
      <c r="J4143" s="8" t="s">
        <v>3580</v>
      </c>
    </row>
    <row r="4144" spans="1:10" ht="16.5" customHeight="1" x14ac:dyDescent="0.25">
      <c r="A4144" s="8" t="s">
        <v>13094</v>
      </c>
      <c r="B4144" s="8" t="s">
        <v>13095</v>
      </c>
      <c r="C4144" s="8" t="s">
        <v>10204</v>
      </c>
      <c r="D4144" s="8" t="s">
        <v>13095</v>
      </c>
      <c r="E4144" s="105">
        <v>25</v>
      </c>
      <c r="F4144" s="106" t="s">
        <v>2018</v>
      </c>
      <c r="G4144" s="8"/>
      <c r="H4144" s="8"/>
      <c r="I4144" s="107">
        <v>0</v>
      </c>
      <c r="J4144" s="8" t="s">
        <v>3580</v>
      </c>
    </row>
    <row r="4145" spans="1:10" ht="16.5" customHeight="1" x14ac:dyDescent="0.25">
      <c r="A4145" s="8" t="s">
        <v>13096</v>
      </c>
      <c r="B4145" s="8" t="s">
        <v>13097</v>
      </c>
      <c r="C4145" s="8" t="s">
        <v>9775</v>
      </c>
      <c r="D4145" s="8" t="s">
        <v>13097</v>
      </c>
      <c r="E4145" s="105">
        <v>40</v>
      </c>
      <c r="F4145" s="106" t="s">
        <v>2018</v>
      </c>
      <c r="G4145" s="8"/>
      <c r="H4145" s="8"/>
      <c r="I4145" s="107">
        <v>0</v>
      </c>
      <c r="J4145" s="8" t="s">
        <v>3580</v>
      </c>
    </row>
    <row r="4146" spans="1:10" ht="16.5" customHeight="1" x14ac:dyDescent="0.25">
      <c r="A4146" s="8" t="s">
        <v>13098</v>
      </c>
      <c r="B4146" s="8" t="s">
        <v>13099</v>
      </c>
      <c r="C4146" s="8" t="s">
        <v>13100</v>
      </c>
      <c r="D4146" s="8" t="s">
        <v>13099</v>
      </c>
      <c r="E4146" s="105">
        <v>40</v>
      </c>
      <c r="F4146" s="106" t="s">
        <v>2018</v>
      </c>
      <c r="G4146" s="8"/>
      <c r="H4146" s="8"/>
      <c r="I4146" s="107">
        <v>0</v>
      </c>
      <c r="J4146" s="8" t="s">
        <v>3580</v>
      </c>
    </row>
    <row r="4147" spans="1:10" ht="16.5" customHeight="1" x14ac:dyDescent="0.25">
      <c r="A4147" s="8" t="s">
        <v>13101</v>
      </c>
      <c r="B4147" s="8" t="s">
        <v>13102</v>
      </c>
      <c r="C4147" s="8" t="s">
        <v>13103</v>
      </c>
      <c r="D4147" s="8" t="s">
        <v>13102</v>
      </c>
      <c r="E4147" s="105">
        <v>40</v>
      </c>
      <c r="F4147" s="106" t="s">
        <v>2018</v>
      </c>
      <c r="G4147" s="8"/>
      <c r="H4147" s="8"/>
      <c r="I4147" s="107">
        <v>0</v>
      </c>
      <c r="J4147" s="8" t="s">
        <v>3580</v>
      </c>
    </row>
    <row r="4148" spans="1:10" ht="16.5" customHeight="1" x14ac:dyDescent="0.25">
      <c r="A4148" s="8" t="s">
        <v>13104</v>
      </c>
      <c r="B4148" s="8" t="s">
        <v>13105</v>
      </c>
      <c r="C4148" s="8" t="s">
        <v>10153</v>
      </c>
      <c r="D4148" s="8" t="s">
        <v>13105</v>
      </c>
      <c r="E4148" s="105">
        <v>40</v>
      </c>
      <c r="F4148" s="106" t="s">
        <v>2018</v>
      </c>
      <c r="G4148" s="8"/>
      <c r="H4148" s="8"/>
      <c r="I4148" s="107">
        <v>0</v>
      </c>
      <c r="J4148" s="8" t="s">
        <v>3580</v>
      </c>
    </row>
    <row r="4149" spans="1:10" ht="16.5" customHeight="1" x14ac:dyDescent="0.25">
      <c r="A4149" s="8" t="s">
        <v>13106</v>
      </c>
      <c r="B4149" s="8" t="s">
        <v>13107</v>
      </c>
      <c r="C4149" s="8" t="s">
        <v>10156</v>
      </c>
      <c r="D4149" s="8" t="s">
        <v>13107</v>
      </c>
      <c r="E4149" s="105">
        <v>40</v>
      </c>
      <c r="F4149" s="106" t="s">
        <v>2018</v>
      </c>
      <c r="G4149" s="8"/>
      <c r="H4149" s="8"/>
      <c r="I4149" s="107">
        <v>0</v>
      </c>
      <c r="J4149" s="8" t="s">
        <v>3580</v>
      </c>
    </row>
    <row r="4150" spans="1:10" ht="16.5" customHeight="1" x14ac:dyDescent="0.25">
      <c r="A4150" s="8" t="s">
        <v>13108</v>
      </c>
      <c r="B4150" s="8" t="s">
        <v>13109</v>
      </c>
      <c r="C4150" s="8" t="s">
        <v>10159</v>
      </c>
      <c r="D4150" s="8" t="s">
        <v>13109</v>
      </c>
      <c r="E4150" s="105">
        <v>40</v>
      </c>
      <c r="F4150" s="106" t="s">
        <v>2018</v>
      </c>
      <c r="G4150" s="8"/>
      <c r="H4150" s="8"/>
      <c r="I4150" s="107">
        <v>0</v>
      </c>
      <c r="J4150" s="8" t="s">
        <v>3580</v>
      </c>
    </row>
    <row r="4151" spans="1:10" ht="16.5" customHeight="1" x14ac:dyDescent="0.25">
      <c r="A4151" s="8" t="s">
        <v>13110</v>
      </c>
      <c r="B4151" s="8" t="s">
        <v>13111</v>
      </c>
      <c r="C4151" s="8" t="s">
        <v>13112</v>
      </c>
      <c r="D4151" s="8" t="s">
        <v>13111</v>
      </c>
      <c r="E4151" s="105">
        <v>40</v>
      </c>
      <c r="F4151" s="106" t="s">
        <v>2018</v>
      </c>
      <c r="G4151" s="8"/>
      <c r="H4151" s="8"/>
      <c r="I4151" s="107">
        <v>0</v>
      </c>
      <c r="J4151" s="8" t="s">
        <v>3580</v>
      </c>
    </row>
    <row r="4152" spans="1:10" ht="16.5" customHeight="1" x14ac:dyDescent="0.25">
      <c r="A4152" s="8" t="s">
        <v>13113</v>
      </c>
      <c r="B4152" s="8" t="s">
        <v>13114</v>
      </c>
      <c r="C4152" s="8" t="s">
        <v>10008</v>
      </c>
      <c r="D4152" s="8" t="s">
        <v>13114</v>
      </c>
      <c r="E4152" s="105">
        <v>40</v>
      </c>
      <c r="F4152" s="106" t="s">
        <v>2018</v>
      </c>
      <c r="G4152" s="8"/>
      <c r="H4152" s="8"/>
      <c r="I4152" s="107">
        <v>0</v>
      </c>
      <c r="J4152" s="8" t="s">
        <v>3580</v>
      </c>
    </row>
    <row r="4153" spans="1:10" ht="16.5" customHeight="1" x14ac:dyDescent="0.25">
      <c r="A4153" s="8" t="s">
        <v>13115</v>
      </c>
      <c r="B4153" s="8" t="s">
        <v>13116</v>
      </c>
      <c r="C4153" s="8" t="s">
        <v>10186</v>
      </c>
      <c r="D4153" s="8" t="s">
        <v>13116</v>
      </c>
      <c r="E4153" s="105">
        <v>25</v>
      </c>
      <c r="F4153" s="106" t="s">
        <v>2018</v>
      </c>
      <c r="G4153" s="8"/>
      <c r="H4153" s="8"/>
      <c r="I4153" s="107">
        <v>0</v>
      </c>
      <c r="J4153" s="8" t="s">
        <v>3580</v>
      </c>
    </row>
    <row r="4154" spans="1:10" ht="16.5" customHeight="1" x14ac:dyDescent="0.25">
      <c r="A4154" s="8" t="s">
        <v>13117</v>
      </c>
      <c r="B4154" s="8" t="s">
        <v>13118</v>
      </c>
      <c r="C4154" s="8" t="s">
        <v>9561</v>
      </c>
      <c r="D4154" s="8" t="s">
        <v>13118</v>
      </c>
      <c r="E4154" s="105">
        <v>40</v>
      </c>
      <c r="F4154" s="106" t="s">
        <v>2018</v>
      </c>
      <c r="G4154" s="8"/>
      <c r="H4154" s="8"/>
      <c r="I4154" s="107">
        <v>0</v>
      </c>
      <c r="J4154" s="8" t="s">
        <v>3580</v>
      </c>
    </row>
    <row r="4155" spans="1:10" ht="16.5" customHeight="1" x14ac:dyDescent="0.25">
      <c r="A4155" s="8" t="s">
        <v>13119</v>
      </c>
      <c r="B4155" s="8" t="s">
        <v>13120</v>
      </c>
      <c r="C4155" s="8" t="s">
        <v>10180</v>
      </c>
      <c r="D4155" s="8" t="s">
        <v>13120</v>
      </c>
      <c r="E4155" s="105">
        <v>25</v>
      </c>
      <c r="F4155" s="106" t="s">
        <v>2018</v>
      </c>
      <c r="G4155" s="8"/>
      <c r="H4155" s="8"/>
      <c r="I4155" s="107">
        <v>0</v>
      </c>
      <c r="J4155" s="8" t="s">
        <v>3580</v>
      </c>
    </row>
    <row r="4156" spans="1:10" ht="16.5" customHeight="1" x14ac:dyDescent="0.25">
      <c r="A4156" s="8" t="s">
        <v>13121</v>
      </c>
      <c r="B4156" s="8" t="s">
        <v>13122</v>
      </c>
      <c r="C4156" s="8" t="s">
        <v>10183</v>
      </c>
      <c r="D4156" s="8" t="s">
        <v>13122</v>
      </c>
      <c r="E4156" s="105">
        <v>25</v>
      </c>
      <c r="F4156" s="106" t="s">
        <v>2018</v>
      </c>
      <c r="G4156" s="8"/>
      <c r="H4156" s="8"/>
      <c r="I4156" s="107">
        <v>0</v>
      </c>
      <c r="J4156" s="8" t="s">
        <v>3580</v>
      </c>
    </row>
    <row r="4157" spans="1:10" ht="16.5" customHeight="1" x14ac:dyDescent="0.25">
      <c r="A4157" s="8" t="s">
        <v>13123</v>
      </c>
      <c r="B4157" s="8" t="s">
        <v>13124</v>
      </c>
      <c r="C4157" s="8" t="s">
        <v>7124</v>
      </c>
      <c r="D4157" s="8" t="s">
        <v>13124</v>
      </c>
      <c r="E4157" s="105">
        <v>15</v>
      </c>
      <c r="F4157" s="106" t="s">
        <v>2018</v>
      </c>
      <c r="G4157" s="8"/>
      <c r="H4157" s="8"/>
      <c r="I4157" s="107">
        <v>0</v>
      </c>
      <c r="J4157" s="8" t="s">
        <v>3580</v>
      </c>
    </row>
    <row r="4158" spans="1:10" ht="16.5" customHeight="1" x14ac:dyDescent="0.25">
      <c r="A4158" s="8" t="s">
        <v>13125</v>
      </c>
      <c r="B4158" s="8" t="s">
        <v>13126</v>
      </c>
      <c r="C4158" s="8" t="s">
        <v>13127</v>
      </c>
      <c r="D4158" s="8" t="s">
        <v>13126</v>
      </c>
      <c r="E4158" s="105">
        <v>25</v>
      </c>
      <c r="F4158" s="106" t="s">
        <v>2018</v>
      </c>
      <c r="G4158" s="8"/>
      <c r="H4158" s="8"/>
      <c r="I4158" s="107">
        <v>0</v>
      </c>
      <c r="J4158" s="8" t="s">
        <v>3580</v>
      </c>
    </row>
    <row r="4159" spans="1:10" ht="16.5" customHeight="1" x14ac:dyDescent="0.25">
      <c r="A4159" s="8" t="s">
        <v>13128</v>
      </c>
      <c r="B4159" s="8" t="s">
        <v>13129</v>
      </c>
      <c r="C4159" s="8" t="s">
        <v>13130</v>
      </c>
      <c r="D4159" s="8" t="s">
        <v>13129</v>
      </c>
      <c r="E4159" s="105">
        <v>40</v>
      </c>
      <c r="F4159" s="106" t="s">
        <v>2018</v>
      </c>
      <c r="G4159" s="8"/>
      <c r="H4159" s="8"/>
      <c r="I4159" s="107">
        <v>0</v>
      </c>
      <c r="J4159" s="8" t="s">
        <v>3580</v>
      </c>
    </row>
    <row r="4160" spans="1:10" ht="16.5" customHeight="1" x14ac:dyDescent="0.25">
      <c r="A4160" s="8" t="s">
        <v>1742</v>
      </c>
      <c r="B4160" s="8" t="s">
        <v>1744</v>
      </c>
      <c r="C4160" s="8" t="s">
        <v>1743</v>
      </c>
      <c r="D4160" s="8" t="s">
        <v>1744</v>
      </c>
      <c r="E4160" s="105">
        <v>10</v>
      </c>
      <c r="F4160" s="106" t="s">
        <v>2018</v>
      </c>
      <c r="G4160" s="8"/>
      <c r="H4160" s="8" t="s">
        <v>13131</v>
      </c>
      <c r="I4160" s="107">
        <v>20</v>
      </c>
      <c r="J4160" s="8" t="s">
        <v>3580</v>
      </c>
    </row>
    <row r="4161" spans="1:10" ht="16.5" customHeight="1" x14ac:dyDescent="0.25">
      <c r="A4161" s="8" t="s">
        <v>1733</v>
      </c>
      <c r="B4161" s="8" t="s">
        <v>1735</v>
      </c>
      <c r="C4161" s="8" t="s">
        <v>1734</v>
      </c>
      <c r="D4161" s="8" t="s">
        <v>1735</v>
      </c>
      <c r="E4161" s="105">
        <v>10</v>
      </c>
      <c r="F4161" s="106" t="s">
        <v>2018</v>
      </c>
      <c r="G4161" s="8"/>
      <c r="H4161" s="8" t="s">
        <v>13132</v>
      </c>
      <c r="I4161" s="107">
        <v>10</v>
      </c>
      <c r="J4161" s="8" t="s">
        <v>3580</v>
      </c>
    </row>
    <row r="4162" spans="1:10" ht="16.5" customHeight="1" x14ac:dyDescent="0.25">
      <c r="A4162" s="8" t="s">
        <v>13133</v>
      </c>
      <c r="B4162" s="8" t="s">
        <v>13134</v>
      </c>
      <c r="C4162" s="8" t="s">
        <v>7495</v>
      </c>
      <c r="D4162" s="8" t="s">
        <v>13134</v>
      </c>
      <c r="E4162" s="105">
        <v>1</v>
      </c>
      <c r="F4162" s="106" t="s">
        <v>2018</v>
      </c>
      <c r="G4162" s="8"/>
      <c r="H4162" s="8"/>
      <c r="I4162" s="107">
        <v>0</v>
      </c>
      <c r="J4162" s="8" t="s">
        <v>3580</v>
      </c>
    </row>
    <row r="4163" spans="1:10" ht="16.5" customHeight="1" x14ac:dyDescent="0.25">
      <c r="A4163" s="8" t="s">
        <v>13135</v>
      </c>
      <c r="B4163" s="8" t="s">
        <v>13136</v>
      </c>
      <c r="C4163" s="8" t="s">
        <v>7297</v>
      </c>
      <c r="D4163" s="8" t="s">
        <v>13136</v>
      </c>
      <c r="E4163" s="105">
        <v>5</v>
      </c>
      <c r="F4163" s="106" t="s">
        <v>2018</v>
      </c>
      <c r="G4163" s="8"/>
      <c r="H4163" s="8"/>
      <c r="I4163" s="107">
        <v>0</v>
      </c>
      <c r="J4163" s="8" t="s">
        <v>3580</v>
      </c>
    </row>
    <row r="4164" spans="1:10" ht="16.5" customHeight="1" x14ac:dyDescent="0.25">
      <c r="A4164" s="8" t="s">
        <v>13137</v>
      </c>
      <c r="B4164" s="8" t="s">
        <v>13138</v>
      </c>
      <c r="C4164" s="8" t="s">
        <v>7507</v>
      </c>
      <c r="D4164" s="8" t="s">
        <v>13138</v>
      </c>
      <c r="E4164" s="105">
        <v>2</v>
      </c>
      <c r="F4164" s="106" t="s">
        <v>2018</v>
      </c>
      <c r="G4164" s="8"/>
      <c r="H4164" s="8"/>
      <c r="I4164" s="107">
        <v>0</v>
      </c>
      <c r="J4164" s="8" t="s">
        <v>3580</v>
      </c>
    </row>
    <row r="4165" spans="1:10" ht="16.5" customHeight="1" x14ac:dyDescent="0.25">
      <c r="A4165" s="8" t="s">
        <v>13139</v>
      </c>
      <c r="B4165" s="8" t="s">
        <v>13140</v>
      </c>
      <c r="C4165" s="8" t="s">
        <v>8240</v>
      </c>
      <c r="D4165" s="8" t="s">
        <v>13140</v>
      </c>
      <c r="E4165" s="105">
        <v>3</v>
      </c>
      <c r="F4165" s="106" t="s">
        <v>2018</v>
      </c>
      <c r="G4165" s="8"/>
      <c r="H4165" s="8"/>
      <c r="I4165" s="107">
        <v>0</v>
      </c>
      <c r="J4165" s="8" t="s">
        <v>3580</v>
      </c>
    </row>
    <row r="4166" spans="1:10" ht="16.5" customHeight="1" x14ac:dyDescent="0.25">
      <c r="A4166" s="8" t="s">
        <v>13141</v>
      </c>
      <c r="B4166" s="8" t="s">
        <v>13142</v>
      </c>
      <c r="C4166" s="8" t="s">
        <v>7430</v>
      </c>
      <c r="D4166" s="8" t="s">
        <v>13142</v>
      </c>
      <c r="E4166" s="105">
        <v>40</v>
      </c>
      <c r="F4166" s="106" t="s">
        <v>2018</v>
      </c>
      <c r="G4166" s="8"/>
      <c r="H4166" s="8"/>
      <c r="I4166" s="107">
        <v>0</v>
      </c>
      <c r="J4166" s="8" t="s">
        <v>3580</v>
      </c>
    </row>
    <row r="4167" spans="1:10" ht="16.5" customHeight="1" x14ac:dyDescent="0.25">
      <c r="A4167" s="8" t="s">
        <v>13143</v>
      </c>
      <c r="B4167" s="8" t="s">
        <v>13144</v>
      </c>
      <c r="C4167" s="8" t="s">
        <v>9767</v>
      </c>
      <c r="D4167" s="8" t="s">
        <v>13144</v>
      </c>
      <c r="E4167" s="105">
        <v>40</v>
      </c>
      <c r="F4167" s="106" t="s">
        <v>2018</v>
      </c>
      <c r="G4167" s="8"/>
      <c r="H4167" s="8"/>
      <c r="I4167" s="107">
        <v>0</v>
      </c>
      <c r="J4167" s="8" t="s">
        <v>3580</v>
      </c>
    </row>
    <row r="4168" spans="1:10" ht="16.5" customHeight="1" x14ac:dyDescent="0.25">
      <c r="A4168" s="8" t="s">
        <v>13145</v>
      </c>
      <c r="B4168" s="8" t="s">
        <v>13146</v>
      </c>
      <c r="C4168" s="8" t="s">
        <v>13147</v>
      </c>
      <c r="D4168" s="8" t="s">
        <v>13146</v>
      </c>
      <c r="E4168" s="105">
        <v>25</v>
      </c>
      <c r="F4168" s="106" t="s">
        <v>2018</v>
      </c>
      <c r="G4168" s="8"/>
      <c r="H4168" s="8"/>
      <c r="I4168" s="107">
        <v>0</v>
      </c>
      <c r="J4168" s="8" t="s">
        <v>3580</v>
      </c>
    </row>
    <row r="4169" spans="1:10" ht="16.5" customHeight="1" x14ac:dyDescent="0.25">
      <c r="A4169" s="8" t="s">
        <v>13148</v>
      </c>
      <c r="B4169" s="8" t="s">
        <v>13149</v>
      </c>
      <c r="C4169" s="8" t="s">
        <v>10177</v>
      </c>
      <c r="D4169" s="8" t="s">
        <v>13149</v>
      </c>
      <c r="E4169" s="105">
        <v>40</v>
      </c>
      <c r="F4169" s="106" t="s">
        <v>2018</v>
      </c>
      <c r="G4169" s="8"/>
      <c r="H4169" s="8"/>
      <c r="I4169" s="107">
        <v>0</v>
      </c>
      <c r="J4169" s="8" t="s">
        <v>3580</v>
      </c>
    </row>
    <row r="4170" spans="1:10" ht="16.5" customHeight="1" x14ac:dyDescent="0.25">
      <c r="A4170" s="8" t="s">
        <v>13150</v>
      </c>
      <c r="B4170" s="8" t="s">
        <v>13151</v>
      </c>
      <c r="C4170" s="8" t="s">
        <v>9772</v>
      </c>
      <c r="D4170" s="8" t="s">
        <v>13151</v>
      </c>
      <c r="E4170" s="105">
        <v>40</v>
      </c>
      <c r="F4170" s="106" t="s">
        <v>2018</v>
      </c>
      <c r="G4170" s="8"/>
      <c r="H4170" s="8"/>
      <c r="I4170" s="107">
        <v>0</v>
      </c>
      <c r="J4170" s="8" t="s">
        <v>3580</v>
      </c>
    </row>
    <row r="4171" spans="1:10" ht="16.5" customHeight="1" x14ac:dyDescent="0.25">
      <c r="A4171" s="8" t="s">
        <v>13152</v>
      </c>
      <c r="B4171" s="8" t="s">
        <v>13153</v>
      </c>
      <c r="C4171" s="8" t="s">
        <v>9772</v>
      </c>
      <c r="D4171" s="8" t="s">
        <v>13153</v>
      </c>
      <c r="E4171" s="105">
        <v>40</v>
      </c>
      <c r="F4171" s="106" t="s">
        <v>2018</v>
      </c>
      <c r="G4171" s="8"/>
      <c r="H4171" s="8"/>
      <c r="I4171" s="107">
        <v>0</v>
      </c>
      <c r="J4171" s="8" t="s">
        <v>3580</v>
      </c>
    </row>
    <row r="4172" spans="1:10" ht="16.5" customHeight="1" x14ac:dyDescent="0.25">
      <c r="A4172" s="8" t="s">
        <v>13154</v>
      </c>
      <c r="B4172" s="8" t="s">
        <v>13155</v>
      </c>
      <c r="C4172" s="8" t="s">
        <v>9521</v>
      </c>
      <c r="D4172" s="8" t="s">
        <v>13155</v>
      </c>
      <c r="E4172" s="105">
        <v>25</v>
      </c>
      <c r="F4172" s="106" t="s">
        <v>2018</v>
      </c>
      <c r="G4172" s="8"/>
      <c r="H4172" s="8"/>
      <c r="I4172" s="107">
        <v>0</v>
      </c>
      <c r="J4172" s="8" t="s">
        <v>3580</v>
      </c>
    </row>
    <row r="4173" spans="1:10" ht="16.5" customHeight="1" x14ac:dyDescent="0.25">
      <c r="A4173" s="8" t="s">
        <v>13156</v>
      </c>
      <c r="B4173" s="8" t="s">
        <v>13157</v>
      </c>
      <c r="C4173" s="8" t="s">
        <v>13158</v>
      </c>
      <c r="D4173" s="8" t="s">
        <v>13157</v>
      </c>
      <c r="E4173" s="105">
        <v>40</v>
      </c>
      <c r="F4173" s="106" t="s">
        <v>2018</v>
      </c>
      <c r="G4173" s="8"/>
      <c r="H4173" s="8"/>
      <c r="I4173" s="107">
        <v>0</v>
      </c>
      <c r="J4173" s="8" t="s">
        <v>3580</v>
      </c>
    </row>
    <row r="4174" spans="1:10" ht="16.5" customHeight="1" x14ac:dyDescent="0.25">
      <c r="A4174" s="8" t="s">
        <v>13159</v>
      </c>
      <c r="B4174" s="8" t="s">
        <v>13160</v>
      </c>
      <c r="C4174" s="8" t="s">
        <v>13161</v>
      </c>
      <c r="D4174" s="8" t="s">
        <v>13160</v>
      </c>
      <c r="E4174" s="105">
        <v>25</v>
      </c>
      <c r="F4174" s="106" t="s">
        <v>2018</v>
      </c>
      <c r="G4174" s="8"/>
      <c r="H4174" s="8"/>
      <c r="I4174" s="107">
        <v>0</v>
      </c>
      <c r="J4174" s="8" t="s">
        <v>3580</v>
      </c>
    </row>
    <row r="4175" spans="1:10" ht="16.5" customHeight="1" x14ac:dyDescent="0.25">
      <c r="A4175" s="8" t="s">
        <v>13162</v>
      </c>
      <c r="B4175" s="8" t="s">
        <v>13163</v>
      </c>
      <c r="C4175" s="8" t="s">
        <v>10048</v>
      </c>
      <c r="D4175" s="8" t="s">
        <v>13163</v>
      </c>
      <c r="E4175" s="105">
        <v>40</v>
      </c>
      <c r="F4175" s="106" t="s">
        <v>2018</v>
      </c>
      <c r="G4175" s="8"/>
      <c r="H4175" s="8"/>
      <c r="I4175" s="107">
        <v>0</v>
      </c>
      <c r="J4175" s="8" t="s">
        <v>3580</v>
      </c>
    </row>
    <row r="4176" spans="1:10" ht="16.5" customHeight="1" x14ac:dyDescent="0.25">
      <c r="A4176" s="8" t="s">
        <v>13164</v>
      </c>
      <c r="B4176" s="8" t="s">
        <v>13165</v>
      </c>
      <c r="C4176" s="8" t="s">
        <v>9645</v>
      </c>
      <c r="D4176" s="8" t="s">
        <v>13165</v>
      </c>
      <c r="E4176" s="105">
        <v>25</v>
      </c>
      <c r="F4176" s="106" t="s">
        <v>2018</v>
      </c>
      <c r="G4176" s="8"/>
      <c r="H4176" s="8"/>
      <c r="I4176" s="107">
        <v>0</v>
      </c>
      <c r="J4176" s="8" t="s">
        <v>3580</v>
      </c>
    </row>
    <row r="4177" spans="1:10" ht="16.5" customHeight="1" x14ac:dyDescent="0.25">
      <c r="A4177" s="8" t="s">
        <v>13166</v>
      </c>
      <c r="B4177" s="8" t="s">
        <v>13167</v>
      </c>
      <c r="C4177" s="8" t="s">
        <v>9983</v>
      </c>
      <c r="D4177" s="8" t="s">
        <v>13167</v>
      </c>
      <c r="E4177" s="105">
        <v>25</v>
      </c>
      <c r="F4177" s="106" t="s">
        <v>2018</v>
      </c>
      <c r="G4177" s="8"/>
      <c r="H4177" s="8"/>
      <c r="I4177" s="107">
        <v>0</v>
      </c>
      <c r="J4177" s="8" t="s">
        <v>3580</v>
      </c>
    </row>
    <row r="4178" spans="1:10" ht="16.5" customHeight="1" x14ac:dyDescent="0.25">
      <c r="A4178" s="8" t="s">
        <v>13168</v>
      </c>
      <c r="B4178" s="8" t="s">
        <v>13169</v>
      </c>
      <c r="C4178" s="8" t="s">
        <v>9983</v>
      </c>
      <c r="D4178" s="8" t="s">
        <v>13169</v>
      </c>
      <c r="E4178" s="105">
        <v>25</v>
      </c>
      <c r="F4178" s="106" t="s">
        <v>2018</v>
      </c>
      <c r="G4178" s="8"/>
      <c r="H4178" s="8"/>
      <c r="I4178" s="107">
        <v>0</v>
      </c>
      <c r="J4178" s="8" t="s">
        <v>3580</v>
      </c>
    </row>
    <row r="4179" spans="1:10" ht="16.5" customHeight="1" x14ac:dyDescent="0.25">
      <c r="A4179" s="8" t="s">
        <v>13170</v>
      </c>
      <c r="B4179" s="8" t="s">
        <v>13171</v>
      </c>
      <c r="C4179" s="8" t="s">
        <v>10008</v>
      </c>
      <c r="D4179" s="8" t="s">
        <v>13171</v>
      </c>
      <c r="E4179" s="105">
        <v>40</v>
      </c>
      <c r="F4179" s="106" t="s">
        <v>2018</v>
      </c>
      <c r="G4179" s="8"/>
      <c r="H4179" s="8"/>
      <c r="I4179" s="107">
        <v>0</v>
      </c>
      <c r="J4179" s="8" t="s">
        <v>3580</v>
      </c>
    </row>
    <row r="4180" spans="1:10" ht="16.5" customHeight="1" x14ac:dyDescent="0.25">
      <c r="A4180" s="8" t="s">
        <v>13172</v>
      </c>
      <c r="B4180" s="8" t="s">
        <v>13173</v>
      </c>
      <c r="C4180" s="8" t="s">
        <v>9795</v>
      </c>
      <c r="D4180" s="8" t="s">
        <v>13173</v>
      </c>
      <c r="E4180" s="105">
        <v>25</v>
      </c>
      <c r="F4180" s="106" t="s">
        <v>2018</v>
      </c>
      <c r="G4180" s="8"/>
      <c r="H4180" s="8"/>
      <c r="I4180" s="107">
        <v>0</v>
      </c>
      <c r="J4180" s="8" t="s">
        <v>3580</v>
      </c>
    </row>
    <row r="4181" spans="1:10" ht="16.5" customHeight="1" x14ac:dyDescent="0.25">
      <c r="A4181" s="8" t="s">
        <v>13174</v>
      </c>
      <c r="B4181" s="8" t="s">
        <v>13175</v>
      </c>
      <c r="C4181" s="8" t="s">
        <v>13176</v>
      </c>
      <c r="D4181" s="8" t="s">
        <v>13175</v>
      </c>
      <c r="E4181" s="105">
        <v>40</v>
      </c>
      <c r="F4181" s="106" t="s">
        <v>2018</v>
      </c>
      <c r="G4181" s="8"/>
      <c r="H4181" s="8"/>
      <c r="I4181" s="107">
        <v>0</v>
      </c>
      <c r="J4181" s="8" t="s">
        <v>3580</v>
      </c>
    </row>
    <row r="4182" spans="1:10" ht="16.5" customHeight="1" x14ac:dyDescent="0.25">
      <c r="A4182" s="8" t="s">
        <v>13177</v>
      </c>
      <c r="B4182" s="8" t="s">
        <v>13178</v>
      </c>
      <c r="C4182" s="8" t="s">
        <v>9813</v>
      </c>
      <c r="D4182" s="8" t="s">
        <v>13178</v>
      </c>
      <c r="E4182" s="105">
        <v>25</v>
      </c>
      <c r="F4182" s="106" t="s">
        <v>2018</v>
      </c>
      <c r="G4182" s="8"/>
      <c r="H4182" s="8"/>
      <c r="I4182" s="107">
        <v>0</v>
      </c>
      <c r="J4182" s="8" t="s">
        <v>3580</v>
      </c>
    </row>
    <row r="4183" spans="1:10" ht="16.5" customHeight="1" x14ac:dyDescent="0.25">
      <c r="A4183" s="8" t="s">
        <v>13131</v>
      </c>
      <c r="B4183" s="8" t="s">
        <v>13179</v>
      </c>
      <c r="C4183" s="8" t="s">
        <v>10946</v>
      </c>
      <c r="D4183" s="8" t="s">
        <v>13179</v>
      </c>
      <c r="E4183" s="105">
        <v>0.5</v>
      </c>
      <c r="F4183" s="106" t="s">
        <v>2018</v>
      </c>
      <c r="G4183" s="8"/>
      <c r="H4183" s="8"/>
      <c r="I4183" s="107">
        <v>0</v>
      </c>
      <c r="J4183" s="8" t="s">
        <v>3580</v>
      </c>
    </row>
    <row r="4184" spans="1:10" ht="16.5" customHeight="1" x14ac:dyDescent="0.25">
      <c r="A4184" s="8" t="s">
        <v>13132</v>
      </c>
      <c r="B4184" s="8" t="s">
        <v>13180</v>
      </c>
      <c r="C4184" s="8" t="s">
        <v>10891</v>
      </c>
      <c r="D4184" s="8" t="s">
        <v>13180</v>
      </c>
      <c r="E4184" s="105">
        <v>1</v>
      </c>
      <c r="F4184" s="106" t="s">
        <v>2018</v>
      </c>
      <c r="G4184" s="8"/>
      <c r="H4184" s="8"/>
      <c r="I4184" s="107">
        <v>0</v>
      </c>
      <c r="J4184" s="8" t="s">
        <v>3580</v>
      </c>
    </row>
    <row r="4185" spans="1:10" ht="16.5" customHeight="1" x14ac:dyDescent="0.25">
      <c r="A4185" s="8" t="s">
        <v>13090</v>
      </c>
      <c r="B4185" s="8" t="s">
        <v>13181</v>
      </c>
      <c r="C4185" s="8" t="s">
        <v>10686</v>
      </c>
      <c r="D4185" s="8" t="s">
        <v>13181</v>
      </c>
      <c r="E4185" s="105">
        <v>1</v>
      </c>
      <c r="F4185" s="106" t="s">
        <v>2018</v>
      </c>
      <c r="G4185" s="8" t="s">
        <v>1723</v>
      </c>
      <c r="H4185" s="8"/>
      <c r="I4185" s="107">
        <v>0</v>
      </c>
      <c r="J4185" s="8" t="s">
        <v>3580</v>
      </c>
    </row>
    <row r="4186" spans="1:10" ht="16.5" customHeight="1" x14ac:dyDescent="0.25">
      <c r="A4186" s="8" t="s">
        <v>13091</v>
      </c>
      <c r="B4186" s="8" t="s">
        <v>13182</v>
      </c>
      <c r="C4186" s="8" t="s">
        <v>10680</v>
      </c>
      <c r="D4186" s="8" t="s">
        <v>13182</v>
      </c>
      <c r="E4186" s="105">
        <v>1</v>
      </c>
      <c r="F4186" s="106" t="s">
        <v>2018</v>
      </c>
      <c r="G4186" s="8" t="s">
        <v>1723</v>
      </c>
      <c r="H4186" s="8"/>
      <c r="I4186" s="107">
        <v>0</v>
      </c>
      <c r="J4186" s="8" t="s">
        <v>3580</v>
      </c>
    </row>
    <row r="4187" spans="1:10" ht="16.5" customHeight="1" x14ac:dyDescent="0.25">
      <c r="A4187" s="8" t="s">
        <v>13183</v>
      </c>
      <c r="B4187" s="8" t="s">
        <v>13184</v>
      </c>
      <c r="C4187" s="8" t="s">
        <v>9810</v>
      </c>
      <c r="D4187" s="8" t="s">
        <v>13184</v>
      </c>
      <c r="E4187" s="105">
        <v>25</v>
      </c>
      <c r="F4187" s="106" t="s">
        <v>2018</v>
      </c>
      <c r="G4187" s="8"/>
      <c r="H4187" s="8"/>
      <c r="I4187" s="107">
        <v>0</v>
      </c>
      <c r="J4187" s="8" t="s">
        <v>3580</v>
      </c>
    </row>
    <row r="4188" spans="1:10" ht="16.5" customHeight="1" x14ac:dyDescent="0.25">
      <c r="A4188" s="8" t="s">
        <v>13185</v>
      </c>
      <c r="B4188" s="8" t="s">
        <v>13186</v>
      </c>
      <c r="C4188" s="8" t="s">
        <v>9582</v>
      </c>
      <c r="D4188" s="8" t="s">
        <v>13186</v>
      </c>
      <c r="E4188" s="105">
        <v>50</v>
      </c>
      <c r="F4188" s="106" t="s">
        <v>2018</v>
      </c>
      <c r="G4188" s="8"/>
      <c r="H4188" s="8"/>
      <c r="I4188" s="107">
        <v>0</v>
      </c>
      <c r="J4188" s="8" t="s">
        <v>3580</v>
      </c>
    </row>
    <row r="4189" spans="1:10" ht="16.5" customHeight="1" x14ac:dyDescent="0.25">
      <c r="A4189" s="8" t="s">
        <v>13187</v>
      </c>
      <c r="B4189" s="8" t="s">
        <v>13188</v>
      </c>
      <c r="C4189" s="8" t="s">
        <v>9919</v>
      </c>
      <c r="D4189" s="8" t="s">
        <v>13188</v>
      </c>
      <c r="E4189" s="105">
        <v>40</v>
      </c>
      <c r="F4189" s="106" t="s">
        <v>2018</v>
      </c>
      <c r="G4189" s="8"/>
      <c r="H4189" s="8"/>
      <c r="I4189" s="107">
        <v>0</v>
      </c>
      <c r="J4189" s="8" t="s">
        <v>3580</v>
      </c>
    </row>
    <row r="4190" spans="1:10" ht="16.5" customHeight="1" x14ac:dyDescent="0.25">
      <c r="A4190" s="8" t="s">
        <v>13189</v>
      </c>
      <c r="B4190" s="8" t="s">
        <v>13190</v>
      </c>
      <c r="C4190" s="8" t="s">
        <v>9579</v>
      </c>
      <c r="D4190" s="8" t="s">
        <v>13190</v>
      </c>
      <c r="E4190" s="105">
        <v>40</v>
      </c>
      <c r="F4190" s="106" t="s">
        <v>2018</v>
      </c>
      <c r="G4190" s="8"/>
      <c r="H4190" s="8"/>
      <c r="I4190" s="107">
        <v>0</v>
      </c>
      <c r="J4190" s="8" t="s">
        <v>3580</v>
      </c>
    </row>
    <row r="4191" spans="1:10" ht="16.5" customHeight="1" x14ac:dyDescent="0.25">
      <c r="A4191" s="8" t="s">
        <v>13191</v>
      </c>
      <c r="B4191" s="8" t="s">
        <v>13192</v>
      </c>
      <c r="C4191" s="8" t="s">
        <v>9934</v>
      </c>
      <c r="D4191" s="8" t="s">
        <v>13192</v>
      </c>
      <c r="E4191" s="105">
        <v>40</v>
      </c>
      <c r="F4191" s="106" t="s">
        <v>2018</v>
      </c>
      <c r="G4191" s="8"/>
      <c r="H4191" s="8"/>
      <c r="I4191" s="107">
        <v>0</v>
      </c>
      <c r="J4191" s="8" t="s">
        <v>3580</v>
      </c>
    </row>
    <row r="4192" spans="1:10" ht="16.5" customHeight="1" x14ac:dyDescent="0.25">
      <c r="A4192" s="8" t="s">
        <v>13193</v>
      </c>
      <c r="B4192" s="8" t="s">
        <v>13194</v>
      </c>
      <c r="C4192" s="8" t="s">
        <v>9928</v>
      </c>
      <c r="D4192" s="8" t="s">
        <v>13194</v>
      </c>
      <c r="E4192" s="105">
        <v>40</v>
      </c>
      <c r="F4192" s="106" t="s">
        <v>2018</v>
      </c>
      <c r="G4192" s="8"/>
      <c r="H4192" s="8"/>
      <c r="I4192" s="107">
        <v>0</v>
      </c>
      <c r="J4192" s="8" t="s">
        <v>3580</v>
      </c>
    </row>
    <row r="4193" spans="1:10" ht="16.5" customHeight="1" x14ac:dyDescent="0.25">
      <c r="A4193" s="8" t="s">
        <v>13195</v>
      </c>
      <c r="B4193" s="8" t="s">
        <v>13196</v>
      </c>
      <c r="C4193" s="8" t="s">
        <v>10207</v>
      </c>
      <c r="D4193" s="8" t="s">
        <v>13196</v>
      </c>
      <c r="E4193" s="105">
        <v>25</v>
      </c>
      <c r="F4193" s="106" t="s">
        <v>2018</v>
      </c>
      <c r="G4193" s="8"/>
      <c r="H4193" s="8"/>
      <c r="I4193" s="107">
        <v>0</v>
      </c>
      <c r="J4193" s="8" t="s">
        <v>3580</v>
      </c>
    </row>
    <row r="4194" spans="1:10" ht="16.5" customHeight="1" x14ac:dyDescent="0.25">
      <c r="A4194" s="8" t="s">
        <v>13197</v>
      </c>
      <c r="B4194" s="8" t="s">
        <v>13198</v>
      </c>
      <c r="C4194" s="8" t="s">
        <v>13199</v>
      </c>
      <c r="D4194" s="8" t="s">
        <v>13198</v>
      </c>
      <c r="E4194" s="105">
        <v>1</v>
      </c>
      <c r="F4194" s="106" t="s">
        <v>2024</v>
      </c>
      <c r="G4194" s="8"/>
      <c r="H4194" s="8"/>
      <c r="I4194" s="107">
        <v>0</v>
      </c>
      <c r="J4194" s="8" t="s">
        <v>4722</v>
      </c>
    </row>
    <row r="4195" spans="1:10" ht="16.5" customHeight="1" x14ac:dyDescent="0.25">
      <c r="A4195" s="8" t="s">
        <v>13200</v>
      </c>
      <c r="B4195" s="8" t="s">
        <v>13201</v>
      </c>
      <c r="C4195" s="8" t="s">
        <v>9743</v>
      </c>
      <c r="D4195" s="8" t="s">
        <v>13201</v>
      </c>
      <c r="E4195" s="105">
        <v>25</v>
      </c>
      <c r="F4195" s="106" t="s">
        <v>2018</v>
      </c>
      <c r="G4195" s="8"/>
      <c r="H4195" s="8"/>
      <c r="I4195" s="107">
        <v>0</v>
      </c>
      <c r="J4195" s="8" t="s">
        <v>3580</v>
      </c>
    </row>
    <row r="4196" spans="1:10" ht="16.5" customHeight="1" x14ac:dyDescent="0.25">
      <c r="A4196" s="8" t="s">
        <v>13202</v>
      </c>
      <c r="B4196" s="8" t="s">
        <v>13203</v>
      </c>
      <c r="C4196" s="8" t="s">
        <v>13204</v>
      </c>
      <c r="D4196" s="8" t="s">
        <v>13203</v>
      </c>
      <c r="E4196" s="105">
        <v>0</v>
      </c>
      <c r="F4196" s="106" t="s">
        <v>2024</v>
      </c>
      <c r="G4196" s="8"/>
      <c r="H4196" s="8"/>
      <c r="I4196" s="107">
        <v>0</v>
      </c>
      <c r="J4196" s="8" t="s">
        <v>2019</v>
      </c>
    </row>
    <row r="4197" spans="1:10" ht="16.5" customHeight="1" x14ac:dyDescent="0.25">
      <c r="A4197" s="8" t="s">
        <v>13205</v>
      </c>
      <c r="B4197" s="8" t="s">
        <v>13206</v>
      </c>
      <c r="C4197" s="8" t="s">
        <v>13207</v>
      </c>
      <c r="D4197" s="8" t="s">
        <v>13206</v>
      </c>
      <c r="E4197" s="105">
        <v>32</v>
      </c>
      <c r="F4197" s="106" t="s">
        <v>2024</v>
      </c>
      <c r="G4197" s="8"/>
      <c r="H4197" s="8"/>
      <c r="I4197" s="107">
        <v>0</v>
      </c>
      <c r="J4197" s="8" t="s">
        <v>5929</v>
      </c>
    </row>
    <row r="4198" spans="1:10" ht="16.5" customHeight="1" x14ac:dyDescent="0.25">
      <c r="A4198" s="8" t="s">
        <v>13208</v>
      </c>
      <c r="B4198" s="8" t="s">
        <v>13209</v>
      </c>
      <c r="C4198" s="8" t="s">
        <v>13210</v>
      </c>
      <c r="D4198" s="8" t="s">
        <v>13209</v>
      </c>
      <c r="E4198" s="105">
        <v>25</v>
      </c>
      <c r="F4198" s="106" t="s">
        <v>2018</v>
      </c>
      <c r="G4198" s="8"/>
      <c r="H4198" s="8"/>
      <c r="I4198" s="107">
        <v>0</v>
      </c>
      <c r="J4198" s="8" t="s">
        <v>10697</v>
      </c>
    </row>
    <row r="4199" spans="1:10" ht="16.5" customHeight="1" x14ac:dyDescent="0.25">
      <c r="A4199" s="8" t="s">
        <v>13211</v>
      </c>
      <c r="B4199" s="8" t="s">
        <v>13212</v>
      </c>
      <c r="C4199" s="8" t="s">
        <v>13213</v>
      </c>
      <c r="D4199" s="8" t="s">
        <v>13212</v>
      </c>
      <c r="E4199" s="105">
        <v>1</v>
      </c>
      <c r="F4199" s="106" t="s">
        <v>2018</v>
      </c>
      <c r="G4199" s="8"/>
      <c r="H4199" s="8"/>
      <c r="I4199" s="107">
        <v>0</v>
      </c>
      <c r="J4199" s="8" t="s">
        <v>6357</v>
      </c>
    </row>
    <row r="4200" spans="1:10" ht="16.5" customHeight="1" x14ac:dyDescent="0.25">
      <c r="A4200" s="8" t="s">
        <v>13214</v>
      </c>
      <c r="B4200" s="8" t="s">
        <v>13215</v>
      </c>
      <c r="C4200" s="8" t="s">
        <v>13199</v>
      </c>
      <c r="D4200" s="8" t="s">
        <v>13215</v>
      </c>
      <c r="E4200" s="105">
        <v>0</v>
      </c>
      <c r="F4200" s="106" t="s">
        <v>2018</v>
      </c>
      <c r="G4200" s="8"/>
      <c r="H4200" s="8"/>
      <c r="I4200" s="107">
        <v>0</v>
      </c>
      <c r="J4200" s="8" t="s">
        <v>4722</v>
      </c>
    </row>
    <row r="4201" spans="1:10" ht="16.5" customHeight="1" x14ac:dyDescent="0.25">
      <c r="A4201" s="8" t="s">
        <v>13216</v>
      </c>
      <c r="B4201" s="8" t="s">
        <v>13217</v>
      </c>
      <c r="C4201" s="8" t="s">
        <v>13218</v>
      </c>
      <c r="D4201" s="8" t="s">
        <v>13217</v>
      </c>
      <c r="E4201" s="105">
        <v>0</v>
      </c>
      <c r="F4201" s="106" t="s">
        <v>2018</v>
      </c>
      <c r="G4201" s="8"/>
      <c r="H4201" s="8"/>
      <c r="I4201" s="107">
        <v>0</v>
      </c>
      <c r="J4201" s="8" t="s">
        <v>3580</v>
      </c>
    </row>
    <row r="4202" spans="1:10" ht="16.5" customHeight="1" x14ac:dyDescent="0.25">
      <c r="A4202" s="8" t="s">
        <v>13219</v>
      </c>
      <c r="B4202" s="8" t="s">
        <v>13220</v>
      </c>
      <c r="C4202" s="8" t="s">
        <v>13221</v>
      </c>
      <c r="D4202" s="8" t="s">
        <v>13220</v>
      </c>
      <c r="E4202" s="105">
        <v>0</v>
      </c>
      <c r="F4202" s="106" t="s">
        <v>2018</v>
      </c>
      <c r="G4202" s="8"/>
      <c r="H4202" s="8"/>
      <c r="I4202" s="107">
        <v>0</v>
      </c>
      <c r="J4202" s="8" t="s">
        <v>3580</v>
      </c>
    </row>
    <row r="4203" spans="1:10" ht="16.5" customHeight="1" x14ac:dyDescent="0.25">
      <c r="A4203" s="8" t="s">
        <v>13222</v>
      </c>
      <c r="B4203" s="8" t="s">
        <v>13223</v>
      </c>
      <c r="C4203" s="8" t="s">
        <v>10446</v>
      </c>
      <c r="D4203" s="8" t="s">
        <v>13223</v>
      </c>
      <c r="E4203" s="105">
        <v>0</v>
      </c>
      <c r="F4203" s="106" t="s">
        <v>2018</v>
      </c>
      <c r="G4203" s="8"/>
      <c r="H4203" s="8"/>
      <c r="I4203" s="107">
        <v>0</v>
      </c>
      <c r="J4203" s="8" t="s">
        <v>3580</v>
      </c>
    </row>
    <row r="4204" spans="1:10" ht="16.5" customHeight="1" x14ac:dyDescent="0.25">
      <c r="A4204" s="8" t="s">
        <v>13224</v>
      </c>
      <c r="B4204" s="8" t="s">
        <v>13225</v>
      </c>
      <c r="C4204" s="8" t="s">
        <v>13226</v>
      </c>
      <c r="D4204" s="8" t="s">
        <v>13225</v>
      </c>
      <c r="E4204" s="105">
        <v>0</v>
      </c>
      <c r="F4204" s="106" t="s">
        <v>2018</v>
      </c>
      <c r="G4204" s="8"/>
      <c r="H4204" s="8"/>
      <c r="I4204" s="107">
        <v>0</v>
      </c>
      <c r="J4204" s="8" t="s">
        <v>3580</v>
      </c>
    </row>
    <row r="4205" spans="1:10" ht="16.5" customHeight="1" x14ac:dyDescent="0.25">
      <c r="A4205" s="8" t="s">
        <v>13227</v>
      </c>
      <c r="B4205" s="8" t="s">
        <v>13228</v>
      </c>
      <c r="C4205" s="8" t="s">
        <v>13229</v>
      </c>
      <c r="D4205" s="8" t="s">
        <v>13228</v>
      </c>
      <c r="E4205" s="105">
        <v>0</v>
      </c>
      <c r="F4205" s="106" t="s">
        <v>2018</v>
      </c>
      <c r="G4205" s="8"/>
      <c r="H4205" s="8"/>
      <c r="I4205" s="107">
        <v>0</v>
      </c>
      <c r="J4205" s="8" t="s">
        <v>3580</v>
      </c>
    </row>
    <row r="4206" spans="1:10" ht="16.5" customHeight="1" x14ac:dyDescent="0.25">
      <c r="A4206" s="8" t="s">
        <v>13230</v>
      </c>
      <c r="B4206" s="8" t="s">
        <v>13231</v>
      </c>
      <c r="C4206" s="8" t="s">
        <v>5395</v>
      </c>
      <c r="D4206" s="8" t="s">
        <v>13231</v>
      </c>
      <c r="E4206" s="105">
        <v>0</v>
      </c>
      <c r="F4206" s="106" t="s">
        <v>2018</v>
      </c>
      <c r="G4206" s="8"/>
      <c r="H4206" s="8"/>
      <c r="I4206" s="107">
        <v>0</v>
      </c>
      <c r="J4206" s="8" t="s">
        <v>3580</v>
      </c>
    </row>
    <row r="4207" spans="1:10" ht="16.5" customHeight="1" x14ac:dyDescent="0.25">
      <c r="A4207" s="8" t="s">
        <v>13232</v>
      </c>
      <c r="B4207" s="8" t="s">
        <v>13233</v>
      </c>
      <c r="C4207" s="8" t="s">
        <v>13234</v>
      </c>
      <c r="D4207" s="8" t="s">
        <v>13233</v>
      </c>
      <c r="E4207" s="105">
        <v>0</v>
      </c>
      <c r="F4207" s="106" t="s">
        <v>2018</v>
      </c>
      <c r="G4207" s="8"/>
      <c r="H4207" s="8"/>
      <c r="I4207" s="107">
        <v>0</v>
      </c>
      <c r="J4207" s="8" t="s">
        <v>3580</v>
      </c>
    </row>
    <row r="4208" spans="1:10" ht="16.5" customHeight="1" x14ac:dyDescent="0.25">
      <c r="A4208" s="8" t="s">
        <v>13235</v>
      </c>
      <c r="B4208" s="8" t="s">
        <v>13236</v>
      </c>
      <c r="C4208" s="8" t="s">
        <v>13237</v>
      </c>
      <c r="D4208" s="8" t="s">
        <v>13236</v>
      </c>
      <c r="E4208" s="105">
        <v>3.72</v>
      </c>
      <c r="F4208" s="106" t="s">
        <v>2018</v>
      </c>
      <c r="G4208" s="8"/>
      <c r="H4208" s="8" t="s">
        <v>13238</v>
      </c>
      <c r="I4208" s="107">
        <v>3</v>
      </c>
      <c r="J4208" s="8" t="s">
        <v>4789</v>
      </c>
    </row>
    <row r="4209" spans="1:10" ht="16.5" customHeight="1" x14ac:dyDescent="0.25">
      <c r="A4209" s="8" t="s">
        <v>13238</v>
      </c>
      <c r="B4209" s="8" t="s">
        <v>13239</v>
      </c>
      <c r="C4209" s="8" t="s">
        <v>13240</v>
      </c>
      <c r="D4209" s="8" t="s">
        <v>13239</v>
      </c>
      <c r="E4209" s="105">
        <v>1.24</v>
      </c>
      <c r="F4209" s="106" t="s">
        <v>2018</v>
      </c>
      <c r="G4209" s="8"/>
      <c r="H4209" s="8"/>
      <c r="I4209" s="107">
        <v>0</v>
      </c>
      <c r="J4209" s="8" t="s">
        <v>4789</v>
      </c>
    </row>
    <row r="4210" spans="1:10" ht="16.5" customHeight="1" x14ac:dyDescent="0.25">
      <c r="A4210" s="8" t="s">
        <v>13241</v>
      </c>
      <c r="B4210" s="8" t="s">
        <v>13242</v>
      </c>
      <c r="C4210" s="8" t="s">
        <v>13243</v>
      </c>
      <c r="D4210" s="8" t="s">
        <v>13242</v>
      </c>
      <c r="E4210" s="105">
        <v>3.72</v>
      </c>
      <c r="F4210" s="106" t="s">
        <v>2018</v>
      </c>
      <c r="G4210" s="8"/>
      <c r="H4210" s="8" t="s">
        <v>13244</v>
      </c>
      <c r="I4210" s="107">
        <v>3</v>
      </c>
      <c r="J4210" s="8" t="s">
        <v>4789</v>
      </c>
    </row>
    <row r="4211" spans="1:10" ht="16.5" customHeight="1" x14ac:dyDescent="0.25">
      <c r="A4211" s="8" t="s">
        <v>13244</v>
      </c>
      <c r="B4211" s="8" t="s">
        <v>13245</v>
      </c>
      <c r="C4211" s="8" t="s">
        <v>13246</v>
      </c>
      <c r="D4211" s="8" t="s">
        <v>13245</v>
      </c>
      <c r="E4211" s="105">
        <v>1.24</v>
      </c>
      <c r="F4211" s="106" t="s">
        <v>2018</v>
      </c>
      <c r="G4211" s="8"/>
      <c r="H4211" s="8"/>
      <c r="I4211" s="107">
        <v>0</v>
      </c>
      <c r="J4211" s="8" t="s">
        <v>4789</v>
      </c>
    </row>
    <row r="4212" spans="1:10" ht="16.5" customHeight="1" x14ac:dyDescent="0.25">
      <c r="A4212" s="8" t="s">
        <v>13247</v>
      </c>
      <c r="B4212" s="8" t="s">
        <v>13248</v>
      </c>
      <c r="C4212" s="8" t="s">
        <v>10045</v>
      </c>
      <c r="D4212" s="8" t="s">
        <v>13248</v>
      </c>
      <c r="E4212" s="105">
        <v>25</v>
      </c>
      <c r="F4212" s="106" t="s">
        <v>2018</v>
      </c>
      <c r="G4212" s="8"/>
      <c r="H4212" s="8"/>
      <c r="I4212" s="107">
        <v>0</v>
      </c>
      <c r="J4212" s="8" t="s">
        <v>3580</v>
      </c>
    </row>
    <row r="4213" spans="1:10" ht="16.5" customHeight="1" x14ac:dyDescent="0.25">
      <c r="A4213" s="8" t="s">
        <v>13249</v>
      </c>
      <c r="B4213" s="8" t="s">
        <v>13250</v>
      </c>
      <c r="C4213" s="8" t="s">
        <v>13251</v>
      </c>
      <c r="D4213" s="8" t="s">
        <v>13250</v>
      </c>
      <c r="E4213" s="105">
        <v>1</v>
      </c>
      <c r="F4213" s="106" t="s">
        <v>2018</v>
      </c>
      <c r="G4213" s="8"/>
      <c r="H4213" s="8"/>
      <c r="I4213" s="107">
        <v>0</v>
      </c>
      <c r="J4213" s="8" t="s">
        <v>6357</v>
      </c>
    </row>
    <row r="4214" spans="1:10" ht="16.5" customHeight="1" x14ac:dyDescent="0.25">
      <c r="A4214" s="8" t="s">
        <v>13252</v>
      </c>
      <c r="B4214" s="8" t="s">
        <v>13253</v>
      </c>
      <c r="C4214" s="8" t="s">
        <v>13254</v>
      </c>
      <c r="D4214" s="8" t="s">
        <v>13253</v>
      </c>
      <c r="E4214" s="105">
        <v>0</v>
      </c>
      <c r="F4214" s="106" t="s">
        <v>2024</v>
      </c>
      <c r="G4214" s="8"/>
      <c r="H4214" s="8"/>
      <c r="I4214" s="107">
        <v>0</v>
      </c>
      <c r="J4214" s="8" t="s">
        <v>2019</v>
      </c>
    </row>
    <row r="4215" spans="1:10" ht="16.5" customHeight="1" x14ac:dyDescent="0.25">
      <c r="A4215" s="8" t="s">
        <v>13255</v>
      </c>
      <c r="B4215" s="8" t="s">
        <v>13256</v>
      </c>
      <c r="C4215" s="8" t="s">
        <v>13257</v>
      </c>
      <c r="D4215" s="8" t="s">
        <v>13256</v>
      </c>
      <c r="E4215" s="105">
        <v>0</v>
      </c>
      <c r="F4215" s="106" t="s">
        <v>2018</v>
      </c>
      <c r="G4215" s="8"/>
      <c r="H4215" s="8"/>
      <c r="I4215" s="107">
        <v>0</v>
      </c>
      <c r="J4215" s="8" t="s">
        <v>4823</v>
      </c>
    </row>
    <row r="4216" spans="1:10" ht="16.5" customHeight="1" x14ac:dyDescent="0.25">
      <c r="A4216" s="8" t="s">
        <v>13258</v>
      </c>
      <c r="B4216" s="8" t="s">
        <v>13259</v>
      </c>
      <c r="C4216" s="8" t="s">
        <v>13260</v>
      </c>
      <c r="D4216" s="8" t="s">
        <v>13259</v>
      </c>
      <c r="E4216" s="105">
        <v>0</v>
      </c>
      <c r="F4216" s="106" t="s">
        <v>2018</v>
      </c>
      <c r="G4216" s="8"/>
      <c r="H4216" s="8"/>
      <c r="I4216" s="107">
        <v>0</v>
      </c>
      <c r="J4216" s="8" t="s">
        <v>4823</v>
      </c>
    </row>
    <row r="4217" spans="1:10" ht="16.5" customHeight="1" x14ac:dyDescent="0.25">
      <c r="A4217" s="8" t="s">
        <v>13261</v>
      </c>
      <c r="B4217" s="8" t="s">
        <v>13262</v>
      </c>
      <c r="C4217" s="8" t="s">
        <v>13263</v>
      </c>
      <c r="D4217" s="8" t="s">
        <v>13262</v>
      </c>
      <c r="E4217" s="105">
        <v>0</v>
      </c>
      <c r="F4217" s="106" t="s">
        <v>2018</v>
      </c>
      <c r="G4217" s="8"/>
      <c r="H4217" s="8"/>
      <c r="I4217" s="107">
        <v>0</v>
      </c>
      <c r="J4217" s="8" t="s">
        <v>4722</v>
      </c>
    </row>
    <row r="4218" spans="1:10" ht="16.5" customHeight="1" x14ac:dyDescent="0.25">
      <c r="A4218" s="8" t="s">
        <v>13264</v>
      </c>
      <c r="B4218" s="8" t="s">
        <v>13265</v>
      </c>
      <c r="C4218" s="8" t="s">
        <v>13266</v>
      </c>
      <c r="D4218" s="8" t="s">
        <v>13265</v>
      </c>
      <c r="E4218" s="105">
        <v>0</v>
      </c>
      <c r="F4218" s="106" t="s">
        <v>2018</v>
      </c>
      <c r="G4218" s="8"/>
      <c r="H4218" s="8"/>
      <c r="I4218" s="107">
        <v>0</v>
      </c>
      <c r="J4218" s="8" t="s">
        <v>4722</v>
      </c>
    </row>
    <row r="4219" spans="1:10" ht="16.5" customHeight="1" x14ac:dyDescent="0.25">
      <c r="A4219" s="8" t="s">
        <v>13267</v>
      </c>
      <c r="B4219" s="8" t="s">
        <v>13268</v>
      </c>
      <c r="C4219" s="8" t="s">
        <v>13269</v>
      </c>
      <c r="D4219" s="8" t="s">
        <v>13268</v>
      </c>
      <c r="E4219" s="105">
        <v>0</v>
      </c>
      <c r="F4219" s="106" t="s">
        <v>2018</v>
      </c>
      <c r="G4219" s="8"/>
      <c r="H4219" s="8"/>
      <c r="I4219" s="107">
        <v>0</v>
      </c>
      <c r="J4219" s="8" t="s">
        <v>4722</v>
      </c>
    </row>
    <row r="4220" spans="1:10" ht="16.5" customHeight="1" x14ac:dyDescent="0.25">
      <c r="A4220" s="8" t="s">
        <v>13270</v>
      </c>
      <c r="B4220" s="8" t="s">
        <v>8570</v>
      </c>
      <c r="C4220" s="8" t="s">
        <v>13271</v>
      </c>
      <c r="D4220" s="8" t="s">
        <v>8570</v>
      </c>
      <c r="E4220" s="105">
        <v>0.57389999999999997</v>
      </c>
      <c r="F4220" s="106" t="s">
        <v>2024</v>
      </c>
      <c r="G4220" s="8"/>
      <c r="H4220" s="8"/>
      <c r="I4220" s="107">
        <v>0</v>
      </c>
      <c r="J4220" s="8" t="s">
        <v>4789</v>
      </c>
    </row>
    <row r="4221" spans="1:10" ht="16.5" customHeight="1" x14ac:dyDescent="0.25">
      <c r="A4221" s="8" t="s">
        <v>13272</v>
      </c>
      <c r="B4221" s="8" t="s">
        <v>13273</v>
      </c>
      <c r="C4221" s="8" t="s">
        <v>13274</v>
      </c>
      <c r="D4221" s="8" t="s">
        <v>13273</v>
      </c>
      <c r="E4221" s="105">
        <v>1</v>
      </c>
      <c r="F4221" s="106" t="s">
        <v>2018</v>
      </c>
      <c r="G4221" s="8"/>
      <c r="H4221" s="8"/>
      <c r="I4221" s="107">
        <v>0</v>
      </c>
      <c r="J4221" s="8" t="s">
        <v>6357</v>
      </c>
    </row>
    <row r="4222" spans="1:10" ht="16.5" customHeight="1" x14ac:dyDescent="0.25">
      <c r="A4222" s="8" t="s">
        <v>13275</v>
      </c>
      <c r="B4222" s="8" t="s">
        <v>13276</v>
      </c>
      <c r="C4222" s="8" t="s">
        <v>13277</v>
      </c>
      <c r="D4222" s="8" t="s">
        <v>13276</v>
      </c>
      <c r="E4222" s="105">
        <v>1</v>
      </c>
      <c r="F4222" s="106" t="s">
        <v>2018</v>
      </c>
      <c r="G4222" s="8"/>
      <c r="H4222" s="8"/>
      <c r="I4222" s="107">
        <v>0</v>
      </c>
      <c r="J4222" s="8" t="s">
        <v>6357</v>
      </c>
    </row>
    <row r="4223" spans="1:10" ht="16.5" customHeight="1" x14ac:dyDescent="0.25">
      <c r="A4223" s="8" t="s">
        <v>13278</v>
      </c>
      <c r="B4223" s="8" t="s">
        <v>13279</v>
      </c>
      <c r="C4223" s="8" t="s">
        <v>13280</v>
      </c>
      <c r="D4223" s="8" t="s">
        <v>13279</v>
      </c>
      <c r="E4223" s="105">
        <v>1</v>
      </c>
      <c r="F4223" s="106" t="s">
        <v>2018</v>
      </c>
      <c r="G4223" s="8"/>
      <c r="H4223" s="8"/>
      <c r="I4223" s="107">
        <v>0</v>
      </c>
      <c r="J4223" s="8" t="s">
        <v>2019</v>
      </c>
    </row>
    <row r="4224" spans="1:10" ht="16.5" customHeight="1" x14ac:dyDescent="0.25">
      <c r="A4224" s="8" t="s">
        <v>13281</v>
      </c>
      <c r="B4224" s="8" t="s">
        <v>13282</v>
      </c>
      <c r="C4224" s="8" t="s">
        <v>13283</v>
      </c>
      <c r="D4224" s="8" t="s">
        <v>13282</v>
      </c>
      <c r="E4224" s="105">
        <v>10</v>
      </c>
      <c r="F4224" s="106" t="s">
        <v>2024</v>
      </c>
      <c r="G4224" s="8"/>
      <c r="H4224" s="8"/>
      <c r="I4224" s="107">
        <v>0</v>
      </c>
      <c r="J4224" s="8" t="s">
        <v>5671</v>
      </c>
    </row>
    <row r="4225" spans="1:10" ht="16.5" customHeight="1" x14ac:dyDescent="0.25">
      <c r="A4225" s="8" t="s">
        <v>13284</v>
      </c>
      <c r="B4225" s="8" t="s">
        <v>13285</v>
      </c>
      <c r="C4225" s="8" t="s">
        <v>13286</v>
      </c>
      <c r="D4225" s="8" t="s">
        <v>13285</v>
      </c>
      <c r="E4225" s="105">
        <v>1</v>
      </c>
      <c r="F4225" s="106" t="s">
        <v>2024</v>
      </c>
      <c r="G4225" s="8"/>
      <c r="H4225" s="8"/>
      <c r="I4225" s="107">
        <v>0</v>
      </c>
      <c r="J4225" s="8" t="s">
        <v>5671</v>
      </c>
    </row>
    <row r="4226" spans="1:10" ht="16.5" customHeight="1" x14ac:dyDescent="0.25">
      <c r="A4226" s="8" t="s">
        <v>13287</v>
      </c>
      <c r="B4226" s="8" t="s">
        <v>13288</v>
      </c>
      <c r="C4226" s="8" t="s">
        <v>13289</v>
      </c>
      <c r="D4226" s="8" t="s">
        <v>13288</v>
      </c>
      <c r="E4226" s="105">
        <v>1.5E-3</v>
      </c>
      <c r="F4226" s="106" t="s">
        <v>2018</v>
      </c>
      <c r="G4226" s="8"/>
      <c r="H4226" s="8"/>
      <c r="I4226" s="107">
        <v>0</v>
      </c>
      <c r="J4226" s="8" t="s">
        <v>8088</v>
      </c>
    </row>
    <row r="4227" spans="1:10" ht="16.5" customHeight="1" x14ac:dyDescent="0.25">
      <c r="A4227" s="8" t="s">
        <v>13290</v>
      </c>
      <c r="B4227" s="8" t="s">
        <v>13291</v>
      </c>
      <c r="C4227" s="8" t="s">
        <v>13292</v>
      </c>
      <c r="D4227" s="8" t="s">
        <v>13291</v>
      </c>
      <c r="E4227" s="105">
        <v>1.5E-3</v>
      </c>
      <c r="F4227" s="106" t="s">
        <v>2018</v>
      </c>
      <c r="G4227" s="8"/>
      <c r="H4227" s="8"/>
      <c r="I4227" s="107">
        <v>0</v>
      </c>
      <c r="J4227" s="8" t="s">
        <v>8088</v>
      </c>
    </row>
    <row r="4228" spans="1:10" ht="16.5" customHeight="1" x14ac:dyDescent="0.25">
      <c r="A4228" s="8" t="s">
        <v>13293</v>
      </c>
      <c r="B4228" s="8" t="s">
        <v>13294</v>
      </c>
      <c r="C4228" s="8" t="s">
        <v>13295</v>
      </c>
      <c r="D4228" s="8" t="s">
        <v>13294</v>
      </c>
      <c r="E4228" s="105">
        <v>1.5E-3</v>
      </c>
      <c r="F4228" s="106" t="s">
        <v>2018</v>
      </c>
      <c r="G4228" s="8"/>
      <c r="H4228" s="8"/>
      <c r="I4228" s="107">
        <v>0</v>
      </c>
      <c r="J4228" s="8" t="s">
        <v>8088</v>
      </c>
    </row>
    <row r="4229" spans="1:10" ht="16.5" customHeight="1" x14ac:dyDescent="0.25">
      <c r="A4229" s="8" t="s">
        <v>13296</v>
      </c>
      <c r="B4229" s="8" t="s">
        <v>13297</v>
      </c>
      <c r="C4229" s="8" t="s">
        <v>13298</v>
      </c>
      <c r="D4229" s="8" t="s">
        <v>13297</v>
      </c>
      <c r="E4229" s="105">
        <v>1.5E-3</v>
      </c>
      <c r="F4229" s="106" t="s">
        <v>2018</v>
      </c>
      <c r="G4229" s="8"/>
      <c r="H4229" s="8"/>
      <c r="I4229" s="107">
        <v>0</v>
      </c>
      <c r="J4229" s="8" t="s">
        <v>8088</v>
      </c>
    </row>
    <row r="4230" spans="1:10" ht="16.5" customHeight="1" x14ac:dyDescent="0.25">
      <c r="A4230" s="8" t="s">
        <v>13299</v>
      </c>
      <c r="B4230" s="8" t="s">
        <v>13300</v>
      </c>
      <c r="C4230" s="8" t="s">
        <v>13301</v>
      </c>
      <c r="D4230" s="8" t="s">
        <v>13300</v>
      </c>
      <c r="E4230" s="105">
        <v>1.5E-3</v>
      </c>
      <c r="F4230" s="106" t="s">
        <v>2018</v>
      </c>
      <c r="G4230" s="8"/>
      <c r="H4230" s="8"/>
      <c r="I4230" s="107">
        <v>0</v>
      </c>
      <c r="J4230" s="8" t="s">
        <v>8088</v>
      </c>
    </row>
    <row r="4231" spans="1:10" ht="16.5" customHeight="1" x14ac:dyDescent="0.25">
      <c r="A4231" s="8" t="s">
        <v>13302</v>
      </c>
      <c r="B4231" s="8" t="s">
        <v>13303</v>
      </c>
      <c r="C4231" s="8" t="s">
        <v>13304</v>
      </c>
      <c r="D4231" s="8" t="s">
        <v>13303</v>
      </c>
      <c r="E4231" s="105">
        <v>1.5E-3</v>
      </c>
      <c r="F4231" s="106" t="s">
        <v>2018</v>
      </c>
      <c r="G4231" s="8"/>
      <c r="H4231" s="8"/>
      <c r="I4231" s="107">
        <v>0</v>
      </c>
      <c r="J4231" s="8" t="s">
        <v>8088</v>
      </c>
    </row>
    <row r="4232" spans="1:10" ht="16.5" customHeight="1" x14ac:dyDescent="0.25">
      <c r="A4232" s="8" t="s">
        <v>13305</v>
      </c>
      <c r="B4232" s="8" t="s">
        <v>13306</v>
      </c>
      <c r="C4232" s="8" t="s">
        <v>13307</v>
      </c>
      <c r="D4232" s="8" t="s">
        <v>13306</v>
      </c>
      <c r="E4232" s="105">
        <v>1.5E-3</v>
      </c>
      <c r="F4232" s="106" t="s">
        <v>2018</v>
      </c>
      <c r="G4232" s="8"/>
      <c r="H4232" s="8"/>
      <c r="I4232" s="107">
        <v>0</v>
      </c>
      <c r="J4232" s="8" t="s">
        <v>8088</v>
      </c>
    </row>
    <row r="4233" spans="1:10" ht="16.5" customHeight="1" x14ac:dyDescent="0.25">
      <c r="A4233" s="8" t="s">
        <v>13308</v>
      </c>
      <c r="B4233" s="8" t="s">
        <v>13309</v>
      </c>
      <c r="C4233" s="8" t="s">
        <v>13310</v>
      </c>
      <c r="D4233" s="8" t="s">
        <v>13309</v>
      </c>
      <c r="E4233" s="105">
        <v>1.5E-3</v>
      </c>
      <c r="F4233" s="106" t="s">
        <v>2018</v>
      </c>
      <c r="G4233" s="8"/>
      <c r="H4233" s="8"/>
      <c r="I4233" s="107">
        <v>0</v>
      </c>
      <c r="J4233" s="8" t="s">
        <v>8088</v>
      </c>
    </row>
    <row r="4234" spans="1:10" ht="16.5" customHeight="1" x14ac:dyDescent="0.25">
      <c r="A4234" s="8" t="s">
        <v>13311</v>
      </c>
      <c r="B4234" s="8" t="s">
        <v>13312</v>
      </c>
      <c r="C4234" s="8" t="s">
        <v>13313</v>
      </c>
      <c r="D4234" s="8" t="s">
        <v>13312</v>
      </c>
      <c r="E4234" s="105">
        <v>1.5E-3</v>
      </c>
      <c r="F4234" s="106" t="s">
        <v>2018</v>
      </c>
      <c r="G4234" s="8"/>
      <c r="H4234" s="8"/>
      <c r="I4234" s="107">
        <v>0</v>
      </c>
      <c r="J4234" s="8" t="s">
        <v>8088</v>
      </c>
    </row>
    <row r="4235" spans="1:10" ht="16.5" customHeight="1" x14ac:dyDescent="0.25">
      <c r="A4235" s="8" t="s">
        <v>13314</v>
      </c>
      <c r="B4235" s="8" t="s">
        <v>13315</v>
      </c>
      <c r="C4235" s="8" t="s">
        <v>13316</v>
      </c>
      <c r="D4235" s="8" t="s">
        <v>13315</v>
      </c>
      <c r="E4235" s="105">
        <v>1.5E-3</v>
      </c>
      <c r="F4235" s="106" t="s">
        <v>2018</v>
      </c>
      <c r="G4235" s="8"/>
      <c r="H4235" s="8"/>
      <c r="I4235" s="107">
        <v>0</v>
      </c>
      <c r="J4235" s="8" t="s">
        <v>8088</v>
      </c>
    </row>
    <row r="4236" spans="1:10" ht="16.5" customHeight="1" x14ac:dyDescent="0.25">
      <c r="A4236" s="8" t="s">
        <v>13317</v>
      </c>
      <c r="B4236" s="8" t="s">
        <v>13318</v>
      </c>
      <c r="C4236" s="8" t="s">
        <v>13319</v>
      </c>
      <c r="D4236" s="8" t="s">
        <v>13318</v>
      </c>
      <c r="E4236" s="105">
        <v>1.5E-3</v>
      </c>
      <c r="F4236" s="106" t="s">
        <v>2018</v>
      </c>
      <c r="G4236" s="8"/>
      <c r="H4236" s="8"/>
      <c r="I4236" s="107">
        <v>0</v>
      </c>
      <c r="J4236" s="8" t="s">
        <v>8088</v>
      </c>
    </row>
    <row r="4237" spans="1:10" ht="16.5" customHeight="1" x14ac:dyDescent="0.25">
      <c r="A4237" s="8" t="s">
        <v>13320</v>
      </c>
      <c r="B4237" s="8" t="s">
        <v>13321</v>
      </c>
      <c r="C4237" s="8" t="s">
        <v>13322</v>
      </c>
      <c r="D4237" s="8" t="s">
        <v>13321</v>
      </c>
      <c r="E4237" s="105">
        <v>1.5E-3</v>
      </c>
      <c r="F4237" s="106" t="s">
        <v>2018</v>
      </c>
      <c r="G4237" s="8"/>
      <c r="H4237" s="8"/>
      <c r="I4237" s="107">
        <v>0</v>
      </c>
      <c r="J4237" s="8" t="s">
        <v>8088</v>
      </c>
    </row>
    <row r="4238" spans="1:10" ht="16.5" customHeight="1" x14ac:dyDescent="0.25">
      <c r="A4238" s="8" t="s">
        <v>13323</v>
      </c>
      <c r="B4238" s="8" t="s">
        <v>13324</v>
      </c>
      <c r="C4238" s="8" t="s">
        <v>13325</v>
      </c>
      <c r="D4238" s="8" t="s">
        <v>13324</v>
      </c>
      <c r="E4238" s="105">
        <v>0</v>
      </c>
      <c r="F4238" s="106" t="s">
        <v>2018</v>
      </c>
      <c r="G4238" s="8"/>
      <c r="H4238" s="8"/>
      <c r="I4238" s="107">
        <v>0</v>
      </c>
      <c r="J4238" s="8" t="s">
        <v>4722</v>
      </c>
    </row>
    <row r="4239" spans="1:10" ht="16.5" customHeight="1" x14ac:dyDescent="0.25">
      <c r="A4239" s="8" t="s">
        <v>13326</v>
      </c>
      <c r="B4239" s="8" t="s">
        <v>13327</v>
      </c>
      <c r="C4239" s="8" t="s">
        <v>13328</v>
      </c>
      <c r="D4239" s="8" t="s">
        <v>13327</v>
      </c>
      <c r="E4239" s="105">
        <v>0</v>
      </c>
      <c r="F4239" s="106" t="s">
        <v>2018</v>
      </c>
      <c r="G4239" s="8"/>
      <c r="H4239" s="8"/>
      <c r="I4239" s="107">
        <v>0</v>
      </c>
      <c r="J4239" s="8" t="s">
        <v>4722</v>
      </c>
    </row>
    <row r="4240" spans="1:10" ht="16.5" customHeight="1" x14ac:dyDescent="0.25">
      <c r="A4240" s="8" t="s">
        <v>13329</v>
      </c>
      <c r="B4240" s="8" t="s">
        <v>13330</v>
      </c>
      <c r="C4240" s="8" t="s">
        <v>13331</v>
      </c>
      <c r="D4240" s="8" t="s">
        <v>13330</v>
      </c>
      <c r="E4240" s="105">
        <v>0</v>
      </c>
      <c r="F4240" s="106" t="s">
        <v>2018</v>
      </c>
      <c r="G4240" s="8"/>
      <c r="H4240" s="8"/>
      <c r="I4240" s="107">
        <v>0</v>
      </c>
      <c r="J4240" s="8" t="s">
        <v>4722</v>
      </c>
    </row>
    <row r="4241" spans="1:10" ht="16.5" customHeight="1" x14ac:dyDescent="0.25">
      <c r="A4241" s="8" t="s">
        <v>13332</v>
      </c>
      <c r="B4241" s="8" t="s">
        <v>13333</v>
      </c>
      <c r="C4241" s="8" t="s">
        <v>13334</v>
      </c>
      <c r="D4241" s="8" t="s">
        <v>13333</v>
      </c>
      <c r="E4241" s="105">
        <v>1</v>
      </c>
      <c r="F4241" s="106" t="s">
        <v>2018</v>
      </c>
      <c r="G4241" s="8"/>
      <c r="H4241" s="8"/>
      <c r="I4241" s="107">
        <v>0</v>
      </c>
      <c r="J4241" s="8" t="s">
        <v>6357</v>
      </c>
    </row>
    <row r="4242" spans="1:10" ht="16.5" customHeight="1" x14ac:dyDescent="0.25">
      <c r="A4242" s="8" t="s">
        <v>1109</v>
      </c>
      <c r="B4242" s="8" t="s">
        <v>1111</v>
      </c>
      <c r="C4242" s="8" t="s">
        <v>1110</v>
      </c>
      <c r="D4242" s="8" t="s">
        <v>1111</v>
      </c>
      <c r="E4242" s="105">
        <v>13.6</v>
      </c>
      <c r="F4242" s="106" t="s">
        <v>2018</v>
      </c>
      <c r="G4242" s="8"/>
      <c r="H4242" s="8" t="s">
        <v>13335</v>
      </c>
      <c r="I4242" s="107">
        <v>4</v>
      </c>
      <c r="J4242" s="8" t="s">
        <v>10697</v>
      </c>
    </row>
    <row r="4243" spans="1:10" ht="16.5" customHeight="1" x14ac:dyDescent="0.25">
      <c r="A4243" s="8" t="s">
        <v>13336</v>
      </c>
      <c r="B4243" s="8" t="s">
        <v>13337</v>
      </c>
      <c r="C4243" s="8" t="s">
        <v>13338</v>
      </c>
      <c r="D4243" s="8" t="s">
        <v>13337</v>
      </c>
      <c r="E4243" s="105">
        <v>1</v>
      </c>
      <c r="F4243" s="106" t="s">
        <v>2018</v>
      </c>
      <c r="G4243" s="8"/>
      <c r="H4243" s="8"/>
      <c r="I4243" s="107">
        <v>0</v>
      </c>
      <c r="J4243" s="8" t="s">
        <v>3695</v>
      </c>
    </row>
    <row r="4244" spans="1:10" ht="16.5" customHeight="1" x14ac:dyDescent="0.25">
      <c r="A4244" s="8" t="s">
        <v>13335</v>
      </c>
      <c r="B4244" s="8" t="s">
        <v>13339</v>
      </c>
      <c r="C4244" s="8" t="s">
        <v>13340</v>
      </c>
      <c r="D4244" s="8" t="s">
        <v>13339</v>
      </c>
      <c r="E4244" s="105">
        <v>3.4</v>
      </c>
      <c r="F4244" s="106" t="s">
        <v>2018</v>
      </c>
      <c r="G4244" s="8"/>
      <c r="H4244" s="8"/>
      <c r="I4244" s="107">
        <v>0</v>
      </c>
      <c r="J4244" s="8" t="s">
        <v>10697</v>
      </c>
    </row>
    <row r="4245" spans="1:10" ht="16.5" customHeight="1" x14ac:dyDescent="0.25">
      <c r="A4245" s="8" t="s">
        <v>13341</v>
      </c>
      <c r="B4245" s="8" t="s">
        <v>13342</v>
      </c>
      <c r="C4245" s="8" t="s">
        <v>9760</v>
      </c>
      <c r="D4245" s="8" t="s">
        <v>13342</v>
      </c>
      <c r="E4245" s="105">
        <v>25</v>
      </c>
      <c r="F4245" s="106" t="s">
        <v>2018</v>
      </c>
      <c r="G4245" s="8"/>
      <c r="H4245" s="8"/>
      <c r="I4245" s="107">
        <v>0</v>
      </c>
      <c r="J4245" s="8" t="s">
        <v>3580</v>
      </c>
    </row>
    <row r="4246" spans="1:10" ht="16.5" customHeight="1" x14ac:dyDescent="0.25">
      <c r="A4246" s="8" t="s">
        <v>13343</v>
      </c>
      <c r="B4246" s="8" t="s">
        <v>13344</v>
      </c>
      <c r="C4246" s="8" t="s">
        <v>13345</v>
      </c>
      <c r="D4246" s="8" t="s">
        <v>13344</v>
      </c>
      <c r="E4246" s="105">
        <v>3.9</v>
      </c>
      <c r="F4246" s="106" t="s">
        <v>2018</v>
      </c>
      <c r="G4246" s="8"/>
      <c r="H4246" s="8" t="s">
        <v>13346</v>
      </c>
      <c r="I4246" s="107">
        <v>5</v>
      </c>
      <c r="J4246" s="8" t="s">
        <v>4789</v>
      </c>
    </row>
    <row r="4247" spans="1:10" ht="16.5" customHeight="1" x14ac:dyDescent="0.25">
      <c r="A4247" s="8" t="s">
        <v>13346</v>
      </c>
      <c r="B4247" s="8" t="s">
        <v>13347</v>
      </c>
      <c r="C4247" s="8" t="s">
        <v>13348</v>
      </c>
      <c r="D4247" s="8" t="s">
        <v>13347</v>
      </c>
      <c r="E4247" s="105">
        <v>0.78</v>
      </c>
      <c r="F4247" s="106" t="s">
        <v>2018</v>
      </c>
      <c r="G4247" s="8"/>
      <c r="H4247" s="8"/>
      <c r="I4247" s="107">
        <v>0</v>
      </c>
      <c r="J4247" s="8" t="s">
        <v>4789</v>
      </c>
    </row>
    <row r="4248" spans="1:10" ht="16.5" customHeight="1" x14ac:dyDescent="0.25">
      <c r="A4248" s="8" t="s">
        <v>13349</v>
      </c>
      <c r="B4248" s="8" t="s">
        <v>13350</v>
      </c>
      <c r="C4248" s="8" t="s">
        <v>13351</v>
      </c>
      <c r="D4248" s="8" t="s">
        <v>13350</v>
      </c>
      <c r="E4248" s="105">
        <v>1.81</v>
      </c>
      <c r="F4248" s="106" t="s">
        <v>2018</v>
      </c>
      <c r="G4248" s="8"/>
      <c r="H4248" s="8" t="s">
        <v>13352</v>
      </c>
      <c r="I4248" s="107">
        <v>2</v>
      </c>
      <c r="J4248" s="8" t="s">
        <v>4789</v>
      </c>
    </row>
    <row r="4249" spans="1:10" ht="16.5" customHeight="1" x14ac:dyDescent="0.25">
      <c r="A4249" s="8" t="s">
        <v>13352</v>
      </c>
      <c r="B4249" s="8" t="s">
        <v>13353</v>
      </c>
      <c r="C4249" s="8" t="s">
        <v>13354</v>
      </c>
      <c r="D4249" s="8" t="s">
        <v>13353</v>
      </c>
      <c r="E4249" s="105">
        <v>0.90500000000000003</v>
      </c>
      <c r="F4249" s="106" t="s">
        <v>2018</v>
      </c>
      <c r="G4249" s="8"/>
      <c r="H4249" s="8"/>
      <c r="I4249" s="107">
        <v>0</v>
      </c>
      <c r="J4249" s="8" t="s">
        <v>4789</v>
      </c>
    </row>
    <row r="4250" spans="1:10" ht="16.5" customHeight="1" x14ac:dyDescent="0.25">
      <c r="A4250" s="8" t="s">
        <v>13355</v>
      </c>
      <c r="B4250" s="8" t="s">
        <v>13356</v>
      </c>
      <c r="C4250" s="8" t="s">
        <v>13357</v>
      </c>
      <c r="D4250" s="8" t="s">
        <v>13356</v>
      </c>
      <c r="E4250" s="105">
        <v>0</v>
      </c>
      <c r="F4250" s="106" t="s">
        <v>2018</v>
      </c>
      <c r="G4250" s="8"/>
      <c r="H4250" s="8"/>
      <c r="I4250" s="107">
        <v>0</v>
      </c>
      <c r="J4250" s="8" t="s">
        <v>6357</v>
      </c>
    </row>
    <row r="4251" spans="1:10" ht="16.5" customHeight="1" x14ac:dyDescent="0.25">
      <c r="A4251" s="8" t="s">
        <v>13358</v>
      </c>
      <c r="B4251" s="8" t="s">
        <v>13359</v>
      </c>
      <c r="C4251" s="8" t="s">
        <v>13360</v>
      </c>
      <c r="D4251" s="8" t="s">
        <v>13359</v>
      </c>
      <c r="E4251" s="105">
        <v>0</v>
      </c>
      <c r="F4251" s="106" t="s">
        <v>2018</v>
      </c>
      <c r="G4251" s="8"/>
      <c r="H4251" s="8"/>
      <c r="I4251" s="107">
        <v>0</v>
      </c>
      <c r="J4251" s="8" t="s">
        <v>6357</v>
      </c>
    </row>
    <row r="4252" spans="1:10" ht="16.5" customHeight="1" x14ac:dyDescent="0.25">
      <c r="A4252" s="8" t="s">
        <v>13361</v>
      </c>
      <c r="B4252" s="8" t="s">
        <v>13362</v>
      </c>
      <c r="C4252" s="8" t="s">
        <v>13363</v>
      </c>
      <c r="D4252" s="8" t="s">
        <v>13362</v>
      </c>
      <c r="E4252" s="105">
        <v>0</v>
      </c>
      <c r="F4252" s="106" t="s">
        <v>2018</v>
      </c>
      <c r="G4252" s="8"/>
      <c r="H4252" s="8"/>
      <c r="I4252" s="107">
        <v>0</v>
      </c>
      <c r="J4252" s="8" t="s">
        <v>6357</v>
      </c>
    </row>
    <row r="4253" spans="1:10" ht="16.5" customHeight="1" x14ac:dyDescent="0.25">
      <c r="A4253" s="8" t="s">
        <v>13364</v>
      </c>
      <c r="B4253" s="8" t="s">
        <v>13365</v>
      </c>
      <c r="C4253" s="8" t="s">
        <v>13366</v>
      </c>
      <c r="D4253" s="8" t="s">
        <v>13365</v>
      </c>
      <c r="E4253" s="105">
        <v>1</v>
      </c>
      <c r="F4253" s="106" t="s">
        <v>2018</v>
      </c>
      <c r="G4253" s="8"/>
      <c r="H4253" s="8"/>
      <c r="I4253" s="107">
        <v>0</v>
      </c>
      <c r="J4253" s="8" t="s">
        <v>6357</v>
      </c>
    </row>
    <row r="4254" spans="1:10" ht="16.5" customHeight="1" x14ac:dyDescent="0.25">
      <c r="A4254" s="8" t="s">
        <v>13367</v>
      </c>
      <c r="B4254" s="8" t="s">
        <v>13368</v>
      </c>
      <c r="C4254" s="8" t="s">
        <v>13369</v>
      </c>
      <c r="D4254" s="8" t="s">
        <v>13368</v>
      </c>
      <c r="E4254" s="105">
        <v>1</v>
      </c>
      <c r="F4254" s="106" t="s">
        <v>2018</v>
      </c>
      <c r="G4254" s="8"/>
      <c r="H4254" s="8"/>
      <c r="I4254" s="107">
        <v>0</v>
      </c>
      <c r="J4254" s="8" t="s">
        <v>10979</v>
      </c>
    </row>
    <row r="4255" spans="1:10" ht="16.5" customHeight="1" x14ac:dyDescent="0.25">
      <c r="A4255" s="8" t="s">
        <v>13370</v>
      </c>
      <c r="B4255" s="8" t="s">
        <v>13371</v>
      </c>
      <c r="C4255" s="8" t="s">
        <v>13372</v>
      </c>
      <c r="D4255" s="8" t="s">
        <v>13371</v>
      </c>
      <c r="E4255" s="105">
        <v>1</v>
      </c>
      <c r="F4255" s="106" t="s">
        <v>2018</v>
      </c>
      <c r="G4255" s="8"/>
      <c r="H4255" s="8"/>
      <c r="I4255" s="107">
        <v>0</v>
      </c>
      <c r="J4255" s="8" t="s">
        <v>10979</v>
      </c>
    </row>
    <row r="4256" spans="1:10" ht="16.5" customHeight="1" x14ac:dyDescent="0.25">
      <c r="A4256" s="8" t="s">
        <v>13373</v>
      </c>
      <c r="B4256" s="8" t="s">
        <v>13374</v>
      </c>
      <c r="C4256" s="8" t="s">
        <v>13375</v>
      </c>
      <c r="D4256" s="8" t="s">
        <v>13374</v>
      </c>
      <c r="E4256" s="105">
        <v>0.2</v>
      </c>
      <c r="F4256" s="106" t="s">
        <v>2018</v>
      </c>
      <c r="G4256" s="8"/>
      <c r="H4256" s="8"/>
      <c r="I4256" s="107">
        <v>0</v>
      </c>
      <c r="J4256" s="8" t="s">
        <v>10697</v>
      </c>
    </row>
    <row r="4257" spans="1:10" ht="16.5" customHeight="1" x14ac:dyDescent="0.25">
      <c r="A4257" s="8" t="s">
        <v>13376</v>
      </c>
      <c r="B4257" s="8" t="s">
        <v>13377</v>
      </c>
      <c r="C4257" s="8" t="s">
        <v>13378</v>
      </c>
      <c r="D4257" s="8" t="s">
        <v>13377</v>
      </c>
      <c r="E4257" s="105">
        <v>10</v>
      </c>
      <c r="F4257" s="106" t="s">
        <v>2018</v>
      </c>
      <c r="G4257" s="8"/>
      <c r="H4257" s="8" t="s">
        <v>13373</v>
      </c>
      <c r="I4257" s="107">
        <v>50</v>
      </c>
      <c r="J4257" s="8" t="s">
        <v>10697</v>
      </c>
    </row>
    <row r="4258" spans="1:10" ht="16.5" customHeight="1" x14ac:dyDescent="0.25">
      <c r="A4258" s="8" t="s">
        <v>13379</v>
      </c>
      <c r="B4258" s="8" t="s">
        <v>13380</v>
      </c>
      <c r="C4258" s="8" t="s">
        <v>13381</v>
      </c>
      <c r="D4258" s="8" t="s">
        <v>13380</v>
      </c>
      <c r="E4258" s="105">
        <v>0</v>
      </c>
      <c r="F4258" s="106" t="s">
        <v>2018</v>
      </c>
      <c r="G4258" s="8"/>
      <c r="H4258" s="8"/>
      <c r="I4258" s="107">
        <v>0</v>
      </c>
      <c r="J4258" s="8" t="s">
        <v>2019</v>
      </c>
    </row>
    <row r="4259" spans="1:10" ht="16.5" customHeight="1" x14ac:dyDescent="0.25">
      <c r="A4259" s="8" t="s">
        <v>13382</v>
      </c>
      <c r="B4259" s="8" t="s">
        <v>13380</v>
      </c>
      <c r="C4259" s="8" t="s">
        <v>13383</v>
      </c>
      <c r="D4259" s="8" t="s">
        <v>13380</v>
      </c>
      <c r="E4259" s="105">
        <v>0</v>
      </c>
      <c r="F4259" s="106" t="s">
        <v>2018</v>
      </c>
      <c r="G4259" s="8"/>
      <c r="H4259" s="8"/>
      <c r="I4259" s="107">
        <v>0</v>
      </c>
      <c r="J4259" s="8" t="s">
        <v>2019</v>
      </c>
    </row>
    <row r="4260" spans="1:10" ht="16.5" customHeight="1" x14ac:dyDescent="0.25">
      <c r="A4260" s="8" t="s">
        <v>13384</v>
      </c>
      <c r="B4260" s="8" t="s">
        <v>13385</v>
      </c>
      <c r="C4260" s="8" t="s">
        <v>13386</v>
      </c>
      <c r="D4260" s="8" t="s">
        <v>13385</v>
      </c>
      <c r="E4260" s="105">
        <v>1</v>
      </c>
      <c r="F4260" s="106" t="s">
        <v>2024</v>
      </c>
      <c r="G4260" s="8"/>
      <c r="H4260" s="8"/>
      <c r="I4260" s="107">
        <v>0</v>
      </c>
      <c r="J4260" s="8" t="s">
        <v>2019</v>
      </c>
    </row>
    <row r="4261" spans="1:10" ht="16.5" customHeight="1" x14ac:dyDescent="0.25">
      <c r="A4261" s="8" t="s">
        <v>13387</v>
      </c>
      <c r="B4261" s="8" t="s">
        <v>13388</v>
      </c>
      <c r="C4261" s="8" t="s">
        <v>13389</v>
      </c>
      <c r="D4261" s="8" t="s">
        <v>13388</v>
      </c>
      <c r="E4261" s="105">
        <v>0.01</v>
      </c>
      <c r="F4261" s="106" t="s">
        <v>2024</v>
      </c>
      <c r="G4261" s="8"/>
      <c r="H4261" s="8"/>
      <c r="I4261" s="107">
        <v>0</v>
      </c>
      <c r="J4261" s="8" t="s">
        <v>2019</v>
      </c>
    </row>
    <row r="4262" spans="1:10" ht="16.5" customHeight="1" x14ac:dyDescent="0.25">
      <c r="A4262" s="8" t="s">
        <v>13390</v>
      </c>
      <c r="B4262" s="8" t="s">
        <v>13391</v>
      </c>
      <c r="C4262" s="8" t="s">
        <v>13391</v>
      </c>
      <c r="D4262" s="8" t="s">
        <v>13391</v>
      </c>
      <c r="E4262" s="105">
        <v>33</v>
      </c>
      <c r="F4262" s="106" t="s">
        <v>2018</v>
      </c>
      <c r="G4262" s="8"/>
      <c r="H4262" s="8"/>
      <c r="I4262" s="107">
        <v>0</v>
      </c>
      <c r="J4262" s="8" t="s">
        <v>6357</v>
      </c>
    </row>
    <row r="4263" spans="1:10" ht="16.5" customHeight="1" x14ac:dyDescent="0.25">
      <c r="A4263" s="8" t="s">
        <v>13392</v>
      </c>
      <c r="B4263" s="8" t="s">
        <v>13393</v>
      </c>
      <c r="C4263" s="8" t="s">
        <v>13394</v>
      </c>
      <c r="D4263" s="8" t="s">
        <v>13393</v>
      </c>
      <c r="E4263" s="105">
        <v>33</v>
      </c>
      <c r="F4263" s="106" t="s">
        <v>2018</v>
      </c>
      <c r="G4263" s="8"/>
      <c r="H4263" s="8"/>
      <c r="I4263" s="107">
        <v>0</v>
      </c>
      <c r="J4263" s="8" t="s">
        <v>6357</v>
      </c>
    </row>
    <row r="4264" spans="1:10" ht="16.5" customHeight="1" x14ac:dyDescent="0.25">
      <c r="A4264" s="8" t="s">
        <v>13395</v>
      </c>
      <c r="B4264" s="8" t="s">
        <v>13396</v>
      </c>
      <c r="C4264" s="8" t="s">
        <v>13397</v>
      </c>
      <c r="D4264" s="8" t="s">
        <v>13396</v>
      </c>
      <c r="E4264" s="105">
        <v>33</v>
      </c>
      <c r="F4264" s="106" t="s">
        <v>2018</v>
      </c>
      <c r="G4264" s="8"/>
      <c r="H4264" s="8"/>
      <c r="I4264" s="107">
        <v>0</v>
      </c>
      <c r="J4264" s="8" t="s">
        <v>6357</v>
      </c>
    </row>
    <row r="4265" spans="1:10" ht="16.5" customHeight="1" x14ac:dyDescent="0.25">
      <c r="A4265" s="8" t="s">
        <v>13398</v>
      </c>
      <c r="B4265" s="8" t="s">
        <v>13399</v>
      </c>
      <c r="C4265" s="8" t="s">
        <v>13400</v>
      </c>
      <c r="D4265" s="8" t="s">
        <v>13399</v>
      </c>
      <c r="E4265" s="105">
        <v>8.5</v>
      </c>
      <c r="F4265" s="106" t="s">
        <v>2024</v>
      </c>
      <c r="G4265" s="8" t="s">
        <v>1541</v>
      </c>
      <c r="H4265" s="8" t="s">
        <v>13401</v>
      </c>
      <c r="I4265" s="107">
        <v>10</v>
      </c>
      <c r="J4265" s="8" t="s">
        <v>5929</v>
      </c>
    </row>
    <row r="4266" spans="1:10" ht="16.5" customHeight="1" x14ac:dyDescent="0.25">
      <c r="A4266" s="8" t="s">
        <v>13401</v>
      </c>
      <c r="B4266" s="8" t="s">
        <v>13402</v>
      </c>
      <c r="C4266" s="8" t="s">
        <v>13403</v>
      </c>
      <c r="D4266" s="8" t="s">
        <v>13402</v>
      </c>
      <c r="E4266" s="105">
        <v>0.85</v>
      </c>
      <c r="F4266" s="106" t="s">
        <v>2024</v>
      </c>
      <c r="G4266" s="8" t="s">
        <v>1541</v>
      </c>
      <c r="H4266" s="8"/>
      <c r="I4266" s="107">
        <v>0</v>
      </c>
      <c r="J4266" s="8" t="s">
        <v>5929</v>
      </c>
    </row>
    <row r="4267" spans="1:10" ht="16.5" customHeight="1" x14ac:dyDescent="0.25">
      <c r="A4267" s="8" t="s">
        <v>13404</v>
      </c>
      <c r="B4267" s="8" t="s">
        <v>13405</v>
      </c>
      <c r="C4267" s="8" t="s">
        <v>13406</v>
      </c>
      <c r="D4267" s="8" t="s">
        <v>13405</v>
      </c>
      <c r="E4267" s="105">
        <v>0.1</v>
      </c>
      <c r="F4267" s="106" t="s">
        <v>2024</v>
      </c>
      <c r="G4267" s="8"/>
      <c r="H4267" s="8"/>
      <c r="I4267" s="107">
        <v>0</v>
      </c>
      <c r="J4267" s="8" t="s">
        <v>2019</v>
      </c>
    </row>
    <row r="4268" spans="1:10" ht="16.5" customHeight="1" x14ac:dyDescent="0.25">
      <c r="A4268" s="8" t="s">
        <v>13407</v>
      </c>
      <c r="B4268" s="8" t="s">
        <v>13408</v>
      </c>
      <c r="C4268" s="8" t="s">
        <v>1498</v>
      </c>
      <c r="D4268" s="8" t="s">
        <v>13408</v>
      </c>
      <c r="E4268" s="105">
        <v>7.2</v>
      </c>
      <c r="F4268" s="106" t="s">
        <v>2024</v>
      </c>
      <c r="G4268" s="8"/>
      <c r="H4268" s="8"/>
      <c r="I4268" s="107">
        <v>0</v>
      </c>
      <c r="J4268" s="8" t="s">
        <v>5671</v>
      </c>
    </row>
    <row r="4269" spans="1:10" ht="16.5" customHeight="1" x14ac:dyDescent="0.25">
      <c r="A4269" s="8" t="s">
        <v>13409</v>
      </c>
      <c r="B4269" s="8" t="s">
        <v>13410</v>
      </c>
      <c r="C4269" s="8" t="s">
        <v>13411</v>
      </c>
      <c r="D4269" s="8" t="s">
        <v>13410</v>
      </c>
      <c r="E4269" s="105">
        <v>0.3</v>
      </c>
      <c r="F4269" s="106" t="s">
        <v>2024</v>
      </c>
      <c r="G4269" s="8"/>
      <c r="H4269" s="8"/>
      <c r="I4269" s="107">
        <v>0</v>
      </c>
      <c r="J4269" s="8" t="s">
        <v>5671</v>
      </c>
    </row>
    <row r="4270" spans="1:10" ht="16.5" customHeight="1" x14ac:dyDescent="0.25">
      <c r="A4270" s="8" t="s">
        <v>13412</v>
      </c>
      <c r="B4270" s="8" t="s">
        <v>13413</v>
      </c>
      <c r="C4270" s="8" t="s">
        <v>13414</v>
      </c>
      <c r="D4270" s="8" t="s">
        <v>13413</v>
      </c>
      <c r="E4270" s="105">
        <v>25</v>
      </c>
      <c r="F4270" s="106" t="s">
        <v>2018</v>
      </c>
      <c r="G4270" s="8"/>
      <c r="H4270" s="8"/>
      <c r="I4270" s="107">
        <v>0</v>
      </c>
      <c r="J4270" s="8" t="s">
        <v>3580</v>
      </c>
    </row>
    <row r="4271" spans="1:10" ht="16.5" customHeight="1" x14ac:dyDescent="0.25">
      <c r="A4271" s="8" t="s">
        <v>13415</v>
      </c>
      <c r="B4271" s="8" t="s">
        <v>13416</v>
      </c>
      <c r="C4271" s="8" t="s">
        <v>13417</v>
      </c>
      <c r="D4271" s="8" t="s">
        <v>13416</v>
      </c>
      <c r="E4271" s="105">
        <v>1</v>
      </c>
      <c r="F4271" s="106" t="s">
        <v>2018</v>
      </c>
      <c r="G4271" s="8"/>
      <c r="H4271" s="8"/>
      <c r="I4271" s="107">
        <v>0</v>
      </c>
      <c r="J4271" s="8" t="s">
        <v>6357</v>
      </c>
    </row>
    <row r="4272" spans="1:10" ht="16.5" customHeight="1" x14ac:dyDescent="0.25">
      <c r="A4272" s="8" t="s">
        <v>13418</v>
      </c>
      <c r="B4272" s="8" t="s">
        <v>13419</v>
      </c>
      <c r="C4272" s="8" t="s">
        <v>13420</v>
      </c>
      <c r="D4272" s="8" t="s">
        <v>13419</v>
      </c>
      <c r="E4272" s="105">
        <v>25</v>
      </c>
      <c r="F4272" s="106" t="s">
        <v>2018</v>
      </c>
      <c r="G4272" s="8"/>
      <c r="H4272" s="8"/>
      <c r="I4272" s="107">
        <v>0</v>
      </c>
      <c r="J4272" s="8" t="s">
        <v>3580</v>
      </c>
    </row>
    <row r="4273" spans="1:10" ht="16.5" customHeight="1" x14ac:dyDescent="0.25">
      <c r="A4273" s="8" t="s">
        <v>13421</v>
      </c>
      <c r="B4273" s="8" t="s">
        <v>13422</v>
      </c>
      <c r="C4273" s="8" t="s">
        <v>13423</v>
      </c>
      <c r="D4273" s="8" t="s">
        <v>13422</v>
      </c>
      <c r="E4273" s="105">
        <v>25</v>
      </c>
      <c r="F4273" s="106" t="s">
        <v>2018</v>
      </c>
      <c r="G4273" s="8"/>
      <c r="H4273" s="8"/>
      <c r="I4273" s="107">
        <v>0</v>
      </c>
      <c r="J4273" s="8" t="s">
        <v>3580</v>
      </c>
    </row>
    <row r="4274" spans="1:10" ht="16.5" customHeight="1" x14ac:dyDescent="0.25">
      <c r="A4274" s="8" t="s">
        <v>13424</v>
      </c>
      <c r="B4274" s="8" t="s">
        <v>13425</v>
      </c>
      <c r="C4274" s="8" t="s">
        <v>13426</v>
      </c>
      <c r="D4274" s="8" t="s">
        <v>13425</v>
      </c>
      <c r="E4274" s="105">
        <v>25</v>
      </c>
      <c r="F4274" s="106" t="s">
        <v>2018</v>
      </c>
      <c r="G4274" s="8"/>
      <c r="H4274" s="8"/>
      <c r="I4274" s="107">
        <v>0</v>
      </c>
      <c r="J4274" s="8" t="s">
        <v>3580</v>
      </c>
    </row>
    <row r="4275" spans="1:10" ht="16.5" customHeight="1" x14ac:dyDescent="0.25">
      <c r="A4275" s="8" t="s">
        <v>13427</v>
      </c>
      <c r="B4275" s="8" t="s">
        <v>13428</v>
      </c>
      <c r="C4275" s="8" t="s">
        <v>13429</v>
      </c>
      <c r="D4275" s="8" t="s">
        <v>13428</v>
      </c>
      <c r="E4275" s="105">
        <v>25</v>
      </c>
      <c r="F4275" s="106" t="s">
        <v>2018</v>
      </c>
      <c r="G4275" s="8"/>
      <c r="H4275" s="8"/>
      <c r="I4275" s="107">
        <v>0</v>
      </c>
      <c r="J4275" s="8" t="s">
        <v>3580</v>
      </c>
    </row>
    <row r="4276" spans="1:10" ht="16.5" customHeight="1" x14ac:dyDescent="0.25">
      <c r="A4276" s="8" t="s">
        <v>13430</v>
      </c>
      <c r="B4276" s="8" t="s">
        <v>13431</v>
      </c>
      <c r="C4276" s="8" t="s">
        <v>13432</v>
      </c>
      <c r="D4276" s="8" t="s">
        <v>13431</v>
      </c>
      <c r="E4276" s="105">
        <v>0</v>
      </c>
      <c r="F4276" s="106" t="s">
        <v>2018</v>
      </c>
      <c r="G4276" s="8"/>
      <c r="H4276" s="8"/>
      <c r="I4276" s="107">
        <v>0</v>
      </c>
      <c r="J4276" s="8" t="s">
        <v>5779</v>
      </c>
    </row>
    <row r="4277" spans="1:10" ht="16.5" customHeight="1" x14ac:dyDescent="0.25">
      <c r="A4277" s="8" t="s">
        <v>13433</v>
      </c>
      <c r="B4277" s="8" t="s">
        <v>13434</v>
      </c>
      <c r="C4277" s="8" t="s">
        <v>13435</v>
      </c>
      <c r="D4277" s="8" t="s">
        <v>13434</v>
      </c>
      <c r="E4277" s="105">
        <v>10</v>
      </c>
      <c r="F4277" s="106" t="s">
        <v>2024</v>
      </c>
      <c r="G4277" s="8"/>
      <c r="H4277" s="8"/>
      <c r="I4277" s="107">
        <v>0</v>
      </c>
      <c r="J4277" s="8" t="s">
        <v>5929</v>
      </c>
    </row>
    <row r="4278" spans="1:10" ht="16.5" customHeight="1" x14ac:dyDescent="0.25">
      <c r="A4278" s="8" t="s">
        <v>13436</v>
      </c>
      <c r="B4278" s="8" t="s">
        <v>11149</v>
      </c>
      <c r="C4278" s="8" t="s">
        <v>13437</v>
      </c>
      <c r="D4278" s="8" t="s">
        <v>11149</v>
      </c>
      <c r="E4278" s="105">
        <v>0.01</v>
      </c>
      <c r="F4278" s="106" t="s">
        <v>2024</v>
      </c>
      <c r="G4278" s="8"/>
      <c r="H4278" s="8"/>
      <c r="I4278" s="107">
        <v>0</v>
      </c>
      <c r="J4278" s="8" t="s">
        <v>5929</v>
      </c>
    </row>
    <row r="4279" spans="1:10" ht="16.5" customHeight="1" x14ac:dyDescent="0.25">
      <c r="A4279" s="8" t="s">
        <v>13438</v>
      </c>
      <c r="B4279" s="8" t="s">
        <v>13439</v>
      </c>
      <c r="C4279" s="8" t="s">
        <v>13440</v>
      </c>
      <c r="D4279" s="8" t="s">
        <v>13439</v>
      </c>
      <c r="E4279" s="105">
        <v>10</v>
      </c>
      <c r="F4279" s="106" t="s">
        <v>2024</v>
      </c>
      <c r="G4279" s="8"/>
      <c r="H4279" s="8"/>
      <c r="I4279" s="107">
        <v>0</v>
      </c>
      <c r="J4279" s="8" t="s">
        <v>5929</v>
      </c>
    </row>
    <row r="4280" spans="1:10" ht="16.5" customHeight="1" x14ac:dyDescent="0.25">
      <c r="A4280" s="8" t="s">
        <v>13441</v>
      </c>
      <c r="B4280" s="8" t="s">
        <v>13442</v>
      </c>
      <c r="C4280" s="8" t="s">
        <v>13443</v>
      </c>
      <c r="D4280" s="8" t="s">
        <v>13442</v>
      </c>
      <c r="E4280" s="105">
        <v>0.01</v>
      </c>
      <c r="F4280" s="106" t="s">
        <v>2024</v>
      </c>
      <c r="G4280" s="8"/>
      <c r="H4280" s="8"/>
      <c r="I4280" s="107">
        <v>0</v>
      </c>
      <c r="J4280" s="8" t="s">
        <v>5929</v>
      </c>
    </row>
    <row r="4281" spans="1:10" ht="16.5" customHeight="1" x14ac:dyDescent="0.25">
      <c r="A4281" s="8" t="s">
        <v>13444</v>
      </c>
      <c r="B4281" s="8" t="s">
        <v>9442</v>
      </c>
      <c r="C4281" s="8" t="s">
        <v>13445</v>
      </c>
      <c r="D4281" s="8" t="s">
        <v>9442</v>
      </c>
      <c r="E4281" s="105">
        <v>1.82</v>
      </c>
      <c r="F4281" s="106" t="s">
        <v>2024</v>
      </c>
      <c r="G4281" s="8"/>
      <c r="H4281" s="8"/>
      <c r="I4281" s="107">
        <v>0</v>
      </c>
      <c r="J4281" s="8" t="s">
        <v>2019</v>
      </c>
    </row>
    <row r="4282" spans="1:10" ht="16.5" customHeight="1" x14ac:dyDescent="0.25">
      <c r="A4282" s="8" t="s">
        <v>13446</v>
      </c>
      <c r="B4282" s="8" t="s">
        <v>13447</v>
      </c>
      <c r="C4282" s="8" t="s">
        <v>13448</v>
      </c>
      <c r="D4282" s="8" t="s">
        <v>13447</v>
      </c>
      <c r="E4282" s="105">
        <v>6.8719999999999999</v>
      </c>
      <c r="F4282" s="106" t="s">
        <v>2018</v>
      </c>
      <c r="G4282" s="8"/>
      <c r="H4282" s="8" t="s">
        <v>13449</v>
      </c>
      <c r="I4282" s="107">
        <v>8</v>
      </c>
      <c r="J4282" s="8" t="s">
        <v>13450</v>
      </c>
    </row>
    <row r="4283" spans="1:10" ht="16.5" customHeight="1" x14ac:dyDescent="0.25">
      <c r="A4283" s="8" t="s">
        <v>13449</v>
      </c>
      <c r="B4283" s="8" t="s">
        <v>13451</v>
      </c>
      <c r="C4283" s="8" t="s">
        <v>13452</v>
      </c>
      <c r="D4283" s="8" t="s">
        <v>13451</v>
      </c>
      <c r="E4283" s="105">
        <v>0.85899999999999999</v>
      </c>
      <c r="F4283" s="106" t="s">
        <v>2018</v>
      </c>
      <c r="G4283" s="8"/>
      <c r="H4283" s="8"/>
      <c r="I4283" s="107">
        <v>0</v>
      </c>
      <c r="J4283" s="8" t="s">
        <v>13450</v>
      </c>
    </row>
    <row r="4284" spans="1:10" ht="16.5" customHeight="1" x14ac:dyDescent="0.25">
      <c r="A4284" s="8" t="s">
        <v>13453</v>
      </c>
      <c r="B4284" s="8" t="s">
        <v>13454</v>
      </c>
      <c r="C4284" s="8" t="s">
        <v>13455</v>
      </c>
      <c r="D4284" s="8" t="s">
        <v>13454</v>
      </c>
      <c r="E4284" s="105">
        <v>11.805</v>
      </c>
      <c r="F4284" s="106" t="s">
        <v>2018</v>
      </c>
      <c r="G4284" s="8"/>
      <c r="H4284" s="8" t="s">
        <v>13456</v>
      </c>
      <c r="I4284" s="107">
        <v>40</v>
      </c>
      <c r="J4284" s="8" t="s">
        <v>13450</v>
      </c>
    </row>
    <row r="4285" spans="1:10" ht="16.5" customHeight="1" x14ac:dyDescent="0.25">
      <c r="A4285" s="8" t="s">
        <v>13456</v>
      </c>
      <c r="B4285" s="8" t="s">
        <v>13457</v>
      </c>
      <c r="C4285" s="8" t="s">
        <v>13458</v>
      </c>
      <c r="D4285" s="8" t="s">
        <v>13457</v>
      </c>
      <c r="E4285" s="105">
        <v>0.29499999999999998</v>
      </c>
      <c r="F4285" s="106" t="s">
        <v>2018</v>
      </c>
      <c r="G4285" s="8"/>
      <c r="H4285" s="8"/>
      <c r="I4285" s="107">
        <v>0</v>
      </c>
      <c r="J4285" s="8" t="s">
        <v>13450</v>
      </c>
    </row>
    <row r="4286" spans="1:10" ht="16.5" customHeight="1" x14ac:dyDescent="0.25">
      <c r="A4286" s="8" t="s">
        <v>13459</v>
      </c>
      <c r="B4286" s="8" t="s">
        <v>13460</v>
      </c>
      <c r="C4286" s="8" t="s">
        <v>13461</v>
      </c>
      <c r="D4286" s="8" t="s">
        <v>13460</v>
      </c>
      <c r="E4286" s="105">
        <v>11.714</v>
      </c>
      <c r="F4286" s="106" t="s">
        <v>2018</v>
      </c>
      <c r="G4286" s="8"/>
      <c r="H4286" s="8" t="s">
        <v>13462</v>
      </c>
      <c r="I4286" s="107">
        <v>48</v>
      </c>
      <c r="J4286" s="8" t="s">
        <v>13450</v>
      </c>
    </row>
    <row r="4287" spans="1:10" ht="16.5" customHeight="1" x14ac:dyDescent="0.25">
      <c r="A4287" s="8" t="s">
        <v>13462</v>
      </c>
      <c r="B4287" s="8" t="s">
        <v>13463</v>
      </c>
      <c r="C4287" s="8" t="s">
        <v>13464</v>
      </c>
      <c r="D4287" s="8" t="s">
        <v>13463</v>
      </c>
      <c r="E4287" s="105">
        <v>0.24399999999999999</v>
      </c>
      <c r="F4287" s="106" t="s">
        <v>2018</v>
      </c>
      <c r="G4287" s="8"/>
      <c r="H4287" s="8"/>
      <c r="I4287" s="107">
        <v>0</v>
      </c>
      <c r="J4287" s="8" t="s">
        <v>13450</v>
      </c>
    </row>
    <row r="4288" spans="1:10" ht="16.5" customHeight="1" x14ac:dyDescent="0.25">
      <c r="A4288" s="8" t="s">
        <v>13465</v>
      </c>
      <c r="B4288" s="8" t="s">
        <v>13466</v>
      </c>
      <c r="C4288" s="8" t="s">
        <v>13467</v>
      </c>
      <c r="D4288" s="8" t="s">
        <v>13466</v>
      </c>
      <c r="E4288" s="105">
        <v>10.459</v>
      </c>
      <c r="F4288" s="106" t="s">
        <v>2018</v>
      </c>
      <c r="G4288" s="8"/>
      <c r="H4288" s="8" t="s">
        <v>13468</v>
      </c>
      <c r="I4288" s="107">
        <v>12</v>
      </c>
      <c r="J4288" s="8" t="s">
        <v>8088</v>
      </c>
    </row>
    <row r="4289" spans="1:10" ht="16.5" customHeight="1" x14ac:dyDescent="0.25">
      <c r="A4289" s="8" t="s">
        <v>13468</v>
      </c>
      <c r="B4289" s="8" t="s">
        <v>13469</v>
      </c>
      <c r="C4289" s="8" t="s">
        <v>13470</v>
      </c>
      <c r="D4289" s="8" t="s">
        <v>13469</v>
      </c>
      <c r="E4289" s="105">
        <v>0.872</v>
      </c>
      <c r="F4289" s="106" t="s">
        <v>2018</v>
      </c>
      <c r="G4289" s="8"/>
      <c r="H4289" s="8"/>
      <c r="I4289" s="107">
        <v>0</v>
      </c>
      <c r="J4289" s="8" t="s">
        <v>8088</v>
      </c>
    </row>
    <row r="4290" spans="1:10" ht="16.5" customHeight="1" x14ac:dyDescent="0.25">
      <c r="A4290" s="8" t="s">
        <v>13471</v>
      </c>
      <c r="B4290" s="8" t="s">
        <v>13472</v>
      </c>
      <c r="C4290" s="8" t="s">
        <v>13473</v>
      </c>
      <c r="D4290" s="8" t="s">
        <v>13472</v>
      </c>
      <c r="E4290" s="105">
        <v>7.2469999999999999</v>
      </c>
      <c r="F4290" s="106" t="s">
        <v>2018</v>
      </c>
      <c r="G4290" s="8"/>
      <c r="H4290" s="8" t="s">
        <v>13474</v>
      </c>
      <c r="I4290" s="107">
        <v>20</v>
      </c>
      <c r="J4290" s="8" t="s">
        <v>13450</v>
      </c>
    </row>
    <row r="4291" spans="1:10" ht="16.5" customHeight="1" x14ac:dyDescent="0.25">
      <c r="A4291" s="8" t="s">
        <v>13474</v>
      </c>
      <c r="B4291" s="8" t="s">
        <v>13475</v>
      </c>
      <c r="C4291" s="8" t="s">
        <v>13476</v>
      </c>
      <c r="D4291" s="8" t="s">
        <v>13475</v>
      </c>
      <c r="E4291" s="105">
        <v>0.36199999999999999</v>
      </c>
      <c r="F4291" s="106" t="s">
        <v>2018</v>
      </c>
      <c r="G4291" s="8"/>
      <c r="H4291" s="8"/>
      <c r="I4291" s="107">
        <v>0</v>
      </c>
      <c r="J4291" s="8" t="s">
        <v>13450</v>
      </c>
    </row>
    <row r="4292" spans="1:10" ht="16.5" customHeight="1" x14ac:dyDescent="0.25">
      <c r="A4292" s="8" t="s">
        <v>13477</v>
      </c>
      <c r="B4292" s="8" t="s">
        <v>13478</v>
      </c>
      <c r="C4292" s="8" t="s">
        <v>13479</v>
      </c>
      <c r="D4292" s="8" t="s">
        <v>13478</v>
      </c>
      <c r="E4292" s="105">
        <v>8.42</v>
      </c>
      <c r="F4292" s="106" t="s">
        <v>2018</v>
      </c>
      <c r="G4292" s="8"/>
      <c r="H4292" s="8" t="s">
        <v>13480</v>
      </c>
      <c r="I4292" s="107">
        <v>48</v>
      </c>
      <c r="J4292" s="8" t="s">
        <v>13450</v>
      </c>
    </row>
    <row r="4293" spans="1:10" ht="16.5" customHeight="1" x14ac:dyDescent="0.25">
      <c r="A4293" s="8" t="s">
        <v>13480</v>
      </c>
      <c r="B4293" s="8" t="s">
        <v>13481</v>
      </c>
      <c r="C4293" s="8" t="s">
        <v>13482</v>
      </c>
      <c r="D4293" s="8" t="s">
        <v>13481</v>
      </c>
      <c r="E4293" s="105">
        <v>0.17499999999999999</v>
      </c>
      <c r="F4293" s="106" t="s">
        <v>2018</v>
      </c>
      <c r="G4293" s="8"/>
      <c r="H4293" s="8"/>
      <c r="I4293" s="107">
        <v>0</v>
      </c>
      <c r="J4293" s="8" t="s">
        <v>13450</v>
      </c>
    </row>
    <row r="4294" spans="1:10" ht="16.5" customHeight="1" x14ac:dyDescent="0.25">
      <c r="A4294" s="8" t="s">
        <v>13483</v>
      </c>
      <c r="B4294" s="8" t="s">
        <v>13484</v>
      </c>
      <c r="C4294" s="8" t="s">
        <v>13485</v>
      </c>
      <c r="D4294" s="8" t="s">
        <v>13484</v>
      </c>
      <c r="E4294" s="105">
        <v>1</v>
      </c>
      <c r="F4294" s="106" t="s">
        <v>2018</v>
      </c>
      <c r="G4294" s="8"/>
      <c r="H4294" s="8"/>
      <c r="I4294" s="107">
        <v>0</v>
      </c>
      <c r="J4294" s="8" t="s">
        <v>12551</v>
      </c>
    </row>
    <row r="4295" spans="1:10" ht="16.5" customHeight="1" x14ac:dyDescent="0.25">
      <c r="A4295" s="8" t="s">
        <v>13486</v>
      </c>
      <c r="B4295" s="8" t="s">
        <v>13487</v>
      </c>
      <c r="C4295" s="8" t="s">
        <v>13488</v>
      </c>
      <c r="D4295" s="8" t="s">
        <v>13487</v>
      </c>
      <c r="E4295" s="105">
        <v>0</v>
      </c>
      <c r="F4295" s="106" t="s">
        <v>2018</v>
      </c>
      <c r="G4295" s="8"/>
      <c r="H4295" s="8"/>
      <c r="I4295" s="107">
        <v>0</v>
      </c>
      <c r="J4295" s="8" t="s">
        <v>5779</v>
      </c>
    </row>
    <row r="4296" spans="1:10" ht="16.5" customHeight="1" x14ac:dyDescent="0.25">
      <c r="A4296" s="8" t="s">
        <v>13489</v>
      </c>
      <c r="B4296" s="8" t="s">
        <v>13490</v>
      </c>
      <c r="C4296" s="8" t="s">
        <v>13491</v>
      </c>
      <c r="D4296" s="8" t="s">
        <v>13490</v>
      </c>
      <c r="E4296" s="105">
        <v>0</v>
      </c>
      <c r="F4296" s="106" t="s">
        <v>2018</v>
      </c>
      <c r="G4296" s="8"/>
      <c r="H4296" s="8"/>
      <c r="I4296" s="107">
        <v>0</v>
      </c>
      <c r="J4296" s="8" t="s">
        <v>5779</v>
      </c>
    </row>
    <row r="4297" spans="1:10" ht="16.5" customHeight="1" x14ac:dyDescent="0.25">
      <c r="A4297" s="8" t="s">
        <v>13492</v>
      </c>
      <c r="B4297" s="8" t="s">
        <v>13493</v>
      </c>
      <c r="C4297" s="8" t="s">
        <v>13494</v>
      </c>
      <c r="D4297" s="8" t="s">
        <v>13493</v>
      </c>
      <c r="E4297" s="105">
        <v>0</v>
      </c>
      <c r="F4297" s="106" t="s">
        <v>2018</v>
      </c>
      <c r="G4297" s="8"/>
      <c r="H4297" s="8"/>
      <c r="I4297" s="107">
        <v>0</v>
      </c>
      <c r="J4297" s="8" t="s">
        <v>5779</v>
      </c>
    </row>
    <row r="4298" spans="1:10" ht="16.5" customHeight="1" x14ac:dyDescent="0.25">
      <c r="A4298" s="8" t="s">
        <v>13495</v>
      </c>
      <c r="B4298" s="8" t="s">
        <v>13496</v>
      </c>
      <c r="C4298" s="8" t="s">
        <v>13497</v>
      </c>
      <c r="D4298" s="8" t="s">
        <v>13496</v>
      </c>
      <c r="E4298" s="105">
        <v>0</v>
      </c>
      <c r="F4298" s="106" t="s">
        <v>2018</v>
      </c>
      <c r="G4298" s="8"/>
      <c r="H4298" s="8"/>
      <c r="I4298" s="107">
        <v>0</v>
      </c>
      <c r="J4298" s="8" t="s">
        <v>5779</v>
      </c>
    </row>
    <row r="4299" spans="1:10" ht="16.5" customHeight="1" x14ac:dyDescent="0.25">
      <c r="A4299" s="8" t="s">
        <v>13498</v>
      </c>
      <c r="B4299" s="8" t="s">
        <v>13499</v>
      </c>
      <c r="C4299" s="8" t="s">
        <v>13500</v>
      </c>
      <c r="D4299" s="8" t="s">
        <v>13499</v>
      </c>
      <c r="E4299" s="105">
        <v>3.2</v>
      </c>
      <c r="F4299" s="106" t="s">
        <v>2018</v>
      </c>
      <c r="G4299" s="8"/>
      <c r="H4299" s="8"/>
      <c r="I4299" s="107">
        <v>0</v>
      </c>
      <c r="J4299" s="8" t="s">
        <v>10697</v>
      </c>
    </row>
    <row r="4300" spans="1:10" ht="16.5" customHeight="1" x14ac:dyDescent="0.25">
      <c r="A4300" s="8" t="s">
        <v>1064</v>
      </c>
      <c r="B4300" s="8" t="s">
        <v>1066</v>
      </c>
      <c r="C4300" s="8" t="s">
        <v>1065</v>
      </c>
      <c r="D4300" s="8" t="s">
        <v>1066</v>
      </c>
      <c r="E4300" s="105">
        <v>12.8</v>
      </c>
      <c r="F4300" s="106" t="s">
        <v>2018</v>
      </c>
      <c r="G4300" s="8"/>
      <c r="H4300" s="8" t="s">
        <v>13498</v>
      </c>
      <c r="I4300" s="107">
        <v>4</v>
      </c>
      <c r="J4300" s="8" t="s">
        <v>10697</v>
      </c>
    </row>
    <row r="4301" spans="1:10" ht="16.5" customHeight="1" x14ac:dyDescent="0.25">
      <c r="A4301" s="8" t="s">
        <v>1036</v>
      </c>
      <c r="B4301" s="8" t="s">
        <v>1038</v>
      </c>
      <c r="C4301" s="8" t="s">
        <v>1037</v>
      </c>
      <c r="D4301" s="8" t="s">
        <v>1038</v>
      </c>
      <c r="E4301" s="105">
        <v>18</v>
      </c>
      <c r="F4301" s="106" t="s">
        <v>2018</v>
      </c>
      <c r="G4301" s="8"/>
      <c r="H4301" s="8" t="s">
        <v>13501</v>
      </c>
      <c r="I4301" s="107">
        <v>2</v>
      </c>
      <c r="J4301" s="8" t="s">
        <v>10697</v>
      </c>
    </row>
    <row r="4302" spans="1:10" ht="16.5" customHeight="1" x14ac:dyDescent="0.25">
      <c r="A4302" s="8" t="s">
        <v>13501</v>
      </c>
      <c r="B4302" s="8" t="s">
        <v>13502</v>
      </c>
      <c r="C4302" s="8" t="s">
        <v>13503</v>
      </c>
      <c r="D4302" s="8" t="s">
        <v>13502</v>
      </c>
      <c r="E4302" s="105">
        <v>9</v>
      </c>
      <c r="F4302" s="106" t="s">
        <v>2018</v>
      </c>
      <c r="G4302" s="8"/>
      <c r="H4302" s="8"/>
      <c r="I4302" s="107">
        <v>0</v>
      </c>
      <c r="J4302" s="8" t="s">
        <v>10697</v>
      </c>
    </row>
    <row r="4303" spans="1:10" ht="16.5" customHeight="1" x14ac:dyDescent="0.25">
      <c r="A4303" s="8" t="s">
        <v>13504</v>
      </c>
      <c r="B4303" s="8" t="s">
        <v>13505</v>
      </c>
      <c r="C4303" s="8" t="s">
        <v>13506</v>
      </c>
      <c r="D4303" s="8" t="s">
        <v>13505</v>
      </c>
      <c r="E4303" s="105">
        <v>2.7E-2</v>
      </c>
      <c r="F4303" s="106" t="s">
        <v>2024</v>
      </c>
      <c r="G4303" s="8"/>
      <c r="H4303" s="8"/>
      <c r="I4303" s="107">
        <v>0</v>
      </c>
      <c r="J4303" s="8" t="s">
        <v>4789</v>
      </c>
    </row>
    <row r="4304" spans="1:10" ht="16.5" customHeight="1" x14ac:dyDescent="0.25">
      <c r="A4304" s="8" t="s">
        <v>13507</v>
      </c>
      <c r="B4304" s="8" t="s">
        <v>13508</v>
      </c>
      <c r="C4304" s="8" t="s">
        <v>13509</v>
      </c>
      <c r="D4304" s="8" t="s">
        <v>13508</v>
      </c>
      <c r="E4304" s="105">
        <v>1</v>
      </c>
      <c r="F4304" s="106" t="s">
        <v>2018</v>
      </c>
      <c r="G4304" s="8"/>
      <c r="H4304" s="8"/>
      <c r="I4304" s="107">
        <v>0</v>
      </c>
      <c r="J4304" s="8" t="s">
        <v>6357</v>
      </c>
    </row>
    <row r="4305" spans="1:10" ht="16.5" customHeight="1" x14ac:dyDescent="0.25">
      <c r="A4305" s="8" t="s">
        <v>13510</v>
      </c>
      <c r="B4305" s="8" t="s">
        <v>13511</v>
      </c>
      <c r="C4305" s="8" t="s">
        <v>13512</v>
      </c>
      <c r="D4305" s="8" t="s">
        <v>13511</v>
      </c>
      <c r="E4305" s="105">
        <v>1</v>
      </c>
      <c r="F4305" s="106" t="s">
        <v>2018</v>
      </c>
      <c r="G4305" s="8"/>
      <c r="H4305" s="8"/>
      <c r="I4305" s="107">
        <v>0</v>
      </c>
      <c r="J4305" s="8" t="s">
        <v>6357</v>
      </c>
    </row>
    <row r="4306" spans="1:10" ht="16.5" customHeight="1" x14ac:dyDescent="0.25">
      <c r="A4306" s="8" t="s">
        <v>13513</v>
      </c>
      <c r="B4306" s="8" t="s">
        <v>13514</v>
      </c>
      <c r="C4306" s="8" t="s">
        <v>13515</v>
      </c>
      <c r="D4306" s="8" t="s">
        <v>13514</v>
      </c>
      <c r="E4306" s="105">
        <v>8</v>
      </c>
      <c r="F4306" s="106" t="s">
        <v>2024</v>
      </c>
      <c r="G4306" s="8"/>
      <c r="H4306" s="8"/>
      <c r="I4306" s="107">
        <v>0</v>
      </c>
      <c r="J4306" s="8" t="s">
        <v>5929</v>
      </c>
    </row>
    <row r="4307" spans="1:10" ht="16.5" customHeight="1" x14ac:dyDescent="0.25">
      <c r="A4307" s="8" t="s">
        <v>13516</v>
      </c>
      <c r="B4307" s="8" t="s">
        <v>13517</v>
      </c>
      <c r="C4307" s="8" t="s">
        <v>13518</v>
      </c>
      <c r="D4307" s="8" t="s">
        <v>13517</v>
      </c>
      <c r="E4307" s="105">
        <v>1</v>
      </c>
      <c r="F4307" s="106" t="s">
        <v>2018</v>
      </c>
      <c r="G4307" s="8"/>
      <c r="H4307" s="8"/>
      <c r="I4307" s="107">
        <v>0</v>
      </c>
      <c r="J4307" s="8" t="s">
        <v>6357</v>
      </c>
    </row>
    <row r="4308" spans="1:10" ht="16.5" customHeight="1" x14ac:dyDescent="0.25">
      <c r="A4308" s="8" t="s">
        <v>13519</v>
      </c>
      <c r="B4308" s="8" t="s">
        <v>13520</v>
      </c>
      <c r="C4308" s="8" t="s">
        <v>11340</v>
      </c>
      <c r="D4308" s="8" t="s">
        <v>13520</v>
      </c>
      <c r="E4308" s="105">
        <v>5</v>
      </c>
      <c r="F4308" s="106" t="s">
        <v>2018</v>
      </c>
      <c r="G4308" s="8"/>
      <c r="H4308" s="8"/>
      <c r="I4308" s="107">
        <v>0</v>
      </c>
      <c r="J4308" s="8" t="s">
        <v>3580</v>
      </c>
    </row>
    <row r="4309" spans="1:10" ht="16.5" customHeight="1" x14ac:dyDescent="0.25">
      <c r="A4309" s="8" t="s">
        <v>13521</v>
      </c>
      <c r="B4309" s="8" t="s">
        <v>13522</v>
      </c>
      <c r="C4309" s="8" t="s">
        <v>13523</v>
      </c>
      <c r="D4309" s="8" t="s">
        <v>13522</v>
      </c>
      <c r="E4309" s="105">
        <v>25</v>
      </c>
      <c r="F4309" s="106" t="s">
        <v>2018</v>
      </c>
      <c r="G4309" s="8"/>
      <c r="H4309" s="8"/>
      <c r="I4309" s="107">
        <v>0</v>
      </c>
      <c r="J4309" s="8" t="s">
        <v>3580</v>
      </c>
    </row>
    <row r="4310" spans="1:10" ht="16.5" customHeight="1" x14ac:dyDescent="0.25">
      <c r="A4310" s="8" t="s">
        <v>13524</v>
      </c>
      <c r="B4310" s="8" t="s">
        <v>13525</v>
      </c>
      <c r="C4310" s="8" t="s">
        <v>13526</v>
      </c>
      <c r="D4310" s="8" t="s">
        <v>13525</v>
      </c>
      <c r="E4310" s="105">
        <v>25</v>
      </c>
      <c r="F4310" s="106" t="s">
        <v>2018</v>
      </c>
      <c r="G4310" s="8"/>
      <c r="H4310" s="8"/>
      <c r="I4310" s="107">
        <v>0</v>
      </c>
      <c r="J4310" s="8" t="s">
        <v>3580</v>
      </c>
    </row>
    <row r="4311" spans="1:10" ht="16.5" customHeight="1" x14ac:dyDescent="0.25">
      <c r="A4311" s="8" t="s">
        <v>13527</v>
      </c>
      <c r="B4311" s="8" t="s">
        <v>13528</v>
      </c>
      <c r="C4311" s="8" t="s">
        <v>13529</v>
      </c>
      <c r="D4311" s="8" t="s">
        <v>13528</v>
      </c>
      <c r="E4311" s="105">
        <v>25</v>
      </c>
      <c r="F4311" s="106" t="s">
        <v>2018</v>
      </c>
      <c r="G4311" s="8"/>
      <c r="H4311" s="8"/>
      <c r="I4311" s="107">
        <v>0</v>
      </c>
      <c r="J4311" s="8" t="s">
        <v>3580</v>
      </c>
    </row>
    <row r="4312" spans="1:10" ht="16.5" customHeight="1" x14ac:dyDescent="0.25">
      <c r="A4312" s="8" t="s">
        <v>13530</v>
      </c>
      <c r="B4312" s="8" t="s">
        <v>13410</v>
      </c>
      <c r="C4312" s="8" t="s">
        <v>13411</v>
      </c>
      <c r="D4312" s="8" t="s">
        <v>13410</v>
      </c>
      <c r="E4312" s="105">
        <v>0.3</v>
      </c>
      <c r="F4312" s="106" t="s">
        <v>2018</v>
      </c>
      <c r="G4312" s="8"/>
      <c r="H4312" s="8"/>
      <c r="I4312" s="107">
        <v>0</v>
      </c>
      <c r="J4312" s="8" t="s">
        <v>5779</v>
      </c>
    </row>
    <row r="4313" spans="1:10" ht="16.5" customHeight="1" x14ac:dyDescent="0.25">
      <c r="A4313" s="8" t="s">
        <v>13531</v>
      </c>
      <c r="B4313" s="8" t="s">
        <v>13339</v>
      </c>
      <c r="C4313" s="8" t="s">
        <v>13340</v>
      </c>
      <c r="D4313" s="8" t="s">
        <v>13339</v>
      </c>
      <c r="E4313" s="105">
        <v>3.4</v>
      </c>
      <c r="F4313" s="106" t="s">
        <v>2018</v>
      </c>
      <c r="G4313" s="8"/>
      <c r="H4313" s="8"/>
      <c r="I4313" s="107">
        <v>0</v>
      </c>
      <c r="J4313" s="8" t="s">
        <v>4722</v>
      </c>
    </row>
    <row r="4314" spans="1:10" ht="16.5" customHeight="1" x14ac:dyDescent="0.25">
      <c r="A4314" s="8" t="s">
        <v>13532</v>
      </c>
      <c r="B4314" s="8" t="s">
        <v>13533</v>
      </c>
      <c r="C4314" s="8" t="s">
        <v>13534</v>
      </c>
      <c r="D4314" s="8" t="s">
        <v>13533</v>
      </c>
      <c r="E4314" s="105">
        <v>0</v>
      </c>
      <c r="F4314" s="106" t="s">
        <v>2018</v>
      </c>
      <c r="G4314" s="8"/>
      <c r="H4314" s="8"/>
      <c r="I4314" s="107">
        <v>0</v>
      </c>
      <c r="J4314" s="8" t="s">
        <v>4722</v>
      </c>
    </row>
    <row r="4315" spans="1:10" ht="16.5" customHeight="1" x14ac:dyDescent="0.25">
      <c r="A4315" s="8" t="s">
        <v>13535</v>
      </c>
      <c r="B4315" s="8" t="s">
        <v>12549</v>
      </c>
      <c r="C4315" s="8" t="s">
        <v>13536</v>
      </c>
      <c r="D4315" s="8" t="s">
        <v>12549</v>
      </c>
      <c r="E4315" s="105">
        <v>1</v>
      </c>
      <c r="F4315" s="106" t="s">
        <v>2018</v>
      </c>
      <c r="G4315" s="8"/>
      <c r="H4315" s="8"/>
      <c r="I4315" s="107">
        <v>0</v>
      </c>
      <c r="J4315" s="8"/>
    </row>
    <row r="4316" spans="1:10" ht="16.5" customHeight="1" x14ac:dyDescent="0.25">
      <c r="A4316" s="8" t="s">
        <v>13537</v>
      </c>
      <c r="B4316" s="8" t="s">
        <v>13538</v>
      </c>
      <c r="C4316" s="8" t="s">
        <v>13539</v>
      </c>
      <c r="D4316" s="8" t="s">
        <v>13538</v>
      </c>
      <c r="E4316" s="105">
        <v>0.4</v>
      </c>
      <c r="F4316" s="106" t="s">
        <v>2018</v>
      </c>
      <c r="G4316" s="8"/>
      <c r="H4316" s="8"/>
      <c r="I4316" s="107">
        <v>0</v>
      </c>
      <c r="J4316" s="8" t="s">
        <v>10697</v>
      </c>
    </row>
    <row r="4317" spans="1:10" ht="16.5" customHeight="1" x14ac:dyDescent="0.25">
      <c r="A4317" s="8" t="s">
        <v>13540</v>
      </c>
      <c r="B4317" s="8" t="s">
        <v>13541</v>
      </c>
      <c r="C4317" s="8" t="s">
        <v>13542</v>
      </c>
      <c r="D4317" s="8" t="s">
        <v>13541</v>
      </c>
      <c r="E4317" s="105">
        <v>9.6</v>
      </c>
      <c r="F4317" s="106" t="s">
        <v>2018</v>
      </c>
      <c r="G4317" s="8"/>
      <c r="H4317" s="8" t="s">
        <v>13537</v>
      </c>
      <c r="I4317" s="107">
        <v>24</v>
      </c>
      <c r="J4317" s="8" t="s">
        <v>10697</v>
      </c>
    </row>
    <row r="4318" spans="1:10" ht="16.5" customHeight="1" x14ac:dyDescent="0.25">
      <c r="A4318" s="8" t="s">
        <v>13543</v>
      </c>
      <c r="B4318" s="8" t="s">
        <v>13544</v>
      </c>
      <c r="C4318" s="8" t="s">
        <v>13545</v>
      </c>
      <c r="D4318" s="8" t="s">
        <v>13544</v>
      </c>
      <c r="E4318" s="105">
        <v>0.4</v>
      </c>
      <c r="F4318" s="106" t="s">
        <v>2018</v>
      </c>
      <c r="G4318" s="8"/>
      <c r="H4318" s="8"/>
      <c r="I4318" s="107">
        <v>0</v>
      </c>
      <c r="J4318" s="8" t="s">
        <v>10697</v>
      </c>
    </row>
    <row r="4319" spans="1:10" ht="16.5" customHeight="1" x14ac:dyDescent="0.25">
      <c r="A4319" s="8" t="s">
        <v>13546</v>
      </c>
      <c r="B4319" s="8" t="s">
        <v>13547</v>
      </c>
      <c r="C4319" s="8" t="s">
        <v>13548</v>
      </c>
      <c r="D4319" s="8" t="s">
        <v>13547</v>
      </c>
      <c r="E4319" s="105">
        <v>9.6</v>
      </c>
      <c r="F4319" s="106" t="s">
        <v>2018</v>
      </c>
      <c r="G4319" s="8"/>
      <c r="H4319" s="8" t="s">
        <v>13543</v>
      </c>
      <c r="I4319" s="107">
        <v>24</v>
      </c>
      <c r="J4319" s="8" t="s">
        <v>10697</v>
      </c>
    </row>
    <row r="4320" spans="1:10" ht="16.5" customHeight="1" x14ac:dyDescent="0.25">
      <c r="A4320" s="8" t="s">
        <v>13549</v>
      </c>
      <c r="B4320" s="8" t="s">
        <v>13550</v>
      </c>
      <c r="C4320" s="8" t="s">
        <v>13551</v>
      </c>
      <c r="D4320" s="8" t="s">
        <v>13550</v>
      </c>
      <c r="E4320" s="105">
        <v>6.5000000000000002E-2</v>
      </c>
      <c r="F4320" s="106" t="s">
        <v>2018</v>
      </c>
      <c r="G4320" s="8"/>
      <c r="H4320" s="8"/>
      <c r="I4320" s="107">
        <v>0</v>
      </c>
      <c r="J4320" s="8" t="s">
        <v>4789</v>
      </c>
    </row>
    <row r="4321" spans="1:10" ht="16.5" customHeight="1" x14ac:dyDescent="0.25">
      <c r="A4321" s="8" t="s">
        <v>13552</v>
      </c>
      <c r="B4321" s="8" t="s">
        <v>13553</v>
      </c>
      <c r="C4321" s="8" t="s">
        <v>13554</v>
      </c>
      <c r="D4321" s="8" t="s">
        <v>13553</v>
      </c>
      <c r="E4321" s="105">
        <v>7.8</v>
      </c>
      <c r="F4321" s="106" t="s">
        <v>2018</v>
      </c>
      <c r="G4321" s="8"/>
      <c r="H4321" s="8" t="s">
        <v>13549</v>
      </c>
      <c r="I4321" s="107">
        <v>120</v>
      </c>
      <c r="J4321" s="8" t="s">
        <v>4789</v>
      </c>
    </row>
    <row r="4322" spans="1:10" ht="16.5" customHeight="1" x14ac:dyDescent="0.25">
      <c r="A4322" s="8" t="s">
        <v>13555</v>
      </c>
      <c r="B4322" s="8" t="s">
        <v>13556</v>
      </c>
      <c r="C4322" s="8" t="s">
        <v>13557</v>
      </c>
      <c r="D4322" s="8" t="s">
        <v>13556</v>
      </c>
      <c r="E4322" s="105">
        <v>0.05</v>
      </c>
      <c r="F4322" s="106" t="s">
        <v>2018</v>
      </c>
      <c r="G4322" s="8"/>
      <c r="H4322" s="8"/>
      <c r="I4322" s="107">
        <v>0</v>
      </c>
      <c r="J4322" s="8" t="s">
        <v>4789</v>
      </c>
    </row>
    <row r="4323" spans="1:10" ht="16.5" customHeight="1" x14ac:dyDescent="0.25">
      <c r="A4323" s="8" t="s">
        <v>1830</v>
      </c>
      <c r="B4323" s="8" t="s">
        <v>1832</v>
      </c>
      <c r="C4323" s="8" t="s">
        <v>1831</v>
      </c>
      <c r="D4323" s="8" t="s">
        <v>1832</v>
      </c>
      <c r="E4323" s="105">
        <v>2.4</v>
      </c>
      <c r="F4323" s="106" t="s">
        <v>2018</v>
      </c>
      <c r="G4323" s="8"/>
      <c r="H4323" s="8" t="s">
        <v>13555</v>
      </c>
      <c r="I4323" s="107">
        <v>48</v>
      </c>
      <c r="J4323" s="8" t="s">
        <v>4789</v>
      </c>
    </row>
    <row r="4324" spans="1:10" ht="16.5" customHeight="1" x14ac:dyDescent="0.25">
      <c r="A4324" s="8" t="s">
        <v>13558</v>
      </c>
      <c r="B4324" s="8" t="s">
        <v>13559</v>
      </c>
      <c r="C4324" s="8" t="s">
        <v>13560</v>
      </c>
      <c r="D4324" s="8" t="s">
        <v>13559</v>
      </c>
      <c r="E4324" s="105">
        <v>0</v>
      </c>
      <c r="F4324" s="106" t="s">
        <v>2018</v>
      </c>
      <c r="G4324" s="8"/>
      <c r="H4324" s="8"/>
      <c r="I4324" s="107">
        <v>0</v>
      </c>
      <c r="J4324" s="8" t="s">
        <v>4722</v>
      </c>
    </row>
    <row r="4325" spans="1:10" ht="16.5" customHeight="1" x14ac:dyDescent="0.25">
      <c r="A4325" s="8" t="s">
        <v>13561</v>
      </c>
      <c r="B4325" s="8" t="s">
        <v>13562</v>
      </c>
      <c r="C4325" s="8" t="s">
        <v>13563</v>
      </c>
      <c r="D4325" s="8" t="s">
        <v>13562</v>
      </c>
      <c r="E4325" s="105">
        <v>1.3</v>
      </c>
      <c r="F4325" s="106" t="s">
        <v>2024</v>
      </c>
      <c r="G4325" s="8"/>
      <c r="H4325" s="8"/>
      <c r="I4325" s="107">
        <v>0</v>
      </c>
      <c r="J4325" s="8" t="s">
        <v>2019</v>
      </c>
    </row>
    <row r="4326" spans="1:10" ht="16.5" customHeight="1" x14ac:dyDescent="0.25">
      <c r="A4326" s="8" t="s">
        <v>13564</v>
      </c>
      <c r="B4326" s="8" t="s">
        <v>13565</v>
      </c>
      <c r="C4326" s="8" t="s">
        <v>13566</v>
      </c>
      <c r="D4326" s="8" t="s">
        <v>13565</v>
      </c>
      <c r="E4326" s="105">
        <v>0</v>
      </c>
      <c r="F4326" s="106" t="s">
        <v>2018</v>
      </c>
      <c r="G4326" s="8"/>
      <c r="H4326" s="8"/>
      <c r="I4326" s="107">
        <v>0</v>
      </c>
      <c r="J4326" s="8" t="s">
        <v>4722</v>
      </c>
    </row>
    <row r="4327" spans="1:10" ht="16.5" customHeight="1" x14ac:dyDescent="0.25">
      <c r="A4327" s="8" t="s">
        <v>13567</v>
      </c>
      <c r="B4327" s="8" t="s">
        <v>13568</v>
      </c>
      <c r="C4327" s="8" t="s">
        <v>13569</v>
      </c>
      <c r="D4327" s="8" t="s">
        <v>13568</v>
      </c>
      <c r="E4327" s="105">
        <v>20</v>
      </c>
      <c r="F4327" s="106" t="s">
        <v>2018</v>
      </c>
      <c r="G4327" s="8"/>
      <c r="H4327" s="8"/>
      <c r="I4327" s="107">
        <v>0</v>
      </c>
      <c r="J4327" s="8" t="s">
        <v>2019</v>
      </c>
    </row>
    <row r="4328" spans="1:10" ht="16.5" customHeight="1" x14ac:dyDescent="0.25">
      <c r="A4328" s="8" t="s">
        <v>13570</v>
      </c>
      <c r="B4328" s="8" t="s">
        <v>13571</v>
      </c>
      <c r="C4328" s="8" t="s">
        <v>13572</v>
      </c>
      <c r="D4328" s="8" t="s">
        <v>13571</v>
      </c>
      <c r="E4328" s="105">
        <v>20</v>
      </c>
      <c r="F4328" s="106" t="s">
        <v>2018</v>
      </c>
      <c r="G4328" s="8"/>
      <c r="H4328" s="8"/>
      <c r="I4328" s="107">
        <v>0</v>
      </c>
      <c r="J4328" s="8" t="s">
        <v>2019</v>
      </c>
    </row>
    <row r="4329" spans="1:10" ht="16.5" customHeight="1" x14ac:dyDescent="0.25">
      <c r="A4329" s="8" t="s">
        <v>13573</v>
      </c>
      <c r="B4329" s="8" t="s">
        <v>10132</v>
      </c>
      <c r="C4329" s="8" t="s">
        <v>10133</v>
      </c>
      <c r="D4329" s="8" t="s">
        <v>10132</v>
      </c>
      <c r="E4329" s="105">
        <v>0.75</v>
      </c>
      <c r="F4329" s="106" t="s">
        <v>2018</v>
      </c>
      <c r="G4329" s="8"/>
      <c r="H4329" s="8"/>
      <c r="I4329" s="107">
        <v>0</v>
      </c>
      <c r="J4329" s="8" t="s">
        <v>6357</v>
      </c>
    </row>
    <row r="4330" spans="1:10" ht="16.5" customHeight="1" x14ac:dyDescent="0.25">
      <c r="A4330" s="8" t="s">
        <v>13574</v>
      </c>
      <c r="B4330" s="8" t="s">
        <v>12401</v>
      </c>
      <c r="C4330" s="8" t="s">
        <v>12402</v>
      </c>
      <c r="D4330" s="8" t="s">
        <v>12401</v>
      </c>
      <c r="E4330" s="105">
        <v>0.5</v>
      </c>
      <c r="F4330" s="106" t="s">
        <v>2018</v>
      </c>
      <c r="G4330" s="8"/>
      <c r="H4330" s="8"/>
      <c r="I4330" s="107">
        <v>0</v>
      </c>
      <c r="J4330" s="8" t="s">
        <v>4722</v>
      </c>
    </row>
    <row r="4331" spans="1:10" ht="16.5" customHeight="1" x14ac:dyDescent="0.25">
      <c r="A4331" s="8" t="s">
        <v>13575</v>
      </c>
      <c r="B4331" s="8" t="s">
        <v>13576</v>
      </c>
      <c r="C4331" s="8" t="s">
        <v>13577</v>
      </c>
      <c r="D4331" s="8" t="s">
        <v>13576</v>
      </c>
      <c r="E4331" s="105">
        <v>0</v>
      </c>
      <c r="F4331" s="106" t="s">
        <v>2018</v>
      </c>
      <c r="G4331" s="8"/>
      <c r="H4331" s="8"/>
      <c r="I4331" s="107">
        <v>0</v>
      </c>
      <c r="J4331" s="8" t="s">
        <v>4722</v>
      </c>
    </row>
    <row r="4332" spans="1:10" ht="16.5" customHeight="1" x14ac:dyDescent="0.25">
      <c r="A4332" s="8" t="s">
        <v>13578</v>
      </c>
      <c r="B4332" s="8" t="s">
        <v>13579</v>
      </c>
      <c r="C4332" s="8" t="s">
        <v>13580</v>
      </c>
      <c r="D4332" s="8" t="s">
        <v>13579</v>
      </c>
      <c r="E4332" s="105">
        <v>3.2</v>
      </c>
      <c r="F4332" s="106" t="s">
        <v>2018</v>
      </c>
      <c r="G4332" s="8"/>
      <c r="H4332" s="8"/>
      <c r="I4332" s="107">
        <v>0</v>
      </c>
      <c r="J4332" s="8" t="s">
        <v>10697</v>
      </c>
    </row>
    <row r="4333" spans="1:10" ht="16.5" customHeight="1" x14ac:dyDescent="0.25">
      <c r="A4333" s="8" t="s">
        <v>1033</v>
      </c>
      <c r="B4333" s="8" t="s">
        <v>1035</v>
      </c>
      <c r="C4333" s="8" t="s">
        <v>1034</v>
      </c>
      <c r="D4333" s="8" t="s">
        <v>1035</v>
      </c>
      <c r="E4333" s="105">
        <v>12.8</v>
      </c>
      <c r="F4333" s="106" t="s">
        <v>2018</v>
      </c>
      <c r="G4333" s="8"/>
      <c r="H4333" s="8" t="s">
        <v>13578</v>
      </c>
      <c r="I4333" s="107">
        <v>4</v>
      </c>
      <c r="J4333" s="8" t="s">
        <v>10697</v>
      </c>
    </row>
    <row r="4334" spans="1:10" ht="16.5" customHeight="1" x14ac:dyDescent="0.25">
      <c r="A4334" s="8" t="s">
        <v>1839</v>
      </c>
      <c r="B4334" s="8" t="s">
        <v>1841</v>
      </c>
      <c r="C4334" s="8" t="s">
        <v>1840</v>
      </c>
      <c r="D4334" s="8" t="s">
        <v>1841</v>
      </c>
      <c r="E4334" s="105">
        <v>3.66</v>
      </c>
      <c r="F4334" s="106" t="s">
        <v>2018</v>
      </c>
      <c r="G4334" s="8"/>
      <c r="H4334" s="8" t="s">
        <v>13581</v>
      </c>
      <c r="I4334" s="107">
        <v>6</v>
      </c>
      <c r="J4334" s="8" t="s">
        <v>4789</v>
      </c>
    </row>
    <row r="4335" spans="1:10" ht="16.5" customHeight="1" x14ac:dyDescent="0.25">
      <c r="A4335" s="8" t="s">
        <v>13581</v>
      </c>
      <c r="B4335" s="8" t="s">
        <v>13582</v>
      </c>
      <c r="C4335" s="8" t="s">
        <v>13583</v>
      </c>
      <c r="D4335" s="8" t="s">
        <v>13582</v>
      </c>
      <c r="E4335" s="105">
        <v>0.61</v>
      </c>
      <c r="F4335" s="106" t="s">
        <v>2018</v>
      </c>
      <c r="G4335" s="8"/>
      <c r="H4335" s="8"/>
      <c r="I4335" s="107">
        <v>0</v>
      </c>
      <c r="J4335" s="8" t="s">
        <v>4789</v>
      </c>
    </row>
    <row r="4336" spans="1:10" ht="16.5" customHeight="1" x14ac:dyDescent="0.25">
      <c r="A4336" s="8" t="s">
        <v>1836</v>
      </c>
      <c r="B4336" s="8" t="s">
        <v>1838</v>
      </c>
      <c r="C4336" s="8" t="s">
        <v>1837</v>
      </c>
      <c r="D4336" s="8" t="s">
        <v>1838</v>
      </c>
      <c r="E4336" s="105">
        <v>11.98</v>
      </c>
      <c r="F4336" s="106" t="s">
        <v>2018</v>
      </c>
      <c r="G4336" s="8"/>
      <c r="H4336" s="8" t="s">
        <v>13584</v>
      </c>
      <c r="I4336" s="107">
        <v>20</v>
      </c>
      <c r="J4336" s="8" t="s">
        <v>4789</v>
      </c>
    </row>
    <row r="4337" spans="1:10" ht="16.5" customHeight="1" x14ac:dyDescent="0.25">
      <c r="A4337" s="8" t="s">
        <v>13584</v>
      </c>
      <c r="B4337" s="8" t="s">
        <v>13585</v>
      </c>
      <c r="C4337" s="8" t="s">
        <v>13586</v>
      </c>
      <c r="D4337" s="8" t="s">
        <v>13585</v>
      </c>
      <c r="E4337" s="105">
        <v>0.59899999999999998</v>
      </c>
      <c r="F4337" s="106" t="s">
        <v>2018</v>
      </c>
      <c r="G4337" s="8"/>
      <c r="H4337" s="8"/>
      <c r="I4337" s="107">
        <v>0</v>
      </c>
      <c r="J4337" s="8" t="s">
        <v>4789</v>
      </c>
    </row>
    <row r="4338" spans="1:10" ht="16.5" customHeight="1" x14ac:dyDescent="0.25">
      <c r="A4338" s="8" t="s">
        <v>13587</v>
      </c>
      <c r="B4338" s="8" t="s">
        <v>13588</v>
      </c>
      <c r="C4338" s="8" t="s">
        <v>13589</v>
      </c>
      <c r="D4338" s="8" t="s">
        <v>13588</v>
      </c>
      <c r="E4338" s="105">
        <v>14.28</v>
      </c>
      <c r="F4338" s="106" t="s">
        <v>2018</v>
      </c>
      <c r="G4338" s="8"/>
      <c r="H4338" s="8" t="s">
        <v>13590</v>
      </c>
      <c r="I4338" s="107">
        <v>6</v>
      </c>
      <c r="J4338" s="8" t="s">
        <v>4789</v>
      </c>
    </row>
    <row r="4339" spans="1:10" ht="16.5" customHeight="1" x14ac:dyDescent="0.25">
      <c r="A4339" s="8" t="s">
        <v>13590</v>
      </c>
      <c r="B4339" s="8" t="s">
        <v>13591</v>
      </c>
      <c r="C4339" s="8" t="s">
        <v>13592</v>
      </c>
      <c r="D4339" s="8" t="s">
        <v>13591</v>
      </c>
      <c r="E4339" s="105">
        <v>2.38</v>
      </c>
      <c r="F4339" s="106" t="s">
        <v>2018</v>
      </c>
      <c r="G4339" s="8"/>
      <c r="H4339" s="8"/>
      <c r="I4339" s="107">
        <v>0</v>
      </c>
      <c r="J4339" s="8" t="s">
        <v>4789</v>
      </c>
    </row>
    <row r="4340" spans="1:10" ht="16.5" customHeight="1" x14ac:dyDescent="0.25">
      <c r="A4340" s="8" t="s">
        <v>1865</v>
      </c>
      <c r="B4340" s="8" t="s">
        <v>1939</v>
      </c>
      <c r="C4340" s="8" t="s">
        <v>13593</v>
      </c>
      <c r="D4340" s="8" t="s">
        <v>1939</v>
      </c>
      <c r="E4340" s="105">
        <v>23.64</v>
      </c>
      <c r="F4340" s="106" t="s">
        <v>2018</v>
      </c>
      <c r="G4340" s="8"/>
      <c r="H4340" s="8" t="s">
        <v>13594</v>
      </c>
      <c r="I4340" s="107">
        <v>4</v>
      </c>
      <c r="J4340" s="8" t="s">
        <v>4789</v>
      </c>
    </row>
    <row r="4341" spans="1:10" ht="16.5" customHeight="1" x14ac:dyDescent="0.25">
      <c r="A4341" s="8" t="s">
        <v>13594</v>
      </c>
      <c r="B4341" s="8" t="s">
        <v>13595</v>
      </c>
      <c r="C4341" s="8" t="s">
        <v>13596</v>
      </c>
      <c r="D4341" s="8" t="s">
        <v>13595</v>
      </c>
      <c r="E4341" s="105">
        <v>5.91</v>
      </c>
      <c r="F4341" s="106" t="s">
        <v>2018</v>
      </c>
      <c r="G4341" s="8"/>
      <c r="H4341" s="8"/>
      <c r="I4341" s="107">
        <v>0</v>
      </c>
      <c r="J4341" s="8" t="s">
        <v>4789</v>
      </c>
    </row>
    <row r="4342" spans="1:10" ht="16.5" customHeight="1" x14ac:dyDescent="0.25">
      <c r="A4342" s="8" t="s">
        <v>13597</v>
      </c>
      <c r="B4342" s="8" t="s">
        <v>13598</v>
      </c>
      <c r="C4342" s="8" t="s">
        <v>13599</v>
      </c>
      <c r="D4342" s="8" t="s">
        <v>13598</v>
      </c>
      <c r="E4342" s="105">
        <v>0</v>
      </c>
      <c r="F4342" s="106" t="s">
        <v>2018</v>
      </c>
      <c r="G4342" s="8"/>
      <c r="H4342" s="8"/>
      <c r="I4342" s="107">
        <v>0</v>
      </c>
      <c r="J4342" s="8" t="s">
        <v>5779</v>
      </c>
    </row>
    <row r="4343" spans="1:10" ht="16.5" customHeight="1" x14ac:dyDescent="0.25">
      <c r="A4343" s="8" t="s">
        <v>13600</v>
      </c>
      <c r="B4343" s="8" t="s">
        <v>13601</v>
      </c>
      <c r="C4343" s="8" t="s">
        <v>13602</v>
      </c>
      <c r="D4343" s="8" t="s">
        <v>13601</v>
      </c>
      <c r="E4343" s="105">
        <v>1</v>
      </c>
      <c r="F4343" s="106" t="s">
        <v>2018</v>
      </c>
      <c r="G4343" s="8"/>
      <c r="H4343" s="8"/>
      <c r="I4343" s="107">
        <v>0</v>
      </c>
      <c r="J4343" s="8" t="s">
        <v>6357</v>
      </c>
    </row>
    <row r="4344" spans="1:10" ht="16.5" customHeight="1" x14ac:dyDescent="0.25">
      <c r="A4344" s="8" t="s">
        <v>13603</v>
      </c>
      <c r="B4344" s="8" t="s">
        <v>13604</v>
      </c>
      <c r="C4344" s="8" t="s">
        <v>13605</v>
      </c>
      <c r="D4344" s="8" t="s">
        <v>13604</v>
      </c>
      <c r="E4344" s="105">
        <v>1</v>
      </c>
      <c r="F4344" s="106" t="s">
        <v>2018</v>
      </c>
      <c r="G4344" s="8"/>
      <c r="H4344" s="8"/>
      <c r="I4344" s="107">
        <v>0</v>
      </c>
      <c r="J4344" s="8" t="s">
        <v>6357</v>
      </c>
    </row>
    <row r="4345" spans="1:10" ht="16.5" customHeight="1" x14ac:dyDescent="0.25">
      <c r="A4345" s="8" t="s">
        <v>13606</v>
      </c>
      <c r="B4345" s="8" t="s">
        <v>13607</v>
      </c>
      <c r="C4345" s="8" t="s">
        <v>13608</v>
      </c>
      <c r="D4345" s="8" t="s">
        <v>13607</v>
      </c>
      <c r="E4345" s="105">
        <v>1</v>
      </c>
      <c r="F4345" s="106" t="s">
        <v>2018</v>
      </c>
      <c r="G4345" s="8"/>
      <c r="H4345" s="8"/>
      <c r="I4345" s="107">
        <v>0</v>
      </c>
      <c r="J4345" s="8" t="s">
        <v>6357</v>
      </c>
    </row>
    <row r="4346" spans="1:10" ht="16.5" customHeight="1" x14ac:dyDescent="0.25">
      <c r="A4346" s="8" t="s">
        <v>13609</v>
      </c>
      <c r="B4346" s="8" t="s">
        <v>13610</v>
      </c>
      <c r="C4346" s="8" t="s">
        <v>13611</v>
      </c>
      <c r="D4346" s="8" t="s">
        <v>13610</v>
      </c>
      <c r="E4346" s="105">
        <v>1</v>
      </c>
      <c r="F4346" s="106" t="s">
        <v>2018</v>
      </c>
      <c r="G4346" s="8"/>
      <c r="H4346" s="8"/>
      <c r="I4346" s="107">
        <v>0</v>
      </c>
      <c r="J4346" s="8" t="s">
        <v>6357</v>
      </c>
    </row>
    <row r="4347" spans="1:10" ht="16.5" customHeight="1" x14ac:dyDescent="0.25">
      <c r="A4347" s="8" t="s">
        <v>13612</v>
      </c>
      <c r="B4347" s="8" t="s">
        <v>13613</v>
      </c>
      <c r="C4347" s="8" t="s">
        <v>13614</v>
      </c>
      <c r="D4347" s="8" t="s">
        <v>13613</v>
      </c>
      <c r="E4347" s="105">
        <v>1</v>
      </c>
      <c r="F4347" s="106" t="s">
        <v>2018</v>
      </c>
      <c r="G4347" s="8"/>
      <c r="H4347" s="8"/>
      <c r="I4347" s="107">
        <v>0</v>
      </c>
      <c r="J4347" s="8" t="s">
        <v>6357</v>
      </c>
    </row>
    <row r="4348" spans="1:10" ht="16.5" customHeight="1" x14ac:dyDescent="0.25">
      <c r="A4348" s="8" t="s">
        <v>13615</v>
      </c>
      <c r="B4348" s="8" t="s">
        <v>13616</v>
      </c>
      <c r="C4348" s="8" t="s">
        <v>13617</v>
      </c>
      <c r="D4348" s="8" t="s">
        <v>13616</v>
      </c>
      <c r="E4348" s="105">
        <v>1</v>
      </c>
      <c r="F4348" s="106" t="s">
        <v>2018</v>
      </c>
      <c r="G4348" s="8"/>
      <c r="H4348" s="8"/>
      <c r="I4348" s="107">
        <v>0</v>
      </c>
      <c r="J4348" s="8" t="s">
        <v>6357</v>
      </c>
    </row>
    <row r="4349" spans="1:10" ht="16.5" customHeight="1" x14ac:dyDescent="0.25">
      <c r="A4349" s="8" t="s">
        <v>13618</v>
      </c>
      <c r="B4349" s="8" t="s">
        <v>13619</v>
      </c>
      <c r="C4349" s="8" t="s">
        <v>13620</v>
      </c>
      <c r="D4349" s="8" t="s">
        <v>13619</v>
      </c>
      <c r="E4349" s="105">
        <v>0.5</v>
      </c>
      <c r="F4349" s="106" t="s">
        <v>2024</v>
      </c>
      <c r="G4349" s="8"/>
      <c r="H4349" s="8"/>
      <c r="I4349" s="107">
        <v>0</v>
      </c>
      <c r="J4349" s="8" t="s">
        <v>4722</v>
      </c>
    </row>
    <row r="4350" spans="1:10" ht="16.5" customHeight="1" x14ac:dyDescent="0.25">
      <c r="A4350" s="8" t="s">
        <v>13621</v>
      </c>
      <c r="B4350" s="8" t="s">
        <v>7500</v>
      </c>
      <c r="C4350" s="8" t="s">
        <v>10196</v>
      </c>
      <c r="D4350" s="8" t="s">
        <v>7500</v>
      </c>
      <c r="E4350" s="105">
        <v>0</v>
      </c>
      <c r="F4350" s="106" t="s">
        <v>2018</v>
      </c>
      <c r="G4350" s="8"/>
      <c r="H4350" s="8"/>
      <c r="I4350" s="107">
        <v>0</v>
      </c>
      <c r="J4350" s="8" t="s">
        <v>3580</v>
      </c>
    </row>
    <row r="4351" spans="1:10" ht="16.5" customHeight="1" x14ac:dyDescent="0.25">
      <c r="A4351" s="8" t="s">
        <v>13622</v>
      </c>
      <c r="B4351" s="8" t="s">
        <v>10007</v>
      </c>
      <c r="C4351" s="8" t="s">
        <v>10008</v>
      </c>
      <c r="D4351" s="8" t="s">
        <v>10007</v>
      </c>
      <c r="E4351" s="105">
        <v>0</v>
      </c>
      <c r="F4351" s="106" t="s">
        <v>2018</v>
      </c>
      <c r="G4351" s="8"/>
      <c r="H4351" s="8"/>
      <c r="I4351" s="107">
        <v>0</v>
      </c>
      <c r="J4351" s="8" t="s">
        <v>3580</v>
      </c>
    </row>
    <row r="4352" spans="1:10" ht="16.5" customHeight="1" x14ac:dyDescent="0.25">
      <c r="A4352" s="8" t="s">
        <v>13623</v>
      </c>
      <c r="B4352" s="8" t="s">
        <v>12461</v>
      </c>
      <c r="C4352" s="8" t="s">
        <v>12462</v>
      </c>
      <c r="D4352" s="8" t="s">
        <v>12461</v>
      </c>
      <c r="E4352" s="105">
        <v>0</v>
      </c>
      <c r="F4352" s="106" t="s">
        <v>2018</v>
      </c>
      <c r="G4352" s="8"/>
      <c r="H4352" s="8"/>
      <c r="I4352" s="107">
        <v>0</v>
      </c>
      <c r="J4352" s="8" t="s">
        <v>3580</v>
      </c>
    </row>
    <row r="4353" spans="1:10" ht="16.5" customHeight="1" x14ac:dyDescent="0.25">
      <c r="A4353" s="8" t="s">
        <v>13624</v>
      </c>
      <c r="B4353" s="8" t="s">
        <v>12466</v>
      </c>
      <c r="C4353" s="8" t="s">
        <v>12467</v>
      </c>
      <c r="D4353" s="8" t="s">
        <v>12466</v>
      </c>
      <c r="E4353" s="105">
        <v>0</v>
      </c>
      <c r="F4353" s="106" t="s">
        <v>2018</v>
      </c>
      <c r="G4353" s="8"/>
      <c r="H4353" s="8"/>
      <c r="I4353" s="107">
        <v>0</v>
      </c>
      <c r="J4353" s="8" t="s">
        <v>3580</v>
      </c>
    </row>
    <row r="4354" spans="1:10" ht="16.5" customHeight="1" x14ac:dyDescent="0.25">
      <c r="A4354" s="8" t="s">
        <v>13625</v>
      </c>
      <c r="B4354" s="8" t="s">
        <v>13626</v>
      </c>
      <c r="C4354" s="8" t="s">
        <v>13627</v>
      </c>
      <c r="D4354" s="8" t="s">
        <v>13626</v>
      </c>
      <c r="E4354" s="105">
        <v>0</v>
      </c>
      <c r="F4354" s="106" t="s">
        <v>2018</v>
      </c>
      <c r="G4354" s="8"/>
      <c r="H4354" s="8"/>
      <c r="I4354" s="107">
        <v>0</v>
      </c>
      <c r="J4354" s="8" t="s">
        <v>2019</v>
      </c>
    </row>
    <row r="4355" spans="1:10" ht="16.5" customHeight="1" x14ac:dyDescent="0.25">
      <c r="A4355" s="8" t="s">
        <v>13628</v>
      </c>
      <c r="B4355" s="8" t="s">
        <v>13629</v>
      </c>
      <c r="C4355" s="8" t="s">
        <v>13630</v>
      </c>
      <c r="D4355" s="8" t="s">
        <v>13629</v>
      </c>
      <c r="E4355" s="105">
        <v>0</v>
      </c>
      <c r="F4355" s="106" t="s">
        <v>2018</v>
      </c>
      <c r="G4355" s="8"/>
      <c r="H4355" s="8"/>
      <c r="I4355" s="107">
        <v>0</v>
      </c>
      <c r="J4355" s="8" t="s">
        <v>3580</v>
      </c>
    </row>
    <row r="4356" spans="1:10" ht="16.5" customHeight="1" x14ac:dyDescent="0.25">
      <c r="A4356" s="8" t="s">
        <v>13631</v>
      </c>
      <c r="B4356" s="8" t="s">
        <v>13632</v>
      </c>
      <c r="C4356" s="8" t="s">
        <v>13633</v>
      </c>
      <c r="D4356" s="8" t="s">
        <v>13632</v>
      </c>
      <c r="E4356" s="105">
        <v>0</v>
      </c>
      <c r="F4356" s="106" t="s">
        <v>2018</v>
      </c>
      <c r="G4356" s="8"/>
      <c r="H4356" s="8"/>
      <c r="I4356" s="107">
        <v>0</v>
      </c>
      <c r="J4356" s="8" t="s">
        <v>6357</v>
      </c>
    </row>
    <row r="4357" spans="1:10" ht="16.5" customHeight="1" x14ac:dyDescent="0.25">
      <c r="A4357" s="8" t="s">
        <v>13634</v>
      </c>
      <c r="B4357" s="8" t="s">
        <v>13635</v>
      </c>
      <c r="C4357" s="8" t="s">
        <v>13636</v>
      </c>
      <c r="D4357" s="8" t="s">
        <v>13635</v>
      </c>
      <c r="E4357" s="105">
        <v>0</v>
      </c>
      <c r="F4357" s="106" t="s">
        <v>2018</v>
      </c>
      <c r="G4357" s="8"/>
      <c r="H4357" s="8"/>
      <c r="I4357" s="107">
        <v>0</v>
      </c>
      <c r="J4357" s="8" t="s">
        <v>6357</v>
      </c>
    </row>
    <row r="4358" spans="1:10" ht="16.5" customHeight="1" x14ac:dyDescent="0.25">
      <c r="A4358" s="8" t="s">
        <v>13637</v>
      </c>
      <c r="B4358" s="8" t="s">
        <v>13638</v>
      </c>
      <c r="C4358" s="8" t="s">
        <v>13639</v>
      </c>
      <c r="D4358" s="8" t="s">
        <v>13638</v>
      </c>
      <c r="E4358" s="105">
        <v>0</v>
      </c>
      <c r="F4358" s="106" t="s">
        <v>2018</v>
      </c>
      <c r="G4358" s="8"/>
      <c r="H4358" s="8"/>
      <c r="I4358" s="107">
        <v>0</v>
      </c>
      <c r="J4358" s="8" t="s">
        <v>6357</v>
      </c>
    </row>
    <row r="4359" spans="1:10" ht="16.5" customHeight="1" x14ac:dyDescent="0.25">
      <c r="A4359" s="8" t="s">
        <v>13640</v>
      </c>
      <c r="B4359" s="8" t="s">
        <v>13641</v>
      </c>
      <c r="C4359" s="8" t="s">
        <v>13642</v>
      </c>
      <c r="D4359" s="8" t="s">
        <v>13641</v>
      </c>
      <c r="E4359" s="105">
        <v>0</v>
      </c>
      <c r="F4359" s="106" t="s">
        <v>2018</v>
      </c>
      <c r="G4359" s="8"/>
      <c r="H4359" s="8"/>
      <c r="I4359" s="107">
        <v>0</v>
      </c>
      <c r="J4359" s="8" t="s">
        <v>6357</v>
      </c>
    </row>
    <row r="4360" spans="1:10" ht="16.5" customHeight="1" x14ac:dyDescent="0.25">
      <c r="A4360" s="8" t="s">
        <v>13643</v>
      </c>
      <c r="B4360" s="8" t="s">
        <v>13644</v>
      </c>
      <c r="C4360" s="8" t="s">
        <v>13645</v>
      </c>
      <c r="D4360" s="8" t="s">
        <v>13644</v>
      </c>
      <c r="E4360" s="105">
        <v>0</v>
      </c>
      <c r="F4360" s="106" t="s">
        <v>2018</v>
      </c>
      <c r="G4360" s="8"/>
      <c r="H4360" s="8"/>
      <c r="I4360" s="107">
        <v>0</v>
      </c>
      <c r="J4360" s="8" t="s">
        <v>6357</v>
      </c>
    </row>
    <row r="4361" spans="1:10" ht="16.5" customHeight="1" x14ac:dyDescent="0.25">
      <c r="A4361" s="8" t="s">
        <v>13646</v>
      </c>
      <c r="B4361" s="8" t="s">
        <v>13647</v>
      </c>
      <c r="C4361" s="8" t="s">
        <v>13648</v>
      </c>
      <c r="D4361" s="8" t="s">
        <v>13647</v>
      </c>
      <c r="E4361" s="105">
        <v>0</v>
      </c>
      <c r="F4361" s="106" t="s">
        <v>2018</v>
      </c>
      <c r="G4361" s="8"/>
      <c r="H4361" s="8"/>
      <c r="I4361" s="107">
        <v>0</v>
      </c>
      <c r="J4361" s="8" t="s">
        <v>6357</v>
      </c>
    </row>
    <row r="4362" spans="1:10" ht="16.5" customHeight="1" x14ac:dyDescent="0.25">
      <c r="A4362" s="8" t="s">
        <v>13649</v>
      </c>
      <c r="B4362" s="8" t="s">
        <v>13650</v>
      </c>
      <c r="C4362" s="8" t="s">
        <v>12053</v>
      </c>
      <c r="D4362" s="8" t="s">
        <v>13650</v>
      </c>
      <c r="E4362" s="105">
        <v>0</v>
      </c>
      <c r="F4362" s="106" t="s">
        <v>2018</v>
      </c>
      <c r="G4362" s="8"/>
      <c r="H4362" s="8"/>
      <c r="I4362" s="107">
        <v>0</v>
      </c>
      <c r="J4362" s="8" t="s">
        <v>6357</v>
      </c>
    </row>
    <row r="4363" spans="1:10" ht="16.5" customHeight="1" x14ac:dyDescent="0.25">
      <c r="A4363" s="8" t="s">
        <v>13651</v>
      </c>
      <c r="B4363" s="8" t="s">
        <v>13652</v>
      </c>
      <c r="C4363" s="8" t="s">
        <v>13653</v>
      </c>
      <c r="D4363" s="8" t="s">
        <v>13652</v>
      </c>
      <c r="E4363" s="105">
        <v>0</v>
      </c>
      <c r="F4363" s="106" t="s">
        <v>2018</v>
      </c>
      <c r="G4363" s="8"/>
      <c r="H4363" s="8"/>
      <c r="I4363" s="107">
        <v>0</v>
      </c>
      <c r="J4363" s="8" t="s">
        <v>6357</v>
      </c>
    </row>
    <row r="4364" spans="1:10" ht="16.5" customHeight="1" x14ac:dyDescent="0.25">
      <c r="A4364" s="8" t="s">
        <v>13654</v>
      </c>
      <c r="B4364" s="8" t="s">
        <v>13655</v>
      </c>
      <c r="C4364" s="8" t="s">
        <v>13656</v>
      </c>
      <c r="D4364" s="8" t="s">
        <v>13655</v>
      </c>
      <c r="E4364" s="105">
        <v>0</v>
      </c>
      <c r="F4364" s="106" t="s">
        <v>2018</v>
      </c>
      <c r="G4364" s="8"/>
      <c r="H4364" s="8"/>
      <c r="I4364" s="107">
        <v>0</v>
      </c>
      <c r="J4364" s="8" t="s">
        <v>6357</v>
      </c>
    </row>
    <row r="4365" spans="1:10" ht="16.5" customHeight="1" x14ac:dyDescent="0.25">
      <c r="A4365" s="8" t="s">
        <v>13657</v>
      </c>
      <c r="B4365" s="8" t="s">
        <v>13658</v>
      </c>
      <c r="C4365" s="8" t="s">
        <v>13659</v>
      </c>
      <c r="D4365" s="8" t="s">
        <v>13658</v>
      </c>
      <c r="E4365" s="105">
        <v>0</v>
      </c>
      <c r="F4365" s="106" t="s">
        <v>2018</v>
      </c>
      <c r="G4365" s="8"/>
      <c r="H4365" s="8"/>
      <c r="I4365" s="107">
        <v>0</v>
      </c>
      <c r="J4365" s="8" t="s">
        <v>6357</v>
      </c>
    </row>
    <row r="4366" spans="1:10" ht="16.5" customHeight="1" x14ac:dyDescent="0.25">
      <c r="A4366" s="8" t="s">
        <v>13660</v>
      </c>
      <c r="B4366" s="8" t="s">
        <v>13661</v>
      </c>
      <c r="C4366" s="8" t="s">
        <v>13662</v>
      </c>
      <c r="D4366" s="8" t="s">
        <v>13661</v>
      </c>
      <c r="E4366" s="105">
        <v>0</v>
      </c>
      <c r="F4366" s="106" t="s">
        <v>2018</v>
      </c>
      <c r="G4366" s="8"/>
      <c r="H4366" s="8"/>
      <c r="I4366" s="107">
        <v>0</v>
      </c>
      <c r="J4366" s="8" t="s">
        <v>3695</v>
      </c>
    </row>
    <row r="4367" spans="1:10" ht="16.5" customHeight="1" x14ac:dyDescent="0.25">
      <c r="A4367" s="8" t="s">
        <v>13663</v>
      </c>
      <c r="B4367" s="8" t="s">
        <v>13664</v>
      </c>
      <c r="C4367" s="8" t="s">
        <v>13665</v>
      </c>
      <c r="D4367" s="8" t="s">
        <v>13664</v>
      </c>
      <c r="E4367" s="105">
        <v>250</v>
      </c>
      <c r="F4367" s="106" t="s">
        <v>2018</v>
      </c>
      <c r="G4367" s="8"/>
      <c r="H4367" s="8"/>
      <c r="I4367" s="107">
        <v>0</v>
      </c>
      <c r="J4367" s="8" t="s">
        <v>2019</v>
      </c>
    </row>
    <row r="4368" spans="1:10" ht="16.5" customHeight="1" x14ac:dyDescent="0.25">
      <c r="A4368" s="8" t="s">
        <v>13666</v>
      </c>
      <c r="B4368" s="8" t="s">
        <v>13667</v>
      </c>
      <c r="C4368" s="8" t="s">
        <v>13668</v>
      </c>
      <c r="D4368" s="8" t="s">
        <v>13667</v>
      </c>
      <c r="E4368" s="105">
        <v>0</v>
      </c>
      <c r="F4368" s="106" t="s">
        <v>2018</v>
      </c>
      <c r="G4368" s="8"/>
      <c r="H4368" s="8"/>
      <c r="I4368" s="107">
        <v>0</v>
      </c>
      <c r="J4368" s="8" t="s">
        <v>4722</v>
      </c>
    </row>
    <row r="4369" spans="1:10" ht="16.5" customHeight="1" x14ac:dyDescent="0.25">
      <c r="A4369" s="8" t="s">
        <v>13669</v>
      </c>
      <c r="B4369" s="8" t="s">
        <v>13670</v>
      </c>
      <c r="C4369" s="8" t="s">
        <v>13671</v>
      </c>
      <c r="D4369" s="8" t="s">
        <v>13670</v>
      </c>
      <c r="E4369" s="105">
        <v>0</v>
      </c>
      <c r="F4369" s="106" t="s">
        <v>2018</v>
      </c>
      <c r="G4369" s="8"/>
      <c r="H4369" s="8"/>
      <c r="I4369" s="107">
        <v>0</v>
      </c>
      <c r="J4369" s="8" t="s">
        <v>2019</v>
      </c>
    </row>
    <row r="4370" spans="1:10" ht="16.5" customHeight="1" x14ac:dyDescent="0.25">
      <c r="A4370" s="8" t="s">
        <v>13672</v>
      </c>
      <c r="B4370" s="8" t="s">
        <v>9242</v>
      </c>
      <c r="C4370" s="8" t="s">
        <v>13673</v>
      </c>
      <c r="D4370" s="8" t="s">
        <v>9242</v>
      </c>
      <c r="E4370" s="105">
        <v>0</v>
      </c>
      <c r="F4370" s="106" t="s">
        <v>2018</v>
      </c>
      <c r="G4370" s="8"/>
      <c r="H4370" s="8"/>
      <c r="I4370" s="107">
        <v>0</v>
      </c>
      <c r="J4370" s="8" t="s">
        <v>4722</v>
      </c>
    </row>
    <row r="4371" spans="1:10" ht="16.5" customHeight="1" x14ac:dyDescent="0.25">
      <c r="A4371" s="8" t="s">
        <v>13674</v>
      </c>
      <c r="B4371" s="8" t="s">
        <v>13675</v>
      </c>
      <c r="C4371" s="8" t="s">
        <v>13676</v>
      </c>
      <c r="D4371" s="8" t="s">
        <v>13675</v>
      </c>
      <c r="E4371" s="105">
        <v>0</v>
      </c>
      <c r="F4371" s="106" t="s">
        <v>2018</v>
      </c>
      <c r="G4371" s="8"/>
      <c r="H4371" s="8"/>
      <c r="I4371" s="107">
        <v>0</v>
      </c>
      <c r="J4371" s="8" t="s">
        <v>4789</v>
      </c>
    </row>
    <row r="4372" spans="1:10" ht="16.5" customHeight="1" x14ac:dyDescent="0.25">
      <c r="A4372" s="8" t="s">
        <v>13677</v>
      </c>
      <c r="B4372" s="8" t="s">
        <v>12461</v>
      </c>
      <c r="C4372" s="8" t="s">
        <v>1740</v>
      </c>
      <c r="D4372" s="8" t="s">
        <v>12461</v>
      </c>
      <c r="E4372" s="105">
        <v>10</v>
      </c>
      <c r="F4372" s="106" t="s">
        <v>2018</v>
      </c>
      <c r="G4372" s="8"/>
      <c r="H4372" s="8"/>
      <c r="I4372" s="107">
        <v>0</v>
      </c>
      <c r="J4372" s="8" t="s">
        <v>4823</v>
      </c>
    </row>
    <row r="4373" spans="1:10" ht="16.5" customHeight="1" x14ac:dyDescent="0.25">
      <c r="A4373" s="8" t="s">
        <v>13678</v>
      </c>
      <c r="B4373" s="8" t="s">
        <v>12461</v>
      </c>
      <c r="C4373" s="8" t="s">
        <v>13679</v>
      </c>
      <c r="D4373" s="8" t="s">
        <v>12461</v>
      </c>
      <c r="E4373" s="105">
        <v>0</v>
      </c>
      <c r="F4373" s="106" t="s">
        <v>2024</v>
      </c>
      <c r="G4373" s="8"/>
      <c r="H4373" s="8"/>
      <c r="I4373" s="107">
        <v>0</v>
      </c>
      <c r="J4373" s="8" t="s">
        <v>4823</v>
      </c>
    </row>
    <row r="4374" spans="1:10" ht="16.5" customHeight="1" x14ac:dyDescent="0.25">
      <c r="A4374" s="8" t="s">
        <v>13680</v>
      </c>
      <c r="B4374" s="8" t="s">
        <v>12466</v>
      </c>
      <c r="C4374" s="8" t="s">
        <v>1731</v>
      </c>
      <c r="D4374" s="8" t="s">
        <v>12466</v>
      </c>
      <c r="E4374" s="105">
        <v>10</v>
      </c>
      <c r="F4374" s="106" t="s">
        <v>2018</v>
      </c>
      <c r="G4374" s="8"/>
      <c r="H4374" s="8"/>
      <c r="I4374" s="107">
        <v>0</v>
      </c>
      <c r="J4374" s="8" t="s">
        <v>4823</v>
      </c>
    </row>
    <row r="4375" spans="1:10" ht="16.5" customHeight="1" x14ac:dyDescent="0.25">
      <c r="A4375" s="8" t="s">
        <v>13681</v>
      </c>
      <c r="B4375" s="8" t="s">
        <v>12466</v>
      </c>
      <c r="C4375" s="8" t="s">
        <v>13682</v>
      </c>
      <c r="D4375" s="8" t="s">
        <v>12466</v>
      </c>
      <c r="E4375" s="105">
        <v>0</v>
      </c>
      <c r="F4375" s="106" t="s">
        <v>2024</v>
      </c>
      <c r="G4375" s="8"/>
      <c r="H4375" s="8"/>
      <c r="I4375" s="107">
        <v>0</v>
      </c>
      <c r="J4375" s="8" t="s">
        <v>4823</v>
      </c>
    </row>
    <row r="4376" spans="1:10" ht="16.5" customHeight="1" x14ac:dyDescent="0.25">
      <c r="A4376" s="8" t="s">
        <v>13683</v>
      </c>
      <c r="B4376" s="8" t="s">
        <v>13684</v>
      </c>
      <c r="C4376" s="8" t="s">
        <v>13685</v>
      </c>
      <c r="D4376" s="8" t="s">
        <v>13684</v>
      </c>
      <c r="E4376" s="105">
        <v>1</v>
      </c>
      <c r="F4376" s="106" t="s">
        <v>2018</v>
      </c>
      <c r="G4376" s="8"/>
      <c r="H4376" s="8"/>
      <c r="I4376" s="107">
        <v>0</v>
      </c>
      <c r="J4376" s="8" t="s">
        <v>6357</v>
      </c>
    </row>
    <row r="4377" spans="1:10" ht="16.5" customHeight="1" x14ac:dyDescent="0.25">
      <c r="A4377" s="8" t="s">
        <v>13686</v>
      </c>
      <c r="B4377" s="8" t="s">
        <v>13687</v>
      </c>
      <c r="C4377" s="8" t="s">
        <v>13688</v>
      </c>
      <c r="D4377" s="8" t="s">
        <v>13687</v>
      </c>
      <c r="E4377" s="105">
        <v>1</v>
      </c>
      <c r="F4377" s="106" t="s">
        <v>2018</v>
      </c>
      <c r="G4377" s="8"/>
      <c r="H4377" s="8"/>
      <c r="I4377" s="107">
        <v>0</v>
      </c>
      <c r="J4377" s="8" t="s">
        <v>6357</v>
      </c>
    </row>
    <row r="4378" spans="1:10" ht="16.5" customHeight="1" x14ac:dyDescent="0.25">
      <c r="A4378" s="8" t="s">
        <v>13689</v>
      </c>
      <c r="B4378" s="8" t="s">
        <v>13690</v>
      </c>
      <c r="C4378" s="8" t="s">
        <v>1603</v>
      </c>
      <c r="D4378" s="8" t="s">
        <v>13690</v>
      </c>
      <c r="E4378" s="105">
        <v>12</v>
      </c>
      <c r="F4378" s="106" t="s">
        <v>2024</v>
      </c>
      <c r="G4378" s="8" t="s">
        <v>1541</v>
      </c>
      <c r="H4378" s="8" t="s">
        <v>13691</v>
      </c>
      <c r="I4378" s="107">
        <v>4</v>
      </c>
      <c r="J4378" s="8" t="s">
        <v>5929</v>
      </c>
    </row>
    <row r="4379" spans="1:10" ht="16.5" customHeight="1" x14ac:dyDescent="0.25">
      <c r="A4379" s="8" t="s">
        <v>13691</v>
      </c>
      <c r="B4379" s="8" t="s">
        <v>13692</v>
      </c>
      <c r="C4379" s="8" t="s">
        <v>13692</v>
      </c>
      <c r="D4379" s="8" t="s">
        <v>13692</v>
      </c>
      <c r="E4379" s="105">
        <v>3</v>
      </c>
      <c r="F4379" s="106" t="s">
        <v>2024</v>
      </c>
      <c r="G4379" s="8" t="s">
        <v>1541</v>
      </c>
      <c r="H4379" s="8"/>
      <c r="I4379" s="107">
        <v>0</v>
      </c>
      <c r="J4379" s="8" t="s">
        <v>5929</v>
      </c>
    </row>
    <row r="4380" spans="1:10" ht="16.5" customHeight="1" x14ac:dyDescent="0.25">
      <c r="A4380" s="8" t="s">
        <v>13693</v>
      </c>
      <c r="B4380" s="8" t="s">
        <v>13694</v>
      </c>
      <c r="C4380" s="8" t="s">
        <v>1270</v>
      </c>
      <c r="D4380" s="8" t="s">
        <v>13694</v>
      </c>
      <c r="E4380" s="105">
        <v>20</v>
      </c>
      <c r="F4380" s="106" t="s">
        <v>2018</v>
      </c>
      <c r="G4380" s="8"/>
      <c r="H4380" s="8"/>
      <c r="I4380" s="107">
        <v>0</v>
      </c>
      <c r="J4380" s="8"/>
    </row>
    <row r="4381" spans="1:10" ht="16.5" customHeight="1" x14ac:dyDescent="0.25">
      <c r="A4381" s="8" t="s">
        <v>13695</v>
      </c>
      <c r="B4381" s="8" t="s">
        <v>13696</v>
      </c>
      <c r="C4381" s="8" t="s">
        <v>1606</v>
      </c>
      <c r="D4381" s="8" t="s">
        <v>13696</v>
      </c>
      <c r="E4381" s="105">
        <v>12</v>
      </c>
      <c r="F4381" s="106" t="s">
        <v>2024</v>
      </c>
      <c r="G4381" s="8" t="s">
        <v>1541</v>
      </c>
      <c r="H4381" s="8" t="s">
        <v>13697</v>
      </c>
      <c r="I4381" s="107">
        <v>4</v>
      </c>
      <c r="J4381" s="8" t="s">
        <v>5929</v>
      </c>
    </row>
    <row r="4382" spans="1:10" ht="16.5" customHeight="1" x14ac:dyDescent="0.25">
      <c r="A4382" s="8" t="s">
        <v>13697</v>
      </c>
      <c r="B4382" s="8" t="s">
        <v>13698</v>
      </c>
      <c r="C4382" s="8" t="s">
        <v>13698</v>
      </c>
      <c r="D4382" s="8" t="s">
        <v>13698</v>
      </c>
      <c r="E4382" s="105">
        <v>3</v>
      </c>
      <c r="F4382" s="106" t="s">
        <v>2024</v>
      </c>
      <c r="G4382" s="8" t="s">
        <v>1541</v>
      </c>
      <c r="H4382" s="8"/>
      <c r="I4382" s="107">
        <v>0</v>
      </c>
      <c r="J4382" s="8" t="s">
        <v>5929</v>
      </c>
    </row>
    <row r="4383" spans="1:10" ht="16.5" customHeight="1" x14ac:dyDescent="0.25">
      <c r="A4383" s="8" t="s">
        <v>13699</v>
      </c>
      <c r="B4383" s="8" t="s">
        <v>13700</v>
      </c>
      <c r="C4383" s="8" t="s">
        <v>13701</v>
      </c>
      <c r="D4383" s="8" t="s">
        <v>13700</v>
      </c>
      <c r="E4383" s="105">
        <v>1</v>
      </c>
      <c r="F4383" s="106" t="s">
        <v>2018</v>
      </c>
      <c r="G4383" s="8"/>
      <c r="H4383" s="8"/>
      <c r="I4383" s="107">
        <v>0</v>
      </c>
      <c r="J4383" s="8" t="s">
        <v>6357</v>
      </c>
    </row>
    <row r="4384" spans="1:10" ht="16.5" customHeight="1" x14ac:dyDescent="0.25">
      <c r="A4384" s="8" t="s">
        <v>13702</v>
      </c>
      <c r="B4384" s="8" t="s">
        <v>13703</v>
      </c>
      <c r="C4384" s="8" t="s">
        <v>13704</v>
      </c>
      <c r="D4384" s="8" t="s">
        <v>13703</v>
      </c>
      <c r="E4384" s="105">
        <v>1</v>
      </c>
      <c r="F4384" s="106" t="s">
        <v>2018</v>
      </c>
      <c r="G4384" s="8"/>
      <c r="H4384" s="8"/>
      <c r="I4384" s="107">
        <v>0</v>
      </c>
      <c r="J4384" s="8" t="s">
        <v>6357</v>
      </c>
    </row>
    <row r="4385" spans="1:10" ht="16.5" customHeight="1" x14ac:dyDescent="0.25">
      <c r="A4385" s="8" t="s">
        <v>13705</v>
      </c>
      <c r="B4385" s="8" t="s">
        <v>13706</v>
      </c>
      <c r="C4385" s="8" t="s">
        <v>13707</v>
      </c>
      <c r="D4385" s="8" t="s">
        <v>13706</v>
      </c>
      <c r="E4385" s="105">
        <v>1</v>
      </c>
      <c r="F4385" s="106" t="s">
        <v>2018</v>
      </c>
      <c r="G4385" s="8"/>
      <c r="H4385" s="8"/>
      <c r="I4385" s="107">
        <v>0</v>
      </c>
      <c r="J4385" s="8" t="s">
        <v>6357</v>
      </c>
    </row>
    <row r="4386" spans="1:10" ht="16.5" customHeight="1" x14ac:dyDescent="0.25">
      <c r="A4386" s="8" t="s">
        <v>13708</v>
      </c>
      <c r="B4386" s="8" t="s">
        <v>13709</v>
      </c>
      <c r="C4386" s="8" t="s">
        <v>13710</v>
      </c>
      <c r="D4386" s="8" t="s">
        <v>13711</v>
      </c>
      <c r="E4386" s="105">
        <v>0</v>
      </c>
      <c r="F4386" s="106" t="s">
        <v>2018</v>
      </c>
      <c r="G4386" s="8"/>
      <c r="H4386" s="8"/>
      <c r="I4386" s="107">
        <v>0</v>
      </c>
      <c r="J4386" s="8" t="s">
        <v>3580</v>
      </c>
    </row>
    <row r="4387" spans="1:10" ht="16.5" customHeight="1" x14ac:dyDescent="0.25">
      <c r="A4387" s="8" t="s">
        <v>13712</v>
      </c>
      <c r="B4387" s="8" t="s">
        <v>13713</v>
      </c>
      <c r="C4387" s="8" t="s">
        <v>13714</v>
      </c>
      <c r="D4387" s="8" t="s">
        <v>13713</v>
      </c>
      <c r="E4387" s="105">
        <v>1</v>
      </c>
      <c r="F4387" s="106" t="s">
        <v>2018</v>
      </c>
      <c r="G4387" s="8"/>
      <c r="H4387" s="8"/>
      <c r="I4387" s="107">
        <v>0</v>
      </c>
      <c r="J4387" s="8" t="s">
        <v>6357</v>
      </c>
    </row>
    <row r="4388" spans="1:10" ht="16.5" customHeight="1" x14ac:dyDescent="0.25">
      <c r="A4388" s="8" t="s">
        <v>13715</v>
      </c>
      <c r="B4388" s="8" t="s">
        <v>13716</v>
      </c>
      <c r="C4388" s="8" t="s">
        <v>13717</v>
      </c>
      <c r="D4388" s="8" t="s">
        <v>13716</v>
      </c>
      <c r="E4388" s="105">
        <v>0</v>
      </c>
      <c r="F4388" s="106" t="s">
        <v>2018</v>
      </c>
      <c r="G4388" s="8"/>
      <c r="H4388" s="8"/>
      <c r="I4388" s="107">
        <v>0</v>
      </c>
      <c r="J4388" s="8" t="s">
        <v>2019</v>
      </c>
    </row>
    <row r="4389" spans="1:10" ht="16.5" customHeight="1" x14ac:dyDescent="0.25">
      <c r="A4389" s="8" t="s">
        <v>13718</v>
      </c>
      <c r="B4389" s="8" t="s">
        <v>13719</v>
      </c>
      <c r="C4389" s="8" t="s">
        <v>13720</v>
      </c>
      <c r="D4389" s="8" t="s">
        <v>13719</v>
      </c>
      <c r="E4389" s="105">
        <v>0</v>
      </c>
      <c r="F4389" s="106" t="s">
        <v>2018</v>
      </c>
      <c r="G4389" s="8"/>
      <c r="H4389" s="8"/>
      <c r="I4389" s="107">
        <v>0</v>
      </c>
      <c r="J4389" s="8" t="s">
        <v>2019</v>
      </c>
    </row>
    <row r="4390" spans="1:10" ht="16.5" customHeight="1" x14ac:dyDescent="0.25">
      <c r="A4390" s="8" t="s">
        <v>13721</v>
      </c>
      <c r="B4390" s="8" t="s">
        <v>13722</v>
      </c>
      <c r="C4390" s="8" t="s">
        <v>13723</v>
      </c>
      <c r="D4390" s="8" t="s">
        <v>13722</v>
      </c>
      <c r="E4390" s="105">
        <v>0</v>
      </c>
      <c r="F4390" s="106" t="s">
        <v>2018</v>
      </c>
      <c r="G4390" s="8"/>
      <c r="H4390" s="8"/>
      <c r="I4390" s="107">
        <v>0</v>
      </c>
      <c r="J4390" s="8" t="s">
        <v>2019</v>
      </c>
    </row>
    <row r="4391" spans="1:10" ht="16.5" customHeight="1" x14ac:dyDescent="0.25">
      <c r="A4391" s="8" t="s">
        <v>13724</v>
      </c>
      <c r="B4391" s="8" t="s">
        <v>13725</v>
      </c>
      <c r="C4391" s="8" t="s">
        <v>13726</v>
      </c>
      <c r="D4391" s="8" t="s">
        <v>13725</v>
      </c>
      <c r="E4391" s="105">
        <v>0</v>
      </c>
      <c r="F4391" s="106" t="s">
        <v>2018</v>
      </c>
      <c r="G4391" s="8"/>
      <c r="H4391" s="8"/>
      <c r="I4391" s="107">
        <v>0</v>
      </c>
      <c r="J4391" s="8" t="s">
        <v>3580</v>
      </c>
    </row>
    <row r="4392" spans="1:10" ht="16.5" customHeight="1" x14ac:dyDescent="0.25">
      <c r="A4392" s="8" t="s">
        <v>13727</v>
      </c>
      <c r="B4392" s="8" t="s">
        <v>13728</v>
      </c>
      <c r="C4392" s="8" t="s">
        <v>13729</v>
      </c>
      <c r="D4392" s="8" t="s">
        <v>13728</v>
      </c>
      <c r="E4392" s="105">
        <v>0</v>
      </c>
      <c r="F4392" s="106" t="s">
        <v>2024</v>
      </c>
      <c r="G4392" s="8"/>
      <c r="H4392" s="8"/>
      <c r="I4392" s="107">
        <v>0</v>
      </c>
      <c r="J4392" s="8" t="s">
        <v>5779</v>
      </c>
    </row>
    <row r="4393" spans="1:10" ht="16.5" customHeight="1" x14ac:dyDescent="0.25">
      <c r="A4393" s="8" t="s">
        <v>13730</v>
      </c>
      <c r="B4393" s="8" t="s">
        <v>13731</v>
      </c>
      <c r="C4393" s="8" t="s">
        <v>1510</v>
      </c>
      <c r="D4393" s="8" t="s">
        <v>13731</v>
      </c>
      <c r="E4393" s="105">
        <v>6</v>
      </c>
      <c r="F4393" s="106" t="s">
        <v>2024</v>
      </c>
      <c r="G4393" s="8"/>
      <c r="H4393" s="8"/>
      <c r="I4393" s="107">
        <v>0</v>
      </c>
      <c r="J4393" s="8" t="s">
        <v>5671</v>
      </c>
    </row>
    <row r="4394" spans="1:10" ht="16.5" customHeight="1" x14ac:dyDescent="0.25">
      <c r="A4394" s="8" t="s">
        <v>13732</v>
      </c>
      <c r="B4394" s="8" t="s">
        <v>13733</v>
      </c>
      <c r="C4394" s="8" t="s">
        <v>13734</v>
      </c>
      <c r="D4394" s="8" t="s">
        <v>13733</v>
      </c>
      <c r="E4394" s="105">
        <v>0.5</v>
      </c>
      <c r="F4394" s="106" t="s">
        <v>2024</v>
      </c>
      <c r="G4394" s="8"/>
      <c r="H4394" s="8"/>
      <c r="I4394" s="107">
        <v>0</v>
      </c>
      <c r="J4394" s="8" t="s">
        <v>5671</v>
      </c>
    </row>
    <row r="4395" spans="1:10" ht="16.5" customHeight="1" x14ac:dyDescent="0.25">
      <c r="A4395" s="8" t="s">
        <v>13735</v>
      </c>
      <c r="B4395" s="8" t="s">
        <v>13736</v>
      </c>
      <c r="C4395" s="8" t="s">
        <v>13737</v>
      </c>
      <c r="D4395" s="8" t="s">
        <v>13736</v>
      </c>
      <c r="E4395" s="105">
        <v>9.8019999999999996</v>
      </c>
      <c r="F4395" s="106" t="s">
        <v>2018</v>
      </c>
      <c r="G4395" s="8"/>
      <c r="H4395" s="8"/>
      <c r="I4395" s="107">
        <v>0</v>
      </c>
      <c r="J4395" s="8" t="s">
        <v>13450</v>
      </c>
    </row>
    <row r="4396" spans="1:10" ht="16.5" customHeight="1" x14ac:dyDescent="0.25">
      <c r="A4396" s="8" t="s">
        <v>13738</v>
      </c>
      <c r="B4396" s="8" t="s">
        <v>13739</v>
      </c>
      <c r="C4396" s="8" t="s">
        <v>13740</v>
      </c>
      <c r="D4396" s="8" t="s">
        <v>13739</v>
      </c>
      <c r="E4396" s="105">
        <v>0.245</v>
      </c>
      <c r="F4396" s="106" t="s">
        <v>2018</v>
      </c>
      <c r="G4396" s="8"/>
      <c r="H4396" s="8"/>
      <c r="I4396" s="107">
        <v>0</v>
      </c>
      <c r="J4396" s="8" t="s">
        <v>13450</v>
      </c>
    </row>
    <row r="4397" spans="1:10" ht="16.5" customHeight="1" x14ac:dyDescent="0.25">
      <c r="A4397" s="8" t="s">
        <v>13741</v>
      </c>
      <c r="B4397" s="8" t="s">
        <v>13742</v>
      </c>
      <c r="C4397" s="8" t="s">
        <v>13743</v>
      </c>
      <c r="D4397" s="8" t="s">
        <v>13742</v>
      </c>
      <c r="E4397" s="105">
        <v>1.4</v>
      </c>
      <c r="F4397" s="106" t="s">
        <v>2018</v>
      </c>
      <c r="G4397" s="8"/>
      <c r="H4397" s="8"/>
      <c r="I4397" s="107">
        <v>0</v>
      </c>
      <c r="J4397" s="8" t="s">
        <v>10697</v>
      </c>
    </row>
    <row r="4398" spans="1:10" ht="16.5" customHeight="1" x14ac:dyDescent="0.25">
      <c r="A4398" s="8" t="s">
        <v>13744</v>
      </c>
      <c r="B4398" s="8" t="s">
        <v>13745</v>
      </c>
      <c r="C4398" s="8" t="s">
        <v>13746</v>
      </c>
      <c r="D4398" s="8" t="s">
        <v>13745</v>
      </c>
      <c r="E4398" s="105">
        <v>3.5</v>
      </c>
      <c r="F4398" s="106" t="s">
        <v>2018</v>
      </c>
      <c r="G4398" s="8"/>
      <c r="H4398" s="8"/>
      <c r="I4398" s="107">
        <v>0</v>
      </c>
      <c r="J4398" s="8" t="s">
        <v>10697</v>
      </c>
    </row>
    <row r="4399" spans="1:10" ht="16.5" customHeight="1" x14ac:dyDescent="0.25">
      <c r="A4399" s="8" t="s">
        <v>13747</v>
      </c>
      <c r="B4399" s="8" t="s">
        <v>13748</v>
      </c>
      <c r="C4399" s="8" t="s">
        <v>13749</v>
      </c>
      <c r="D4399" s="8" t="s">
        <v>13748</v>
      </c>
      <c r="E4399" s="105">
        <v>11.2</v>
      </c>
      <c r="F4399" s="106" t="s">
        <v>2018</v>
      </c>
      <c r="G4399" s="8"/>
      <c r="H4399" s="8" t="s">
        <v>13741</v>
      </c>
      <c r="I4399" s="107">
        <v>8</v>
      </c>
      <c r="J4399" s="8" t="s">
        <v>10697</v>
      </c>
    </row>
    <row r="4400" spans="1:10" ht="16.5" customHeight="1" x14ac:dyDescent="0.25">
      <c r="A4400" s="8" t="s">
        <v>13750</v>
      </c>
      <c r="B4400" s="8" t="s">
        <v>13751</v>
      </c>
      <c r="C4400" s="8" t="s">
        <v>13752</v>
      </c>
      <c r="D4400" s="8" t="s">
        <v>13751</v>
      </c>
      <c r="E4400" s="105">
        <v>14</v>
      </c>
      <c r="F4400" s="106" t="s">
        <v>2018</v>
      </c>
      <c r="G4400" s="8"/>
      <c r="H4400" s="8" t="s">
        <v>13744</v>
      </c>
      <c r="I4400" s="107">
        <v>4</v>
      </c>
      <c r="J4400" s="8" t="s">
        <v>10697</v>
      </c>
    </row>
    <row r="4401" spans="1:10" ht="16.5" customHeight="1" x14ac:dyDescent="0.25">
      <c r="A4401" s="8" t="s">
        <v>13753</v>
      </c>
      <c r="B4401" s="8" t="s">
        <v>13754</v>
      </c>
      <c r="C4401" s="8" t="s">
        <v>13755</v>
      </c>
      <c r="D4401" s="8" t="s">
        <v>13754</v>
      </c>
      <c r="E4401" s="105">
        <v>0</v>
      </c>
      <c r="F4401" s="106" t="s">
        <v>2018</v>
      </c>
      <c r="G4401" s="8"/>
      <c r="H4401" s="8"/>
      <c r="I4401" s="107">
        <v>0</v>
      </c>
      <c r="J4401" s="8" t="s">
        <v>2019</v>
      </c>
    </row>
    <row r="4402" spans="1:10" ht="16.5" customHeight="1" x14ac:dyDescent="0.25">
      <c r="A4402" s="8" t="s">
        <v>13756</v>
      </c>
      <c r="B4402" s="8" t="s">
        <v>13757</v>
      </c>
      <c r="C4402" s="8" t="s">
        <v>4573</v>
      </c>
      <c r="D4402" s="8" t="s">
        <v>13757</v>
      </c>
      <c r="E4402" s="105">
        <v>0</v>
      </c>
      <c r="F4402" s="106" t="s">
        <v>2018</v>
      </c>
      <c r="G4402" s="8"/>
      <c r="H4402" s="8"/>
      <c r="I4402" s="107">
        <v>0</v>
      </c>
      <c r="J4402" s="8" t="s">
        <v>3580</v>
      </c>
    </row>
    <row r="4403" spans="1:10" ht="16.5" customHeight="1" x14ac:dyDescent="0.25">
      <c r="A4403" s="8" t="s">
        <v>13758</v>
      </c>
      <c r="B4403" s="8" t="s">
        <v>13759</v>
      </c>
      <c r="C4403" s="8" t="s">
        <v>7135</v>
      </c>
      <c r="D4403" s="8" t="s">
        <v>13759</v>
      </c>
      <c r="E4403" s="105">
        <v>0</v>
      </c>
      <c r="F4403" s="106" t="s">
        <v>2018</v>
      </c>
      <c r="G4403" s="8"/>
      <c r="H4403" s="8"/>
      <c r="I4403" s="107">
        <v>0</v>
      </c>
      <c r="J4403" s="8" t="s">
        <v>3580</v>
      </c>
    </row>
    <row r="4404" spans="1:10" ht="16.5" customHeight="1" x14ac:dyDescent="0.25">
      <c r="A4404" s="8" t="s">
        <v>13760</v>
      </c>
      <c r="B4404" s="8" t="s">
        <v>13761</v>
      </c>
      <c r="C4404" s="8" t="s">
        <v>1446</v>
      </c>
      <c r="D4404" s="8" t="s">
        <v>13761</v>
      </c>
      <c r="E4404" s="105">
        <v>4.8</v>
      </c>
      <c r="F4404" s="106" t="s">
        <v>2024</v>
      </c>
      <c r="G4404" s="8"/>
      <c r="H4404" s="8"/>
      <c r="I4404" s="107">
        <v>0</v>
      </c>
      <c r="J4404" s="8" t="s">
        <v>5671</v>
      </c>
    </row>
    <row r="4405" spans="1:10" ht="16.5" customHeight="1" x14ac:dyDescent="0.25">
      <c r="A4405" s="8" t="s">
        <v>13762</v>
      </c>
      <c r="B4405" s="8" t="s">
        <v>13763</v>
      </c>
      <c r="C4405" s="8" t="s">
        <v>1446</v>
      </c>
      <c r="D4405" s="8" t="s">
        <v>13763</v>
      </c>
      <c r="E4405" s="105">
        <v>0.12</v>
      </c>
      <c r="F4405" s="106" t="s">
        <v>2024</v>
      </c>
      <c r="G4405" s="8"/>
      <c r="H4405" s="8"/>
      <c r="I4405" s="107">
        <v>0</v>
      </c>
      <c r="J4405" s="8" t="s">
        <v>5671</v>
      </c>
    </row>
    <row r="4406" spans="1:10" ht="16.5" customHeight="1" x14ac:dyDescent="0.25">
      <c r="A4406" s="8" t="s">
        <v>13764</v>
      </c>
      <c r="B4406" s="8" t="s">
        <v>13765</v>
      </c>
      <c r="C4406" s="8" t="s">
        <v>13766</v>
      </c>
      <c r="D4406" s="8" t="s">
        <v>13765</v>
      </c>
      <c r="E4406" s="105">
        <v>1</v>
      </c>
      <c r="F4406" s="106" t="s">
        <v>2018</v>
      </c>
      <c r="G4406" s="8"/>
      <c r="H4406" s="8"/>
      <c r="I4406" s="107">
        <v>0</v>
      </c>
      <c r="J4406" s="8" t="s">
        <v>6357</v>
      </c>
    </row>
    <row r="4407" spans="1:10" ht="16.5" customHeight="1" x14ac:dyDescent="0.25">
      <c r="A4407" s="8" t="s">
        <v>12645</v>
      </c>
      <c r="B4407" s="8" t="s">
        <v>13767</v>
      </c>
      <c r="C4407" s="8" t="s">
        <v>13768</v>
      </c>
      <c r="D4407" s="8" t="s">
        <v>13767</v>
      </c>
      <c r="E4407" s="105">
        <v>0.5</v>
      </c>
      <c r="F4407" s="106" t="s">
        <v>2018</v>
      </c>
      <c r="G4407" s="8"/>
      <c r="H4407" s="8"/>
      <c r="I4407" s="107">
        <v>0</v>
      </c>
      <c r="J4407" s="8" t="s">
        <v>3580</v>
      </c>
    </row>
    <row r="4408" spans="1:10" ht="16.5" customHeight="1" x14ac:dyDescent="0.25">
      <c r="A4408" s="8" t="s">
        <v>12646</v>
      </c>
      <c r="B4408" s="8" t="s">
        <v>13769</v>
      </c>
      <c r="C4408" s="8" t="s">
        <v>13770</v>
      </c>
      <c r="D4408" s="8" t="s">
        <v>13769</v>
      </c>
      <c r="E4408" s="105">
        <v>0.5</v>
      </c>
      <c r="F4408" s="106" t="s">
        <v>2018</v>
      </c>
      <c r="G4408" s="8"/>
      <c r="H4408" s="8"/>
      <c r="I4408" s="107">
        <v>0</v>
      </c>
      <c r="J4408" s="8" t="s">
        <v>3580</v>
      </c>
    </row>
    <row r="4409" spans="1:10" ht="16.5" customHeight="1" x14ac:dyDescent="0.25">
      <c r="A4409" s="8" t="s">
        <v>13771</v>
      </c>
      <c r="B4409" s="8" t="s">
        <v>13772</v>
      </c>
      <c r="C4409" s="8" t="s">
        <v>13773</v>
      </c>
      <c r="D4409" s="8" t="s">
        <v>13772</v>
      </c>
      <c r="E4409" s="105">
        <v>0</v>
      </c>
      <c r="F4409" s="106" t="s">
        <v>2018</v>
      </c>
      <c r="G4409" s="8"/>
      <c r="H4409" s="8"/>
      <c r="I4409" s="107">
        <v>0</v>
      </c>
      <c r="J4409" s="8" t="s">
        <v>2019</v>
      </c>
    </row>
    <row r="4410" spans="1:10" ht="16.5" customHeight="1" x14ac:dyDescent="0.25">
      <c r="A4410" s="8" t="s">
        <v>13774</v>
      </c>
      <c r="B4410" s="8" t="s">
        <v>13775</v>
      </c>
      <c r="C4410" s="8" t="s">
        <v>13776</v>
      </c>
      <c r="D4410" s="8" t="s">
        <v>13775</v>
      </c>
      <c r="E4410" s="105">
        <v>0</v>
      </c>
      <c r="F4410" s="106" t="s">
        <v>2018</v>
      </c>
      <c r="G4410" s="8"/>
      <c r="H4410" s="8"/>
      <c r="I4410" s="107">
        <v>0</v>
      </c>
      <c r="J4410" s="8" t="s">
        <v>3580</v>
      </c>
    </row>
    <row r="4411" spans="1:10" ht="16.5" customHeight="1" x14ac:dyDescent="0.25">
      <c r="A4411" s="8" t="s">
        <v>13777</v>
      </c>
      <c r="B4411" s="8" t="s">
        <v>13778</v>
      </c>
      <c r="C4411" s="8" t="s">
        <v>13779</v>
      </c>
      <c r="D4411" s="8" t="s">
        <v>13778</v>
      </c>
      <c r="E4411" s="105">
        <v>0</v>
      </c>
      <c r="F4411" s="106" t="s">
        <v>2018</v>
      </c>
      <c r="G4411" s="8"/>
      <c r="H4411" s="8"/>
      <c r="I4411" s="107">
        <v>0</v>
      </c>
      <c r="J4411" s="8" t="s">
        <v>2019</v>
      </c>
    </row>
    <row r="4412" spans="1:10" ht="16.5" customHeight="1" x14ac:dyDescent="0.25">
      <c r="A4412" s="8" t="s">
        <v>13780</v>
      </c>
      <c r="B4412" s="8" t="s">
        <v>13781</v>
      </c>
      <c r="C4412" s="8" t="s">
        <v>13782</v>
      </c>
      <c r="D4412" s="8" t="s">
        <v>13781</v>
      </c>
      <c r="E4412" s="105">
        <v>0.4</v>
      </c>
      <c r="F4412" s="106" t="s">
        <v>2018</v>
      </c>
      <c r="G4412" s="8"/>
      <c r="H4412" s="8"/>
      <c r="I4412" s="107">
        <v>0</v>
      </c>
      <c r="J4412" s="8" t="s">
        <v>10697</v>
      </c>
    </row>
    <row r="4413" spans="1:10" ht="16.5" customHeight="1" x14ac:dyDescent="0.25">
      <c r="A4413" s="8" t="s">
        <v>13783</v>
      </c>
      <c r="B4413" s="8" t="s">
        <v>13784</v>
      </c>
      <c r="C4413" s="8" t="s">
        <v>13785</v>
      </c>
      <c r="D4413" s="8" t="s">
        <v>13784</v>
      </c>
      <c r="E4413" s="105">
        <v>1.4</v>
      </c>
      <c r="F4413" s="106" t="s">
        <v>2018</v>
      </c>
      <c r="G4413" s="8"/>
      <c r="H4413" s="8"/>
      <c r="I4413" s="107">
        <v>0</v>
      </c>
      <c r="J4413" s="8" t="s">
        <v>10697</v>
      </c>
    </row>
    <row r="4414" spans="1:10" ht="16.5" customHeight="1" x14ac:dyDescent="0.25">
      <c r="A4414" s="8" t="s">
        <v>13786</v>
      </c>
      <c r="B4414" s="8" t="s">
        <v>13787</v>
      </c>
      <c r="C4414" s="8" t="s">
        <v>13788</v>
      </c>
      <c r="D4414" s="8" t="s">
        <v>13787</v>
      </c>
      <c r="E4414" s="105">
        <v>9.6</v>
      </c>
      <c r="F4414" s="106" t="s">
        <v>2018</v>
      </c>
      <c r="G4414" s="8"/>
      <c r="H4414" s="8" t="s">
        <v>13780</v>
      </c>
      <c r="I4414" s="107">
        <v>24</v>
      </c>
      <c r="J4414" s="8" t="s">
        <v>10697</v>
      </c>
    </row>
    <row r="4415" spans="1:10" ht="16.5" customHeight="1" x14ac:dyDescent="0.25">
      <c r="A4415" s="8" t="s">
        <v>13789</v>
      </c>
      <c r="B4415" s="8" t="s">
        <v>13790</v>
      </c>
      <c r="C4415" s="8" t="s">
        <v>13791</v>
      </c>
      <c r="D4415" s="8" t="s">
        <v>13790</v>
      </c>
      <c r="E4415" s="105">
        <v>11.2</v>
      </c>
      <c r="F4415" s="106" t="s">
        <v>2018</v>
      </c>
      <c r="G4415" s="8"/>
      <c r="H4415" s="8" t="s">
        <v>13783</v>
      </c>
      <c r="I4415" s="107">
        <v>8</v>
      </c>
      <c r="J4415" s="8" t="s">
        <v>10697</v>
      </c>
    </row>
    <row r="4416" spans="1:10" ht="16.5" customHeight="1" x14ac:dyDescent="0.25">
      <c r="A4416" s="8" t="s">
        <v>13792</v>
      </c>
      <c r="B4416" s="8" t="s">
        <v>13793</v>
      </c>
      <c r="C4416" s="8" t="s">
        <v>1689</v>
      </c>
      <c r="D4416" s="8" t="s">
        <v>13793</v>
      </c>
      <c r="E4416" s="105">
        <v>6</v>
      </c>
      <c r="F4416" s="106" t="s">
        <v>2024</v>
      </c>
      <c r="G4416" s="8"/>
      <c r="H4416" s="8"/>
      <c r="I4416" s="107">
        <v>0</v>
      </c>
      <c r="J4416" s="8" t="s">
        <v>5929</v>
      </c>
    </row>
    <row r="4417" spans="1:10" ht="16.5" customHeight="1" x14ac:dyDescent="0.25">
      <c r="A4417" s="8" t="s">
        <v>13794</v>
      </c>
      <c r="B4417" s="8" t="s">
        <v>13795</v>
      </c>
      <c r="C4417" s="8" t="s">
        <v>1683</v>
      </c>
      <c r="D4417" s="8" t="s">
        <v>13795</v>
      </c>
      <c r="E4417" s="105">
        <v>6.12</v>
      </c>
      <c r="F4417" s="106" t="s">
        <v>2024</v>
      </c>
      <c r="G4417" s="8"/>
      <c r="H4417" s="8"/>
      <c r="I4417" s="107">
        <v>0</v>
      </c>
      <c r="J4417" s="8" t="s">
        <v>5929</v>
      </c>
    </row>
    <row r="4418" spans="1:10" ht="16.5" customHeight="1" x14ac:dyDescent="0.25">
      <c r="A4418" s="8" t="s">
        <v>13796</v>
      </c>
      <c r="B4418" s="8" t="s">
        <v>13797</v>
      </c>
      <c r="C4418" s="8" t="s">
        <v>11242</v>
      </c>
      <c r="D4418" s="8" t="s">
        <v>13797</v>
      </c>
      <c r="E4418" s="105">
        <v>0</v>
      </c>
      <c r="F4418" s="106" t="s">
        <v>2018</v>
      </c>
      <c r="G4418" s="8"/>
      <c r="H4418" s="8"/>
      <c r="I4418" s="107">
        <v>0</v>
      </c>
      <c r="J4418" s="8" t="s">
        <v>3580</v>
      </c>
    </row>
    <row r="4419" spans="1:10" ht="16.5" customHeight="1" x14ac:dyDescent="0.25">
      <c r="A4419" s="8" t="s">
        <v>13798</v>
      </c>
      <c r="B4419" s="8" t="s">
        <v>13799</v>
      </c>
      <c r="C4419" s="8" t="s">
        <v>12457</v>
      </c>
      <c r="D4419" s="8" t="s">
        <v>13799</v>
      </c>
      <c r="E4419" s="105">
        <v>0</v>
      </c>
      <c r="F4419" s="106" t="s">
        <v>2018</v>
      </c>
      <c r="G4419" s="8"/>
      <c r="H4419" s="8"/>
      <c r="I4419" s="107">
        <v>0</v>
      </c>
      <c r="J4419" s="8" t="s">
        <v>3580</v>
      </c>
    </row>
    <row r="4420" spans="1:10" ht="16.5" customHeight="1" x14ac:dyDescent="0.25">
      <c r="A4420" s="8" t="s">
        <v>1353</v>
      </c>
      <c r="B4420" s="8" t="s">
        <v>1355</v>
      </c>
      <c r="C4420" s="8" t="s">
        <v>1354</v>
      </c>
      <c r="D4420" s="8" t="s">
        <v>1355</v>
      </c>
      <c r="E4420" s="105">
        <v>0</v>
      </c>
      <c r="F4420" s="106" t="s">
        <v>2018</v>
      </c>
      <c r="G4420" s="8"/>
      <c r="H4420" s="8"/>
      <c r="I4420" s="107">
        <v>0</v>
      </c>
      <c r="J4420" s="8" t="s">
        <v>3580</v>
      </c>
    </row>
    <row r="4421" spans="1:10" ht="16.5" customHeight="1" x14ac:dyDescent="0.25">
      <c r="A4421" s="8" t="s">
        <v>13800</v>
      </c>
      <c r="B4421" s="8" t="s">
        <v>13801</v>
      </c>
      <c r="C4421" s="8" t="s">
        <v>13802</v>
      </c>
      <c r="D4421" s="8" t="s">
        <v>13801</v>
      </c>
      <c r="E4421" s="105">
        <v>0</v>
      </c>
      <c r="F4421" s="106" t="s">
        <v>2018</v>
      </c>
      <c r="G4421" s="8"/>
      <c r="H4421" s="8"/>
      <c r="I4421" s="107">
        <v>0</v>
      </c>
      <c r="J4421" s="8" t="s">
        <v>3580</v>
      </c>
    </row>
    <row r="4422" spans="1:10" ht="16.5" customHeight="1" x14ac:dyDescent="0.25">
      <c r="A4422" s="8" t="s">
        <v>13803</v>
      </c>
      <c r="B4422" s="8" t="s">
        <v>13804</v>
      </c>
      <c r="C4422" s="8" t="s">
        <v>13805</v>
      </c>
      <c r="D4422" s="8" t="s">
        <v>13804</v>
      </c>
      <c r="E4422" s="105">
        <v>1</v>
      </c>
      <c r="F4422" s="106" t="s">
        <v>2018</v>
      </c>
      <c r="G4422" s="8"/>
      <c r="H4422" s="8"/>
      <c r="I4422" s="107">
        <v>0</v>
      </c>
      <c r="J4422" s="8" t="s">
        <v>6357</v>
      </c>
    </row>
    <row r="4423" spans="1:10" ht="16.5" customHeight="1" x14ac:dyDescent="0.25">
      <c r="A4423" s="8" t="s">
        <v>13806</v>
      </c>
      <c r="B4423" s="8" t="s">
        <v>13807</v>
      </c>
      <c r="C4423" s="8" t="s">
        <v>5683</v>
      </c>
      <c r="D4423" s="8" t="s">
        <v>13807</v>
      </c>
      <c r="E4423" s="105">
        <v>0.4</v>
      </c>
      <c r="F4423" s="106" t="s">
        <v>2018</v>
      </c>
      <c r="G4423" s="8" t="s">
        <v>1417</v>
      </c>
      <c r="H4423" s="8"/>
      <c r="I4423" s="107">
        <v>0</v>
      </c>
      <c r="J4423" s="8" t="s">
        <v>5671</v>
      </c>
    </row>
    <row r="4424" spans="1:10" ht="16.5" customHeight="1" x14ac:dyDescent="0.25">
      <c r="A4424" s="8" t="s">
        <v>1484</v>
      </c>
      <c r="B4424" s="8" t="s">
        <v>1486</v>
      </c>
      <c r="C4424" s="8" t="s">
        <v>1485</v>
      </c>
      <c r="D4424" s="8" t="s">
        <v>1486</v>
      </c>
      <c r="E4424" s="105">
        <v>4.8</v>
      </c>
      <c r="F4424" s="106" t="s">
        <v>2018</v>
      </c>
      <c r="G4424" s="8" t="s">
        <v>1417</v>
      </c>
      <c r="H4424" s="8" t="s">
        <v>13806</v>
      </c>
      <c r="I4424" s="107">
        <v>12</v>
      </c>
      <c r="J4424" s="8" t="s">
        <v>5671</v>
      </c>
    </row>
    <row r="4425" spans="1:10" ht="16.5" customHeight="1" x14ac:dyDescent="0.25">
      <c r="A4425" s="8" t="s">
        <v>1442</v>
      </c>
      <c r="B4425" s="8" t="s">
        <v>1444</v>
      </c>
      <c r="C4425" s="8" t="s">
        <v>1443</v>
      </c>
      <c r="D4425" s="8" t="s">
        <v>1444</v>
      </c>
      <c r="E4425" s="105">
        <v>3.3</v>
      </c>
      <c r="F4425" s="106" t="s">
        <v>2018</v>
      </c>
      <c r="G4425" s="8" t="s">
        <v>1417</v>
      </c>
      <c r="H4425" s="8" t="s">
        <v>13808</v>
      </c>
      <c r="I4425" s="107">
        <v>22</v>
      </c>
      <c r="J4425" s="8" t="s">
        <v>5671</v>
      </c>
    </row>
    <row r="4426" spans="1:10" ht="16.5" customHeight="1" x14ac:dyDescent="0.25">
      <c r="A4426" s="8" t="s">
        <v>13808</v>
      </c>
      <c r="B4426" s="8" t="s">
        <v>13809</v>
      </c>
      <c r="C4426" s="8" t="s">
        <v>7075</v>
      </c>
      <c r="D4426" s="8" t="s">
        <v>13809</v>
      </c>
      <c r="E4426" s="105">
        <v>0.15</v>
      </c>
      <c r="F4426" s="106" t="s">
        <v>2018</v>
      </c>
      <c r="G4426" s="8" t="s">
        <v>1417</v>
      </c>
      <c r="H4426" s="8"/>
      <c r="I4426" s="107">
        <v>0</v>
      </c>
      <c r="J4426" s="8" t="s">
        <v>5671</v>
      </c>
    </row>
    <row r="4427" spans="1:10" ht="16.5" customHeight="1" x14ac:dyDescent="0.25">
      <c r="A4427" s="8" t="s">
        <v>1430</v>
      </c>
      <c r="B4427" s="8" t="s">
        <v>1432</v>
      </c>
      <c r="C4427" s="8" t="s">
        <v>1431</v>
      </c>
      <c r="D4427" s="8" t="s">
        <v>1432</v>
      </c>
      <c r="E4427" s="105">
        <v>10</v>
      </c>
      <c r="F4427" s="106" t="s">
        <v>2018</v>
      </c>
      <c r="G4427" s="8" t="s">
        <v>1417</v>
      </c>
      <c r="H4427" s="8" t="s">
        <v>13810</v>
      </c>
      <c r="I4427" s="107">
        <v>10</v>
      </c>
      <c r="J4427" s="8" t="s">
        <v>5671</v>
      </c>
    </row>
    <row r="4428" spans="1:10" ht="16.5" customHeight="1" x14ac:dyDescent="0.25">
      <c r="A4428" s="8" t="s">
        <v>13810</v>
      </c>
      <c r="B4428" s="8" t="s">
        <v>13811</v>
      </c>
      <c r="C4428" s="8" t="s">
        <v>7070</v>
      </c>
      <c r="D4428" s="8" t="s">
        <v>13811</v>
      </c>
      <c r="E4428" s="105">
        <v>1</v>
      </c>
      <c r="F4428" s="106" t="s">
        <v>2018</v>
      </c>
      <c r="G4428" s="8" t="s">
        <v>1417</v>
      </c>
      <c r="H4428" s="8"/>
      <c r="I4428" s="107">
        <v>0</v>
      </c>
      <c r="J4428" s="8" t="s">
        <v>5671</v>
      </c>
    </row>
    <row r="4429" spans="1:10" ht="16.5" customHeight="1" x14ac:dyDescent="0.25">
      <c r="A4429" s="8" t="s">
        <v>1527</v>
      </c>
      <c r="B4429" s="8" t="s">
        <v>13812</v>
      </c>
      <c r="C4429" s="8" t="s">
        <v>1528</v>
      </c>
      <c r="D4429" s="8" t="s">
        <v>13812</v>
      </c>
      <c r="E4429" s="105">
        <v>10</v>
      </c>
      <c r="F4429" s="106" t="s">
        <v>2018</v>
      </c>
      <c r="G4429" s="8" t="s">
        <v>1417</v>
      </c>
      <c r="H4429" s="8"/>
      <c r="I4429" s="107">
        <v>0</v>
      </c>
      <c r="J4429" s="8" t="s">
        <v>5671</v>
      </c>
    </row>
    <row r="4430" spans="1:10" ht="16.5" customHeight="1" x14ac:dyDescent="0.25">
      <c r="A4430" s="8" t="s">
        <v>1448</v>
      </c>
      <c r="B4430" s="8" t="s">
        <v>1450</v>
      </c>
      <c r="C4430" s="8" t="s">
        <v>1449</v>
      </c>
      <c r="D4430" s="8" t="s">
        <v>1450</v>
      </c>
      <c r="E4430" s="105">
        <v>10</v>
      </c>
      <c r="F4430" s="106" t="s">
        <v>2018</v>
      </c>
      <c r="G4430" s="8" t="s">
        <v>1417</v>
      </c>
      <c r="H4430" s="8" t="s">
        <v>13813</v>
      </c>
      <c r="I4430" s="107">
        <v>10</v>
      </c>
      <c r="J4430" s="8" t="s">
        <v>5671</v>
      </c>
    </row>
    <row r="4431" spans="1:10" ht="16.5" customHeight="1" x14ac:dyDescent="0.25">
      <c r="A4431" s="8" t="s">
        <v>13813</v>
      </c>
      <c r="B4431" s="8" t="s">
        <v>13814</v>
      </c>
      <c r="C4431" s="8" t="s">
        <v>6969</v>
      </c>
      <c r="D4431" s="8" t="s">
        <v>13814</v>
      </c>
      <c r="E4431" s="105">
        <v>1</v>
      </c>
      <c r="F4431" s="106" t="s">
        <v>2018</v>
      </c>
      <c r="G4431" s="8" t="s">
        <v>1417</v>
      </c>
      <c r="H4431" s="8"/>
      <c r="I4431" s="107">
        <v>0</v>
      </c>
      <c r="J4431" s="8" t="s">
        <v>5671</v>
      </c>
    </row>
    <row r="4432" spans="1:10" ht="16.5" customHeight="1" x14ac:dyDescent="0.25">
      <c r="A4432" s="8" t="s">
        <v>1460</v>
      </c>
      <c r="B4432" s="8" t="s">
        <v>1462</v>
      </c>
      <c r="C4432" s="8" t="s">
        <v>1461</v>
      </c>
      <c r="D4432" s="8" t="s">
        <v>1462</v>
      </c>
      <c r="E4432" s="105">
        <v>3.6</v>
      </c>
      <c r="F4432" s="106" t="s">
        <v>2018</v>
      </c>
      <c r="G4432" s="8" t="s">
        <v>1417</v>
      </c>
      <c r="H4432" s="8" t="s">
        <v>13815</v>
      </c>
      <c r="I4432" s="107">
        <v>24</v>
      </c>
      <c r="J4432" s="8" t="s">
        <v>5671</v>
      </c>
    </row>
    <row r="4433" spans="1:10" ht="16.5" customHeight="1" x14ac:dyDescent="0.25">
      <c r="A4433" s="8" t="s">
        <v>13815</v>
      </c>
      <c r="B4433" s="8" t="s">
        <v>13816</v>
      </c>
      <c r="C4433" s="8" t="s">
        <v>5670</v>
      </c>
      <c r="D4433" s="8" t="s">
        <v>13816</v>
      </c>
      <c r="E4433" s="105">
        <v>0.15</v>
      </c>
      <c r="F4433" s="106" t="s">
        <v>2018</v>
      </c>
      <c r="G4433" s="8" t="s">
        <v>1417</v>
      </c>
      <c r="H4433" s="8"/>
      <c r="I4433" s="107">
        <v>0</v>
      </c>
      <c r="J4433" s="8" t="s">
        <v>5671</v>
      </c>
    </row>
    <row r="4434" spans="1:10" ht="16.5" customHeight="1" x14ac:dyDescent="0.25">
      <c r="A4434" s="8" t="s">
        <v>1418</v>
      </c>
      <c r="B4434" s="8" t="s">
        <v>1420</v>
      </c>
      <c r="C4434" s="8" t="s">
        <v>1419</v>
      </c>
      <c r="D4434" s="8" t="s">
        <v>1420</v>
      </c>
      <c r="E4434" s="105">
        <v>9</v>
      </c>
      <c r="F4434" s="106" t="s">
        <v>2018</v>
      </c>
      <c r="G4434" s="8" t="s">
        <v>1417</v>
      </c>
      <c r="H4434" s="8" t="s">
        <v>13815</v>
      </c>
      <c r="I4434" s="107">
        <v>60</v>
      </c>
      <c r="J4434" s="8" t="s">
        <v>5671</v>
      </c>
    </row>
    <row r="4435" spans="1:10" ht="16.5" customHeight="1" x14ac:dyDescent="0.25">
      <c r="A4435" s="8" t="s">
        <v>1424</v>
      </c>
      <c r="B4435" s="8" t="s">
        <v>1426</v>
      </c>
      <c r="C4435" s="8" t="s">
        <v>1425</v>
      </c>
      <c r="D4435" s="8" t="s">
        <v>1426</v>
      </c>
      <c r="E4435" s="105">
        <v>10</v>
      </c>
      <c r="F4435" s="106" t="s">
        <v>2018</v>
      </c>
      <c r="G4435" s="8" t="s">
        <v>1417</v>
      </c>
      <c r="H4435" s="8" t="s">
        <v>13817</v>
      </c>
      <c r="I4435" s="107">
        <v>10</v>
      </c>
      <c r="J4435" s="8" t="s">
        <v>5671</v>
      </c>
    </row>
    <row r="4436" spans="1:10" ht="16.5" customHeight="1" x14ac:dyDescent="0.25">
      <c r="A4436" s="8" t="s">
        <v>13817</v>
      </c>
      <c r="B4436" s="8" t="s">
        <v>13818</v>
      </c>
      <c r="C4436" s="8" t="s">
        <v>5674</v>
      </c>
      <c r="D4436" s="8" t="s">
        <v>13818</v>
      </c>
      <c r="E4436" s="105">
        <v>1</v>
      </c>
      <c r="F4436" s="106" t="s">
        <v>2018</v>
      </c>
      <c r="G4436" s="8" t="s">
        <v>1417</v>
      </c>
      <c r="H4436" s="8"/>
      <c r="I4436" s="107">
        <v>0</v>
      </c>
      <c r="J4436" s="8" t="s">
        <v>5671</v>
      </c>
    </row>
    <row r="4437" spans="1:10" ht="16.5" customHeight="1" x14ac:dyDescent="0.25">
      <c r="A4437" s="8" t="s">
        <v>1436</v>
      </c>
      <c r="B4437" s="8" t="s">
        <v>1438</v>
      </c>
      <c r="C4437" s="8" t="s">
        <v>1437</v>
      </c>
      <c r="D4437" s="8" t="s">
        <v>1438</v>
      </c>
      <c r="E4437" s="105">
        <v>3.6</v>
      </c>
      <c r="F4437" s="106" t="s">
        <v>2018</v>
      </c>
      <c r="G4437" s="8" t="s">
        <v>1417</v>
      </c>
      <c r="H4437" s="8" t="s">
        <v>13819</v>
      </c>
      <c r="I4437" s="107">
        <v>24</v>
      </c>
      <c r="J4437" s="8" t="s">
        <v>5671</v>
      </c>
    </row>
    <row r="4438" spans="1:10" ht="16.5" customHeight="1" x14ac:dyDescent="0.25">
      <c r="A4438" s="8" t="s">
        <v>13819</v>
      </c>
      <c r="B4438" s="8" t="s">
        <v>13820</v>
      </c>
      <c r="C4438" s="8" t="s">
        <v>6470</v>
      </c>
      <c r="D4438" s="8" t="s">
        <v>13820</v>
      </c>
      <c r="E4438" s="105">
        <v>0.15</v>
      </c>
      <c r="F4438" s="106" t="s">
        <v>2018</v>
      </c>
      <c r="G4438" s="8" t="s">
        <v>1417</v>
      </c>
      <c r="H4438" s="8"/>
      <c r="I4438" s="107">
        <v>0</v>
      </c>
      <c r="J4438" s="8"/>
    </row>
    <row r="4439" spans="1:10" ht="16.5" customHeight="1" x14ac:dyDescent="0.25">
      <c r="A4439" s="8" t="s">
        <v>13821</v>
      </c>
      <c r="B4439" s="8" t="s">
        <v>13822</v>
      </c>
      <c r="C4439" s="8" t="s">
        <v>13823</v>
      </c>
      <c r="D4439" s="8" t="s">
        <v>13822</v>
      </c>
      <c r="E4439" s="105">
        <v>10</v>
      </c>
      <c r="F4439" s="106" t="s">
        <v>2024</v>
      </c>
      <c r="G4439" s="8" t="s">
        <v>1417</v>
      </c>
      <c r="H4439" s="8"/>
      <c r="I4439" s="107">
        <v>0</v>
      </c>
      <c r="J4439" s="8" t="s">
        <v>5671</v>
      </c>
    </row>
    <row r="4440" spans="1:10" ht="16.5" customHeight="1" x14ac:dyDescent="0.25">
      <c r="A4440" s="8" t="s">
        <v>1535</v>
      </c>
      <c r="B4440" s="8" t="s">
        <v>1537</v>
      </c>
      <c r="C4440" s="8" t="s">
        <v>1536</v>
      </c>
      <c r="D4440" s="8" t="s">
        <v>1537</v>
      </c>
      <c r="E4440" s="105">
        <v>10</v>
      </c>
      <c r="F4440" s="106" t="s">
        <v>2018</v>
      </c>
      <c r="G4440" s="8" t="s">
        <v>1417</v>
      </c>
      <c r="H4440" s="8"/>
      <c r="I4440" s="107">
        <v>0</v>
      </c>
      <c r="J4440" s="8" t="s">
        <v>5671</v>
      </c>
    </row>
    <row r="4441" spans="1:10" ht="16.5" customHeight="1" x14ac:dyDescent="0.25">
      <c r="A4441" s="8" t="s">
        <v>13824</v>
      </c>
      <c r="B4441" s="8" t="s">
        <v>13825</v>
      </c>
      <c r="C4441" s="8" t="s">
        <v>13286</v>
      </c>
      <c r="D4441" s="8" t="s">
        <v>13825</v>
      </c>
      <c r="E4441" s="105">
        <v>1</v>
      </c>
      <c r="F4441" s="106" t="s">
        <v>2018</v>
      </c>
      <c r="G4441" s="8" t="s">
        <v>1417</v>
      </c>
      <c r="H4441" s="8"/>
      <c r="I4441" s="107">
        <v>0</v>
      </c>
      <c r="J4441" s="8" t="s">
        <v>5671</v>
      </c>
    </row>
    <row r="4442" spans="1:10" ht="16.5" customHeight="1" x14ac:dyDescent="0.25">
      <c r="A4442" s="8" t="s">
        <v>13826</v>
      </c>
      <c r="B4442" s="8" t="s">
        <v>13827</v>
      </c>
      <c r="C4442" s="8" t="s">
        <v>13283</v>
      </c>
      <c r="D4442" s="8" t="s">
        <v>13827</v>
      </c>
      <c r="E4442" s="105">
        <v>10</v>
      </c>
      <c r="F4442" s="106" t="s">
        <v>2018</v>
      </c>
      <c r="G4442" s="8" t="s">
        <v>1417</v>
      </c>
      <c r="H4442" s="8" t="s">
        <v>13824</v>
      </c>
      <c r="I4442" s="107">
        <v>10</v>
      </c>
      <c r="J4442" s="8" t="s">
        <v>5671</v>
      </c>
    </row>
    <row r="4443" spans="1:10" ht="16.5" customHeight="1" x14ac:dyDescent="0.25">
      <c r="A4443" s="8" t="s">
        <v>1506</v>
      </c>
      <c r="B4443" s="8" t="s">
        <v>1508</v>
      </c>
      <c r="C4443" s="8" t="s">
        <v>1507</v>
      </c>
      <c r="D4443" s="8" t="s">
        <v>1508</v>
      </c>
      <c r="E4443" s="105">
        <v>10</v>
      </c>
      <c r="F4443" s="106" t="s">
        <v>2018</v>
      </c>
      <c r="G4443" s="8" t="s">
        <v>1417</v>
      </c>
      <c r="H4443" s="8"/>
      <c r="I4443" s="107">
        <v>0</v>
      </c>
      <c r="J4443" s="8" t="s">
        <v>5671</v>
      </c>
    </row>
    <row r="4444" spans="1:10" ht="16.5" customHeight="1" x14ac:dyDescent="0.25">
      <c r="A4444" s="8" t="s">
        <v>1521</v>
      </c>
      <c r="B4444" s="8" t="s">
        <v>1523</v>
      </c>
      <c r="C4444" s="8" t="s">
        <v>1522</v>
      </c>
      <c r="D4444" s="8" t="s">
        <v>1523</v>
      </c>
      <c r="E4444" s="105">
        <v>10</v>
      </c>
      <c r="F4444" s="106" t="s">
        <v>2018</v>
      </c>
      <c r="G4444" s="8" t="s">
        <v>1417</v>
      </c>
      <c r="H4444" s="8" t="s">
        <v>13828</v>
      </c>
      <c r="I4444" s="107">
        <v>10</v>
      </c>
      <c r="J4444" s="8" t="s">
        <v>5671</v>
      </c>
    </row>
    <row r="4445" spans="1:10" ht="16.5" customHeight="1" x14ac:dyDescent="0.25">
      <c r="A4445" s="8" t="s">
        <v>13828</v>
      </c>
      <c r="B4445" s="8" t="s">
        <v>13829</v>
      </c>
      <c r="C4445" s="8" t="s">
        <v>1522</v>
      </c>
      <c r="D4445" s="8" t="s">
        <v>13829</v>
      </c>
      <c r="E4445" s="105">
        <v>1</v>
      </c>
      <c r="F4445" s="106" t="s">
        <v>2018</v>
      </c>
      <c r="G4445" s="8" t="s">
        <v>1417</v>
      </c>
      <c r="H4445" s="8"/>
      <c r="I4445" s="107">
        <v>0</v>
      </c>
      <c r="J4445" s="8" t="s">
        <v>5671</v>
      </c>
    </row>
    <row r="4446" spans="1:10" ht="16.5" customHeight="1" x14ac:dyDescent="0.25">
      <c r="A4446" s="8" t="s">
        <v>1469</v>
      </c>
      <c r="B4446" s="8" t="s">
        <v>1471</v>
      </c>
      <c r="C4446" s="8" t="s">
        <v>1470</v>
      </c>
      <c r="D4446" s="8" t="s">
        <v>1471</v>
      </c>
      <c r="E4446" s="105">
        <v>4.8</v>
      </c>
      <c r="F4446" s="106" t="s">
        <v>2018</v>
      </c>
      <c r="G4446" s="8" t="s">
        <v>1417</v>
      </c>
      <c r="H4446" s="8" t="s">
        <v>13830</v>
      </c>
      <c r="I4446" s="107">
        <v>12</v>
      </c>
      <c r="J4446" s="8" t="s">
        <v>5671</v>
      </c>
    </row>
    <row r="4447" spans="1:10" ht="16.5" customHeight="1" x14ac:dyDescent="0.25">
      <c r="A4447" s="8" t="s">
        <v>13830</v>
      </c>
      <c r="B4447" s="8" t="s">
        <v>13831</v>
      </c>
      <c r="C4447" s="8" t="s">
        <v>7846</v>
      </c>
      <c r="D4447" s="8" t="s">
        <v>13831</v>
      </c>
      <c r="E4447" s="105">
        <v>0.4</v>
      </c>
      <c r="F4447" s="106" t="s">
        <v>2018</v>
      </c>
      <c r="G4447" s="8" t="s">
        <v>1417</v>
      </c>
      <c r="H4447" s="8"/>
      <c r="I4447" s="107">
        <v>0</v>
      </c>
      <c r="J4447" s="8" t="s">
        <v>5671</v>
      </c>
    </row>
    <row r="4448" spans="1:10" ht="16.5" customHeight="1" x14ac:dyDescent="0.25">
      <c r="A4448" s="8" t="s">
        <v>13832</v>
      </c>
      <c r="B4448" s="8" t="s">
        <v>13833</v>
      </c>
      <c r="C4448" s="8" t="s">
        <v>11132</v>
      </c>
      <c r="D4448" s="8" t="s">
        <v>13833</v>
      </c>
      <c r="E4448" s="105">
        <v>1</v>
      </c>
      <c r="F4448" s="106" t="s">
        <v>2018</v>
      </c>
      <c r="G4448" s="8" t="s">
        <v>1417</v>
      </c>
      <c r="H4448" s="8"/>
      <c r="I4448" s="107">
        <v>0</v>
      </c>
      <c r="J4448" s="8" t="s">
        <v>5671</v>
      </c>
    </row>
    <row r="4449" spans="1:10" ht="16.5" customHeight="1" x14ac:dyDescent="0.25">
      <c r="A4449" s="8" t="s">
        <v>13834</v>
      </c>
      <c r="B4449" s="8" t="s">
        <v>13835</v>
      </c>
      <c r="C4449" s="8" t="s">
        <v>11120</v>
      </c>
      <c r="D4449" s="8" t="s">
        <v>13835</v>
      </c>
      <c r="E4449" s="105">
        <v>10</v>
      </c>
      <c r="F4449" s="106" t="s">
        <v>2018</v>
      </c>
      <c r="G4449" s="8" t="s">
        <v>1417</v>
      </c>
      <c r="H4449" s="8" t="s">
        <v>13832</v>
      </c>
      <c r="I4449" s="107">
        <v>10</v>
      </c>
      <c r="J4449" s="8" t="s">
        <v>5671</v>
      </c>
    </row>
    <row r="4450" spans="1:10" ht="16.5" customHeight="1" x14ac:dyDescent="0.25">
      <c r="A4450" s="8" t="s">
        <v>13836</v>
      </c>
      <c r="B4450" s="8" t="s">
        <v>13837</v>
      </c>
      <c r="C4450" s="8" t="s">
        <v>11135</v>
      </c>
      <c r="D4450" s="8" t="s">
        <v>13837</v>
      </c>
      <c r="E4450" s="105">
        <v>1</v>
      </c>
      <c r="F4450" s="106" t="s">
        <v>2018</v>
      </c>
      <c r="G4450" s="8" t="s">
        <v>1417</v>
      </c>
      <c r="H4450" s="8"/>
      <c r="I4450" s="107">
        <v>0</v>
      </c>
      <c r="J4450" s="8" t="s">
        <v>5671</v>
      </c>
    </row>
    <row r="4451" spans="1:10" ht="16.5" customHeight="1" x14ac:dyDescent="0.25">
      <c r="A4451" s="8" t="s">
        <v>13838</v>
      </c>
      <c r="B4451" s="8" t="s">
        <v>13839</v>
      </c>
      <c r="C4451" s="8" t="s">
        <v>11123</v>
      </c>
      <c r="D4451" s="8" t="s">
        <v>13839</v>
      </c>
      <c r="E4451" s="105">
        <v>10</v>
      </c>
      <c r="F4451" s="106" t="s">
        <v>2018</v>
      </c>
      <c r="G4451" s="8" t="s">
        <v>1417</v>
      </c>
      <c r="H4451" s="8" t="s">
        <v>13836</v>
      </c>
      <c r="I4451" s="107">
        <v>10</v>
      </c>
      <c r="J4451" s="8" t="s">
        <v>5671</v>
      </c>
    </row>
    <row r="4452" spans="1:10" ht="16.5" customHeight="1" x14ac:dyDescent="0.25">
      <c r="A4452" s="8" t="s">
        <v>13840</v>
      </c>
      <c r="B4452" s="8" t="s">
        <v>13841</v>
      </c>
      <c r="C4452" s="8" t="s">
        <v>11538</v>
      </c>
      <c r="D4452" s="8" t="s">
        <v>13841</v>
      </c>
      <c r="E4452" s="105">
        <v>1</v>
      </c>
      <c r="F4452" s="106" t="s">
        <v>2018</v>
      </c>
      <c r="G4452" s="8" t="s">
        <v>1417</v>
      </c>
      <c r="H4452" s="8"/>
      <c r="I4452" s="107">
        <v>0</v>
      </c>
      <c r="J4452" s="8" t="s">
        <v>5671</v>
      </c>
    </row>
    <row r="4453" spans="1:10" ht="16.5" customHeight="1" x14ac:dyDescent="0.25">
      <c r="A4453" s="8" t="s">
        <v>13842</v>
      </c>
      <c r="B4453" s="8" t="s">
        <v>13843</v>
      </c>
      <c r="C4453" s="8" t="s">
        <v>11535</v>
      </c>
      <c r="D4453" s="8" t="s">
        <v>13843</v>
      </c>
      <c r="E4453" s="105">
        <v>10</v>
      </c>
      <c r="F4453" s="106" t="s">
        <v>2018</v>
      </c>
      <c r="G4453" s="8" t="s">
        <v>1417</v>
      </c>
      <c r="H4453" s="8" t="s">
        <v>13840</v>
      </c>
      <c r="I4453" s="107">
        <v>10</v>
      </c>
      <c r="J4453" s="8" t="s">
        <v>5671</v>
      </c>
    </row>
    <row r="4454" spans="1:10" ht="16.5" customHeight="1" x14ac:dyDescent="0.25">
      <c r="A4454" s="8" t="s">
        <v>13844</v>
      </c>
      <c r="B4454" s="8" t="s">
        <v>13845</v>
      </c>
      <c r="C4454" s="8" t="s">
        <v>11138</v>
      </c>
      <c r="D4454" s="8" t="s">
        <v>13845</v>
      </c>
      <c r="E4454" s="105">
        <v>1</v>
      </c>
      <c r="F4454" s="106" t="s">
        <v>2018</v>
      </c>
      <c r="G4454" s="8" t="s">
        <v>1417</v>
      </c>
      <c r="H4454" s="8"/>
      <c r="I4454" s="107">
        <v>0</v>
      </c>
      <c r="J4454" s="8" t="s">
        <v>5671</v>
      </c>
    </row>
    <row r="4455" spans="1:10" ht="16.5" customHeight="1" x14ac:dyDescent="0.25">
      <c r="A4455" s="8" t="s">
        <v>13846</v>
      </c>
      <c r="B4455" s="8" t="s">
        <v>13847</v>
      </c>
      <c r="C4455" s="8" t="s">
        <v>11126</v>
      </c>
      <c r="D4455" s="8" t="s">
        <v>13847</v>
      </c>
      <c r="E4455" s="105">
        <v>10</v>
      </c>
      <c r="F4455" s="106" t="s">
        <v>2018</v>
      </c>
      <c r="G4455" s="8" t="s">
        <v>1417</v>
      </c>
      <c r="H4455" s="8" t="s">
        <v>13844</v>
      </c>
      <c r="I4455" s="107">
        <v>10</v>
      </c>
      <c r="J4455" s="8" t="s">
        <v>5671</v>
      </c>
    </row>
    <row r="4456" spans="1:10" ht="16.5" customHeight="1" x14ac:dyDescent="0.25">
      <c r="A4456" s="8" t="s">
        <v>13848</v>
      </c>
      <c r="B4456" s="8" t="s">
        <v>13849</v>
      </c>
      <c r="C4456" s="8" t="s">
        <v>11141</v>
      </c>
      <c r="D4456" s="8" t="s">
        <v>13849</v>
      </c>
      <c r="E4456" s="105">
        <v>1</v>
      </c>
      <c r="F4456" s="106" t="s">
        <v>2018</v>
      </c>
      <c r="G4456" s="8" t="s">
        <v>1417</v>
      </c>
      <c r="H4456" s="8"/>
      <c r="I4456" s="107">
        <v>0</v>
      </c>
      <c r="J4456" s="8" t="s">
        <v>5671</v>
      </c>
    </row>
    <row r="4457" spans="1:10" ht="16.5" customHeight="1" x14ac:dyDescent="0.25">
      <c r="A4457" s="8" t="s">
        <v>13850</v>
      </c>
      <c r="B4457" s="8" t="s">
        <v>13851</v>
      </c>
      <c r="C4457" s="8" t="s">
        <v>11129</v>
      </c>
      <c r="D4457" s="8" t="s">
        <v>13851</v>
      </c>
      <c r="E4457" s="105">
        <v>10</v>
      </c>
      <c r="F4457" s="106" t="s">
        <v>2018</v>
      </c>
      <c r="G4457" s="8" t="s">
        <v>1417</v>
      </c>
      <c r="H4457" s="8" t="s">
        <v>13848</v>
      </c>
      <c r="I4457" s="107">
        <v>10</v>
      </c>
      <c r="J4457" s="8" t="s">
        <v>5671</v>
      </c>
    </row>
    <row r="4458" spans="1:10" ht="16.5" customHeight="1" x14ac:dyDescent="0.25">
      <c r="A4458" s="8" t="s">
        <v>1497</v>
      </c>
      <c r="B4458" s="8" t="s">
        <v>1499</v>
      </c>
      <c r="C4458" s="8" t="s">
        <v>1498</v>
      </c>
      <c r="D4458" s="8" t="s">
        <v>1499</v>
      </c>
      <c r="E4458" s="105">
        <v>7.2</v>
      </c>
      <c r="F4458" s="106" t="s">
        <v>2018</v>
      </c>
      <c r="G4458" s="8" t="s">
        <v>1417</v>
      </c>
      <c r="H4458" s="8" t="s">
        <v>13852</v>
      </c>
      <c r="I4458" s="107">
        <v>24</v>
      </c>
      <c r="J4458" s="8" t="s">
        <v>5671</v>
      </c>
    </row>
    <row r="4459" spans="1:10" ht="16.5" customHeight="1" x14ac:dyDescent="0.25">
      <c r="A4459" s="8" t="s">
        <v>1512</v>
      </c>
      <c r="B4459" s="8" t="s">
        <v>1514</v>
      </c>
      <c r="C4459" s="8" t="s">
        <v>1513</v>
      </c>
      <c r="D4459" s="8" t="s">
        <v>1514</v>
      </c>
      <c r="E4459" s="105">
        <v>3</v>
      </c>
      <c r="F4459" s="106" t="s">
        <v>2018</v>
      </c>
      <c r="G4459" s="8" t="s">
        <v>1417</v>
      </c>
      <c r="H4459" s="8" t="s">
        <v>13853</v>
      </c>
      <c r="I4459" s="107">
        <v>12</v>
      </c>
      <c r="J4459" s="8" t="s">
        <v>5671</v>
      </c>
    </row>
    <row r="4460" spans="1:10" ht="16.5" customHeight="1" x14ac:dyDescent="0.25">
      <c r="A4460" s="8" t="s">
        <v>13853</v>
      </c>
      <c r="B4460" s="8" t="s">
        <v>13854</v>
      </c>
      <c r="C4460" s="8" t="s">
        <v>6820</v>
      </c>
      <c r="D4460" s="8" t="s">
        <v>13854</v>
      </c>
      <c r="E4460" s="105">
        <v>0.25</v>
      </c>
      <c r="F4460" s="106" t="s">
        <v>2018</v>
      </c>
      <c r="G4460" s="8" t="s">
        <v>1417</v>
      </c>
      <c r="H4460" s="8"/>
      <c r="I4460" s="107">
        <v>0</v>
      </c>
      <c r="J4460" s="8" t="s">
        <v>5671</v>
      </c>
    </row>
    <row r="4461" spans="1:10" ht="16.5" customHeight="1" x14ac:dyDescent="0.25">
      <c r="A4461" s="8" t="s">
        <v>1481</v>
      </c>
      <c r="B4461" s="8" t="s">
        <v>1483</v>
      </c>
      <c r="C4461" s="8" t="s">
        <v>1482</v>
      </c>
      <c r="D4461" s="8" t="s">
        <v>1483</v>
      </c>
      <c r="E4461" s="105">
        <v>9</v>
      </c>
      <c r="F4461" s="106" t="s">
        <v>2018</v>
      </c>
      <c r="G4461" s="8" t="s">
        <v>1417</v>
      </c>
      <c r="H4461" s="8" t="s">
        <v>13855</v>
      </c>
      <c r="I4461" s="107">
        <v>18</v>
      </c>
      <c r="J4461" s="8" t="s">
        <v>5671</v>
      </c>
    </row>
    <row r="4462" spans="1:10" ht="16.5" customHeight="1" x14ac:dyDescent="0.25">
      <c r="A4462" s="8" t="s">
        <v>13856</v>
      </c>
      <c r="B4462" s="8" t="s">
        <v>13857</v>
      </c>
      <c r="C4462" s="8" t="s">
        <v>13858</v>
      </c>
      <c r="D4462" s="8" t="s">
        <v>13857</v>
      </c>
      <c r="E4462" s="105">
        <v>0.5</v>
      </c>
      <c r="F4462" s="106" t="s">
        <v>2024</v>
      </c>
      <c r="G4462" s="8" t="s">
        <v>1417</v>
      </c>
      <c r="H4462" s="8"/>
      <c r="I4462" s="107">
        <v>0</v>
      </c>
      <c r="J4462" s="8" t="s">
        <v>5671</v>
      </c>
    </row>
    <row r="4463" spans="1:10" ht="16.5" customHeight="1" x14ac:dyDescent="0.25">
      <c r="A4463" s="8" t="s">
        <v>13855</v>
      </c>
      <c r="B4463" s="8" t="s">
        <v>13859</v>
      </c>
      <c r="C4463" s="8" t="s">
        <v>13858</v>
      </c>
      <c r="D4463" s="8" t="s">
        <v>13859</v>
      </c>
      <c r="E4463" s="105">
        <v>0.5</v>
      </c>
      <c r="F4463" s="106" t="s">
        <v>2018</v>
      </c>
      <c r="G4463" s="8" t="s">
        <v>1417</v>
      </c>
      <c r="H4463" s="8"/>
      <c r="I4463" s="107">
        <v>0</v>
      </c>
      <c r="J4463" s="8" t="s">
        <v>5671</v>
      </c>
    </row>
    <row r="4464" spans="1:10" ht="16.5" customHeight="1" x14ac:dyDescent="0.25">
      <c r="A4464" s="8" t="s">
        <v>13860</v>
      </c>
      <c r="B4464" s="8" t="s">
        <v>13861</v>
      </c>
      <c r="C4464" s="8" t="s">
        <v>13620</v>
      </c>
      <c r="D4464" s="8" t="s">
        <v>13861</v>
      </c>
      <c r="E4464" s="105">
        <v>0.5</v>
      </c>
      <c r="F4464" s="106" t="s">
        <v>2018</v>
      </c>
      <c r="G4464" s="8" t="s">
        <v>1417</v>
      </c>
      <c r="H4464" s="8"/>
      <c r="I4464" s="107">
        <v>0</v>
      </c>
      <c r="J4464" s="8" t="s">
        <v>5671</v>
      </c>
    </row>
    <row r="4465" spans="1:10" ht="16.5" customHeight="1" x14ac:dyDescent="0.25">
      <c r="A4465" s="8" t="s">
        <v>1463</v>
      </c>
      <c r="B4465" s="8" t="s">
        <v>1465</v>
      </c>
      <c r="C4465" s="8" t="s">
        <v>1464</v>
      </c>
      <c r="D4465" s="8" t="s">
        <v>1465</v>
      </c>
      <c r="E4465" s="105">
        <v>6</v>
      </c>
      <c r="F4465" s="106" t="s">
        <v>2018</v>
      </c>
      <c r="G4465" s="8" t="s">
        <v>1417</v>
      </c>
      <c r="H4465" s="8" t="s">
        <v>13860</v>
      </c>
      <c r="I4465" s="107">
        <v>12</v>
      </c>
      <c r="J4465" s="8" t="s">
        <v>5671</v>
      </c>
    </row>
    <row r="4466" spans="1:10" ht="16.5" customHeight="1" x14ac:dyDescent="0.25">
      <c r="A4466" s="8" t="s">
        <v>13862</v>
      </c>
      <c r="B4466" s="8" t="s">
        <v>13863</v>
      </c>
      <c r="C4466" s="8" t="s">
        <v>9078</v>
      </c>
      <c r="D4466" s="8" t="s">
        <v>13863</v>
      </c>
      <c r="E4466" s="105">
        <v>1</v>
      </c>
      <c r="F4466" s="106" t="s">
        <v>2018</v>
      </c>
      <c r="G4466" s="8" t="s">
        <v>1417</v>
      </c>
      <c r="H4466" s="8"/>
      <c r="I4466" s="107">
        <v>0</v>
      </c>
      <c r="J4466" s="8" t="s">
        <v>5671</v>
      </c>
    </row>
    <row r="4467" spans="1:10" ht="16.5" customHeight="1" x14ac:dyDescent="0.25">
      <c r="A4467" s="8" t="s">
        <v>13864</v>
      </c>
      <c r="B4467" s="8" t="s">
        <v>13865</v>
      </c>
      <c r="C4467" s="8" t="s">
        <v>9075</v>
      </c>
      <c r="D4467" s="8" t="s">
        <v>13865</v>
      </c>
      <c r="E4467" s="105">
        <v>8</v>
      </c>
      <c r="F4467" s="106" t="s">
        <v>2018</v>
      </c>
      <c r="G4467" s="8" t="s">
        <v>1417</v>
      </c>
      <c r="H4467" s="8" t="s">
        <v>13862</v>
      </c>
      <c r="I4467" s="107">
        <v>8</v>
      </c>
      <c r="J4467" s="8" t="s">
        <v>5671</v>
      </c>
    </row>
    <row r="4468" spans="1:10" ht="16.5" customHeight="1" x14ac:dyDescent="0.25">
      <c r="A4468" s="8" t="s">
        <v>13866</v>
      </c>
      <c r="B4468" s="8" t="s">
        <v>13867</v>
      </c>
      <c r="C4468" s="8" t="s">
        <v>6694</v>
      </c>
      <c r="D4468" s="8" t="s">
        <v>13867</v>
      </c>
      <c r="E4468" s="105">
        <v>0.25</v>
      </c>
      <c r="F4468" s="106" t="s">
        <v>2018</v>
      </c>
      <c r="G4468" s="8" t="s">
        <v>1417</v>
      </c>
      <c r="H4468" s="8"/>
      <c r="I4468" s="107">
        <v>0</v>
      </c>
      <c r="J4468" s="8" t="s">
        <v>5671</v>
      </c>
    </row>
    <row r="4469" spans="1:10" ht="16.5" customHeight="1" x14ac:dyDescent="0.25">
      <c r="A4469" s="8" t="s">
        <v>1451</v>
      </c>
      <c r="B4469" s="8" t="s">
        <v>1453</v>
      </c>
      <c r="C4469" s="8" t="s">
        <v>1452</v>
      </c>
      <c r="D4469" s="8" t="s">
        <v>1453</v>
      </c>
      <c r="E4469" s="105">
        <v>6</v>
      </c>
      <c r="F4469" s="106" t="s">
        <v>2018</v>
      </c>
      <c r="G4469" s="8" t="s">
        <v>1417</v>
      </c>
      <c r="H4469" s="8" t="s">
        <v>13866</v>
      </c>
      <c r="I4469" s="107">
        <v>24</v>
      </c>
      <c r="J4469" s="8" t="s">
        <v>5671</v>
      </c>
    </row>
    <row r="4470" spans="1:10" ht="16.5" customHeight="1" x14ac:dyDescent="0.25">
      <c r="A4470" s="8" t="s">
        <v>13868</v>
      </c>
      <c r="B4470" s="8" t="s">
        <v>13869</v>
      </c>
      <c r="C4470" s="8" t="s">
        <v>5677</v>
      </c>
      <c r="D4470" s="8" t="s">
        <v>13869</v>
      </c>
      <c r="E4470" s="105">
        <v>0.5</v>
      </c>
      <c r="F4470" s="106" t="s">
        <v>2018</v>
      </c>
      <c r="G4470" s="8" t="s">
        <v>1417</v>
      </c>
      <c r="H4470" s="8"/>
      <c r="I4470" s="107">
        <v>0</v>
      </c>
      <c r="J4470" s="8" t="s">
        <v>5671</v>
      </c>
    </row>
    <row r="4471" spans="1:10" ht="16.5" customHeight="1" x14ac:dyDescent="0.25">
      <c r="A4471" s="8" t="s">
        <v>1433</v>
      </c>
      <c r="B4471" s="8" t="s">
        <v>1435</v>
      </c>
      <c r="C4471" s="8" t="s">
        <v>1434</v>
      </c>
      <c r="D4471" s="8" t="s">
        <v>1435</v>
      </c>
      <c r="E4471" s="105">
        <v>6</v>
      </c>
      <c r="F4471" s="106" t="s">
        <v>2018</v>
      </c>
      <c r="G4471" s="8" t="s">
        <v>1417</v>
      </c>
      <c r="H4471" s="8" t="s">
        <v>13868</v>
      </c>
      <c r="I4471" s="107">
        <v>12</v>
      </c>
      <c r="J4471" s="8" t="s">
        <v>5671</v>
      </c>
    </row>
    <row r="4472" spans="1:10" ht="16.5" customHeight="1" x14ac:dyDescent="0.25">
      <c r="A4472" s="8" t="s">
        <v>1538</v>
      </c>
      <c r="B4472" s="8" t="s">
        <v>1540</v>
      </c>
      <c r="C4472" s="8" t="s">
        <v>1539</v>
      </c>
      <c r="D4472" s="8" t="s">
        <v>1540</v>
      </c>
      <c r="E4472" s="105">
        <v>6.5</v>
      </c>
      <c r="F4472" s="106" t="s">
        <v>2018</v>
      </c>
      <c r="G4472" s="8" t="s">
        <v>1417</v>
      </c>
      <c r="H4472" s="8"/>
      <c r="I4472" s="107">
        <v>0</v>
      </c>
      <c r="J4472" s="8" t="s">
        <v>5671</v>
      </c>
    </row>
    <row r="4473" spans="1:10" ht="16.5" customHeight="1" x14ac:dyDescent="0.25">
      <c r="A4473" s="8" t="s">
        <v>13870</v>
      </c>
      <c r="B4473" s="8" t="s">
        <v>13871</v>
      </c>
      <c r="C4473" s="8" t="s">
        <v>13872</v>
      </c>
      <c r="D4473" s="8" t="s">
        <v>13871</v>
      </c>
      <c r="E4473" s="105">
        <v>0.2</v>
      </c>
      <c r="F4473" s="106" t="s">
        <v>2018</v>
      </c>
      <c r="G4473" s="8" t="s">
        <v>1417</v>
      </c>
      <c r="H4473" s="8"/>
      <c r="I4473" s="107">
        <v>0</v>
      </c>
      <c r="J4473" s="8" t="s">
        <v>5671</v>
      </c>
    </row>
    <row r="4474" spans="1:10" ht="16.5" customHeight="1" x14ac:dyDescent="0.25">
      <c r="A4474" s="8" t="s">
        <v>1472</v>
      </c>
      <c r="B4474" s="8" t="s">
        <v>1474</v>
      </c>
      <c r="C4474" s="8" t="s">
        <v>1473</v>
      </c>
      <c r="D4474" s="8" t="s">
        <v>1474</v>
      </c>
      <c r="E4474" s="105">
        <v>4.8</v>
      </c>
      <c r="F4474" s="106" t="s">
        <v>2018</v>
      </c>
      <c r="G4474" s="8" t="s">
        <v>1417</v>
      </c>
      <c r="H4474" s="8" t="s">
        <v>13870</v>
      </c>
      <c r="I4474" s="107">
        <v>24</v>
      </c>
      <c r="J4474" s="8" t="s">
        <v>5671</v>
      </c>
    </row>
    <row r="4475" spans="1:10" ht="16.5" customHeight="1" x14ac:dyDescent="0.25">
      <c r="A4475" s="8" t="s">
        <v>13873</v>
      </c>
      <c r="B4475" s="8" t="s">
        <v>13874</v>
      </c>
      <c r="C4475" s="8" t="s">
        <v>6537</v>
      </c>
      <c r="D4475" s="8" t="s">
        <v>13874</v>
      </c>
      <c r="E4475" s="105">
        <v>0.4</v>
      </c>
      <c r="F4475" s="106" t="s">
        <v>2018</v>
      </c>
      <c r="G4475" s="8" t="s">
        <v>1417</v>
      </c>
      <c r="H4475" s="8"/>
      <c r="I4475" s="107">
        <v>0</v>
      </c>
      <c r="J4475" s="8" t="s">
        <v>5671</v>
      </c>
    </row>
    <row r="4476" spans="1:10" ht="16.5" customHeight="1" x14ac:dyDescent="0.25">
      <c r="A4476" s="8" t="s">
        <v>1439</v>
      </c>
      <c r="B4476" s="8" t="s">
        <v>1441</v>
      </c>
      <c r="C4476" s="8" t="s">
        <v>1440</v>
      </c>
      <c r="D4476" s="8" t="s">
        <v>1441</v>
      </c>
      <c r="E4476" s="105">
        <v>4.8</v>
      </c>
      <c r="F4476" s="106" t="s">
        <v>2018</v>
      </c>
      <c r="G4476" s="8" t="s">
        <v>1417</v>
      </c>
      <c r="H4476" s="8" t="s">
        <v>13873</v>
      </c>
      <c r="I4476" s="107">
        <v>12</v>
      </c>
      <c r="J4476" s="8" t="s">
        <v>5671</v>
      </c>
    </row>
    <row r="4477" spans="1:10" ht="16.5" customHeight="1" x14ac:dyDescent="0.25">
      <c r="A4477" s="8" t="s">
        <v>13875</v>
      </c>
      <c r="B4477" s="8" t="s">
        <v>13876</v>
      </c>
      <c r="C4477" s="8" t="s">
        <v>6604</v>
      </c>
      <c r="D4477" s="8" t="s">
        <v>13876</v>
      </c>
      <c r="E4477" s="105">
        <v>8.5</v>
      </c>
      <c r="F4477" s="106" t="s">
        <v>2018</v>
      </c>
      <c r="G4477" s="8" t="s">
        <v>1417</v>
      </c>
      <c r="H4477" s="8"/>
      <c r="I4477" s="107">
        <v>0</v>
      </c>
      <c r="J4477" s="8" t="s">
        <v>5671</v>
      </c>
    </row>
    <row r="4478" spans="1:10" ht="16.5" customHeight="1" x14ac:dyDescent="0.25">
      <c r="A4478" s="8" t="s">
        <v>13877</v>
      </c>
      <c r="B4478" s="8" t="s">
        <v>13878</v>
      </c>
      <c r="C4478" s="8" t="s">
        <v>11587</v>
      </c>
      <c r="D4478" s="8" t="s">
        <v>13878</v>
      </c>
      <c r="E4478" s="105">
        <v>0.2</v>
      </c>
      <c r="F4478" s="106" t="s">
        <v>2018</v>
      </c>
      <c r="G4478" s="8" t="s">
        <v>1417</v>
      </c>
      <c r="H4478" s="8"/>
      <c r="I4478" s="107">
        <v>0</v>
      </c>
      <c r="J4478" s="8" t="s">
        <v>5671</v>
      </c>
    </row>
    <row r="4479" spans="1:10" ht="16.5" customHeight="1" x14ac:dyDescent="0.25">
      <c r="A4479" s="8" t="s">
        <v>1454</v>
      </c>
      <c r="B4479" s="8" t="s">
        <v>1456</v>
      </c>
      <c r="C4479" s="8" t="s">
        <v>1455</v>
      </c>
      <c r="D4479" s="8" t="s">
        <v>1456</v>
      </c>
      <c r="E4479" s="105">
        <v>4.8</v>
      </c>
      <c r="F4479" s="106" t="s">
        <v>2018</v>
      </c>
      <c r="G4479" s="8" t="s">
        <v>1417</v>
      </c>
      <c r="H4479" s="8" t="s">
        <v>13877</v>
      </c>
      <c r="I4479" s="107">
        <v>24</v>
      </c>
      <c r="J4479" s="8" t="s">
        <v>5671</v>
      </c>
    </row>
    <row r="4480" spans="1:10" ht="16.5" customHeight="1" x14ac:dyDescent="0.25">
      <c r="A4480" s="8" t="s">
        <v>13879</v>
      </c>
      <c r="B4480" s="8" t="s">
        <v>13880</v>
      </c>
      <c r="C4480" s="8" t="s">
        <v>7013</v>
      </c>
      <c r="D4480" s="8" t="s">
        <v>13880</v>
      </c>
      <c r="E4480" s="105">
        <v>0.3</v>
      </c>
      <c r="F4480" s="106" t="s">
        <v>2018</v>
      </c>
      <c r="G4480" s="8" t="s">
        <v>1417</v>
      </c>
      <c r="H4480" s="8"/>
      <c r="I4480" s="107">
        <v>0</v>
      </c>
      <c r="J4480" s="8" t="s">
        <v>5671</v>
      </c>
    </row>
    <row r="4481" spans="1:10" ht="16.5" customHeight="1" x14ac:dyDescent="0.25">
      <c r="A4481" s="8" t="s">
        <v>1475</v>
      </c>
      <c r="B4481" s="8" t="s">
        <v>1477</v>
      </c>
      <c r="C4481" s="8" t="s">
        <v>1476</v>
      </c>
      <c r="D4481" s="8" t="s">
        <v>1477</v>
      </c>
      <c r="E4481" s="105">
        <v>3.6</v>
      </c>
      <c r="F4481" s="106" t="s">
        <v>2018</v>
      </c>
      <c r="G4481" s="8" t="s">
        <v>1417</v>
      </c>
      <c r="H4481" s="8" t="s">
        <v>13879</v>
      </c>
      <c r="I4481" s="107">
        <v>12</v>
      </c>
      <c r="J4481" s="8" t="s">
        <v>5671</v>
      </c>
    </row>
    <row r="4482" spans="1:10" ht="16.5" customHeight="1" x14ac:dyDescent="0.25">
      <c r="A4482" s="8" t="s">
        <v>13881</v>
      </c>
      <c r="B4482" s="8" t="s">
        <v>13882</v>
      </c>
      <c r="C4482" s="8" t="s">
        <v>6601</v>
      </c>
      <c r="D4482" s="8" t="s">
        <v>13882</v>
      </c>
      <c r="E4482" s="105">
        <v>6.5</v>
      </c>
      <c r="F4482" s="106" t="s">
        <v>2018</v>
      </c>
      <c r="G4482" s="8" t="s">
        <v>1417</v>
      </c>
      <c r="H4482" s="8"/>
      <c r="I4482" s="107">
        <v>0</v>
      </c>
      <c r="J4482" s="8" t="s">
        <v>5671</v>
      </c>
    </row>
    <row r="4483" spans="1:10" ht="16.5" customHeight="1" x14ac:dyDescent="0.25">
      <c r="A4483" s="8" t="s">
        <v>1415</v>
      </c>
      <c r="B4483" s="8" t="s">
        <v>13883</v>
      </c>
      <c r="C4483" s="8" t="s">
        <v>6607</v>
      </c>
      <c r="D4483" s="8" t="s">
        <v>13883</v>
      </c>
      <c r="E4483" s="105">
        <v>8</v>
      </c>
      <c r="F4483" s="106" t="s">
        <v>2018</v>
      </c>
      <c r="G4483" s="8" t="s">
        <v>1417</v>
      </c>
      <c r="H4483" s="8"/>
      <c r="I4483" s="107">
        <v>0</v>
      </c>
      <c r="J4483" s="8" t="s">
        <v>5671</v>
      </c>
    </row>
    <row r="4484" spans="1:10" ht="16.5" customHeight="1" x14ac:dyDescent="0.25">
      <c r="A4484" s="8" t="s">
        <v>1427</v>
      </c>
      <c r="B4484" s="8" t="s">
        <v>1429</v>
      </c>
      <c r="C4484" s="8" t="s">
        <v>1428</v>
      </c>
      <c r="D4484" s="8" t="s">
        <v>1429</v>
      </c>
      <c r="E4484" s="105">
        <v>4.8</v>
      </c>
      <c r="F4484" s="106" t="s">
        <v>2018</v>
      </c>
      <c r="G4484" s="8" t="s">
        <v>1417</v>
      </c>
      <c r="H4484" s="8" t="s">
        <v>13884</v>
      </c>
      <c r="I4484" s="107">
        <v>12</v>
      </c>
      <c r="J4484" s="8" t="s">
        <v>5671</v>
      </c>
    </row>
    <row r="4485" spans="1:10" ht="16.5" customHeight="1" x14ac:dyDescent="0.25">
      <c r="A4485" s="8" t="s">
        <v>13885</v>
      </c>
      <c r="B4485" s="8" t="s">
        <v>13886</v>
      </c>
      <c r="C4485" s="8" t="s">
        <v>6810</v>
      </c>
      <c r="D4485" s="8" t="s">
        <v>13886</v>
      </c>
      <c r="E4485" s="105">
        <v>0.2</v>
      </c>
      <c r="F4485" s="106" t="s">
        <v>2018</v>
      </c>
      <c r="G4485" s="8" t="s">
        <v>1417</v>
      </c>
      <c r="H4485" s="8"/>
      <c r="I4485" s="107">
        <v>0</v>
      </c>
      <c r="J4485" s="8" t="s">
        <v>5671</v>
      </c>
    </row>
    <row r="4486" spans="1:10" ht="16.5" customHeight="1" x14ac:dyDescent="0.25">
      <c r="A4486" s="8" t="s">
        <v>1524</v>
      </c>
      <c r="B4486" s="8" t="s">
        <v>1526</v>
      </c>
      <c r="C4486" s="8" t="s">
        <v>1525</v>
      </c>
      <c r="D4486" s="8" t="s">
        <v>1526</v>
      </c>
      <c r="E4486" s="105">
        <v>4.8</v>
      </c>
      <c r="F4486" s="106" t="s">
        <v>2018</v>
      </c>
      <c r="G4486" s="8" t="s">
        <v>1417</v>
      </c>
      <c r="H4486" s="8" t="s">
        <v>13885</v>
      </c>
      <c r="I4486" s="107">
        <v>24</v>
      </c>
      <c r="J4486" s="8" t="s">
        <v>5671</v>
      </c>
    </row>
    <row r="4487" spans="1:10" ht="16.5" customHeight="1" x14ac:dyDescent="0.25">
      <c r="A4487" s="8" t="s">
        <v>13887</v>
      </c>
      <c r="B4487" s="8" t="s">
        <v>13888</v>
      </c>
      <c r="C4487" s="8" t="s">
        <v>6815</v>
      </c>
      <c r="D4487" s="8" t="s">
        <v>13888</v>
      </c>
      <c r="E4487" s="105">
        <v>0.4</v>
      </c>
      <c r="F4487" s="106" t="s">
        <v>2018</v>
      </c>
      <c r="G4487" s="8" t="s">
        <v>1417</v>
      </c>
      <c r="H4487" s="8"/>
      <c r="I4487" s="107">
        <v>0</v>
      </c>
      <c r="J4487" s="8" t="s">
        <v>5671</v>
      </c>
    </row>
    <row r="4488" spans="1:10" ht="16.5" customHeight="1" x14ac:dyDescent="0.25">
      <c r="A4488" s="8" t="s">
        <v>13889</v>
      </c>
      <c r="B4488" s="8" t="s">
        <v>13890</v>
      </c>
      <c r="C4488" s="8" t="s">
        <v>6805</v>
      </c>
      <c r="D4488" s="8" t="s">
        <v>13890</v>
      </c>
      <c r="E4488" s="105">
        <v>0.4</v>
      </c>
      <c r="F4488" s="106" t="s">
        <v>2018</v>
      </c>
      <c r="G4488" s="8" t="s">
        <v>1417</v>
      </c>
      <c r="H4488" s="8"/>
      <c r="I4488" s="107">
        <v>0</v>
      </c>
      <c r="J4488" s="8" t="s">
        <v>5671</v>
      </c>
    </row>
    <row r="4489" spans="1:10" ht="16.5" customHeight="1" x14ac:dyDescent="0.25">
      <c r="A4489" s="8" t="s">
        <v>1487</v>
      </c>
      <c r="B4489" s="8" t="s">
        <v>1489</v>
      </c>
      <c r="C4489" s="8" t="s">
        <v>1488</v>
      </c>
      <c r="D4489" s="8" t="s">
        <v>1489</v>
      </c>
      <c r="E4489" s="105">
        <v>4.8</v>
      </c>
      <c r="F4489" s="106" t="s">
        <v>2018</v>
      </c>
      <c r="G4489" s="8" t="s">
        <v>1417</v>
      </c>
      <c r="H4489" s="8" t="s">
        <v>13889</v>
      </c>
      <c r="I4489" s="107">
        <v>12</v>
      </c>
      <c r="J4489" s="8" t="s">
        <v>5671</v>
      </c>
    </row>
    <row r="4490" spans="1:10" ht="16.5" customHeight="1" x14ac:dyDescent="0.25">
      <c r="A4490" s="8" t="s">
        <v>1494</v>
      </c>
      <c r="B4490" s="8" t="s">
        <v>1496</v>
      </c>
      <c r="C4490" s="8" t="s">
        <v>1495</v>
      </c>
      <c r="D4490" s="8" t="s">
        <v>1496</v>
      </c>
      <c r="E4490" s="105">
        <v>10</v>
      </c>
      <c r="F4490" s="106" t="s">
        <v>2018</v>
      </c>
      <c r="G4490" s="8" t="s">
        <v>1417</v>
      </c>
      <c r="H4490" s="8"/>
      <c r="I4490" s="107">
        <v>0</v>
      </c>
      <c r="J4490" s="8" t="s">
        <v>5671</v>
      </c>
    </row>
    <row r="4491" spans="1:10" ht="16.5" customHeight="1" x14ac:dyDescent="0.25">
      <c r="A4491" s="8" t="s">
        <v>13891</v>
      </c>
      <c r="B4491" s="8" t="s">
        <v>13892</v>
      </c>
      <c r="C4491" s="8" t="s">
        <v>13893</v>
      </c>
      <c r="D4491" s="8" t="s">
        <v>13892</v>
      </c>
      <c r="E4491" s="105">
        <v>0.2</v>
      </c>
      <c r="F4491" s="106" t="s">
        <v>2018</v>
      </c>
      <c r="G4491" s="8" t="s">
        <v>1417</v>
      </c>
      <c r="H4491" s="8"/>
      <c r="I4491" s="107">
        <v>0</v>
      </c>
      <c r="J4491" s="8" t="s">
        <v>5671</v>
      </c>
    </row>
    <row r="4492" spans="1:10" ht="16.5" customHeight="1" x14ac:dyDescent="0.25">
      <c r="A4492" s="8" t="s">
        <v>1457</v>
      </c>
      <c r="B4492" s="8" t="s">
        <v>1459</v>
      </c>
      <c r="C4492" s="8" t="s">
        <v>1458</v>
      </c>
      <c r="D4492" s="8" t="s">
        <v>1459</v>
      </c>
      <c r="E4492" s="105">
        <v>4.8</v>
      </c>
      <c r="F4492" s="106" t="s">
        <v>2018</v>
      </c>
      <c r="G4492" s="8" t="s">
        <v>1417</v>
      </c>
      <c r="H4492" s="8" t="s">
        <v>13891</v>
      </c>
      <c r="I4492" s="107">
        <v>24</v>
      </c>
      <c r="J4492" s="8" t="s">
        <v>5671</v>
      </c>
    </row>
    <row r="4493" spans="1:10" ht="16.5" customHeight="1" x14ac:dyDescent="0.25">
      <c r="A4493" s="8" t="s">
        <v>13894</v>
      </c>
      <c r="B4493" s="8" t="s">
        <v>13895</v>
      </c>
      <c r="C4493" s="8" t="s">
        <v>13896</v>
      </c>
      <c r="D4493" s="8" t="s">
        <v>13895</v>
      </c>
      <c r="E4493" s="105">
        <v>0</v>
      </c>
      <c r="F4493" s="106" t="s">
        <v>2024</v>
      </c>
      <c r="G4493" s="8"/>
      <c r="H4493" s="8"/>
      <c r="I4493" s="107">
        <v>0</v>
      </c>
      <c r="J4493" s="8" t="s">
        <v>13450</v>
      </c>
    </row>
    <row r="4494" spans="1:10" ht="16.5" customHeight="1" x14ac:dyDescent="0.25">
      <c r="A4494" s="8" t="s">
        <v>13897</v>
      </c>
      <c r="B4494" s="8" t="s">
        <v>13898</v>
      </c>
      <c r="C4494" s="8" t="s">
        <v>13899</v>
      </c>
      <c r="D4494" s="8" t="s">
        <v>13898</v>
      </c>
      <c r="E4494" s="105">
        <v>1</v>
      </c>
      <c r="F4494" s="106" t="s">
        <v>2018</v>
      </c>
      <c r="G4494" s="8"/>
      <c r="H4494" s="8"/>
      <c r="I4494" s="107">
        <v>0</v>
      </c>
      <c r="J4494" s="8" t="s">
        <v>6357</v>
      </c>
    </row>
    <row r="4495" spans="1:10" ht="16.5" customHeight="1" x14ac:dyDescent="0.25">
      <c r="A4495" s="8" t="s">
        <v>13900</v>
      </c>
      <c r="B4495" s="8" t="s">
        <v>13901</v>
      </c>
      <c r="C4495" s="8" t="s">
        <v>13902</v>
      </c>
      <c r="D4495" s="8" t="s">
        <v>13901</v>
      </c>
      <c r="E4495" s="105">
        <v>1</v>
      </c>
      <c r="F4495" s="106" t="s">
        <v>2018</v>
      </c>
      <c r="G4495" s="8"/>
      <c r="H4495" s="8"/>
      <c r="I4495" s="107">
        <v>0</v>
      </c>
      <c r="J4495" s="8" t="s">
        <v>6357</v>
      </c>
    </row>
    <row r="4496" spans="1:10" ht="16.5" customHeight="1" x14ac:dyDescent="0.25">
      <c r="A4496" s="8" t="s">
        <v>13903</v>
      </c>
      <c r="B4496" s="8" t="s">
        <v>13904</v>
      </c>
      <c r="C4496" s="8" t="s">
        <v>13905</v>
      </c>
      <c r="D4496" s="8" t="s">
        <v>13904</v>
      </c>
      <c r="E4496" s="105">
        <v>25</v>
      </c>
      <c r="F4496" s="106" t="s">
        <v>2018</v>
      </c>
      <c r="G4496" s="8"/>
      <c r="H4496" s="8"/>
      <c r="I4496" s="107">
        <v>0</v>
      </c>
      <c r="J4496" s="8" t="s">
        <v>3580</v>
      </c>
    </row>
    <row r="4497" spans="1:10" ht="16.5" customHeight="1" x14ac:dyDescent="0.25">
      <c r="A4497" s="8" t="s">
        <v>13906</v>
      </c>
      <c r="B4497" s="8" t="s">
        <v>13907</v>
      </c>
      <c r="C4497" s="8" t="s">
        <v>11633</v>
      </c>
      <c r="D4497" s="8" t="s">
        <v>13907</v>
      </c>
      <c r="E4497" s="105">
        <v>0</v>
      </c>
      <c r="F4497" s="106" t="s">
        <v>2018</v>
      </c>
      <c r="G4497" s="8"/>
      <c r="H4497" s="8"/>
      <c r="I4497" s="107">
        <v>0</v>
      </c>
      <c r="J4497" s="8" t="s">
        <v>3580</v>
      </c>
    </row>
    <row r="4498" spans="1:10" ht="16.5" customHeight="1" x14ac:dyDescent="0.25">
      <c r="A4498" s="8" t="s">
        <v>13908</v>
      </c>
      <c r="B4498" s="8" t="s">
        <v>13909</v>
      </c>
      <c r="C4498" s="8" t="s">
        <v>11644</v>
      </c>
      <c r="D4498" s="8" t="s">
        <v>13909</v>
      </c>
      <c r="E4498" s="105">
        <v>0</v>
      </c>
      <c r="F4498" s="106" t="s">
        <v>2018</v>
      </c>
      <c r="G4498" s="8"/>
      <c r="H4498" s="8"/>
      <c r="I4498" s="107">
        <v>0</v>
      </c>
      <c r="J4498" s="8" t="s">
        <v>3580</v>
      </c>
    </row>
    <row r="4499" spans="1:10" ht="16.5" customHeight="1" x14ac:dyDescent="0.25">
      <c r="A4499" s="8" t="s">
        <v>13910</v>
      </c>
      <c r="B4499" s="8" t="s">
        <v>13907</v>
      </c>
      <c r="C4499" s="8" t="s">
        <v>11652</v>
      </c>
      <c r="D4499" s="8" t="s">
        <v>13907</v>
      </c>
      <c r="E4499" s="105">
        <v>0</v>
      </c>
      <c r="F4499" s="106" t="s">
        <v>2018</v>
      </c>
      <c r="G4499" s="8"/>
      <c r="H4499" s="8"/>
      <c r="I4499" s="107">
        <v>0</v>
      </c>
      <c r="J4499" s="8" t="s">
        <v>3580</v>
      </c>
    </row>
    <row r="4500" spans="1:10" ht="16.5" customHeight="1" x14ac:dyDescent="0.25">
      <c r="A4500" s="8" t="s">
        <v>13911</v>
      </c>
      <c r="B4500" s="8" t="s">
        <v>13912</v>
      </c>
      <c r="C4500" s="8" t="s">
        <v>11663</v>
      </c>
      <c r="D4500" s="8" t="s">
        <v>13912</v>
      </c>
      <c r="E4500" s="105">
        <v>0</v>
      </c>
      <c r="F4500" s="106" t="s">
        <v>2018</v>
      </c>
      <c r="G4500" s="8"/>
      <c r="H4500" s="8"/>
      <c r="I4500" s="107">
        <v>0</v>
      </c>
      <c r="J4500" s="8" t="s">
        <v>3580</v>
      </c>
    </row>
    <row r="4501" spans="1:10" ht="16.5" customHeight="1" x14ac:dyDescent="0.25">
      <c r="A4501" s="8" t="s">
        <v>13913</v>
      </c>
      <c r="B4501" s="8" t="s">
        <v>13895</v>
      </c>
      <c r="C4501" s="8" t="s">
        <v>13896</v>
      </c>
      <c r="D4501" s="8" t="s">
        <v>13895</v>
      </c>
      <c r="E4501" s="105">
        <v>0</v>
      </c>
      <c r="F4501" s="106" t="s">
        <v>2018</v>
      </c>
      <c r="G4501" s="8"/>
      <c r="H4501" s="8"/>
      <c r="I4501" s="107">
        <v>0</v>
      </c>
      <c r="J4501" s="8" t="s">
        <v>13450</v>
      </c>
    </row>
    <row r="4502" spans="1:10" ht="16.5" customHeight="1" x14ac:dyDescent="0.25">
      <c r="A4502" s="8" t="s">
        <v>13914</v>
      </c>
      <c r="B4502" s="8" t="s">
        <v>13915</v>
      </c>
      <c r="C4502" s="8" t="s">
        <v>4643</v>
      </c>
      <c r="D4502" s="8" t="s">
        <v>13915</v>
      </c>
      <c r="E4502" s="105">
        <v>0</v>
      </c>
      <c r="F4502" s="106" t="s">
        <v>2018</v>
      </c>
      <c r="G4502" s="8"/>
      <c r="H4502" s="8"/>
      <c r="I4502" s="107">
        <v>0</v>
      </c>
      <c r="J4502" s="8" t="s">
        <v>3580</v>
      </c>
    </row>
    <row r="4503" spans="1:10" ht="16.5" customHeight="1" x14ac:dyDescent="0.25">
      <c r="A4503" s="8" t="s">
        <v>13916</v>
      </c>
      <c r="B4503" s="8" t="s">
        <v>13917</v>
      </c>
      <c r="C4503" s="8" t="s">
        <v>9983</v>
      </c>
      <c r="D4503" s="8" t="s">
        <v>13917</v>
      </c>
      <c r="E4503" s="105">
        <v>25</v>
      </c>
      <c r="F4503" s="106" t="s">
        <v>2018</v>
      </c>
      <c r="G4503" s="8"/>
      <c r="H4503" s="8"/>
      <c r="I4503" s="107">
        <v>0</v>
      </c>
      <c r="J4503" s="8" t="s">
        <v>3580</v>
      </c>
    </row>
    <row r="4504" spans="1:10" ht="16.5" customHeight="1" x14ac:dyDescent="0.25">
      <c r="A4504" s="8" t="s">
        <v>13918</v>
      </c>
      <c r="B4504" s="8" t="s">
        <v>13919</v>
      </c>
      <c r="C4504" s="8" t="s">
        <v>13920</v>
      </c>
      <c r="D4504" s="8" t="s">
        <v>13919</v>
      </c>
      <c r="E4504" s="105">
        <v>0</v>
      </c>
      <c r="F4504" s="106" t="s">
        <v>2024</v>
      </c>
      <c r="G4504" s="8"/>
      <c r="H4504" s="8"/>
      <c r="I4504" s="107">
        <v>0</v>
      </c>
      <c r="J4504" s="8" t="s">
        <v>3580</v>
      </c>
    </row>
    <row r="4505" spans="1:10" ht="16.5" customHeight="1" x14ac:dyDescent="0.25">
      <c r="A4505" s="8" t="s">
        <v>13921</v>
      </c>
      <c r="B4505" s="8" t="s">
        <v>13922</v>
      </c>
      <c r="C4505" s="8" t="s">
        <v>13923</v>
      </c>
      <c r="D4505" s="8" t="s">
        <v>13922</v>
      </c>
      <c r="E4505" s="105">
        <v>0</v>
      </c>
      <c r="F4505" s="106" t="s">
        <v>2024</v>
      </c>
      <c r="G4505" s="8"/>
      <c r="H4505" s="8"/>
      <c r="I4505" s="107">
        <v>0</v>
      </c>
      <c r="J4505" s="8" t="s">
        <v>3580</v>
      </c>
    </row>
    <row r="4506" spans="1:10" ht="16.5" customHeight="1" x14ac:dyDescent="0.25">
      <c r="A4506" s="8" t="s">
        <v>13924</v>
      </c>
      <c r="B4506" s="8" t="s">
        <v>13925</v>
      </c>
      <c r="C4506" s="8" t="s">
        <v>13926</v>
      </c>
      <c r="D4506" s="8" t="s">
        <v>13925</v>
      </c>
      <c r="E4506" s="105">
        <v>0</v>
      </c>
      <c r="F4506" s="106" t="s">
        <v>2018</v>
      </c>
      <c r="G4506" s="8"/>
      <c r="H4506" s="8"/>
      <c r="I4506" s="107">
        <v>0</v>
      </c>
      <c r="J4506" s="8" t="s">
        <v>4823</v>
      </c>
    </row>
    <row r="4507" spans="1:10" ht="16.5" customHeight="1" x14ac:dyDescent="0.25">
      <c r="A4507" s="8" t="s">
        <v>13927</v>
      </c>
      <c r="B4507" s="8" t="s">
        <v>13928</v>
      </c>
      <c r="C4507" s="8" t="s">
        <v>13929</v>
      </c>
      <c r="D4507" s="8" t="s">
        <v>13928</v>
      </c>
      <c r="E4507" s="105">
        <v>1</v>
      </c>
      <c r="F4507" s="106" t="s">
        <v>2018</v>
      </c>
      <c r="G4507" s="8"/>
      <c r="H4507" s="8"/>
      <c r="I4507" s="107">
        <v>0</v>
      </c>
      <c r="J4507" s="8" t="s">
        <v>6357</v>
      </c>
    </row>
    <row r="4508" spans="1:10" ht="16.5" customHeight="1" x14ac:dyDescent="0.25">
      <c r="A4508" s="8" t="s">
        <v>13930</v>
      </c>
      <c r="B4508" s="8" t="s">
        <v>13931</v>
      </c>
      <c r="C4508" s="8" t="s">
        <v>13932</v>
      </c>
      <c r="D4508" s="8" t="s">
        <v>13931</v>
      </c>
      <c r="E4508" s="105">
        <v>1</v>
      </c>
      <c r="F4508" s="106" t="s">
        <v>2018</v>
      </c>
      <c r="G4508" s="8"/>
      <c r="H4508" s="8"/>
      <c r="I4508" s="107">
        <v>0</v>
      </c>
      <c r="J4508" s="8" t="s">
        <v>6357</v>
      </c>
    </row>
    <row r="4509" spans="1:10" ht="16.5" customHeight="1" x14ac:dyDescent="0.25">
      <c r="A4509" s="8" t="s">
        <v>13933</v>
      </c>
      <c r="B4509" s="8" t="s">
        <v>13934</v>
      </c>
      <c r="C4509" s="8" t="s">
        <v>1479</v>
      </c>
      <c r="D4509" s="8" t="s">
        <v>13934</v>
      </c>
      <c r="E4509" s="105">
        <v>12</v>
      </c>
      <c r="F4509" s="106" t="s">
        <v>2024</v>
      </c>
      <c r="G4509" s="8"/>
      <c r="H4509" s="8"/>
      <c r="I4509" s="107">
        <v>0</v>
      </c>
      <c r="J4509" s="8" t="s">
        <v>5671</v>
      </c>
    </row>
    <row r="4510" spans="1:10" ht="16.5" customHeight="1" x14ac:dyDescent="0.25">
      <c r="A4510" s="8" t="s">
        <v>1490</v>
      </c>
      <c r="B4510" s="8" t="s">
        <v>1492</v>
      </c>
      <c r="C4510" s="8" t="s">
        <v>1491</v>
      </c>
      <c r="D4510" s="8" t="s">
        <v>1492</v>
      </c>
      <c r="E4510" s="105">
        <v>10</v>
      </c>
      <c r="F4510" s="106" t="s">
        <v>2018</v>
      </c>
      <c r="G4510" s="8" t="s">
        <v>1417</v>
      </c>
      <c r="H4510" s="8"/>
      <c r="I4510" s="107">
        <v>0</v>
      </c>
      <c r="J4510" s="8" t="s">
        <v>5671</v>
      </c>
    </row>
    <row r="4511" spans="1:10" ht="16.5" customHeight="1" x14ac:dyDescent="0.25">
      <c r="A4511" s="8" t="s">
        <v>13935</v>
      </c>
      <c r="B4511" s="8" t="s">
        <v>13936</v>
      </c>
      <c r="C4511" s="8" t="s">
        <v>11852</v>
      </c>
      <c r="D4511" s="8" t="s">
        <v>13936</v>
      </c>
      <c r="E4511" s="105">
        <v>10</v>
      </c>
      <c r="F4511" s="106" t="s">
        <v>2018</v>
      </c>
      <c r="G4511" s="8" t="s">
        <v>1417</v>
      </c>
      <c r="H4511" s="8"/>
      <c r="I4511" s="107">
        <v>0</v>
      </c>
      <c r="J4511" s="8" t="s">
        <v>5671</v>
      </c>
    </row>
    <row r="4512" spans="1:10" ht="16.5" customHeight="1" x14ac:dyDescent="0.25">
      <c r="A4512" s="8" t="s">
        <v>13937</v>
      </c>
      <c r="B4512" s="8" t="s">
        <v>13938</v>
      </c>
      <c r="C4512" s="8" t="s">
        <v>9193</v>
      </c>
      <c r="D4512" s="8" t="s">
        <v>13938</v>
      </c>
      <c r="E4512" s="105">
        <v>0.4</v>
      </c>
      <c r="F4512" s="106" t="s">
        <v>2018</v>
      </c>
      <c r="G4512" s="8" t="s">
        <v>1417</v>
      </c>
      <c r="H4512" s="8"/>
      <c r="I4512" s="107">
        <v>0</v>
      </c>
      <c r="J4512" s="8" t="s">
        <v>5671</v>
      </c>
    </row>
    <row r="4513" spans="1:10" ht="16.5" customHeight="1" x14ac:dyDescent="0.25">
      <c r="A4513" s="8" t="s">
        <v>13939</v>
      </c>
      <c r="B4513" s="8" t="s">
        <v>13940</v>
      </c>
      <c r="C4513" s="8" t="s">
        <v>9190</v>
      </c>
      <c r="D4513" s="8" t="s">
        <v>13940</v>
      </c>
      <c r="E4513" s="105">
        <v>4.8</v>
      </c>
      <c r="F4513" s="106" t="s">
        <v>2024</v>
      </c>
      <c r="G4513" s="8" t="s">
        <v>1417</v>
      </c>
      <c r="H4513" s="8"/>
      <c r="I4513" s="107">
        <v>0</v>
      </c>
      <c r="J4513" s="8" t="s">
        <v>5671</v>
      </c>
    </row>
    <row r="4514" spans="1:10" ht="16.5" customHeight="1" x14ac:dyDescent="0.25">
      <c r="A4514" s="8" t="s">
        <v>13941</v>
      </c>
      <c r="B4514" s="8" t="s">
        <v>13942</v>
      </c>
      <c r="C4514" s="8" t="s">
        <v>13943</v>
      </c>
      <c r="D4514" s="8" t="s">
        <v>13942</v>
      </c>
      <c r="E4514" s="105">
        <v>10</v>
      </c>
      <c r="F4514" s="106" t="s">
        <v>2018</v>
      </c>
      <c r="G4514" s="8" t="s">
        <v>1417</v>
      </c>
      <c r="H4514" s="8"/>
      <c r="I4514" s="107">
        <v>0</v>
      </c>
      <c r="J4514" s="8" t="s">
        <v>5671</v>
      </c>
    </row>
    <row r="4515" spans="1:10" ht="16.5" customHeight="1" x14ac:dyDescent="0.25">
      <c r="A4515" s="8" t="s">
        <v>13944</v>
      </c>
      <c r="B4515" s="8" t="s">
        <v>13945</v>
      </c>
      <c r="C4515" s="8" t="s">
        <v>13734</v>
      </c>
      <c r="D4515" s="8" t="s">
        <v>13945</v>
      </c>
      <c r="E4515" s="105">
        <v>0.5</v>
      </c>
      <c r="F4515" s="106" t="s">
        <v>2018</v>
      </c>
      <c r="G4515" s="8" t="s">
        <v>1417</v>
      </c>
      <c r="H4515" s="8"/>
      <c r="I4515" s="107">
        <v>0</v>
      </c>
      <c r="J4515" s="8" t="s">
        <v>5671</v>
      </c>
    </row>
    <row r="4516" spans="1:10" ht="16.5" customHeight="1" x14ac:dyDescent="0.25">
      <c r="A4516" s="8" t="s">
        <v>13946</v>
      </c>
      <c r="B4516" s="8" t="s">
        <v>13947</v>
      </c>
      <c r="C4516" s="8" t="s">
        <v>1446</v>
      </c>
      <c r="D4516" s="8" t="s">
        <v>13947</v>
      </c>
      <c r="E4516" s="105">
        <v>0.12</v>
      </c>
      <c r="F4516" s="106" t="s">
        <v>2024</v>
      </c>
      <c r="G4516" s="8"/>
      <c r="H4516" s="8"/>
      <c r="I4516" s="107">
        <v>0</v>
      </c>
      <c r="J4516" s="8" t="s">
        <v>5671</v>
      </c>
    </row>
    <row r="4517" spans="1:10" ht="16.5" customHeight="1" x14ac:dyDescent="0.25">
      <c r="A4517" s="8" t="s">
        <v>13948</v>
      </c>
      <c r="B4517" s="8" t="s">
        <v>1447</v>
      </c>
      <c r="C4517" s="8" t="s">
        <v>1446</v>
      </c>
      <c r="D4517" s="8" t="s">
        <v>1447</v>
      </c>
      <c r="E4517" s="105">
        <v>4.8</v>
      </c>
      <c r="F4517" s="106" t="s">
        <v>2024</v>
      </c>
      <c r="G4517" s="8"/>
      <c r="H4517" s="8"/>
      <c r="I4517" s="107">
        <v>0</v>
      </c>
      <c r="J4517" s="8" t="s">
        <v>5671</v>
      </c>
    </row>
    <row r="4518" spans="1:10" ht="16.5" customHeight="1" x14ac:dyDescent="0.25">
      <c r="A4518" s="8" t="s">
        <v>13852</v>
      </c>
      <c r="B4518" s="8" t="s">
        <v>13949</v>
      </c>
      <c r="C4518" s="8" t="s">
        <v>13411</v>
      </c>
      <c r="D4518" s="8" t="s">
        <v>13949</v>
      </c>
      <c r="E4518" s="105">
        <v>0.3</v>
      </c>
      <c r="F4518" s="106" t="s">
        <v>2018</v>
      </c>
      <c r="G4518" s="8" t="s">
        <v>1417</v>
      </c>
      <c r="H4518" s="8"/>
      <c r="I4518" s="107">
        <v>0</v>
      </c>
      <c r="J4518" s="8" t="s">
        <v>5671</v>
      </c>
    </row>
    <row r="4519" spans="1:10" ht="16.5" customHeight="1" x14ac:dyDescent="0.25">
      <c r="A4519" s="8" t="s">
        <v>1509</v>
      </c>
      <c r="B4519" s="8" t="s">
        <v>1511</v>
      </c>
      <c r="C4519" s="8" t="s">
        <v>1510</v>
      </c>
      <c r="D4519" s="8" t="s">
        <v>1511</v>
      </c>
      <c r="E4519" s="105">
        <v>6</v>
      </c>
      <c r="F4519" s="106" t="s">
        <v>2018</v>
      </c>
      <c r="G4519" s="8" t="s">
        <v>1417</v>
      </c>
      <c r="H4519" s="8" t="s">
        <v>13944</v>
      </c>
      <c r="I4519" s="107">
        <v>12</v>
      </c>
      <c r="J4519" s="8" t="s">
        <v>5671</v>
      </c>
    </row>
    <row r="4520" spans="1:10" ht="16.5" customHeight="1" x14ac:dyDescent="0.25">
      <c r="A4520" s="8" t="s">
        <v>13950</v>
      </c>
      <c r="B4520" s="8" t="s">
        <v>13951</v>
      </c>
      <c r="C4520" s="8" t="s">
        <v>5817</v>
      </c>
      <c r="D4520" s="8" t="s">
        <v>13951</v>
      </c>
      <c r="E4520" s="105">
        <v>0.2</v>
      </c>
      <c r="F4520" s="106" t="s">
        <v>2018</v>
      </c>
      <c r="G4520" s="8" t="s">
        <v>1417</v>
      </c>
      <c r="H4520" s="8"/>
      <c r="I4520" s="107">
        <v>0</v>
      </c>
      <c r="J4520" s="8" t="s">
        <v>5671</v>
      </c>
    </row>
    <row r="4521" spans="1:10" ht="16.5" customHeight="1" x14ac:dyDescent="0.25">
      <c r="A4521" s="8" t="s">
        <v>1421</v>
      </c>
      <c r="B4521" s="8" t="s">
        <v>1423</v>
      </c>
      <c r="C4521" s="8" t="s">
        <v>1422</v>
      </c>
      <c r="D4521" s="8" t="s">
        <v>1423</v>
      </c>
      <c r="E4521" s="105">
        <v>4.8</v>
      </c>
      <c r="F4521" s="106" t="s">
        <v>2018</v>
      </c>
      <c r="G4521" s="8" t="s">
        <v>1417</v>
      </c>
      <c r="H4521" s="8" t="s">
        <v>13950</v>
      </c>
      <c r="I4521" s="107">
        <v>24</v>
      </c>
      <c r="J4521" s="8" t="s">
        <v>5671</v>
      </c>
    </row>
    <row r="4522" spans="1:10" ht="16.5" customHeight="1" x14ac:dyDescent="0.25">
      <c r="A4522" s="8" t="s">
        <v>13884</v>
      </c>
      <c r="B4522" s="8" t="s">
        <v>13952</v>
      </c>
      <c r="C4522" s="8" t="s">
        <v>5680</v>
      </c>
      <c r="D4522" s="8" t="s">
        <v>13952</v>
      </c>
      <c r="E4522" s="105">
        <v>0.4</v>
      </c>
      <c r="F4522" s="106" t="s">
        <v>2018</v>
      </c>
      <c r="G4522" s="8" t="s">
        <v>1417</v>
      </c>
      <c r="H4522" s="8"/>
      <c r="I4522" s="107">
        <v>0</v>
      </c>
      <c r="J4522" s="8" t="s">
        <v>5671</v>
      </c>
    </row>
    <row r="4523" spans="1:10" ht="16.5" customHeight="1" x14ac:dyDescent="0.25">
      <c r="A4523" s="8" t="s">
        <v>13953</v>
      </c>
      <c r="B4523" s="8" t="s">
        <v>13954</v>
      </c>
      <c r="C4523" s="8" t="s">
        <v>1609</v>
      </c>
      <c r="D4523" s="8" t="s">
        <v>13954</v>
      </c>
      <c r="E4523" s="105">
        <v>12</v>
      </c>
      <c r="F4523" s="106" t="s">
        <v>2024</v>
      </c>
      <c r="G4523" s="8" t="s">
        <v>1541</v>
      </c>
      <c r="H4523" s="8" t="s">
        <v>13955</v>
      </c>
      <c r="I4523" s="107">
        <v>12</v>
      </c>
      <c r="J4523" s="8" t="s">
        <v>5929</v>
      </c>
    </row>
    <row r="4524" spans="1:10" ht="16.5" customHeight="1" x14ac:dyDescent="0.25">
      <c r="A4524" s="8" t="s">
        <v>13955</v>
      </c>
      <c r="B4524" s="8" t="s">
        <v>13956</v>
      </c>
      <c r="C4524" s="8" t="s">
        <v>13957</v>
      </c>
      <c r="D4524" s="8" t="s">
        <v>13956</v>
      </c>
      <c r="E4524" s="105">
        <v>1</v>
      </c>
      <c r="F4524" s="106" t="s">
        <v>2024</v>
      </c>
      <c r="G4524" s="8" t="s">
        <v>1541</v>
      </c>
      <c r="H4524" s="8"/>
      <c r="I4524" s="107">
        <v>0</v>
      </c>
      <c r="J4524" s="8" t="s">
        <v>5929</v>
      </c>
    </row>
    <row r="4525" spans="1:10" ht="16.5" customHeight="1" x14ac:dyDescent="0.25">
      <c r="A4525" s="8" t="s">
        <v>13958</v>
      </c>
      <c r="B4525" s="8" t="s">
        <v>13959</v>
      </c>
      <c r="C4525" s="8" t="s">
        <v>8715</v>
      </c>
      <c r="D4525" s="8" t="s">
        <v>13959</v>
      </c>
      <c r="E4525" s="105">
        <v>0</v>
      </c>
      <c r="F4525" s="106" t="s">
        <v>2018</v>
      </c>
      <c r="G4525" s="8"/>
      <c r="H4525" s="8"/>
      <c r="I4525" s="107">
        <v>0</v>
      </c>
      <c r="J4525" s="8" t="s">
        <v>4722</v>
      </c>
    </row>
    <row r="4526" spans="1:10" ht="16.5" customHeight="1" x14ac:dyDescent="0.25">
      <c r="A4526" s="8" t="s">
        <v>13960</v>
      </c>
      <c r="B4526" s="8" t="s">
        <v>13961</v>
      </c>
      <c r="C4526" s="8" t="s">
        <v>13962</v>
      </c>
      <c r="D4526" s="8" t="s">
        <v>13961</v>
      </c>
      <c r="E4526" s="105">
        <v>0</v>
      </c>
      <c r="F4526" s="106" t="s">
        <v>2018</v>
      </c>
      <c r="G4526" s="8"/>
      <c r="H4526" s="8"/>
      <c r="I4526" s="107">
        <v>0</v>
      </c>
      <c r="J4526" s="8" t="s">
        <v>2019</v>
      </c>
    </row>
    <row r="4527" spans="1:10" ht="16.5" customHeight="1" x14ac:dyDescent="0.25">
      <c r="A4527" s="8" t="s">
        <v>13963</v>
      </c>
      <c r="B4527" s="8" t="s">
        <v>13961</v>
      </c>
      <c r="C4527" s="8" t="s">
        <v>9512</v>
      </c>
      <c r="D4527" s="8" t="s">
        <v>13961</v>
      </c>
      <c r="E4527" s="105">
        <v>0</v>
      </c>
      <c r="F4527" s="106" t="s">
        <v>2018</v>
      </c>
      <c r="G4527" s="8"/>
      <c r="H4527" s="8"/>
      <c r="I4527" s="107">
        <v>0</v>
      </c>
      <c r="J4527" s="8" t="s">
        <v>4722</v>
      </c>
    </row>
    <row r="4528" spans="1:10" ht="16.5" customHeight="1" x14ac:dyDescent="0.25">
      <c r="A4528" s="8" t="s">
        <v>13964</v>
      </c>
      <c r="B4528" s="8" t="s">
        <v>13965</v>
      </c>
      <c r="C4528" s="8" t="s">
        <v>7846</v>
      </c>
      <c r="D4528" s="8" t="s">
        <v>13965</v>
      </c>
      <c r="E4528" s="105">
        <v>0</v>
      </c>
      <c r="F4528" s="106" t="s">
        <v>2018</v>
      </c>
      <c r="G4528" s="8"/>
      <c r="H4528" s="8"/>
      <c r="I4528" s="107">
        <v>0</v>
      </c>
      <c r="J4528" s="8" t="s">
        <v>4722</v>
      </c>
    </row>
    <row r="4529" spans="1:10" ht="16.5" customHeight="1" x14ac:dyDescent="0.25">
      <c r="A4529" s="8" t="s">
        <v>13966</v>
      </c>
      <c r="B4529" s="8" t="s">
        <v>13967</v>
      </c>
      <c r="C4529" s="8" t="s">
        <v>13968</v>
      </c>
      <c r="D4529" s="8" t="s">
        <v>13967</v>
      </c>
      <c r="E4529" s="105">
        <v>0</v>
      </c>
      <c r="F4529" s="106" t="s">
        <v>2018</v>
      </c>
      <c r="G4529" s="8"/>
      <c r="H4529" s="8"/>
      <c r="I4529" s="107">
        <v>0</v>
      </c>
      <c r="J4529" s="8" t="s">
        <v>4722</v>
      </c>
    </row>
    <row r="4530" spans="1:10" ht="16.5" customHeight="1" x14ac:dyDescent="0.25">
      <c r="A4530" s="8" t="s">
        <v>13969</v>
      </c>
      <c r="B4530" s="8" t="s">
        <v>13970</v>
      </c>
      <c r="C4530" s="8" t="s">
        <v>13971</v>
      </c>
      <c r="D4530" s="8" t="s">
        <v>13970</v>
      </c>
      <c r="E4530" s="105">
        <v>1</v>
      </c>
      <c r="F4530" s="106" t="s">
        <v>2018</v>
      </c>
      <c r="G4530" s="8"/>
      <c r="H4530" s="8"/>
      <c r="I4530" s="107">
        <v>0</v>
      </c>
      <c r="J4530" s="8" t="s">
        <v>6357</v>
      </c>
    </row>
    <row r="4531" spans="1:10" ht="16.5" customHeight="1" x14ac:dyDescent="0.25">
      <c r="A4531" s="8" t="s">
        <v>13972</v>
      </c>
      <c r="B4531" s="8" t="s">
        <v>13973</v>
      </c>
      <c r="C4531" s="8" t="s">
        <v>13974</v>
      </c>
      <c r="D4531" s="8" t="s">
        <v>13973</v>
      </c>
      <c r="E4531" s="105">
        <v>1</v>
      </c>
      <c r="F4531" s="106" t="s">
        <v>2018</v>
      </c>
      <c r="G4531" s="8"/>
      <c r="H4531" s="8"/>
      <c r="I4531" s="107">
        <v>0</v>
      </c>
      <c r="J4531" s="8" t="s">
        <v>6357</v>
      </c>
    </row>
    <row r="4532" spans="1:10" ht="16.5" customHeight="1" x14ac:dyDescent="0.25">
      <c r="A4532" s="8" t="s">
        <v>13975</v>
      </c>
      <c r="B4532" s="8" t="s">
        <v>13976</v>
      </c>
      <c r="C4532" s="8" t="s">
        <v>13977</v>
      </c>
      <c r="D4532" s="8" t="s">
        <v>13976</v>
      </c>
      <c r="E4532" s="105">
        <v>1</v>
      </c>
      <c r="F4532" s="106" t="s">
        <v>2018</v>
      </c>
      <c r="G4532" s="8"/>
      <c r="H4532" s="8"/>
      <c r="I4532" s="107">
        <v>0</v>
      </c>
      <c r="J4532" s="8" t="s">
        <v>6357</v>
      </c>
    </row>
    <row r="4533" spans="1:10" ht="16.5" customHeight="1" x14ac:dyDescent="0.25">
      <c r="A4533" s="8" t="s">
        <v>1466</v>
      </c>
      <c r="B4533" s="8" t="s">
        <v>1468</v>
      </c>
      <c r="C4533" s="8" t="s">
        <v>1467</v>
      </c>
      <c r="D4533" s="8" t="s">
        <v>1468</v>
      </c>
      <c r="E4533" s="105">
        <v>4.8</v>
      </c>
      <c r="F4533" s="106" t="s">
        <v>2018</v>
      </c>
      <c r="G4533" s="8" t="s">
        <v>1417</v>
      </c>
      <c r="H4533" s="8" t="s">
        <v>13978</v>
      </c>
      <c r="I4533" s="107">
        <v>12</v>
      </c>
      <c r="J4533" s="8" t="s">
        <v>5671</v>
      </c>
    </row>
    <row r="4534" spans="1:10" ht="16.5" customHeight="1" x14ac:dyDescent="0.25">
      <c r="A4534" s="8" t="s">
        <v>13978</v>
      </c>
      <c r="B4534" s="8" t="s">
        <v>13979</v>
      </c>
      <c r="C4534" s="8" t="s">
        <v>13980</v>
      </c>
      <c r="D4534" s="8" t="s">
        <v>13979</v>
      </c>
      <c r="E4534" s="105">
        <v>0.4</v>
      </c>
      <c r="F4534" s="106" t="s">
        <v>2018</v>
      </c>
      <c r="G4534" s="8" t="s">
        <v>1417</v>
      </c>
      <c r="H4534" s="8"/>
      <c r="I4534" s="107">
        <v>0</v>
      </c>
      <c r="J4534" s="8" t="s">
        <v>5671</v>
      </c>
    </row>
    <row r="4535" spans="1:10" ht="16.5" customHeight="1" x14ac:dyDescent="0.25">
      <c r="A4535" s="8" t="s">
        <v>1500</v>
      </c>
      <c r="B4535" s="8" t="s">
        <v>1502</v>
      </c>
      <c r="C4535" s="8" t="s">
        <v>1501</v>
      </c>
      <c r="D4535" s="8" t="s">
        <v>1502</v>
      </c>
      <c r="E4535" s="105">
        <v>4.8</v>
      </c>
      <c r="F4535" s="106" t="s">
        <v>2018</v>
      </c>
      <c r="G4535" s="8" t="s">
        <v>1417</v>
      </c>
      <c r="H4535" s="8" t="s">
        <v>13981</v>
      </c>
      <c r="I4535" s="107">
        <v>12</v>
      </c>
      <c r="J4535" s="8" t="s">
        <v>5671</v>
      </c>
    </row>
    <row r="4536" spans="1:10" ht="16.5" customHeight="1" x14ac:dyDescent="0.25">
      <c r="A4536" s="8" t="s">
        <v>13981</v>
      </c>
      <c r="B4536" s="8" t="s">
        <v>13982</v>
      </c>
      <c r="C4536" s="8" t="s">
        <v>13983</v>
      </c>
      <c r="D4536" s="8" t="s">
        <v>13982</v>
      </c>
      <c r="E4536" s="105">
        <v>0.4</v>
      </c>
      <c r="F4536" s="106" t="s">
        <v>2018</v>
      </c>
      <c r="G4536" s="8" t="s">
        <v>1417</v>
      </c>
      <c r="H4536" s="8"/>
      <c r="I4536" s="107">
        <v>0</v>
      </c>
      <c r="J4536" s="8" t="s">
        <v>5671</v>
      </c>
    </row>
    <row r="4537" spans="1:10" ht="16.5" customHeight="1" x14ac:dyDescent="0.25">
      <c r="A4537" s="8" t="s">
        <v>1783</v>
      </c>
      <c r="B4537" s="8" t="s">
        <v>1785</v>
      </c>
      <c r="C4537" s="8" t="s">
        <v>1784</v>
      </c>
      <c r="D4537" s="8" t="s">
        <v>1785</v>
      </c>
      <c r="E4537" s="105">
        <v>3.2</v>
      </c>
      <c r="F4537" s="106" t="s">
        <v>2018</v>
      </c>
      <c r="G4537" s="8"/>
      <c r="H4537" s="8" t="s">
        <v>13984</v>
      </c>
      <c r="I4537" s="107">
        <v>16</v>
      </c>
      <c r="J4537" s="8" t="s">
        <v>8088</v>
      </c>
    </row>
    <row r="4538" spans="1:10" ht="16.5" customHeight="1" x14ac:dyDescent="0.25">
      <c r="A4538" s="8" t="s">
        <v>13985</v>
      </c>
      <c r="B4538" s="8" t="s">
        <v>13986</v>
      </c>
      <c r="C4538" s="8" t="s">
        <v>13987</v>
      </c>
      <c r="D4538" s="8" t="s">
        <v>13986</v>
      </c>
      <c r="E4538" s="105">
        <v>0.96</v>
      </c>
      <c r="F4538" s="106" t="s">
        <v>2018</v>
      </c>
      <c r="G4538" s="8"/>
      <c r="H4538" s="8" t="s">
        <v>13988</v>
      </c>
      <c r="I4538" s="107">
        <v>24</v>
      </c>
      <c r="J4538" s="8" t="s">
        <v>8088</v>
      </c>
    </row>
    <row r="4539" spans="1:10" ht="16.5" customHeight="1" x14ac:dyDescent="0.25">
      <c r="A4539" s="8" t="s">
        <v>13989</v>
      </c>
      <c r="B4539" s="8" t="s">
        <v>11073</v>
      </c>
      <c r="C4539" s="8" t="s">
        <v>11074</v>
      </c>
      <c r="D4539" s="8" t="s">
        <v>11073</v>
      </c>
      <c r="E4539" s="105">
        <v>1</v>
      </c>
      <c r="F4539" s="106" t="s">
        <v>2024</v>
      </c>
      <c r="G4539" s="8"/>
      <c r="H4539" s="8"/>
      <c r="I4539" s="107">
        <v>0</v>
      </c>
      <c r="J4539" s="8" t="s">
        <v>4722</v>
      </c>
    </row>
    <row r="4540" spans="1:10" ht="16.5" customHeight="1" x14ac:dyDescent="0.25">
      <c r="A4540" s="8" t="s">
        <v>13990</v>
      </c>
      <c r="B4540" s="8" t="s">
        <v>13991</v>
      </c>
      <c r="C4540" s="8" t="s">
        <v>13992</v>
      </c>
      <c r="D4540" s="8" t="s">
        <v>13991</v>
      </c>
      <c r="E4540" s="105">
        <v>1.2</v>
      </c>
      <c r="F4540" s="106" t="s">
        <v>2018</v>
      </c>
      <c r="G4540" s="8"/>
      <c r="H4540" s="8" t="s">
        <v>13993</v>
      </c>
      <c r="I4540" s="107">
        <v>24</v>
      </c>
      <c r="J4540" s="8" t="s">
        <v>8088</v>
      </c>
    </row>
    <row r="4541" spans="1:10" ht="16.5" customHeight="1" x14ac:dyDescent="0.25">
      <c r="A4541" s="8" t="s">
        <v>1803</v>
      </c>
      <c r="B4541" s="8" t="s">
        <v>1805</v>
      </c>
      <c r="C4541" s="8" t="s">
        <v>1804</v>
      </c>
      <c r="D4541" s="8" t="s">
        <v>1805</v>
      </c>
      <c r="E4541" s="105">
        <v>3.5</v>
      </c>
      <c r="F4541" s="106" t="s">
        <v>2018</v>
      </c>
      <c r="G4541" s="8"/>
      <c r="H4541" s="8" t="s">
        <v>13994</v>
      </c>
      <c r="I4541" s="107">
        <v>10</v>
      </c>
      <c r="J4541" s="8" t="s">
        <v>8088</v>
      </c>
    </row>
    <row r="4542" spans="1:10" ht="16.5" customHeight="1" x14ac:dyDescent="0.25">
      <c r="A4542" s="8" t="s">
        <v>1894</v>
      </c>
      <c r="B4542" s="8" t="s">
        <v>1896</v>
      </c>
      <c r="C4542" s="8" t="s">
        <v>1895</v>
      </c>
      <c r="D4542" s="8" t="s">
        <v>1896</v>
      </c>
      <c r="E4542" s="105">
        <v>5</v>
      </c>
      <c r="F4542" s="106" t="s">
        <v>2018</v>
      </c>
      <c r="G4542" s="8"/>
      <c r="H4542" s="8" t="s">
        <v>13995</v>
      </c>
      <c r="I4542" s="107">
        <v>5</v>
      </c>
      <c r="J4542" s="8" t="s">
        <v>8088</v>
      </c>
    </row>
    <row r="4543" spans="1:10" ht="16.5" customHeight="1" x14ac:dyDescent="0.25">
      <c r="A4543" s="8" t="s">
        <v>13996</v>
      </c>
      <c r="B4543" s="8" t="s">
        <v>13997</v>
      </c>
      <c r="C4543" s="8" t="s">
        <v>13998</v>
      </c>
      <c r="D4543" s="8" t="s">
        <v>13997</v>
      </c>
      <c r="E4543" s="105">
        <v>5</v>
      </c>
      <c r="F4543" s="106" t="s">
        <v>2018</v>
      </c>
      <c r="G4543" s="8"/>
      <c r="H4543" s="8" t="s">
        <v>13999</v>
      </c>
      <c r="I4543" s="107">
        <v>10</v>
      </c>
      <c r="J4543" s="8" t="s">
        <v>8088</v>
      </c>
    </row>
    <row r="4544" spans="1:10" ht="16.5" customHeight="1" x14ac:dyDescent="0.25">
      <c r="A4544" s="8" t="s">
        <v>14000</v>
      </c>
      <c r="B4544" s="8" t="s">
        <v>14001</v>
      </c>
      <c r="C4544" s="8" t="s">
        <v>1591</v>
      </c>
      <c r="D4544" s="8" t="s">
        <v>14001</v>
      </c>
      <c r="E4544" s="105">
        <v>7.5359999999999996</v>
      </c>
      <c r="F4544" s="106" t="s">
        <v>2024</v>
      </c>
      <c r="G4544" s="8" t="s">
        <v>1541</v>
      </c>
      <c r="H4544" s="8" t="s">
        <v>14002</v>
      </c>
      <c r="I4544" s="107">
        <v>24</v>
      </c>
      <c r="J4544" s="8" t="s">
        <v>5929</v>
      </c>
    </row>
    <row r="4545" spans="1:10" ht="16.5" customHeight="1" x14ac:dyDescent="0.25">
      <c r="A4545" s="8" t="s">
        <v>14002</v>
      </c>
      <c r="B4545" s="8" t="s">
        <v>14003</v>
      </c>
      <c r="C4545" s="8" t="s">
        <v>14004</v>
      </c>
      <c r="D4545" s="8" t="s">
        <v>14003</v>
      </c>
      <c r="E4545" s="105">
        <v>0.314</v>
      </c>
      <c r="F4545" s="106" t="s">
        <v>2024</v>
      </c>
      <c r="G4545" s="8" t="s">
        <v>1541</v>
      </c>
      <c r="H4545" s="8"/>
      <c r="I4545" s="107">
        <v>0</v>
      </c>
      <c r="J4545" s="8" t="s">
        <v>5929</v>
      </c>
    </row>
    <row r="4546" spans="1:10" ht="16.5" customHeight="1" x14ac:dyDescent="0.25">
      <c r="A4546" s="8" t="s">
        <v>14005</v>
      </c>
      <c r="B4546" s="8" t="s">
        <v>14006</v>
      </c>
      <c r="C4546" s="8" t="s">
        <v>1654</v>
      </c>
      <c r="D4546" s="8" t="s">
        <v>14006</v>
      </c>
      <c r="E4546" s="105">
        <v>13.458</v>
      </c>
      <c r="F4546" s="106" t="s">
        <v>2024</v>
      </c>
      <c r="G4546" s="8" t="s">
        <v>1541</v>
      </c>
      <c r="H4546" s="8" t="s">
        <v>14007</v>
      </c>
      <c r="I4546" s="107">
        <v>24</v>
      </c>
      <c r="J4546" s="8" t="s">
        <v>5929</v>
      </c>
    </row>
    <row r="4547" spans="1:10" ht="16.5" customHeight="1" x14ac:dyDescent="0.25">
      <c r="A4547" s="8" t="s">
        <v>14007</v>
      </c>
      <c r="B4547" s="8" t="s">
        <v>14008</v>
      </c>
      <c r="C4547" s="8" t="s">
        <v>14009</v>
      </c>
      <c r="D4547" s="8" t="s">
        <v>14008</v>
      </c>
      <c r="E4547" s="105">
        <v>0.56100000000000005</v>
      </c>
      <c r="F4547" s="106" t="s">
        <v>2024</v>
      </c>
      <c r="G4547" s="8" t="s">
        <v>1541</v>
      </c>
      <c r="H4547" s="8"/>
      <c r="I4547" s="107">
        <v>0</v>
      </c>
      <c r="J4547" s="8" t="s">
        <v>5929</v>
      </c>
    </row>
    <row r="4548" spans="1:10" ht="16.5" customHeight="1" x14ac:dyDescent="0.25">
      <c r="A4548" s="8" t="s">
        <v>13984</v>
      </c>
      <c r="B4548" s="8" t="s">
        <v>14010</v>
      </c>
      <c r="C4548" s="8" t="s">
        <v>14011</v>
      </c>
      <c r="D4548" s="8" t="s">
        <v>14010</v>
      </c>
      <c r="E4548" s="105">
        <v>0.2</v>
      </c>
      <c r="F4548" s="106" t="s">
        <v>2018</v>
      </c>
      <c r="G4548" s="8"/>
      <c r="H4548" s="8"/>
      <c r="I4548" s="107">
        <v>0</v>
      </c>
      <c r="J4548" s="8" t="s">
        <v>8088</v>
      </c>
    </row>
    <row r="4549" spans="1:10" ht="16.5" customHeight="1" x14ac:dyDescent="0.25">
      <c r="A4549" s="8" t="s">
        <v>13988</v>
      </c>
      <c r="B4549" s="8" t="s">
        <v>14012</v>
      </c>
      <c r="C4549" s="8" t="s">
        <v>14013</v>
      </c>
      <c r="D4549" s="8" t="s">
        <v>14012</v>
      </c>
      <c r="E4549" s="105">
        <v>0.04</v>
      </c>
      <c r="F4549" s="106" t="s">
        <v>2018</v>
      </c>
      <c r="G4549" s="8"/>
      <c r="H4549" s="8"/>
      <c r="I4549" s="107">
        <v>0</v>
      </c>
      <c r="J4549" s="8" t="s">
        <v>8088</v>
      </c>
    </row>
    <row r="4550" spans="1:10" ht="16.5" customHeight="1" x14ac:dyDescent="0.25">
      <c r="A4550" s="8" t="s">
        <v>13993</v>
      </c>
      <c r="B4550" s="8" t="s">
        <v>14014</v>
      </c>
      <c r="C4550" s="8" t="s">
        <v>14015</v>
      </c>
      <c r="D4550" s="8" t="s">
        <v>14014</v>
      </c>
      <c r="E4550" s="105">
        <v>0.05</v>
      </c>
      <c r="F4550" s="106" t="s">
        <v>2018</v>
      </c>
      <c r="G4550" s="8"/>
      <c r="H4550" s="8"/>
      <c r="I4550" s="107">
        <v>0</v>
      </c>
      <c r="J4550" s="8" t="s">
        <v>8088</v>
      </c>
    </row>
    <row r="4551" spans="1:10" ht="16.5" customHeight="1" x14ac:dyDescent="0.25">
      <c r="A4551" s="8" t="s">
        <v>13994</v>
      </c>
      <c r="B4551" s="8" t="s">
        <v>14016</v>
      </c>
      <c r="C4551" s="8" t="s">
        <v>14017</v>
      </c>
      <c r="D4551" s="8" t="s">
        <v>14016</v>
      </c>
      <c r="E4551" s="105">
        <v>0.35</v>
      </c>
      <c r="F4551" s="106" t="s">
        <v>2018</v>
      </c>
      <c r="G4551" s="8"/>
      <c r="H4551" s="8"/>
      <c r="I4551" s="107">
        <v>0</v>
      </c>
      <c r="J4551" s="8" t="s">
        <v>8088</v>
      </c>
    </row>
    <row r="4552" spans="1:10" ht="16.5" customHeight="1" x14ac:dyDescent="0.25">
      <c r="A4552" s="8" t="s">
        <v>13995</v>
      </c>
      <c r="B4552" s="8" t="s">
        <v>11682</v>
      </c>
      <c r="C4552" s="8" t="s">
        <v>14018</v>
      </c>
      <c r="D4552" s="8" t="s">
        <v>11682</v>
      </c>
      <c r="E4552" s="105">
        <v>1</v>
      </c>
      <c r="F4552" s="106" t="s">
        <v>2018</v>
      </c>
      <c r="G4552" s="8"/>
      <c r="H4552" s="8"/>
      <c r="I4552" s="107">
        <v>0</v>
      </c>
      <c r="J4552" s="8" t="s">
        <v>8088</v>
      </c>
    </row>
    <row r="4553" spans="1:10" ht="16.5" customHeight="1" x14ac:dyDescent="0.25">
      <c r="A4553" s="8" t="s">
        <v>13999</v>
      </c>
      <c r="B4553" s="8" t="s">
        <v>14019</v>
      </c>
      <c r="C4553" s="8" t="s">
        <v>14020</v>
      </c>
      <c r="D4553" s="8" t="s">
        <v>14019</v>
      </c>
      <c r="E4553" s="105">
        <v>0.5</v>
      </c>
      <c r="F4553" s="106" t="s">
        <v>2018</v>
      </c>
      <c r="G4553" s="8"/>
      <c r="H4553" s="8"/>
      <c r="I4553" s="107">
        <v>0</v>
      </c>
      <c r="J4553" s="8" t="s">
        <v>8088</v>
      </c>
    </row>
    <row r="4554" spans="1:10" ht="16.5" customHeight="1" x14ac:dyDescent="0.25">
      <c r="A4554" s="8" t="s">
        <v>1289</v>
      </c>
      <c r="B4554" s="8" t="s">
        <v>1291</v>
      </c>
      <c r="C4554" s="8" t="s">
        <v>1290</v>
      </c>
      <c r="D4554" s="8" t="s">
        <v>1291</v>
      </c>
      <c r="E4554" s="105">
        <v>11.2</v>
      </c>
      <c r="F4554" s="106" t="s">
        <v>2018</v>
      </c>
      <c r="G4554" s="8"/>
      <c r="H4554" s="8" t="s">
        <v>14021</v>
      </c>
      <c r="I4554" s="107">
        <v>8</v>
      </c>
      <c r="J4554" s="8" t="s">
        <v>10697</v>
      </c>
    </row>
    <row r="4555" spans="1:10" ht="16.5" customHeight="1" x14ac:dyDescent="0.25">
      <c r="A4555" s="8" t="s">
        <v>14021</v>
      </c>
      <c r="B4555" s="8" t="s">
        <v>14022</v>
      </c>
      <c r="C4555" s="8" t="s">
        <v>14023</v>
      </c>
      <c r="D4555" s="8" t="s">
        <v>14022</v>
      </c>
      <c r="E4555" s="105">
        <v>1.4</v>
      </c>
      <c r="F4555" s="106" t="s">
        <v>2018</v>
      </c>
      <c r="G4555" s="8"/>
      <c r="H4555" s="8"/>
      <c r="I4555" s="107">
        <v>0</v>
      </c>
      <c r="J4555" s="8" t="s">
        <v>10697</v>
      </c>
    </row>
    <row r="4556" spans="1:10" ht="16.5" customHeight="1" x14ac:dyDescent="0.25">
      <c r="A4556" s="8" t="s">
        <v>14024</v>
      </c>
      <c r="B4556" s="8" t="s">
        <v>1355</v>
      </c>
      <c r="C4556" s="8" t="s">
        <v>14025</v>
      </c>
      <c r="D4556" s="8" t="s">
        <v>1355</v>
      </c>
      <c r="E4556" s="105">
        <v>0</v>
      </c>
      <c r="F4556" s="106" t="s">
        <v>2018</v>
      </c>
      <c r="G4556" s="8"/>
      <c r="H4556" s="8"/>
      <c r="I4556" s="107">
        <v>0</v>
      </c>
      <c r="J4556" s="8" t="s">
        <v>3580</v>
      </c>
    </row>
    <row r="4557" spans="1:10" ht="16.5" customHeight="1" x14ac:dyDescent="0.25">
      <c r="A4557" s="8" t="s">
        <v>14026</v>
      </c>
      <c r="B4557" s="8" t="s">
        <v>14027</v>
      </c>
      <c r="C4557" s="8" t="s">
        <v>14028</v>
      </c>
      <c r="D4557" s="8" t="s">
        <v>14027</v>
      </c>
      <c r="E4557" s="105">
        <v>1</v>
      </c>
      <c r="F4557" s="106" t="s">
        <v>2018</v>
      </c>
      <c r="G4557" s="8"/>
      <c r="H4557" s="8"/>
      <c r="I4557" s="107">
        <v>0</v>
      </c>
      <c r="J4557" s="8" t="s">
        <v>3695</v>
      </c>
    </row>
    <row r="4558" spans="1:10" ht="16.5" customHeight="1" x14ac:dyDescent="0.25">
      <c r="A4558" s="8" t="s">
        <v>14029</v>
      </c>
      <c r="B4558" s="8" t="s">
        <v>14030</v>
      </c>
      <c r="C4558" s="8" t="s">
        <v>5670</v>
      </c>
      <c r="D4558" s="8" t="s">
        <v>14030</v>
      </c>
      <c r="E4558" s="105">
        <v>0</v>
      </c>
      <c r="F4558" s="106" t="s">
        <v>2018</v>
      </c>
      <c r="G4558" s="8"/>
      <c r="H4558" s="8"/>
      <c r="I4558" s="107">
        <v>0</v>
      </c>
      <c r="J4558" s="8" t="s">
        <v>4722</v>
      </c>
    </row>
    <row r="4559" spans="1:10" ht="16.5" customHeight="1" x14ac:dyDescent="0.25">
      <c r="A4559" s="8" t="s">
        <v>14031</v>
      </c>
      <c r="B4559" s="8" t="s">
        <v>14030</v>
      </c>
      <c r="C4559" s="8" t="s">
        <v>14032</v>
      </c>
      <c r="D4559" s="8" t="s">
        <v>14030</v>
      </c>
      <c r="E4559" s="105">
        <v>0</v>
      </c>
      <c r="F4559" s="106" t="s">
        <v>2018</v>
      </c>
      <c r="G4559" s="8"/>
      <c r="H4559" s="8"/>
      <c r="I4559" s="107">
        <v>0</v>
      </c>
      <c r="J4559" s="8" t="s">
        <v>4722</v>
      </c>
    </row>
    <row r="4560" spans="1:10" ht="16.5" customHeight="1" x14ac:dyDescent="0.25">
      <c r="A4560" s="8" t="s">
        <v>14033</v>
      </c>
      <c r="B4560" s="8" t="s">
        <v>14034</v>
      </c>
      <c r="C4560" s="8" t="s">
        <v>14035</v>
      </c>
      <c r="D4560" s="8" t="s">
        <v>14034</v>
      </c>
      <c r="E4560" s="105">
        <v>4.0949999999999998</v>
      </c>
      <c r="F4560" s="106" t="s">
        <v>2018</v>
      </c>
      <c r="G4560" s="8"/>
      <c r="H4560" s="8"/>
      <c r="I4560" s="107">
        <v>0</v>
      </c>
      <c r="J4560" s="8" t="s">
        <v>2019</v>
      </c>
    </row>
    <row r="4561" spans="1:10" ht="16.5" customHeight="1" x14ac:dyDescent="0.25">
      <c r="A4561" s="8" t="s">
        <v>14036</v>
      </c>
      <c r="B4561" s="8" t="s">
        <v>12679</v>
      </c>
      <c r="C4561" s="8" t="s">
        <v>1304</v>
      </c>
      <c r="D4561" s="8" t="s">
        <v>12679</v>
      </c>
      <c r="E4561" s="105">
        <v>13.65</v>
      </c>
      <c r="F4561" s="106" t="s">
        <v>2018</v>
      </c>
      <c r="G4561" s="8"/>
      <c r="H4561" s="8"/>
      <c r="I4561" s="107">
        <v>0</v>
      </c>
      <c r="J4561" s="8" t="s">
        <v>2019</v>
      </c>
    </row>
    <row r="4562" spans="1:10" ht="16.5" customHeight="1" x14ac:dyDescent="0.25">
      <c r="A4562" s="8" t="s">
        <v>14037</v>
      </c>
      <c r="B4562" s="8" t="s">
        <v>14038</v>
      </c>
      <c r="C4562" s="8" t="s">
        <v>14039</v>
      </c>
      <c r="D4562" s="8" t="s">
        <v>14038</v>
      </c>
      <c r="E4562" s="105">
        <v>0</v>
      </c>
      <c r="F4562" s="106" t="s">
        <v>2024</v>
      </c>
      <c r="G4562" s="8"/>
      <c r="H4562" s="8"/>
      <c r="I4562" s="107">
        <v>0</v>
      </c>
      <c r="J4562" s="8" t="s">
        <v>2019</v>
      </c>
    </row>
    <row r="4563" spans="1:10" ht="16.5" customHeight="1" x14ac:dyDescent="0.25">
      <c r="A4563" s="8" t="s">
        <v>14040</v>
      </c>
      <c r="B4563" s="8" t="s">
        <v>14041</v>
      </c>
      <c r="C4563" s="8" t="s">
        <v>14042</v>
      </c>
      <c r="D4563" s="8" t="s">
        <v>14041</v>
      </c>
      <c r="E4563" s="105">
        <v>0</v>
      </c>
      <c r="F4563" s="106" t="s">
        <v>2018</v>
      </c>
      <c r="G4563" s="8"/>
      <c r="H4563" s="8"/>
      <c r="I4563" s="107">
        <v>0</v>
      </c>
      <c r="J4563" s="8" t="s">
        <v>3580</v>
      </c>
    </row>
    <row r="4564" spans="1:10" ht="16.5" customHeight="1" x14ac:dyDescent="0.25">
      <c r="A4564" s="8" t="s">
        <v>14043</v>
      </c>
      <c r="B4564" s="8" t="s">
        <v>14044</v>
      </c>
      <c r="C4564" s="8" t="s">
        <v>14045</v>
      </c>
      <c r="D4564" s="8" t="s">
        <v>14044</v>
      </c>
      <c r="E4564" s="105">
        <v>6.18</v>
      </c>
      <c r="F4564" s="106" t="s">
        <v>2018</v>
      </c>
      <c r="G4564" s="8"/>
      <c r="H4564" s="8"/>
      <c r="I4564" s="107">
        <v>0</v>
      </c>
      <c r="J4564" s="8" t="s">
        <v>8088</v>
      </c>
    </row>
    <row r="4565" spans="1:10" ht="16.5" customHeight="1" x14ac:dyDescent="0.25">
      <c r="A4565" s="8" t="s">
        <v>14046</v>
      </c>
      <c r="B4565" s="8" t="s">
        <v>14047</v>
      </c>
      <c r="C4565" s="8" t="s">
        <v>14048</v>
      </c>
      <c r="D4565" s="8" t="s">
        <v>14047</v>
      </c>
      <c r="E4565" s="105">
        <v>6.18</v>
      </c>
      <c r="F4565" s="106" t="s">
        <v>2024</v>
      </c>
      <c r="G4565" s="8"/>
      <c r="H4565" s="8"/>
      <c r="I4565" s="107">
        <v>0</v>
      </c>
      <c r="J4565" s="8" t="s">
        <v>8088</v>
      </c>
    </row>
    <row r="4566" spans="1:10" ht="16.5" customHeight="1" x14ac:dyDescent="0.25">
      <c r="A4566" s="8" t="s">
        <v>14049</v>
      </c>
      <c r="B4566" s="8" t="s">
        <v>14050</v>
      </c>
      <c r="C4566" s="8" t="s">
        <v>14051</v>
      </c>
      <c r="D4566" s="8" t="s">
        <v>14050</v>
      </c>
      <c r="E4566" s="105">
        <v>1</v>
      </c>
      <c r="F4566" s="106" t="s">
        <v>2018</v>
      </c>
      <c r="G4566" s="8"/>
      <c r="H4566" s="8"/>
      <c r="I4566" s="107">
        <v>0</v>
      </c>
      <c r="J4566" s="8" t="s">
        <v>6357</v>
      </c>
    </row>
    <row r="4567" spans="1:10" ht="16.5" customHeight="1" x14ac:dyDescent="0.25">
      <c r="A4567" s="8" t="s">
        <v>14052</v>
      </c>
      <c r="B4567" s="8" t="s">
        <v>14053</v>
      </c>
      <c r="C4567" s="8" t="s">
        <v>14054</v>
      </c>
      <c r="D4567" s="8" t="s">
        <v>14053</v>
      </c>
      <c r="E4567" s="105">
        <v>7.2</v>
      </c>
      <c r="F4567" s="106" t="s">
        <v>2018</v>
      </c>
      <c r="G4567" s="8" t="s">
        <v>1417</v>
      </c>
      <c r="H4567" s="8"/>
      <c r="I4567" s="107">
        <v>0</v>
      </c>
      <c r="J4567" s="8" t="s">
        <v>5671</v>
      </c>
    </row>
    <row r="4568" spans="1:10" ht="16.5" customHeight="1" x14ac:dyDescent="0.25">
      <c r="A4568" s="8" t="s">
        <v>14055</v>
      </c>
      <c r="B4568" s="8" t="s">
        <v>14056</v>
      </c>
      <c r="C4568" s="8" t="s">
        <v>1627</v>
      </c>
      <c r="D4568" s="8" t="s">
        <v>14056</v>
      </c>
      <c r="E4568" s="105">
        <v>12</v>
      </c>
      <c r="F4568" s="106" t="s">
        <v>2024</v>
      </c>
      <c r="G4568" s="8" t="s">
        <v>1541</v>
      </c>
      <c r="H4568" s="8" t="s">
        <v>14057</v>
      </c>
      <c r="I4568" s="107">
        <v>30</v>
      </c>
      <c r="J4568" s="8" t="s">
        <v>5929</v>
      </c>
    </row>
    <row r="4569" spans="1:10" ht="16.5" customHeight="1" x14ac:dyDescent="0.25">
      <c r="A4569" s="8" t="s">
        <v>14057</v>
      </c>
      <c r="B4569" s="8" t="s">
        <v>14058</v>
      </c>
      <c r="C4569" s="8" t="s">
        <v>14059</v>
      </c>
      <c r="D4569" s="8" t="s">
        <v>14058</v>
      </c>
      <c r="E4569" s="105">
        <v>0.4</v>
      </c>
      <c r="F4569" s="106" t="s">
        <v>2024</v>
      </c>
      <c r="G4569" s="8" t="s">
        <v>1541</v>
      </c>
      <c r="H4569" s="8"/>
      <c r="I4569" s="107">
        <v>0</v>
      </c>
      <c r="J4569" s="8" t="s">
        <v>5929</v>
      </c>
    </row>
    <row r="4570" spans="1:10" ht="16.5" customHeight="1" x14ac:dyDescent="0.25">
      <c r="A4570" s="8" t="s">
        <v>14060</v>
      </c>
      <c r="B4570" s="8" t="s">
        <v>14061</v>
      </c>
      <c r="C4570" s="8" t="s">
        <v>14062</v>
      </c>
      <c r="D4570" s="8" t="s">
        <v>14061</v>
      </c>
      <c r="E4570" s="105">
        <v>0.3</v>
      </c>
      <c r="F4570" s="106" t="s">
        <v>2018</v>
      </c>
      <c r="G4570" s="8" t="s">
        <v>1417</v>
      </c>
      <c r="H4570" s="8"/>
      <c r="I4570" s="107">
        <v>0</v>
      </c>
      <c r="J4570" s="8" t="s">
        <v>5671</v>
      </c>
    </row>
    <row r="4571" spans="1:10" ht="16.5" customHeight="1" x14ac:dyDescent="0.25">
      <c r="A4571" s="8" t="s">
        <v>14063</v>
      </c>
      <c r="B4571" s="8" t="s">
        <v>14064</v>
      </c>
      <c r="C4571" s="8" t="s">
        <v>950</v>
      </c>
      <c r="D4571" s="8" t="s">
        <v>14064</v>
      </c>
      <c r="E4571" s="105">
        <v>0</v>
      </c>
      <c r="F4571" s="106" t="s">
        <v>2018</v>
      </c>
      <c r="G4571" s="8"/>
      <c r="H4571" s="8"/>
      <c r="I4571" s="107">
        <v>0</v>
      </c>
      <c r="J4571" s="8" t="s">
        <v>4722</v>
      </c>
    </row>
    <row r="4572" spans="1:10" ht="16.5" customHeight="1" x14ac:dyDescent="0.25">
      <c r="A4572" s="8" t="s">
        <v>14065</v>
      </c>
      <c r="B4572" s="8" t="s">
        <v>14064</v>
      </c>
      <c r="C4572" s="8" t="s">
        <v>947</v>
      </c>
      <c r="D4572" s="8" t="s">
        <v>14064</v>
      </c>
      <c r="E4572" s="105">
        <v>0</v>
      </c>
      <c r="F4572" s="106" t="s">
        <v>2018</v>
      </c>
      <c r="G4572" s="8"/>
      <c r="H4572" s="8"/>
      <c r="I4572" s="107">
        <v>0</v>
      </c>
      <c r="J4572" s="8" t="s">
        <v>4722</v>
      </c>
    </row>
    <row r="4573" spans="1:10" ht="16.5" customHeight="1" x14ac:dyDescent="0.25">
      <c r="A4573" s="8" t="s">
        <v>14066</v>
      </c>
      <c r="B4573" s="8" t="s">
        <v>14067</v>
      </c>
      <c r="C4573" s="8" t="s">
        <v>14068</v>
      </c>
      <c r="D4573" s="8" t="s">
        <v>14067</v>
      </c>
      <c r="E4573" s="105">
        <v>16.63</v>
      </c>
      <c r="F4573" s="106" t="s">
        <v>2024</v>
      </c>
      <c r="G4573" s="8" t="s">
        <v>1541</v>
      </c>
      <c r="H4573" s="8" t="s">
        <v>14069</v>
      </c>
      <c r="I4573" s="107">
        <v>10</v>
      </c>
      <c r="J4573" s="8" t="s">
        <v>5929</v>
      </c>
    </row>
    <row r="4574" spans="1:10" ht="16.5" customHeight="1" x14ac:dyDescent="0.25">
      <c r="A4574" s="8" t="s">
        <v>14069</v>
      </c>
      <c r="B4574" s="8" t="s">
        <v>14070</v>
      </c>
      <c r="C4574" s="8" t="s">
        <v>14071</v>
      </c>
      <c r="D4574" s="8" t="s">
        <v>14070</v>
      </c>
      <c r="E4574" s="105">
        <v>1.663</v>
      </c>
      <c r="F4574" s="106" t="s">
        <v>2024</v>
      </c>
      <c r="G4574" s="8" t="s">
        <v>1541</v>
      </c>
      <c r="H4574" s="8"/>
      <c r="I4574" s="107">
        <v>0</v>
      </c>
      <c r="J4574" s="8" t="s">
        <v>5929</v>
      </c>
    </row>
    <row r="4575" spans="1:10" ht="16.5" customHeight="1" x14ac:dyDescent="0.25">
      <c r="A4575" s="8" t="s">
        <v>14072</v>
      </c>
      <c r="B4575" s="8" t="s">
        <v>14073</v>
      </c>
      <c r="C4575" s="8" t="s">
        <v>1651</v>
      </c>
      <c r="D4575" s="8" t="s">
        <v>14073</v>
      </c>
      <c r="E4575" s="105">
        <v>25</v>
      </c>
      <c r="F4575" s="106" t="s">
        <v>2024</v>
      </c>
      <c r="G4575" s="8" t="s">
        <v>1541</v>
      </c>
      <c r="H4575" s="8"/>
      <c r="I4575" s="107">
        <v>0</v>
      </c>
      <c r="J4575" s="8" t="s">
        <v>5929</v>
      </c>
    </row>
    <row r="4576" spans="1:10" ht="16.5" customHeight="1" x14ac:dyDescent="0.25">
      <c r="A4576" s="8" t="s">
        <v>14074</v>
      </c>
      <c r="B4576" s="8" t="s">
        <v>14075</v>
      </c>
      <c r="C4576" s="8" t="s">
        <v>14076</v>
      </c>
      <c r="D4576" s="8" t="s">
        <v>14075</v>
      </c>
      <c r="E4576" s="105">
        <v>0.26</v>
      </c>
      <c r="F4576" s="106" t="s">
        <v>2024</v>
      </c>
      <c r="G4576" s="8"/>
      <c r="H4576" s="8"/>
      <c r="I4576" s="107">
        <v>0</v>
      </c>
      <c r="J4576" s="8" t="s">
        <v>8088</v>
      </c>
    </row>
    <row r="4577" spans="1:10" ht="16.5" customHeight="1" x14ac:dyDescent="0.25">
      <c r="A4577" s="8" t="s">
        <v>14077</v>
      </c>
      <c r="B4577" s="8" t="s">
        <v>14078</v>
      </c>
      <c r="C4577" s="8" t="s">
        <v>14079</v>
      </c>
      <c r="D4577" s="8" t="s">
        <v>14078</v>
      </c>
      <c r="E4577" s="105">
        <v>0.26</v>
      </c>
      <c r="F4577" s="106" t="s">
        <v>2024</v>
      </c>
      <c r="G4577" s="8"/>
      <c r="H4577" s="8"/>
      <c r="I4577" s="107">
        <v>0</v>
      </c>
      <c r="J4577" s="8" t="s">
        <v>8088</v>
      </c>
    </row>
    <row r="4578" spans="1:10" ht="16.5" customHeight="1" x14ac:dyDescent="0.25">
      <c r="A4578" s="8" t="s">
        <v>14080</v>
      </c>
      <c r="B4578" s="8" t="s">
        <v>14081</v>
      </c>
      <c r="C4578" s="8" t="s">
        <v>14082</v>
      </c>
      <c r="D4578" s="8" t="s">
        <v>14081</v>
      </c>
      <c r="E4578" s="105">
        <v>0</v>
      </c>
      <c r="F4578" s="106" t="s">
        <v>2018</v>
      </c>
      <c r="G4578" s="8"/>
      <c r="H4578" s="8"/>
      <c r="I4578" s="107">
        <v>0</v>
      </c>
      <c r="J4578" s="8" t="s">
        <v>3580</v>
      </c>
    </row>
    <row r="4579" spans="1:10" ht="16.5" customHeight="1" x14ac:dyDescent="0.25">
      <c r="A4579" s="8" t="s">
        <v>14083</v>
      </c>
      <c r="B4579" s="8" t="s">
        <v>14084</v>
      </c>
      <c r="C4579" s="8" t="s">
        <v>14085</v>
      </c>
      <c r="D4579" s="8" t="s">
        <v>14084</v>
      </c>
      <c r="E4579" s="105">
        <v>0</v>
      </c>
      <c r="F4579" s="106" t="s">
        <v>2018</v>
      </c>
      <c r="G4579" s="8"/>
      <c r="H4579" s="8"/>
      <c r="I4579" s="107">
        <v>0</v>
      </c>
      <c r="J4579" s="8" t="s">
        <v>3580</v>
      </c>
    </row>
    <row r="4580" spans="1:10" ht="16.5" customHeight="1" x14ac:dyDescent="0.25">
      <c r="A4580" s="8" t="s">
        <v>14086</v>
      </c>
      <c r="B4580" s="8" t="s">
        <v>14087</v>
      </c>
      <c r="C4580" s="8" t="s">
        <v>1077</v>
      </c>
      <c r="D4580" s="8" t="s">
        <v>14087</v>
      </c>
      <c r="E4580" s="105">
        <v>14</v>
      </c>
      <c r="F4580" s="106" t="s">
        <v>2018</v>
      </c>
      <c r="G4580" s="8"/>
      <c r="H4580" s="8"/>
      <c r="I4580" s="107">
        <v>0</v>
      </c>
      <c r="J4580" s="8" t="s">
        <v>4722</v>
      </c>
    </row>
    <row r="4581" spans="1:10" ht="16.5" customHeight="1" x14ac:dyDescent="0.25">
      <c r="A4581" s="8" t="s">
        <v>14088</v>
      </c>
      <c r="B4581" s="8" t="s">
        <v>1744</v>
      </c>
      <c r="C4581" s="8" t="s">
        <v>1743</v>
      </c>
      <c r="D4581" s="8" t="s">
        <v>1744</v>
      </c>
      <c r="E4581" s="105">
        <v>10</v>
      </c>
      <c r="F4581" s="106" t="s">
        <v>2018</v>
      </c>
      <c r="G4581" s="8"/>
      <c r="H4581" s="8"/>
      <c r="I4581" s="107">
        <v>0</v>
      </c>
      <c r="J4581" s="8" t="s">
        <v>4722</v>
      </c>
    </row>
    <row r="4582" spans="1:10" ht="16.5" customHeight="1" x14ac:dyDescent="0.25">
      <c r="A4582" s="8" t="s">
        <v>14089</v>
      </c>
      <c r="B4582" s="8" t="s">
        <v>8383</v>
      </c>
      <c r="C4582" s="8" t="s">
        <v>1428</v>
      </c>
      <c r="D4582" s="8" t="s">
        <v>8383</v>
      </c>
      <c r="E4582" s="105">
        <v>4.8</v>
      </c>
      <c r="F4582" s="106" t="s">
        <v>2018</v>
      </c>
      <c r="G4582" s="8"/>
      <c r="H4582" s="8"/>
      <c r="I4582" s="107">
        <v>0</v>
      </c>
      <c r="J4582" s="8" t="s">
        <v>4722</v>
      </c>
    </row>
    <row r="4583" spans="1:10" ht="16.5" customHeight="1" x14ac:dyDescent="0.25">
      <c r="A4583" s="8" t="s">
        <v>14090</v>
      </c>
      <c r="B4583" s="8" t="s">
        <v>12254</v>
      </c>
      <c r="C4583" s="8" t="s">
        <v>1564</v>
      </c>
      <c r="D4583" s="8" t="s">
        <v>12254</v>
      </c>
      <c r="E4583" s="105">
        <v>6.12</v>
      </c>
      <c r="F4583" s="106" t="s">
        <v>2018</v>
      </c>
      <c r="G4583" s="8"/>
      <c r="H4583" s="8"/>
      <c r="I4583" s="107">
        <v>0</v>
      </c>
      <c r="J4583" s="8" t="s">
        <v>4722</v>
      </c>
    </row>
    <row r="4584" spans="1:10" ht="16.5" customHeight="1" x14ac:dyDescent="0.25">
      <c r="A4584" s="8" t="s">
        <v>14091</v>
      </c>
      <c r="B4584" s="8" t="s">
        <v>14092</v>
      </c>
      <c r="C4584" s="8" t="s">
        <v>14093</v>
      </c>
      <c r="D4584" s="8" t="s">
        <v>14092</v>
      </c>
      <c r="E4584" s="105">
        <v>13.5</v>
      </c>
      <c r="F4584" s="106" t="s">
        <v>2018</v>
      </c>
      <c r="G4584" s="8"/>
      <c r="H4584" s="8"/>
      <c r="I4584" s="107">
        <v>0</v>
      </c>
      <c r="J4584" s="8" t="s">
        <v>10697</v>
      </c>
    </row>
    <row r="4585" spans="1:10" ht="16.5" customHeight="1" x14ac:dyDescent="0.25">
      <c r="A4585" s="8" t="s">
        <v>14094</v>
      </c>
      <c r="B4585" s="8" t="s">
        <v>14095</v>
      </c>
      <c r="C4585" s="8" t="s">
        <v>5591</v>
      </c>
      <c r="D4585" s="8" t="s">
        <v>14095</v>
      </c>
      <c r="E4585" s="105">
        <v>0</v>
      </c>
      <c r="F4585" s="106" t="s">
        <v>2018</v>
      </c>
      <c r="G4585" s="8"/>
      <c r="H4585" s="8"/>
      <c r="I4585" s="107">
        <v>0</v>
      </c>
      <c r="J4585" s="8" t="s">
        <v>3580</v>
      </c>
    </row>
    <row r="4586" spans="1:10" ht="16.5" customHeight="1" x14ac:dyDescent="0.25">
      <c r="A4586" s="8" t="s">
        <v>14096</v>
      </c>
      <c r="B4586" s="8" t="s">
        <v>14097</v>
      </c>
      <c r="C4586" s="8" t="s">
        <v>14098</v>
      </c>
      <c r="D4586" s="8" t="s">
        <v>14097</v>
      </c>
      <c r="E4586" s="105">
        <v>0</v>
      </c>
      <c r="F4586" s="106" t="s">
        <v>2018</v>
      </c>
      <c r="G4586" s="8"/>
      <c r="H4586" s="8"/>
      <c r="I4586" s="107">
        <v>0</v>
      </c>
      <c r="J4586" s="8" t="s">
        <v>3580</v>
      </c>
    </row>
    <row r="4587" spans="1:10" ht="16.5" customHeight="1" x14ac:dyDescent="0.25">
      <c r="A4587" s="8" t="s">
        <v>14099</v>
      </c>
      <c r="B4587" s="8" t="s">
        <v>14100</v>
      </c>
      <c r="C4587" s="8" t="s">
        <v>14101</v>
      </c>
      <c r="D4587" s="8" t="s">
        <v>14100</v>
      </c>
      <c r="E4587" s="105">
        <v>0</v>
      </c>
      <c r="F4587" s="106" t="s">
        <v>2024</v>
      </c>
      <c r="G4587" s="8"/>
      <c r="H4587" s="8"/>
      <c r="I4587" s="107">
        <v>0</v>
      </c>
      <c r="J4587" s="8" t="s">
        <v>4789</v>
      </c>
    </row>
    <row r="4588" spans="1:10" ht="16.5" customHeight="1" x14ac:dyDescent="0.25">
      <c r="A4588" s="8" t="s">
        <v>14102</v>
      </c>
      <c r="B4588" s="8" t="s">
        <v>14103</v>
      </c>
      <c r="C4588" s="8" t="s">
        <v>7951</v>
      </c>
      <c r="D4588" s="8" t="s">
        <v>14104</v>
      </c>
      <c r="E4588" s="105">
        <v>0</v>
      </c>
      <c r="F4588" s="106" t="s">
        <v>2018</v>
      </c>
      <c r="G4588" s="8"/>
      <c r="H4588" s="8"/>
      <c r="I4588" s="107">
        <v>0</v>
      </c>
      <c r="J4588" s="8" t="s">
        <v>3580</v>
      </c>
    </row>
    <row r="4589" spans="1:10" ht="16.5" customHeight="1" x14ac:dyDescent="0.25">
      <c r="A4589" s="8" t="s">
        <v>14105</v>
      </c>
      <c r="B4589" s="8" t="s">
        <v>14106</v>
      </c>
      <c r="C4589" s="8" t="s">
        <v>14107</v>
      </c>
      <c r="D4589" s="8" t="s">
        <v>14106</v>
      </c>
      <c r="E4589" s="105">
        <v>1.92</v>
      </c>
      <c r="F4589" s="106" t="s">
        <v>2018</v>
      </c>
      <c r="G4589" s="8"/>
      <c r="H4589" s="8" t="s">
        <v>14108</v>
      </c>
      <c r="I4589" s="107">
        <v>24</v>
      </c>
      <c r="J4589" s="8" t="s">
        <v>8088</v>
      </c>
    </row>
    <row r="4590" spans="1:10" ht="16.5" customHeight="1" x14ac:dyDescent="0.25">
      <c r="A4590" s="8" t="s">
        <v>14108</v>
      </c>
      <c r="B4590" s="8" t="s">
        <v>14109</v>
      </c>
      <c r="C4590" s="8" t="s">
        <v>14110</v>
      </c>
      <c r="D4590" s="8" t="s">
        <v>14109</v>
      </c>
      <c r="E4590" s="105">
        <v>0.08</v>
      </c>
      <c r="F4590" s="106" t="s">
        <v>2018</v>
      </c>
      <c r="G4590" s="8"/>
      <c r="H4590" s="8"/>
      <c r="I4590" s="107">
        <v>0</v>
      </c>
      <c r="J4590" s="8" t="s">
        <v>8088</v>
      </c>
    </row>
    <row r="4591" spans="1:10" ht="16.5" customHeight="1" x14ac:dyDescent="0.25">
      <c r="A4591" s="8" t="s">
        <v>14111</v>
      </c>
      <c r="B4591" s="8" t="s">
        <v>14112</v>
      </c>
      <c r="C4591" s="8" t="s">
        <v>12315</v>
      </c>
      <c r="D4591" s="8" t="s">
        <v>14112</v>
      </c>
      <c r="E4591" s="105">
        <v>3.4000000000000002E-2</v>
      </c>
      <c r="F4591" s="106" t="s">
        <v>2024</v>
      </c>
      <c r="G4591" s="8"/>
      <c r="H4591" s="8"/>
      <c r="I4591" s="107">
        <v>0</v>
      </c>
      <c r="J4591" s="8" t="s">
        <v>4789</v>
      </c>
    </row>
    <row r="4592" spans="1:10" ht="16.5" customHeight="1" x14ac:dyDescent="0.25">
      <c r="A4592" s="8" t="s">
        <v>14113</v>
      </c>
      <c r="B4592" s="8" t="s">
        <v>14114</v>
      </c>
      <c r="C4592" s="8" t="s">
        <v>14115</v>
      </c>
      <c r="D4592" s="8" t="s">
        <v>14114</v>
      </c>
      <c r="E4592" s="105">
        <v>10</v>
      </c>
      <c r="F4592" s="106" t="s">
        <v>2018</v>
      </c>
      <c r="G4592" s="8"/>
      <c r="H4592" s="8" t="s">
        <v>14116</v>
      </c>
      <c r="I4592" s="107">
        <v>50</v>
      </c>
      <c r="J4592" s="8" t="s">
        <v>10697</v>
      </c>
    </row>
    <row r="4593" spans="1:10" ht="16.5" customHeight="1" x14ac:dyDescent="0.25">
      <c r="A4593" s="8" t="s">
        <v>14116</v>
      </c>
      <c r="B4593" s="8" t="s">
        <v>14117</v>
      </c>
      <c r="C4593" s="8" t="s">
        <v>14118</v>
      </c>
      <c r="D4593" s="8" t="s">
        <v>14117</v>
      </c>
      <c r="E4593" s="105">
        <v>0.2</v>
      </c>
      <c r="F4593" s="106" t="s">
        <v>2018</v>
      </c>
      <c r="G4593" s="8"/>
      <c r="H4593" s="8"/>
      <c r="I4593" s="107">
        <v>0</v>
      </c>
      <c r="J4593" s="8" t="s">
        <v>10697</v>
      </c>
    </row>
    <row r="4594" spans="1:10" ht="16.5" customHeight="1" x14ac:dyDescent="0.25">
      <c r="A4594" s="8" t="s">
        <v>14119</v>
      </c>
      <c r="B4594" s="8" t="s">
        <v>14120</v>
      </c>
      <c r="C4594" s="8" t="s">
        <v>14121</v>
      </c>
      <c r="D4594" s="8" t="s">
        <v>14120</v>
      </c>
      <c r="E4594" s="105">
        <v>3.2</v>
      </c>
      <c r="F4594" s="106" t="s">
        <v>2018</v>
      </c>
      <c r="G4594" s="8"/>
      <c r="H4594" s="8"/>
      <c r="I4594" s="107">
        <v>0</v>
      </c>
      <c r="J4594" s="8" t="s">
        <v>10697</v>
      </c>
    </row>
    <row r="4595" spans="1:10" ht="16.5" customHeight="1" x14ac:dyDescent="0.25">
      <c r="A4595" s="8" t="s">
        <v>1039</v>
      </c>
      <c r="B4595" s="8" t="s">
        <v>1041</v>
      </c>
      <c r="C4595" s="8" t="s">
        <v>1040</v>
      </c>
      <c r="D4595" s="8" t="s">
        <v>1041</v>
      </c>
      <c r="E4595" s="105">
        <v>12.8</v>
      </c>
      <c r="F4595" s="106" t="s">
        <v>2018</v>
      </c>
      <c r="G4595" s="8"/>
      <c r="H4595" s="8" t="s">
        <v>14119</v>
      </c>
      <c r="I4595" s="107">
        <v>4</v>
      </c>
      <c r="J4595" s="8" t="s">
        <v>10697</v>
      </c>
    </row>
    <row r="4596" spans="1:10" ht="16.5" customHeight="1" x14ac:dyDescent="0.25">
      <c r="A4596" s="8" t="s">
        <v>14122</v>
      </c>
      <c r="B4596" s="8" t="s">
        <v>14123</v>
      </c>
      <c r="C4596" s="8" t="s">
        <v>14124</v>
      </c>
      <c r="D4596" s="8" t="s">
        <v>14123</v>
      </c>
      <c r="E4596" s="105">
        <v>3.4</v>
      </c>
      <c r="F4596" s="106" t="s">
        <v>2018</v>
      </c>
      <c r="G4596" s="8"/>
      <c r="H4596" s="8"/>
      <c r="I4596" s="107">
        <v>0</v>
      </c>
      <c r="J4596" s="8" t="s">
        <v>10697</v>
      </c>
    </row>
    <row r="4597" spans="1:10" ht="16.5" customHeight="1" x14ac:dyDescent="0.25">
      <c r="A4597" s="8" t="s">
        <v>1042</v>
      </c>
      <c r="B4597" s="8" t="s">
        <v>1044</v>
      </c>
      <c r="C4597" s="8" t="s">
        <v>1043</v>
      </c>
      <c r="D4597" s="8" t="s">
        <v>1044</v>
      </c>
      <c r="E4597" s="105">
        <v>13.6</v>
      </c>
      <c r="F4597" s="106" t="s">
        <v>2018</v>
      </c>
      <c r="G4597" s="8"/>
      <c r="H4597" s="8" t="s">
        <v>14122</v>
      </c>
      <c r="I4597" s="107">
        <v>4</v>
      </c>
      <c r="J4597" s="8" t="s">
        <v>10697</v>
      </c>
    </row>
    <row r="4598" spans="1:10" ht="16.5" customHeight="1" x14ac:dyDescent="0.25">
      <c r="A4598" s="8" t="s">
        <v>14125</v>
      </c>
      <c r="B4598" s="8" t="s">
        <v>14126</v>
      </c>
      <c r="C4598" s="8" t="s">
        <v>14127</v>
      </c>
      <c r="D4598" s="8" t="s">
        <v>14126</v>
      </c>
      <c r="E4598" s="105">
        <v>9</v>
      </c>
      <c r="F4598" s="106" t="s">
        <v>2018</v>
      </c>
      <c r="G4598" s="8"/>
      <c r="H4598" s="8"/>
      <c r="I4598" s="107">
        <v>0</v>
      </c>
      <c r="J4598" s="8" t="s">
        <v>10697</v>
      </c>
    </row>
    <row r="4599" spans="1:10" ht="16.5" customHeight="1" x14ac:dyDescent="0.25">
      <c r="A4599" s="8" t="s">
        <v>1263</v>
      </c>
      <c r="B4599" s="8" t="s">
        <v>1265</v>
      </c>
      <c r="C4599" s="8" t="s">
        <v>1264</v>
      </c>
      <c r="D4599" s="8" t="s">
        <v>1265</v>
      </c>
      <c r="E4599" s="105">
        <v>18</v>
      </c>
      <c r="F4599" s="106" t="s">
        <v>2018</v>
      </c>
      <c r="G4599" s="8"/>
      <c r="H4599" s="8" t="s">
        <v>14125</v>
      </c>
      <c r="I4599" s="107">
        <v>2</v>
      </c>
      <c r="J4599" s="8" t="s">
        <v>10697</v>
      </c>
    </row>
    <row r="4600" spans="1:10" ht="16.5" customHeight="1" x14ac:dyDescent="0.25">
      <c r="A4600" s="8" t="s">
        <v>14128</v>
      </c>
      <c r="B4600" s="8" t="s">
        <v>14129</v>
      </c>
      <c r="C4600" s="8" t="s">
        <v>14130</v>
      </c>
      <c r="D4600" s="8" t="s">
        <v>14129</v>
      </c>
      <c r="E4600" s="105">
        <v>0</v>
      </c>
      <c r="F4600" s="106" t="s">
        <v>2018</v>
      </c>
      <c r="G4600" s="8"/>
      <c r="H4600" s="8"/>
      <c r="I4600" s="107">
        <v>0</v>
      </c>
      <c r="J4600" s="8"/>
    </row>
    <row r="4601" spans="1:10" ht="16.5" customHeight="1" x14ac:dyDescent="0.25">
      <c r="A4601" s="8" t="s">
        <v>14131</v>
      </c>
      <c r="B4601" s="8" t="s">
        <v>14132</v>
      </c>
      <c r="C4601" s="8" t="s">
        <v>14133</v>
      </c>
      <c r="D4601" s="8" t="s">
        <v>14132</v>
      </c>
      <c r="E4601" s="105">
        <v>0</v>
      </c>
      <c r="F4601" s="106" t="s">
        <v>2018</v>
      </c>
      <c r="G4601" s="8"/>
      <c r="H4601" s="8"/>
      <c r="I4601" s="107">
        <v>0</v>
      </c>
      <c r="J4601" s="8"/>
    </row>
    <row r="4602" spans="1:10" ht="16.5" customHeight="1" x14ac:dyDescent="0.25">
      <c r="A4602" s="8" t="s">
        <v>14134</v>
      </c>
      <c r="B4602" s="8" t="s">
        <v>14135</v>
      </c>
      <c r="C4602" s="8" t="s">
        <v>14136</v>
      </c>
      <c r="D4602" s="8" t="s">
        <v>14135</v>
      </c>
      <c r="E4602" s="105">
        <v>0</v>
      </c>
      <c r="F4602" s="106" t="s">
        <v>2018</v>
      </c>
      <c r="G4602" s="8"/>
      <c r="H4602" s="8"/>
      <c r="I4602" s="107">
        <v>0</v>
      </c>
      <c r="J4602" s="8"/>
    </row>
    <row r="4603" spans="1:10" ht="16.5" customHeight="1" x14ac:dyDescent="0.25">
      <c r="A4603" s="8" t="s">
        <v>14137</v>
      </c>
      <c r="B4603" s="8" t="s">
        <v>14138</v>
      </c>
      <c r="C4603" s="8" t="s">
        <v>14139</v>
      </c>
      <c r="D4603" s="8" t="s">
        <v>14138</v>
      </c>
      <c r="E4603" s="105">
        <v>0</v>
      </c>
      <c r="F4603" s="106" t="s">
        <v>2018</v>
      </c>
      <c r="G4603" s="8"/>
      <c r="H4603" s="8"/>
      <c r="I4603" s="107">
        <v>0</v>
      </c>
      <c r="J4603" s="8"/>
    </row>
    <row r="4604" spans="1:10" ht="16.5" customHeight="1" x14ac:dyDescent="0.25">
      <c r="A4604" s="8" t="s">
        <v>14140</v>
      </c>
      <c r="B4604" s="8" t="s">
        <v>14141</v>
      </c>
      <c r="C4604" s="8" t="s">
        <v>14142</v>
      </c>
      <c r="D4604" s="8" t="s">
        <v>14141</v>
      </c>
      <c r="E4604" s="105">
        <v>0</v>
      </c>
      <c r="F4604" s="106" t="s">
        <v>2018</v>
      </c>
      <c r="G4604" s="8"/>
      <c r="H4604" s="8"/>
      <c r="I4604" s="107">
        <v>0</v>
      </c>
      <c r="J4604" s="8" t="s">
        <v>5779</v>
      </c>
    </row>
    <row r="4605" spans="1:10" ht="16.5" customHeight="1" x14ac:dyDescent="0.25">
      <c r="A4605" s="8" t="s">
        <v>14143</v>
      </c>
      <c r="B4605" s="8" t="s">
        <v>14144</v>
      </c>
      <c r="C4605" s="8" t="s">
        <v>14145</v>
      </c>
      <c r="D4605" s="8" t="s">
        <v>14144</v>
      </c>
      <c r="E4605" s="105">
        <v>25</v>
      </c>
      <c r="F4605" s="106" t="s">
        <v>2018</v>
      </c>
      <c r="G4605" s="8"/>
      <c r="H4605" s="8"/>
      <c r="I4605" s="107">
        <v>0</v>
      </c>
      <c r="J4605" s="8" t="s">
        <v>3580</v>
      </c>
    </row>
    <row r="4606" spans="1:10" ht="16.5" customHeight="1" x14ac:dyDescent="0.25">
      <c r="A4606" s="8" t="s">
        <v>14146</v>
      </c>
      <c r="B4606" s="8" t="s">
        <v>14147</v>
      </c>
      <c r="C4606" s="8" t="s">
        <v>14148</v>
      </c>
      <c r="D4606" s="8" t="s">
        <v>14147</v>
      </c>
      <c r="E4606" s="105">
        <v>25</v>
      </c>
      <c r="F4606" s="106" t="s">
        <v>2018</v>
      </c>
      <c r="G4606" s="8"/>
      <c r="H4606" s="8"/>
      <c r="I4606" s="107">
        <v>0</v>
      </c>
      <c r="J4606" s="8" t="s">
        <v>3580</v>
      </c>
    </row>
    <row r="4607" spans="1:10" ht="16.5" customHeight="1" x14ac:dyDescent="0.25">
      <c r="A4607" s="8" t="s">
        <v>14149</v>
      </c>
      <c r="B4607" s="8" t="s">
        <v>14150</v>
      </c>
      <c r="C4607" s="8" t="s">
        <v>14151</v>
      </c>
      <c r="D4607" s="8" t="s">
        <v>14150</v>
      </c>
      <c r="E4607" s="105">
        <v>0</v>
      </c>
      <c r="F4607" s="106" t="s">
        <v>2018</v>
      </c>
      <c r="G4607" s="8"/>
      <c r="H4607" s="8"/>
      <c r="I4607" s="107">
        <v>0</v>
      </c>
      <c r="J4607" s="8" t="s">
        <v>4823</v>
      </c>
    </row>
    <row r="4608" spans="1:10" ht="16.5" customHeight="1" x14ac:dyDescent="0.25">
      <c r="A4608" s="8" t="s">
        <v>14152</v>
      </c>
      <c r="B4608" s="8" t="s">
        <v>14153</v>
      </c>
      <c r="C4608" s="8" t="s">
        <v>14154</v>
      </c>
      <c r="D4608" s="8" t="s">
        <v>14153</v>
      </c>
      <c r="E4608" s="105">
        <v>1</v>
      </c>
      <c r="F4608" s="106" t="s">
        <v>2018</v>
      </c>
      <c r="G4608" s="8"/>
      <c r="H4608" s="8"/>
      <c r="I4608" s="107">
        <v>0</v>
      </c>
      <c r="J4608" s="8" t="s">
        <v>6357</v>
      </c>
    </row>
    <row r="4609" spans="1:10" ht="16.5" customHeight="1" x14ac:dyDescent="0.25">
      <c r="A4609" s="8" t="s">
        <v>14155</v>
      </c>
      <c r="B4609" s="8" t="s">
        <v>14156</v>
      </c>
      <c r="C4609" s="8" t="s">
        <v>14157</v>
      </c>
      <c r="D4609" s="8" t="s">
        <v>14156</v>
      </c>
      <c r="E4609" s="105">
        <v>1.0200000000000001E-2</v>
      </c>
      <c r="F4609" s="106" t="s">
        <v>2024</v>
      </c>
      <c r="G4609" s="8"/>
      <c r="H4609" s="8"/>
      <c r="I4609" s="107">
        <v>0</v>
      </c>
      <c r="J4609" s="8" t="s">
        <v>4789</v>
      </c>
    </row>
    <row r="4610" spans="1:10" ht="16.5" customHeight="1" x14ac:dyDescent="0.25">
      <c r="A4610" s="8" t="s">
        <v>14158</v>
      </c>
      <c r="B4610" s="8" t="s">
        <v>14159</v>
      </c>
      <c r="C4610" s="8" t="s">
        <v>14160</v>
      </c>
      <c r="D4610" s="8" t="s">
        <v>14159</v>
      </c>
      <c r="E4610" s="105">
        <v>0</v>
      </c>
      <c r="F4610" s="106" t="s">
        <v>2018</v>
      </c>
      <c r="G4610" s="8"/>
      <c r="H4610" s="8"/>
      <c r="I4610" s="107">
        <v>0</v>
      </c>
      <c r="J4610" s="8" t="s">
        <v>3580</v>
      </c>
    </row>
    <row r="4611" spans="1:10" ht="16.5" customHeight="1" x14ac:dyDescent="0.25">
      <c r="A4611" s="8" t="s">
        <v>14161</v>
      </c>
      <c r="B4611" s="8" t="s">
        <v>14162</v>
      </c>
      <c r="C4611" s="8" t="s">
        <v>14163</v>
      </c>
      <c r="D4611" s="8" t="s">
        <v>14162</v>
      </c>
      <c r="E4611" s="105">
        <v>25</v>
      </c>
      <c r="F4611" s="106" t="s">
        <v>2018</v>
      </c>
      <c r="G4611" s="8"/>
      <c r="H4611" s="8"/>
      <c r="I4611" s="107">
        <v>0</v>
      </c>
      <c r="J4611" s="8" t="s">
        <v>3580</v>
      </c>
    </row>
    <row r="4612" spans="1:10" ht="16.5" customHeight="1" x14ac:dyDescent="0.25">
      <c r="A4612" s="8" t="s">
        <v>14164</v>
      </c>
      <c r="B4612" s="8" t="s">
        <v>14165</v>
      </c>
      <c r="C4612" s="8" t="s">
        <v>4576</v>
      </c>
      <c r="D4612" s="8" t="s">
        <v>14166</v>
      </c>
      <c r="E4612" s="105">
        <v>0</v>
      </c>
      <c r="F4612" s="106" t="s">
        <v>2018</v>
      </c>
      <c r="G4612" s="8"/>
      <c r="H4612" s="8"/>
      <c r="I4612" s="107">
        <v>0</v>
      </c>
      <c r="J4612" s="8" t="s">
        <v>3580</v>
      </c>
    </row>
    <row r="4613" spans="1:10" ht="16.5" customHeight="1" x14ac:dyDescent="0.25">
      <c r="A4613" s="8" t="s">
        <v>14167</v>
      </c>
      <c r="B4613" s="8" t="s">
        <v>14168</v>
      </c>
      <c r="C4613" s="8" t="s">
        <v>12006</v>
      </c>
      <c r="D4613" s="8" t="s">
        <v>14169</v>
      </c>
      <c r="E4613" s="105">
        <v>0</v>
      </c>
      <c r="F4613" s="106" t="s">
        <v>2018</v>
      </c>
      <c r="G4613" s="8"/>
      <c r="H4613" s="8"/>
      <c r="I4613" s="107">
        <v>0</v>
      </c>
      <c r="J4613" s="8" t="s">
        <v>3580</v>
      </c>
    </row>
    <row r="4614" spans="1:10" ht="16.5" customHeight="1" x14ac:dyDescent="0.25">
      <c r="A4614" s="8" t="s">
        <v>14170</v>
      </c>
      <c r="B4614" s="8" t="s">
        <v>14171</v>
      </c>
      <c r="C4614" s="8" t="s">
        <v>1654</v>
      </c>
      <c r="D4614" s="8" t="s">
        <v>14171</v>
      </c>
      <c r="E4614" s="105">
        <v>13.46</v>
      </c>
      <c r="F4614" s="106" t="s">
        <v>2024</v>
      </c>
      <c r="G4614" s="8"/>
      <c r="H4614" s="8"/>
      <c r="I4614" s="107">
        <v>0</v>
      </c>
      <c r="J4614" s="8" t="s">
        <v>5929</v>
      </c>
    </row>
    <row r="4615" spans="1:10" ht="16.5" customHeight="1" x14ac:dyDescent="0.25">
      <c r="A4615" s="8" t="s">
        <v>14172</v>
      </c>
      <c r="B4615" s="8" t="s">
        <v>14173</v>
      </c>
      <c r="C4615" s="8" t="s">
        <v>14009</v>
      </c>
      <c r="D4615" s="8" t="s">
        <v>14173</v>
      </c>
      <c r="E4615" s="105">
        <v>0.56000000000000005</v>
      </c>
      <c r="F4615" s="106" t="s">
        <v>2024</v>
      </c>
      <c r="G4615" s="8"/>
      <c r="H4615" s="8"/>
      <c r="I4615" s="107">
        <v>0</v>
      </c>
      <c r="J4615" s="8" t="s">
        <v>5929</v>
      </c>
    </row>
    <row r="4616" spans="1:10" ht="16.5" customHeight="1" x14ac:dyDescent="0.25">
      <c r="A4616" s="8" t="s">
        <v>14174</v>
      </c>
      <c r="B4616" s="8" t="s">
        <v>12254</v>
      </c>
      <c r="C4616" s="8" t="s">
        <v>1564</v>
      </c>
      <c r="D4616" s="8" t="s">
        <v>12254</v>
      </c>
      <c r="E4616" s="105">
        <v>6.12</v>
      </c>
      <c r="F4616" s="106" t="s">
        <v>2024</v>
      </c>
      <c r="G4616" s="8"/>
      <c r="H4616" s="8"/>
      <c r="I4616" s="107">
        <v>0</v>
      </c>
      <c r="J4616" s="8" t="s">
        <v>5929</v>
      </c>
    </row>
    <row r="4617" spans="1:10" ht="16.5" customHeight="1" x14ac:dyDescent="0.25">
      <c r="A4617" s="8" t="s">
        <v>14175</v>
      </c>
      <c r="B4617" s="8" t="s">
        <v>14176</v>
      </c>
      <c r="C4617" s="8" t="s">
        <v>12257</v>
      </c>
      <c r="D4617" s="8" t="s">
        <v>14176</v>
      </c>
      <c r="E4617" s="105">
        <v>0.26</v>
      </c>
      <c r="F4617" s="106" t="s">
        <v>2024</v>
      </c>
      <c r="G4617" s="8"/>
      <c r="H4617" s="8"/>
      <c r="I4617" s="107">
        <v>0</v>
      </c>
      <c r="J4617" s="8" t="s">
        <v>5929</v>
      </c>
    </row>
    <row r="4618" spans="1:10" ht="16.5" customHeight="1" x14ac:dyDescent="0.25">
      <c r="A4618" s="8" t="s">
        <v>14177</v>
      </c>
      <c r="B4618" s="8" t="s">
        <v>14178</v>
      </c>
      <c r="C4618" s="8" t="s">
        <v>14179</v>
      </c>
      <c r="D4618" s="8" t="s">
        <v>14178</v>
      </c>
      <c r="E4618" s="105">
        <v>6</v>
      </c>
      <c r="F4618" s="106" t="s">
        <v>2024</v>
      </c>
      <c r="G4618" s="8"/>
      <c r="H4618" s="8"/>
      <c r="I4618" s="107">
        <v>0</v>
      </c>
      <c r="J4618" s="8" t="s">
        <v>5929</v>
      </c>
    </row>
    <row r="4619" spans="1:10" ht="16.5" customHeight="1" x14ac:dyDescent="0.25">
      <c r="A4619" s="8" t="s">
        <v>14180</v>
      </c>
      <c r="B4619" s="8" t="s">
        <v>5687</v>
      </c>
      <c r="C4619" s="8" t="s">
        <v>1425</v>
      </c>
      <c r="D4619" s="8" t="s">
        <v>5687</v>
      </c>
      <c r="E4619" s="105">
        <v>10</v>
      </c>
      <c r="F4619" s="106" t="s">
        <v>2018</v>
      </c>
      <c r="G4619" s="8"/>
      <c r="H4619" s="8"/>
      <c r="I4619" s="107">
        <v>0</v>
      </c>
      <c r="J4619" s="8" t="s">
        <v>5671</v>
      </c>
    </row>
    <row r="4620" spans="1:10" ht="16.5" customHeight="1" x14ac:dyDescent="0.25">
      <c r="A4620" s="8" t="s">
        <v>14181</v>
      </c>
      <c r="B4620" s="8" t="s">
        <v>8383</v>
      </c>
      <c r="C4620" s="8" t="s">
        <v>1428</v>
      </c>
      <c r="D4620" s="8" t="s">
        <v>8383</v>
      </c>
      <c r="E4620" s="105">
        <v>4.8</v>
      </c>
      <c r="F4620" s="106" t="s">
        <v>2018</v>
      </c>
      <c r="G4620" s="8"/>
      <c r="H4620" s="8"/>
      <c r="I4620" s="107">
        <v>0</v>
      </c>
      <c r="J4620" s="8" t="s">
        <v>5671</v>
      </c>
    </row>
    <row r="4621" spans="1:10" ht="16.5" customHeight="1" x14ac:dyDescent="0.25">
      <c r="A4621" s="8" t="s">
        <v>14182</v>
      </c>
      <c r="B4621" s="8" t="s">
        <v>14183</v>
      </c>
      <c r="C4621" s="8" t="s">
        <v>14184</v>
      </c>
      <c r="D4621" s="8" t="s">
        <v>14183</v>
      </c>
      <c r="E4621" s="105">
        <v>6</v>
      </c>
      <c r="F4621" s="106" t="s">
        <v>2018</v>
      </c>
      <c r="G4621" s="8"/>
      <c r="H4621" s="8"/>
      <c r="I4621" s="107">
        <v>0</v>
      </c>
      <c r="J4621" s="8" t="s">
        <v>5671</v>
      </c>
    </row>
    <row r="4622" spans="1:10" ht="16.5" customHeight="1" x14ac:dyDescent="0.25">
      <c r="A4622" s="8" t="s">
        <v>14185</v>
      </c>
      <c r="B4622" s="8" t="s">
        <v>14186</v>
      </c>
      <c r="C4622" s="8" t="s">
        <v>1498</v>
      </c>
      <c r="D4622" s="8" t="s">
        <v>14186</v>
      </c>
      <c r="E4622" s="105">
        <v>7.2</v>
      </c>
      <c r="F4622" s="106" t="s">
        <v>2018</v>
      </c>
      <c r="G4622" s="8"/>
      <c r="H4622" s="8"/>
      <c r="I4622" s="107">
        <v>0</v>
      </c>
      <c r="J4622" s="8" t="s">
        <v>5671</v>
      </c>
    </row>
    <row r="4623" spans="1:10" ht="16.5" customHeight="1" x14ac:dyDescent="0.25">
      <c r="A4623" s="8" t="s">
        <v>14187</v>
      </c>
      <c r="B4623" s="8" t="s">
        <v>14188</v>
      </c>
      <c r="C4623" s="8" t="s">
        <v>14189</v>
      </c>
      <c r="D4623" s="8" t="s">
        <v>14188</v>
      </c>
      <c r="E4623" s="105">
        <v>0.35</v>
      </c>
      <c r="F4623" s="106" t="s">
        <v>2024</v>
      </c>
      <c r="G4623" s="8"/>
      <c r="H4623" s="8"/>
      <c r="I4623" s="107">
        <v>0</v>
      </c>
      <c r="J4623" s="8" t="s">
        <v>4789</v>
      </c>
    </row>
    <row r="4624" spans="1:10" ht="16.5" customHeight="1" x14ac:dyDescent="0.25">
      <c r="A4624" s="8" t="s">
        <v>14190</v>
      </c>
      <c r="B4624" s="8" t="s">
        <v>14191</v>
      </c>
      <c r="C4624" s="8" t="s">
        <v>14192</v>
      </c>
      <c r="D4624" s="8" t="s">
        <v>14191</v>
      </c>
      <c r="E4624" s="105">
        <v>4.8</v>
      </c>
      <c r="F4624" s="106" t="s">
        <v>2018</v>
      </c>
      <c r="G4624" s="8"/>
      <c r="H4624" s="8"/>
      <c r="I4624" s="107">
        <v>0</v>
      </c>
      <c r="J4624" s="8" t="s">
        <v>4722</v>
      </c>
    </row>
    <row r="4625" spans="1:10" ht="16.5" customHeight="1" x14ac:dyDescent="0.25">
      <c r="A4625" s="8" t="s">
        <v>14193</v>
      </c>
      <c r="B4625" s="8" t="s">
        <v>2434</v>
      </c>
      <c r="C4625" s="8" t="s">
        <v>984</v>
      </c>
      <c r="D4625" s="8" t="s">
        <v>2434</v>
      </c>
      <c r="E4625" s="105">
        <v>0.08</v>
      </c>
      <c r="F4625" s="106" t="s">
        <v>2018</v>
      </c>
      <c r="G4625" s="8"/>
      <c r="H4625" s="8"/>
      <c r="I4625" s="107">
        <v>0</v>
      </c>
      <c r="J4625" s="8" t="s">
        <v>4722</v>
      </c>
    </row>
    <row r="4626" spans="1:10" ht="16.5" customHeight="1" x14ac:dyDescent="0.25">
      <c r="A4626" s="8" t="s">
        <v>14194</v>
      </c>
      <c r="B4626" s="8" t="s">
        <v>14195</v>
      </c>
      <c r="C4626" s="8" t="s">
        <v>14196</v>
      </c>
      <c r="D4626" s="8" t="s">
        <v>14197</v>
      </c>
      <c r="E4626" s="105">
        <v>0</v>
      </c>
      <c r="F4626" s="106" t="s">
        <v>2018</v>
      </c>
      <c r="G4626" s="8"/>
      <c r="H4626" s="8"/>
      <c r="I4626" s="107">
        <v>0</v>
      </c>
      <c r="J4626" s="8" t="s">
        <v>3580</v>
      </c>
    </row>
    <row r="4627" spans="1:10" ht="16.5" customHeight="1" x14ac:dyDescent="0.25">
      <c r="A4627" s="8" t="s">
        <v>14198</v>
      </c>
      <c r="B4627" s="8" t="s">
        <v>14199</v>
      </c>
      <c r="C4627" s="8" t="s">
        <v>14200</v>
      </c>
      <c r="D4627" s="8" t="s">
        <v>14199</v>
      </c>
      <c r="E4627" s="105">
        <v>1</v>
      </c>
      <c r="F4627" s="106" t="s">
        <v>2018</v>
      </c>
      <c r="G4627" s="8"/>
      <c r="H4627" s="8"/>
      <c r="I4627" s="107">
        <v>0</v>
      </c>
      <c r="J4627" s="8" t="s">
        <v>6357</v>
      </c>
    </row>
    <row r="4628" spans="1:10" ht="16.5" customHeight="1" x14ac:dyDescent="0.25">
      <c r="A4628" s="8" t="s">
        <v>14201</v>
      </c>
      <c r="B4628" s="8" t="s">
        <v>14202</v>
      </c>
      <c r="C4628" s="8" t="s">
        <v>14203</v>
      </c>
      <c r="D4628" s="8" t="s">
        <v>14202</v>
      </c>
      <c r="E4628" s="105">
        <v>1</v>
      </c>
      <c r="F4628" s="106" t="s">
        <v>2018</v>
      </c>
      <c r="G4628" s="8"/>
      <c r="H4628" s="8"/>
      <c r="I4628" s="107">
        <v>0</v>
      </c>
      <c r="J4628" s="8" t="s">
        <v>3695</v>
      </c>
    </row>
    <row r="4629" spans="1:10" ht="16.5" customHeight="1" x14ac:dyDescent="0.25">
      <c r="A4629" s="8" t="s">
        <v>14204</v>
      </c>
      <c r="B4629" s="8" t="s">
        <v>14205</v>
      </c>
      <c r="C4629" s="8" t="s">
        <v>14206</v>
      </c>
      <c r="D4629" s="8" t="s">
        <v>14207</v>
      </c>
      <c r="E4629" s="105">
        <v>1</v>
      </c>
      <c r="F4629" s="106" t="s">
        <v>2018</v>
      </c>
      <c r="G4629" s="8"/>
      <c r="H4629" s="8"/>
      <c r="I4629" s="107">
        <v>0</v>
      </c>
      <c r="J4629" s="8" t="s">
        <v>6357</v>
      </c>
    </row>
    <row r="4630" spans="1:10" ht="16.5" customHeight="1" x14ac:dyDescent="0.25">
      <c r="A4630" s="8" t="s">
        <v>14208</v>
      </c>
      <c r="B4630" s="8" t="s">
        <v>14209</v>
      </c>
      <c r="C4630" s="8" t="s">
        <v>14210</v>
      </c>
      <c r="D4630" s="8" t="s">
        <v>14209</v>
      </c>
      <c r="E4630" s="105">
        <v>1</v>
      </c>
      <c r="F4630" s="106" t="s">
        <v>2018</v>
      </c>
      <c r="G4630" s="8"/>
      <c r="H4630" s="8"/>
      <c r="I4630" s="107">
        <v>0</v>
      </c>
      <c r="J4630" s="8" t="s">
        <v>3695</v>
      </c>
    </row>
    <row r="4631" spans="1:10" ht="16.5" customHeight="1" x14ac:dyDescent="0.25">
      <c r="A4631" s="8" t="s">
        <v>14211</v>
      </c>
      <c r="B4631" s="8" t="s">
        <v>14212</v>
      </c>
      <c r="C4631" s="8" t="s">
        <v>14213</v>
      </c>
      <c r="D4631" s="8" t="s">
        <v>14214</v>
      </c>
      <c r="E4631" s="105">
        <v>1</v>
      </c>
      <c r="F4631" s="106" t="s">
        <v>2018</v>
      </c>
      <c r="G4631" s="8"/>
      <c r="H4631" s="8"/>
      <c r="I4631" s="107">
        <v>0</v>
      </c>
      <c r="J4631" s="8" t="s">
        <v>6357</v>
      </c>
    </row>
    <row r="4632" spans="1:10" ht="16.5" customHeight="1" x14ac:dyDescent="0.25">
      <c r="A4632" s="8" t="s">
        <v>14215</v>
      </c>
      <c r="B4632" s="8" t="s">
        <v>14216</v>
      </c>
      <c r="C4632" s="8" t="s">
        <v>14217</v>
      </c>
      <c r="D4632" s="8" t="s">
        <v>14216</v>
      </c>
      <c r="E4632" s="105">
        <v>1</v>
      </c>
      <c r="F4632" s="106" t="s">
        <v>2018</v>
      </c>
      <c r="G4632" s="8"/>
      <c r="H4632" s="8"/>
      <c r="I4632" s="107">
        <v>0</v>
      </c>
      <c r="J4632" s="8" t="s">
        <v>6357</v>
      </c>
    </row>
    <row r="4633" spans="1:10" ht="16.5" customHeight="1" x14ac:dyDescent="0.25">
      <c r="A4633" s="8" t="s">
        <v>14218</v>
      </c>
      <c r="B4633" s="8" t="s">
        <v>14219</v>
      </c>
      <c r="C4633" s="8" t="s">
        <v>13254</v>
      </c>
      <c r="D4633" s="8" t="s">
        <v>14220</v>
      </c>
      <c r="E4633" s="105">
        <v>0</v>
      </c>
      <c r="F4633" s="106" t="s">
        <v>2018</v>
      </c>
      <c r="G4633" s="8"/>
      <c r="H4633" s="8"/>
      <c r="I4633" s="107">
        <v>0</v>
      </c>
      <c r="J4633" s="8" t="s">
        <v>4823</v>
      </c>
    </row>
    <row r="4634" spans="1:10" ht="16.5" customHeight="1" x14ac:dyDescent="0.25">
      <c r="A4634" s="8" t="s">
        <v>14221</v>
      </c>
      <c r="B4634" s="8" t="s">
        <v>14222</v>
      </c>
      <c r="C4634" s="8" t="s">
        <v>14223</v>
      </c>
      <c r="D4634" s="8" t="s">
        <v>14224</v>
      </c>
      <c r="E4634" s="105">
        <v>0</v>
      </c>
      <c r="F4634" s="106" t="s">
        <v>2018</v>
      </c>
      <c r="G4634" s="8"/>
      <c r="H4634" s="8"/>
      <c r="I4634" s="107">
        <v>0</v>
      </c>
      <c r="J4634" s="8" t="s">
        <v>4823</v>
      </c>
    </row>
    <row r="4635" spans="1:10" ht="16.5" customHeight="1" x14ac:dyDescent="0.25">
      <c r="A4635" s="8" t="s">
        <v>14225</v>
      </c>
      <c r="B4635" s="8" t="s">
        <v>14226</v>
      </c>
      <c r="C4635" s="8" t="s">
        <v>14227</v>
      </c>
      <c r="D4635" s="8" t="s">
        <v>14226</v>
      </c>
      <c r="E4635" s="105">
        <v>0</v>
      </c>
      <c r="F4635" s="106" t="s">
        <v>2018</v>
      </c>
      <c r="G4635" s="8"/>
      <c r="H4635" s="8"/>
      <c r="I4635" s="107">
        <v>0</v>
      </c>
      <c r="J4635" s="8"/>
    </row>
    <row r="4636" spans="1:10" ht="16.5" customHeight="1" x14ac:dyDescent="0.25">
      <c r="A4636" s="8" t="s">
        <v>14228</v>
      </c>
      <c r="B4636" s="8" t="s">
        <v>14229</v>
      </c>
      <c r="C4636" s="8" t="s">
        <v>14230</v>
      </c>
      <c r="D4636" s="8" t="s">
        <v>14229</v>
      </c>
      <c r="E4636" s="105">
        <v>0</v>
      </c>
      <c r="F4636" s="106" t="s">
        <v>2018</v>
      </c>
      <c r="G4636" s="8"/>
      <c r="H4636" s="8"/>
      <c r="I4636" s="107">
        <v>0</v>
      </c>
      <c r="J4636" s="8"/>
    </row>
    <row r="4637" spans="1:10" ht="16.5" customHeight="1" x14ac:dyDescent="0.25">
      <c r="A4637" s="8" t="s">
        <v>14231</v>
      </c>
      <c r="B4637" s="8" t="s">
        <v>14232</v>
      </c>
      <c r="C4637" s="8" t="s">
        <v>14233</v>
      </c>
      <c r="D4637" s="8" t="s">
        <v>14234</v>
      </c>
      <c r="E4637" s="105">
        <v>2.1399999999999999E-2</v>
      </c>
      <c r="F4637" s="106" t="s">
        <v>2024</v>
      </c>
      <c r="G4637" s="8"/>
      <c r="H4637" s="8"/>
      <c r="I4637" s="107">
        <v>0</v>
      </c>
      <c r="J4637" s="8" t="s">
        <v>4789</v>
      </c>
    </row>
    <row r="4638" spans="1:10" ht="16.5" customHeight="1" x14ac:dyDescent="0.25">
      <c r="A4638" s="8" t="s">
        <v>14235</v>
      </c>
      <c r="B4638" s="8" t="s">
        <v>14236</v>
      </c>
      <c r="C4638" s="8" t="s">
        <v>14237</v>
      </c>
      <c r="D4638" s="8" t="s">
        <v>14236</v>
      </c>
      <c r="E4638" s="105">
        <v>2.5999999999999999E-3</v>
      </c>
      <c r="F4638" s="106" t="s">
        <v>2024</v>
      </c>
      <c r="G4638" s="8"/>
      <c r="H4638" s="8"/>
      <c r="I4638" s="107">
        <v>0</v>
      </c>
      <c r="J4638" s="8" t="s">
        <v>4789</v>
      </c>
    </row>
    <row r="4639" spans="1:10" ht="16.5" customHeight="1" x14ac:dyDescent="0.25">
      <c r="A4639" s="8" t="s">
        <v>14238</v>
      </c>
      <c r="B4639" s="8" t="s">
        <v>14239</v>
      </c>
      <c r="C4639" s="8" t="s">
        <v>14240</v>
      </c>
      <c r="D4639" s="8" t="s">
        <v>14239</v>
      </c>
      <c r="E4639" s="105">
        <v>1.66E-2</v>
      </c>
      <c r="F4639" s="106" t="s">
        <v>2024</v>
      </c>
      <c r="G4639" s="8"/>
      <c r="H4639" s="8"/>
      <c r="I4639" s="107">
        <v>0</v>
      </c>
      <c r="J4639" s="8" t="s">
        <v>4789</v>
      </c>
    </row>
    <row r="4640" spans="1:10" ht="16.5" customHeight="1" x14ac:dyDescent="0.25">
      <c r="A4640" s="8" t="s">
        <v>14241</v>
      </c>
      <c r="B4640" s="8" t="s">
        <v>14242</v>
      </c>
      <c r="C4640" s="8" t="s">
        <v>14243</v>
      </c>
      <c r="D4640" s="8" t="s">
        <v>14244</v>
      </c>
      <c r="E4640" s="105">
        <v>0</v>
      </c>
      <c r="F4640" s="106" t="s">
        <v>2018</v>
      </c>
      <c r="G4640" s="8"/>
      <c r="H4640" s="8"/>
      <c r="I4640" s="107">
        <v>0</v>
      </c>
      <c r="J4640" s="8" t="s">
        <v>4823</v>
      </c>
    </row>
    <row r="4641" spans="1:10" ht="16.5" customHeight="1" x14ac:dyDescent="0.25">
      <c r="A4641" s="8" t="s">
        <v>14245</v>
      </c>
      <c r="B4641" s="8" t="s">
        <v>14246</v>
      </c>
      <c r="C4641" s="8" t="s">
        <v>14243</v>
      </c>
      <c r="D4641" s="8" t="s">
        <v>14244</v>
      </c>
      <c r="E4641" s="105">
        <v>0</v>
      </c>
      <c r="F4641" s="106" t="s">
        <v>2018</v>
      </c>
      <c r="G4641" s="8"/>
      <c r="H4641" s="8"/>
      <c r="I4641" s="107">
        <v>0</v>
      </c>
      <c r="J4641" s="8" t="s">
        <v>4823</v>
      </c>
    </row>
    <row r="4642" spans="1:10" ht="16.5" customHeight="1" x14ac:dyDescent="0.25">
      <c r="A4642" s="8" t="s">
        <v>14247</v>
      </c>
      <c r="B4642" s="8" t="s">
        <v>14248</v>
      </c>
      <c r="C4642" s="8" t="s">
        <v>14249</v>
      </c>
      <c r="D4642" s="8" t="s">
        <v>14250</v>
      </c>
      <c r="E4642" s="105">
        <v>0</v>
      </c>
      <c r="F4642" s="106" t="s">
        <v>2018</v>
      </c>
      <c r="G4642" s="8"/>
      <c r="H4642" s="8"/>
      <c r="I4642" s="107">
        <v>0</v>
      </c>
      <c r="J4642" s="8" t="s">
        <v>4823</v>
      </c>
    </row>
    <row r="4643" spans="1:10" ht="16.5" customHeight="1" x14ac:dyDescent="0.25">
      <c r="A4643" s="8" t="s">
        <v>14251</v>
      </c>
      <c r="B4643" s="8" t="s">
        <v>14252</v>
      </c>
      <c r="C4643" s="8" t="s">
        <v>9218</v>
      </c>
      <c r="D4643" s="8" t="s">
        <v>14253</v>
      </c>
      <c r="E4643" s="105">
        <v>0</v>
      </c>
      <c r="F4643" s="106" t="s">
        <v>2018</v>
      </c>
      <c r="G4643" s="8"/>
      <c r="H4643" s="8"/>
      <c r="I4643" s="107">
        <v>0</v>
      </c>
      <c r="J4643" s="8" t="s">
        <v>4823</v>
      </c>
    </row>
    <row r="4644" spans="1:10" ht="16.5" customHeight="1" x14ac:dyDescent="0.25">
      <c r="A4644" s="8" t="s">
        <v>14254</v>
      </c>
      <c r="B4644" s="8" t="s">
        <v>14255</v>
      </c>
      <c r="C4644" s="8" t="s">
        <v>14256</v>
      </c>
      <c r="D4644" s="8" t="s">
        <v>14257</v>
      </c>
      <c r="E4644" s="105">
        <v>0</v>
      </c>
      <c r="F4644" s="106" t="s">
        <v>2018</v>
      </c>
      <c r="G4644" s="8"/>
      <c r="H4644" s="8"/>
      <c r="I4644" s="107">
        <v>0</v>
      </c>
      <c r="J4644" s="8" t="s">
        <v>4823</v>
      </c>
    </row>
    <row r="4645" spans="1:10" ht="16.5" customHeight="1" x14ac:dyDescent="0.25">
      <c r="A4645" s="8" t="s">
        <v>14258</v>
      </c>
      <c r="B4645" s="8" t="s">
        <v>14259</v>
      </c>
      <c r="C4645" s="8" t="s">
        <v>9221</v>
      </c>
      <c r="D4645" s="8" t="s">
        <v>14260</v>
      </c>
      <c r="E4645" s="105">
        <v>0</v>
      </c>
      <c r="F4645" s="106" t="s">
        <v>2018</v>
      </c>
      <c r="G4645" s="8"/>
      <c r="H4645" s="8"/>
      <c r="I4645" s="107">
        <v>0</v>
      </c>
      <c r="J4645" s="8" t="s">
        <v>4823</v>
      </c>
    </row>
    <row r="4646" spans="1:10" ht="16.5" customHeight="1" x14ac:dyDescent="0.25">
      <c r="A4646" s="8" t="s">
        <v>14261</v>
      </c>
      <c r="B4646" s="8" t="s">
        <v>14262</v>
      </c>
      <c r="C4646" s="8" t="s">
        <v>14263</v>
      </c>
      <c r="D4646" s="8" t="s">
        <v>14262</v>
      </c>
      <c r="E4646" s="105">
        <v>1</v>
      </c>
      <c r="F4646" s="106" t="s">
        <v>2018</v>
      </c>
      <c r="G4646" s="8"/>
      <c r="H4646" s="8"/>
      <c r="I4646" s="107">
        <v>0</v>
      </c>
      <c r="J4646" s="8" t="s">
        <v>6357</v>
      </c>
    </row>
    <row r="4647" spans="1:10" ht="16.5" customHeight="1" x14ac:dyDescent="0.25">
      <c r="A4647" s="8" t="s">
        <v>1771</v>
      </c>
      <c r="B4647" s="8" t="s">
        <v>1773</v>
      </c>
      <c r="C4647" s="8" t="s">
        <v>1772</v>
      </c>
      <c r="D4647" s="8" t="s">
        <v>1773</v>
      </c>
      <c r="E4647" s="105">
        <v>4.93</v>
      </c>
      <c r="F4647" s="106" t="s">
        <v>2018</v>
      </c>
      <c r="G4647" s="8"/>
      <c r="H4647" s="8" t="s">
        <v>14264</v>
      </c>
      <c r="I4647" s="107">
        <v>24</v>
      </c>
      <c r="J4647" s="8" t="s">
        <v>8088</v>
      </c>
    </row>
    <row r="4648" spans="1:10" ht="16.5" customHeight="1" x14ac:dyDescent="0.25">
      <c r="A4648" s="8" t="s">
        <v>14264</v>
      </c>
      <c r="B4648" s="8" t="s">
        <v>200</v>
      </c>
      <c r="C4648" s="8" t="s">
        <v>14265</v>
      </c>
      <c r="D4648" s="8" t="s">
        <v>200</v>
      </c>
      <c r="E4648" s="105">
        <v>0.21</v>
      </c>
      <c r="F4648" s="106" t="s">
        <v>2018</v>
      </c>
      <c r="G4648" s="8"/>
      <c r="H4648" s="8"/>
      <c r="I4648" s="107">
        <v>0</v>
      </c>
      <c r="J4648" s="8" t="s">
        <v>8088</v>
      </c>
    </row>
    <row r="4649" spans="1:10" ht="16.5" customHeight="1" x14ac:dyDescent="0.25">
      <c r="A4649" s="8" t="s">
        <v>1754</v>
      </c>
      <c r="B4649" s="8" t="s">
        <v>60</v>
      </c>
      <c r="C4649" s="8" t="s">
        <v>1755</v>
      </c>
      <c r="D4649" s="8" t="s">
        <v>60</v>
      </c>
      <c r="E4649" s="105">
        <v>5.0199999999999996</v>
      </c>
      <c r="F4649" s="106" t="s">
        <v>2018</v>
      </c>
      <c r="G4649" s="8"/>
      <c r="H4649" s="8" t="s">
        <v>14266</v>
      </c>
      <c r="I4649" s="107">
        <v>24</v>
      </c>
      <c r="J4649" s="8" t="s">
        <v>8088</v>
      </c>
    </row>
    <row r="4650" spans="1:10" ht="16.5" customHeight="1" x14ac:dyDescent="0.25">
      <c r="A4650" s="8" t="s">
        <v>14266</v>
      </c>
      <c r="B4650" s="8" t="s">
        <v>14267</v>
      </c>
      <c r="C4650" s="8" t="s">
        <v>14268</v>
      </c>
      <c r="D4650" s="8" t="s">
        <v>14267</v>
      </c>
      <c r="E4650" s="105">
        <v>0.21</v>
      </c>
      <c r="F4650" s="106" t="s">
        <v>2018</v>
      </c>
      <c r="G4650" s="8"/>
      <c r="H4650" s="8"/>
      <c r="I4650" s="107">
        <v>0</v>
      </c>
      <c r="J4650" s="8" t="s">
        <v>8088</v>
      </c>
    </row>
    <row r="4651" spans="1:10" ht="16.5" customHeight="1" x14ac:dyDescent="0.25">
      <c r="A4651" s="8" t="s">
        <v>1795</v>
      </c>
      <c r="B4651" s="8" t="s">
        <v>1797</v>
      </c>
      <c r="C4651" s="8" t="s">
        <v>1796</v>
      </c>
      <c r="D4651" s="8" t="s">
        <v>1797</v>
      </c>
      <c r="E4651" s="105">
        <v>4.95</v>
      </c>
      <c r="F4651" s="106" t="s">
        <v>2018</v>
      </c>
      <c r="G4651" s="8"/>
      <c r="H4651" s="8" t="s">
        <v>14269</v>
      </c>
      <c r="I4651" s="107">
        <v>24</v>
      </c>
      <c r="J4651" s="8" t="s">
        <v>8088</v>
      </c>
    </row>
    <row r="4652" spans="1:10" ht="16.5" customHeight="1" x14ac:dyDescent="0.25">
      <c r="A4652" s="8" t="s">
        <v>14269</v>
      </c>
      <c r="B4652" s="8" t="s">
        <v>14270</v>
      </c>
      <c r="C4652" s="8" t="s">
        <v>14271</v>
      </c>
      <c r="D4652" s="8" t="s">
        <v>14270</v>
      </c>
      <c r="E4652" s="105">
        <v>0.21</v>
      </c>
      <c r="F4652" s="106" t="s">
        <v>2018</v>
      </c>
      <c r="G4652" s="8"/>
      <c r="H4652" s="8"/>
      <c r="I4652" s="107">
        <v>0</v>
      </c>
      <c r="J4652" s="8" t="s">
        <v>8088</v>
      </c>
    </row>
    <row r="4653" spans="1:10" ht="16.5" customHeight="1" x14ac:dyDescent="0.25">
      <c r="A4653" s="8" t="s">
        <v>14272</v>
      </c>
      <c r="B4653" s="8" t="s">
        <v>14273</v>
      </c>
      <c r="C4653" s="8" t="s">
        <v>11049</v>
      </c>
      <c r="D4653" s="8" t="s">
        <v>14273</v>
      </c>
      <c r="E4653" s="105">
        <v>10</v>
      </c>
      <c r="F4653" s="106" t="s">
        <v>2018</v>
      </c>
      <c r="G4653" s="8"/>
      <c r="H4653" s="8"/>
      <c r="I4653" s="107">
        <v>0</v>
      </c>
      <c r="J4653" s="8" t="s">
        <v>3580</v>
      </c>
    </row>
    <row r="4654" spans="1:10" ht="16.5" customHeight="1" x14ac:dyDescent="0.25">
      <c r="A4654" s="8" t="s">
        <v>14274</v>
      </c>
      <c r="B4654" s="8" t="s">
        <v>14275</v>
      </c>
      <c r="C4654" s="8" t="s">
        <v>14276</v>
      </c>
      <c r="D4654" s="8" t="s">
        <v>14277</v>
      </c>
      <c r="E4654" s="105">
        <v>0</v>
      </c>
      <c r="F4654" s="106" t="s">
        <v>2018</v>
      </c>
      <c r="G4654" s="8"/>
      <c r="H4654" s="8"/>
      <c r="I4654" s="107">
        <v>0</v>
      </c>
      <c r="J4654" s="8" t="s">
        <v>4823</v>
      </c>
    </row>
    <row r="4655" spans="1:10" ht="16.5" customHeight="1" x14ac:dyDescent="0.25">
      <c r="A4655" s="8" t="s">
        <v>14278</v>
      </c>
      <c r="B4655" s="8" t="s">
        <v>14279</v>
      </c>
      <c r="C4655" s="8" t="s">
        <v>14280</v>
      </c>
      <c r="D4655" s="8" t="s">
        <v>14281</v>
      </c>
      <c r="E4655" s="105">
        <v>0</v>
      </c>
      <c r="F4655" s="106" t="s">
        <v>2018</v>
      </c>
      <c r="G4655" s="8"/>
      <c r="H4655" s="8"/>
      <c r="I4655" s="107">
        <v>0</v>
      </c>
      <c r="J4655" s="8" t="s">
        <v>4823</v>
      </c>
    </row>
    <row r="4656" spans="1:10" ht="16.5" customHeight="1" x14ac:dyDescent="0.25">
      <c r="A4656" s="8" t="s">
        <v>14282</v>
      </c>
      <c r="B4656" s="8" t="s">
        <v>14283</v>
      </c>
      <c r="C4656" s="8" t="s">
        <v>14284</v>
      </c>
      <c r="D4656" s="8" t="s">
        <v>14285</v>
      </c>
      <c r="E4656" s="105">
        <v>0</v>
      </c>
      <c r="F4656" s="106" t="s">
        <v>2018</v>
      </c>
      <c r="G4656" s="8"/>
      <c r="H4656" s="8"/>
      <c r="I4656" s="107">
        <v>0</v>
      </c>
      <c r="J4656" s="8" t="s">
        <v>4823</v>
      </c>
    </row>
    <row r="4657" spans="1:10" ht="16.5" customHeight="1" x14ac:dyDescent="0.25">
      <c r="A4657" s="8" t="s">
        <v>14286</v>
      </c>
      <c r="B4657" s="8" t="s">
        <v>14287</v>
      </c>
      <c r="C4657" s="8" t="s">
        <v>14288</v>
      </c>
      <c r="D4657" s="8" t="s">
        <v>14289</v>
      </c>
      <c r="E4657" s="105">
        <v>0</v>
      </c>
      <c r="F4657" s="106" t="s">
        <v>2018</v>
      </c>
      <c r="G4657" s="8"/>
      <c r="H4657" s="8"/>
      <c r="I4657" s="107">
        <v>0</v>
      </c>
      <c r="J4657" s="8" t="s">
        <v>4823</v>
      </c>
    </row>
    <row r="4658" spans="1:10" ht="16.5" customHeight="1" x14ac:dyDescent="0.25">
      <c r="A4658" s="8" t="s">
        <v>14290</v>
      </c>
      <c r="B4658" s="8" t="s">
        <v>14291</v>
      </c>
      <c r="C4658" s="8" t="s">
        <v>14292</v>
      </c>
      <c r="D4658" s="8" t="s">
        <v>14293</v>
      </c>
      <c r="E4658" s="105">
        <v>0</v>
      </c>
      <c r="F4658" s="106" t="s">
        <v>2018</v>
      </c>
      <c r="G4658" s="8"/>
      <c r="H4658" s="8"/>
      <c r="I4658" s="107">
        <v>0</v>
      </c>
      <c r="J4658" s="8" t="s">
        <v>4823</v>
      </c>
    </row>
    <row r="4659" spans="1:10" ht="16.5" customHeight="1" x14ac:dyDescent="0.25">
      <c r="A4659" s="8" t="s">
        <v>14294</v>
      </c>
      <c r="B4659" s="8" t="s">
        <v>14295</v>
      </c>
      <c r="C4659" s="8" t="s">
        <v>14296</v>
      </c>
      <c r="D4659" s="8" t="s">
        <v>14297</v>
      </c>
      <c r="E4659" s="105">
        <v>0</v>
      </c>
      <c r="F4659" s="106" t="s">
        <v>2018</v>
      </c>
      <c r="G4659" s="8"/>
      <c r="H4659" s="8"/>
      <c r="I4659" s="107">
        <v>0</v>
      </c>
      <c r="J4659" s="8" t="s">
        <v>4823</v>
      </c>
    </row>
    <row r="4660" spans="1:10" ht="16.5" customHeight="1" x14ac:dyDescent="0.25">
      <c r="A4660" s="8" t="s">
        <v>14298</v>
      </c>
      <c r="B4660" s="8" t="s">
        <v>14299</v>
      </c>
      <c r="C4660" s="8" t="s">
        <v>14300</v>
      </c>
      <c r="D4660" s="8" t="s">
        <v>14301</v>
      </c>
      <c r="E4660" s="105">
        <v>0</v>
      </c>
      <c r="F4660" s="106" t="s">
        <v>2018</v>
      </c>
      <c r="G4660" s="8"/>
      <c r="H4660" s="8"/>
      <c r="I4660" s="107">
        <v>0</v>
      </c>
      <c r="J4660" s="8" t="s">
        <v>4823</v>
      </c>
    </row>
    <row r="4661" spans="1:10" ht="16.5" customHeight="1" x14ac:dyDescent="0.25">
      <c r="A4661" s="8" t="s">
        <v>14302</v>
      </c>
      <c r="B4661" s="8" t="s">
        <v>14303</v>
      </c>
      <c r="C4661" s="8" t="s">
        <v>14304</v>
      </c>
      <c r="D4661" s="8" t="s">
        <v>14305</v>
      </c>
      <c r="E4661" s="105">
        <v>0</v>
      </c>
      <c r="F4661" s="106" t="s">
        <v>2018</v>
      </c>
      <c r="G4661" s="8"/>
      <c r="H4661" s="8"/>
      <c r="I4661" s="107">
        <v>0</v>
      </c>
      <c r="J4661" s="8" t="s">
        <v>4823</v>
      </c>
    </row>
    <row r="4662" spans="1:10" ht="16.5" customHeight="1" x14ac:dyDescent="0.25">
      <c r="A4662" s="8" t="s">
        <v>14306</v>
      </c>
      <c r="B4662" s="8" t="s">
        <v>14307</v>
      </c>
      <c r="C4662" s="8" t="s">
        <v>14308</v>
      </c>
      <c r="D4662" s="8" t="s">
        <v>14309</v>
      </c>
      <c r="E4662" s="105">
        <v>0</v>
      </c>
      <c r="F4662" s="106" t="s">
        <v>2018</v>
      </c>
      <c r="G4662" s="8"/>
      <c r="H4662" s="8"/>
      <c r="I4662" s="107">
        <v>0</v>
      </c>
      <c r="J4662" s="8" t="s">
        <v>4823</v>
      </c>
    </row>
    <row r="4663" spans="1:10" ht="16.5" customHeight="1" x14ac:dyDescent="0.25">
      <c r="A4663" s="8" t="s">
        <v>14310</v>
      </c>
      <c r="B4663" s="8" t="s">
        <v>14311</v>
      </c>
      <c r="C4663" s="8" t="s">
        <v>14312</v>
      </c>
      <c r="D4663" s="8" t="s">
        <v>14313</v>
      </c>
      <c r="E4663" s="105">
        <v>0</v>
      </c>
      <c r="F4663" s="106" t="s">
        <v>2018</v>
      </c>
      <c r="G4663" s="8"/>
      <c r="H4663" s="8"/>
      <c r="I4663" s="107">
        <v>0</v>
      </c>
      <c r="J4663" s="8" t="s">
        <v>4823</v>
      </c>
    </row>
    <row r="4664" spans="1:10" ht="16.5" customHeight="1" x14ac:dyDescent="0.25">
      <c r="A4664" s="8" t="s">
        <v>14314</v>
      </c>
      <c r="B4664" s="8" t="s">
        <v>14315</v>
      </c>
      <c r="C4664" s="8" t="s">
        <v>14316</v>
      </c>
      <c r="D4664" s="8" t="s">
        <v>14317</v>
      </c>
      <c r="E4664" s="105">
        <v>0</v>
      </c>
      <c r="F4664" s="106" t="s">
        <v>2018</v>
      </c>
      <c r="G4664" s="8"/>
      <c r="H4664" s="8"/>
      <c r="I4664" s="107">
        <v>0</v>
      </c>
      <c r="J4664" s="8" t="s">
        <v>4823</v>
      </c>
    </row>
    <row r="4665" spans="1:10" ht="16.5" customHeight="1" x14ac:dyDescent="0.25">
      <c r="A4665" s="8" t="s">
        <v>14318</v>
      </c>
      <c r="B4665" s="8" t="s">
        <v>14319</v>
      </c>
      <c r="C4665" s="8" t="s">
        <v>1591</v>
      </c>
      <c r="D4665" s="8" t="s">
        <v>14320</v>
      </c>
      <c r="E4665" s="105">
        <v>7.54</v>
      </c>
      <c r="F4665" s="106" t="s">
        <v>2024</v>
      </c>
      <c r="G4665" s="8"/>
      <c r="H4665" s="8"/>
      <c r="I4665" s="107">
        <v>0</v>
      </c>
      <c r="J4665" s="8" t="s">
        <v>5929</v>
      </c>
    </row>
    <row r="4666" spans="1:10" ht="16.5" customHeight="1" x14ac:dyDescent="0.25">
      <c r="A4666" s="8" t="s">
        <v>14321</v>
      </c>
      <c r="B4666" s="8" t="s">
        <v>14322</v>
      </c>
      <c r="C4666" s="8" t="s">
        <v>14323</v>
      </c>
      <c r="D4666" s="8" t="s">
        <v>14322</v>
      </c>
      <c r="E4666" s="105">
        <v>6.48</v>
      </c>
      <c r="F4666" s="106" t="s">
        <v>2024</v>
      </c>
      <c r="G4666" s="8"/>
      <c r="H4666" s="8"/>
      <c r="I4666" s="107">
        <v>0</v>
      </c>
      <c r="J4666" s="8" t="s">
        <v>5929</v>
      </c>
    </row>
    <row r="4667" spans="1:10" ht="16.5" customHeight="1" x14ac:dyDescent="0.25">
      <c r="A4667" s="8" t="s">
        <v>14324</v>
      </c>
      <c r="B4667" s="8" t="s">
        <v>11584</v>
      </c>
      <c r="C4667" s="8" t="s">
        <v>1455</v>
      </c>
      <c r="D4667" s="8" t="s">
        <v>11584</v>
      </c>
      <c r="E4667" s="105">
        <v>4.8</v>
      </c>
      <c r="F4667" s="106" t="s">
        <v>2018</v>
      </c>
      <c r="G4667" s="8"/>
      <c r="H4667" s="8"/>
      <c r="I4667" s="107">
        <v>0</v>
      </c>
      <c r="J4667" s="8" t="s">
        <v>5671</v>
      </c>
    </row>
    <row r="4668" spans="1:10" ht="16.5" customHeight="1" x14ac:dyDescent="0.25">
      <c r="A4668" s="8" t="s">
        <v>14325</v>
      </c>
      <c r="B4668" s="8" t="s">
        <v>14326</v>
      </c>
      <c r="C4668" s="8" t="s">
        <v>1458</v>
      </c>
      <c r="D4668" s="8" t="s">
        <v>14326</v>
      </c>
      <c r="E4668" s="105">
        <v>4.8</v>
      </c>
      <c r="F4668" s="106" t="s">
        <v>2018</v>
      </c>
      <c r="G4668" s="8"/>
      <c r="H4668" s="8"/>
      <c r="I4668" s="107">
        <v>0</v>
      </c>
      <c r="J4668" s="8" t="s">
        <v>5671</v>
      </c>
    </row>
    <row r="4669" spans="1:10" ht="16.5" customHeight="1" x14ac:dyDescent="0.25">
      <c r="A4669" s="8" t="s">
        <v>14327</v>
      </c>
      <c r="B4669" s="8" t="s">
        <v>1511</v>
      </c>
      <c r="C4669" s="8" t="s">
        <v>1510</v>
      </c>
      <c r="D4669" s="8" t="s">
        <v>1511</v>
      </c>
      <c r="E4669" s="105">
        <v>6</v>
      </c>
      <c r="F4669" s="106" t="s">
        <v>2018</v>
      </c>
      <c r="G4669" s="8"/>
      <c r="H4669" s="8"/>
      <c r="I4669" s="107">
        <v>0</v>
      </c>
      <c r="J4669" s="8" t="s">
        <v>5671</v>
      </c>
    </row>
    <row r="4670" spans="1:10" ht="16.5" customHeight="1" x14ac:dyDescent="0.25">
      <c r="A4670" s="8" t="s">
        <v>14328</v>
      </c>
      <c r="B4670" s="8" t="s">
        <v>14329</v>
      </c>
      <c r="C4670" s="8" t="s">
        <v>14330</v>
      </c>
      <c r="D4670" s="8" t="s">
        <v>13761</v>
      </c>
      <c r="E4670" s="105">
        <v>4.8</v>
      </c>
      <c r="F4670" s="106" t="s">
        <v>2024</v>
      </c>
      <c r="G4670" s="8"/>
      <c r="H4670" s="8"/>
      <c r="I4670" s="107">
        <v>0</v>
      </c>
      <c r="J4670" s="8" t="s">
        <v>5671</v>
      </c>
    </row>
    <row r="4671" spans="1:10" ht="16.5" customHeight="1" x14ac:dyDescent="0.25">
      <c r="A4671" s="8" t="s">
        <v>14331</v>
      </c>
      <c r="B4671" s="8" t="s">
        <v>14332</v>
      </c>
      <c r="C4671" s="8" t="s">
        <v>1525</v>
      </c>
      <c r="D4671" s="8" t="s">
        <v>14332</v>
      </c>
      <c r="E4671" s="105">
        <v>4.8</v>
      </c>
      <c r="F4671" s="106" t="s">
        <v>2018</v>
      </c>
      <c r="G4671" s="8"/>
      <c r="H4671" s="8"/>
      <c r="I4671" s="107">
        <v>0</v>
      </c>
      <c r="J4671" s="8" t="s">
        <v>5671</v>
      </c>
    </row>
    <row r="4672" spans="1:10" ht="16.5" customHeight="1" x14ac:dyDescent="0.25">
      <c r="A4672" s="8" t="s">
        <v>14333</v>
      </c>
      <c r="B4672" s="8" t="s">
        <v>8381</v>
      </c>
      <c r="C4672" s="8" t="s">
        <v>1452</v>
      </c>
      <c r="D4672" s="8" t="s">
        <v>8381</v>
      </c>
      <c r="E4672" s="105">
        <v>6</v>
      </c>
      <c r="F4672" s="106" t="s">
        <v>2018</v>
      </c>
      <c r="G4672" s="8"/>
      <c r="H4672" s="8"/>
      <c r="I4672" s="107">
        <v>0</v>
      </c>
      <c r="J4672" s="8" t="s">
        <v>5671</v>
      </c>
    </row>
    <row r="4673" spans="1:10" ht="16.5" customHeight="1" x14ac:dyDescent="0.25">
      <c r="A4673" s="8" t="s">
        <v>14334</v>
      </c>
      <c r="B4673" s="8" t="s">
        <v>14335</v>
      </c>
      <c r="C4673" s="8" t="s">
        <v>1473</v>
      </c>
      <c r="D4673" s="8" t="s">
        <v>14335</v>
      </c>
      <c r="E4673" s="105">
        <v>4.8</v>
      </c>
      <c r="F4673" s="106" t="s">
        <v>2018</v>
      </c>
      <c r="G4673" s="8"/>
      <c r="H4673" s="8"/>
      <c r="I4673" s="107">
        <v>0</v>
      </c>
      <c r="J4673" s="8" t="s">
        <v>5671</v>
      </c>
    </row>
    <row r="4674" spans="1:10" ht="16.5" customHeight="1" x14ac:dyDescent="0.25">
      <c r="A4674" s="8" t="s">
        <v>14336</v>
      </c>
      <c r="B4674" s="8" t="s">
        <v>14337</v>
      </c>
      <c r="C4674" s="8" t="s">
        <v>1437</v>
      </c>
      <c r="D4674" s="8" t="s">
        <v>14337</v>
      </c>
      <c r="E4674" s="105">
        <v>3.96</v>
      </c>
      <c r="F4674" s="106" t="s">
        <v>2018</v>
      </c>
      <c r="G4674" s="8"/>
      <c r="H4674" s="8"/>
      <c r="I4674" s="107">
        <v>0</v>
      </c>
      <c r="J4674" s="8" t="s">
        <v>5671</v>
      </c>
    </row>
    <row r="4675" spans="1:10" ht="16.5" customHeight="1" x14ac:dyDescent="0.25">
      <c r="A4675" s="8" t="s">
        <v>14338</v>
      </c>
      <c r="B4675" s="8" t="s">
        <v>14339</v>
      </c>
      <c r="C4675" s="8" t="s">
        <v>1513</v>
      </c>
      <c r="D4675" s="8" t="s">
        <v>14339</v>
      </c>
      <c r="E4675" s="105">
        <v>3</v>
      </c>
      <c r="F4675" s="106" t="s">
        <v>2018</v>
      </c>
      <c r="G4675" s="8"/>
      <c r="H4675" s="8"/>
      <c r="I4675" s="107">
        <v>0</v>
      </c>
      <c r="J4675" s="8" t="s">
        <v>5671</v>
      </c>
    </row>
    <row r="4676" spans="1:10" ht="16.5" customHeight="1" x14ac:dyDescent="0.25">
      <c r="A4676" s="8" t="s">
        <v>14340</v>
      </c>
      <c r="B4676" s="8" t="s">
        <v>14341</v>
      </c>
      <c r="C4676" s="8" t="s">
        <v>1461</v>
      </c>
      <c r="D4676" s="8" t="s">
        <v>14341</v>
      </c>
      <c r="E4676" s="105">
        <v>3.6</v>
      </c>
      <c r="F4676" s="106" t="s">
        <v>2018</v>
      </c>
      <c r="G4676" s="8"/>
      <c r="H4676" s="8"/>
      <c r="I4676" s="107">
        <v>0</v>
      </c>
      <c r="J4676" s="8" t="s">
        <v>5671</v>
      </c>
    </row>
    <row r="4677" spans="1:10" ht="16.5" customHeight="1" x14ac:dyDescent="0.25">
      <c r="A4677" s="8" t="s">
        <v>14342</v>
      </c>
      <c r="B4677" s="8" t="s">
        <v>14343</v>
      </c>
      <c r="C4677" s="8" t="s">
        <v>14344</v>
      </c>
      <c r="D4677" s="8" t="s">
        <v>14343</v>
      </c>
      <c r="E4677" s="105">
        <v>0</v>
      </c>
      <c r="F4677" s="106" t="s">
        <v>2018</v>
      </c>
      <c r="G4677" s="8"/>
      <c r="H4677" s="8"/>
      <c r="I4677" s="107">
        <v>0</v>
      </c>
      <c r="J4677" s="8"/>
    </row>
    <row r="4678" spans="1:10" ht="16.5" customHeight="1" x14ac:dyDescent="0.25">
      <c r="A4678" s="8" t="s">
        <v>14345</v>
      </c>
      <c r="B4678" s="8" t="s">
        <v>14346</v>
      </c>
      <c r="C4678" s="8" t="s">
        <v>14347</v>
      </c>
      <c r="D4678" s="8" t="s">
        <v>14348</v>
      </c>
      <c r="E4678" s="105">
        <v>0</v>
      </c>
      <c r="F4678" s="106" t="s">
        <v>2018</v>
      </c>
      <c r="G4678" s="8"/>
      <c r="H4678" s="8"/>
      <c r="I4678" s="107">
        <v>0</v>
      </c>
      <c r="J4678" s="8" t="s">
        <v>4823</v>
      </c>
    </row>
    <row r="4679" spans="1:10" ht="16.5" customHeight="1" x14ac:dyDescent="0.25">
      <c r="A4679" s="8" t="s">
        <v>14349</v>
      </c>
      <c r="B4679" s="8" t="s">
        <v>14350</v>
      </c>
      <c r="C4679" s="8" t="s">
        <v>14351</v>
      </c>
      <c r="D4679" s="8" t="s">
        <v>14352</v>
      </c>
      <c r="E4679" s="105">
        <v>0</v>
      </c>
      <c r="F4679" s="106" t="s">
        <v>2018</v>
      </c>
      <c r="G4679" s="8"/>
      <c r="H4679" s="8"/>
      <c r="I4679" s="107">
        <v>0</v>
      </c>
      <c r="J4679" s="8" t="s">
        <v>4823</v>
      </c>
    </row>
    <row r="4680" spans="1:10" ht="16.5" customHeight="1" x14ac:dyDescent="0.25">
      <c r="A4680" s="8" t="s">
        <v>14353</v>
      </c>
      <c r="B4680" s="8" t="s">
        <v>14354</v>
      </c>
      <c r="C4680" s="8" t="s">
        <v>14355</v>
      </c>
      <c r="D4680" s="8" t="s">
        <v>14356</v>
      </c>
      <c r="E4680" s="105">
        <v>0</v>
      </c>
      <c r="F4680" s="106" t="s">
        <v>2018</v>
      </c>
      <c r="G4680" s="8"/>
      <c r="H4680" s="8"/>
      <c r="I4680" s="107">
        <v>0</v>
      </c>
      <c r="J4680" s="8" t="s">
        <v>4823</v>
      </c>
    </row>
    <row r="4681" spans="1:10" ht="16.5" customHeight="1" x14ac:dyDescent="0.25">
      <c r="A4681" s="8" t="s">
        <v>14357</v>
      </c>
      <c r="B4681" s="8" t="s">
        <v>14358</v>
      </c>
      <c r="C4681" s="8" t="s">
        <v>14359</v>
      </c>
      <c r="D4681" s="8" t="s">
        <v>14360</v>
      </c>
      <c r="E4681" s="105">
        <v>0</v>
      </c>
      <c r="F4681" s="106" t="s">
        <v>2018</v>
      </c>
      <c r="G4681" s="8"/>
      <c r="H4681" s="8"/>
      <c r="I4681" s="107">
        <v>0</v>
      </c>
      <c r="J4681" s="8" t="s">
        <v>4823</v>
      </c>
    </row>
    <row r="4682" spans="1:10" ht="16.5" customHeight="1" x14ac:dyDescent="0.25">
      <c r="A4682" s="8" t="s">
        <v>14361</v>
      </c>
      <c r="B4682" s="8" t="s">
        <v>14362</v>
      </c>
      <c r="C4682" s="8" t="s">
        <v>14363</v>
      </c>
      <c r="D4682" s="8" t="s">
        <v>14364</v>
      </c>
      <c r="E4682" s="105">
        <v>0</v>
      </c>
      <c r="F4682" s="106" t="s">
        <v>2018</v>
      </c>
      <c r="G4682" s="8"/>
      <c r="H4682" s="8"/>
      <c r="I4682" s="107">
        <v>0</v>
      </c>
      <c r="J4682" s="8" t="s">
        <v>4823</v>
      </c>
    </row>
    <row r="4683" spans="1:10" ht="16.5" customHeight="1" x14ac:dyDescent="0.25">
      <c r="A4683" s="8" t="s">
        <v>14365</v>
      </c>
      <c r="B4683" s="8" t="s">
        <v>14366</v>
      </c>
      <c r="C4683" s="8" t="s">
        <v>14367</v>
      </c>
      <c r="D4683" s="8" t="s">
        <v>14368</v>
      </c>
      <c r="E4683" s="105">
        <v>0</v>
      </c>
      <c r="F4683" s="106" t="s">
        <v>2018</v>
      </c>
      <c r="G4683" s="8"/>
      <c r="H4683" s="8"/>
      <c r="I4683" s="107">
        <v>0</v>
      </c>
      <c r="J4683" s="8" t="s">
        <v>4823</v>
      </c>
    </row>
    <row r="4684" spans="1:10" ht="16.5" customHeight="1" x14ac:dyDescent="0.25">
      <c r="A4684" s="8" t="s">
        <v>14369</v>
      </c>
      <c r="B4684" s="8" t="s">
        <v>14370</v>
      </c>
      <c r="C4684" s="8" t="s">
        <v>14371</v>
      </c>
      <c r="D4684" s="8" t="s">
        <v>14372</v>
      </c>
      <c r="E4684" s="105">
        <v>0</v>
      </c>
      <c r="F4684" s="106" t="s">
        <v>2018</v>
      </c>
      <c r="G4684" s="8"/>
      <c r="H4684" s="8"/>
      <c r="I4684" s="107">
        <v>0</v>
      </c>
      <c r="J4684" s="8" t="s">
        <v>4823</v>
      </c>
    </row>
    <row r="4685" spans="1:10" ht="16.5" customHeight="1" x14ac:dyDescent="0.25">
      <c r="A4685" s="8" t="s">
        <v>14373</v>
      </c>
      <c r="B4685" s="8" t="s">
        <v>14374</v>
      </c>
      <c r="C4685" s="8" t="s">
        <v>14375</v>
      </c>
      <c r="D4685" s="8" t="s">
        <v>14376</v>
      </c>
      <c r="E4685" s="105">
        <v>0</v>
      </c>
      <c r="F4685" s="106" t="s">
        <v>2018</v>
      </c>
      <c r="G4685" s="8"/>
      <c r="H4685" s="8"/>
      <c r="I4685" s="107">
        <v>0</v>
      </c>
      <c r="J4685" s="8" t="s">
        <v>4823</v>
      </c>
    </row>
    <row r="4686" spans="1:10" ht="16.5" customHeight="1" x14ac:dyDescent="0.25">
      <c r="A4686" s="8" t="s">
        <v>14377</v>
      </c>
      <c r="B4686" s="8" t="s">
        <v>14378</v>
      </c>
      <c r="C4686" s="8" t="s">
        <v>14379</v>
      </c>
      <c r="D4686" s="8" t="s">
        <v>14378</v>
      </c>
      <c r="E4686" s="105">
        <v>6.8</v>
      </c>
      <c r="F4686" s="106" t="s">
        <v>2018</v>
      </c>
      <c r="G4686" s="8"/>
      <c r="H4686" s="8"/>
      <c r="I4686" s="107">
        <v>0</v>
      </c>
      <c r="J4686" s="8" t="s">
        <v>2019</v>
      </c>
    </row>
    <row r="4687" spans="1:10" ht="16.5" customHeight="1" x14ac:dyDescent="0.25">
      <c r="A4687" s="8" t="s">
        <v>14380</v>
      </c>
      <c r="B4687" s="8" t="s">
        <v>14381</v>
      </c>
      <c r="C4687" s="8" t="s">
        <v>14379</v>
      </c>
      <c r="D4687" s="8" t="s">
        <v>14381</v>
      </c>
      <c r="E4687" s="105">
        <v>13.6</v>
      </c>
      <c r="F4687" s="106" t="s">
        <v>2018</v>
      </c>
      <c r="G4687" s="8"/>
      <c r="H4687" s="8" t="s">
        <v>14377</v>
      </c>
      <c r="I4687" s="107">
        <v>2</v>
      </c>
      <c r="J4687" s="8" t="s">
        <v>2019</v>
      </c>
    </row>
    <row r="4688" spans="1:10" ht="16.5" customHeight="1" x14ac:dyDescent="0.25">
      <c r="A4688" s="8" t="s">
        <v>14382</v>
      </c>
      <c r="B4688" s="8" t="s">
        <v>14383</v>
      </c>
      <c r="C4688" s="8" t="s">
        <v>14384</v>
      </c>
      <c r="D4688" s="8" t="s">
        <v>14383</v>
      </c>
      <c r="E4688" s="105">
        <v>12</v>
      </c>
      <c r="F4688" s="106" t="s">
        <v>2018</v>
      </c>
      <c r="G4688" s="8"/>
      <c r="H4688" s="8"/>
      <c r="I4688" s="107">
        <v>0</v>
      </c>
      <c r="J4688" s="8" t="s">
        <v>2019</v>
      </c>
    </row>
    <row r="4689" spans="1:10" ht="16.5" customHeight="1" x14ac:dyDescent="0.25">
      <c r="A4689" s="8" t="s">
        <v>14385</v>
      </c>
      <c r="B4689" s="8" t="s">
        <v>14386</v>
      </c>
      <c r="C4689" s="8" t="s">
        <v>14387</v>
      </c>
      <c r="D4689" s="8" t="s">
        <v>14388</v>
      </c>
      <c r="E4689" s="105">
        <v>0</v>
      </c>
      <c r="F4689" s="106" t="s">
        <v>2018</v>
      </c>
      <c r="G4689" s="8"/>
      <c r="H4689" s="8"/>
      <c r="I4689" s="107">
        <v>0</v>
      </c>
      <c r="J4689" s="8" t="s">
        <v>3580</v>
      </c>
    </row>
    <row r="4690" spans="1:10" ht="16.5" customHeight="1" x14ac:dyDescent="0.25">
      <c r="A4690" s="8" t="s">
        <v>14389</v>
      </c>
      <c r="B4690" s="8" t="s">
        <v>14390</v>
      </c>
      <c r="C4690" s="8" t="s">
        <v>14391</v>
      </c>
      <c r="D4690" s="8" t="s">
        <v>14390</v>
      </c>
      <c r="E4690" s="105">
        <v>5</v>
      </c>
      <c r="F4690" s="106" t="s">
        <v>2018</v>
      </c>
      <c r="G4690" s="8"/>
      <c r="H4690" s="8"/>
      <c r="I4690" s="107">
        <v>0</v>
      </c>
      <c r="J4690" s="8" t="s">
        <v>5779</v>
      </c>
    </row>
    <row r="4691" spans="1:10" ht="16.5" customHeight="1" x14ac:dyDescent="0.25">
      <c r="A4691" s="8" t="s">
        <v>14392</v>
      </c>
      <c r="B4691" s="8" t="s">
        <v>14393</v>
      </c>
      <c r="C4691" s="8" t="s">
        <v>14394</v>
      </c>
      <c r="D4691" s="8" t="s">
        <v>14393</v>
      </c>
      <c r="E4691" s="105">
        <v>5</v>
      </c>
      <c r="F4691" s="106" t="s">
        <v>2018</v>
      </c>
      <c r="G4691" s="8"/>
      <c r="H4691" s="8"/>
      <c r="I4691" s="107">
        <v>0</v>
      </c>
      <c r="J4691" s="8"/>
    </row>
    <row r="4692" spans="1:10" ht="16.5" customHeight="1" x14ac:dyDescent="0.25">
      <c r="A4692" s="8" t="s">
        <v>14395</v>
      </c>
      <c r="B4692" s="8" t="s">
        <v>14396</v>
      </c>
      <c r="C4692" s="8" t="s">
        <v>14397</v>
      </c>
      <c r="D4692" s="8" t="s">
        <v>14396</v>
      </c>
      <c r="E4692" s="105">
        <v>11.2</v>
      </c>
      <c r="F4692" s="106" t="s">
        <v>2018</v>
      </c>
      <c r="G4692" s="8"/>
      <c r="H4692" s="8"/>
      <c r="I4692" s="107">
        <v>0</v>
      </c>
      <c r="J4692" s="8"/>
    </row>
    <row r="4693" spans="1:10" ht="16.5" customHeight="1" x14ac:dyDescent="0.25">
      <c r="A4693" s="8" t="s">
        <v>14398</v>
      </c>
      <c r="B4693" s="8" t="s">
        <v>10632</v>
      </c>
      <c r="C4693" s="8" t="s">
        <v>14399</v>
      </c>
      <c r="D4693" s="8" t="s">
        <v>10632</v>
      </c>
      <c r="E4693" s="105">
        <v>9.6</v>
      </c>
      <c r="F4693" s="106" t="s">
        <v>2018</v>
      </c>
      <c r="G4693" s="8"/>
      <c r="H4693" s="8"/>
      <c r="I4693" s="107">
        <v>0</v>
      </c>
      <c r="J4693" s="8"/>
    </row>
    <row r="4694" spans="1:10" ht="16.5" customHeight="1" x14ac:dyDescent="0.25">
      <c r="A4694" s="8" t="s">
        <v>14400</v>
      </c>
      <c r="B4694" s="8" t="s">
        <v>14401</v>
      </c>
      <c r="C4694" s="8" t="s">
        <v>14402</v>
      </c>
      <c r="D4694" s="8" t="s">
        <v>14401</v>
      </c>
      <c r="E4694" s="105">
        <v>0</v>
      </c>
      <c r="F4694" s="106" t="s">
        <v>2018</v>
      </c>
      <c r="G4694" s="8"/>
      <c r="H4694" s="8"/>
      <c r="I4694" s="107">
        <v>0</v>
      </c>
      <c r="J4694" s="8" t="s">
        <v>6357</v>
      </c>
    </row>
    <row r="4695" spans="1:10" ht="16.5" customHeight="1" x14ac:dyDescent="0.25">
      <c r="A4695" s="8" t="s">
        <v>14403</v>
      </c>
      <c r="B4695" s="8" t="s">
        <v>14404</v>
      </c>
      <c r="C4695" s="8" t="s">
        <v>14405</v>
      </c>
      <c r="D4695" s="8" t="s">
        <v>14404</v>
      </c>
      <c r="E4695" s="105">
        <v>1</v>
      </c>
      <c r="F4695" s="106" t="s">
        <v>2018</v>
      </c>
      <c r="G4695" s="8"/>
      <c r="H4695" s="8"/>
      <c r="I4695" s="107">
        <v>0</v>
      </c>
      <c r="J4695" s="8" t="s">
        <v>6357</v>
      </c>
    </row>
    <row r="4696" spans="1:10" ht="16.5" customHeight="1" x14ac:dyDescent="0.25">
      <c r="A4696" s="8" t="s">
        <v>14406</v>
      </c>
      <c r="B4696" s="8" t="s">
        <v>14407</v>
      </c>
      <c r="C4696" s="8" t="s">
        <v>14408</v>
      </c>
      <c r="D4696" s="8" t="s">
        <v>14407</v>
      </c>
      <c r="E4696" s="105">
        <v>1</v>
      </c>
      <c r="F4696" s="106" t="s">
        <v>2018</v>
      </c>
      <c r="G4696" s="8"/>
      <c r="H4696" s="8"/>
      <c r="I4696" s="107">
        <v>0</v>
      </c>
      <c r="J4696" s="8" t="s">
        <v>6357</v>
      </c>
    </row>
    <row r="4697" spans="1:10" ht="16.5" customHeight="1" x14ac:dyDescent="0.25">
      <c r="A4697" s="8" t="s">
        <v>14409</v>
      </c>
      <c r="B4697" s="8" t="s">
        <v>14410</v>
      </c>
      <c r="C4697" s="8" t="s">
        <v>14411</v>
      </c>
      <c r="D4697" s="8" t="s">
        <v>13772</v>
      </c>
      <c r="E4697" s="105">
        <v>0</v>
      </c>
      <c r="F4697" s="106" t="s">
        <v>2018</v>
      </c>
      <c r="G4697" s="8"/>
      <c r="H4697" s="8"/>
      <c r="I4697" s="107">
        <v>0</v>
      </c>
      <c r="J4697" s="8" t="s">
        <v>3580</v>
      </c>
    </row>
    <row r="4698" spans="1:10" ht="16.5" customHeight="1" x14ac:dyDescent="0.25">
      <c r="A4698" s="8" t="s">
        <v>14412</v>
      </c>
      <c r="B4698" s="8" t="s">
        <v>14413</v>
      </c>
      <c r="C4698" s="8" t="s">
        <v>14414</v>
      </c>
      <c r="D4698" s="8" t="s">
        <v>14415</v>
      </c>
      <c r="E4698" s="105">
        <v>0</v>
      </c>
      <c r="F4698" s="106" t="s">
        <v>2018</v>
      </c>
      <c r="G4698" s="8"/>
      <c r="H4698" s="8"/>
      <c r="I4698" s="107">
        <v>0</v>
      </c>
      <c r="J4698" s="8" t="s">
        <v>3580</v>
      </c>
    </row>
    <row r="4699" spans="1:10" ht="16.5" customHeight="1" x14ac:dyDescent="0.25">
      <c r="A4699" s="8" t="s">
        <v>14416</v>
      </c>
      <c r="B4699" s="8" t="s">
        <v>14417</v>
      </c>
      <c r="C4699" s="8" t="s">
        <v>14418</v>
      </c>
      <c r="D4699" s="8" t="s">
        <v>14417</v>
      </c>
      <c r="E4699" s="105">
        <v>10.92</v>
      </c>
      <c r="F4699" s="106" t="s">
        <v>2018</v>
      </c>
      <c r="G4699" s="8"/>
      <c r="H4699" s="8" t="s">
        <v>9441</v>
      </c>
      <c r="I4699" s="107">
        <v>12</v>
      </c>
      <c r="J4699" s="8" t="s">
        <v>2019</v>
      </c>
    </row>
    <row r="4700" spans="1:10" ht="16.5" customHeight="1" x14ac:dyDescent="0.25">
      <c r="A4700" s="8" t="s">
        <v>14419</v>
      </c>
      <c r="B4700" s="8" t="s">
        <v>14420</v>
      </c>
      <c r="C4700" s="8" t="s">
        <v>14421</v>
      </c>
      <c r="D4700" s="8" t="s">
        <v>14420</v>
      </c>
      <c r="E4700" s="105">
        <v>20</v>
      </c>
      <c r="F4700" s="106" t="s">
        <v>2018</v>
      </c>
      <c r="G4700" s="8"/>
      <c r="H4700" s="8"/>
      <c r="I4700" s="107">
        <v>0</v>
      </c>
      <c r="J4700" s="8" t="s">
        <v>2019</v>
      </c>
    </row>
    <row r="4701" spans="1:10" ht="16.5" customHeight="1" x14ac:dyDescent="0.25">
      <c r="A4701" s="8" t="s">
        <v>14422</v>
      </c>
      <c r="B4701" s="8" t="s">
        <v>14423</v>
      </c>
      <c r="C4701" s="8" t="s">
        <v>14424</v>
      </c>
      <c r="D4701" s="8" t="s">
        <v>14423</v>
      </c>
      <c r="E4701" s="105">
        <v>20</v>
      </c>
      <c r="F4701" s="106" t="s">
        <v>2018</v>
      </c>
      <c r="G4701" s="8"/>
      <c r="H4701" s="8"/>
      <c r="I4701" s="107">
        <v>0</v>
      </c>
      <c r="J4701" s="8" t="s">
        <v>2019</v>
      </c>
    </row>
    <row r="4702" spans="1:10" ht="16.5" customHeight="1" x14ac:dyDescent="0.25">
      <c r="A4702" s="8" t="s">
        <v>1857</v>
      </c>
      <c r="B4702" s="8" t="s">
        <v>1859</v>
      </c>
      <c r="C4702" s="8" t="s">
        <v>1858</v>
      </c>
      <c r="D4702" s="8" t="s">
        <v>1859</v>
      </c>
      <c r="E4702" s="105">
        <v>4.8</v>
      </c>
      <c r="F4702" s="106" t="s">
        <v>2018</v>
      </c>
      <c r="G4702" s="8"/>
      <c r="H4702" s="8" t="s">
        <v>14425</v>
      </c>
      <c r="I4702" s="107">
        <v>48</v>
      </c>
      <c r="J4702" s="8" t="s">
        <v>4789</v>
      </c>
    </row>
    <row r="4703" spans="1:10" ht="16.5" customHeight="1" x14ac:dyDescent="0.25">
      <c r="A4703" s="8" t="s">
        <v>14425</v>
      </c>
      <c r="B4703" s="8" t="s">
        <v>14426</v>
      </c>
      <c r="C4703" s="8" t="s">
        <v>14427</v>
      </c>
      <c r="D4703" s="8" t="s">
        <v>14426</v>
      </c>
      <c r="E4703" s="105">
        <v>0.1</v>
      </c>
      <c r="F4703" s="106" t="s">
        <v>2018</v>
      </c>
      <c r="G4703" s="8"/>
      <c r="H4703" s="8"/>
      <c r="I4703" s="107">
        <v>0</v>
      </c>
      <c r="J4703" s="8" t="s">
        <v>4789</v>
      </c>
    </row>
    <row r="4704" spans="1:10" ht="16.5" customHeight="1" x14ac:dyDescent="0.25">
      <c r="A4704" s="8" t="s">
        <v>14428</v>
      </c>
      <c r="B4704" s="8" t="s">
        <v>14429</v>
      </c>
      <c r="C4704" s="8" t="s">
        <v>14430</v>
      </c>
      <c r="D4704" s="8" t="s">
        <v>14431</v>
      </c>
      <c r="E4704" s="105">
        <v>0</v>
      </c>
      <c r="F4704" s="106" t="s">
        <v>2018</v>
      </c>
      <c r="G4704" s="8"/>
      <c r="H4704" s="8"/>
      <c r="I4704" s="107">
        <v>0</v>
      </c>
      <c r="J4704" s="8" t="s">
        <v>4823</v>
      </c>
    </row>
    <row r="4705" spans="1:10" ht="16.5" customHeight="1" x14ac:dyDescent="0.25">
      <c r="A4705" s="8" t="s">
        <v>14432</v>
      </c>
      <c r="B4705" s="8" t="s">
        <v>14433</v>
      </c>
      <c r="C4705" s="8" t="s">
        <v>14434</v>
      </c>
      <c r="D4705" s="8" t="s">
        <v>14435</v>
      </c>
      <c r="E4705" s="105">
        <v>0</v>
      </c>
      <c r="F4705" s="106" t="s">
        <v>2018</v>
      </c>
      <c r="G4705" s="8"/>
      <c r="H4705" s="8"/>
      <c r="I4705" s="107">
        <v>0</v>
      </c>
      <c r="J4705" s="8" t="s">
        <v>4823</v>
      </c>
    </row>
    <row r="4706" spans="1:10" ht="16.5" customHeight="1" x14ac:dyDescent="0.25">
      <c r="A4706" s="8" t="s">
        <v>965</v>
      </c>
      <c r="B4706" s="8" t="s">
        <v>967</v>
      </c>
      <c r="C4706" s="8" t="s">
        <v>966</v>
      </c>
      <c r="D4706" s="8" t="s">
        <v>14436</v>
      </c>
      <c r="E4706" s="105">
        <v>25</v>
      </c>
      <c r="F4706" s="106" t="s">
        <v>2018</v>
      </c>
      <c r="G4706" s="8"/>
      <c r="H4706" s="8"/>
      <c r="I4706" s="107">
        <v>0</v>
      </c>
      <c r="J4706" s="8" t="s">
        <v>2019</v>
      </c>
    </row>
    <row r="4707" spans="1:10" ht="16.5" customHeight="1" x14ac:dyDescent="0.25">
      <c r="A4707" s="8" t="s">
        <v>1280</v>
      </c>
      <c r="B4707" s="8" t="s">
        <v>1282</v>
      </c>
      <c r="C4707" s="8" t="s">
        <v>1281</v>
      </c>
      <c r="D4707" s="8" t="s">
        <v>14437</v>
      </c>
      <c r="E4707" s="105">
        <v>18</v>
      </c>
      <c r="F4707" s="106" t="s">
        <v>2018</v>
      </c>
      <c r="G4707" s="8"/>
      <c r="H4707" s="8"/>
      <c r="I4707" s="107">
        <v>0</v>
      </c>
      <c r="J4707" s="8" t="s">
        <v>2019</v>
      </c>
    </row>
    <row r="4708" spans="1:10" ht="16.5" customHeight="1" x14ac:dyDescent="0.25">
      <c r="A4708" s="8" t="s">
        <v>14438</v>
      </c>
      <c r="B4708" s="8" t="s">
        <v>14439</v>
      </c>
      <c r="C4708" s="8" t="s">
        <v>14440</v>
      </c>
      <c r="D4708" s="8" t="s">
        <v>14439</v>
      </c>
      <c r="E4708" s="105">
        <v>11</v>
      </c>
      <c r="F4708" s="106" t="s">
        <v>2018</v>
      </c>
      <c r="G4708" s="8"/>
      <c r="H4708" s="8"/>
      <c r="I4708" s="107">
        <v>0</v>
      </c>
      <c r="J4708" s="8" t="s">
        <v>2019</v>
      </c>
    </row>
    <row r="4709" spans="1:10" ht="16.5" customHeight="1" x14ac:dyDescent="0.25">
      <c r="A4709" s="8" t="s">
        <v>14441</v>
      </c>
      <c r="B4709" s="8" t="s">
        <v>14442</v>
      </c>
      <c r="C4709" s="8" t="s">
        <v>14443</v>
      </c>
      <c r="D4709" s="8" t="s">
        <v>14442</v>
      </c>
      <c r="E4709" s="105">
        <v>8</v>
      </c>
      <c r="F4709" s="106" t="s">
        <v>2018</v>
      </c>
      <c r="G4709" s="8"/>
      <c r="H4709" s="8"/>
      <c r="I4709" s="107">
        <v>0</v>
      </c>
      <c r="J4709" s="8" t="s">
        <v>2019</v>
      </c>
    </row>
    <row r="4710" spans="1:10" ht="16.5" customHeight="1" x14ac:dyDescent="0.25">
      <c r="A4710" s="8" t="s">
        <v>14444</v>
      </c>
      <c r="B4710" s="8" t="s">
        <v>14445</v>
      </c>
      <c r="C4710" s="8" t="s">
        <v>14446</v>
      </c>
      <c r="D4710" s="8" t="s">
        <v>14445</v>
      </c>
      <c r="E4710" s="105">
        <v>8</v>
      </c>
      <c r="F4710" s="106" t="s">
        <v>2018</v>
      </c>
      <c r="G4710" s="8"/>
      <c r="H4710" s="8"/>
      <c r="I4710" s="107">
        <v>0</v>
      </c>
      <c r="J4710" s="8" t="s">
        <v>2019</v>
      </c>
    </row>
    <row r="4711" spans="1:10" ht="16.5" customHeight="1" x14ac:dyDescent="0.25">
      <c r="A4711" s="8" t="s">
        <v>14447</v>
      </c>
      <c r="B4711" s="8" t="s">
        <v>14448</v>
      </c>
      <c r="C4711" s="8" t="s">
        <v>5683</v>
      </c>
      <c r="D4711" s="8" t="s">
        <v>14448</v>
      </c>
      <c r="E4711" s="105">
        <v>0.4</v>
      </c>
      <c r="F4711" s="106" t="s">
        <v>2018</v>
      </c>
      <c r="G4711" s="8" t="s">
        <v>1417</v>
      </c>
      <c r="H4711" s="8"/>
      <c r="I4711" s="107">
        <v>0</v>
      </c>
      <c r="J4711" s="8" t="s">
        <v>5671</v>
      </c>
    </row>
    <row r="4712" spans="1:10" ht="16.5" customHeight="1" x14ac:dyDescent="0.25">
      <c r="A4712" s="8" t="s">
        <v>14449</v>
      </c>
      <c r="B4712" s="8" t="s">
        <v>14450</v>
      </c>
      <c r="C4712" s="8" t="s">
        <v>1485</v>
      </c>
      <c r="D4712" s="8" t="s">
        <v>14450</v>
      </c>
      <c r="E4712" s="105">
        <v>4.8</v>
      </c>
      <c r="F4712" s="106" t="s">
        <v>2018</v>
      </c>
      <c r="G4712" s="8" t="s">
        <v>1417</v>
      </c>
      <c r="H4712" s="8" t="s">
        <v>14447</v>
      </c>
      <c r="I4712" s="107">
        <v>12</v>
      </c>
      <c r="J4712" s="8" t="s">
        <v>5671</v>
      </c>
    </row>
    <row r="4713" spans="1:10" ht="16.5" customHeight="1" x14ac:dyDescent="0.25">
      <c r="A4713" s="8" t="s">
        <v>14451</v>
      </c>
      <c r="B4713" s="8" t="s">
        <v>14452</v>
      </c>
      <c r="C4713" s="8" t="s">
        <v>14453</v>
      </c>
      <c r="D4713" s="8" t="s">
        <v>14452</v>
      </c>
      <c r="E4713" s="105">
        <v>1</v>
      </c>
      <c r="F4713" s="106" t="s">
        <v>2018</v>
      </c>
      <c r="G4713" s="8"/>
      <c r="H4713" s="8"/>
      <c r="I4713" s="107">
        <v>0</v>
      </c>
      <c r="J4713" s="8" t="s">
        <v>3695</v>
      </c>
    </row>
    <row r="4714" spans="1:10" ht="16.5" customHeight="1" x14ac:dyDescent="0.25">
      <c r="A4714" s="8" t="s">
        <v>14454</v>
      </c>
      <c r="B4714" s="8" t="s">
        <v>14455</v>
      </c>
      <c r="C4714" s="8" t="s">
        <v>14456</v>
      </c>
      <c r="D4714" s="8" t="s">
        <v>14457</v>
      </c>
      <c r="E4714" s="105">
        <v>0</v>
      </c>
      <c r="F4714" s="106" t="s">
        <v>2018</v>
      </c>
      <c r="G4714" s="8"/>
      <c r="H4714" s="8"/>
      <c r="I4714" s="107">
        <v>0</v>
      </c>
      <c r="J4714" s="8" t="s">
        <v>3580</v>
      </c>
    </row>
    <row r="4715" spans="1:10" ht="16.5" customHeight="1" x14ac:dyDescent="0.25">
      <c r="A4715" s="8" t="s">
        <v>14458</v>
      </c>
      <c r="B4715" s="8" t="s">
        <v>14459</v>
      </c>
      <c r="C4715" s="8" t="s">
        <v>14460</v>
      </c>
      <c r="D4715" s="8" t="s">
        <v>14461</v>
      </c>
      <c r="E4715" s="105">
        <v>0</v>
      </c>
      <c r="F4715" s="106" t="s">
        <v>2018</v>
      </c>
      <c r="G4715" s="8"/>
      <c r="H4715" s="8"/>
      <c r="I4715" s="107">
        <v>0</v>
      </c>
      <c r="J4715" s="8" t="s">
        <v>3580</v>
      </c>
    </row>
    <row r="4716" spans="1:10" ht="16.5" customHeight="1" x14ac:dyDescent="0.25">
      <c r="A4716" s="8" t="s">
        <v>14462</v>
      </c>
      <c r="B4716" s="8" t="s">
        <v>14463</v>
      </c>
      <c r="C4716" s="8" t="s">
        <v>14464</v>
      </c>
      <c r="D4716" s="8" t="s">
        <v>14463</v>
      </c>
      <c r="E4716" s="105">
        <v>0.35</v>
      </c>
      <c r="F4716" s="106" t="s">
        <v>2018</v>
      </c>
      <c r="G4716" s="8"/>
      <c r="H4716" s="8"/>
      <c r="I4716" s="107">
        <v>0</v>
      </c>
      <c r="J4716" s="8" t="s">
        <v>10697</v>
      </c>
    </row>
    <row r="4717" spans="1:10" ht="16.5" customHeight="1" x14ac:dyDescent="0.25">
      <c r="A4717" s="8" t="s">
        <v>14465</v>
      </c>
      <c r="B4717" s="8" t="s">
        <v>14466</v>
      </c>
      <c r="C4717" s="8" t="s">
        <v>14467</v>
      </c>
      <c r="D4717" s="8" t="s">
        <v>14466</v>
      </c>
      <c r="E4717" s="105">
        <v>12.6</v>
      </c>
      <c r="F4717" s="106" t="s">
        <v>2018</v>
      </c>
      <c r="G4717" s="8"/>
      <c r="H4717" s="8" t="s">
        <v>14462</v>
      </c>
      <c r="I4717" s="107">
        <v>36</v>
      </c>
      <c r="J4717" s="8" t="s">
        <v>10697</v>
      </c>
    </row>
    <row r="4718" spans="1:10" ht="16.5" customHeight="1" x14ac:dyDescent="0.25">
      <c r="A4718" s="8" t="s">
        <v>14468</v>
      </c>
      <c r="B4718" s="8" t="s">
        <v>14469</v>
      </c>
      <c r="C4718" s="8" t="s">
        <v>14470</v>
      </c>
      <c r="D4718" s="8" t="s">
        <v>14469</v>
      </c>
      <c r="E4718" s="105">
        <v>0.11</v>
      </c>
      <c r="F4718" s="106" t="s">
        <v>2018</v>
      </c>
      <c r="G4718" s="8"/>
      <c r="H4718" s="8"/>
      <c r="I4718" s="107">
        <v>0</v>
      </c>
      <c r="J4718" s="8" t="s">
        <v>10697</v>
      </c>
    </row>
    <row r="4719" spans="1:10" ht="16.5" customHeight="1" x14ac:dyDescent="0.25">
      <c r="A4719" s="8" t="s">
        <v>14471</v>
      </c>
      <c r="B4719" s="8" t="s">
        <v>14472</v>
      </c>
      <c r="C4719" s="8" t="s">
        <v>14473</v>
      </c>
      <c r="D4719" s="8" t="s">
        <v>14472</v>
      </c>
      <c r="E4719" s="105">
        <v>8.8000000000000007</v>
      </c>
      <c r="F4719" s="106" t="s">
        <v>2018</v>
      </c>
      <c r="G4719" s="8"/>
      <c r="H4719" s="8" t="s">
        <v>14468</v>
      </c>
      <c r="I4719" s="107">
        <v>80</v>
      </c>
      <c r="J4719" s="8" t="s">
        <v>10697</v>
      </c>
    </row>
    <row r="4720" spans="1:10" ht="16.5" customHeight="1" x14ac:dyDescent="0.25">
      <c r="A4720" s="8" t="s">
        <v>14474</v>
      </c>
      <c r="B4720" s="8" t="s">
        <v>14475</v>
      </c>
      <c r="C4720" s="8" t="s">
        <v>14476</v>
      </c>
      <c r="D4720" s="8" t="s">
        <v>14475</v>
      </c>
      <c r="E4720" s="105">
        <v>3.7</v>
      </c>
      <c r="F4720" s="106" t="s">
        <v>2018</v>
      </c>
      <c r="G4720" s="8"/>
      <c r="H4720" s="8"/>
      <c r="I4720" s="107">
        <v>0</v>
      </c>
      <c r="J4720" s="8" t="s">
        <v>10697</v>
      </c>
    </row>
    <row r="4721" spans="1:10" ht="16.5" customHeight="1" x14ac:dyDescent="0.25">
      <c r="A4721" s="8" t="s">
        <v>14477</v>
      </c>
      <c r="B4721" s="8" t="s">
        <v>14478</v>
      </c>
      <c r="C4721" s="8" t="s">
        <v>14479</v>
      </c>
      <c r="D4721" s="8" t="s">
        <v>14478</v>
      </c>
      <c r="E4721" s="105">
        <v>14.8</v>
      </c>
      <c r="F4721" s="106" t="s">
        <v>2018</v>
      </c>
      <c r="G4721" s="8"/>
      <c r="H4721" s="8" t="s">
        <v>14474</v>
      </c>
      <c r="I4721" s="107">
        <v>4</v>
      </c>
      <c r="J4721" s="8" t="s">
        <v>10697</v>
      </c>
    </row>
    <row r="4722" spans="1:10" ht="16.5" customHeight="1" x14ac:dyDescent="0.25">
      <c r="A4722" s="8" t="s">
        <v>14480</v>
      </c>
      <c r="B4722" s="8" t="s">
        <v>14481</v>
      </c>
      <c r="C4722" s="8" t="s">
        <v>14482</v>
      </c>
      <c r="D4722" s="8" t="s">
        <v>14481</v>
      </c>
      <c r="E4722" s="105">
        <v>0.7</v>
      </c>
      <c r="F4722" s="106" t="s">
        <v>2018</v>
      </c>
      <c r="G4722" s="8"/>
      <c r="H4722" s="8"/>
      <c r="I4722" s="107">
        <v>0</v>
      </c>
      <c r="J4722" s="8" t="s">
        <v>10697</v>
      </c>
    </row>
    <row r="4723" spans="1:10" ht="16.5" customHeight="1" x14ac:dyDescent="0.25">
      <c r="A4723" s="8" t="s">
        <v>1294</v>
      </c>
      <c r="B4723" s="8" t="s">
        <v>1296</v>
      </c>
      <c r="C4723" s="8" t="s">
        <v>1295</v>
      </c>
      <c r="D4723" s="8" t="s">
        <v>1296</v>
      </c>
      <c r="E4723" s="105">
        <v>14</v>
      </c>
      <c r="F4723" s="106" t="s">
        <v>2018</v>
      </c>
      <c r="G4723" s="8"/>
      <c r="H4723" s="8" t="s">
        <v>14480</v>
      </c>
      <c r="I4723" s="107">
        <v>20</v>
      </c>
      <c r="J4723" s="8" t="s">
        <v>10697</v>
      </c>
    </row>
    <row r="4724" spans="1:10" ht="16.5" customHeight="1" x14ac:dyDescent="0.25">
      <c r="A4724" s="8" t="s">
        <v>14483</v>
      </c>
      <c r="B4724" s="8" t="s">
        <v>14484</v>
      </c>
      <c r="C4724" s="8" t="s">
        <v>14485</v>
      </c>
      <c r="D4724" s="8" t="s">
        <v>14484</v>
      </c>
      <c r="E4724" s="105">
        <v>2.6</v>
      </c>
      <c r="F4724" s="106" t="s">
        <v>2018</v>
      </c>
      <c r="G4724" s="8"/>
      <c r="H4724" s="8"/>
      <c r="I4724" s="107">
        <v>0</v>
      </c>
      <c r="J4724" s="8" t="s">
        <v>10697</v>
      </c>
    </row>
    <row r="4725" spans="1:10" ht="16.5" customHeight="1" x14ac:dyDescent="0.25">
      <c r="A4725" s="8" t="s">
        <v>1097</v>
      </c>
      <c r="B4725" s="8" t="s">
        <v>1099</v>
      </c>
      <c r="C4725" s="8" t="s">
        <v>1098</v>
      </c>
      <c r="D4725" s="8" t="s">
        <v>1099</v>
      </c>
      <c r="E4725" s="105">
        <v>13</v>
      </c>
      <c r="F4725" s="106" t="s">
        <v>2018</v>
      </c>
      <c r="G4725" s="8"/>
      <c r="H4725" s="8" t="s">
        <v>14483</v>
      </c>
      <c r="I4725" s="107">
        <v>5</v>
      </c>
      <c r="J4725" s="8" t="s">
        <v>10697</v>
      </c>
    </row>
    <row r="4726" spans="1:10" ht="16.5" customHeight="1" x14ac:dyDescent="0.25">
      <c r="A4726" s="8" t="s">
        <v>14486</v>
      </c>
      <c r="B4726" s="8" t="s">
        <v>14487</v>
      </c>
      <c r="C4726" s="8" t="s">
        <v>14488</v>
      </c>
      <c r="D4726" s="8" t="s">
        <v>14487</v>
      </c>
      <c r="E4726" s="105">
        <v>5.3</v>
      </c>
      <c r="F4726" s="106" t="s">
        <v>2018</v>
      </c>
      <c r="G4726" s="8"/>
      <c r="H4726" s="8"/>
      <c r="I4726" s="107">
        <v>0</v>
      </c>
      <c r="J4726" s="8" t="s">
        <v>10697</v>
      </c>
    </row>
    <row r="4727" spans="1:10" ht="16.5" customHeight="1" x14ac:dyDescent="0.25">
      <c r="A4727" s="8" t="s">
        <v>1045</v>
      </c>
      <c r="B4727" s="8" t="s">
        <v>1047</v>
      </c>
      <c r="C4727" s="8" t="s">
        <v>1046</v>
      </c>
      <c r="D4727" s="8" t="s">
        <v>1047</v>
      </c>
      <c r="E4727" s="105">
        <v>15.9</v>
      </c>
      <c r="F4727" s="106" t="s">
        <v>2018</v>
      </c>
      <c r="G4727" s="8"/>
      <c r="H4727" s="8" t="s">
        <v>14486</v>
      </c>
      <c r="I4727" s="107">
        <v>3</v>
      </c>
      <c r="J4727" s="8" t="s">
        <v>10697</v>
      </c>
    </row>
    <row r="4728" spans="1:10" ht="16.5" customHeight="1" x14ac:dyDescent="0.25">
      <c r="A4728" s="8" t="s">
        <v>14489</v>
      </c>
      <c r="B4728" s="8" t="s">
        <v>14490</v>
      </c>
      <c r="C4728" s="8" t="s">
        <v>14491</v>
      </c>
      <c r="D4728" s="8" t="s">
        <v>14492</v>
      </c>
      <c r="E4728" s="105">
        <v>0</v>
      </c>
      <c r="F4728" s="106" t="s">
        <v>2018</v>
      </c>
      <c r="G4728" s="8"/>
      <c r="H4728" s="8"/>
      <c r="I4728" s="107">
        <v>0</v>
      </c>
      <c r="J4728" s="8" t="s">
        <v>3580</v>
      </c>
    </row>
    <row r="4729" spans="1:10" ht="16.5" customHeight="1" x14ac:dyDescent="0.25">
      <c r="A4729" s="8" t="s">
        <v>14493</v>
      </c>
      <c r="B4729" s="8" t="s">
        <v>14494</v>
      </c>
      <c r="C4729" s="8" t="s">
        <v>11245</v>
      </c>
      <c r="D4729" s="8" t="s">
        <v>13797</v>
      </c>
      <c r="E4729" s="105">
        <v>0</v>
      </c>
      <c r="F4729" s="106" t="s">
        <v>2018</v>
      </c>
      <c r="G4729" s="8"/>
      <c r="H4729" s="8"/>
      <c r="I4729" s="107">
        <v>0</v>
      </c>
      <c r="J4729" s="8" t="s">
        <v>3580</v>
      </c>
    </row>
    <row r="4730" spans="1:10" ht="16.5" customHeight="1" x14ac:dyDescent="0.25">
      <c r="A4730" s="8" t="s">
        <v>14495</v>
      </c>
      <c r="B4730" s="8" t="s">
        <v>14496</v>
      </c>
      <c r="C4730" s="8" t="s">
        <v>14497</v>
      </c>
      <c r="D4730" s="8" t="s">
        <v>13797</v>
      </c>
      <c r="E4730" s="105">
        <v>0</v>
      </c>
      <c r="F4730" s="106" t="s">
        <v>2018</v>
      </c>
      <c r="G4730" s="8"/>
      <c r="H4730" s="8"/>
      <c r="I4730" s="107">
        <v>0</v>
      </c>
      <c r="J4730" s="8" t="s">
        <v>3580</v>
      </c>
    </row>
    <row r="4731" spans="1:10" ht="16.5" customHeight="1" x14ac:dyDescent="0.25">
      <c r="A4731" s="8" t="s">
        <v>14498</v>
      </c>
      <c r="B4731" s="8" t="s">
        <v>14499</v>
      </c>
      <c r="C4731" s="8" t="s">
        <v>14500</v>
      </c>
      <c r="D4731" s="8" t="s">
        <v>13797</v>
      </c>
      <c r="E4731" s="105">
        <v>0</v>
      </c>
      <c r="F4731" s="106" t="s">
        <v>2018</v>
      </c>
      <c r="G4731" s="8"/>
      <c r="H4731" s="8"/>
      <c r="I4731" s="107">
        <v>0</v>
      </c>
      <c r="J4731" s="8" t="s">
        <v>3580</v>
      </c>
    </row>
    <row r="4732" spans="1:10" ht="16.5" customHeight="1" x14ac:dyDescent="0.25">
      <c r="A4732" s="8" t="s">
        <v>14501</v>
      </c>
      <c r="B4732" s="8" t="s">
        <v>14502</v>
      </c>
      <c r="C4732" s="8" t="s">
        <v>950</v>
      </c>
      <c r="D4732" s="8" t="s">
        <v>14502</v>
      </c>
      <c r="E4732" s="105">
        <v>0.91</v>
      </c>
      <c r="F4732" s="106" t="s">
        <v>2018</v>
      </c>
      <c r="G4732" s="8"/>
      <c r="H4732" s="8"/>
      <c r="I4732" s="107">
        <v>0</v>
      </c>
      <c r="J4732" s="8" t="s">
        <v>2019</v>
      </c>
    </row>
    <row r="4733" spans="1:10" ht="16.5" customHeight="1" x14ac:dyDescent="0.25">
      <c r="A4733" s="8" t="s">
        <v>1176</v>
      </c>
      <c r="B4733" s="8" t="s">
        <v>1177</v>
      </c>
      <c r="C4733" s="8" t="s">
        <v>950</v>
      </c>
      <c r="D4733" s="8" t="s">
        <v>1177</v>
      </c>
      <c r="E4733" s="105">
        <v>10.92</v>
      </c>
      <c r="F4733" s="106" t="s">
        <v>2018</v>
      </c>
      <c r="G4733" s="8"/>
      <c r="H4733" s="8" t="s">
        <v>14501</v>
      </c>
      <c r="I4733" s="107">
        <v>12</v>
      </c>
      <c r="J4733" s="8" t="s">
        <v>2019</v>
      </c>
    </row>
    <row r="4734" spans="1:10" ht="16.5" customHeight="1" x14ac:dyDescent="0.25">
      <c r="A4734" s="8" t="s">
        <v>14503</v>
      </c>
      <c r="B4734" s="8" t="s">
        <v>14504</v>
      </c>
      <c r="C4734" s="8" t="s">
        <v>953</v>
      </c>
      <c r="D4734" s="8" t="s">
        <v>14504</v>
      </c>
      <c r="E4734" s="105">
        <v>1.82</v>
      </c>
      <c r="F4734" s="106" t="s">
        <v>2018</v>
      </c>
      <c r="G4734" s="8"/>
      <c r="H4734" s="8"/>
      <c r="I4734" s="107">
        <v>0</v>
      </c>
      <c r="J4734" s="8" t="s">
        <v>2019</v>
      </c>
    </row>
    <row r="4735" spans="1:10" ht="16.5" customHeight="1" x14ac:dyDescent="0.25">
      <c r="A4735" s="8" t="s">
        <v>1156</v>
      </c>
      <c r="B4735" s="8" t="s">
        <v>1157</v>
      </c>
      <c r="C4735" s="8" t="s">
        <v>953</v>
      </c>
      <c r="D4735" s="8" t="s">
        <v>1157</v>
      </c>
      <c r="E4735" s="105">
        <v>10.92</v>
      </c>
      <c r="F4735" s="106" t="s">
        <v>2018</v>
      </c>
      <c r="G4735" s="8"/>
      <c r="H4735" s="8" t="s">
        <v>14503</v>
      </c>
      <c r="I4735" s="107">
        <v>6</v>
      </c>
      <c r="J4735" s="8" t="s">
        <v>2019</v>
      </c>
    </row>
    <row r="4736" spans="1:10" ht="16.5" customHeight="1" x14ac:dyDescent="0.25">
      <c r="A4736" s="8" t="s">
        <v>14505</v>
      </c>
      <c r="B4736" s="8" t="s">
        <v>14506</v>
      </c>
      <c r="C4736" s="8" t="s">
        <v>1190</v>
      </c>
      <c r="D4736" s="8" t="s">
        <v>14506</v>
      </c>
      <c r="E4736" s="105">
        <v>4.55</v>
      </c>
      <c r="F4736" s="106" t="s">
        <v>2018</v>
      </c>
      <c r="G4736" s="8"/>
      <c r="H4736" s="8"/>
      <c r="I4736" s="107">
        <v>0</v>
      </c>
      <c r="J4736" s="8" t="s">
        <v>2019</v>
      </c>
    </row>
    <row r="4737" spans="1:10" ht="16.5" customHeight="1" x14ac:dyDescent="0.25">
      <c r="A4737" s="8" t="s">
        <v>1189</v>
      </c>
      <c r="B4737" s="8" t="s">
        <v>1191</v>
      </c>
      <c r="C4737" s="8" t="s">
        <v>1190</v>
      </c>
      <c r="D4737" s="8" t="s">
        <v>1191</v>
      </c>
      <c r="E4737" s="105">
        <v>18.2</v>
      </c>
      <c r="F4737" s="106" t="s">
        <v>2018</v>
      </c>
      <c r="G4737" s="8"/>
      <c r="H4737" s="8" t="s">
        <v>14505</v>
      </c>
      <c r="I4737" s="107">
        <v>4</v>
      </c>
      <c r="J4737" s="8" t="s">
        <v>2019</v>
      </c>
    </row>
    <row r="4738" spans="1:10" ht="16.5" customHeight="1" x14ac:dyDescent="0.25">
      <c r="A4738" s="8" t="s">
        <v>14507</v>
      </c>
      <c r="B4738" s="8" t="s">
        <v>14508</v>
      </c>
      <c r="C4738" s="8" t="s">
        <v>1071</v>
      </c>
      <c r="D4738" s="8" t="s">
        <v>14508</v>
      </c>
      <c r="E4738" s="105">
        <v>0.36399999999999999</v>
      </c>
      <c r="F4738" s="106" t="s">
        <v>2018</v>
      </c>
      <c r="G4738" s="8"/>
      <c r="H4738" s="8"/>
      <c r="I4738" s="107">
        <v>0</v>
      </c>
      <c r="J4738" s="8" t="s">
        <v>2019</v>
      </c>
    </row>
    <row r="4739" spans="1:10" ht="16.5" customHeight="1" x14ac:dyDescent="0.25">
      <c r="A4739" s="8" t="s">
        <v>14509</v>
      </c>
      <c r="B4739" s="8" t="s">
        <v>14510</v>
      </c>
      <c r="C4739" s="8" t="s">
        <v>1071</v>
      </c>
      <c r="D4739" s="8" t="s">
        <v>14510</v>
      </c>
      <c r="E4739" s="105">
        <v>8.7360000000000007</v>
      </c>
      <c r="F4739" s="106" t="s">
        <v>2018</v>
      </c>
      <c r="G4739" s="8"/>
      <c r="H4739" s="8" t="s">
        <v>14507</v>
      </c>
      <c r="I4739" s="107">
        <v>24</v>
      </c>
      <c r="J4739" s="8" t="s">
        <v>2019</v>
      </c>
    </row>
    <row r="4740" spans="1:10" ht="16.5" customHeight="1" x14ac:dyDescent="0.25">
      <c r="A4740" s="8" t="s">
        <v>14511</v>
      </c>
      <c r="B4740" s="8" t="s">
        <v>14512</v>
      </c>
      <c r="C4740" s="8" t="s">
        <v>950</v>
      </c>
      <c r="D4740" s="8" t="s">
        <v>14512</v>
      </c>
      <c r="E4740" s="105">
        <v>0.91</v>
      </c>
      <c r="F4740" s="106" t="s">
        <v>2018</v>
      </c>
      <c r="G4740" s="8"/>
      <c r="H4740" s="8"/>
      <c r="I4740" s="107">
        <v>0</v>
      </c>
      <c r="J4740" s="8" t="s">
        <v>2019</v>
      </c>
    </row>
    <row r="4741" spans="1:10" ht="16.5" customHeight="1" x14ac:dyDescent="0.25">
      <c r="A4741" s="8" t="s">
        <v>14513</v>
      </c>
      <c r="B4741" s="8" t="s">
        <v>14514</v>
      </c>
      <c r="C4741" s="8" t="s">
        <v>950</v>
      </c>
      <c r="D4741" s="8" t="s">
        <v>14514</v>
      </c>
      <c r="E4741" s="105">
        <v>10.92</v>
      </c>
      <c r="F4741" s="106" t="s">
        <v>2018</v>
      </c>
      <c r="G4741" s="8"/>
      <c r="H4741" s="8" t="s">
        <v>14511</v>
      </c>
      <c r="I4741" s="107">
        <v>12</v>
      </c>
      <c r="J4741" s="8" t="s">
        <v>2019</v>
      </c>
    </row>
    <row r="4742" spans="1:10" ht="16.5" customHeight="1" x14ac:dyDescent="0.25">
      <c r="A4742" s="8" t="s">
        <v>14515</v>
      </c>
      <c r="B4742" s="8" t="s">
        <v>14516</v>
      </c>
      <c r="C4742" s="8" t="s">
        <v>953</v>
      </c>
      <c r="D4742" s="8" t="s">
        <v>14516</v>
      </c>
      <c r="E4742" s="105">
        <v>1.82</v>
      </c>
      <c r="F4742" s="106" t="s">
        <v>2018</v>
      </c>
      <c r="G4742" s="8"/>
      <c r="H4742" s="8"/>
      <c r="I4742" s="107">
        <v>0</v>
      </c>
      <c r="J4742" s="8" t="s">
        <v>2019</v>
      </c>
    </row>
    <row r="4743" spans="1:10" ht="16.5" customHeight="1" x14ac:dyDescent="0.25">
      <c r="A4743" s="8" t="s">
        <v>14517</v>
      </c>
      <c r="B4743" s="8" t="s">
        <v>14518</v>
      </c>
      <c r="C4743" s="8" t="s">
        <v>953</v>
      </c>
      <c r="D4743" s="8" t="s">
        <v>14518</v>
      </c>
      <c r="E4743" s="105">
        <v>10.92</v>
      </c>
      <c r="F4743" s="106" t="s">
        <v>2018</v>
      </c>
      <c r="G4743" s="8"/>
      <c r="H4743" s="8" t="s">
        <v>14515</v>
      </c>
      <c r="I4743" s="107">
        <v>6</v>
      </c>
      <c r="J4743" s="8" t="s">
        <v>2019</v>
      </c>
    </row>
    <row r="4744" spans="1:10" ht="16.5" customHeight="1" x14ac:dyDescent="0.25">
      <c r="A4744" s="8" t="s">
        <v>14519</v>
      </c>
      <c r="B4744" s="8" t="s">
        <v>14520</v>
      </c>
      <c r="C4744" s="8" t="s">
        <v>1190</v>
      </c>
      <c r="D4744" s="8" t="s">
        <v>14520</v>
      </c>
      <c r="E4744" s="105">
        <v>4.55</v>
      </c>
      <c r="F4744" s="106" t="s">
        <v>2018</v>
      </c>
      <c r="G4744" s="8"/>
      <c r="H4744" s="8"/>
      <c r="I4744" s="107">
        <v>0</v>
      </c>
      <c r="J4744" s="8" t="s">
        <v>2019</v>
      </c>
    </row>
    <row r="4745" spans="1:10" ht="16.5" customHeight="1" x14ac:dyDescent="0.25">
      <c r="A4745" s="8" t="s">
        <v>14521</v>
      </c>
      <c r="B4745" s="8" t="s">
        <v>14522</v>
      </c>
      <c r="C4745" s="8" t="s">
        <v>1190</v>
      </c>
      <c r="D4745" s="8" t="s">
        <v>14522</v>
      </c>
      <c r="E4745" s="105">
        <v>18.2</v>
      </c>
      <c r="F4745" s="106" t="s">
        <v>2018</v>
      </c>
      <c r="G4745" s="8"/>
      <c r="H4745" s="8" t="s">
        <v>14519</v>
      </c>
      <c r="I4745" s="107">
        <v>4</v>
      </c>
      <c r="J4745" s="8" t="s">
        <v>2019</v>
      </c>
    </row>
    <row r="4746" spans="1:10" ht="16.5" customHeight="1" x14ac:dyDescent="0.25">
      <c r="A4746" s="8" t="s">
        <v>14523</v>
      </c>
      <c r="B4746" s="8" t="s">
        <v>14524</v>
      </c>
      <c r="C4746" s="8" t="s">
        <v>1071</v>
      </c>
      <c r="D4746" s="8" t="s">
        <v>14524</v>
      </c>
      <c r="E4746" s="105">
        <v>0.36399999999999999</v>
      </c>
      <c r="F4746" s="106" t="s">
        <v>2018</v>
      </c>
      <c r="G4746" s="8"/>
      <c r="H4746" s="8"/>
      <c r="I4746" s="107">
        <v>0</v>
      </c>
      <c r="J4746" s="8" t="s">
        <v>2019</v>
      </c>
    </row>
    <row r="4747" spans="1:10" ht="16.5" customHeight="1" x14ac:dyDescent="0.25">
      <c r="A4747" s="8" t="s">
        <v>14525</v>
      </c>
      <c r="B4747" s="8" t="s">
        <v>14526</v>
      </c>
      <c r="C4747" s="8" t="s">
        <v>1071</v>
      </c>
      <c r="D4747" s="8" t="s">
        <v>14526</v>
      </c>
      <c r="E4747" s="105">
        <v>8.7360000000000007</v>
      </c>
      <c r="F4747" s="106" t="s">
        <v>2018</v>
      </c>
      <c r="G4747" s="8"/>
      <c r="H4747" s="8" t="s">
        <v>14523</v>
      </c>
      <c r="I4747" s="107">
        <v>24</v>
      </c>
      <c r="J4747" s="8" t="s">
        <v>2019</v>
      </c>
    </row>
    <row r="4748" spans="1:10" ht="16.5" customHeight="1" x14ac:dyDescent="0.25">
      <c r="A4748" s="8" t="s">
        <v>14527</v>
      </c>
      <c r="B4748" s="8" t="s">
        <v>14528</v>
      </c>
      <c r="C4748" s="8" t="s">
        <v>14529</v>
      </c>
      <c r="D4748" s="8" t="s">
        <v>14528</v>
      </c>
      <c r="E4748" s="105">
        <v>1</v>
      </c>
      <c r="F4748" s="106" t="s">
        <v>2018</v>
      </c>
      <c r="G4748" s="8"/>
      <c r="H4748" s="8"/>
      <c r="I4748" s="107">
        <v>0</v>
      </c>
      <c r="J4748" s="8" t="s">
        <v>10979</v>
      </c>
    </row>
    <row r="4749" spans="1:10" ht="16.5" customHeight="1" x14ac:dyDescent="0.25">
      <c r="A4749" s="8" t="s">
        <v>14530</v>
      </c>
      <c r="B4749" s="8" t="s">
        <v>14531</v>
      </c>
      <c r="C4749" s="8" t="s">
        <v>14532</v>
      </c>
      <c r="D4749" s="8" t="s">
        <v>14531</v>
      </c>
      <c r="E4749" s="105">
        <v>0.12</v>
      </c>
      <c r="F4749" s="106" t="s">
        <v>2018</v>
      </c>
      <c r="G4749" s="8"/>
      <c r="H4749" s="8"/>
      <c r="I4749" s="107">
        <v>0</v>
      </c>
      <c r="J4749" s="8" t="s">
        <v>10979</v>
      </c>
    </row>
    <row r="4750" spans="1:10" ht="16.5" customHeight="1" x14ac:dyDescent="0.25">
      <c r="A4750" s="8" t="s">
        <v>14533</v>
      </c>
      <c r="B4750" s="8" t="s">
        <v>14534</v>
      </c>
      <c r="C4750" s="8" t="s">
        <v>14535</v>
      </c>
      <c r="D4750" s="8" t="s">
        <v>14536</v>
      </c>
      <c r="E4750" s="105">
        <v>0</v>
      </c>
      <c r="F4750" s="106" t="s">
        <v>2018</v>
      </c>
      <c r="G4750" s="8"/>
      <c r="H4750" s="8"/>
      <c r="I4750" s="107">
        <v>0</v>
      </c>
      <c r="J4750" s="8" t="s">
        <v>3580</v>
      </c>
    </row>
    <row r="4751" spans="1:10" ht="16.5" customHeight="1" x14ac:dyDescent="0.25">
      <c r="A4751" s="8" t="s">
        <v>14537</v>
      </c>
      <c r="B4751" s="8" t="s">
        <v>14538</v>
      </c>
      <c r="C4751" s="8" t="s">
        <v>14539</v>
      </c>
      <c r="D4751" s="8" t="s">
        <v>14536</v>
      </c>
      <c r="E4751" s="105">
        <v>0</v>
      </c>
      <c r="F4751" s="106" t="s">
        <v>2018</v>
      </c>
      <c r="G4751" s="8"/>
      <c r="H4751" s="8"/>
      <c r="I4751" s="107">
        <v>0</v>
      </c>
      <c r="J4751" s="8" t="s">
        <v>3580</v>
      </c>
    </row>
    <row r="4752" spans="1:10" ht="16.5" customHeight="1" x14ac:dyDescent="0.25">
      <c r="A4752" s="8" t="s">
        <v>14540</v>
      </c>
      <c r="B4752" s="8" t="s">
        <v>14541</v>
      </c>
      <c r="C4752" s="8" t="s">
        <v>950</v>
      </c>
      <c r="D4752" s="8" t="s">
        <v>14541</v>
      </c>
      <c r="E4752" s="105">
        <v>0.91</v>
      </c>
      <c r="F4752" s="106" t="s">
        <v>2018</v>
      </c>
      <c r="G4752" s="8"/>
      <c r="H4752" s="8"/>
      <c r="I4752" s="107">
        <v>0</v>
      </c>
      <c r="J4752" s="8" t="s">
        <v>2019</v>
      </c>
    </row>
    <row r="4753" spans="1:10" ht="16.5" customHeight="1" x14ac:dyDescent="0.25">
      <c r="A4753" s="8" t="s">
        <v>949</v>
      </c>
      <c r="B4753" s="8" t="s">
        <v>951</v>
      </c>
      <c r="C4753" s="8" t="s">
        <v>950</v>
      </c>
      <c r="D4753" s="8" t="s">
        <v>951</v>
      </c>
      <c r="E4753" s="105">
        <v>10.92</v>
      </c>
      <c r="F4753" s="106" t="s">
        <v>2018</v>
      </c>
      <c r="G4753" s="8"/>
      <c r="H4753" s="8" t="s">
        <v>14540</v>
      </c>
      <c r="I4753" s="107">
        <v>12</v>
      </c>
      <c r="J4753" s="8" t="s">
        <v>2019</v>
      </c>
    </row>
    <row r="4754" spans="1:10" ht="16.5" customHeight="1" x14ac:dyDescent="0.25">
      <c r="A4754" s="8" t="s">
        <v>14542</v>
      </c>
      <c r="B4754" s="8" t="s">
        <v>14543</v>
      </c>
      <c r="C4754" s="8" t="s">
        <v>953</v>
      </c>
      <c r="D4754" s="8" t="s">
        <v>14543</v>
      </c>
      <c r="E4754" s="105">
        <v>1.82</v>
      </c>
      <c r="F4754" s="106" t="s">
        <v>2018</v>
      </c>
      <c r="G4754" s="8"/>
      <c r="H4754" s="8"/>
      <c r="I4754" s="107">
        <v>0</v>
      </c>
      <c r="J4754" s="8" t="s">
        <v>2019</v>
      </c>
    </row>
    <row r="4755" spans="1:10" ht="16.5" customHeight="1" x14ac:dyDescent="0.25">
      <c r="A4755" s="8" t="s">
        <v>952</v>
      </c>
      <c r="B4755" s="8" t="s">
        <v>954</v>
      </c>
      <c r="C4755" s="8" t="s">
        <v>953</v>
      </c>
      <c r="D4755" s="8" t="s">
        <v>954</v>
      </c>
      <c r="E4755" s="105">
        <v>10.92</v>
      </c>
      <c r="F4755" s="106" t="s">
        <v>2018</v>
      </c>
      <c r="G4755" s="8"/>
      <c r="H4755" s="8" t="s">
        <v>14542</v>
      </c>
      <c r="I4755" s="107">
        <v>6</v>
      </c>
      <c r="J4755" s="8" t="s">
        <v>2019</v>
      </c>
    </row>
    <row r="4756" spans="1:10" ht="16.5" customHeight="1" x14ac:dyDescent="0.25">
      <c r="A4756" s="8" t="s">
        <v>1278</v>
      </c>
      <c r="B4756" s="8" t="s">
        <v>1279</v>
      </c>
      <c r="C4756" s="8" t="s">
        <v>1190</v>
      </c>
      <c r="D4756" s="8" t="s">
        <v>1279</v>
      </c>
      <c r="E4756" s="105">
        <v>18.2</v>
      </c>
      <c r="F4756" s="106" t="s">
        <v>2018</v>
      </c>
      <c r="G4756" s="8"/>
      <c r="H4756" s="8" t="s">
        <v>14544</v>
      </c>
      <c r="I4756" s="107">
        <v>4</v>
      </c>
      <c r="J4756" s="8" t="s">
        <v>2019</v>
      </c>
    </row>
    <row r="4757" spans="1:10" ht="16.5" customHeight="1" x14ac:dyDescent="0.25">
      <c r="A4757" s="8" t="s">
        <v>14545</v>
      </c>
      <c r="B4757" s="8" t="s">
        <v>14546</v>
      </c>
      <c r="C4757" s="8" t="s">
        <v>1071</v>
      </c>
      <c r="D4757" s="8" t="s">
        <v>14546</v>
      </c>
      <c r="E4757" s="105">
        <v>0.36399999999999999</v>
      </c>
      <c r="F4757" s="106" t="s">
        <v>2018</v>
      </c>
      <c r="G4757" s="8"/>
      <c r="H4757" s="8"/>
      <c r="I4757" s="107">
        <v>0</v>
      </c>
      <c r="J4757" s="8" t="s">
        <v>2019</v>
      </c>
    </row>
    <row r="4758" spans="1:10" ht="16.5" customHeight="1" x14ac:dyDescent="0.25">
      <c r="A4758" s="8" t="s">
        <v>1070</v>
      </c>
      <c r="B4758" s="8" t="s">
        <v>1072</v>
      </c>
      <c r="C4758" s="8" t="s">
        <v>1071</v>
      </c>
      <c r="D4758" s="8" t="s">
        <v>1072</v>
      </c>
      <c r="E4758" s="105">
        <v>8.7360000000000007</v>
      </c>
      <c r="F4758" s="106" t="s">
        <v>2018</v>
      </c>
      <c r="G4758" s="8"/>
      <c r="H4758" s="8" t="s">
        <v>14545</v>
      </c>
      <c r="I4758" s="107">
        <v>24</v>
      </c>
      <c r="J4758" s="8" t="s">
        <v>2019</v>
      </c>
    </row>
    <row r="4759" spans="1:10" ht="16.5" customHeight="1" x14ac:dyDescent="0.25">
      <c r="A4759" s="8" t="s">
        <v>14544</v>
      </c>
      <c r="B4759" s="8" t="s">
        <v>14547</v>
      </c>
      <c r="C4759" s="8" t="s">
        <v>1190</v>
      </c>
      <c r="D4759" s="8" t="s">
        <v>14547</v>
      </c>
      <c r="E4759" s="105">
        <v>4.55</v>
      </c>
      <c r="F4759" s="106" t="s">
        <v>2018</v>
      </c>
      <c r="G4759" s="8"/>
      <c r="H4759" s="8"/>
      <c r="I4759" s="107">
        <v>0</v>
      </c>
      <c r="J4759" s="8" t="s">
        <v>2019</v>
      </c>
    </row>
    <row r="4760" spans="1:10" ht="16.5" customHeight="1" x14ac:dyDescent="0.25">
      <c r="A4760" s="8" t="s">
        <v>14548</v>
      </c>
      <c r="B4760" s="8" t="s">
        <v>14549</v>
      </c>
      <c r="C4760" s="8" t="s">
        <v>14550</v>
      </c>
      <c r="D4760" s="8" t="s">
        <v>14549</v>
      </c>
      <c r="E4760" s="105">
        <v>0.2</v>
      </c>
      <c r="F4760" s="106" t="s">
        <v>2024</v>
      </c>
      <c r="G4760" s="8"/>
      <c r="H4760" s="8"/>
      <c r="I4760" s="107">
        <v>0</v>
      </c>
      <c r="J4760" s="8" t="s">
        <v>4789</v>
      </c>
    </row>
    <row r="4761" spans="1:10" ht="16.5" customHeight="1" x14ac:dyDescent="0.25">
      <c r="A4761" s="8" t="s">
        <v>14551</v>
      </c>
      <c r="B4761" s="8" t="s">
        <v>14552</v>
      </c>
      <c r="C4761" s="8" t="s">
        <v>14553</v>
      </c>
      <c r="D4761" s="8" t="s">
        <v>14552</v>
      </c>
      <c r="E4761" s="105">
        <v>0.35</v>
      </c>
      <c r="F4761" s="106" t="s">
        <v>2024</v>
      </c>
      <c r="G4761" s="8"/>
      <c r="H4761" s="8"/>
      <c r="I4761" s="107">
        <v>0</v>
      </c>
      <c r="J4761" s="8" t="s">
        <v>4789</v>
      </c>
    </row>
    <row r="4762" spans="1:10" ht="16.5" customHeight="1" x14ac:dyDescent="0.25">
      <c r="A4762" s="8" t="s">
        <v>14554</v>
      </c>
      <c r="B4762" s="8" t="s">
        <v>14555</v>
      </c>
      <c r="C4762" s="8" t="s">
        <v>1281</v>
      </c>
      <c r="D4762" s="8" t="s">
        <v>14555</v>
      </c>
      <c r="E4762" s="105">
        <v>18</v>
      </c>
      <c r="F4762" s="106" t="s">
        <v>2018</v>
      </c>
      <c r="G4762" s="8"/>
      <c r="H4762" s="8"/>
      <c r="I4762" s="107">
        <v>0</v>
      </c>
      <c r="J4762" s="8" t="s">
        <v>2019</v>
      </c>
    </row>
    <row r="4763" spans="1:10" ht="16.5" customHeight="1" x14ac:dyDescent="0.25">
      <c r="A4763" s="8" t="s">
        <v>1219</v>
      </c>
      <c r="B4763" s="8" t="s">
        <v>1220</v>
      </c>
      <c r="C4763" s="8" t="s">
        <v>966</v>
      </c>
      <c r="D4763" s="8" t="s">
        <v>1220</v>
      </c>
      <c r="E4763" s="105">
        <v>25</v>
      </c>
      <c r="F4763" s="106" t="s">
        <v>2018</v>
      </c>
      <c r="G4763" s="8"/>
      <c r="H4763" s="8"/>
      <c r="I4763" s="107">
        <v>0</v>
      </c>
      <c r="J4763" s="8" t="s">
        <v>2019</v>
      </c>
    </row>
    <row r="4764" spans="1:10" ht="16.5" customHeight="1" x14ac:dyDescent="0.25">
      <c r="A4764" s="8" t="s">
        <v>14556</v>
      </c>
      <c r="B4764" s="8" t="s">
        <v>14557</v>
      </c>
      <c r="C4764" s="8" t="s">
        <v>13204</v>
      </c>
      <c r="D4764" s="8" t="s">
        <v>14557</v>
      </c>
      <c r="E4764" s="105">
        <v>0</v>
      </c>
      <c r="F4764" s="106" t="s">
        <v>2018</v>
      </c>
      <c r="G4764" s="8"/>
      <c r="H4764" s="8"/>
      <c r="I4764" s="107">
        <v>0</v>
      </c>
      <c r="J4764" s="8" t="s">
        <v>3580</v>
      </c>
    </row>
    <row r="4765" spans="1:10" ht="16.5" customHeight="1" x14ac:dyDescent="0.25">
      <c r="A4765" s="8" t="s">
        <v>1503</v>
      </c>
      <c r="B4765" s="8" t="s">
        <v>1505</v>
      </c>
      <c r="C4765" s="8" t="s">
        <v>1504</v>
      </c>
      <c r="D4765" s="8" t="s">
        <v>1505</v>
      </c>
      <c r="E4765" s="105">
        <v>9</v>
      </c>
      <c r="F4765" s="106" t="s">
        <v>2018</v>
      </c>
      <c r="G4765" s="8" t="s">
        <v>1417</v>
      </c>
      <c r="H4765" s="8" t="s">
        <v>13819</v>
      </c>
      <c r="I4765" s="107">
        <v>60</v>
      </c>
      <c r="J4765" s="8" t="s">
        <v>5671</v>
      </c>
    </row>
    <row r="4766" spans="1:10" ht="16.5" customHeight="1" x14ac:dyDescent="0.25">
      <c r="A4766" s="8" t="s">
        <v>14558</v>
      </c>
      <c r="B4766" s="8" t="s">
        <v>14559</v>
      </c>
      <c r="C4766" s="8" t="s">
        <v>14560</v>
      </c>
      <c r="D4766" s="8" t="s">
        <v>14561</v>
      </c>
      <c r="E4766" s="105">
        <v>0</v>
      </c>
      <c r="F4766" s="106" t="s">
        <v>2018</v>
      </c>
      <c r="G4766" s="8"/>
      <c r="H4766" s="8"/>
      <c r="I4766" s="107">
        <v>0</v>
      </c>
      <c r="J4766" s="8" t="s">
        <v>3580</v>
      </c>
    </row>
    <row r="4767" spans="1:10" ht="16.5" customHeight="1" x14ac:dyDescent="0.25">
      <c r="A4767" s="8" t="s">
        <v>14562</v>
      </c>
      <c r="B4767" s="8" t="s">
        <v>14563</v>
      </c>
      <c r="C4767" s="8" t="s">
        <v>14564</v>
      </c>
      <c r="D4767" s="8" t="s">
        <v>14563</v>
      </c>
      <c r="E4767" s="105">
        <v>12</v>
      </c>
      <c r="F4767" s="106" t="s">
        <v>2024</v>
      </c>
      <c r="G4767" s="8"/>
      <c r="H4767" s="8"/>
      <c r="I4767" s="107">
        <v>0</v>
      </c>
      <c r="J4767" s="8" t="s">
        <v>5929</v>
      </c>
    </row>
    <row r="4768" spans="1:10" ht="16.5" customHeight="1" x14ac:dyDescent="0.25">
      <c r="A4768" s="8" t="s">
        <v>14565</v>
      </c>
      <c r="B4768" s="8" t="s">
        <v>14566</v>
      </c>
      <c r="C4768" s="8" t="s">
        <v>14567</v>
      </c>
      <c r="D4768" s="8" t="s">
        <v>14566</v>
      </c>
      <c r="E4768" s="105">
        <v>9.0999999999999998E-2</v>
      </c>
      <c r="F4768" s="106" t="s">
        <v>2018</v>
      </c>
      <c r="G4768" s="8"/>
      <c r="H4768" s="8"/>
      <c r="I4768" s="107">
        <v>0</v>
      </c>
      <c r="J4768" s="8" t="s">
        <v>2019</v>
      </c>
    </row>
    <row r="4769" spans="1:10" ht="16.5" customHeight="1" x14ac:dyDescent="0.25">
      <c r="A4769" s="8" t="s">
        <v>974</v>
      </c>
      <c r="B4769" s="8" t="s">
        <v>976</v>
      </c>
      <c r="C4769" s="8" t="s">
        <v>975</v>
      </c>
      <c r="D4769" s="8" t="s">
        <v>976</v>
      </c>
      <c r="E4769" s="105">
        <v>2.1840000000000002</v>
      </c>
      <c r="F4769" s="106" t="s">
        <v>2018</v>
      </c>
      <c r="G4769" s="8"/>
      <c r="H4769" s="8" t="s">
        <v>14565</v>
      </c>
      <c r="I4769" s="107">
        <v>24</v>
      </c>
      <c r="J4769" s="8" t="s">
        <v>2019</v>
      </c>
    </row>
    <row r="4770" spans="1:10" ht="16.5" customHeight="1" x14ac:dyDescent="0.25">
      <c r="A4770" s="8" t="s">
        <v>14568</v>
      </c>
      <c r="B4770" s="8" t="s">
        <v>14569</v>
      </c>
      <c r="C4770" s="8" t="s">
        <v>14570</v>
      </c>
      <c r="D4770" s="8" t="s">
        <v>14569</v>
      </c>
      <c r="E4770" s="105">
        <v>1</v>
      </c>
      <c r="F4770" s="106" t="s">
        <v>2018</v>
      </c>
      <c r="G4770" s="8"/>
      <c r="H4770" s="8"/>
      <c r="I4770" s="107">
        <v>0</v>
      </c>
      <c r="J4770" s="8" t="s">
        <v>3695</v>
      </c>
    </row>
    <row r="4771" spans="1:10" ht="16.5" customHeight="1" x14ac:dyDescent="0.25">
      <c r="A4771" s="8" t="s">
        <v>14571</v>
      </c>
      <c r="B4771" s="8" t="s">
        <v>14572</v>
      </c>
      <c r="C4771" s="8" t="s">
        <v>14573</v>
      </c>
      <c r="D4771" s="8" t="s">
        <v>14572</v>
      </c>
      <c r="E4771" s="105">
        <v>20</v>
      </c>
      <c r="F4771" s="106" t="s">
        <v>2018</v>
      </c>
      <c r="G4771" s="8"/>
      <c r="H4771" s="8"/>
      <c r="I4771" s="107">
        <v>0</v>
      </c>
      <c r="J4771" s="8" t="s">
        <v>2019</v>
      </c>
    </row>
    <row r="4772" spans="1:10" ht="16.5" customHeight="1" x14ac:dyDescent="0.25">
      <c r="A4772" s="8" t="s">
        <v>14574</v>
      </c>
      <c r="B4772" s="8" t="s">
        <v>14575</v>
      </c>
      <c r="C4772" s="8" t="s">
        <v>14576</v>
      </c>
      <c r="D4772" s="8" t="s">
        <v>14575</v>
      </c>
      <c r="E4772" s="105">
        <v>20</v>
      </c>
      <c r="F4772" s="106" t="s">
        <v>2018</v>
      </c>
      <c r="G4772" s="8"/>
      <c r="H4772" s="8"/>
      <c r="I4772" s="107">
        <v>0</v>
      </c>
      <c r="J4772" s="8" t="s">
        <v>2019</v>
      </c>
    </row>
    <row r="4773" spans="1:10" ht="16.5" customHeight="1" x14ac:dyDescent="0.25">
      <c r="A4773" s="8" t="s">
        <v>1406</v>
      </c>
      <c r="B4773" s="8" t="s">
        <v>1408</v>
      </c>
      <c r="C4773" s="8" t="s">
        <v>1407</v>
      </c>
      <c r="D4773" s="8" t="s">
        <v>1408</v>
      </c>
      <c r="E4773" s="105">
        <v>11.2</v>
      </c>
      <c r="F4773" s="106" t="s">
        <v>2018</v>
      </c>
      <c r="G4773" s="8"/>
      <c r="H4773" s="8"/>
      <c r="I4773" s="107">
        <v>0</v>
      </c>
      <c r="J4773" s="8" t="s">
        <v>10697</v>
      </c>
    </row>
    <row r="4774" spans="1:10" ht="16.5" customHeight="1" x14ac:dyDescent="0.25">
      <c r="A4774" s="8" t="s">
        <v>14577</v>
      </c>
      <c r="B4774" s="8" t="s">
        <v>14578</v>
      </c>
      <c r="C4774" s="8" t="s">
        <v>14579</v>
      </c>
      <c r="D4774" s="8" t="s">
        <v>14578</v>
      </c>
      <c r="E4774" s="105">
        <v>3.5</v>
      </c>
      <c r="F4774" s="106" t="s">
        <v>2018</v>
      </c>
      <c r="G4774" s="8"/>
      <c r="H4774" s="8"/>
      <c r="I4774" s="107">
        <v>0</v>
      </c>
      <c r="J4774" s="8" t="s">
        <v>10697</v>
      </c>
    </row>
    <row r="4775" spans="1:10" ht="16.5" customHeight="1" x14ac:dyDescent="0.25">
      <c r="A4775" s="8" t="s">
        <v>1286</v>
      </c>
      <c r="B4775" s="8" t="s">
        <v>1288</v>
      </c>
      <c r="C4775" s="8" t="s">
        <v>1287</v>
      </c>
      <c r="D4775" s="8" t="s">
        <v>1288</v>
      </c>
      <c r="E4775" s="105">
        <v>14</v>
      </c>
      <c r="F4775" s="106" t="s">
        <v>2018</v>
      </c>
      <c r="G4775" s="8"/>
      <c r="H4775" s="8" t="s">
        <v>14577</v>
      </c>
      <c r="I4775" s="107">
        <v>4</v>
      </c>
      <c r="J4775" s="8" t="s">
        <v>10697</v>
      </c>
    </row>
    <row r="4776" spans="1:10" ht="16.5" customHeight="1" x14ac:dyDescent="0.25">
      <c r="A4776" s="8" t="s">
        <v>14580</v>
      </c>
      <c r="B4776" s="8" t="s">
        <v>14581</v>
      </c>
      <c r="C4776" s="8" t="s">
        <v>14582</v>
      </c>
      <c r="D4776" s="8" t="s">
        <v>14581</v>
      </c>
      <c r="E4776" s="105">
        <v>0.75</v>
      </c>
      <c r="F4776" s="106" t="s">
        <v>2018</v>
      </c>
      <c r="G4776" s="8"/>
      <c r="H4776" s="8"/>
      <c r="I4776" s="107">
        <v>0</v>
      </c>
      <c r="J4776" s="8" t="s">
        <v>10697</v>
      </c>
    </row>
    <row r="4777" spans="1:10" ht="16.5" customHeight="1" x14ac:dyDescent="0.25">
      <c r="A4777" s="8" t="s">
        <v>14583</v>
      </c>
      <c r="B4777" s="8" t="s">
        <v>14584</v>
      </c>
      <c r="C4777" s="8" t="s">
        <v>14585</v>
      </c>
      <c r="D4777" s="8" t="s">
        <v>14584</v>
      </c>
      <c r="E4777" s="105">
        <v>12</v>
      </c>
      <c r="F4777" s="106" t="s">
        <v>2018</v>
      </c>
      <c r="G4777" s="8"/>
      <c r="H4777" s="8" t="s">
        <v>14580</v>
      </c>
      <c r="I4777" s="107">
        <v>16</v>
      </c>
      <c r="J4777" s="8" t="s">
        <v>10697</v>
      </c>
    </row>
    <row r="4778" spans="1:10" ht="16.5" customHeight="1" x14ac:dyDescent="0.25">
      <c r="A4778" s="8" t="s">
        <v>14586</v>
      </c>
      <c r="B4778" s="8" t="s">
        <v>14587</v>
      </c>
      <c r="C4778" s="8" t="s">
        <v>14588</v>
      </c>
      <c r="D4778" s="8" t="s">
        <v>14587</v>
      </c>
      <c r="E4778" s="105">
        <v>3.5</v>
      </c>
      <c r="F4778" s="106" t="s">
        <v>2018</v>
      </c>
      <c r="G4778" s="8"/>
      <c r="H4778" s="8"/>
      <c r="I4778" s="107">
        <v>0</v>
      </c>
      <c r="J4778" s="8" t="s">
        <v>10697</v>
      </c>
    </row>
    <row r="4779" spans="1:10" ht="16.5" customHeight="1" x14ac:dyDescent="0.25">
      <c r="A4779" s="8" t="s">
        <v>14589</v>
      </c>
      <c r="B4779" s="8" t="s">
        <v>14590</v>
      </c>
      <c r="C4779" s="8" t="s">
        <v>14591</v>
      </c>
      <c r="D4779" s="8" t="s">
        <v>14590</v>
      </c>
      <c r="E4779" s="105">
        <v>14</v>
      </c>
      <c r="F4779" s="106" t="s">
        <v>2018</v>
      </c>
      <c r="G4779" s="8"/>
      <c r="H4779" s="8"/>
      <c r="I4779" s="107">
        <v>0</v>
      </c>
      <c r="J4779" s="8" t="s">
        <v>10697</v>
      </c>
    </row>
    <row r="4780" spans="1:10" ht="16.5" customHeight="1" x14ac:dyDescent="0.25">
      <c r="A4780" s="8" t="s">
        <v>14592</v>
      </c>
      <c r="B4780" s="8" t="s">
        <v>14593</v>
      </c>
      <c r="C4780" s="8" t="s">
        <v>14594</v>
      </c>
      <c r="D4780" s="8" t="s">
        <v>14593</v>
      </c>
      <c r="E4780" s="105">
        <v>3.5</v>
      </c>
      <c r="F4780" s="106" t="s">
        <v>2018</v>
      </c>
      <c r="G4780" s="8"/>
      <c r="H4780" s="8"/>
      <c r="I4780" s="107">
        <v>0</v>
      </c>
      <c r="J4780" s="8" t="s">
        <v>10697</v>
      </c>
    </row>
    <row r="4781" spans="1:10" ht="16.5" customHeight="1" x14ac:dyDescent="0.25">
      <c r="A4781" s="8" t="s">
        <v>14595</v>
      </c>
      <c r="B4781" s="8" t="s">
        <v>14596</v>
      </c>
      <c r="C4781" s="8" t="s">
        <v>14597</v>
      </c>
      <c r="D4781" s="8" t="s">
        <v>14596</v>
      </c>
      <c r="E4781" s="105">
        <v>14</v>
      </c>
      <c r="F4781" s="106" t="s">
        <v>2018</v>
      </c>
      <c r="G4781" s="8"/>
      <c r="H4781" s="8"/>
      <c r="I4781" s="107">
        <v>0</v>
      </c>
      <c r="J4781" s="8" t="s">
        <v>10697</v>
      </c>
    </row>
    <row r="4782" spans="1:10" ht="16.5" customHeight="1" x14ac:dyDescent="0.25">
      <c r="A4782" s="8" t="s">
        <v>14598</v>
      </c>
      <c r="B4782" s="8" t="s">
        <v>14599</v>
      </c>
      <c r="C4782" s="8" t="s">
        <v>14600</v>
      </c>
      <c r="D4782" s="8" t="s">
        <v>14599</v>
      </c>
      <c r="E4782" s="105">
        <v>18</v>
      </c>
      <c r="F4782" s="106" t="s">
        <v>2018</v>
      </c>
      <c r="G4782" s="8"/>
      <c r="H4782" s="8"/>
      <c r="I4782" s="107">
        <v>0</v>
      </c>
      <c r="J4782" s="8" t="s">
        <v>2019</v>
      </c>
    </row>
    <row r="4783" spans="1:10" ht="16.5" customHeight="1" x14ac:dyDescent="0.25">
      <c r="A4783" s="8" t="s">
        <v>14601</v>
      </c>
      <c r="B4783" s="8" t="s">
        <v>14602</v>
      </c>
      <c r="C4783" s="8" t="s">
        <v>14603</v>
      </c>
      <c r="D4783" s="8" t="s">
        <v>14602</v>
      </c>
      <c r="E4783" s="105">
        <v>0.72</v>
      </c>
      <c r="F4783" s="106" t="s">
        <v>2018</v>
      </c>
      <c r="G4783" s="8"/>
      <c r="H4783" s="8"/>
      <c r="I4783" s="107">
        <v>0</v>
      </c>
      <c r="J4783" s="8" t="s">
        <v>10979</v>
      </c>
    </row>
    <row r="4784" spans="1:10" ht="16.5" customHeight="1" x14ac:dyDescent="0.25">
      <c r="A4784" s="8" t="s">
        <v>14604</v>
      </c>
      <c r="B4784" s="8" t="s">
        <v>14605</v>
      </c>
      <c r="C4784" s="8" t="s">
        <v>14606</v>
      </c>
      <c r="D4784" s="8" t="s">
        <v>14605</v>
      </c>
      <c r="E4784" s="105">
        <v>1</v>
      </c>
      <c r="F4784" s="106" t="s">
        <v>2018</v>
      </c>
      <c r="G4784" s="8"/>
      <c r="H4784" s="8"/>
      <c r="I4784" s="107">
        <v>0</v>
      </c>
      <c r="J4784" s="8" t="s">
        <v>3695</v>
      </c>
    </row>
    <row r="4785" spans="1:10" ht="16.5" customHeight="1" x14ac:dyDescent="0.25">
      <c r="A4785" s="8" t="s">
        <v>14607</v>
      </c>
      <c r="B4785" s="8" t="s">
        <v>14608</v>
      </c>
      <c r="C4785" s="8" t="s">
        <v>14609</v>
      </c>
      <c r="D4785" s="8" t="s">
        <v>14608</v>
      </c>
      <c r="E4785" s="105">
        <v>1</v>
      </c>
      <c r="F4785" s="106" t="s">
        <v>2018</v>
      </c>
      <c r="G4785" s="8"/>
      <c r="H4785" s="8"/>
      <c r="I4785" s="107">
        <v>0</v>
      </c>
      <c r="J4785" s="8" t="s">
        <v>3695</v>
      </c>
    </row>
    <row r="4786" spans="1:10" ht="16.5" customHeight="1" x14ac:dyDescent="0.25">
      <c r="A4786" s="8" t="s">
        <v>14610</v>
      </c>
      <c r="B4786" s="8" t="s">
        <v>14611</v>
      </c>
      <c r="C4786" s="8" t="s">
        <v>14612</v>
      </c>
      <c r="D4786" s="8" t="s">
        <v>14611</v>
      </c>
      <c r="E4786" s="105">
        <v>25</v>
      </c>
      <c r="F4786" s="106" t="s">
        <v>2018</v>
      </c>
      <c r="G4786" s="8"/>
      <c r="H4786" s="8"/>
      <c r="I4786" s="107">
        <v>0</v>
      </c>
      <c r="J4786" s="8" t="s">
        <v>3580</v>
      </c>
    </row>
    <row r="4787" spans="1:10" ht="16.5" customHeight="1" x14ac:dyDescent="0.25">
      <c r="A4787" s="8" t="s">
        <v>14613</v>
      </c>
      <c r="B4787" s="8" t="s">
        <v>14614</v>
      </c>
      <c r="C4787" s="8" t="s">
        <v>14615</v>
      </c>
      <c r="D4787" s="8" t="s">
        <v>14614</v>
      </c>
      <c r="E4787" s="105">
        <v>25</v>
      </c>
      <c r="F4787" s="106" t="s">
        <v>2018</v>
      </c>
      <c r="G4787" s="8"/>
      <c r="H4787" s="8"/>
      <c r="I4787" s="107">
        <v>0</v>
      </c>
      <c r="J4787" s="8" t="s">
        <v>3580</v>
      </c>
    </row>
    <row r="4788" spans="1:10" ht="16.5" customHeight="1" x14ac:dyDescent="0.25">
      <c r="A4788" s="8" t="s">
        <v>1872</v>
      </c>
      <c r="B4788" s="8" t="s">
        <v>1874</v>
      </c>
      <c r="C4788" s="8" t="s">
        <v>1873</v>
      </c>
      <c r="D4788" s="8" t="s">
        <v>1874</v>
      </c>
      <c r="E4788" s="105">
        <v>25</v>
      </c>
      <c r="F4788" s="106" t="s">
        <v>2018</v>
      </c>
      <c r="G4788" s="8"/>
      <c r="H4788" s="8"/>
      <c r="I4788" s="107">
        <v>0</v>
      </c>
      <c r="J4788" s="8" t="s">
        <v>14616</v>
      </c>
    </row>
    <row r="4789" spans="1:10" ht="16.5" customHeight="1" x14ac:dyDescent="0.25">
      <c r="A4789" s="8" t="s">
        <v>1388</v>
      </c>
      <c r="B4789" s="8" t="s">
        <v>1390</v>
      </c>
      <c r="C4789" s="8" t="s">
        <v>1389</v>
      </c>
      <c r="D4789" s="8" t="s">
        <v>1390</v>
      </c>
      <c r="E4789" s="105">
        <v>25</v>
      </c>
      <c r="F4789" s="106" t="s">
        <v>2018</v>
      </c>
      <c r="G4789" s="8"/>
      <c r="H4789" s="8"/>
      <c r="I4789" s="107">
        <v>0</v>
      </c>
      <c r="J4789" s="8" t="s">
        <v>3695</v>
      </c>
    </row>
    <row r="4790" spans="1:10" ht="16.5" customHeight="1" x14ac:dyDescent="0.25">
      <c r="A4790" s="8" t="s">
        <v>14617</v>
      </c>
      <c r="B4790" s="8" t="s">
        <v>14618</v>
      </c>
      <c r="C4790" s="8" t="s">
        <v>14619</v>
      </c>
      <c r="D4790" s="8" t="s">
        <v>14618</v>
      </c>
      <c r="E4790" s="105">
        <v>25</v>
      </c>
      <c r="F4790" s="106" t="s">
        <v>2018</v>
      </c>
      <c r="G4790" s="8"/>
      <c r="H4790" s="8"/>
      <c r="I4790" s="107">
        <v>0</v>
      </c>
      <c r="J4790" s="8" t="s">
        <v>3695</v>
      </c>
    </row>
    <row r="4791" spans="1:10" ht="16.5" customHeight="1" x14ac:dyDescent="0.25">
      <c r="A4791" s="8" t="s">
        <v>1394</v>
      </c>
      <c r="B4791" s="8" t="s">
        <v>1396</v>
      </c>
      <c r="C4791" s="8" t="s">
        <v>1395</v>
      </c>
      <c r="D4791" s="8" t="s">
        <v>1396</v>
      </c>
      <c r="E4791" s="105">
        <v>25</v>
      </c>
      <c r="F4791" s="106" t="s">
        <v>2018</v>
      </c>
      <c r="G4791" s="8"/>
      <c r="H4791" s="8"/>
      <c r="I4791" s="107">
        <v>0</v>
      </c>
      <c r="J4791" s="8" t="s">
        <v>3695</v>
      </c>
    </row>
    <row r="4792" spans="1:10" ht="16.5" customHeight="1" x14ac:dyDescent="0.25">
      <c r="A4792" s="8" t="s">
        <v>14620</v>
      </c>
      <c r="B4792" s="8" t="s">
        <v>14621</v>
      </c>
      <c r="C4792" s="8" t="s">
        <v>14622</v>
      </c>
      <c r="D4792" s="8" t="s">
        <v>14621</v>
      </c>
      <c r="E4792" s="105">
        <v>25</v>
      </c>
      <c r="F4792" s="106" t="s">
        <v>2018</v>
      </c>
      <c r="G4792" s="8"/>
      <c r="H4792" s="8"/>
      <c r="I4792" s="107">
        <v>0</v>
      </c>
      <c r="J4792" s="8" t="s">
        <v>3695</v>
      </c>
    </row>
    <row r="4793" spans="1:10" ht="16.5" customHeight="1" x14ac:dyDescent="0.25">
      <c r="A4793" s="8" t="s">
        <v>1180</v>
      </c>
      <c r="B4793" s="8" t="s">
        <v>1182</v>
      </c>
      <c r="C4793" s="8" t="s">
        <v>1181</v>
      </c>
      <c r="D4793" s="8" t="s">
        <v>1182</v>
      </c>
      <c r="E4793" s="105">
        <v>25</v>
      </c>
      <c r="F4793" s="106" t="s">
        <v>2018</v>
      </c>
      <c r="G4793" s="8"/>
      <c r="H4793" s="8"/>
      <c r="I4793" s="107">
        <v>0</v>
      </c>
      <c r="J4793" s="8" t="s">
        <v>3695</v>
      </c>
    </row>
    <row r="4794" spans="1:10" ht="16.5" customHeight="1" x14ac:dyDescent="0.25">
      <c r="A4794" s="8" t="s">
        <v>1345</v>
      </c>
      <c r="B4794" s="8" t="s">
        <v>1347</v>
      </c>
      <c r="C4794" s="8" t="s">
        <v>1346</v>
      </c>
      <c r="D4794" s="8" t="s">
        <v>1347</v>
      </c>
      <c r="E4794" s="105">
        <v>25</v>
      </c>
      <c r="F4794" s="106" t="s">
        <v>2018</v>
      </c>
      <c r="G4794" s="8"/>
      <c r="H4794" s="8"/>
      <c r="I4794" s="107">
        <v>0</v>
      </c>
      <c r="J4794" s="8" t="s">
        <v>3695</v>
      </c>
    </row>
    <row r="4795" spans="1:10" ht="16.5" customHeight="1" x14ac:dyDescent="0.25">
      <c r="A4795" s="8" t="s">
        <v>14623</v>
      </c>
      <c r="B4795" s="8" t="s">
        <v>14624</v>
      </c>
      <c r="C4795" s="8" t="s">
        <v>14625</v>
      </c>
      <c r="D4795" s="8" t="s">
        <v>14624</v>
      </c>
      <c r="E4795" s="105">
        <v>25</v>
      </c>
      <c r="F4795" s="106" t="s">
        <v>2018</v>
      </c>
      <c r="G4795" s="8"/>
      <c r="H4795" s="8"/>
      <c r="I4795" s="107">
        <v>0</v>
      </c>
      <c r="J4795" s="8" t="s">
        <v>3695</v>
      </c>
    </row>
    <row r="4796" spans="1:10" ht="16.5" customHeight="1" x14ac:dyDescent="0.25">
      <c r="A4796" s="8" t="s">
        <v>14626</v>
      </c>
      <c r="B4796" s="8" t="s">
        <v>14627</v>
      </c>
      <c r="C4796" s="8" t="s">
        <v>9602</v>
      </c>
      <c r="D4796" s="8" t="s">
        <v>14627</v>
      </c>
      <c r="E4796" s="105">
        <v>165</v>
      </c>
      <c r="F4796" s="106" t="s">
        <v>2018</v>
      </c>
      <c r="G4796" s="8"/>
      <c r="H4796" s="8"/>
      <c r="I4796" s="107">
        <v>0</v>
      </c>
      <c r="J4796" s="8" t="s">
        <v>3695</v>
      </c>
    </row>
    <row r="4797" spans="1:10" ht="16.5" customHeight="1" x14ac:dyDescent="0.25">
      <c r="A4797" s="8" t="s">
        <v>14628</v>
      </c>
      <c r="B4797" s="8" t="s">
        <v>14629</v>
      </c>
      <c r="C4797" s="8" t="s">
        <v>14630</v>
      </c>
      <c r="D4797" s="8" t="s">
        <v>14629</v>
      </c>
      <c r="E4797" s="105">
        <v>200</v>
      </c>
      <c r="F4797" s="106" t="s">
        <v>2018</v>
      </c>
      <c r="G4797" s="8"/>
      <c r="H4797" s="8"/>
      <c r="I4797" s="107">
        <v>0</v>
      </c>
      <c r="J4797" s="8" t="s">
        <v>3695</v>
      </c>
    </row>
    <row r="4798" spans="1:10" ht="16.5" customHeight="1" x14ac:dyDescent="0.25">
      <c r="A4798" s="8" t="s">
        <v>14631</v>
      </c>
      <c r="B4798" s="8" t="s">
        <v>14632</v>
      </c>
      <c r="C4798" s="8" t="s">
        <v>14633</v>
      </c>
      <c r="D4798" s="8" t="s">
        <v>14632</v>
      </c>
      <c r="E4798" s="105">
        <v>200</v>
      </c>
      <c r="F4798" s="106" t="s">
        <v>2018</v>
      </c>
      <c r="G4798" s="8"/>
      <c r="H4798" s="8"/>
      <c r="I4798" s="107">
        <v>0</v>
      </c>
      <c r="J4798" s="8" t="s">
        <v>3695</v>
      </c>
    </row>
    <row r="4799" spans="1:10" ht="16.5" customHeight="1" x14ac:dyDescent="0.25">
      <c r="A4799" s="8" t="s">
        <v>14634</v>
      </c>
      <c r="B4799" s="8" t="s">
        <v>14635</v>
      </c>
      <c r="C4799" s="8" t="s">
        <v>14636</v>
      </c>
      <c r="D4799" s="8" t="s">
        <v>14635</v>
      </c>
      <c r="E4799" s="105">
        <v>1</v>
      </c>
      <c r="F4799" s="106" t="s">
        <v>2018</v>
      </c>
      <c r="G4799" s="8"/>
      <c r="H4799" s="8"/>
      <c r="I4799" s="107">
        <v>0</v>
      </c>
      <c r="J4799" s="8" t="s">
        <v>3695</v>
      </c>
    </row>
    <row r="4800" spans="1:10" ht="16.5" customHeight="1" x14ac:dyDescent="0.25">
      <c r="A4800" s="8" t="s">
        <v>14637</v>
      </c>
      <c r="B4800" s="8" t="s">
        <v>14638</v>
      </c>
      <c r="C4800" s="8" t="s">
        <v>1107</v>
      </c>
      <c r="D4800" s="8" t="s">
        <v>14638</v>
      </c>
      <c r="E4800" s="105">
        <v>0.80100000000000005</v>
      </c>
      <c r="F4800" s="106" t="s">
        <v>2018</v>
      </c>
      <c r="G4800" s="8"/>
      <c r="H4800" s="8"/>
      <c r="I4800" s="107">
        <v>0</v>
      </c>
      <c r="J4800" s="8" t="s">
        <v>2019</v>
      </c>
    </row>
    <row r="4801" spans="1:10" ht="16.5" customHeight="1" x14ac:dyDescent="0.25">
      <c r="A4801" s="8" t="s">
        <v>14639</v>
      </c>
      <c r="B4801" s="8" t="s">
        <v>14640</v>
      </c>
      <c r="C4801" s="8" t="s">
        <v>1107</v>
      </c>
      <c r="D4801" s="8" t="s">
        <v>14640</v>
      </c>
      <c r="E4801" s="105">
        <v>9.61</v>
      </c>
      <c r="F4801" s="106" t="s">
        <v>2018</v>
      </c>
      <c r="G4801" s="8"/>
      <c r="H4801" s="8" t="s">
        <v>14637</v>
      </c>
      <c r="I4801" s="107">
        <v>12</v>
      </c>
      <c r="J4801" s="8" t="s">
        <v>2019</v>
      </c>
    </row>
    <row r="4802" spans="1:10" ht="16.5" customHeight="1" x14ac:dyDescent="0.25">
      <c r="A4802" s="8" t="s">
        <v>14641</v>
      </c>
      <c r="B4802" s="8" t="s">
        <v>14642</v>
      </c>
      <c r="C4802" s="8" t="s">
        <v>1107</v>
      </c>
      <c r="D4802" s="8" t="s">
        <v>14642</v>
      </c>
      <c r="E4802" s="105">
        <v>0.80100000000000005</v>
      </c>
      <c r="F4802" s="106" t="s">
        <v>2018</v>
      </c>
      <c r="G4802" s="8"/>
      <c r="H4802" s="8"/>
      <c r="I4802" s="107">
        <v>0</v>
      </c>
      <c r="J4802" s="8" t="s">
        <v>2019</v>
      </c>
    </row>
    <row r="4803" spans="1:10" ht="16.5" customHeight="1" x14ac:dyDescent="0.25">
      <c r="A4803" s="8" t="s">
        <v>1106</v>
      </c>
      <c r="B4803" s="8" t="s">
        <v>1108</v>
      </c>
      <c r="C4803" s="8" t="s">
        <v>1107</v>
      </c>
      <c r="D4803" s="8" t="s">
        <v>1108</v>
      </c>
      <c r="E4803" s="105">
        <v>9.61</v>
      </c>
      <c r="F4803" s="106" t="s">
        <v>2018</v>
      </c>
      <c r="G4803" s="8"/>
      <c r="H4803" s="8" t="s">
        <v>14641</v>
      </c>
      <c r="I4803" s="107">
        <v>12</v>
      </c>
      <c r="J4803" s="8" t="s">
        <v>2019</v>
      </c>
    </row>
    <row r="4804" spans="1:10" ht="16.5" customHeight="1" x14ac:dyDescent="0.25">
      <c r="A4804" s="8" t="s">
        <v>14643</v>
      </c>
      <c r="B4804" s="8" t="s">
        <v>14644</v>
      </c>
      <c r="C4804" s="8" t="s">
        <v>1128</v>
      </c>
      <c r="D4804" s="8" t="s">
        <v>14644</v>
      </c>
      <c r="E4804" s="105">
        <v>0.91</v>
      </c>
      <c r="F4804" s="106" t="s">
        <v>2018</v>
      </c>
      <c r="G4804" s="8"/>
      <c r="H4804" s="8"/>
      <c r="I4804" s="107">
        <v>0</v>
      </c>
      <c r="J4804" s="8" t="s">
        <v>2019</v>
      </c>
    </row>
    <row r="4805" spans="1:10" ht="16.5" customHeight="1" x14ac:dyDescent="0.25">
      <c r="A4805" s="8" t="s">
        <v>1178</v>
      </c>
      <c r="B4805" s="8" t="s">
        <v>1179</v>
      </c>
      <c r="C4805" s="8" t="s">
        <v>1128</v>
      </c>
      <c r="D4805" s="8" t="s">
        <v>1179</v>
      </c>
      <c r="E4805" s="105">
        <v>10.92</v>
      </c>
      <c r="F4805" s="106" t="s">
        <v>2018</v>
      </c>
      <c r="G4805" s="8"/>
      <c r="H4805" s="8" t="s">
        <v>14643</v>
      </c>
      <c r="I4805" s="107">
        <v>12</v>
      </c>
      <c r="J4805" s="8" t="s">
        <v>2019</v>
      </c>
    </row>
    <row r="4806" spans="1:10" ht="16.5" customHeight="1" x14ac:dyDescent="0.25">
      <c r="A4806" s="8" t="s">
        <v>14645</v>
      </c>
      <c r="B4806" s="8" t="s">
        <v>14646</v>
      </c>
      <c r="C4806" s="8" t="s">
        <v>1128</v>
      </c>
      <c r="D4806" s="8" t="s">
        <v>14646</v>
      </c>
      <c r="E4806" s="105">
        <v>0.91</v>
      </c>
      <c r="F4806" s="106" t="s">
        <v>2018</v>
      </c>
      <c r="G4806" s="8"/>
      <c r="H4806" s="8"/>
      <c r="I4806" s="107">
        <v>0</v>
      </c>
      <c r="J4806" s="8" t="s">
        <v>2019</v>
      </c>
    </row>
    <row r="4807" spans="1:10" ht="16.5" customHeight="1" x14ac:dyDescent="0.25">
      <c r="A4807" s="8" t="s">
        <v>1127</v>
      </c>
      <c r="B4807" s="8" t="s">
        <v>1129</v>
      </c>
      <c r="C4807" s="8" t="s">
        <v>1128</v>
      </c>
      <c r="D4807" s="8" t="s">
        <v>1129</v>
      </c>
      <c r="E4807" s="105">
        <v>10.92</v>
      </c>
      <c r="F4807" s="106" t="s">
        <v>2018</v>
      </c>
      <c r="G4807" s="8"/>
      <c r="H4807" s="8" t="s">
        <v>14645</v>
      </c>
      <c r="I4807" s="107">
        <v>12</v>
      </c>
      <c r="J4807" s="8" t="s">
        <v>2019</v>
      </c>
    </row>
    <row r="4808" spans="1:10" ht="16.5" customHeight="1" x14ac:dyDescent="0.25">
      <c r="A4808" s="8" t="s">
        <v>14647</v>
      </c>
      <c r="B4808" s="8" t="s">
        <v>14648</v>
      </c>
      <c r="C4808" s="8" t="s">
        <v>1139</v>
      </c>
      <c r="D4808" s="8" t="s">
        <v>14648</v>
      </c>
      <c r="E4808" s="105">
        <v>1.82</v>
      </c>
      <c r="F4808" s="106" t="s">
        <v>2018</v>
      </c>
      <c r="G4808" s="8"/>
      <c r="H4808" s="8"/>
      <c r="I4808" s="107">
        <v>0</v>
      </c>
      <c r="J4808" s="8" t="s">
        <v>2019</v>
      </c>
    </row>
    <row r="4809" spans="1:10" ht="16.5" customHeight="1" x14ac:dyDescent="0.25">
      <c r="A4809" s="8" t="s">
        <v>1412</v>
      </c>
      <c r="B4809" s="8" t="s">
        <v>1413</v>
      </c>
      <c r="C4809" s="8" t="s">
        <v>1139</v>
      </c>
      <c r="D4809" s="8" t="s">
        <v>1413</v>
      </c>
      <c r="E4809" s="105">
        <v>10.92</v>
      </c>
      <c r="F4809" s="106" t="s">
        <v>2018</v>
      </c>
      <c r="G4809" s="8"/>
      <c r="H4809" s="8" t="s">
        <v>14647</v>
      </c>
      <c r="I4809" s="107">
        <v>6</v>
      </c>
      <c r="J4809" s="8" t="s">
        <v>2019</v>
      </c>
    </row>
    <row r="4810" spans="1:10" ht="16.5" customHeight="1" x14ac:dyDescent="0.25">
      <c r="A4810" s="8" t="s">
        <v>14649</v>
      </c>
      <c r="B4810" s="8" t="s">
        <v>14650</v>
      </c>
      <c r="C4810" s="8" t="s">
        <v>1139</v>
      </c>
      <c r="D4810" s="8" t="s">
        <v>14650</v>
      </c>
      <c r="E4810" s="105">
        <v>1.82</v>
      </c>
      <c r="F4810" s="106" t="s">
        <v>2018</v>
      </c>
      <c r="G4810" s="8"/>
      <c r="H4810" s="8"/>
      <c r="I4810" s="107">
        <v>0</v>
      </c>
      <c r="J4810" s="8" t="s">
        <v>2019</v>
      </c>
    </row>
    <row r="4811" spans="1:10" ht="16.5" customHeight="1" x14ac:dyDescent="0.25">
      <c r="A4811" s="8" t="s">
        <v>1138</v>
      </c>
      <c r="B4811" s="8" t="s">
        <v>1140</v>
      </c>
      <c r="C4811" s="8" t="s">
        <v>1139</v>
      </c>
      <c r="D4811" s="8" t="s">
        <v>1140</v>
      </c>
      <c r="E4811" s="105">
        <v>10.92</v>
      </c>
      <c r="F4811" s="106" t="s">
        <v>2018</v>
      </c>
      <c r="G4811" s="8"/>
      <c r="H4811" s="8" t="s">
        <v>14649</v>
      </c>
      <c r="I4811" s="107">
        <v>6</v>
      </c>
      <c r="J4811" s="8" t="s">
        <v>2019</v>
      </c>
    </row>
    <row r="4812" spans="1:10" ht="16.5" customHeight="1" x14ac:dyDescent="0.25">
      <c r="A4812" s="8" t="s">
        <v>14651</v>
      </c>
      <c r="B4812" s="8" t="s">
        <v>14652</v>
      </c>
      <c r="C4812" s="8" t="s">
        <v>956</v>
      </c>
      <c r="D4812" s="8" t="s">
        <v>14652</v>
      </c>
      <c r="E4812" s="105">
        <v>4.55</v>
      </c>
      <c r="F4812" s="106" t="s">
        <v>2018</v>
      </c>
      <c r="G4812" s="8"/>
      <c r="H4812" s="8"/>
      <c r="I4812" s="107">
        <v>0</v>
      </c>
      <c r="J4812" s="8" t="s">
        <v>2019</v>
      </c>
    </row>
    <row r="4813" spans="1:10" ht="16.5" customHeight="1" x14ac:dyDescent="0.25">
      <c r="A4813" s="8" t="s">
        <v>1217</v>
      </c>
      <c r="B4813" s="8" t="s">
        <v>1218</v>
      </c>
      <c r="C4813" s="8" t="s">
        <v>956</v>
      </c>
      <c r="D4813" s="8" t="s">
        <v>1218</v>
      </c>
      <c r="E4813" s="105">
        <v>18.2</v>
      </c>
      <c r="F4813" s="106" t="s">
        <v>2018</v>
      </c>
      <c r="G4813" s="8"/>
      <c r="H4813" s="8" t="s">
        <v>14651</v>
      </c>
      <c r="I4813" s="107">
        <v>4</v>
      </c>
      <c r="J4813" s="8" t="s">
        <v>2019</v>
      </c>
    </row>
    <row r="4814" spans="1:10" ht="16.5" customHeight="1" x14ac:dyDescent="0.25">
      <c r="A4814" s="8" t="s">
        <v>14653</v>
      </c>
      <c r="B4814" s="8" t="s">
        <v>14654</v>
      </c>
      <c r="C4814" s="8" t="s">
        <v>956</v>
      </c>
      <c r="D4814" s="8" t="s">
        <v>14654</v>
      </c>
      <c r="E4814" s="105">
        <v>4.55</v>
      </c>
      <c r="F4814" s="106" t="s">
        <v>2018</v>
      </c>
      <c r="G4814" s="8"/>
      <c r="H4814" s="8"/>
      <c r="I4814" s="107">
        <v>0</v>
      </c>
      <c r="J4814" s="8" t="s">
        <v>2019</v>
      </c>
    </row>
    <row r="4815" spans="1:10" ht="16.5" customHeight="1" x14ac:dyDescent="0.25">
      <c r="A4815" s="8" t="s">
        <v>955</v>
      </c>
      <c r="B4815" s="8" t="s">
        <v>957</v>
      </c>
      <c r="C4815" s="8" t="s">
        <v>956</v>
      </c>
      <c r="D4815" s="8" t="s">
        <v>957</v>
      </c>
      <c r="E4815" s="105">
        <v>18.2</v>
      </c>
      <c r="F4815" s="106" t="s">
        <v>2018</v>
      </c>
      <c r="G4815" s="8"/>
      <c r="H4815" s="8" t="s">
        <v>14653</v>
      </c>
      <c r="I4815" s="107">
        <v>4</v>
      </c>
      <c r="J4815" s="8" t="s">
        <v>2019</v>
      </c>
    </row>
    <row r="4816" spans="1:10" ht="16.5" customHeight="1" x14ac:dyDescent="0.25">
      <c r="A4816" s="8" t="s">
        <v>14655</v>
      </c>
      <c r="B4816" s="8" t="s">
        <v>14656</v>
      </c>
      <c r="C4816" s="8" t="s">
        <v>959</v>
      </c>
      <c r="D4816" s="8" t="s">
        <v>14656</v>
      </c>
      <c r="E4816" s="105">
        <v>4.0949999999999998</v>
      </c>
      <c r="F4816" s="106" t="s">
        <v>2018</v>
      </c>
      <c r="G4816" s="8"/>
      <c r="H4816" s="8"/>
      <c r="I4816" s="107">
        <v>0</v>
      </c>
      <c r="J4816" s="8" t="s">
        <v>2019</v>
      </c>
    </row>
    <row r="4817" spans="1:10" ht="16.5" customHeight="1" x14ac:dyDescent="0.25">
      <c r="A4817" s="8" t="s">
        <v>1351</v>
      </c>
      <c r="B4817" s="8" t="s">
        <v>1352</v>
      </c>
      <c r="C4817" s="8" t="s">
        <v>959</v>
      </c>
      <c r="D4817" s="8" t="s">
        <v>1352</v>
      </c>
      <c r="E4817" s="105">
        <v>16.38</v>
      </c>
      <c r="F4817" s="106" t="s">
        <v>2018</v>
      </c>
      <c r="G4817" s="8"/>
      <c r="H4817" s="8" t="s">
        <v>14655</v>
      </c>
      <c r="I4817" s="107">
        <v>4</v>
      </c>
      <c r="J4817" s="8" t="s">
        <v>2019</v>
      </c>
    </row>
    <row r="4818" spans="1:10" ht="16.5" customHeight="1" x14ac:dyDescent="0.25">
      <c r="A4818" s="8" t="s">
        <v>14657</v>
      </c>
      <c r="B4818" s="8" t="s">
        <v>14658</v>
      </c>
      <c r="C4818" s="8" t="s">
        <v>959</v>
      </c>
      <c r="D4818" s="8" t="s">
        <v>14658</v>
      </c>
      <c r="E4818" s="105">
        <v>4.0949999999999998</v>
      </c>
      <c r="F4818" s="106" t="s">
        <v>2018</v>
      </c>
      <c r="G4818" s="8"/>
      <c r="H4818" s="8"/>
      <c r="I4818" s="107">
        <v>0</v>
      </c>
      <c r="J4818" s="8" t="s">
        <v>2019</v>
      </c>
    </row>
    <row r="4819" spans="1:10" ht="16.5" customHeight="1" x14ac:dyDescent="0.25">
      <c r="A4819" s="8" t="s">
        <v>958</v>
      </c>
      <c r="B4819" s="8" t="s">
        <v>960</v>
      </c>
      <c r="C4819" s="8" t="s">
        <v>959</v>
      </c>
      <c r="D4819" s="8" t="s">
        <v>960</v>
      </c>
      <c r="E4819" s="105">
        <v>16.38</v>
      </c>
      <c r="F4819" s="106" t="s">
        <v>2018</v>
      </c>
      <c r="G4819" s="8"/>
      <c r="H4819" s="8" t="s">
        <v>14657</v>
      </c>
      <c r="I4819" s="107">
        <v>4</v>
      </c>
      <c r="J4819" s="8" t="s">
        <v>2019</v>
      </c>
    </row>
    <row r="4820" spans="1:10" ht="16.5" customHeight="1" x14ac:dyDescent="0.25">
      <c r="A4820" s="8" t="s">
        <v>14659</v>
      </c>
      <c r="B4820" s="8" t="s">
        <v>14660</v>
      </c>
      <c r="C4820" s="8" t="s">
        <v>14661</v>
      </c>
      <c r="D4820" s="8" t="s">
        <v>14660</v>
      </c>
      <c r="E4820" s="105">
        <v>9</v>
      </c>
      <c r="F4820" s="106" t="s">
        <v>2018</v>
      </c>
      <c r="G4820" s="8"/>
      <c r="H4820" s="8"/>
      <c r="I4820" s="107">
        <v>0</v>
      </c>
      <c r="J4820" s="8" t="s">
        <v>2019</v>
      </c>
    </row>
    <row r="4821" spans="1:10" ht="16.5" customHeight="1" x14ac:dyDescent="0.25">
      <c r="A4821" s="8" t="s">
        <v>14662</v>
      </c>
      <c r="B4821" s="8" t="s">
        <v>14663</v>
      </c>
      <c r="C4821" s="8" t="s">
        <v>14661</v>
      </c>
      <c r="D4821" s="8" t="s">
        <v>14663</v>
      </c>
      <c r="E4821" s="105">
        <v>18</v>
      </c>
      <c r="F4821" s="106" t="s">
        <v>2018</v>
      </c>
      <c r="G4821" s="8"/>
      <c r="H4821" s="8" t="s">
        <v>14659</v>
      </c>
      <c r="I4821" s="107">
        <v>2</v>
      </c>
      <c r="J4821" s="8" t="s">
        <v>2019</v>
      </c>
    </row>
    <row r="4822" spans="1:10" ht="16.5" customHeight="1" x14ac:dyDescent="0.25">
      <c r="A4822" s="8" t="s">
        <v>961</v>
      </c>
      <c r="B4822" s="8" t="s">
        <v>963</v>
      </c>
      <c r="C4822" s="8" t="s">
        <v>962</v>
      </c>
      <c r="D4822" s="8" t="s">
        <v>963</v>
      </c>
      <c r="E4822" s="105">
        <v>25</v>
      </c>
      <c r="F4822" s="106" t="s">
        <v>2018</v>
      </c>
      <c r="G4822" s="8"/>
      <c r="H4822" s="8"/>
      <c r="I4822" s="107">
        <v>0</v>
      </c>
      <c r="J4822" s="8" t="s">
        <v>2019</v>
      </c>
    </row>
    <row r="4823" spans="1:10" ht="16.5" customHeight="1" x14ac:dyDescent="0.25">
      <c r="A4823" s="8" t="s">
        <v>1130</v>
      </c>
      <c r="B4823" s="8" t="s">
        <v>1131</v>
      </c>
      <c r="C4823" s="8" t="s">
        <v>962</v>
      </c>
      <c r="D4823" s="8" t="s">
        <v>1131</v>
      </c>
      <c r="E4823" s="105">
        <v>25</v>
      </c>
      <c r="F4823" s="106" t="s">
        <v>2018</v>
      </c>
      <c r="G4823" s="8"/>
      <c r="H4823" s="8"/>
      <c r="I4823" s="107">
        <v>0</v>
      </c>
      <c r="J4823" s="8" t="s">
        <v>2019</v>
      </c>
    </row>
    <row r="4824" spans="1:10" ht="16.5" customHeight="1" x14ac:dyDescent="0.25">
      <c r="A4824" s="8" t="s">
        <v>14664</v>
      </c>
      <c r="B4824" s="8" t="s">
        <v>14665</v>
      </c>
      <c r="C4824" s="8" t="s">
        <v>14666</v>
      </c>
      <c r="D4824" s="8" t="s">
        <v>14667</v>
      </c>
      <c r="E4824" s="105">
        <v>0</v>
      </c>
      <c r="F4824" s="106" t="s">
        <v>2018</v>
      </c>
      <c r="G4824" s="8"/>
      <c r="H4824" s="8"/>
      <c r="I4824" s="107">
        <v>0</v>
      </c>
      <c r="J4824" s="8" t="s">
        <v>4823</v>
      </c>
    </row>
    <row r="4825" spans="1:10" ht="16.5" customHeight="1" x14ac:dyDescent="0.25">
      <c r="A4825" s="8" t="s">
        <v>14668</v>
      </c>
      <c r="B4825" s="8" t="s">
        <v>14669</v>
      </c>
      <c r="C4825" s="8" t="s">
        <v>14603</v>
      </c>
      <c r="D4825" s="8" t="s">
        <v>14670</v>
      </c>
      <c r="E4825" s="105">
        <v>0</v>
      </c>
      <c r="F4825" s="106" t="s">
        <v>2018</v>
      </c>
      <c r="G4825" s="8"/>
      <c r="H4825" s="8"/>
      <c r="I4825" s="107">
        <v>0</v>
      </c>
      <c r="J4825" s="8" t="s">
        <v>3580</v>
      </c>
    </row>
    <row r="4826" spans="1:10" ht="16.5" customHeight="1" x14ac:dyDescent="0.25">
      <c r="A4826" s="8" t="s">
        <v>14671</v>
      </c>
      <c r="B4826" s="8" t="s">
        <v>14672</v>
      </c>
      <c r="C4826" s="8" t="s">
        <v>14673</v>
      </c>
      <c r="D4826" s="8" t="s">
        <v>14672</v>
      </c>
      <c r="E4826" s="105">
        <v>1</v>
      </c>
      <c r="F4826" s="106" t="s">
        <v>2018</v>
      </c>
      <c r="G4826" s="8"/>
      <c r="H4826" s="8"/>
      <c r="I4826" s="107">
        <v>0</v>
      </c>
      <c r="J4826" s="8" t="s">
        <v>3695</v>
      </c>
    </row>
    <row r="4827" spans="1:10" ht="16.5" customHeight="1" x14ac:dyDescent="0.25">
      <c r="A4827" s="8" t="s">
        <v>14674</v>
      </c>
      <c r="B4827" s="8" t="s">
        <v>14675</v>
      </c>
      <c r="C4827" s="8" t="s">
        <v>1630</v>
      </c>
      <c r="D4827" s="8" t="s">
        <v>14676</v>
      </c>
      <c r="E4827" s="105">
        <v>6.12</v>
      </c>
      <c r="F4827" s="106" t="s">
        <v>2024</v>
      </c>
      <c r="G4827" s="8"/>
      <c r="H4827" s="8"/>
      <c r="I4827" s="107">
        <v>0</v>
      </c>
      <c r="J4827" s="8" t="s">
        <v>5929</v>
      </c>
    </row>
    <row r="4828" spans="1:10" ht="16.5" customHeight="1" x14ac:dyDescent="0.25">
      <c r="A4828" s="8" t="s">
        <v>14677</v>
      </c>
      <c r="B4828" s="8" t="s">
        <v>14678</v>
      </c>
      <c r="C4828" s="8" t="s">
        <v>14418</v>
      </c>
      <c r="D4828" s="8" t="s">
        <v>14678</v>
      </c>
      <c r="E4828" s="105">
        <v>10.92</v>
      </c>
      <c r="F4828" s="106" t="s">
        <v>2018</v>
      </c>
      <c r="G4828" s="8"/>
      <c r="H4828" s="8"/>
      <c r="I4828" s="107">
        <v>0</v>
      </c>
      <c r="J4828" s="8" t="s">
        <v>2019</v>
      </c>
    </row>
    <row r="4829" spans="1:10" ht="16.5" customHeight="1" x14ac:dyDescent="0.25">
      <c r="A4829" s="8" t="s">
        <v>14679</v>
      </c>
      <c r="B4829" s="8" t="s">
        <v>14510</v>
      </c>
      <c r="C4829" s="8" t="s">
        <v>14680</v>
      </c>
      <c r="D4829" s="8" t="s">
        <v>14681</v>
      </c>
      <c r="E4829" s="105">
        <v>7.1310000000000002</v>
      </c>
      <c r="F4829" s="106" t="s">
        <v>2018</v>
      </c>
      <c r="G4829" s="8"/>
      <c r="H4829" s="8"/>
      <c r="I4829" s="107">
        <v>0</v>
      </c>
      <c r="J4829" s="8" t="s">
        <v>2019</v>
      </c>
    </row>
    <row r="4830" spans="1:10" ht="16.5" customHeight="1" x14ac:dyDescent="0.25">
      <c r="A4830" s="8" t="s">
        <v>14682</v>
      </c>
      <c r="B4830" s="8" t="s">
        <v>8921</v>
      </c>
      <c r="C4830" s="8" t="s">
        <v>1657</v>
      </c>
      <c r="D4830" s="8" t="s">
        <v>14683</v>
      </c>
      <c r="E4830" s="105">
        <v>7.6</v>
      </c>
      <c r="F4830" s="106" t="s">
        <v>2024</v>
      </c>
      <c r="G4830" s="8"/>
      <c r="H4830" s="8"/>
      <c r="I4830" s="107">
        <v>0</v>
      </c>
      <c r="J4830" s="8" t="s">
        <v>5929</v>
      </c>
    </row>
    <row r="4831" spans="1:10" ht="16.5" customHeight="1" x14ac:dyDescent="0.25">
      <c r="A4831" s="8" t="s">
        <v>14684</v>
      </c>
      <c r="B4831" s="8" t="s">
        <v>10385</v>
      </c>
      <c r="C4831" s="8" t="s">
        <v>14685</v>
      </c>
      <c r="D4831" s="8" t="s">
        <v>10385</v>
      </c>
      <c r="E4831" s="105">
        <v>8.7360000000000007</v>
      </c>
      <c r="F4831" s="106" t="s">
        <v>2018</v>
      </c>
      <c r="G4831" s="8"/>
      <c r="H4831" s="8"/>
      <c r="I4831" s="107">
        <v>0</v>
      </c>
      <c r="J4831" s="8" t="s">
        <v>4722</v>
      </c>
    </row>
    <row r="4832" spans="1:10" ht="16.5" customHeight="1" x14ac:dyDescent="0.25">
      <c r="A4832" s="8" t="s">
        <v>14686</v>
      </c>
      <c r="B4832" s="8" t="s">
        <v>14687</v>
      </c>
      <c r="C4832" s="8" t="s">
        <v>14688</v>
      </c>
      <c r="D4832" s="8" t="s">
        <v>14687</v>
      </c>
      <c r="E4832" s="105">
        <v>0</v>
      </c>
      <c r="F4832" s="106" t="s">
        <v>2018</v>
      </c>
      <c r="G4832" s="8"/>
      <c r="H4832" s="8"/>
      <c r="I4832" s="107">
        <v>0</v>
      </c>
      <c r="J4832" s="8" t="s">
        <v>5779</v>
      </c>
    </row>
    <row r="4833" spans="1:10" ht="16.5" customHeight="1" x14ac:dyDescent="0.25">
      <c r="A4833" s="8" t="s">
        <v>14689</v>
      </c>
      <c r="B4833" s="8" t="s">
        <v>12212</v>
      </c>
      <c r="C4833" s="8" t="s">
        <v>12213</v>
      </c>
      <c r="D4833" s="8" t="s">
        <v>12212</v>
      </c>
      <c r="E4833" s="105">
        <v>1.4</v>
      </c>
      <c r="F4833" s="106" t="s">
        <v>2018</v>
      </c>
      <c r="G4833" s="8"/>
      <c r="H4833" s="8"/>
      <c r="I4833" s="107">
        <v>0</v>
      </c>
      <c r="J4833" s="8" t="s">
        <v>5779</v>
      </c>
    </row>
    <row r="4834" spans="1:10" ht="16.5" customHeight="1" x14ac:dyDescent="0.25">
      <c r="A4834" s="8" t="s">
        <v>14690</v>
      </c>
      <c r="B4834" s="8" t="s">
        <v>13499</v>
      </c>
      <c r="C4834" s="8" t="s">
        <v>13500</v>
      </c>
      <c r="D4834" s="8" t="s">
        <v>13499</v>
      </c>
      <c r="E4834" s="105">
        <v>3.2</v>
      </c>
      <c r="F4834" s="106" t="s">
        <v>2018</v>
      </c>
      <c r="G4834" s="8"/>
      <c r="H4834" s="8"/>
      <c r="I4834" s="107">
        <v>0</v>
      </c>
      <c r="J4834" s="8" t="s">
        <v>5779</v>
      </c>
    </row>
    <row r="4835" spans="1:10" ht="16.5" customHeight="1" x14ac:dyDescent="0.25">
      <c r="A4835" s="8" t="s">
        <v>14691</v>
      </c>
      <c r="B4835" s="8" t="s">
        <v>14692</v>
      </c>
      <c r="C4835" s="8" t="s">
        <v>11386</v>
      </c>
      <c r="D4835" s="8" t="s">
        <v>14692</v>
      </c>
      <c r="E4835" s="105">
        <v>180</v>
      </c>
      <c r="F4835" s="106" t="s">
        <v>2018</v>
      </c>
      <c r="G4835" s="8"/>
      <c r="H4835" s="8"/>
      <c r="I4835" s="107">
        <v>0</v>
      </c>
      <c r="J4835" s="8" t="s">
        <v>3695</v>
      </c>
    </row>
    <row r="4836" spans="1:10" ht="16.5" customHeight="1" x14ac:dyDescent="0.25">
      <c r="A4836" s="8" t="s">
        <v>14693</v>
      </c>
      <c r="B4836" s="8" t="s">
        <v>14694</v>
      </c>
      <c r="C4836" s="8" t="s">
        <v>14695</v>
      </c>
      <c r="D4836" s="8" t="s">
        <v>14694</v>
      </c>
      <c r="E4836" s="105">
        <v>180</v>
      </c>
      <c r="F4836" s="106" t="s">
        <v>2018</v>
      </c>
      <c r="G4836" s="8"/>
      <c r="H4836" s="8"/>
      <c r="I4836" s="107">
        <v>0</v>
      </c>
      <c r="J4836" s="8" t="s">
        <v>3695</v>
      </c>
    </row>
    <row r="4837" spans="1:10" ht="16.5" customHeight="1" x14ac:dyDescent="0.25">
      <c r="A4837" s="8" t="s">
        <v>14696</v>
      </c>
      <c r="B4837" s="8" t="s">
        <v>14697</v>
      </c>
      <c r="C4837" s="8" t="s">
        <v>11161</v>
      </c>
      <c r="D4837" s="8" t="s">
        <v>14697</v>
      </c>
      <c r="E4837" s="105">
        <v>25</v>
      </c>
      <c r="F4837" s="106" t="s">
        <v>2018</v>
      </c>
      <c r="G4837" s="8"/>
      <c r="H4837" s="8"/>
      <c r="I4837" s="107">
        <v>0</v>
      </c>
      <c r="J4837" s="8" t="s">
        <v>3695</v>
      </c>
    </row>
    <row r="4838" spans="1:10" ht="16.5" customHeight="1" x14ac:dyDescent="0.25">
      <c r="A4838" s="8" t="s">
        <v>14698</v>
      </c>
      <c r="B4838" s="8" t="s">
        <v>14699</v>
      </c>
      <c r="C4838" s="8" t="s">
        <v>14700</v>
      </c>
      <c r="D4838" s="8" t="s">
        <v>14699</v>
      </c>
      <c r="E4838" s="105">
        <v>180</v>
      </c>
      <c r="F4838" s="106" t="s">
        <v>2018</v>
      </c>
      <c r="G4838" s="8"/>
      <c r="H4838" s="8"/>
      <c r="I4838" s="107">
        <v>0</v>
      </c>
      <c r="J4838" s="8" t="s">
        <v>3695</v>
      </c>
    </row>
    <row r="4839" spans="1:10" ht="16.5" customHeight="1" x14ac:dyDescent="0.25">
      <c r="A4839" s="8" t="s">
        <v>14701</v>
      </c>
      <c r="B4839" s="8" t="s">
        <v>14702</v>
      </c>
      <c r="C4839" s="8" t="s">
        <v>14453</v>
      </c>
      <c r="D4839" s="8" t="s">
        <v>14702</v>
      </c>
      <c r="E4839" s="105">
        <v>180</v>
      </c>
      <c r="F4839" s="106" t="s">
        <v>2018</v>
      </c>
      <c r="G4839" s="8"/>
      <c r="H4839" s="8"/>
      <c r="I4839" s="107">
        <v>0</v>
      </c>
      <c r="J4839" s="8" t="s">
        <v>3695</v>
      </c>
    </row>
    <row r="4840" spans="1:10" ht="16.5" customHeight="1" x14ac:dyDescent="0.25">
      <c r="A4840" s="8" t="s">
        <v>14703</v>
      </c>
      <c r="B4840" s="8" t="s">
        <v>14704</v>
      </c>
      <c r="C4840" s="8" t="s">
        <v>14705</v>
      </c>
      <c r="D4840" s="8" t="s">
        <v>14704</v>
      </c>
      <c r="E4840" s="105">
        <v>25</v>
      </c>
      <c r="F4840" s="106" t="s">
        <v>2018</v>
      </c>
      <c r="G4840" s="8"/>
      <c r="H4840" s="8"/>
      <c r="I4840" s="107">
        <v>0</v>
      </c>
      <c r="J4840" s="8" t="s">
        <v>3695</v>
      </c>
    </row>
    <row r="4841" spans="1:10" ht="16.5" customHeight="1" x14ac:dyDescent="0.25">
      <c r="A4841" s="8" t="s">
        <v>14706</v>
      </c>
      <c r="B4841" s="8" t="s">
        <v>14707</v>
      </c>
      <c r="C4841" s="8" t="s">
        <v>9526</v>
      </c>
      <c r="D4841" s="8" t="s">
        <v>14707</v>
      </c>
      <c r="E4841" s="105">
        <v>200</v>
      </c>
      <c r="F4841" s="106" t="s">
        <v>2018</v>
      </c>
      <c r="G4841" s="8"/>
      <c r="H4841" s="8"/>
      <c r="I4841" s="107">
        <v>0</v>
      </c>
      <c r="J4841" s="8" t="s">
        <v>3695</v>
      </c>
    </row>
    <row r="4842" spans="1:10" ht="16.5" customHeight="1" x14ac:dyDescent="0.25">
      <c r="A4842" s="8" t="s">
        <v>14708</v>
      </c>
      <c r="B4842" s="8" t="s">
        <v>14709</v>
      </c>
      <c r="C4842" s="8" t="s">
        <v>14710</v>
      </c>
      <c r="D4842" s="8" t="s">
        <v>14709</v>
      </c>
      <c r="E4842" s="105">
        <v>25</v>
      </c>
      <c r="F4842" s="106" t="s">
        <v>2018</v>
      </c>
      <c r="G4842" s="8"/>
      <c r="H4842" s="8"/>
      <c r="I4842" s="107">
        <v>0</v>
      </c>
      <c r="J4842" s="8" t="s">
        <v>3695</v>
      </c>
    </row>
    <row r="4843" spans="1:10" ht="16.5" customHeight="1" x14ac:dyDescent="0.25">
      <c r="A4843" s="8" t="s">
        <v>14711</v>
      </c>
      <c r="B4843" s="8" t="s">
        <v>14712</v>
      </c>
      <c r="C4843" s="8" t="s">
        <v>14028</v>
      </c>
      <c r="D4843" s="8" t="s">
        <v>14712</v>
      </c>
      <c r="E4843" s="105">
        <v>190</v>
      </c>
      <c r="F4843" s="106" t="s">
        <v>2018</v>
      </c>
      <c r="G4843" s="8"/>
      <c r="H4843" s="8"/>
      <c r="I4843" s="107">
        <v>0</v>
      </c>
      <c r="J4843" s="8" t="s">
        <v>2019</v>
      </c>
    </row>
    <row r="4844" spans="1:10" ht="16.5" customHeight="1" x14ac:dyDescent="0.25">
      <c r="A4844" s="8" t="s">
        <v>14713</v>
      </c>
      <c r="B4844" s="8" t="s">
        <v>14714</v>
      </c>
      <c r="C4844" s="8" t="s">
        <v>14715</v>
      </c>
      <c r="D4844" s="8" t="s">
        <v>14714</v>
      </c>
      <c r="E4844" s="105">
        <v>10</v>
      </c>
      <c r="F4844" s="106" t="s">
        <v>2018</v>
      </c>
      <c r="G4844" s="8"/>
      <c r="H4844" s="8"/>
      <c r="I4844" s="107">
        <v>0</v>
      </c>
      <c r="J4844" s="8" t="s">
        <v>3580</v>
      </c>
    </row>
    <row r="4845" spans="1:10" ht="16.5" customHeight="1" x14ac:dyDescent="0.25">
      <c r="A4845" s="8" t="s">
        <v>14716</v>
      </c>
      <c r="B4845" s="8" t="s">
        <v>14717</v>
      </c>
      <c r="C4845" s="8" t="s">
        <v>14718</v>
      </c>
      <c r="D4845" s="8" t="s">
        <v>13797</v>
      </c>
      <c r="E4845" s="105">
        <v>0</v>
      </c>
      <c r="F4845" s="106" t="s">
        <v>2018</v>
      </c>
      <c r="G4845" s="8"/>
      <c r="H4845" s="8"/>
      <c r="I4845" s="107">
        <v>0</v>
      </c>
      <c r="J4845" s="8" t="s">
        <v>3580</v>
      </c>
    </row>
    <row r="4846" spans="1:10" ht="16.5" customHeight="1" x14ac:dyDescent="0.25">
      <c r="A4846" s="8" t="s">
        <v>14719</v>
      </c>
      <c r="B4846" s="8" t="s">
        <v>14720</v>
      </c>
      <c r="C4846" s="8" t="s">
        <v>14721</v>
      </c>
      <c r="D4846" s="8" t="s">
        <v>13797</v>
      </c>
      <c r="E4846" s="105">
        <v>0</v>
      </c>
      <c r="F4846" s="106" t="s">
        <v>2018</v>
      </c>
      <c r="G4846" s="8"/>
      <c r="H4846" s="8"/>
      <c r="I4846" s="107">
        <v>0</v>
      </c>
      <c r="J4846" s="8" t="s">
        <v>3580</v>
      </c>
    </row>
    <row r="4847" spans="1:10" ht="16.5" customHeight="1" x14ac:dyDescent="0.25">
      <c r="A4847" s="8" t="s">
        <v>14722</v>
      </c>
      <c r="B4847" s="8" t="s">
        <v>14723</v>
      </c>
      <c r="C4847" s="8" t="s">
        <v>13977</v>
      </c>
      <c r="D4847" s="8" t="s">
        <v>14723</v>
      </c>
      <c r="E4847" s="105">
        <v>180</v>
      </c>
      <c r="F4847" s="106" t="s">
        <v>2018</v>
      </c>
      <c r="G4847" s="8"/>
      <c r="H4847" s="8"/>
      <c r="I4847" s="107">
        <v>0</v>
      </c>
      <c r="J4847" s="8" t="s">
        <v>3695</v>
      </c>
    </row>
    <row r="4848" spans="1:10" ht="16.5" customHeight="1" x14ac:dyDescent="0.25">
      <c r="A4848" s="8" t="s">
        <v>14724</v>
      </c>
      <c r="B4848" s="8" t="s">
        <v>14725</v>
      </c>
      <c r="C4848" s="8" t="s">
        <v>14726</v>
      </c>
      <c r="D4848" s="8" t="s">
        <v>14725</v>
      </c>
      <c r="E4848" s="105">
        <v>0</v>
      </c>
      <c r="F4848" s="106" t="s">
        <v>2018</v>
      </c>
      <c r="G4848" s="8"/>
      <c r="H4848" s="8"/>
      <c r="I4848" s="107">
        <v>0</v>
      </c>
      <c r="J4848" s="8" t="s">
        <v>10979</v>
      </c>
    </row>
    <row r="4849" spans="1:10" ht="16.5" customHeight="1" x14ac:dyDescent="0.25">
      <c r="A4849" s="8" t="s">
        <v>14727</v>
      </c>
      <c r="B4849" s="8" t="s">
        <v>13947</v>
      </c>
      <c r="C4849" s="8" t="s">
        <v>1446</v>
      </c>
      <c r="D4849" s="8" t="s">
        <v>13947</v>
      </c>
      <c r="E4849" s="105">
        <v>0.12</v>
      </c>
      <c r="F4849" s="106" t="s">
        <v>2018</v>
      </c>
      <c r="G4849" s="8" t="s">
        <v>1417</v>
      </c>
      <c r="H4849" s="8"/>
      <c r="I4849" s="107">
        <v>0</v>
      </c>
      <c r="J4849" s="8" t="s">
        <v>5671</v>
      </c>
    </row>
    <row r="4850" spans="1:10" ht="16.5" customHeight="1" x14ac:dyDescent="0.25">
      <c r="A4850" s="8" t="s">
        <v>1445</v>
      </c>
      <c r="B4850" s="8" t="s">
        <v>1447</v>
      </c>
      <c r="C4850" s="8" t="s">
        <v>1446</v>
      </c>
      <c r="D4850" s="8" t="s">
        <v>1447</v>
      </c>
      <c r="E4850" s="105">
        <v>4.8</v>
      </c>
      <c r="F4850" s="106" t="s">
        <v>2018</v>
      </c>
      <c r="G4850" s="8" t="s">
        <v>1417</v>
      </c>
      <c r="H4850" s="8" t="s">
        <v>14727</v>
      </c>
      <c r="I4850" s="107">
        <v>40</v>
      </c>
      <c r="J4850" s="8" t="s">
        <v>5671</v>
      </c>
    </row>
    <row r="4851" spans="1:10" ht="16.5" customHeight="1" x14ac:dyDescent="0.25">
      <c r="A4851" s="8" t="s">
        <v>14728</v>
      </c>
      <c r="B4851" s="8" t="s">
        <v>14729</v>
      </c>
      <c r="C4851" s="8" t="s">
        <v>14730</v>
      </c>
      <c r="D4851" s="8" t="s">
        <v>14729</v>
      </c>
      <c r="E4851" s="105">
        <v>21</v>
      </c>
      <c r="F4851" s="106" t="s">
        <v>2018</v>
      </c>
      <c r="G4851" s="8"/>
      <c r="H4851" s="8"/>
      <c r="I4851" s="107">
        <v>0</v>
      </c>
      <c r="J4851" s="8" t="s">
        <v>2019</v>
      </c>
    </row>
    <row r="4852" spans="1:10" ht="16.5" customHeight="1" x14ac:dyDescent="0.25">
      <c r="A4852" s="8" t="s">
        <v>1260</v>
      </c>
      <c r="B4852" s="8" t="s">
        <v>1262</v>
      </c>
      <c r="C4852" s="8" t="s">
        <v>1261</v>
      </c>
      <c r="D4852" s="8" t="s">
        <v>1262</v>
      </c>
      <c r="E4852" s="105">
        <v>250</v>
      </c>
      <c r="F4852" s="106" t="s">
        <v>2018</v>
      </c>
      <c r="G4852" s="8"/>
      <c r="H4852" s="8"/>
      <c r="I4852" s="107">
        <v>0</v>
      </c>
      <c r="J4852" s="8" t="s">
        <v>2019</v>
      </c>
    </row>
    <row r="4853" spans="1:10" ht="16.5" customHeight="1" x14ac:dyDescent="0.25">
      <c r="A4853" s="8" t="s">
        <v>14731</v>
      </c>
      <c r="B4853" s="8" t="s">
        <v>14732</v>
      </c>
      <c r="C4853" s="8" t="s">
        <v>14733</v>
      </c>
      <c r="D4853" s="8" t="s">
        <v>14732</v>
      </c>
      <c r="E4853" s="105">
        <v>20</v>
      </c>
      <c r="F4853" s="106" t="s">
        <v>2018</v>
      </c>
      <c r="G4853" s="8"/>
      <c r="H4853" s="8"/>
      <c r="I4853" s="107">
        <v>0</v>
      </c>
      <c r="J4853" s="8" t="s">
        <v>2019</v>
      </c>
    </row>
    <row r="4854" spans="1:10" ht="16.5" customHeight="1" x14ac:dyDescent="0.25">
      <c r="A4854" s="8" t="s">
        <v>14734</v>
      </c>
      <c r="B4854" s="8" t="s">
        <v>14735</v>
      </c>
      <c r="C4854" s="8" t="s">
        <v>14736</v>
      </c>
      <c r="D4854" s="8" t="s">
        <v>14735</v>
      </c>
      <c r="E4854" s="105">
        <v>1</v>
      </c>
      <c r="F4854" s="106" t="s">
        <v>2018</v>
      </c>
      <c r="G4854" s="8"/>
      <c r="H4854" s="8"/>
      <c r="I4854" s="107">
        <v>0</v>
      </c>
      <c r="J4854" s="8" t="s">
        <v>3695</v>
      </c>
    </row>
    <row r="4855" spans="1:10" ht="16.5" customHeight="1" x14ac:dyDescent="0.25">
      <c r="A4855" s="8" t="s">
        <v>14737</v>
      </c>
      <c r="B4855" s="8" t="s">
        <v>14738</v>
      </c>
      <c r="C4855" s="8" t="s">
        <v>14739</v>
      </c>
      <c r="D4855" s="8" t="s">
        <v>14738</v>
      </c>
      <c r="E4855" s="105">
        <v>1</v>
      </c>
      <c r="F4855" s="106" t="s">
        <v>2018</v>
      </c>
      <c r="G4855" s="8"/>
      <c r="H4855" s="8"/>
      <c r="I4855" s="107">
        <v>0</v>
      </c>
      <c r="J4855" s="8" t="s">
        <v>3695</v>
      </c>
    </row>
    <row r="4856" spans="1:10" ht="16.5" customHeight="1" x14ac:dyDescent="0.25">
      <c r="A4856" s="8" t="s">
        <v>14740</v>
      </c>
      <c r="B4856" s="8" t="s">
        <v>1078</v>
      </c>
      <c r="C4856" s="8" t="s">
        <v>1077</v>
      </c>
      <c r="D4856" s="8" t="s">
        <v>1078</v>
      </c>
      <c r="E4856" s="105">
        <v>14</v>
      </c>
      <c r="F4856" s="106" t="s">
        <v>2018</v>
      </c>
      <c r="G4856" s="8"/>
      <c r="H4856" s="8"/>
      <c r="I4856" s="107">
        <v>0</v>
      </c>
      <c r="J4856" s="8" t="s">
        <v>6357</v>
      </c>
    </row>
    <row r="4857" spans="1:10" ht="16.5" customHeight="1" x14ac:dyDescent="0.25">
      <c r="A4857" s="8" t="s">
        <v>14741</v>
      </c>
      <c r="B4857" s="8" t="s">
        <v>1744</v>
      </c>
      <c r="C4857" s="8" t="s">
        <v>1743</v>
      </c>
      <c r="D4857" s="8" t="s">
        <v>1744</v>
      </c>
      <c r="E4857" s="105">
        <v>10</v>
      </c>
      <c r="F4857" s="106" t="s">
        <v>2018</v>
      </c>
      <c r="G4857" s="8"/>
      <c r="H4857" s="8"/>
      <c r="I4857" s="107">
        <v>0</v>
      </c>
      <c r="J4857" s="8" t="s">
        <v>4823</v>
      </c>
    </row>
    <row r="4858" spans="1:10" ht="16.5" customHeight="1" x14ac:dyDescent="0.25">
      <c r="A4858" s="8" t="s">
        <v>14742</v>
      </c>
      <c r="B4858" s="8" t="s">
        <v>14743</v>
      </c>
      <c r="C4858" s="8" t="s">
        <v>1564</v>
      </c>
      <c r="D4858" s="8" t="s">
        <v>14743</v>
      </c>
      <c r="E4858" s="105">
        <v>6.12</v>
      </c>
      <c r="F4858" s="106" t="s">
        <v>2024</v>
      </c>
      <c r="G4858" s="8"/>
      <c r="H4858" s="8"/>
      <c r="I4858" s="107">
        <v>0</v>
      </c>
      <c r="J4858" s="8" t="s">
        <v>5929</v>
      </c>
    </row>
    <row r="4859" spans="1:10" ht="16.5" customHeight="1" x14ac:dyDescent="0.25">
      <c r="A4859" s="8" t="s">
        <v>14744</v>
      </c>
      <c r="B4859" s="8" t="s">
        <v>14745</v>
      </c>
      <c r="C4859" s="8" t="s">
        <v>14746</v>
      </c>
      <c r="D4859" s="8" t="s">
        <v>14745</v>
      </c>
      <c r="E4859" s="105">
        <v>1</v>
      </c>
      <c r="F4859" s="106" t="s">
        <v>2018</v>
      </c>
      <c r="G4859" s="8"/>
      <c r="H4859" s="8"/>
      <c r="I4859" s="107">
        <v>0</v>
      </c>
      <c r="J4859" s="8" t="s">
        <v>3695</v>
      </c>
    </row>
    <row r="4860" spans="1:10" ht="16.5" customHeight="1" x14ac:dyDescent="0.25">
      <c r="A4860" s="8" t="s">
        <v>14747</v>
      </c>
      <c r="B4860" s="8" t="s">
        <v>14748</v>
      </c>
      <c r="C4860" s="8" t="s">
        <v>14749</v>
      </c>
      <c r="D4860" s="8" t="s">
        <v>14748</v>
      </c>
      <c r="E4860" s="105">
        <v>1</v>
      </c>
      <c r="F4860" s="106" t="s">
        <v>2018</v>
      </c>
      <c r="G4860" s="8"/>
      <c r="H4860" s="8"/>
      <c r="I4860" s="107">
        <v>0</v>
      </c>
      <c r="J4860" s="8" t="s">
        <v>3695</v>
      </c>
    </row>
    <row r="4861" spans="1:10" ht="16.5" customHeight="1" x14ac:dyDescent="0.25">
      <c r="A4861" s="8" t="s">
        <v>14750</v>
      </c>
      <c r="B4861" s="8" t="s">
        <v>14751</v>
      </c>
      <c r="C4861" s="8" t="s">
        <v>14752</v>
      </c>
      <c r="D4861" s="8" t="s">
        <v>14751</v>
      </c>
      <c r="E4861" s="105">
        <v>750</v>
      </c>
      <c r="F4861" s="106" t="s">
        <v>2018</v>
      </c>
      <c r="G4861" s="8"/>
      <c r="H4861" s="8"/>
      <c r="I4861" s="107">
        <v>0</v>
      </c>
      <c r="J4861" s="8" t="s">
        <v>3695</v>
      </c>
    </row>
    <row r="4862" spans="1:10" ht="16.5" customHeight="1" x14ac:dyDescent="0.25">
      <c r="A4862" s="8" t="s">
        <v>14753</v>
      </c>
      <c r="B4862" s="8" t="s">
        <v>14754</v>
      </c>
      <c r="C4862" s="8" t="s">
        <v>14755</v>
      </c>
      <c r="D4862" s="8" t="s">
        <v>14754</v>
      </c>
      <c r="E4862" s="105">
        <v>1</v>
      </c>
      <c r="F4862" s="106" t="s">
        <v>2024</v>
      </c>
      <c r="G4862" s="8"/>
      <c r="H4862" s="8"/>
      <c r="I4862" s="107">
        <v>0</v>
      </c>
      <c r="J4862" s="8" t="s">
        <v>14616</v>
      </c>
    </row>
    <row r="4863" spans="1:10" ht="16.5" customHeight="1" x14ac:dyDescent="0.25">
      <c r="A4863" s="8" t="s">
        <v>14756</v>
      </c>
      <c r="B4863" s="8" t="s">
        <v>14757</v>
      </c>
      <c r="C4863" s="8" t="s">
        <v>14758</v>
      </c>
      <c r="D4863" s="8" t="s">
        <v>14757</v>
      </c>
      <c r="E4863" s="105">
        <v>25</v>
      </c>
      <c r="F4863" s="106" t="s">
        <v>2018</v>
      </c>
      <c r="G4863" s="8"/>
      <c r="H4863" s="8"/>
      <c r="I4863" s="107">
        <v>0</v>
      </c>
      <c r="J4863" s="8" t="s">
        <v>3695</v>
      </c>
    </row>
    <row r="4864" spans="1:10" ht="16.5" customHeight="1" x14ac:dyDescent="0.25">
      <c r="A4864" s="8" t="s">
        <v>14759</v>
      </c>
      <c r="B4864" s="8" t="s">
        <v>14760</v>
      </c>
      <c r="C4864" s="8" t="s">
        <v>14761</v>
      </c>
      <c r="D4864" s="8" t="s">
        <v>14760</v>
      </c>
      <c r="E4864" s="105">
        <v>0.06</v>
      </c>
      <c r="F4864" s="106" t="s">
        <v>2018</v>
      </c>
      <c r="G4864" s="8"/>
      <c r="H4864" s="8"/>
      <c r="I4864" s="107">
        <v>0</v>
      </c>
      <c r="J4864" s="8" t="s">
        <v>10979</v>
      </c>
    </row>
    <row r="4865" spans="1:10" ht="16.5" customHeight="1" x14ac:dyDescent="0.25">
      <c r="A4865" s="8" t="s">
        <v>14762</v>
      </c>
      <c r="B4865" s="8" t="s">
        <v>14763</v>
      </c>
      <c r="C4865" s="8" t="s">
        <v>14764</v>
      </c>
      <c r="D4865" s="8" t="s">
        <v>14763</v>
      </c>
      <c r="E4865" s="105">
        <v>0.06</v>
      </c>
      <c r="F4865" s="106" t="s">
        <v>2018</v>
      </c>
      <c r="G4865" s="8"/>
      <c r="H4865" s="8"/>
      <c r="I4865" s="107">
        <v>0</v>
      </c>
      <c r="J4865" s="8" t="s">
        <v>10979</v>
      </c>
    </row>
    <row r="4866" spans="1:10" ht="16.5" customHeight="1" x14ac:dyDescent="0.25">
      <c r="A4866" s="8" t="s">
        <v>14765</v>
      </c>
      <c r="B4866" s="8" t="s">
        <v>14766</v>
      </c>
      <c r="C4866" s="8" t="s">
        <v>14767</v>
      </c>
      <c r="D4866" s="8" t="s">
        <v>14766</v>
      </c>
      <c r="E4866" s="105">
        <v>0.06</v>
      </c>
      <c r="F4866" s="106" t="s">
        <v>2018</v>
      </c>
      <c r="G4866" s="8"/>
      <c r="H4866" s="8"/>
      <c r="I4866" s="107">
        <v>0</v>
      </c>
      <c r="J4866" s="8" t="s">
        <v>10979</v>
      </c>
    </row>
    <row r="4867" spans="1:10" ht="16.5" customHeight="1" x14ac:dyDescent="0.25">
      <c r="A4867" s="8" t="s">
        <v>14768</v>
      </c>
      <c r="B4867" s="8" t="s">
        <v>14769</v>
      </c>
      <c r="C4867" s="8" t="s">
        <v>14770</v>
      </c>
      <c r="D4867" s="8" t="s">
        <v>14769</v>
      </c>
      <c r="E4867" s="105">
        <v>20</v>
      </c>
      <c r="F4867" s="106" t="s">
        <v>2018</v>
      </c>
      <c r="G4867" s="8"/>
      <c r="H4867" s="8"/>
      <c r="I4867" s="107">
        <v>0</v>
      </c>
      <c r="J4867" s="8" t="s">
        <v>2019</v>
      </c>
    </row>
    <row r="4868" spans="1:10" ht="16.5" customHeight="1" x14ac:dyDescent="0.25">
      <c r="A4868" s="8" t="s">
        <v>14771</v>
      </c>
      <c r="B4868" s="8" t="s">
        <v>14772</v>
      </c>
      <c r="C4868" s="8" t="s">
        <v>14773</v>
      </c>
      <c r="D4868" s="8" t="s">
        <v>14772</v>
      </c>
      <c r="E4868" s="105">
        <v>750</v>
      </c>
      <c r="F4868" s="106" t="s">
        <v>2018</v>
      </c>
      <c r="G4868" s="8"/>
      <c r="H4868" s="8"/>
      <c r="I4868" s="107">
        <v>0</v>
      </c>
      <c r="J4868" s="8" t="s">
        <v>3695</v>
      </c>
    </row>
    <row r="4869" spans="1:10" ht="16.5" customHeight="1" x14ac:dyDescent="0.25">
      <c r="A4869" s="8" t="s">
        <v>14774</v>
      </c>
      <c r="B4869" s="8" t="s">
        <v>14775</v>
      </c>
      <c r="C4869" s="8" t="s">
        <v>14776</v>
      </c>
      <c r="D4869" s="8" t="s">
        <v>14775</v>
      </c>
      <c r="E4869" s="105">
        <v>25</v>
      </c>
      <c r="F4869" s="106" t="s">
        <v>2018</v>
      </c>
      <c r="G4869" s="8"/>
      <c r="H4869" s="8"/>
      <c r="I4869" s="107">
        <v>0</v>
      </c>
      <c r="J4869" s="8" t="s">
        <v>3580</v>
      </c>
    </row>
    <row r="4870" spans="1:10" ht="16.5" customHeight="1" x14ac:dyDescent="0.25">
      <c r="A4870" s="8" t="s">
        <v>14777</v>
      </c>
      <c r="B4870" s="8" t="s">
        <v>14778</v>
      </c>
      <c r="C4870" s="8" t="s">
        <v>14779</v>
      </c>
      <c r="D4870" s="8" t="s">
        <v>14778</v>
      </c>
      <c r="E4870" s="105">
        <v>0</v>
      </c>
      <c r="F4870" s="106" t="s">
        <v>2018</v>
      </c>
      <c r="G4870" s="8"/>
      <c r="H4870" s="8"/>
      <c r="I4870" s="107">
        <v>0</v>
      </c>
      <c r="J4870" s="8" t="s">
        <v>4722</v>
      </c>
    </row>
    <row r="4871" spans="1:10" ht="16.5" customHeight="1" x14ac:dyDescent="0.25">
      <c r="A4871" s="8" t="s">
        <v>14780</v>
      </c>
      <c r="B4871" s="8" t="s">
        <v>12251</v>
      </c>
      <c r="C4871" s="8" t="s">
        <v>12252</v>
      </c>
      <c r="D4871" s="8" t="s">
        <v>12251</v>
      </c>
      <c r="E4871" s="105">
        <v>0</v>
      </c>
      <c r="F4871" s="106" t="s">
        <v>2018</v>
      </c>
      <c r="G4871" s="8"/>
      <c r="H4871" s="8"/>
      <c r="I4871" s="107">
        <v>0</v>
      </c>
      <c r="J4871" s="8" t="s">
        <v>6357</v>
      </c>
    </row>
    <row r="4872" spans="1:10" ht="16.5" customHeight="1" x14ac:dyDescent="0.25">
      <c r="A4872" s="8" t="s">
        <v>14781</v>
      </c>
      <c r="B4872" s="8" t="s">
        <v>14782</v>
      </c>
      <c r="C4872" s="8" t="s">
        <v>14783</v>
      </c>
      <c r="D4872" s="8" t="s">
        <v>14782</v>
      </c>
      <c r="E4872" s="105">
        <v>1</v>
      </c>
      <c r="F4872" s="106" t="s">
        <v>2018</v>
      </c>
      <c r="G4872" s="8"/>
      <c r="H4872" s="8"/>
      <c r="I4872" s="107">
        <v>0</v>
      </c>
      <c r="J4872" s="8" t="s">
        <v>2019</v>
      </c>
    </row>
    <row r="4873" spans="1:10" ht="16.5" customHeight="1" x14ac:dyDescent="0.25">
      <c r="A4873" s="8" t="s">
        <v>14784</v>
      </c>
      <c r="B4873" s="8" t="s">
        <v>14785</v>
      </c>
      <c r="C4873" s="8" t="s">
        <v>14786</v>
      </c>
      <c r="D4873" s="8" t="s">
        <v>14785</v>
      </c>
      <c r="E4873" s="105">
        <v>1</v>
      </c>
      <c r="F4873" s="106" t="s">
        <v>2018</v>
      </c>
      <c r="G4873" s="8"/>
      <c r="H4873" s="8"/>
      <c r="I4873" s="107">
        <v>0</v>
      </c>
      <c r="J4873" s="8" t="s">
        <v>2019</v>
      </c>
    </row>
    <row r="4874" spans="1:10" ht="16.5" customHeight="1" x14ac:dyDescent="0.25">
      <c r="A4874" s="8" t="s">
        <v>14787</v>
      </c>
      <c r="B4874" s="8" t="s">
        <v>14788</v>
      </c>
      <c r="C4874" s="8" t="s">
        <v>14789</v>
      </c>
      <c r="D4874" s="8" t="s">
        <v>14788</v>
      </c>
      <c r="E4874" s="105">
        <v>1</v>
      </c>
      <c r="F4874" s="106" t="s">
        <v>2018</v>
      </c>
      <c r="G4874" s="8"/>
      <c r="H4874" s="8"/>
      <c r="I4874" s="107">
        <v>0</v>
      </c>
      <c r="J4874" s="8" t="s">
        <v>3695</v>
      </c>
    </row>
    <row r="4875" spans="1:10" ht="16.5" customHeight="1" x14ac:dyDescent="0.25">
      <c r="A4875" s="8" t="s">
        <v>14790</v>
      </c>
      <c r="B4875" s="8" t="s">
        <v>14791</v>
      </c>
      <c r="C4875" s="8" t="s">
        <v>12035</v>
      </c>
      <c r="D4875" s="8" t="s">
        <v>14792</v>
      </c>
      <c r="E4875" s="105">
        <v>0</v>
      </c>
      <c r="F4875" s="106" t="s">
        <v>2018</v>
      </c>
      <c r="G4875" s="8"/>
      <c r="H4875" s="8"/>
      <c r="I4875" s="107">
        <v>0</v>
      </c>
      <c r="J4875" s="8" t="s">
        <v>3580</v>
      </c>
    </row>
    <row r="4876" spans="1:10" ht="16.5" customHeight="1" x14ac:dyDescent="0.25">
      <c r="A4876" s="8" t="s">
        <v>14793</v>
      </c>
      <c r="B4876" s="8" t="s">
        <v>14794</v>
      </c>
      <c r="C4876" s="8" t="s">
        <v>14795</v>
      </c>
      <c r="D4876" s="8" t="s">
        <v>14794</v>
      </c>
      <c r="E4876" s="105">
        <v>0</v>
      </c>
      <c r="F4876" s="106" t="s">
        <v>2018</v>
      </c>
      <c r="G4876" s="8"/>
      <c r="H4876" s="8"/>
      <c r="I4876" s="107">
        <v>0</v>
      </c>
      <c r="J4876" s="8" t="s">
        <v>6357</v>
      </c>
    </row>
    <row r="4877" spans="1:10" ht="16.5" customHeight="1" x14ac:dyDescent="0.25">
      <c r="A4877" s="8" t="s">
        <v>14796</v>
      </c>
      <c r="B4877" s="8" t="s">
        <v>14797</v>
      </c>
      <c r="C4877" s="8" t="s">
        <v>14798</v>
      </c>
      <c r="D4877" s="8" t="s">
        <v>14797</v>
      </c>
      <c r="E4877" s="105">
        <v>0</v>
      </c>
      <c r="F4877" s="106" t="s">
        <v>2018</v>
      </c>
      <c r="G4877" s="8"/>
      <c r="H4877" s="8"/>
      <c r="I4877" s="107">
        <v>0</v>
      </c>
      <c r="J4877" s="8" t="s">
        <v>6357</v>
      </c>
    </row>
    <row r="4878" spans="1:10" ht="16.5" customHeight="1" x14ac:dyDescent="0.25">
      <c r="A4878" s="8" t="s">
        <v>14799</v>
      </c>
      <c r="B4878" s="8" t="s">
        <v>14800</v>
      </c>
      <c r="C4878" s="8" t="s">
        <v>14801</v>
      </c>
      <c r="D4878" s="8" t="s">
        <v>14800</v>
      </c>
      <c r="E4878" s="105">
        <v>0</v>
      </c>
      <c r="F4878" s="106" t="s">
        <v>2018</v>
      </c>
      <c r="G4878" s="8"/>
      <c r="H4878" s="8"/>
      <c r="I4878" s="107">
        <v>0</v>
      </c>
      <c r="J4878" s="8" t="s">
        <v>6357</v>
      </c>
    </row>
    <row r="4879" spans="1:10" ht="16.5" customHeight="1" x14ac:dyDescent="0.25">
      <c r="A4879" s="8" t="s">
        <v>14802</v>
      </c>
      <c r="B4879" s="8" t="s">
        <v>14803</v>
      </c>
      <c r="C4879" s="8" t="s">
        <v>14804</v>
      </c>
      <c r="D4879" s="8" t="s">
        <v>14803</v>
      </c>
      <c r="E4879" s="105">
        <v>0</v>
      </c>
      <c r="F4879" s="106" t="s">
        <v>2018</v>
      </c>
      <c r="G4879" s="8"/>
      <c r="H4879" s="8"/>
      <c r="I4879" s="107">
        <v>0</v>
      </c>
      <c r="J4879" s="8" t="s">
        <v>6357</v>
      </c>
    </row>
    <row r="4880" spans="1:10" ht="16.5" customHeight="1" x14ac:dyDescent="0.25">
      <c r="A4880" s="8" t="s">
        <v>14805</v>
      </c>
      <c r="B4880" s="8" t="s">
        <v>14806</v>
      </c>
      <c r="C4880" s="8" t="s">
        <v>14807</v>
      </c>
      <c r="D4880" s="8" t="s">
        <v>14806</v>
      </c>
      <c r="E4880" s="105">
        <v>0</v>
      </c>
      <c r="F4880" s="106" t="s">
        <v>2018</v>
      </c>
      <c r="G4880" s="8"/>
      <c r="H4880" s="8"/>
      <c r="I4880" s="107">
        <v>0</v>
      </c>
      <c r="J4880" s="8" t="s">
        <v>6357</v>
      </c>
    </row>
    <row r="4881" spans="1:10" ht="16.5" customHeight="1" x14ac:dyDescent="0.25">
      <c r="A4881" s="8" t="s">
        <v>14808</v>
      </c>
      <c r="B4881" s="8" t="s">
        <v>14809</v>
      </c>
      <c r="C4881" s="8" t="s">
        <v>1678</v>
      </c>
      <c r="D4881" s="8" t="s">
        <v>14809</v>
      </c>
      <c r="E4881" s="105">
        <v>12</v>
      </c>
      <c r="F4881" s="106" t="s">
        <v>2024</v>
      </c>
      <c r="G4881" s="8" t="s">
        <v>1541</v>
      </c>
      <c r="H4881" s="8" t="s">
        <v>14810</v>
      </c>
      <c r="I4881" s="107">
        <v>6</v>
      </c>
      <c r="J4881" s="8" t="s">
        <v>5929</v>
      </c>
    </row>
    <row r="4882" spans="1:10" ht="16.5" customHeight="1" x14ac:dyDescent="0.25">
      <c r="A4882" s="8" t="s">
        <v>14810</v>
      </c>
      <c r="B4882" s="8" t="s">
        <v>14811</v>
      </c>
      <c r="C4882" s="8" t="s">
        <v>14812</v>
      </c>
      <c r="D4882" s="8" t="s">
        <v>14811</v>
      </c>
      <c r="E4882" s="105">
        <v>2</v>
      </c>
      <c r="F4882" s="106" t="s">
        <v>2024</v>
      </c>
      <c r="G4882" s="8" t="s">
        <v>1541</v>
      </c>
      <c r="H4882" s="8"/>
      <c r="I4882" s="107">
        <v>0</v>
      </c>
      <c r="J4882" s="8" t="s">
        <v>5929</v>
      </c>
    </row>
    <row r="4883" spans="1:10" ht="16.5" customHeight="1" x14ac:dyDescent="0.25">
      <c r="A4883" s="8" t="s">
        <v>14813</v>
      </c>
      <c r="B4883" s="8" t="s">
        <v>14814</v>
      </c>
      <c r="C4883" s="8" t="s">
        <v>1666</v>
      </c>
      <c r="D4883" s="8" t="s">
        <v>14814</v>
      </c>
      <c r="E4883" s="105">
        <v>15</v>
      </c>
      <c r="F4883" s="106" t="s">
        <v>2024</v>
      </c>
      <c r="G4883" s="8" t="s">
        <v>1541</v>
      </c>
      <c r="H4883" s="8" t="s">
        <v>14815</v>
      </c>
      <c r="I4883" s="107">
        <v>3</v>
      </c>
      <c r="J4883" s="8" t="s">
        <v>5929</v>
      </c>
    </row>
    <row r="4884" spans="1:10" ht="16.5" customHeight="1" x14ac:dyDescent="0.25">
      <c r="A4884" s="8" t="s">
        <v>14815</v>
      </c>
      <c r="B4884" s="8" t="s">
        <v>14816</v>
      </c>
      <c r="C4884" s="8" t="s">
        <v>14817</v>
      </c>
      <c r="D4884" s="8" t="s">
        <v>14816</v>
      </c>
      <c r="E4884" s="105">
        <v>5</v>
      </c>
      <c r="F4884" s="106" t="s">
        <v>2024</v>
      </c>
      <c r="G4884" s="8" t="s">
        <v>1541</v>
      </c>
      <c r="H4884" s="8"/>
      <c r="I4884" s="107">
        <v>0</v>
      </c>
      <c r="J4884" s="8" t="s">
        <v>5929</v>
      </c>
    </row>
    <row r="4885" spans="1:10" ht="16.5" customHeight="1" x14ac:dyDescent="0.25">
      <c r="A4885" s="8" t="s">
        <v>14818</v>
      </c>
      <c r="B4885" s="8" t="s">
        <v>14819</v>
      </c>
      <c r="C4885" s="8" t="s">
        <v>13506</v>
      </c>
      <c r="D4885" s="8" t="s">
        <v>14792</v>
      </c>
      <c r="E4885" s="105">
        <v>0</v>
      </c>
      <c r="F4885" s="106" t="s">
        <v>2018</v>
      </c>
      <c r="G4885" s="8"/>
      <c r="H4885" s="8"/>
      <c r="I4885" s="107">
        <v>0</v>
      </c>
      <c r="J4885" s="8" t="s">
        <v>3580</v>
      </c>
    </row>
    <row r="4886" spans="1:10" ht="16.5" customHeight="1" x14ac:dyDescent="0.25">
      <c r="A4886" s="8" t="s">
        <v>14820</v>
      </c>
      <c r="B4886" s="8" t="s">
        <v>14821</v>
      </c>
      <c r="C4886" s="8" t="s">
        <v>14822</v>
      </c>
      <c r="D4886" s="8" t="s">
        <v>14821</v>
      </c>
      <c r="E4886" s="105">
        <v>0</v>
      </c>
      <c r="F4886" s="106" t="s">
        <v>2018</v>
      </c>
      <c r="G4886" s="8"/>
      <c r="H4886" s="8"/>
      <c r="I4886" s="107">
        <v>0</v>
      </c>
      <c r="J4886" s="8" t="s">
        <v>6357</v>
      </c>
    </row>
    <row r="4887" spans="1:10" ht="16.5" customHeight="1" x14ac:dyDescent="0.25">
      <c r="A4887" s="8" t="s">
        <v>14823</v>
      </c>
      <c r="B4887" s="8" t="s">
        <v>14824</v>
      </c>
      <c r="C4887" s="8" t="s">
        <v>14825</v>
      </c>
      <c r="D4887" s="8" t="s">
        <v>14824</v>
      </c>
      <c r="E4887" s="105">
        <v>0</v>
      </c>
      <c r="F4887" s="106" t="s">
        <v>2018</v>
      </c>
      <c r="G4887" s="8"/>
      <c r="H4887" s="8"/>
      <c r="I4887" s="107">
        <v>0</v>
      </c>
      <c r="J4887" s="8" t="s">
        <v>6357</v>
      </c>
    </row>
    <row r="4888" spans="1:10" ht="16.5" customHeight="1" x14ac:dyDescent="0.25">
      <c r="A4888" s="8" t="s">
        <v>14826</v>
      </c>
      <c r="B4888" s="8" t="s">
        <v>14827</v>
      </c>
      <c r="C4888" s="8" t="s">
        <v>14828</v>
      </c>
      <c r="D4888" s="8" t="s">
        <v>14827</v>
      </c>
      <c r="E4888" s="105">
        <v>0</v>
      </c>
      <c r="F4888" s="106" t="s">
        <v>2018</v>
      </c>
      <c r="G4888" s="8"/>
      <c r="H4888" s="8"/>
      <c r="I4888" s="107">
        <v>0</v>
      </c>
      <c r="J4888" s="8" t="s">
        <v>3580</v>
      </c>
    </row>
    <row r="4889" spans="1:10" ht="16.5" customHeight="1" x14ac:dyDescent="0.25">
      <c r="A4889" s="8" t="s">
        <v>14829</v>
      </c>
      <c r="B4889" s="8" t="s">
        <v>14830</v>
      </c>
      <c r="C4889" s="8" t="s">
        <v>14831</v>
      </c>
      <c r="D4889" s="8" t="s">
        <v>14830</v>
      </c>
      <c r="E4889" s="105">
        <v>1</v>
      </c>
      <c r="F4889" s="106" t="s">
        <v>2018</v>
      </c>
      <c r="G4889" s="8"/>
      <c r="H4889" s="8"/>
      <c r="I4889" s="107">
        <v>0</v>
      </c>
      <c r="J4889" s="8" t="s">
        <v>10979</v>
      </c>
    </row>
    <row r="4890" spans="1:10" ht="16.5" customHeight="1" x14ac:dyDescent="0.25">
      <c r="A4890" s="8" t="s">
        <v>14832</v>
      </c>
      <c r="B4890" s="8" t="s">
        <v>14833</v>
      </c>
      <c r="C4890" s="8" t="s">
        <v>14834</v>
      </c>
      <c r="D4890" s="8" t="s">
        <v>14833</v>
      </c>
      <c r="E4890" s="105">
        <v>25</v>
      </c>
      <c r="F4890" s="106" t="s">
        <v>2018</v>
      </c>
      <c r="G4890" s="8"/>
      <c r="H4890" s="8"/>
      <c r="I4890" s="107">
        <v>0</v>
      </c>
      <c r="J4890" s="8" t="s">
        <v>3580</v>
      </c>
    </row>
    <row r="4891" spans="1:10" ht="16.5" customHeight="1" x14ac:dyDescent="0.25">
      <c r="A4891" s="8" t="s">
        <v>14835</v>
      </c>
      <c r="B4891" s="8" t="s">
        <v>14836</v>
      </c>
      <c r="C4891" s="8" t="s">
        <v>1675</v>
      </c>
      <c r="D4891" s="8" t="s">
        <v>14836</v>
      </c>
      <c r="E4891" s="105">
        <v>12</v>
      </c>
      <c r="F4891" s="106" t="s">
        <v>2024</v>
      </c>
      <c r="G4891" s="8" t="s">
        <v>1541</v>
      </c>
      <c r="H4891" s="8" t="s">
        <v>14837</v>
      </c>
      <c r="I4891" s="107">
        <v>12</v>
      </c>
      <c r="J4891" s="8" t="s">
        <v>5929</v>
      </c>
    </row>
    <row r="4892" spans="1:10" ht="16.5" customHeight="1" x14ac:dyDescent="0.25">
      <c r="A4892" s="8" t="s">
        <v>14837</v>
      </c>
      <c r="B4892" s="8" t="s">
        <v>14838</v>
      </c>
      <c r="C4892" s="8" t="s">
        <v>14839</v>
      </c>
      <c r="D4892" s="8" t="s">
        <v>14838</v>
      </c>
      <c r="E4892" s="105">
        <v>1</v>
      </c>
      <c r="F4892" s="106" t="s">
        <v>2024</v>
      </c>
      <c r="G4892" s="8" t="s">
        <v>1541</v>
      </c>
      <c r="H4892" s="8"/>
      <c r="I4892" s="107">
        <v>0</v>
      </c>
      <c r="J4892" s="8" t="s">
        <v>5929</v>
      </c>
    </row>
    <row r="4893" spans="1:10" ht="16.5" customHeight="1" x14ac:dyDescent="0.25">
      <c r="A4893" s="8" t="s">
        <v>14840</v>
      </c>
      <c r="B4893" s="8" t="s">
        <v>14841</v>
      </c>
      <c r="C4893" s="8" t="s">
        <v>1663</v>
      </c>
      <c r="D4893" s="8" t="s">
        <v>14841</v>
      </c>
      <c r="E4893" s="105">
        <v>12</v>
      </c>
      <c r="F4893" s="106" t="s">
        <v>2024</v>
      </c>
      <c r="G4893" s="8" t="s">
        <v>1541</v>
      </c>
      <c r="H4893" s="8" t="s">
        <v>14842</v>
      </c>
      <c r="I4893" s="107">
        <v>30</v>
      </c>
      <c r="J4893" s="8" t="s">
        <v>5929</v>
      </c>
    </row>
    <row r="4894" spans="1:10" ht="16.5" customHeight="1" x14ac:dyDescent="0.25">
      <c r="A4894" s="8" t="s">
        <v>14842</v>
      </c>
      <c r="B4894" s="8" t="s">
        <v>14843</v>
      </c>
      <c r="C4894" s="8" t="s">
        <v>14844</v>
      </c>
      <c r="D4894" s="8" t="s">
        <v>14843</v>
      </c>
      <c r="E4894" s="105">
        <v>0.4</v>
      </c>
      <c r="F4894" s="106" t="s">
        <v>2024</v>
      </c>
      <c r="G4894" s="8" t="s">
        <v>1541</v>
      </c>
      <c r="H4894" s="8"/>
      <c r="I4894" s="107">
        <v>0</v>
      </c>
      <c r="J4894" s="8" t="s">
        <v>5929</v>
      </c>
    </row>
    <row r="4895" spans="1:10" ht="16.5" customHeight="1" x14ac:dyDescent="0.25">
      <c r="A4895" s="8" t="s">
        <v>14845</v>
      </c>
      <c r="B4895" s="8" t="s">
        <v>14846</v>
      </c>
      <c r="C4895" s="8" t="s">
        <v>14847</v>
      </c>
      <c r="D4895" s="8" t="s">
        <v>14846</v>
      </c>
      <c r="E4895" s="105">
        <v>18</v>
      </c>
      <c r="F4895" s="106" t="s">
        <v>2018</v>
      </c>
      <c r="G4895" s="8"/>
      <c r="H4895" s="8"/>
      <c r="I4895" s="107">
        <v>0</v>
      </c>
      <c r="J4895" s="8" t="s">
        <v>2019</v>
      </c>
    </row>
    <row r="4896" spans="1:10" ht="16.5" customHeight="1" x14ac:dyDescent="0.25">
      <c r="A4896" s="8" t="s">
        <v>1478</v>
      </c>
      <c r="B4896" s="8" t="s">
        <v>1480</v>
      </c>
      <c r="C4896" s="8" t="s">
        <v>1479</v>
      </c>
      <c r="D4896" s="8" t="s">
        <v>1480</v>
      </c>
      <c r="E4896" s="105">
        <v>12</v>
      </c>
      <c r="F4896" s="106" t="s">
        <v>2018</v>
      </c>
      <c r="G4896" s="8" t="s">
        <v>1417</v>
      </c>
      <c r="H4896" s="8" t="s">
        <v>14848</v>
      </c>
      <c r="I4896" s="107">
        <v>24</v>
      </c>
      <c r="J4896" s="8" t="s">
        <v>5671</v>
      </c>
    </row>
    <row r="4897" spans="1:10" ht="16.5" customHeight="1" x14ac:dyDescent="0.25">
      <c r="A4897" s="8" t="s">
        <v>14848</v>
      </c>
      <c r="B4897" s="8" t="s">
        <v>14849</v>
      </c>
      <c r="C4897" s="8" t="s">
        <v>13858</v>
      </c>
      <c r="D4897" s="8" t="s">
        <v>14849</v>
      </c>
      <c r="E4897" s="105">
        <v>0.5</v>
      </c>
      <c r="F4897" s="106" t="s">
        <v>2018</v>
      </c>
      <c r="G4897" s="8" t="s">
        <v>1417</v>
      </c>
      <c r="H4897" s="8"/>
      <c r="I4897" s="107">
        <v>0</v>
      </c>
      <c r="J4897" s="8" t="s">
        <v>5671</v>
      </c>
    </row>
    <row r="4898" spans="1:10" ht="16.5" customHeight="1" x14ac:dyDescent="0.25">
      <c r="A4898" s="8" t="s">
        <v>14850</v>
      </c>
      <c r="B4898" s="8" t="s">
        <v>14851</v>
      </c>
      <c r="C4898" s="8" t="s">
        <v>14852</v>
      </c>
      <c r="D4898" s="8" t="s">
        <v>14851</v>
      </c>
      <c r="E4898" s="105">
        <v>1</v>
      </c>
      <c r="F4898" s="106" t="s">
        <v>2024</v>
      </c>
      <c r="G4898" s="8"/>
      <c r="H4898" s="8"/>
      <c r="I4898" s="107">
        <v>0</v>
      </c>
      <c r="J4898" s="8" t="s">
        <v>8088</v>
      </c>
    </row>
    <row r="4899" spans="1:10" ht="16.5" customHeight="1" x14ac:dyDescent="0.25">
      <c r="A4899" s="8" t="s">
        <v>1792</v>
      </c>
      <c r="B4899" s="8" t="s">
        <v>1794</v>
      </c>
      <c r="C4899" s="8" t="s">
        <v>1793</v>
      </c>
      <c r="D4899" s="8" t="s">
        <v>1794</v>
      </c>
      <c r="E4899" s="105">
        <v>10</v>
      </c>
      <c r="F4899" s="106" t="s">
        <v>2018</v>
      </c>
      <c r="G4899" s="8"/>
      <c r="H4899" s="8" t="s">
        <v>14853</v>
      </c>
      <c r="I4899" s="107">
        <v>10</v>
      </c>
      <c r="J4899" s="8" t="s">
        <v>7329</v>
      </c>
    </row>
    <row r="4900" spans="1:10" ht="16.5" customHeight="1" x14ac:dyDescent="0.25">
      <c r="A4900" s="8" t="s">
        <v>14854</v>
      </c>
      <c r="B4900" s="8" t="s">
        <v>14855</v>
      </c>
      <c r="C4900" s="8" t="s">
        <v>14856</v>
      </c>
      <c r="D4900" s="8" t="s">
        <v>14855</v>
      </c>
      <c r="E4900" s="105">
        <v>20</v>
      </c>
      <c r="F4900" s="106" t="s">
        <v>2018</v>
      </c>
      <c r="G4900" s="8"/>
      <c r="H4900" s="8"/>
      <c r="I4900" s="107">
        <v>0</v>
      </c>
      <c r="J4900" s="8" t="s">
        <v>7329</v>
      </c>
    </row>
    <row r="4901" spans="1:10" ht="16.5" customHeight="1" x14ac:dyDescent="0.25">
      <c r="A4901" s="8" t="s">
        <v>14857</v>
      </c>
      <c r="B4901" s="8" t="s">
        <v>14858</v>
      </c>
      <c r="C4901" s="8" t="s">
        <v>14859</v>
      </c>
      <c r="D4901" s="8" t="s">
        <v>14858</v>
      </c>
      <c r="E4901" s="105">
        <v>10</v>
      </c>
      <c r="F4901" s="106" t="s">
        <v>2018</v>
      </c>
      <c r="G4901" s="8"/>
      <c r="H4901" s="8" t="s">
        <v>14860</v>
      </c>
      <c r="I4901" s="107">
        <v>10</v>
      </c>
      <c r="J4901" s="8" t="s">
        <v>7329</v>
      </c>
    </row>
    <row r="4902" spans="1:10" ht="16.5" customHeight="1" x14ac:dyDescent="0.25">
      <c r="A4902" s="8" t="s">
        <v>14861</v>
      </c>
      <c r="B4902" s="8" t="s">
        <v>14862</v>
      </c>
      <c r="C4902" s="8" t="s">
        <v>14863</v>
      </c>
      <c r="D4902" s="8" t="s">
        <v>14862</v>
      </c>
      <c r="E4902" s="105">
        <v>0.91</v>
      </c>
      <c r="F4902" s="106" t="s">
        <v>2018</v>
      </c>
      <c r="G4902" s="8"/>
      <c r="H4902" s="8"/>
      <c r="I4902" s="107">
        <v>0</v>
      </c>
      <c r="J4902" s="8" t="s">
        <v>4722</v>
      </c>
    </row>
    <row r="4903" spans="1:10" ht="16.5" customHeight="1" x14ac:dyDescent="0.25">
      <c r="A4903" s="8" t="s">
        <v>14864</v>
      </c>
      <c r="B4903" s="8" t="s">
        <v>14865</v>
      </c>
      <c r="C4903" s="8" t="s">
        <v>4074</v>
      </c>
      <c r="D4903" s="8" t="s">
        <v>14865</v>
      </c>
      <c r="E4903" s="105">
        <v>900</v>
      </c>
      <c r="F4903" s="106" t="s">
        <v>2018</v>
      </c>
      <c r="G4903" s="8"/>
      <c r="H4903" s="8"/>
      <c r="I4903" s="107">
        <v>0</v>
      </c>
      <c r="J4903" s="8" t="s">
        <v>3695</v>
      </c>
    </row>
    <row r="4904" spans="1:10" ht="16.5" customHeight="1" x14ac:dyDescent="0.25">
      <c r="A4904" s="8" t="s">
        <v>14866</v>
      </c>
      <c r="B4904" s="8" t="s">
        <v>14867</v>
      </c>
      <c r="C4904" s="8" t="s">
        <v>14868</v>
      </c>
      <c r="D4904" s="8" t="s">
        <v>14867</v>
      </c>
      <c r="E4904" s="105">
        <v>25</v>
      </c>
      <c r="F4904" s="106" t="s">
        <v>2018</v>
      </c>
      <c r="G4904" s="8"/>
      <c r="H4904" s="8"/>
      <c r="I4904" s="107">
        <v>0</v>
      </c>
      <c r="J4904" s="8" t="s">
        <v>3695</v>
      </c>
    </row>
    <row r="4905" spans="1:10" ht="16.5" customHeight="1" x14ac:dyDescent="0.25">
      <c r="A4905" s="8" t="s">
        <v>14869</v>
      </c>
      <c r="B4905" s="8" t="s">
        <v>14870</v>
      </c>
      <c r="C4905" s="8" t="s">
        <v>14871</v>
      </c>
      <c r="D4905" s="8" t="s">
        <v>14870</v>
      </c>
      <c r="E4905" s="105">
        <v>3.5000000000000003E-2</v>
      </c>
      <c r="F4905" s="106" t="s">
        <v>2024</v>
      </c>
      <c r="G4905" s="8"/>
      <c r="H4905" s="8"/>
      <c r="I4905" s="107">
        <v>0</v>
      </c>
      <c r="J4905" s="8" t="s">
        <v>4789</v>
      </c>
    </row>
    <row r="4906" spans="1:10" ht="16.5" customHeight="1" x14ac:dyDescent="0.25">
      <c r="A4906" s="8" t="s">
        <v>1833</v>
      </c>
      <c r="B4906" s="8" t="s">
        <v>1835</v>
      </c>
      <c r="C4906" s="8" t="s">
        <v>1834</v>
      </c>
      <c r="D4906" s="8" t="s">
        <v>1835</v>
      </c>
      <c r="E4906" s="105">
        <v>3.12</v>
      </c>
      <c r="F4906" s="106" t="s">
        <v>2018</v>
      </c>
      <c r="G4906" s="8"/>
      <c r="H4906" s="8" t="s">
        <v>14872</v>
      </c>
      <c r="I4906" s="107">
        <v>48</v>
      </c>
      <c r="J4906" s="8" t="s">
        <v>4789</v>
      </c>
    </row>
    <row r="4907" spans="1:10" ht="16.5" customHeight="1" x14ac:dyDescent="0.25">
      <c r="A4907" s="8" t="s">
        <v>14872</v>
      </c>
      <c r="B4907" s="8" t="s">
        <v>14873</v>
      </c>
      <c r="C4907" s="8" t="s">
        <v>14874</v>
      </c>
      <c r="D4907" s="8" t="s">
        <v>14873</v>
      </c>
      <c r="E4907" s="105">
        <v>6.5000000000000002E-2</v>
      </c>
      <c r="F4907" s="106" t="s">
        <v>2018</v>
      </c>
      <c r="G4907" s="8"/>
      <c r="H4907" s="8"/>
      <c r="I4907" s="107">
        <v>0</v>
      </c>
      <c r="J4907" s="8" t="s">
        <v>4789</v>
      </c>
    </row>
    <row r="4908" spans="1:10" ht="16.5" customHeight="1" x14ac:dyDescent="0.25">
      <c r="A4908" s="8" t="s">
        <v>14875</v>
      </c>
      <c r="B4908" s="8" t="s">
        <v>14876</v>
      </c>
      <c r="C4908" s="8" t="s">
        <v>14877</v>
      </c>
      <c r="D4908" s="8" t="s">
        <v>14876</v>
      </c>
      <c r="E4908" s="105">
        <v>4.8</v>
      </c>
      <c r="F4908" s="106" t="s">
        <v>2018</v>
      </c>
      <c r="G4908" s="8"/>
      <c r="H4908" s="8" t="s">
        <v>14878</v>
      </c>
      <c r="I4908" s="107">
        <v>24</v>
      </c>
      <c r="J4908" s="8" t="s">
        <v>4789</v>
      </c>
    </row>
    <row r="4909" spans="1:10" ht="16.5" customHeight="1" x14ac:dyDescent="0.25">
      <c r="A4909" s="8" t="s">
        <v>14878</v>
      </c>
      <c r="B4909" s="8" t="s">
        <v>14879</v>
      </c>
      <c r="C4909" s="8" t="s">
        <v>14880</v>
      </c>
      <c r="D4909" s="8" t="s">
        <v>14879</v>
      </c>
      <c r="E4909" s="105">
        <v>0.2</v>
      </c>
      <c r="F4909" s="106" t="s">
        <v>2018</v>
      </c>
      <c r="G4909" s="8"/>
      <c r="H4909" s="8"/>
      <c r="I4909" s="107">
        <v>0</v>
      </c>
      <c r="J4909" s="8" t="s">
        <v>4789</v>
      </c>
    </row>
    <row r="4910" spans="1:10" ht="16.5" customHeight="1" x14ac:dyDescent="0.25">
      <c r="A4910" s="8" t="s">
        <v>14881</v>
      </c>
      <c r="B4910" s="8" t="s">
        <v>1111</v>
      </c>
      <c r="C4910" s="8" t="s">
        <v>1110</v>
      </c>
      <c r="D4910" s="8" t="s">
        <v>1111</v>
      </c>
      <c r="E4910" s="105">
        <v>13.6</v>
      </c>
      <c r="F4910" s="106" t="s">
        <v>2018</v>
      </c>
      <c r="G4910" s="8"/>
      <c r="H4910" s="8"/>
      <c r="I4910" s="107">
        <v>0</v>
      </c>
      <c r="J4910" s="8" t="s">
        <v>10697</v>
      </c>
    </row>
    <row r="4911" spans="1:10" ht="16.5" customHeight="1" x14ac:dyDescent="0.25">
      <c r="A4911" s="8" t="s">
        <v>14882</v>
      </c>
      <c r="B4911" s="8" t="s">
        <v>14883</v>
      </c>
      <c r="C4911" s="8" t="s">
        <v>14884</v>
      </c>
      <c r="D4911" s="8" t="s">
        <v>14883</v>
      </c>
      <c r="E4911" s="105">
        <v>12</v>
      </c>
      <c r="F4911" s="106" t="s">
        <v>2024</v>
      </c>
      <c r="G4911" s="8"/>
      <c r="H4911" s="8"/>
      <c r="I4911" s="107">
        <v>0</v>
      </c>
      <c r="J4911" s="8" t="s">
        <v>5929</v>
      </c>
    </row>
    <row r="4912" spans="1:10" ht="16.5" customHeight="1" x14ac:dyDescent="0.25">
      <c r="A4912" s="8" t="s">
        <v>14885</v>
      </c>
      <c r="B4912" s="8" t="s">
        <v>14886</v>
      </c>
      <c r="C4912" s="8" t="s">
        <v>14887</v>
      </c>
      <c r="D4912" s="8" t="s">
        <v>14888</v>
      </c>
      <c r="E4912" s="105">
        <v>0</v>
      </c>
      <c r="F4912" s="106" t="s">
        <v>2018</v>
      </c>
      <c r="G4912" s="8"/>
      <c r="H4912" s="8"/>
      <c r="I4912" s="107">
        <v>0</v>
      </c>
      <c r="J4912" s="8" t="s">
        <v>3580</v>
      </c>
    </row>
    <row r="4913" spans="1:10" ht="16.5" customHeight="1" x14ac:dyDescent="0.25">
      <c r="A4913" s="8" t="s">
        <v>1727</v>
      </c>
      <c r="B4913" s="8" t="s">
        <v>1729</v>
      </c>
      <c r="C4913" s="8" t="s">
        <v>1728</v>
      </c>
      <c r="D4913" s="8" t="s">
        <v>1729</v>
      </c>
      <c r="E4913" s="105">
        <v>10</v>
      </c>
      <c r="F4913" s="106" t="s">
        <v>2018</v>
      </c>
      <c r="G4913" s="8"/>
      <c r="H4913" s="8"/>
      <c r="I4913" s="107">
        <v>0</v>
      </c>
      <c r="J4913" s="8" t="s">
        <v>3580</v>
      </c>
    </row>
    <row r="4914" spans="1:10" ht="16.5" customHeight="1" x14ac:dyDescent="0.25">
      <c r="A4914" s="8" t="s">
        <v>14889</v>
      </c>
      <c r="B4914" s="8" t="s">
        <v>14890</v>
      </c>
      <c r="C4914" s="8" t="s">
        <v>14891</v>
      </c>
      <c r="D4914" s="8" t="s">
        <v>14890</v>
      </c>
      <c r="E4914" s="105">
        <v>0.5</v>
      </c>
      <c r="F4914" s="106" t="s">
        <v>2018</v>
      </c>
      <c r="G4914" s="8"/>
      <c r="H4914" s="8"/>
      <c r="I4914" s="107">
        <v>0</v>
      </c>
      <c r="J4914" s="8" t="s">
        <v>3580</v>
      </c>
    </row>
    <row r="4915" spans="1:10" ht="16.5" customHeight="1" x14ac:dyDescent="0.25">
      <c r="A4915" s="8" t="s">
        <v>14892</v>
      </c>
      <c r="B4915" s="8" t="s">
        <v>14893</v>
      </c>
      <c r="C4915" s="8" t="s">
        <v>14894</v>
      </c>
      <c r="D4915" s="8" t="s">
        <v>14893</v>
      </c>
      <c r="E4915" s="105">
        <v>0.27</v>
      </c>
      <c r="F4915" s="106" t="s">
        <v>2024</v>
      </c>
      <c r="G4915" s="8"/>
      <c r="H4915" s="8"/>
      <c r="I4915" s="107">
        <v>0</v>
      </c>
      <c r="J4915" s="8" t="s">
        <v>4789</v>
      </c>
    </row>
    <row r="4916" spans="1:10" ht="16.5" customHeight="1" x14ac:dyDescent="0.25">
      <c r="A4916" s="8" t="s">
        <v>14895</v>
      </c>
      <c r="B4916" s="8" t="s">
        <v>14896</v>
      </c>
      <c r="C4916" s="8" t="s">
        <v>14897</v>
      </c>
      <c r="D4916" s="8" t="s">
        <v>14896</v>
      </c>
      <c r="E4916" s="105">
        <v>0</v>
      </c>
      <c r="F4916" s="106" t="s">
        <v>2018</v>
      </c>
      <c r="G4916" s="8"/>
      <c r="H4916" s="8"/>
      <c r="I4916" s="107">
        <v>0</v>
      </c>
      <c r="J4916" s="8" t="s">
        <v>6357</v>
      </c>
    </row>
    <row r="4917" spans="1:10" ht="16.5" customHeight="1" x14ac:dyDescent="0.25">
      <c r="A4917" s="8" t="s">
        <v>14898</v>
      </c>
      <c r="B4917" s="8" t="s">
        <v>14899</v>
      </c>
      <c r="C4917" s="8" t="s">
        <v>14900</v>
      </c>
      <c r="D4917" s="8" t="s">
        <v>14899</v>
      </c>
      <c r="E4917" s="105">
        <v>500</v>
      </c>
      <c r="F4917" s="106" t="s">
        <v>2018</v>
      </c>
      <c r="G4917" s="8"/>
      <c r="H4917" s="8"/>
      <c r="I4917" s="107">
        <v>0</v>
      </c>
      <c r="J4917" s="8" t="s">
        <v>3695</v>
      </c>
    </row>
    <row r="4918" spans="1:10" ht="16.5" customHeight="1" x14ac:dyDescent="0.25">
      <c r="A4918" s="8" t="s">
        <v>14901</v>
      </c>
      <c r="B4918" s="8" t="s">
        <v>14902</v>
      </c>
      <c r="C4918" s="8" t="s">
        <v>14903</v>
      </c>
      <c r="D4918" s="8" t="s">
        <v>14902</v>
      </c>
      <c r="E4918" s="105">
        <v>3</v>
      </c>
      <c r="F4918" s="106" t="s">
        <v>2018</v>
      </c>
      <c r="G4918" s="8"/>
      <c r="H4918" s="8"/>
      <c r="I4918" s="107">
        <v>0</v>
      </c>
      <c r="J4918" s="8" t="s">
        <v>10697</v>
      </c>
    </row>
    <row r="4919" spans="1:10" ht="16.5" customHeight="1" x14ac:dyDescent="0.25">
      <c r="A4919" s="8" t="s">
        <v>14904</v>
      </c>
      <c r="B4919" s="8" t="s">
        <v>14905</v>
      </c>
      <c r="C4919" s="8" t="s">
        <v>14906</v>
      </c>
      <c r="D4919" s="8" t="s">
        <v>14905</v>
      </c>
      <c r="E4919" s="105">
        <v>18</v>
      </c>
      <c r="F4919" s="106" t="s">
        <v>2018</v>
      </c>
      <c r="G4919" s="8"/>
      <c r="H4919" s="8"/>
      <c r="I4919" s="107">
        <v>0</v>
      </c>
      <c r="J4919" s="8" t="s">
        <v>10697</v>
      </c>
    </row>
    <row r="4920" spans="1:10" ht="16.5" customHeight="1" x14ac:dyDescent="0.25">
      <c r="A4920" s="8" t="s">
        <v>1356</v>
      </c>
      <c r="B4920" s="8" t="s">
        <v>1358</v>
      </c>
      <c r="C4920" s="8" t="s">
        <v>1357</v>
      </c>
      <c r="D4920" s="8" t="s">
        <v>14907</v>
      </c>
      <c r="E4920" s="105">
        <v>0</v>
      </c>
      <c r="F4920" s="106" t="s">
        <v>2018</v>
      </c>
      <c r="G4920" s="8"/>
      <c r="H4920" s="8"/>
      <c r="I4920" s="107">
        <v>0</v>
      </c>
      <c r="J4920" s="8" t="s">
        <v>3580</v>
      </c>
    </row>
    <row r="4921" spans="1:10" ht="16.5" customHeight="1" x14ac:dyDescent="0.25">
      <c r="A4921" s="8" t="s">
        <v>14908</v>
      </c>
      <c r="B4921" s="8" t="s">
        <v>14909</v>
      </c>
      <c r="C4921" s="8" t="s">
        <v>14910</v>
      </c>
      <c r="D4921" s="8" t="s">
        <v>14909</v>
      </c>
      <c r="E4921" s="105">
        <v>40</v>
      </c>
      <c r="F4921" s="106" t="s">
        <v>2018</v>
      </c>
      <c r="G4921" s="8"/>
      <c r="H4921" s="8"/>
      <c r="I4921" s="107">
        <v>0</v>
      </c>
      <c r="J4921" s="8" t="s">
        <v>3580</v>
      </c>
    </row>
    <row r="4922" spans="1:10" ht="16.5" customHeight="1" x14ac:dyDescent="0.25">
      <c r="A4922" s="8" t="s">
        <v>14911</v>
      </c>
      <c r="B4922" s="8" t="s">
        <v>14912</v>
      </c>
      <c r="C4922" s="8" t="s">
        <v>14913</v>
      </c>
      <c r="D4922" s="8" t="s">
        <v>14912</v>
      </c>
      <c r="E4922" s="105">
        <v>25</v>
      </c>
      <c r="F4922" s="106" t="s">
        <v>2018</v>
      </c>
      <c r="G4922" s="8"/>
      <c r="H4922" s="8"/>
      <c r="I4922" s="107">
        <v>0</v>
      </c>
      <c r="J4922" s="8" t="s">
        <v>14616</v>
      </c>
    </row>
    <row r="4923" spans="1:10" ht="16.5" customHeight="1" x14ac:dyDescent="0.25">
      <c r="A4923" s="8" t="s">
        <v>14914</v>
      </c>
      <c r="B4923" s="8" t="s">
        <v>14915</v>
      </c>
      <c r="C4923" s="8" t="s">
        <v>14916</v>
      </c>
      <c r="D4923" s="8" t="s">
        <v>14915</v>
      </c>
      <c r="E4923" s="105">
        <v>1</v>
      </c>
      <c r="F4923" s="106" t="s">
        <v>2024</v>
      </c>
      <c r="G4923" s="8"/>
      <c r="H4923" s="8"/>
      <c r="I4923" s="107">
        <v>0</v>
      </c>
      <c r="J4923" s="8" t="s">
        <v>14616</v>
      </c>
    </row>
    <row r="4924" spans="1:10" ht="16.5" customHeight="1" x14ac:dyDescent="0.25">
      <c r="A4924" s="8" t="s">
        <v>14917</v>
      </c>
      <c r="B4924" s="8" t="s">
        <v>14918</v>
      </c>
      <c r="C4924" s="8" t="s">
        <v>14919</v>
      </c>
      <c r="D4924" s="8" t="s">
        <v>14918</v>
      </c>
      <c r="E4924" s="105">
        <v>0</v>
      </c>
      <c r="F4924" s="106" t="s">
        <v>2018</v>
      </c>
      <c r="G4924" s="8"/>
      <c r="H4924" s="8"/>
      <c r="I4924" s="107">
        <v>0</v>
      </c>
      <c r="J4924" s="8" t="s">
        <v>3695</v>
      </c>
    </row>
    <row r="4925" spans="1:10" ht="16.5" customHeight="1" x14ac:dyDescent="0.25">
      <c r="A4925" s="8" t="s">
        <v>14920</v>
      </c>
      <c r="B4925" s="8" t="s">
        <v>14921</v>
      </c>
      <c r="C4925" s="8" t="s">
        <v>14922</v>
      </c>
      <c r="D4925" s="8" t="s">
        <v>14921</v>
      </c>
      <c r="E4925" s="105">
        <v>0</v>
      </c>
      <c r="F4925" s="106" t="s">
        <v>2018</v>
      </c>
      <c r="G4925" s="8"/>
      <c r="H4925" s="8"/>
      <c r="I4925" s="107">
        <v>0</v>
      </c>
      <c r="J4925" s="8" t="s">
        <v>3695</v>
      </c>
    </row>
    <row r="4926" spans="1:10" ht="16.5" customHeight="1" x14ac:dyDescent="0.25">
      <c r="A4926" s="8" t="s">
        <v>14923</v>
      </c>
      <c r="B4926" s="8" t="s">
        <v>1441</v>
      </c>
      <c r="C4926" s="8" t="s">
        <v>1440</v>
      </c>
      <c r="D4926" s="8" t="s">
        <v>1441</v>
      </c>
      <c r="E4926" s="105">
        <v>4.8</v>
      </c>
      <c r="F4926" s="106" t="s">
        <v>2018</v>
      </c>
      <c r="G4926" s="8"/>
      <c r="H4926" s="8"/>
      <c r="I4926" s="107">
        <v>0</v>
      </c>
      <c r="J4926" s="8" t="s">
        <v>5779</v>
      </c>
    </row>
    <row r="4927" spans="1:10" ht="16.5" customHeight="1" x14ac:dyDescent="0.25">
      <c r="A4927" s="8" t="s">
        <v>14924</v>
      </c>
      <c r="B4927" s="8" t="s">
        <v>13874</v>
      </c>
      <c r="C4927" s="8" t="s">
        <v>6537</v>
      </c>
      <c r="D4927" s="8" t="s">
        <v>13874</v>
      </c>
      <c r="E4927" s="105">
        <v>0.4</v>
      </c>
      <c r="F4927" s="106" t="s">
        <v>2018</v>
      </c>
      <c r="G4927" s="8"/>
      <c r="H4927" s="8"/>
      <c r="I4927" s="107">
        <v>0</v>
      </c>
      <c r="J4927" s="8" t="s">
        <v>5779</v>
      </c>
    </row>
    <row r="4928" spans="1:10" ht="16.5" customHeight="1" x14ac:dyDescent="0.25">
      <c r="A4928" s="8" t="s">
        <v>14925</v>
      </c>
      <c r="B4928" s="8" t="s">
        <v>14926</v>
      </c>
      <c r="C4928" s="8" t="s">
        <v>14927</v>
      </c>
      <c r="D4928" s="8" t="s">
        <v>14926</v>
      </c>
      <c r="E4928" s="105">
        <v>25</v>
      </c>
      <c r="F4928" s="106" t="s">
        <v>2018</v>
      </c>
      <c r="G4928" s="8"/>
      <c r="H4928" s="8"/>
      <c r="I4928" s="107">
        <v>0</v>
      </c>
      <c r="J4928" s="8" t="s">
        <v>3580</v>
      </c>
    </row>
    <row r="4929" spans="1:10" ht="16.5" customHeight="1" x14ac:dyDescent="0.25">
      <c r="A4929" s="8" t="s">
        <v>14928</v>
      </c>
      <c r="B4929" s="8" t="s">
        <v>14929</v>
      </c>
      <c r="C4929" s="8" t="s">
        <v>14930</v>
      </c>
      <c r="D4929" s="8" t="s">
        <v>14929</v>
      </c>
      <c r="E4929" s="105">
        <v>25</v>
      </c>
      <c r="F4929" s="106" t="s">
        <v>2018</v>
      </c>
      <c r="G4929" s="8"/>
      <c r="H4929" s="8"/>
      <c r="I4929" s="107">
        <v>0</v>
      </c>
      <c r="J4929" s="8" t="s">
        <v>3580</v>
      </c>
    </row>
    <row r="4930" spans="1:10" ht="16.5" customHeight="1" x14ac:dyDescent="0.25">
      <c r="A4930" s="8" t="s">
        <v>14931</v>
      </c>
      <c r="B4930" s="8" t="s">
        <v>14932</v>
      </c>
      <c r="C4930" s="8" t="s">
        <v>14933</v>
      </c>
      <c r="D4930" s="8" t="s">
        <v>14932</v>
      </c>
      <c r="E4930" s="105">
        <v>25</v>
      </c>
      <c r="F4930" s="106" t="s">
        <v>2018</v>
      </c>
      <c r="G4930" s="8"/>
      <c r="H4930" s="8"/>
      <c r="I4930" s="107">
        <v>0</v>
      </c>
      <c r="J4930" s="8" t="s">
        <v>3580</v>
      </c>
    </row>
    <row r="4931" spans="1:10" ht="16.5" customHeight="1" x14ac:dyDescent="0.25">
      <c r="A4931" s="8" t="s">
        <v>14934</v>
      </c>
      <c r="B4931" s="8" t="s">
        <v>14935</v>
      </c>
      <c r="C4931" s="8" t="s">
        <v>14936</v>
      </c>
      <c r="D4931" s="8" t="s">
        <v>14937</v>
      </c>
      <c r="E4931" s="105">
        <v>0</v>
      </c>
      <c r="F4931" s="106" t="s">
        <v>2018</v>
      </c>
      <c r="G4931" s="8"/>
      <c r="H4931" s="8"/>
      <c r="I4931" s="107">
        <v>0</v>
      </c>
      <c r="J4931" s="8" t="s">
        <v>3580</v>
      </c>
    </row>
    <row r="4932" spans="1:10" ht="16.5" customHeight="1" x14ac:dyDescent="0.25">
      <c r="A4932" s="8" t="s">
        <v>14938</v>
      </c>
      <c r="B4932" s="8" t="s">
        <v>14939</v>
      </c>
      <c r="C4932" s="8" t="s">
        <v>5817</v>
      </c>
      <c r="D4932" s="8" t="s">
        <v>14940</v>
      </c>
      <c r="E4932" s="105">
        <v>0</v>
      </c>
      <c r="F4932" s="106" t="s">
        <v>2018</v>
      </c>
      <c r="G4932" s="8"/>
      <c r="H4932" s="8"/>
      <c r="I4932" s="107">
        <v>0</v>
      </c>
      <c r="J4932" s="8" t="s">
        <v>4722</v>
      </c>
    </row>
    <row r="4933" spans="1:10" ht="16.5" customHeight="1" x14ac:dyDescent="0.25">
      <c r="A4933" s="8" t="s">
        <v>14941</v>
      </c>
      <c r="B4933" s="8" t="s">
        <v>14120</v>
      </c>
      <c r="C4933" s="8" t="s">
        <v>14121</v>
      </c>
      <c r="D4933" s="8" t="s">
        <v>14120</v>
      </c>
      <c r="E4933" s="105">
        <v>3.2</v>
      </c>
      <c r="F4933" s="106" t="s">
        <v>2018</v>
      </c>
      <c r="G4933" s="8"/>
      <c r="H4933" s="8"/>
      <c r="I4933" s="107">
        <v>0</v>
      </c>
      <c r="J4933" s="8" t="s">
        <v>10697</v>
      </c>
    </row>
    <row r="4934" spans="1:10" ht="16.5" customHeight="1" x14ac:dyDescent="0.25">
      <c r="A4934" s="8" t="s">
        <v>14942</v>
      </c>
      <c r="B4934" s="8" t="s">
        <v>14943</v>
      </c>
      <c r="C4934" s="8" t="s">
        <v>14944</v>
      </c>
      <c r="D4934" s="8" t="s">
        <v>14943</v>
      </c>
      <c r="E4934" s="105">
        <v>40</v>
      </c>
      <c r="F4934" s="106" t="s">
        <v>2018</v>
      </c>
      <c r="G4934" s="8"/>
      <c r="H4934" s="8"/>
      <c r="I4934" s="107">
        <v>0</v>
      </c>
      <c r="J4934" s="8" t="s">
        <v>3580</v>
      </c>
    </row>
    <row r="4935" spans="1:10" ht="16.5" customHeight="1" x14ac:dyDescent="0.25">
      <c r="A4935" s="8" t="s">
        <v>1886</v>
      </c>
      <c r="B4935" s="8" t="s">
        <v>1888</v>
      </c>
      <c r="C4935" s="8" t="s">
        <v>1887</v>
      </c>
      <c r="D4935" s="8" t="s">
        <v>1888</v>
      </c>
      <c r="E4935" s="105">
        <v>5.04</v>
      </c>
      <c r="F4935" s="106" t="s">
        <v>2018</v>
      </c>
      <c r="G4935" s="8"/>
      <c r="H4935" s="8" t="s">
        <v>14945</v>
      </c>
      <c r="I4935" s="107">
        <v>72</v>
      </c>
      <c r="J4935" s="8" t="s">
        <v>8088</v>
      </c>
    </row>
    <row r="4936" spans="1:10" ht="16.5" customHeight="1" x14ac:dyDescent="0.25">
      <c r="A4936" s="8" t="s">
        <v>14945</v>
      </c>
      <c r="B4936" s="8" t="s">
        <v>14946</v>
      </c>
      <c r="C4936" s="8" t="s">
        <v>14947</v>
      </c>
      <c r="D4936" s="8" t="s">
        <v>14946</v>
      </c>
      <c r="E4936" s="105">
        <v>7.0000000000000007E-2</v>
      </c>
      <c r="F4936" s="106" t="s">
        <v>2018</v>
      </c>
      <c r="G4936" s="8"/>
      <c r="H4936" s="8"/>
      <c r="I4936" s="107">
        <v>0</v>
      </c>
      <c r="J4936" s="8" t="s">
        <v>8088</v>
      </c>
    </row>
    <row r="4937" spans="1:10" ht="16.5" customHeight="1" x14ac:dyDescent="0.25">
      <c r="A4937" s="8" t="s">
        <v>1756</v>
      </c>
      <c r="B4937" s="8" t="s">
        <v>1758</v>
      </c>
      <c r="C4937" s="8" t="s">
        <v>1757</v>
      </c>
      <c r="D4937" s="8" t="s">
        <v>1758</v>
      </c>
      <c r="E4937" s="105">
        <v>5.04</v>
      </c>
      <c r="F4937" s="106" t="s">
        <v>2018</v>
      </c>
      <c r="G4937" s="8"/>
      <c r="H4937" s="8" t="s">
        <v>12561</v>
      </c>
      <c r="I4937" s="107">
        <v>72</v>
      </c>
      <c r="J4937" s="8" t="s">
        <v>8088</v>
      </c>
    </row>
    <row r="4938" spans="1:10" ht="16.5" customHeight="1" x14ac:dyDescent="0.25">
      <c r="A4938" s="8" t="s">
        <v>14948</v>
      </c>
      <c r="B4938" s="8" t="s">
        <v>14949</v>
      </c>
      <c r="C4938" s="8" t="s">
        <v>14950</v>
      </c>
      <c r="D4938" s="8" t="s">
        <v>14949</v>
      </c>
      <c r="E4938" s="105">
        <v>0.1</v>
      </c>
      <c r="F4938" s="106" t="s">
        <v>2018</v>
      </c>
      <c r="G4938" s="8"/>
      <c r="H4938" s="8"/>
      <c r="I4938" s="107">
        <v>0</v>
      </c>
      <c r="J4938" s="8" t="s">
        <v>8088</v>
      </c>
    </row>
    <row r="4939" spans="1:10" ht="16.5" customHeight="1" x14ac:dyDescent="0.25">
      <c r="A4939" s="8" t="s">
        <v>14951</v>
      </c>
      <c r="B4939" s="8" t="s">
        <v>14952</v>
      </c>
      <c r="C4939" s="8" t="s">
        <v>14953</v>
      </c>
      <c r="D4939" s="8" t="s">
        <v>14952</v>
      </c>
      <c r="E4939" s="105">
        <v>4.8</v>
      </c>
      <c r="F4939" s="106" t="s">
        <v>2018</v>
      </c>
      <c r="G4939" s="8"/>
      <c r="H4939" s="8" t="s">
        <v>14948</v>
      </c>
      <c r="I4939" s="107">
        <v>48</v>
      </c>
      <c r="J4939" s="8" t="s">
        <v>8088</v>
      </c>
    </row>
    <row r="4940" spans="1:10" ht="16.5" customHeight="1" x14ac:dyDescent="0.25">
      <c r="A4940" s="8" t="s">
        <v>14954</v>
      </c>
      <c r="B4940" s="8" t="s">
        <v>14955</v>
      </c>
      <c r="C4940" s="8" t="s">
        <v>14956</v>
      </c>
      <c r="D4940" s="8" t="s">
        <v>14955</v>
      </c>
      <c r="E4940" s="105">
        <v>3.2</v>
      </c>
      <c r="F4940" s="106" t="s">
        <v>2018</v>
      </c>
      <c r="G4940" s="8"/>
      <c r="H4940" s="8"/>
      <c r="I4940" s="107">
        <v>0</v>
      </c>
      <c r="J4940" s="8" t="s">
        <v>10697</v>
      </c>
    </row>
    <row r="4941" spans="1:10" ht="16.5" customHeight="1" x14ac:dyDescent="0.25">
      <c r="A4941" s="8" t="s">
        <v>1135</v>
      </c>
      <c r="B4941" s="8" t="s">
        <v>1137</v>
      </c>
      <c r="C4941" s="8" t="s">
        <v>1136</v>
      </c>
      <c r="D4941" s="8" t="s">
        <v>1137</v>
      </c>
      <c r="E4941" s="105">
        <v>12.8</v>
      </c>
      <c r="F4941" s="106" t="s">
        <v>2018</v>
      </c>
      <c r="G4941" s="8"/>
      <c r="H4941" s="8" t="s">
        <v>14954</v>
      </c>
      <c r="I4941" s="107">
        <v>4</v>
      </c>
      <c r="J4941" s="8" t="s">
        <v>10697</v>
      </c>
    </row>
    <row r="4942" spans="1:10" ht="16.5" customHeight="1" x14ac:dyDescent="0.25">
      <c r="A4942" s="8" t="s">
        <v>14957</v>
      </c>
      <c r="B4942" s="8" t="s">
        <v>14958</v>
      </c>
      <c r="C4942" s="8" t="s">
        <v>14959</v>
      </c>
      <c r="D4942" s="8" t="s">
        <v>14958</v>
      </c>
      <c r="E4942" s="105">
        <v>2</v>
      </c>
      <c r="F4942" s="106" t="s">
        <v>2018</v>
      </c>
      <c r="G4942" s="8"/>
      <c r="H4942" s="8"/>
      <c r="I4942" s="107">
        <v>0</v>
      </c>
      <c r="J4942" s="8" t="s">
        <v>10697</v>
      </c>
    </row>
    <row r="4943" spans="1:10" ht="16.5" customHeight="1" x14ac:dyDescent="0.25">
      <c r="A4943" s="8" t="s">
        <v>1397</v>
      </c>
      <c r="B4943" s="8" t="s">
        <v>1399</v>
      </c>
      <c r="C4943" s="8" t="s">
        <v>1398</v>
      </c>
      <c r="D4943" s="8" t="s">
        <v>1399</v>
      </c>
      <c r="E4943" s="105">
        <v>12</v>
      </c>
      <c r="F4943" s="106" t="s">
        <v>2018</v>
      </c>
      <c r="G4943" s="8"/>
      <c r="H4943" s="8" t="s">
        <v>14957</v>
      </c>
      <c r="I4943" s="107">
        <v>6</v>
      </c>
      <c r="J4943" s="8" t="s">
        <v>10697</v>
      </c>
    </row>
    <row r="4944" spans="1:10" ht="16.5" customHeight="1" x14ac:dyDescent="0.25">
      <c r="A4944" s="8" t="s">
        <v>14960</v>
      </c>
      <c r="B4944" s="8" t="s">
        <v>14961</v>
      </c>
      <c r="C4944" s="8" t="s">
        <v>14962</v>
      </c>
      <c r="D4944" s="8" t="s">
        <v>14961</v>
      </c>
      <c r="E4944" s="105">
        <v>3</v>
      </c>
      <c r="F4944" s="106" t="s">
        <v>2018</v>
      </c>
      <c r="G4944" s="8"/>
      <c r="H4944" s="8"/>
      <c r="I4944" s="107">
        <v>0</v>
      </c>
      <c r="J4944" s="8" t="s">
        <v>10697</v>
      </c>
    </row>
    <row r="4945" spans="1:10" ht="16.5" customHeight="1" x14ac:dyDescent="0.25">
      <c r="A4945" s="8" t="s">
        <v>14963</v>
      </c>
      <c r="B4945" s="8" t="s">
        <v>14964</v>
      </c>
      <c r="C4945" s="8" t="s">
        <v>14965</v>
      </c>
      <c r="D4945" s="8" t="s">
        <v>14964</v>
      </c>
      <c r="E4945" s="105">
        <v>12</v>
      </c>
      <c r="F4945" s="106" t="s">
        <v>2018</v>
      </c>
      <c r="G4945" s="8"/>
      <c r="H4945" s="8" t="s">
        <v>14960</v>
      </c>
      <c r="I4945" s="107">
        <v>4</v>
      </c>
      <c r="J4945" s="8" t="s">
        <v>10697</v>
      </c>
    </row>
    <row r="4946" spans="1:10" ht="16.5" customHeight="1" x14ac:dyDescent="0.25">
      <c r="A4946" s="8" t="s">
        <v>14966</v>
      </c>
      <c r="B4946" s="8" t="s">
        <v>14967</v>
      </c>
      <c r="C4946" s="8" t="s">
        <v>14968</v>
      </c>
      <c r="D4946" s="8" t="s">
        <v>14967</v>
      </c>
      <c r="E4946" s="105">
        <v>0.75</v>
      </c>
      <c r="F4946" s="106" t="s">
        <v>2018</v>
      </c>
      <c r="G4946" s="8"/>
      <c r="H4946" s="8"/>
      <c r="I4946" s="107">
        <v>0</v>
      </c>
      <c r="J4946" s="8" t="s">
        <v>10697</v>
      </c>
    </row>
    <row r="4947" spans="1:10" ht="16.5" customHeight="1" x14ac:dyDescent="0.25">
      <c r="A4947" s="8" t="s">
        <v>1323</v>
      </c>
      <c r="B4947" s="8" t="s">
        <v>1325</v>
      </c>
      <c r="C4947" s="8" t="s">
        <v>1324</v>
      </c>
      <c r="D4947" s="8" t="s">
        <v>1325</v>
      </c>
      <c r="E4947" s="105">
        <v>12</v>
      </c>
      <c r="F4947" s="106" t="s">
        <v>2018</v>
      </c>
      <c r="G4947" s="8"/>
      <c r="H4947" s="8" t="s">
        <v>14966</v>
      </c>
      <c r="I4947" s="107">
        <v>16</v>
      </c>
      <c r="J4947" s="8" t="s">
        <v>10697</v>
      </c>
    </row>
    <row r="4948" spans="1:10" ht="16.5" customHeight="1" x14ac:dyDescent="0.25">
      <c r="A4948" s="8" t="s">
        <v>14969</v>
      </c>
      <c r="B4948" s="8" t="s">
        <v>14970</v>
      </c>
      <c r="C4948" s="8" t="s">
        <v>14971</v>
      </c>
      <c r="D4948" s="8" t="s">
        <v>14970</v>
      </c>
      <c r="E4948" s="105">
        <v>0.4</v>
      </c>
      <c r="F4948" s="106" t="s">
        <v>2018</v>
      </c>
      <c r="G4948" s="8"/>
      <c r="H4948" s="8"/>
      <c r="I4948" s="107">
        <v>0</v>
      </c>
      <c r="J4948" s="8" t="s">
        <v>10697</v>
      </c>
    </row>
    <row r="4949" spans="1:10" ht="16.5" customHeight="1" x14ac:dyDescent="0.25">
      <c r="A4949" s="8" t="s">
        <v>1348</v>
      </c>
      <c r="B4949" s="8" t="s">
        <v>1350</v>
      </c>
      <c r="C4949" s="8" t="s">
        <v>1349</v>
      </c>
      <c r="D4949" s="8" t="s">
        <v>1350</v>
      </c>
      <c r="E4949" s="105">
        <v>9.6</v>
      </c>
      <c r="F4949" s="106" t="s">
        <v>2018</v>
      </c>
      <c r="G4949" s="8"/>
      <c r="H4949" s="8" t="s">
        <v>14969</v>
      </c>
      <c r="I4949" s="107">
        <v>24</v>
      </c>
      <c r="J4949" s="8" t="s">
        <v>10697</v>
      </c>
    </row>
    <row r="4950" spans="1:10" ht="16.5" customHeight="1" x14ac:dyDescent="0.25">
      <c r="A4950" s="8" t="s">
        <v>14972</v>
      </c>
      <c r="B4950" s="8" t="s">
        <v>14973</v>
      </c>
      <c r="C4950" s="8" t="s">
        <v>14974</v>
      </c>
      <c r="D4950" s="8" t="s">
        <v>14973</v>
      </c>
      <c r="E4950" s="105">
        <v>1.4</v>
      </c>
      <c r="F4950" s="106" t="s">
        <v>2018</v>
      </c>
      <c r="G4950" s="8"/>
      <c r="H4950" s="8"/>
      <c r="I4950" s="107">
        <v>0</v>
      </c>
      <c r="J4950" s="8" t="s">
        <v>10697</v>
      </c>
    </row>
    <row r="4951" spans="1:10" ht="16.5" customHeight="1" x14ac:dyDescent="0.25">
      <c r="A4951" s="8" t="s">
        <v>1320</v>
      </c>
      <c r="B4951" s="8" t="s">
        <v>1322</v>
      </c>
      <c r="C4951" s="8" t="s">
        <v>14975</v>
      </c>
      <c r="D4951" s="8" t="s">
        <v>1322</v>
      </c>
      <c r="E4951" s="105">
        <v>11.2</v>
      </c>
      <c r="F4951" s="106" t="s">
        <v>2018</v>
      </c>
      <c r="G4951" s="8"/>
      <c r="H4951" s="8" t="s">
        <v>14972</v>
      </c>
      <c r="I4951" s="107">
        <v>8</v>
      </c>
      <c r="J4951" s="8" t="s">
        <v>10697</v>
      </c>
    </row>
    <row r="4952" spans="1:10" ht="16.5" customHeight="1" x14ac:dyDescent="0.25">
      <c r="A4952" s="8" t="s">
        <v>14976</v>
      </c>
      <c r="B4952" s="8" t="s">
        <v>14977</v>
      </c>
      <c r="C4952" s="8" t="s">
        <v>14978</v>
      </c>
      <c r="D4952" s="8" t="s">
        <v>14977</v>
      </c>
      <c r="E4952" s="105">
        <v>2</v>
      </c>
      <c r="F4952" s="106" t="s">
        <v>2018</v>
      </c>
      <c r="G4952" s="8"/>
      <c r="H4952" s="8"/>
      <c r="I4952" s="107">
        <v>0</v>
      </c>
      <c r="J4952" s="8" t="s">
        <v>10697</v>
      </c>
    </row>
    <row r="4953" spans="1:10" ht="16.5" customHeight="1" x14ac:dyDescent="0.25">
      <c r="A4953" s="8" t="s">
        <v>1326</v>
      </c>
      <c r="B4953" s="8" t="s">
        <v>14979</v>
      </c>
      <c r="C4953" s="8" t="s">
        <v>14980</v>
      </c>
      <c r="D4953" s="8" t="s">
        <v>14979</v>
      </c>
      <c r="E4953" s="105">
        <v>12</v>
      </c>
      <c r="F4953" s="106" t="s">
        <v>2018</v>
      </c>
      <c r="G4953" s="8"/>
      <c r="H4953" s="8" t="s">
        <v>14976</v>
      </c>
      <c r="I4953" s="107">
        <v>6</v>
      </c>
      <c r="J4953" s="8" t="s">
        <v>10697</v>
      </c>
    </row>
    <row r="4954" spans="1:10" ht="16.5" customHeight="1" x14ac:dyDescent="0.25">
      <c r="A4954" s="8" t="s">
        <v>14981</v>
      </c>
      <c r="B4954" s="8" t="s">
        <v>14982</v>
      </c>
      <c r="C4954" s="8" t="s">
        <v>14983</v>
      </c>
      <c r="D4954" s="8" t="s">
        <v>14982</v>
      </c>
      <c r="E4954" s="105">
        <v>3</v>
      </c>
      <c r="F4954" s="106" t="s">
        <v>2018</v>
      </c>
      <c r="G4954" s="8"/>
      <c r="H4954" s="8"/>
      <c r="I4954" s="107">
        <v>0</v>
      </c>
      <c r="J4954" s="8" t="s">
        <v>10697</v>
      </c>
    </row>
    <row r="4955" spans="1:10" ht="16.5" customHeight="1" x14ac:dyDescent="0.25">
      <c r="A4955" s="8" t="s">
        <v>1024</v>
      </c>
      <c r="B4955" s="8" t="s">
        <v>1026</v>
      </c>
      <c r="C4955" s="8" t="s">
        <v>1025</v>
      </c>
      <c r="D4955" s="8" t="s">
        <v>1026</v>
      </c>
      <c r="E4955" s="105">
        <v>12</v>
      </c>
      <c r="F4955" s="106" t="s">
        <v>2018</v>
      </c>
      <c r="G4955" s="8"/>
      <c r="H4955" s="8" t="s">
        <v>14981</v>
      </c>
      <c r="I4955" s="107">
        <v>4</v>
      </c>
      <c r="J4955" s="8" t="s">
        <v>10697</v>
      </c>
    </row>
    <row r="4956" spans="1:10" ht="16.5" customHeight="1" x14ac:dyDescent="0.25">
      <c r="A4956" s="8" t="s">
        <v>14984</v>
      </c>
      <c r="B4956" s="8" t="s">
        <v>14985</v>
      </c>
      <c r="C4956" s="8" t="s">
        <v>14986</v>
      </c>
      <c r="D4956" s="8" t="s">
        <v>14985</v>
      </c>
      <c r="E4956" s="105">
        <v>0.75</v>
      </c>
      <c r="F4956" s="106" t="s">
        <v>2018</v>
      </c>
      <c r="G4956" s="8"/>
      <c r="H4956" s="8"/>
      <c r="I4956" s="107">
        <v>0</v>
      </c>
      <c r="J4956" s="8" t="s">
        <v>10697</v>
      </c>
    </row>
    <row r="4957" spans="1:10" ht="16.5" customHeight="1" x14ac:dyDescent="0.25">
      <c r="A4957" s="8" t="s">
        <v>1021</v>
      </c>
      <c r="B4957" s="8" t="s">
        <v>1023</v>
      </c>
      <c r="C4957" s="8" t="s">
        <v>1022</v>
      </c>
      <c r="D4957" s="8" t="s">
        <v>1023</v>
      </c>
      <c r="E4957" s="105">
        <v>12</v>
      </c>
      <c r="F4957" s="106" t="s">
        <v>2018</v>
      </c>
      <c r="G4957" s="8"/>
      <c r="H4957" s="8" t="s">
        <v>14984</v>
      </c>
      <c r="I4957" s="107">
        <v>16</v>
      </c>
      <c r="J4957" s="8" t="s">
        <v>10697</v>
      </c>
    </row>
    <row r="4958" spans="1:10" ht="16.5" customHeight="1" x14ac:dyDescent="0.25">
      <c r="A4958" s="8" t="s">
        <v>14987</v>
      </c>
      <c r="B4958" s="8" t="s">
        <v>14988</v>
      </c>
      <c r="C4958" s="8" t="s">
        <v>14989</v>
      </c>
      <c r="D4958" s="8" t="s">
        <v>14988</v>
      </c>
      <c r="E4958" s="105">
        <v>0.4</v>
      </c>
      <c r="F4958" s="106" t="s">
        <v>2018</v>
      </c>
      <c r="G4958" s="8"/>
      <c r="H4958" s="8"/>
      <c r="I4958" s="107">
        <v>0</v>
      </c>
      <c r="J4958" s="8" t="s">
        <v>10697</v>
      </c>
    </row>
    <row r="4959" spans="1:10" ht="16.5" customHeight="1" x14ac:dyDescent="0.25">
      <c r="A4959" s="8" t="s">
        <v>14990</v>
      </c>
      <c r="B4959" s="8" t="s">
        <v>14991</v>
      </c>
      <c r="C4959" s="8" t="s">
        <v>14992</v>
      </c>
      <c r="D4959" s="8" t="s">
        <v>14991</v>
      </c>
      <c r="E4959" s="105">
        <v>9.6</v>
      </c>
      <c r="F4959" s="106" t="s">
        <v>2018</v>
      </c>
      <c r="G4959" s="8"/>
      <c r="H4959" s="8" t="s">
        <v>14987</v>
      </c>
      <c r="I4959" s="107">
        <v>24</v>
      </c>
      <c r="J4959" s="8" t="s">
        <v>10697</v>
      </c>
    </row>
    <row r="4960" spans="1:10" ht="16.5" customHeight="1" x14ac:dyDescent="0.25">
      <c r="A4960" s="8" t="s">
        <v>14993</v>
      </c>
      <c r="B4960" s="8" t="s">
        <v>14994</v>
      </c>
      <c r="C4960" s="8" t="s">
        <v>14995</v>
      </c>
      <c r="D4960" s="8" t="s">
        <v>14994</v>
      </c>
      <c r="E4960" s="105">
        <v>1.4</v>
      </c>
      <c r="F4960" s="106" t="s">
        <v>2018</v>
      </c>
      <c r="G4960" s="8"/>
      <c r="H4960" s="8"/>
      <c r="I4960" s="107">
        <v>0</v>
      </c>
      <c r="J4960" s="8" t="s">
        <v>10697</v>
      </c>
    </row>
    <row r="4961" spans="1:10" ht="16.5" customHeight="1" x14ac:dyDescent="0.25">
      <c r="A4961" s="8" t="s">
        <v>1409</v>
      </c>
      <c r="B4961" s="8" t="s">
        <v>1411</v>
      </c>
      <c r="C4961" s="8" t="s">
        <v>1410</v>
      </c>
      <c r="D4961" s="8" t="s">
        <v>1411</v>
      </c>
      <c r="E4961" s="105">
        <v>11.2</v>
      </c>
      <c r="F4961" s="106" t="s">
        <v>2018</v>
      </c>
      <c r="G4961" s="8"/>
      <c r="H4961" s="8" t="s">
        <v>14993</v>
      </c>
      <c r="I4961" s="107">
        <v>8</v>
      </c>
      <c r="J4961" s="8" t="s">
        <v>10697</v>
      </c>
    </row>
    <row r="4962" spans="1:10" ht="16.5" customHeight="1" x14ac:dyDescent="0.25">
      <c r="A4962" s="8" t="s">
        <v>14996</v>
      </c>
      <c r="B4962" s="8" t="s">
        <v>14997</v>
      </c>
      <c r="C4962" s="8" t="s">
        <v>14998</v>
      </c>
      <c r="D4962" s="8" t="s">
        <v>14997</v>
      </c>
      <c r="E4962" s="105">
        <v>0.35</v>
      </c>
      <c r="F4962" s="106" t="s">
        <v>2018</v>
      </c>
      <c r="G4962" s="8"/>
      <c r="H4962" s="8"/>
      <c r="I4962" s="107">
        <v>0</v>
      </c>
      <c r="J4962" s="8" t="s">
        <v>10697</v>
      </c>
    </row>
    <row r="4963" spans="1:10" ht="16.5" customHeight="1" x14ac:dyDescent="0.25">
      <c r="A4963" s="8" t="s">
        <v>14999</v>
      </c>
      <c r="B4963" s="8" t="s">
        <v>1277</v>
      </c>
      <c r="C4963" s="8" t="s">
        <v>1276</v>
      </c>
      <c r="D4963" s="8" t="s">
        <v>1277</v>
      </c>
      <c r="E4963" s="105">
        <v>12.6</v>
      </c>
      <c r="F4963" s="106" t="s">
        <v>2024</v>
      </c>
      <c r="G4963" s="8"/>
      <c r="H4963" s="8" t="s">
        <v>14996</v>
      </c>
      <c r="I4963" s="107">
        <v>36</v>
      </c>
      <c r="J4963" s="8" t="s">
        <v>10697</v>
      </c>
    </row>
    <row r="4964" spans="1:10" ht="16.5" customHeight="1" x14ac:dyDescent="0.25">
      <c r="A4964" s="8" t="s">
        <v>15000</v>
      </c>
      <c r="B4964" s="8" t="s">
        <v>15001</v>
      </c>
      <c r="C4964" s="8" t="s">
        <v>15002</v>
      </c>
      <c r="D4964" s="8" t="s">
        <v>15001</v>
      </c>
      <c r="E4964" s="105">
        <v>5.0999999999999996</v>
      </c>
      <c r="F4964" s="106" t="s">
        <v>2018</v>
      </c>
      <c r="G4964" s="8"/>
      <c r="H4964" s="8"/>
      <c r="I4964" s="107">
        <v>0</v>
      </c>
      <c r="J4964" s="8" t="s">
        <v>10697</v>
      </c>
    </row>
    <row r="4965" spans="1:10" ht="16.5" customHeight="1" x14ac:dyDescent="0.25">
      <c r="A4965" s="8" t="s">
        <v>15003</v>
      </c>
      <c r="B4965" s="8" t="s">
        <v>1050</v>
      </c>
      <c r="C4965" s="8" t="s">
        <v>1049</v>
      </c>
      <c r="D4965" s="8" t="s">
        <v>1050</v>
      </c>
      <c r="E4965" s="105">
        <v>15.3</v>
      </c>
      <c r="F4965" s="106" t="s">
        <v>2024</v>
      </c>
      <c r="G4965" s="8"/>
      <c r="H4965" s="8" t="s">
        <v>15000</v>
      </c>
      <c r="I4965" s="107">
        <v>3</v>
      </c>
      <c r="J4965" s="8" t="s">
        <v>10697</v>
      </c>
    </row>
    <row r="4966" spans="1:10" ht="16.5" customHeight="1" x14ac:dyDescent="0.25">
      <c r="A4966" s="8" t="s">
        <v>15004</v>
      </c>
      <c r="B4966" s="8" t="s">
        <v>15005</v>
      </c>
      <c r="C4966" s="8" t="s">
        <v>15006</v>
      </c>
      <c r="D4966" s="8" t="s">
        <v>15005</v>
      </c>
      <c r="E4966" s="105">
        <v>0.17</v>
      </c>
      <c r="F4966" s="106" t="s">
        <v>2018</v>
      </c>
      <c r="G4966" s="8"/>
      <c r="H4966" s="8"/>
      <c r="I4966" s="107">
        <v>0</v>
      </c>
      <c r="J4966" s="8" t="s">
        <v>10979</v>
      </c>
    </row>
    <row r="4967" spans="1:10" ht="16.5" customHeight="1" x14ac:dyDescent="0.25">
      <c r="A4967" s="8" t="s">
        <v>15007</v>
      </c>
      <c r="B4967" s="8" t="s">
        <v>15008</v>
      </c>
      <c r="C4967" s="8" t="s">
        <v>15009</v>
      </c>
      <c r="D4967" s="8" t="s">
        <v>15008</v>
      </c>
      <c r="E4967" s="105">
        <v>25</v>
      </c>
      <c r="F4967" s="106" t="s">
        <v>2018</v>
      </c>
      <c r="G4967" s="8"/>
      <c r="H4967" s="8"/>
      <c r="I4967" s="107">
        <v>0</v>
      </c>
      <c r="J4967" s="8" t="s">
        <v>3580</v>
      </c>
    </row>
    <row r="4968" spans="1:10" ht="16.5" customHeight="1" x14ac:dyDescent="0.25">
      <c r="A4968" s="8" t="s">
        <v>15010</v>
      </c>
      <c r="B4968" s="8" t="s">
        <v>15011</v>
      </c>
      <c r="C4968" s="8" t="s">
        <v>15012</v>
      </c>
      <c r="D4968" s="8" t="s">
        <v>15011</v>
      </c>
      <c r="E4968" s="105">
        <v>25</v>
      </c>
      <c r="F4968" s="106" t="s">
        <v>2018</v>
      </c>
      <c r="G4968" s="8"/>
      <c r="H4968" s="8"/>
      <c r="I4968" s="107">
        <v>0</v>
      </c>
      <c r="J4968" s="8" t="s">
        <v>3695</v>
      </c>
    </row>
    <row r="4969" spans="1:10" ht="16.5" customHeight="1" x14ac:dyDescent="0.25">
      <c r="A4969" s="8" t="s">
        <v>15013</v>
      </c>
      <c r="B4969" s="8" t="s">
        <v>15014</v>
      </c>
      <c r="C4969" s="8" t="s">
        <v>15015</v>
      </c>
      <c r="D4969" s="8" t="s">
        <v>15014</v>
      </c>
      <c r="E4969" s="105">
        <v>18</v>
      </c>
      <c r="F4969" s="106" t="s">
        <v>2018</v>
      </c>
      <c r="G4969" s="8"/>
      <c r="H4969" s="8"/>
      <c r="I4969" s="107">
        <v>0</v>
      </c>
      <c r="J4969" s="8" t="s">
        <v>2019</v>
      </c>
    </row>
    <row r="4970" spans="1:10" ht="16.5" customHeight="1" x14ac:dyDescent="0.25">
      <c r="A4970" s="8" t="s">
        <v>15016</v>
      </c>
      <c r="B4970" s="8" t="s">
        <v>15017</v>
      </c>
      <c r="C4970" s="8" t="s">
        <v>15018</v>
      </c>
      <c r="D4970" s="8" t="s">
        <v>15017</v>
      </c>
      <c r="E4970" s="105">
        <v>18</v>
      </c>
      <c r="F4970" s="106" t="s">
        <v>2018</v>
      </c>
      <c r="G4970" s="8"/>
      <c r="H4970" s="8"/>
      <c r="I4970" s="107">
        <v>0</v>
      </c>
      <c r="J4970" s="8" t="s">
        <v>2019</v>
      </c>
    </row>
    <row r="4971" spans="1:10" ht="16.5" customHeight="1" x14ac:dyDescent="0.25">
      <c r="A4971" s="8" t="s">
        <v>15019</v>
      </c>
      <c r="B4971" s="8" t="s">
        <v>15020</v>
      </c>
      <c r="C4971" s="8" t="s">
        <v>15021</v>
      </c>
      <c r="D4971" s="8" t="s">
        <v>15020</v>
      </c>
      <c r="E4971" s="105">
        <v>18</v>
      </c>
      <c r="F4971" s="106" t="s">
        <v>2018</v>
      </c>
      <c r="G4971" s="8"/>
      <c r="H4971" s="8"/>
      <c r="I4971" s="107">
        <v>0</v>
      </c>
      <c r="J4971" s="8" t="s">
        <v>2019</v>
      </c>
    </row>
    <row r="4972" spans="1:10" ht="16.5" customHeight="1" x14ac:dyDescent="0.25">
      <c r="A4972" s="8" t="s">
        <v>15022</v>
      </c>
      <c r="B4972" s="8" t="s">
        <v>15023</v>
      </c>
      <c r="C4972" s="8" t="s">
        <v>15024</v>
      </c>
      <c r="D4972" s="8" t="s">
        <v>15023</v>
      </c>
      <c r="E4972" s="105">
        <v>1</v>
      </c>
      <c r="F4972" s="106" t="s">
        <v>2018</v>
      </c>
      <c r="G4972" s="8"/>
      <c r="H4972" s="8"/>
      <c r="I4972" s="107">
        <v>0</v>
      </c>
      <c r="J4972" s="8" t="s">
        <v>10979</v>
      </c>
    </row>
    <row r="4973" spans="1:10" ht="16.5" customHeight="1" x14ac:dyDescent="0.25">
      <c r="A4973" s="8" t="s">
        <v>15025</v>
      </c>
      <c r="B4973" s="8" t="s">
        <v>15026</v>
      </c>
      <c r="C4973" s="8" t="s">
        <v>15027</v>
      </c>
      <c r="D4973" s="8" t="s">
        <v>15026</v>
      </c>
      <c r="E4973" s="105">
        <v>1</v>
      </c>
      <c r="F4973" s="106" t="s">
        <v>2018</v>
      </c>
      <c r="G4973" s="8"/>
      <c r="H4973" s="8"/>
      <c r="I4973" s="107">
        <v>0</v>
      </c>
      <c r="J4973" s="8" t="s">
        <v>10979</v>
      </c>
    </row>
    <row r="4974" spans="1:10" ht="16.5" customHeight="1" x14ac:dyDescent="0.25">
      <c r="A4974" s="8" t="s">
        <v>15028</v>
      </c>
      <c r="B4974" s="8" t="s">
        <v>15029</v>
      </c>
      <c r="C4974" s="8" t="s">
        <v>15030</v>
      </c>
      <c r="D4974" s="8" t="s">
        <v>15029</v>
      </c>
      <c r="E4974" s="105">
        <v>1</v>
      </c>
      <c r="F4974" s="106" t="s">
        <v>2018</v>
      </c>
      <c r="G4974" s="8"/>
      <c r="H4974" s="8"/>
      <c r="I4974" s="107">
        <v>0</v>
      </c>
      <c r="J4974" s="8" t="s">
        <v>10979</v>
      </c>
    </row>
    <row r="4975" spans="1:10" ht="16.5" customHeight="1" x14ac:dyDescent="0.25">
      <c r="A4975" s="8" t="s">
        <v>15031</v>
      </c>
      <c r="B4975" s="8" t="s">
        <v>15032</v>
      </c>
      <c r="C4975" s="8" t="s">
        <v>15033</v>
      </c>
      <c r="D4975" s="8" t="s">
        <v>15032</v>
      </c>
      <c r="E4975" s="105">
        <v>1</v>
      </c>
      <c r="F4975" s="106" t="s">
        <v>2018</v>
      </c>
      <c r="G4975" s="8"/>
      <c r="H4975" s="8"/>
      <c r="I4975" s="107">
        <v>0</v>
      </c>
      <c r="J4975" s="8" t="s">
        <v>14616</v>
      </c>
    </row>
    <row r="4976" spans="1:10" ht="16.5" customHeight="1" x14ac:dyDescent="0.25">
      <c r="A4976" s="8" t="s">
        <v>15034</v>
      </c>
      <c r="B4976" s="8" t="s">
        <v>15035</v>
      </c>
      <c r="C4976" s="8" t="s">
        <v>15036</v>
      </c>
      <c r="D4976" s="8" t="s">
        <v>15035</v>
      </c>
      <c r="E4976" s="105">
        <v>25</v>
      </c>
      <c r="F4976" s="106" t="s">
        <v>2018</v>
      </c>
      <c r="G4976" s="8"/>
      <c r="H4976" s="8"/>
      <c r="I4976" s="107">
        <v>0</v>
      </c>
      <c r="J4976" s="8" t="s">
        <v>12551</v>
      </c>
    </row>
    <row r="4977" spans="1:10" ht="16.5" customHeight="1" x14ac:dyDescent="0.25">
      <c r="A4977" s="8" t="s">
        <v>15037</v>
      </c>
      <c r="B4977" s="8" t="s">
        <v>15038</v>
      </c>
      <c r="C4977" s="8" t="s">
        <v>15039</v>
      </c>
      <c r="D4977" s="8" t="s">
        <v>15040</v>
      </c>
      <c r="E4977" s="105">
        <v>0</v>
      </c>
      <c r="F4977" s="106" t="s">
        <v>2018</v>
      </c>
      <c r="G4977" s="8"/>
      <c r="H4977" s="8"/>
      <c r="I4977" s="107">
        <v>0</v>
      </c>
      <c r="J4977" s="8" t="s">
        <v>3580</v>
      </c>
    </row>
    <row r="4978" spans="1:10" ht="16.5" customHeight="1" x14ac:dyDescent="0.25">
      <c r="A4978" s="8" t="s">
        <v>15041</v>
      </c>
      <c r="B4978" s="8" t="s">
        <v>15042</v>
      </c>
      <c r="C4978" s="8" t="s">
        <v>15043</v>
      </c>
      <c r="D4978" s="8" t="s">
        <v>15044</v>
      </c>
      <c r="E4978" s="105">
        <v>0</v>
      </c>
      <c r="F4978" s="106" t="s">
        <v>2018</v>
      </c>
      <c r="G4978" s="8"/>
      <c r="H4978" s="8"/>
      <c r="I4978" s="107">
        <v>0</v>
      </c>
      <c r="J4978" s="8" t="s">
        <v>3580</v>
      </c>
    </row>
    <row r="4979" spans="1:10" ht="16.5" customHeight="1" x14ac:dyDescent="0.25">
      <c r="A4979" s="8" t="s">
        <v>15045</v>
      </c>
      <c r="B4979" s="8" t="s">
        <v>15046</v>
      </c>
      <c r="C4979" s="8" t="s">
        <v>15047</v>
      </c>
      <c r="D4979" s="8" t="s">
        <v>15048</v>
      </c>
      <c r="E4979" s="105">
        <v>0</v>
      </c>
      <c r="F4979" s="106" t="s">
        <v>2018</v>
      </c>
      <c r="G4979" s="8"/>
      <c r="H4979" s="8"/>
      <c r="I4979" s="107">
        <v>0</v>
      </c>
      <c r="J4979" s="8" t="s">
        <v>3580</v>
      </c>
    </row>
    <row r="4980" spans="1:10" ht="16.5" customHeight="1" x14ac:dyDescent="0.25">
      <c r="A4980" s="8" t="s">
        <v>15049</v>
      </c>
      <c r="B4980" s="8" t="s">
        <v>15050</v>
      </c>
      <c r="C4980" s="8" t="s">
        <v>15051</v>
      </c>
      <c r="D4980" s="8" t="s">
        <v>15052</v>
      </c>
      <c r="E4980" s="105">
        <v>0</v>
      </c>
      <c r="F4980" s="106" t="s">
        <v>2018</v>
      </c>
      <c r="G4980" s="8"/>
      <c r="H4980" s="8"/>
      <c r="I4980" s="107">
        <v>0</v>
      </c>
      <c r="J4980" s="8" t="s">
        <v>3580</v>
      </c>
    </row>
    <row r="4981" spans="1:10" ht="16.5" customHeight="1" x14ac:dyDescent="0.25">
      <c r="A4981" s="8" t="s">
        <v>15053</v>
      </c>
      <c r="B4981" s="8" t="s">
        <v>15054</v>
      </c>
      <c r="C4981" s="8" t="s">
        <v>15055</v>
      </c>
      <c r="D4981" s="8" t="s">
        <v>15056</v>
      </c>
      <c r="E4981" s="105">
        <v>0</v>
      </c>
      <c r="F4981" s="106" t="s">
        <v>2018</v>
      </c>
      <c r="G4981" s="8"/>
      <c r="H4981" s="8"/>
      <c r="I4981" s="107">
        <v>0</v>
      </c>
      <c r="J4981" s="8" t="s">
        <v>3580</v>
      </c>
    </row>
    <row r="4982" spans="1:10" ht="16.5" customHeight="1" x14ac:dyDescent="0.25">
      <c r="A4982" s="8" t="s">
        <v>15057</v>
      </c>
      <c r="B4982" s="8" t="s">
        <v>15058</v>
      </c>
      <c r="C4982" s="8" t="s">
        <v>6743</v>
      </c>
      <c r="D4982" s="8" t="s">
        <v>15059</v>
      </c>
      <c r="E4982" s="105">
        <v>0</v>
      </c>
      <c r="F4982" s="106" t="s">
        <v>2018</v>
      </c>
      <c r="G4982" s="8"/>
      <c r="H4982" s="8"/>
      <c r="I4982" s="107">
        <v>0</v>
      </c>
      <c r="J4982" s="8" t="s">
        <v>3580</v>
      </c>
    </row>
    <row r="4983" spans="1:10" ht="16.5" customHeight="1" x14ac:dyDescent="0.25">
      <c r="A4983" s="8" t="s">
        <v>15060</v>
      </c>
      <c r="B4983" s="8" t="s">
        <v>15061</v>
      </c>
      <c r="C4983" s="8" t="s">
        <v>15062</v>
      </c>
      <c r="D4983" s="8" t="s">
        <v>15063</v>
      </c>
      <c r="E4983" s="105">
        <v>0</v>
      </c>
      <c r="F4983" s="106" t="s">
        <v>2018</v>
      </c>
      <c r="G4983" s="8"/>
      <c r="H4983" s="8"/>
      <c r="I4983" s="107">
        <v>0</v>
      </c>
      <c r="J4983" s="8" t="s">
        <v>3580</v>
      </c>
    </row>
    <row r="4984" spans="1:10" ht="16.5" customHeight="1" x14ac:dyDescent="0.25">
      <c r="A4984" s="8" t="s">
        <v>15064</v>
      </c>
      <c r="B4984" s="8" t="s">
        <v>15065</v>
      </c>
      <c r="C4984" s="8" t="s">
        <v>15066</v>
      </c>
      <c r="D4984" s="8" t="s">
        <v>15067</v>
      </c>
      <c r="E4984" s="105">
        <v>0</v>
      </c>
      <c r="F4984" s="106" t="s">
        <v>2018</v>
      </c>
      <c r="G4984" s="8"/>
      <c r="H4984" s="8"/>
      <c r="I4984" s="107">
        <v>0</v>
      </c>
      <c r="J4984" s="8" t="s">
        <v>3580</v>
      </c>
    </row>
    <row r="4985" spans="1:10" ht="16.5" customHeight="1" x14ac:dyDescent="0.25">
      <c r="A4985" s="8" t="s">
        <v>15068</v>
      </c>
      <c r="B4985" s="8" t="s">
        <v>15069</v>
      </c>
      <c r="C4985" s="8" t="s">
        <v>15070</v>
      </c>
      <c r="D4985" s="8" t="s">
        <v>15071</v>
      </c>
      <c r="E4985" s="105">
        <v>0</v>
      </c>
      <c r="F4985" s="106" t="s">
        <v>2018</v>
      </c>
      <c r="G4985" s="8"/>
      <c r="H4985" s="8"/>
      <c r="I4985" s="107">
        <v>0</v>
      </c>
      <c r="J4985" s="8" t="s">
        <v>3580</v>
      </c>
    </row>
    <row r="4986" spans="1:10" ht="16.5" customHeight="1" x14ac:dyDescent="0.25">
      <c r="A4986" s="8" t="s">
        <v>15072</v>
      </c>
      <c r="B4986" s="8" t="s">
        <v>15073</v>
      </c>
      <c r="C4986" s="8" t="s">
        <v>15074</v>
      </c>
      <c r="D4986" s="8" t="s">
        <v>15075</v>
      </c>
      <c r="E4986" s="105">
        <v>0</v>
      </c>
      <c r="F4986" s="106" t="s">
        <v>2018</v>
      </c>
      <c r="G4986" s="8"/>
      <c r="H4986" s="8"/>
      <c r="I4986" s="107">
        <v>0</v>
      </c>
      <c r="J4986" s="8" t="s">
        <v>3580</v>
      </c>
    </row>
    <row r="4987" spans="1:10" ht="16.5" customHeight="1" x14ac:dyDescent="0.25">
      <c r="A4987" s="8" t="s">
        <v>15076</v>
      </c>
      <c r="B4987" s="8" t="s">
        <v>15077</v>
      </c>
      <c r="C4987" s="8" t="s">
        <v>15078</v>
      </c>
      <c r="D4987" s="8" t="s">
        <v>15079</v>
      </c>
      <c r="E4987" s="105">
        <v>0</v>
      </c>
      <c r="F4987" s="106" t="s">
        <v>2018</v>
      </c>
      <c r="G4987" s="8"/>
      <c r="H4987" s="8"/>
      <c r="I4987" s="107">
        <v>0</v>
      </c>
      <c r="J4987" s="8" t="s">
        <v>3580</v>
      </c>
    </row>
    <row r="4988" spans="1:10" ht="16.5" customHeight="1" x14ac:dyDescent="0.25">
      <c r="A4988" s="8" t="s">
        <v>15080</v>
      </c>
      <c r="B4988" s="8" t="s">
        <v>15081</v>
      </c>
      <c r="C4988" s="8" t="s">
        <v>15082</v>
      </c>
      <c r="D4988" s="8" t="s">
        <v>15081</v>
      </c>
      <c r="E4988" s="105">
        <v>25</v>
      </c>
      <c r="F4988" s="106" t="s">
        <v>2018</v>
      </c>
      <c r="G4988" s="8"/>
      <c r="H4988" s="8"/>
      <c r="I4988" s="107">
        <v>0</v>
      </c>
      <c r="J4988" s="8" t="s">
        <v>2019</v>
      </c>
    </row>
    <row r="4989" spans="1:10" ht="16.5" customHeight="1" x14ac:dyDescent="0.25">
      <c r="A4989" s="8" t="s">
        <v>15083</v>
      </c>
      <c r="B4989" s="8" t="s">
        <v>15084</v>
      </c>
      <c r="C4989" s="8" t="s">
        <v>15085</v>
      </c>
      <c r="D4989" s="8" t="s">
        <v>15084</v>
      </c>
      <c r="E4989" s="105">
        <v>6.5000000000000002E-2</v>
      </c>
      <c r="F4989" s="106" t="s">
        <v>2024</v>
      </c>
      <c r="G4989" s="8"/>
      <c r="H4989" s="8"/>
      <c r="I4989" s="107">
        <v>0</v>
      </c>
      <c r="J4989" s="8" t="s">
        <v>4789</v>
      </c>
    </row>
    <row r="4990" spans="1:10" ht="16.5" customHeight="1" x14ac:dyDescent="0.25">
      <c r="A4990" s="8" t="s">
        <v>15086</v>
      </c>
      <c r="B4990" s="8" t="s">
        <v>15087</v>
      </c>
      <c r="C4990" s="8" t="s">
        <v>15088</v>
      </c>
      <c r="D4990" s="8" t="s">
        <v>15087</v>
      </c>
      <c r="E4990" s="105">
        <v>6.5000000000000002E-2</v>
      </c>
      <c r="F4990" s="106" t="s">
        <v>2024</v>
      </c>
      <c r="G4990" s="8"/>
      <c r="H4990" s="8"/>
      <c r="I4990" s="107">
        <v>0</v>
      </c>
      <c r="J4990" s="8" t="s">
        <v>4789</v>
      </c>
    </row>
    <row r="4991" spans="1:10" ht="16.5" customHeight="1" x14ac:dyDescent="0.25">
      <c r="A4991" s="8" t="s">
        <v>15089</v>
      </c>
      <c r="B4991" s="8" t="s">
        <v>15090</v>
      </c>
      <c r="C4991" s="8" t="s">
        <v>15091</v>
      </c>
      <c r="D4991" s="8" t="s">
        <v>15090</v>
      </c>
      <c r="E4991" s="105">
        <v>9.6000000000000002E-2</v>
      </c>
      <c r="F4991" s="106" t="s">
        <v>2024</v>
      </c>
      <c r="G4991" s="8"/>
      <c r="H4991" s="8"/>
      <c r="I4991" s="107">
        <v>0</v>
      </c>
      <c r="J4991" s="8" t="s">
        <v>4789</v>
      </c>
    </row>
    <row r="4992" spans="1:10" ht="16.5" customHeight="1" x14ac:dyDescent="0.25">
      <c r="A4992" s="8" t="s">
        <v>15092</v>
      </c>
      <c r="B4992" s="8" t="s">
        <v>15093</v>
      </c>
      <c r="C4992" s="8" t="s">
        <v>15094</v>
      </c>
      <c r="D4992" s="8" t="s">
        <v>15093</v>
      </c>
      <c r="E4992" s="105">
        <v>9.7000000000000003E-2</v>
      </c>
      <c r="F4992" s="106" t="s">
        <v>2024</v>
      </c>
      <c r="G4992" s="8"/>
      <c r="H4992" s="8"/>
      <c r="I4992" s="107">
        <v>0</v>
      </c>
      <c r="J4992" s="8" t="s">
        <v>4789</v>
      </c>
    </row>
    <row r="4993" spans="1:10" ht="16.5" customHeight="1" x14ac:dyDescent="0.25">
      <c r="A4993" s="8" t="s">
        <v>15095</v>
      </c>
      <c r="B4993" s="8" t="s">
        <v>15096</v>
      </c>
      <c r="C4993" s="8" t="s">
        <v>15097</v>
      </c>
      <c r="D4993" s="8" t="s">
        <v>15096</v>
      </c>
      <c r="E4993" s="105">
        <v>0.10299999999999999</v>
      </c>
      <c r="F4993" s="106" t="s">
        <v>2024</v>
      </c>
      <c r="G4993" s="8"/>
      <c r="H4993" s="8"/>
      <c r="I4993" s="107">
        <v>0</v>
      </c>
      <c r="J4993" s="8" t="s">
        <v>4789</v>
      </c>
    </row>
    <row r="4994" spans="1:10" ht="16.5" customHeight="1" x14ac:dyDescent="0.25">
      <c r="A4994" s="8" t="s">
        <v>15098</v>
      </c>
      <c r="B4994" s="8" t="s">
        <v>15099</v>
      </c>
      <c r="C4994" s="8" t="s">
        <v>15100</v>
      </c>
      <c r="D4994" s="8" t="s">
        <v>15099</v>
      </c>
      <c r="E4994" s="105">
        <v>2.1000000000000001E-2</v>
      </c>
      <c r="F4994" s="106" t="s">
        <v>2024</v>
      </c>
      <c r="G4994" s="8"/>
      <c r="H4994" s="8"/>
      <c r="I4994" s="107">
        <v>0</v>
      </c>
      <c r="J4994" s="8" t="s">
        <v>4789</v>
      </c>
    </row>
    <row r="4995" spans="1:10" ht="16.5" customHeight="1" x14ac:dyDescent="0.25">
      <c r="A4995" s="8" t="s">
        <v>15101</v>
      </c>
      <c r="B4995" s="8" t="s">
        <v>15102</v>
      </c>
      <c r="C4995" s="8" t="s">
        <v>15103</v>
      </c>
      <c r="D4995" s="8" t="s">
        <v>15102</v>
      </c>
      <c r="E4995" s="105">
        <v>2.1999999999999999E-2</v>
      </c>
      <c r="F4995" s="106" t="s">
        <v>2024</v>
      </c>
      <c r="G4995" s="8"/>
      <c r="H4995" s="8"/>
      <c r="I4995" s="107">
        <v>0</v>
      </c>
      <c r="J4995" s="8" t="s">
        <v>4789</v>
      </c>
    </row>
    <row r="4996" spans="1:10" ht="16.5" customHeight="1" x14ac:dyDescent="0.25">
      <c r="A4996" s="8" t="s">
        <v>15104</v>
      </c>
      <c r="B4996" s="8" t="s">
        <v>15105</v>
      </c>
      <c r="C4996" s="8" t="s">
        <v>15106</v>
      </c>
      <c r="D4996" s="8" t="s">
        <v>15105</v>
      </c>
      <c r="E4996" s="105">
        <v>4.5999999999999999E-2</v>
      </c>
      <c r="F4996" s="106" t="s">
        <v>2024</v>
      </c>
      <c r="G4996" s="8"/>
      <c r="H4996" s="8"/>
      <c r="I4996" s="107">
        <v>0</v>
      </c>
      <c r="J4996" s="8" t="s">
        <v>4789</v>
      </c>
    </row>
    <row r="4997" spans="1:10" ht="16.5" customHeight="1" x14ac:dyDescent="0.25">
      <c r="A4997" s="8" t="s">
        <v>15107</v>
      </c>
      <c r="B4997" s="8" t="s">
        <v>15108</v>
      </c>
      <c r="C4997" s="8" t="s">
        <v>15109</v>
      </c>
      <c r="D4997" s="8" t="s">
        <v>15108</v>
      </c>
      <c r="E4997" s="105">
        <v>0.02</v>
      </c>
      <c r="F4997" s="106" t="s">
        <v>2024</v>
      </c>
      <c r="G4997" s="8"/>
      <c r="H4997" s="8"/>
      <c r="I4997" s="107">
        <v>0</v>
      </c>
      <c r="J4997" s="8" t="s">
        <v>4789</v>
      </c>
    </row>
    <row r="4998" spans="1:10" ht="16.5" customHeight="1" x14ac:dyDescent="0.25">
      <c r="A4998" s="8" t="s">
        <v>15110</v>
      </c>
      <c r="B4998" s="8" t="s">
        <v>15111</v>
      </c>
      <c r="C4998" s="8" t="s">
        <v>15070</v>
      </c>
      <c r="D4998" s="8" t="s">
        <v>15111</v>
      </c>
      <c r="E4998" s="105">
        <v>0.02</v>
      </c>
      <c r="F4998" s="106" t="s">
        <v>2024</v>
      </c>
      <c r="G4998" s="8"/>
      <c r="H4998" s="8"/>
      <c r="I4998" s="107">
        <v>0</v>
      </c>
      <c r="J4998" s="8" t="s">
        <v>4789</v>
      </c>
    </row>
    <row r="4999" spans="1:10" ht="16.5" customHeight="1" x14ac:dyDescent="0.25">
      <c r="A4999" s="8" t="s">
        <v>15112</v>
      </c>
      <c r="B4999" s="8" t="s">
        <v>15113</v>
      </c>
      <c r="C4999" s="8" t="s">
        <v>15074</v>
      </c>
      <c r="D4999" s="8" t="s">
        <v>15113</v>
      </c>
      <c r="E4999" s="105">
        <v>2.3E-3</v>
      </c>
      <c r="F4999" s="106" t="s">
        <v>2024</v>
      </c>
      <c r="G4999" s="8"/>
      <c r="H4999" s="8"/>
      <c r="I4999" s="107">
        <v>0</v>
      </c>
      <c r="J4999" s="8" t="s">
        <v>4789</v>
      </c>
    </row>
    <row r="5000" spans="1:10" ht="16.5" customHeight="1" x14ac:dyDescent="0.25">
      <c r="A5000" s="8" t="s">
        <v>15114</v>
      </c>
      <c r="B5000" s="8" t="s">
        <v>15115</v>
      </c>
      <c r="C5000" s="8" t="s">
        <v>15078</v>
      </c>
      <c r="D5000" s="8" t="s">
        <v>15115</v>
      </c>
      <c r="E5000" s="105">
        <v>4.2000000000000003E-2</v>
      </c>
      <c r="F5000" s="106" t="s">
        <v>2024</v>
      </c>
      <c r="G5000" s="8"/>
      <c r="H5000" s="8"/>
      <c r="I5000" s="107">
        <v>0</v>
      </c>
      <c r="J5000" s="8" t="s">
        <v>4789</v>
      </c>
    </row>
    <row r="5001" spans="1:10" ht="16.5" customHeight="1" x14ac:dyDescent="0.25">
      <c r="A5001" s="8" t="s">
        <v>15116</v>
      </c>
      <c r="B5001" s="8" t="s">
        <v>15117</v>
      </c>
      <c r="C5001" s="8" t="s">
        <v>15118</v>
      </c>
      <c r="D5001" s="8" t="s">
        <v>15119</v>
      </c>
      <c r="E5001" s="105">
        <v>0</v>
      </c>
      <c r="F5001" s="106" t="s">
        <v>2018</v>
      </c>
      <c r="G5001" s="8"/>
      <c r="H5001" s="8"/>
      <c r="I5001" s="107">
        <v>0</v>
      </c>
      <c r="J5001" s="8" t="s">
        <v>3580</v>
      </c>
    </row>
    <row r="5002" spans="1:10" ht="16.5" customHeight="1" x14ac:dyDescent="0.25">
      <c r="A5002" s="8" t="s">
        <v>15120</v>
      </c>
      <c r="B5002" s="8" t="s">
        <v>15121</v>
      </c>
      <c r="C5002" s="8" t="s">
        <v>15122</v>
      </c>
      <c r="D5002" s="8" t="s">
        <v>15123</v>
      </c>
      <c r="E5002" s="105">
        <v>0</v>
      </c>
      <c r="F5002" s="106" t="s">
        <v>2018</v>
      </c>
      <c r="G5002" s="8"/>
      <c r="H5002" s="8"/>
      <c r="I5002" s="107">
        <v>0</v>
      </c>
      <c r="J5002" s="8" t="s">
        <v>3580</v>
      </c>
    </row>
    <row r="5003" spans="1:10" ht="16.5" customHeight="1" x14ac:dyDescent="0.25">
      <c r="A5003" s="8" t="s">
        <v>15124</v>
      </c>
      <c r="B5003" s="8" t="s">
        <v>15125</v>
      </c>
      <c r="C5003" s="8" t="s">
        <v>15126</v>
      </c>
      <c r="D5003" s="8" t="s">
        <v>15125</v>
      </c>
      <c r="E5003" s="105">
        <v>0</v>
      </c>
      <c r="F5003" s="106" t="s">
        <v>2018</v>
      </c>
      <c r="G5003" s="8"/>
      <c r="H5003" s="8"/>
      <c r="I5003" s="107">
        <v>0</v>
      </c>
      <c r="J5003" s="8" t="s">
        <v>6357</v>
      </c>
    </row>
    <row r="5004" spans="1:10" ht="16.5" customHeight="1" x14ac:dyDescent="0.25">
      <c r="A5004" s="8" t="s">
        <v>15127</v>
      </c>
      <c r="B5004" s="8" t="s">
        <v>15128</v>
      </c>
      <c r="C5004" s="8" t="s">
        <v>15129</v>
      </c>
      <c r="D5004" s="8" t="s">
        <v>15128</v>
      </c>
      <c r="E5004" s="105">
        <v>0</v>
      </c>
      <c r="F5004" s="106" t="s">
        <v>2018</v>
      </c>
      <c r="G5004" s="8"/>
      <c r="H5004" s="8"/>
      <c r="I5004" s="107">
        <v>0</v>
      </c>
      <c r="J5004" s="8" t="s">
        <v>6357</v>
      </c>
    </row>
    <row r="5005" spans="1:10" ht="16.5" customHeight="1" x14ac:dyDescent="0.25">
      <c r="A5005" s="8" t="s">
        <v>15130</v>
      </c>
      <c r="B5005" s="8" t="s">
        <v>15131</v>
      </c>
      <c r="C5005" s="8" t="s">
        <v>15132</v>
      </c>
      <c r="D5005" s="8" t="s">
        <v>15131</v>
      </c>
      <c r="E5005" s="105">
        <v>0</v>
      </c>
      <c r="F5005" s="106" t="s">
        <v>2018</v>
      </c>
      <c r="G5005" s="8"/>
      <c r="H5005" s="8"/>
      <c r="I5005" s="107">
        <v>0</v>
      </c>
      <c r="J5005" s="8" t="s">
        <v>6357</v>
      </c>
    </row>
    <row r="5006" spans="1:10" ht="16.5" customHeight="1" x14ac:dyDescent="0.25">
      <c r="A5006" s="8" t="s">
        <v>15133</v>
      </c>
      <c r="B5006" s="8" t="s">
        <v>15134</v>
      </c>
      <c r="C5006" s="8" t="s">
        <v>15135</v>
      </c>
      <c r="D5006" s="8" t="s">
        <v>15134</v>
      </c>
      <c r="E5006" s="105">
        <v>0</v>
      </c>
      <c r="F5006" s="106" t="s">
        <v>2018</v>
      </c>
      <c r="G5006" s="8"/>
      <c r="H5006" s="8"/>
      <c r="I5006" s="107">
        <v>0</v>
      </c>
      <c r="J5006" s="8" t="s">
        <v>6357</v>
      </c>
    </row>
    <row r="5007" spans="1:10" ht="16.5" customHeight="1" x14ac:dyDescent="0.25">
      <c r="A5007" s="8" t="s">
        <v>15136</v>
      </c>
      <c r="B5007" s="8" t="s">
        <v>15137</v>
      </c>
      <c r="C5007" s="8" t="s">
        <v>15138</v>
      </c>
      <c r="D5007" s="8" t="s">
        <v>15137</v>
      </c>
      <c r="E5007" s="105">
        <v>0</v>
      </c>
      <c r="F5007" s="106" t="s">
        <v>2018</v>
      </c>
      <c r="G5007" s="8"/>
      <c r="H5007" s="8"/>
      <c r="I5007" s="107">
        <v>0</v>
      </c>
      <c r="J5007" s="8" t="s">
        <v>6357</v>
      </c>
    </row>
    <row r="5008" spans="1:10" ht="16.5" customHeight="1" x14ac:dyDescent="0.25">
      <c r="A5008" s="8" t="s">
        <v>15139</v>
      </c>
      <c r="B5008" s="8" t="s">
        <v>15140</v>
      </c>
      <c r="C5008" s="8" t="s">
        <v>15141</v>
      </c>
      <c r="D5008" s="8" t="s">
        <v>15142</v>
      </c>
      <c r="E5008" s="105">
        <v>0</v>
      </c>
      <c r="F5008" s="106" t="s">
        <v>2018</v>
      </c>
      <c r="G5008" s="8"/>
      <c r="H5008" s="8"/>
      <c r="I5008" s="107">
        <v>0</v>
      </c>
      <c r="J5008" s="8" t="s">
        <v>3580</v>
      </c>
    </row>
    <row r="5009" spans="1:10" ht="16.5" customHeight="1" x14ac:dyDescent="0.25">
      <c r="A5009" s="8" t="s">
        <v>15143</v>
      </c>
      <c r="B5009" s="8" t="s">
        <v>15144</v>
      </c>
      <c r="C5009" s="8" t="s">
        <v>15145</v>
      </c>
      <c r="D5009" s="8" t="s">
        <v>15144</v>
      </c>
      <c r="E5009" s="105">
        <v>0</v>
      </c>
      <c r="F5009" s="106" t="s">
        <v>2018</v>
      </c>
      <c r="G5009" s="8"/>
      <c r="H5009" s="8"/>
      <c r="I5009" s="107">
        <v>0</v>
      </c>
      <c r="J5009" s="8" t="s">
        <v>6357</v>
      </c>
    </row>
    <row r="5010" spans="1:10" ht="16.5" customHeight="1" x14ac:dyDescent="0.25">
      <c r="A5010" s="8" t="s">
        <v>15146</v>
      </c>
      <c r="B5010" s="8" t="s">
        <v>15147</v>
      </c>
      <c r="C5010" s="8" t="s">
        <v>15148</v>
      </c>
      <c r="D5010" s="8" t="s">
        <v>15147</v>
      </c>
      <c r="E5010" s="105">
        <v>0</v>
      </c>
      <c r="F5010" s="106" t="s">
        <v>2018</v>
      </c>
      <c r="G5010" s="8"/>
      <c r="H5010" s="8"/>
      <c r="I5010" s="107">
        <v>0</v>
      </c>
      <c r="J5010" s="8" t="s">
        <v>6357</v>
      </c>
    </row>
    <row r="5011" spans="1:10" ht="16.5" customHeight="1" x14ac:dyDescent="0.25">
      <c r="A5011" s="8" t="s">
        <v>15149</v>
      </c>
      <c r="B5011" s="8" t="s">
        <v>15150</v>
      </c>
      <c r="C5011" s="8" t="s">
        <v>15151</v>
      </c>
      <c r="D5011" s="8" t="s">
        <v>15152</v>
      </c>
      <c r="E5011" s="105">
        <v>0</v>
      </c>
      <c r="F5011" s="106" t="s">
        <v>2018</v>
      </c>
      <c r="G5011" s="8"/>
      <c r="H5011" s="8"/>
      <c r="I5011" s="107">
        <v>0</v>
      </c>
      <c r="J5011" s="8" t="s">
        <v>3580</v>
      </c>
    </row>
    <row r="5012" spans="1:10" ht="16.5" customHeight="1" x14ac:dyDescent="0.25">
      <c r="A5012" s="8" t="s">
        <v>15153</v>
      </c>
      <c r="B5012" s="8" t="s">
        <v>15154</v>
      </c>
      <c r="C5012" s="8" t="s">
        <v>15155</v>
      </c>
      <c r="D5012" s="8" t="s">
        <v>15154</v>
      </c>
      <c r="E5012" s="105">
        <v>10.92</v>
      </c>
      <c r="F5012" s="106" t="s">
        <v>2018</v>
      </c>
      <c r="G5012" s="8"/>
      <c r="H5012" s="8" t="s">
        <v>6896</v>
      </c>
      <c r="I5012" s="107">
        <v>48</v>
      </c>
      <c r="J5012" s="8" t="s">
        <v>2019</v>
      </c>
    </row>
    <row r="5013" spans="1:10" ht="16.5" customHeight="1" x14ac:dyDescent="0.25">
      <c r="A5013" s="8" t="s">
        <v>1275</v>
      </c>
      <c r="B5013" s="8" t="s">
        <v>1277</v>
      </c>
      <c r="C5013" s="8" t="s">
        <v>1276</v>
      </c>
      <c r="D5013" s="8" t="s">
        <v>1277</v>
      </c>
      <c r="E5013" s="105">
        <v>12.6</v>
      </c>
      <c r="F5013" s="106" t="s">
        <v>2018</v>
      </c>
      <c r="G5013" s="8"/>
      <c r="H5013" s="8" t="s">
        <v>14996</v>
      </c>
      <c r="I5013" s="107">
        <v>36</v>
      </c>
      <c r="J5013" s="8" t="s">
        <v>10697</v>
      </c>
    </row>
    <row r="5014" spans="1:10" ht="16.5" customHeight="1" x14ac:dyDescent="0.25">
      <c r="A5014" s="8" t="s">
        <v>1048</v>
      </c>
      <c r="B5014" s="8" t="s">
        <v>1050</v>
      </c>
      <c r="C5014" s="8" t="s">
        <v>1049</v>
      </c>
      <c r="D5014" s="8" t="s">
        <v>1050</v>
      </c>
      <c r="E5014" s="105">
        <v>15.3</v>
      </c>
      <c r="F5014" s="106" t="s">
        <v>2018</v>
      </c>
      <c r="G5014" s="8"/>
      <c r="H5014" s="8" t="s">
        <v>15000</v>
      </c>
      <c r="I5014" s="107">
        <v>3</v>
      </c>
      <c r="J5014" s="8" t="s">
        <v>10697</v>
      </c>
    </row>
    <row r="5015" spans="1:10" ht="16.5" customHeight="1" x14ac:dyDescent="0.25">
      <c r="A5015" s="8" t="s">
        <v>15156</v>
      </c>
      <c r="B5015" s="8" t="s">
        <v>15157</v>
      </c>
      <c r="C5015" s="8" t="s">
        <v>15158</v>
      </c>
      <c r="D5015" s="8" t="s">
        <v>15157</v>
      </c>
      <c r="E5015" s="105">
        <v>1</v>
      </c>
      <c r="F5015" s="106" t="s">
        <v>2018</v>
      </c>
      <c r="G5015" s="8"/>
      <c r="H5015" s="8"/>
      <c r="I5015" s="107">
        <v>0</v>
      </c>
      <c r="J5015" s="8" t="s">
        <v>2019</v>
      </c>
    </row>
    <row r="5016" spans="1:10" ht="16.5" customHeight="1" x14ac:dyDescent="0.25">
      <c r="A5016" s="8" t="s">
        <v>15159</v>
      </c>
      <c r="B5016" s="8" t="s">
        <v>15160</v>
      </c>
      <c r="C5016" s="8" t="s">
        <v>15161</v>
      </c>
      <c r="D5016" s="8" t="s">
        <v>15162</v>
      </c>
      <c r="E5016" s="105">
        <v>0</v>
      </c>
      <c r="F5016" s="106" t="s">
        <v>2018</v>
      </c>
      <c r="G5016" s="8"/>
      <c r="H5016" s="8"/>
      <c r="I5016" s="107">
        <v>0</v>
      </c>
      <c r="J5016" s="8" t="s">
        <v>3580</v>
      </c>
    </row>
    <row r="5017" spans="1:10" ht="16.5" customHeight="1" x14ac:dyDescent="0.25">
      <c r="A5017" s="8" t="s">
        <v>15163</v>
      </c>
      <c r="B5017" s="8" t="s">
        <v>15164</v>
      </c>
      <c r="C5017" s="8" t="s">
        <v>15165</v>
      </c>
      <c r="D5017" s="8" t="s">
        <v>15164</v>
      </c>
      <c r="E5017" s="105">
        <v>0.5</v>
      </c>
      <c r="F5017" s="106" t="s">
        <v>2018</v>
      </c>
      <c r="G5017" s="8"/>
      <c r="H5017" s="8"/>
      <c r="I5017" s="107">
        <v>0</v>
      </c>
      <c r="J5017" s="8" t="s">
        <v>3580</v>
      </c>
    </row>
    <row r="5018" spans="1:10" ht="16.5" customHeight="1" x14ac:dyDescent="0.25">
      <c r="A5018" s="8" t="s">
        <v>15166</v>
      </c>
      <c r="B5018" s="8" t="s">
        <v>15167</v>
      </c>
      <c r="C5018" s="8" t="s">
        <v>15168</v>
      </c>
      <c r="D5018" s="8" t="s">
        <v>15167</v>
      </c>
      <c r="E5018" s="105">
        <v>10</v>
      </c>
      <c r="F5018" s="106" t="s">
        <v>2018</v>
      </c>
      <c r="G5018" s="8"/>
      <c r="H5018" s="8" t="s">
        <v>15163</v>
      </c>
      <c r="I5018" s="107">
        <v>20</v>
      </c>
      <c r="J5018" s="8" t="s">
        <v>3580</v>
      </c>
    </row>
    <row r="5019" spans="1:10" ht="16.5" customHeight="1" x14ac:dyDescent="0.25">
      <c r="A5019" s="8" t="s">
        <v>1709</v>
      </c>
      <c r="B5019" s="8" t="s">
        <v>15169</v>
      </c>
      <c r="C5019" s="8" t="s">
        <v>1710</v>
      </c>
      <c r="D5019" s="8" t="s">
        <v>15169</v>
      </c>
      <c r="E5019" s="105">
        <v>11.148</v>
      </c>
      <c r="F5019" s="106" t="s">
        <v>2018</v>
      </c>
      <c r="G5019" s="8" t="s">
        <v>1541</v>
      </c>
      <c r="H5019" s="8" t="s">
        <v>15170</v>
      </c>
      <c r="I5019" s="107">
        <v>20</v>
      </c>
      <c r="J5019" s="8" t="s">
        <v>5929</v>
      </c>
    </row>
    <row r="5020" spans="1:10" ht="16.5" customHeight="1" x14ac:dyDescent="0.25">
      <c r="A5020" s="8" t="s">
        <v>1617</v>
      </c>
      <c r="B5020" s="8" t="s">
        <v>1619</v>
      </c>
      <c r="C5020" s="8" t="s">
        <v>1618</v>
      </c>
      <c r="D5020" s="8" t="s">
        <v>1619</v>
      </c>
      <c r="E5020" s="105">
        <v>9.6</v>
      </c>
      <c r="F5020" s="106" t="s">
        <v>2018</v>
      </c>
      <c r="G5020" s="8" t="s">
        <v>1541</v>
      </c>
      <c r="H5020" s="8" t="s">
        <v>15171</v>
      </c>
      <c r="I5020" s="107">
        <v>24</v>
      </c>
      <c r="J5020" s="8" t="s">
        <v>5929</v>
      </c>
    </row>
    <row r="5021" spans="1:10" ht="16.5" customHeight="1" x14ac:dyDescent="0.25">
      <c r="A5021" s="8" t="s">
        <v>1572</v>
      </c>
      <c r="B5021" s="8" t="s">
        <v>1574</v>
      </c>
      <c r="C5021" s="8" t="s">
        <v>1573</v>
      </c>
      <c r="D5021" s="8" t="s">
        <v>1574</v>
      </c>
      <c r="E5021" s="105">
        <v>7.6</v>
      </c>
      <c r="F5021" s="106" t="s">
        <v>2018</v>
      </c>
      <c r="G5021" s="8" t="s">
        <v>1541</v>
      </c>
      <c r="H5021" s="8" t="s">
        <v>15172</v>
      </c>
      <c r="I5021" s="107">
        <v>20</v>
      </c>
      <c r="J5021" s="8" t="s">
        <v>5929</v>
      </c>
    </row>
    <row r="5022" spans="1:10" ht="16.5" customHeight="1" x14ac:dyDescent="0.25">
      <c r="A5022" s="8" t="s">
        <v>1566</v>
      </c>
      <c r="B5022" s="8" t="s">
        <v>1568</v>
      </c>
      <c r="C5022" s="8" t="s">
        <v>1567</v>
      </c>
      <c r="D5022" s="8" t="s">
        <v>1568</v>
      </c>
      <c r="E5022" s="105">
        <v>6</v>
      </c>
      <c r="F5022" s="106" t="s">
        <v>2018</v>
      </c>
      <c r="G5022" s="8" t="s">
        <v>1541</v>
      </c>
      <c r="H5022" s="8" t="s">
        <v>15173</v>
      </c>
      <c r="I5022" s="107">
        <v>24</v>
      </c>
      <c r="J5022" s="8" t="s">
        <v>5929</v>
      </c>
    </row>
    <row r="5023" spans="1:10" ht="16.5" customHeight="1" x14ac:dyDescent="0.25">
      <c r="A5023" s="8" t="s">
        <v>15170</v>
      </c>
      <c r="B5023" s="8" t="s">
        <v>15174</v>
      </c>
      <c r="C5023" s="8" t="s">
        <v>1710</v>
      </c>
      <c r="D5023" s="8" t="s">
        <v>15174</v>
      </c>
      <c r="E5023" s="105">
        <v>0.55740000000000001</v>
      </c>
      <c r="F5023" s="106" t="s">
        <v>2018</v>
      </c>
      <c r="G5023" s="8" t="s">
        <v>1541</v>
      </c>
      <c r="H5023" s="8"/>
      <c r="I5023" s="107">
        <v>0</v>
      </c>
      <c r="J5023" s="8" t="s">
        <v>5929</v>
      </c>
    </row>
    <row r="5024" spans="1:10" ht="16.5" customHeight="1" x14ac:dyDescent="0.25">
      <c r="A5024" s="8" t="s">
        <v>15175</v>
      </c>
      <c r="B5024" s="8" t="s">
        <v>15176</v>
      </c>
      <c r="C5024" s="8" t="s">
        <v>5950</v>
      </c>
      <c r="D5024" s="8" t="s">
        <v>15176</v>
      </c>
      <c r="E5024" s="105">
        <v>0.23430000000000001</v>
      </c>
      <c r="F5024" s="106" t="s">
        <v>2018</v>
      </c>
      <c r="G5024" s="8" t="s">
        <v>1541</v>
      </c>
      <c r="H5024" s="8"/>
      <c r="I5024" s="107">
        <v>0</v>
      </c>
      <c r="J5024" s="8" t="s">
        <v>5929</v>
      </c>
    </row>
    <row r="5025" spans="1:10" ht="16.5" customHeight="1" x14ac:dyDescent="0.25">
      <c r="A5025" s="8" t="s">
        <v>15171</v>
      </c>
      <c r="B5025" s="8" t="s">
        <v>15177</v>
      </c>
      <c r="C5025" s="8" t="s">
        <v>1618</v>
      </c>
      <c r="D5025" s="8" t="s">
        <v>15177</v>
      </c>
      <c r="E5025" s="105">
        <v>0.4</v>
      </c>
      <c r="F5025" s="106" t="s">
        <v>2018</v>
      </c>
      <c r="G5025" s="8" t="s">
        <v>1541</v>
      </c>
      <c r="H5025" s="8"/>
      <c r="I5025" s="107">
        <v>0</v>
      </c>
      <c r="J5025" s="8" t="s">
        <v>5929</v>
      </c>
    </row>
    <row r="5026" spans="1:10" ht="16.5" customHeight="1" x14ac:dyDescent="0.25">
      <c r="A5026" s="8" t="s">
        <v>15172</v>
      </c>
      <c r="B5026" s="8" t="s">
        <v>15178</v>
      </c>
      <c r="C5026" s="8" t="s">
        <v>1573</v>
      </c>
      <c r="D5026" s="8" t="s">
        <v>15178</v>
      </c>
      <c r="E5026" s="105">
        <v>0.38</v>
      </c>
      <c r="F5026" s="106" t="s">
        <v>2018</v>
      </c>
      <c r="G5026" s="8" t="s">
        <v>1541</v>
      </c>
      <c r="H5026" s="8"/>
      <c r="I5026" s="107">
        <v>0</v>
      </c>
      <c r="J5026" s="8" t="s">
        <v>5929</v>
      </c>
    </row>
    <row r="5027" spans="1:10" ht="16.5" customHeight="1" x14ac:dyDescent="0.25">
      <c r="A5027" s="8" t="s">
        <v>15173</v>
      </c>
      <c r="B5027" s="8" t="s">
        <v>15179</v>
      </c>
      <c r="C5027" s="8" t="s">
        <v>1567</v>
      </c>
      <c r="D5027" s="8" t="s">
        <v>15179</v>
      </c>
      <c r="E5027" s="105">
        <v>0.25</v>
      </c>
      <c r="F5027" s="106" t="s">
        <v>2018</v>
      </c>
      <c r="G5027" s="8" t="s">
        <v>1541</v>
      </c>
      <c r="H5027" s="8"/>
      <c r="I5027" s="107">
        <v>0</v>
      </c>
      <c r="J5027" s="8" t="s">
        <v>5929</v>
      </c>
    </row>
    <row r="5028" spans="1:10" ht="16.5" customHeight="1" x14ac:dyDescent="0.25">
      <c r="A5028" s="8" t="s">
        <v>1685</v>
      </c>
      <c r="B5028" s="8" t="s">
        <v>1687</v>
      </c>
      <c r="C5028" s="8" t="s">
        <v>1686</v>
      </c>
      <c r="D5028" s="8" t="s">
        <v>1687</v>
      </c>
      <c r="E5028" s="105">
        <v>12</v>
      </c>
      <c r="F5028" s="106" t="s">
        <v>2018</v>
      </c>
      <c r="G5028" s="8" t="s">
        <v>1541</v>
      </c>
      <c r="H5028" s="8" t="s">
        <v>15180</v>
      </c>
      <c r="I5028" s="107">
        <v>6</v>
      </c>
      <c r="J5028" s="8" t="s">
        <v>5929</v>
      </c>
    </row>
    <row r="5029" spans="1:10" ht="16.5" customHeight="1" x14ac:dyDescent="0.25">
      <c r="A5029" s="8" t="s">
        <v>15180</v>
      </c>
      <c r="B5029" s="8" t="s">
        <v>15181</v>
      </c>
      <c r="C5029" s="8" t="s">
        <v>6880</v>
      </c>
      <c r="D5029" s="8" t="s">
        <v>15181</v>
      </c>
      <c r="E5029" s="105">
        <v>2</v>
      </c>
      <c r="F5029" s="106" t="s">
        <v>2018</v>
      </c>
      <c r="G5029" s="8" t="s">
        <v>1541</v>
      </c>
      <c r="H5029" s="8"/>
      <c r="I5029" s="107">
        <v>0</v>
      </c>
      <c r="J5029" s="8" t="s">
        <v>5929</v>
      </c>
    </row>
    <row r="5030" spans="1:10" ht="16.5" customHeight="1" x14ac:dyDescent="0.25">
      <c r="A5030" s="8" t="s">
        <v>15182</v>
      </c>
      <c r="B5030" s="8" t="s">
        <v>15183</v>
      </c>
      <c r="C5030" s="8" t="s">
        <v>7204</v>
      </c>
      <c r="D5030" s="8" t="s">
        <v>15183</v>
      </c>
      <c r="E5030" s="105">
        <v>12.8607</v>
      </c>
      <c r="F5030" s="106" t="s">
        <v>2018</v>
      </c>
      <c r="G5030" s="8" t="s">
        <v>1541</v>
      </c>
      <c r="H5030" s="8" t="s">
        <v>15184</v>
      </c>
      <c r="I5030" s="107">
        <v>6</v>
      </c>
      <c r="J5030" s="8" t="s">
        <v>5929</v>
      </c>
    </row>
    <row r="5031" spans="1:10" ht="16.5" customHeight="1" x14ac:dyDescent="0.25">
      <c r="A5031" s="8" t="s">
        <v>15184</v>
      </c>
      <c r="B5031" s="8" t="s">
        <v>15185</v>
      </c>
      <c r="C5031" s="8" t="s">
        <v>7207</v>
      </c>
      <c r="D5031" s="8" t="s">
        <v>15185</v>
      </c>
      <c r="E5031" s="105">
        <v>2.1435</v>
      </c>
      <c r="F5031" s="106" t="s">
        <v>2018</v>
      </c>
      <c r="G5031" s="8" t="s">
        <v>1541</v>
      </c>
      <c r="H5031" s="8"/>
      <c r="I5031" s="107">
        <v>0</v>
      </c>
      <c r="J5031" s="8" t="s">
        <v>5929</v>
      </c>
    </row>
    <row r="5032" spans="1:10" ht="16.5" customHeight="1" x14ac:dyDescent="0.25">
      <c r="A5032" s="8" t="s">
        <v>1620</v>
      </c>
      <c r="B5032" s="8" t="s">
        <v>1622</v>
      </c>
      <c r="C5032" s="8" t="s">
        <v>1621</v>
      </c>
      <c r="D5032" s="8" t="s">
        <v>1622</v>
      </c>
      <c r="E5032" s="105">
        <v>5.64</v>
      </c>
      <c r="F5032" s="106" t="s">
        <v>2018</v>
      </c>
      <c r="G5032" s="8" t="s">
        <v>1541</v>
      </c>
      <c r="H5032" s="8" t="s">
        <v>15186</v>
      </c>
      <c r="I5032" s="107">
        <v>12</v>
      </c>
      <c r="J5032" s="8" t="s">
        <v>5929</v>
      </c>
    </row>
    <row r="5033" spans="1:10" ht="16.5" customHeight="1" x14ac:dyDescent="0.25">
      <c r="A5033" s="8" t="s">
        <v>15186</v>
      </c>
      <c r="B5033" s="8" t="s">
        <v>15187</v>
      </c>
      <c r="C5033" s="8" t="s">
        <v>7377</v>
      </c>
      <c r="D5033" s="8" t="s">
        <v>15187</v>
      </c>
      <c r="E5033" s="105">
        <v>0.47</v>
      </c>
      <c r="F5033" s="106" t="s">
        <v>2018</v>
      </c>
      <c r="G5033" s="8" t="s">
        <v>1541</v>
      </c>
      <c r="H5033" s="8"/>
      <c r="I5033" s="107">
        <v>0</v>
      </c>
      <c r="J5033" s="8" t="s">
        <v>5929</v>
      </c>
    </row>
    <row r="5034" spans="1:10" ht="16.5" customHeight="1" x14ac:dyDescent="0.25">
      <c r="A5034" s="8" t="s">
        <v>1596</v>
      </c>
      <c r="B5034" s="8" t="s">
        <v>1598</v>
      </c>
      <c r="C5034" s="8" t="s">
        <v>1597</v>
      </c>
      <c r="D5034" s="8" t="s">
        <v>1598</v>
      </c>
      <c r="E5034" s="105">
        <v>12.3</v>
      </c>
      <c r="F5034" s="106" t="s">
        <v>2018</v>
      </c>
      <c r="G5034" s="8" t="s">
        <v>1541</v>
      </c>
      <c r="H5034" s="8" t="s">
        <v>15188</v>
      </c>
      <c r="I5034" s="107">
        <v>20</v>
      </c>
      <c r="J5034" s="8" t="s">
        <v>4789</v>
      </c>
    </row>
    <row r="5035" spans="1:10" ht="16.5" customHeight="1" x14ac:dyDescent="0.25">
      <c r="A5035" s="8" t="s">
        <v>15188</v>
      </c>
      <c r="B5035" s="8" t="s">
        <v>15189</v>
      </c>
      <c r="C5035" s="8" t="s">
        <v>7701</v>
      </c>
      <c r="D5035" s="8" t="s">
        <v>15189</v>
      </c>
      <c r="E5035" s="105">
        <v>0.61499999999999999</v>
      </c>
      <c r="F5035" s="106" t="s">
        <v>2018</v>
      </c>
      <c r="G5035" s="8" t="s">
        <v>1541</v>
      </c>
      <c r="H5035" s="8"/>
      <c r="I5035" s="107">
        <v>0</v>
      </c>
      <c r="J5035" s="8" t="s">
        <v>4789</v>
      </c>
    </row>
    <row r="5036" spans="1:10" ht="16.5" customHeight="1" x14ac:dyDescent="0.25">
      <c r="A5036" s="8" t="s">
        <v>1614</v>
      </c>
      <c r="B5036" s="8" t="s">
        <v>1616</v>
      </c>
      <c r="C5036" s="8" t="s">
        <v>1615</v>
      </c>
      <c r="D5036" s="8" t="s">
        <v>1616</v>
      </c>
      <c r="E5036" s="105">
        <v>6.48</v>
      </c>
      <c r="F5036" s="106" t="s">
        <v>2018</v>
      </c>
      <c r="G5036" s="8" t="s">
        <v>1541</v>
      </c>
      <c r="H5036" s="8" t="s">
        <v>15190</v>
      </c>
      <c r="I5036" s="107">
        <v>24</v>
      </c>
      <c r="J5036" s="8" t="s">
        <v>5929</v>
      </c>
    </row>
    <row r="5037" spans="1:10" ht="16.5" customHeight="1" x14ac:dyDescent="0.25">
      <c r="A5037" s="8" t="s">
        <v>15190</v>
      </c>
      <c r="B5037" s="8" t="s">
        <v>15191</v>
      </c>
      <c r="C5037" s="8" t="s">
        <v>8146</v>
      </c>
      <c r="D5037" s="8" t="s">
        <v>15191</v>
      </c>
      <c r="E5037" s="105">
        <v>0.27</v>
      </c>
      <c r="F5037" s="106" t="s">
        <v>2018</v>
      </c>
      <c r="G5037" s="8" t="s">
        <v>1541</v>
      </c>
      <c r="H5037" s="8"/>
      <c r="I5037" s="107">
        <v>0</v>
      </c>
      <c r="J5037" s="8" t="s">
        <v>5929</v>
      </c>
    </row>
    <row r="5038" spans="1:10" ht="16.5" customHeight="1" x14ac:dyDescent="0.25">
      <c r="A5038" s="8" t="s">
        <v>1717</v>
      </c>
      <c r="B5038" s="8" t="s">
        <v>1719</v>
      </c>
      <c r="C5038" s="8" t="s">
        <v>1718</v>
      </c>
      <c r="D5038" s="8" t="s">
        <v>1719</v>
      </c>
      <c r="E5038" s="105">
        <v>7.44</v>
      </c>
      <c r="F5038" s="106" t="s">
        <v>2018</v>
      </c>
      <c r="G5038" s="8" t="s">
        <v>1541</v>
      </c>
      <c r="H5038" s="8" t="s">
        <v>15192</v>
      </c>
      <c r="I5038" s="107">
        <v>24</v>
      </c>
      <c r="J5038" s="8" t="s">
        <v>5929</v>
      </c>
    </row>
    <row r="5039" spans="1:10" ht="16.5" customHeight="1" x14ac:dyDescent="0.25">
      <c r="A5039" s="8" t="s">
        <v>15192</v>
      </c>
      <c r="B5039" s="8" t="s">
        <v>15193</v>
      </c>
      <c r="C5039" s="8" t="s">
        <v>8245</v>
      </c>
      <c r="D5039" s="8" t="s">
        <v>15193</v>
      </c>
      <c r="E5039" s="105">
        <v>0.31</v>
      </c>
      <c r="F5039" s="106" t="s">
        <v>2018</v>
      </c>
      <c r="G5039" s="8" t="s">
        <v>1541</v>
      </c>
      <c r="H5039" s="8"/>
      <c r="I5039" s="107">
        <v>0</v>
      </c>
      <c r="J5039" s="8" t="s">
        <v>5929</v>
      </c>
    </row>
    <row r="5040" spans="1:10" ht="16.5" customHeight="1" x14ac:dyDescent="0.25">
      <c r="A5040" s="8" t="s">
        <v>1623</v>
      </c>
      <c r="B5040" s="8" t="s">
        <v>1625</v>
      </c>
      <c r="C5040" s="8" t="s">
        <v>1624</v>
      </c>
      <c r="D5040" s="8" t="s">
        <v>1625</v>
      </c>
      <c r="E5040" s="105">
        <v>6</v>
      </c>
      <c r="F5040" s="106" t="s">
        <v>2018</v>
      </c>
      <c r="G5040" s="8" t="s">
        <v>1541</v>
      </c>
      <c r="H5040" s="8" t="s">
        <v>15194</v>
      </c>
      <c r="I5040" s="107">
        <v>12</v>
      </c>
      <c r="J5040" s="8" t="s">
        <v>5929</v>
      </c>
    </row>
    <row r="5041" spans="1:10" ht="16.5" customHeight="1" x14ac:dyDescent="0.25">
      <c r="A5041" s="8" t="s">
        <v>15194</v>
      </c>
      <c r="B5041" s="8" t="s">
        <v>15195</v>
      </c>
      <c r="C5041" s="8" t="s">
        <v>8519</v>
      </c>
      <c r="D5041" s="8" t="s">
        <v>15195</v>
      </c>
      <c r="E5041" s="105">
        <v>0.5</v>
      </c>
      <c r="F5041" s="106" t="s">
        <v>2018</v>
      </c>
      <c r="G5041" s="8" t="s">
        <v>1541</v>
      </c>
      <c r="H5041" s="8"/>
      <c r="I5041" s="107">
        <v>0</v>
      </c>
      <c r="J5041" s="8" t="s">
        <v>5929</v>
      </c>
    </row>
    <row r="5042" spans="1:10" ht="16.5" customHeight="1" x14ac:dyDescent="0.25">
      <c r="A5042" s="8" t="s">
        <v>1720</v>
      </c>
      <c r="B5042" s="8" t="s">
        <v>1722</v>
      </c>
      <c r="C5042" s="8" t="s">
        <v>1721</v>
      </c>
      <c r="D5042" s="8" t="s">
        <v>1722</v>
      </c>
      <c r="E5042" s="105">
        <v>7.7131999999999996</v>
      </c>
      <c r="F5042" s="106" t="s">
        <v>2018</v>
      </c>
      <c r="G5042" s="8" t="s">
        <v>1541</v>
      </c>
      <c r="H5042" s="8" t="s">
        <v>15196</v>
      </c>
      <c r="I5042" s="107">
        <v>24</v>
      </c>
      <c r="J5042" s="8" t="s">
        <v>5929</v>
      </c>
    </row>
    <row r="5043" spans="1:10" ht="16.5" customHeight="1" x14ac:dyDescent="0.25">
      <c r="A5043" s="8" t="s">
        <v>15196</v>
      </c>
      <c r="B5043" s="8" t="s">
        <v>15197</v>
      </c>
      <c r="C5043" s="8" t="s">
        <v>8566</v>
      </c>
      <c r="D5043" s="8" t="s">
        <v>15197</v>
      </c>
      <c r="E5043" s="105">
        <v>0.32140000000000002</v>
      </c>
      <c r="F5043" s="106" t="s">
        <v>2018</v>
      </c>
      <c r="G5043" s="8" t="s">
        <v>1541</v>
      </c>
      <c r="H5043" s="8"/>
      <c r="I5043" s="107">
        <v>0</v>
      </c>
      <c r="J5043" s="8" t="s">
        <v>5929</v>
      </c>
    </row>
    <row r="5044" spans="1:10" ht="16.5" customHeight="1" x14ac:dyDescent="0.25">
      <c r="A5044" s="8" t="s">
        <v>1659</v>
      </c>
      <c r="B5044" s="8" t="s">
        <v>1661</v>
      </c>
      <c r="C5044" s="8" t="s">
        <v>1660</v>
      </c>
      <c r="D5044" s="8" t="s">
        <v>1661</v>
      </c>
      <c r="E5044" s="105">
        <v>13.7736</v>
      </c>
      <c r="F5044" s="106" t="s">
        <v>2018</v>
      </c>
      <c r="G5044" s="8" t="s">
        <v>1541</v>
      </c>
      <c r="H5044" s="8" t="s">
        <v>15198</v>
      </c>
      <c r="I5044" s="107">
        <v>24</v>
      </c>
      <c r="J5044" s="8" t="s">
        <v>5929</v>
      </c>
    </row>
    <row r="5045" spans="1:10" ht="16.5" customHeight="1" x14ac:dyDescent="0.25">
      <c r="A5045" s="8" t="s">
        <v>15198</v>
      </c>
      <c r="B5045" s="8" t="s">
        <v>15199</v>
      </c>
      <c r="C5045" s="8" t="s">
        <v>8571</v>
      </c>
      <c r="D5045" s="8" t="s">
        <v>15199</v>
      </c>
      <c r="E5045" s="105">
        <v>0.57389999999999997</v>
      </c>
      <c r="F5045" s="106" t="s">
        <v>2018</v>
      </c>
      <c r="G5045" s="8" t="s">
        <v>1541</v>
      </c>
      <c r="H5045" s="8"/>
      <c r="I5045" s="107">
        <v>0</v>
      </c>
      <c r="J5045" s="8" t="s">
        <v>5929</v>
      </c>
    </row>
    <row r="5046" spans="1:10" ht="16.5" customHeight="1" x14ac:dyDescent="0.25">
      <c r="A5046" s="8" t="s">
        <v>15200</v>
      </c>
      <c r="B5046" s="8" t="s">
        <v>15201</v>
      </c>
      <c r="C5046" s="8" t="s">
        <v>8597</v>
      </c>
      <c r="D5046" s="8" t="s">
        <v>15201</v>
      </c>
      <c r="E5046" s="105">
        <v>0.5</v>
      </c>
      <c r="F5046" s="106" t="s">
        <v>2018</v>
      </c>
      <c r="G5046" s="8" t="s">
        <v>1541</v>
      </c>
      <c r="H5046" s="8"/>
      <c r="I5046" s="107">
        <v>0</v>
      </c>
      <c r="J5046" s="8" t="s">
        <v>5929</v>
      </c>
    </row>
    <row r="5047" spans="1:10" ht="16.5" customHeight="1" x14ac:dyDescent="0.25">
      <c r="A5047" s="8" t="s">
        <v>1668</v>
      </c>
      <c r="B5047" s="8" t="s">
        <v>1670</v>
      </c>
      <c r="C5047" s="8" t="s">
        <v>1669</v>
      </c>
      <c r="D5047" s="8" t="s">
        <v>1670</v>
      </c>
      <c r="E5047" s="105">
        <v>6</v>
      </c>
      <c r="F5047" s="106" t="s">
        <v>2018</v>
      </c>
      <c r="G5047" s="8" t="s">
        <v>1541</v>
      </c>
      <c r="H5047" s="8" t="s">
        <v>15200</v>
      </c>
      <c r="I5047" s="107">
        <v>12</v>
      </c>
      <c r="J5047" s="8" t="s">
        <v>5929</v>
      </c>
    </row>
    <row r="5048" spans="1:10" ht="16.5" customHeight="1" x14ac:dyDescent="0.25">
      <c r="A5048" s="8" t="s">
        <v>1542</v>
      </c>
      <c r="B5048" s="8" t="s">
        <v>1544</v>
      </c>
      <c r="C5048" s="8" t="s">
        <v>1543</v>
      </c>
      <c r="D5048" s="8" t="s">
        <v>1544</v>
      </c>
      <c r="E5048" s="105">
        <v>13.095599999999999</v>
      </c>
      <c r="F5048" s="106" t="s">
        <v>2018</v>
      </c>
      <c r="G5048" s="8" t="s">
        <v>1541</v>
      </c>
      <c r="H5048" s="8" t="s">
        <v>15202</v>
      </c>
      <c r="I5048" s="107">
        <v>24</v>
      </c>
      <c r="J5048" s="8" t="s">
        <v>5929</v>
      </c>
    </row>
    <row r="5049" spans="1:10" ht="16.5" customHeight="1" x14ac:dyDescent="0.25">
      <c r="A5049" s="8" t="s">
        <v>15202</v>
      </c>
      <c r="B5049" s="8" t="s">
        <v>15203</v>
      </c>
      <c r="C5049" s="8" t="s">
        <v>8715</v>
      </c>
      <c r="D5049" s="8" t="s">
        <v>15203</v>
      </c>
      <c r="E5049" s="105">
        <v>0.54569999999999996</v>
      </c>
      <c r="F5049" s="106" t="s">
        <v>2018</v>
      </c>
      <c r="G5049" s="8" t="s">
        <v>1541</v>
      </c>
      <c r="H5049" s="8"/>
      <c r="I5049" s="107">
        <v>0</v>
      </c>
      <c r="J5049" s="8" t="s">
        <v>5929</v>
      </c>
    </row>
    <row r="5050" spans="1:10" ht="16.5" customHeight="1" x14ac:dyDescent="0.25">
      <c r="A5050" s="8" t="s">
        <v>1700</v>
      </c>
      <c r="B5050" s="8" t="s">
        <v>1702</v>
      </c>
      <c r="C5050" s="8" t="s">
        <v>1701</v>
      </c>
      <c r="D5050" s="8" t="s">
        <v>1702</v>
      </c>
      <c r="E5050" s="105">
        <v>10</v>
      </c>
      <c r="F5050" s="106" t="s">
        <v>2018</v>
      </c>
      <c r="G5050" s="8" t="s">
        <v>1541</v>
      </c>
      <c r="H5050" s="8" t="s">
        <v>15204</v>
      </c>
      <c r="I5050" s="107">
        <v>10</v>
      </c>
      <c r="J5050" s="8" t="s">
        <v>5929</v>
      </c>
    </row>
    <row r="5051" spans="1:10" ht="16.5" customHeight="1" x14ac:dyDescent="0.25">
      <c r="A5051" s="8" t="s">
        <v>15204</v>
      </c>
      <c r="B5051" s="8" t="s">
        <v>15205</v>
      </c>
      <c r="C5051" s="8" t="s">
        <v>8792</v>
      </c>
      <c r="D5051" s="8" t="s">
        <v>15205</v>
      </c>
      <c r="E5051" s="105">
        <v>1</v>
      </c>
      <c r="F5051" s="106" t="s">
        <v>2018</v>
      </c>
      <c r="G5051" s="8" t="s">
        <v>1541</v>
      </c>
      <c r="H5051" s="8"/>
      <c r="I5051" s="107">
        <v>0</v>
      </c>
      <c r="J5051" s="8" t="s">
        <v>5929</v>
      </c>
    </row>
    <row r="5052" spans="1:10" ht="16.5" customHeight="1" x14ac:dyDescent="0.25">
      <c r="A5052" s="8" t="s">
        <v>1656</v>
      </c>
      <c r="B5052" s="8" t="s">
        <v>1658</v>
      </c>
      <c r="C5052" s="8" t="s">
        <v>1657</v>
      </c>
      <c r="D5052" s="8" t="s">
        <v>1658</v>
      </c>
      <c r="E5052" s="105">
        <v>7.6</v>
      </c>
      <c r="F5052" s="106" t="s">
        <v>2018</v>
      </c>
      <c r="G5052" s="8" t="s">
        <v>1541</v>
      </c>
      <c r="H5052" s="8" t="s">
        <v>15206</v>
      </c>
      <c r="I5052" s="107">
        <v>20</v>
      </c>
      <c r="J5052" s="8" t="s">
        <v>5929</v>
      </c>
    </row>
    <row r="5053" spans="1:10" ht="16.5" customHeight="1" x14ac:dyDescent="0.25">
      <c r="A5053" s="8" t="s">
        <v>1569</v>
      </c>
      <c r="B5053" s="8" t="s">
        <v>1571</v>
      </c>
      <c r="C5053" s="8" t="s">
        <v>1570</v>
      </c>
      <c r="D5053" s="8" t="s">
        <v>1571</v>
      </c>
      <c r="E5053" s="105">
        <v>8.5</v>
      </c>
      <c r="F5053" s="106" t="s">
        <v>2018</v>
      </c>
      <c r="G5053" s="8" t="s">
        <v>1541</v>
      </c>
      <c r="H5053" s="8" t="s">
        <v>15207</v>
      </c>
      <c r="I5053" s="107">
        <v>10</v>
      </c>
      <c r="J5053" s="8" t="s">
        <v>5929</v>
      </c>
    </row>
    <row r="5054" spans="1:10" ht="16.5" customHeight="1" x14ac:dyDescent="0.25">
      <c r="A5054" s="8" t="s">
        <v>15206</v>
      </c>
      <c r="B5054" s="8" t="s">
        <v>15208</v>
      </c>
      <c r="C5054" s="8" t="s">
        <v>8926</v>
      </c>
      <c r="D5054" s="8" t="s">
        <v>15208</v>
      </c>
      <c r="E5054" s="105">
        <v>0.38</v>
      </c>
      <c r="F5054" s="106" t="s">
        <v>2018</v>
      </c>
      <c r="G5054" s="8" t="s">
        <v>1541</v>
      </c>
      <c r="H5054" s="8"/>
      <c r="I5054" s="107">
        <v>0</v>
      </c>
      <c r="J5054" s="8" t="s">
        <v>5929</v>
      </c>
    </row>
    <row r="5055" spans="1:10" ht="16.5" customHeight="1" x14ac:dyDescent="0.25">
      <c r="A5055" s="8" t="s">
        <v>15207</v>
      </c>
      <c r="B5055" s="8" t="s">
        <v>15209</v>
      </c>
      <c r="C5055" s="8" t="s">
        <v>8927</v>
      </c>
      <c r="D5055" s="8" t="s">
        <v>15209</v>
      </c>
      <c r="E5055" s="105">
        <v>0.85</v>
      </c>
      <c r="F5055" s="106" t="s">
        <v>2018</v>
      </c>
      <c r="G5055" s="8" t="s">
        <v>1541</v>
      </c>
      <c r="H5055" s="8"/>
      <c r="I5055" s="107">
        <v>0</v>
      </c>
      <c r="J5055" s="8" t="s">
        <v>5929</v>
      </c>
    </row>
    <row r="5056" spans="1:10" ht="16.5" customHeight="1" x14ac:dyDescent="0.25">
      <c r="A5056" s="8" t="s">
        <v>15210</v>
      </c>
      <c r="B5056" s="8" t="s">
        <v>15211</v>
      </c>
      <c r="C5056" s="8" t="s">
        <v>8962</v>
      </c>
      <c r="D5056" s="8" t="s">
        <v>15211</v>
      </c>
      <c r="E5056" s="105">
        <v>6</v>
      </c>
      <c r="F5056" s="106" t="s">
        <v>2018</v>
      </c>
      <c r="G5056" s="8" t="s">
        <v>1541</v>
      </c>
      <c r="H5056" s="8" t="s">
        <v>15212</v>
      </c>
      <c r="I5056" s="107">
        <v>120</v>
      </c>
      <c r="J5056" s="8" t="s">
        <v>5929</v>
      </c>
    </row>
    <row r="5057" spans="1:10" ht="16.5" customHeight="1" x14ac:dyDescent="0.25">
      <c r="A5057" s="8" t="s">
        <v>15212</v>
      </c>
      <c r="B5057" s="8" t="s">
        <v>15213</v>
      </c>
      <c r="C5057" s="8" t="s">
        <v>8964</v>
      </c>
      <c r="D5057" s="8" t="s">
        <v>15213</v>
      </c>
      <c r="E5057" s="105">
        <v>0.05</v>
      </c>
      <c r="F5057" s="106" t="s">
        <v>2018</v>
      </c>
      <c r="G5057" s="8" t="s">
        <v>1541</v>
      </c>
      <c r="H5057" s="8"/>
      <c r="I5057" s="107">
        <v>0</v>
      </c>
      <c r="J5057" s="8" t="s">
        <v>5929</v>
      </c>
    </row>
    <row r="5058" spans="1:10" ht="16.5" customHeight="1" x14ac:dyDescent="0.25">
      <c r="A5058" s="8" t="s">
        <v>1554</v>
      </c>
      <c r="B5058" s="8" t="s">
        <v>1556</v>
      </c>
      <c r="C5058" s="8" t="s">
        <v>1555</v>
      </c>
      <c r="D5058" s="8" t="s">
        <v>1556</v>
      </c>
      <c r="E5058" s="105">
        <v>5.52</v>
      </c>
      <c r="F5058" s="106" t="s">
        <v>2018</v>
      </c>
      <c r="G5058" s="8" t="s">
        <v>1541</v>
      </c>
      <c r="H5058" s="8" t="s">
        <v>15214</v>
      </c>
      <c r="I5058" s="107">
        <v>24</v>
      </c>
      <c r="J5058" s="8" t="s">
        <v>5929</v>
      </c>
    </row>
    <row r="5059" spans="1:10" ht="16.5" customHeight="1" x14ac:dyDescent="0.25">
      <c r="A5059" s="8" t="s">
        <v>15214</v>
      </c>
      <c r="B5059" s="8" t="s">
        <v>15215</v>
      </c>
      <c r="C5059" s="8" t="s">
        <v>9402</v>
      </c>
      <c r="D5059" s="8" t="s">
        <v>15215</v>
      </c>
      <c r="E5059" s="105">
        <v>0.23</v>
      </c>
      <c r="F5059" s="106" t="s">
        <v>2018</v>
      </c>
      <c r="G5059" s="8" t="s">
        <v>1541</v>
      </c>
      <c r="H5059" s="8"/>
      <c r="I5059" s="107">
        <v>0</v>
      </c>
      <c r="J5059" s="8" t="s">
        <v>5929</v>
      </c>
    </row>
    <row r="5060" spans="1:10" ht="16.5" customHeight="1" x14ac:dyDescent="0.25">
      <c r="A5060" s="8" t="s">
        <v>1557</v>
      </c>
      <c r="B5060" s="8" t="s">
        <v>1559</v>
      </c>
      <c r="C5060" s="8" t="s">
        <v>1558</v>
      </c>
      <c r="D5060" s="8" t="s">
        <v>1559</v>
      </c>
      <c r="E5060" s="105">
        <v>5.52</v>
      </c>
      <c r="F5060" s="106" t="s">
        <v>2018</v>
      </c>
      <c r="G5060" s="8" t="s">
        <v>1541</v>
      </c>
      <c r="H5060" s="8" t="s">
        <v>15216</v>
      </c>
      <c r="I5060" s="107">
        <v>24</v>
      </c>
      <c r="J5060" s="8" t="s">
        <v>5929</v>
      </c>
    </row>
    <row r="5061" spans="1:10" ht="16.5" customHeight="1" x14ac:dyDescent="0.25">
      <c r="A5061" s="8" t="s">
        <v>15216</v>
      </c>
      <c r="B5061" s="8" t="s">
        <v>15217</v>
      </c>
      <c r="C5061" s="8" t="s">
        <v>9407</v>
      </c>
      <c r="D5061" s="8" t="s">
        <v>15217</v>
      </c>
      <c r="E5061" s="105">
        <v>0.23</v>
      </c>
      <c r="F5061" s="106" t="s">
        <v>2018</v>
      </c>
      <c r="G5061" s="8" t="s">
        <v>1541</v>
      </c>
      <c r="H5061" s="8"/>
      <c r="I5061" s="107">
        <v>0</v>
      </c>
      <c r="J5061" s="8" t="s">
        <v>5929</v>
      </c>
    </row>
    <row r="5062" spans="1:10" ht="16.5" customHeight="1" x14ac:dyDescent="0.25">
      <c r="A5062" s="8" t="s">
        <v>15218</v>
      </c>
      <c r="B5062" s="8" t="s">
        <v>15219</v>
      </c>
      <c r="C5062" s="8" t="s">
        <v>9509</v>
      </c>
      <c r="D5062" s="8" t="s">
        <v>15219</v>
      </c>
      <c r="E5062" s="105">
        <v>12</v>
      </c>
      <c r="F5062" s="106" t="s">
        <v>2018</v>
      </c>
      <c r="G5062" s="8" t="s">
        <v>1541</v>
      </c>
      <c r="H5062" s="8" t="s">
        <v>15220</v>
      </c>
      <c r="I5062" s="107">
        <v>24</v>
      </c>
      <c r="J5062" s="8" t="s">
        <v>5929</v>
      </c>
    </row>
    <row r="5063" spans="1:10" ht="16.5" customHeight="1" x14ac:dyDescent="0.25">
      <c r="A5063" s="8" t="s">
        <v>15220</v>
      </c>
      <c r="B5063" s="8" t="s">
        <v>15221</v>
      </c>
      <c r="C5063" s="8" t="s">
        <v>9512</v>
      </c>
      <c r="D5063" s="8" t="s">
        <v>15221</v>
      </c>
      <c r="E5063" s="105">
        <v>0.5</v>
      </c>
      <c r="F5063" s="106" t="s">
        <v>2018</v>
      </c>
      <c r="G5063" s="8" t="s">
        <v>1541</v>
      </c>
      <c r="H5063" s="8"/>
      <c r="I5063" s="107">
        <v>0</v>
      </c>
      <c r="J5063" s="8" t="s">
        <v>5929</v>
      </c>
    </row>
    <row r="5064" spans="1:10" ht="16.5" customHeight="1" x14ac:dyDescent="0.25">
      <c r="A5064" s="8" t="s">
        <v>1611</v>
      </c>
      <c r="B5064" s="8" t="s">
        <v>1613</v>
      </c>
      <c r="C5064" s="8" t="s">
        <v>1612</v>
      </c>
      <c r="D5064" s="8" t="s">
        <v>1613</v>
      </c>
      <c r="E5064" s="105">
        <v>9.7792999999999992</v>
      </c>
      <c r="F5064" s="106" t="s">
        <v>2018</v>
      </c>
      <c r="G5064" s="8" t="s">
        <v>1541</v>
      </c>
      <c r="H5064" s="8" t="s">
        <v>15222</v>
      </c>
      <c r="I5064" s="107">
        <v>12</v>
      </c>
      <c r="J5064" s="8" t="s">
        <v>5929</v>
      </c>
    </row>
    <row r="5065" spans="1:10" ht="16.5" customHeight="1" x14ac:dyDescent="0.25">
      <c r="A5065" s="8" t="s">
        <v>15222</v>
      </c>
      <c r="B5065" s="8" t="s">
        <v>15223</v>
      </c>
      <c r="C5065" s="8" t="s">
        <v>9538</v>
      </c>
      <c r="D5065" s="8" t="s">
        <v>15223</v>
      </c>
      <c r="E5065" s="105">
        <v>0.81489999999999996</v>
      </c>
      <c r="F5065" s="106" t="s">
        <v>2018</v>
      </c>
      <c r="G5065" s="8" t="s">
        <v>1541</v>
      </c>
      <c r="H5065" s="8"/>
      <c r="I5065" s="107">
        <v>0</v>
      </c>
      <c r="J5065" s="8" t="s">
        <v>5929</v>
      </c>
    </row>
    <row r="5066" spans="1:10" ht="16.5" customHeight="1" x14ac:dyDescent="0.25">
      <c r="A5066" s="8" t="s">
        <v>1599</v>
      </c>
      <c r="B5066" s="8" t="s">
        <v>1601</v>
      </c>
      <c r="C5066" s="8" t="s">
        <v>1600</v>
      </c>
      <c r="D5066" s="8" t="s">
        <v>1601</v>
      </c>
      <c r="E5066" s="105">
        <v>12</v>
      </c>
      <c r="F5066" s="106" t="s">
        <v>2018</v>
      </c>
      <c r="G5066" s="8" t="s">
        <v>1541</v>
      </c>
      <c r="H5066" s="8" t="s">
        <v>15224</v>
      </c>
      <c r="I5066" s="107">
        <v>12</v>
      </c>
      <c r="J5066" s="8" t="s">
        <v>5929</v>
      </c>
    </row>
    <row r="5067" spans="1:10" ht="16.5" customHeight="1" x14ac:dyDescent="0.25">
      <c r="A5067" s="8" t="s">
        <v>15224</v>
      </c>
      <c r="B5067" s="8" t="s">
        <v>15225</v>
      </c>
      <c r="C5067" s="8" t="s">
        <v>9642</v>
      </c>
      <c r="D5067" s="8" t="s">
        <v>15225</v>
      </c>
      <c r="E5067" s="105">
        <v>1</v>
      </c>
      <c r="F5067" s="106" t="s">
        <v>2018</v>
      </c>
      <c r="G5067" s="8" t="s">
        <v>1541</v>
      </c>
      <c r="H5067" s="8"/>
      <c r="I5067" s="107">
        <v>0</v>
      </c>
      <c r="J5067" s="8" t="s">
        <v>5929</v>
      </c>
    </row>
    <row r="5068" spans="1:10" ht="16.5" customHeight="1" x14ac:dyDescent="0.25">
      <c r="A5068" s="8" t="s">
        <v>15226</v>
      </c>
      <c r="B5068" s="8" t="s">
        <v>15227</v>
      </c>
      <c r="C5068" s="8" t="s">
        <v>9662</v>
      </c>
      <c r="D5068" s="8" t="s">
        <v>15227</v>
      </c>
      <c r="E5068" s="105">
        <v>0.01</v>
      </c>
      <c r="F5068" s="106" t="s">
        <v>2018</v>
      </c>
      <c r="G5068" s="8" t="s">
        <v>1541</v>
      </c>
      <c r="H5068" s="8"/>
      <c r="I5068" s="107">
        <v>0</v>
      </c>
      <c r="J5068" s="8" t="s">
        <v>5929</v>
      </c>
    </row>
    <row r="5069" spans="1:10" ht="16.5" customHeight="1" x14ac:dyDescent="0.25">
      <c r="A5069" s="8" t="s">
        <v>1715</v>
      </c>
      <c r="B5069" s="8" t="s">
        <v>15228</v>
      </c>
      <c r="C5069" s="8" t="s">
        <v>9665</v>
      </c>
      <c r="D5069" s="8" t="s">
        <v>15228</v>
      </c>
      <c r="E5069" s="105">
        <v>12</v>
      </c>
      <c r="F5069" s="106" t="s">
        <v>2018</v>
      </c>
      <c r="G5069" s="8" t="s">
        <v>1541</v>
      </c>
      <c r="H5069" s="8" t="s">
        <v>15226</v>
      </c>
      <c r="I5069" s="107">
        <v>1200</v>
      </c>
      <c r="J5069" s="8" t="s">
        <v>5929</v>
      </c>
    </row>
    <row r="5070" spans="1:10" ht="16.5" customHeight="1" x14ac:dyDescent="0.25">
      <c r="A5070" s="8" t="s">
        <v>15229</v>
      </c>
      <c r="B5070" s="8" t="s">
        <v>15230</v>
      </c>
      <c r="C5070" s="8" t="s">
        <v>10393</v>
      </c>
      <c r="D5070" s="8" t="s">
        <v>15230</v>
      </c>
      <c r="E5070" s="105">
        <v>7.6</v>
      </c>
      <c r="F5070" s="106" t="s">
        <v>2018</v>
      </c>
      <c r="G5070" s="8" t="s">
        <v>1541</v>
      </c>
      <c r="H5070" s="8" t="s">
        <v>15231</v>
      </c>
      <c r="I5070" s="107">
        <v>20</v>
      </c>
      <c r="J5070" s="8" t="s">
        <v>5929</v>
      </c>
    </row>
    <row r="5071" spans="1:10" ht="16.5" customHeight="1" x14ac:dyDescent="0.25">
      <c r="A5071" s="8" t="s">
        <v>15231</v>
      </c>
      <c r="B5071" s="8" t="s">
        <v>15232</v>
      </c>
      <c r="C5071" s="8" t="s">
        <v>10396</v>
      </c>
      <c r="D5071" s="8" t="s">
        <v>15232</v>
      </c>
      <c r="E5071" s="105">
        <v>0.38</v>
      </c>
      <c r="F5071" s="106" t="s">
        <v>2018</v>
      </c>
      <c r="G5071" s="8" t="s">
        <v>1541</v>
      </c>
      <c r="H5071" s="8"/>
      <c r="I5071" s="107">
        <v>0</v>
      </c>
      <c r="J5071" s="8" t="s">
        <v>5929</v>
      </c>
    </row>
    <row r="5072" spans="1:10" ht="16.5" customHeight="1" x14ac:dyDescent="0.25">
      <c r="A5072" s="8" t="s">
        <v>15233</v>
      </c>
      <c r="B5072" s="8" t="s">
        <v>15234</v>
      </c>
      <c r="C5072" s="8" t="s">
        <v>10399</v>
      </c>
      <c r="D5072" s="8" t="s">
        <v>15234</v>
      </c>
      <c r="E5072" s="105">
        <v>7.6</v>
      </c>
      <c r="F5072" s="106" t="s">
        <v>2018</v>
      </c>
      <c r="G5072" s="8" t="s">
        <v>1541</v>
      </c>
      <c r="H5072" s="8" t="s">
        <v>15235</v>
      </c>
      <c r="I5072" s="107">
        <v>20</v>
      </c>
      <c r="J5072" s="8" t="s">
        <v>5929</v>
      </c>
    </row>
    <row r="5073" spans="1:10" ht="16.5" customHeight="1" x14ac:dyDescent="0.25">
      <c r="A5073" s="8" t="s">
        <v>15235</v>
      </c>
      <c r="B5073" s="8" t="s">
        <v>15236</v>
      </c>
      <c r="C5073" s="8" t="s">
        <v>10402</v>
      </c>
      <c r="D5073" s="8" t="s">
        <v>15236</v>
      </c>
      <c r="E5073" s="105">
        <v>0.38</v>
      </c>
      <c r="F5073" s="106" t="s">
        <v>2018</v>
      </c>
      <c r="G5073" s="8" t="s">
        <v>1541</v>
      </c>
      <c r="H5073" s="8"/>
      <c r="I5073" s="107">
        <v>0</v>
      </c>
      <c r="J5073" s="8" t="s">
        <v>5929</v>
      </c>
    </row>
    <row r="5074" spans="1:10" ht="16.5" customHeight="1" x14ac:dyDescent="0.25">
      <c r="A5074" s="8" t="s">
        <v>1641</v>
      </c>
      <c r="B5074" s="8" t="s">
        <v>1643</v>
      </c>
      <c r="C5074" s="8" t="s">
        <v>1642</v>
      </c>
      <c r="D5074" s="8" t="s">
        <v>1643</v>
      </c>
      <c r="E5074" s="105">
        <v>9.6</v>
      </c>
      <c r="F5074" s="106" t="s">
        <v>2018</v>
      </c>
      <c r="G5074" s="8" t="s">
        <v>1541</v>
      </c>
      <c r="H5074" s="8" t="s">
        <v>15237</v>
      </c>
      <c r="I5074" s="107">
        <v>24</v>
      </c>
      <c r="J5074" s="8" t="s">
        <v>5929</v>
      </c>
    </row>
    <row r="5075" spans="1:10" ht="16.5" customHeight="1" x14ac:dyDescent="0.25">
      <c r="A5075" s="8" t="s">
        <v>15237</v>
      </c>
      <c r="B5075" s="8" t="s">
        <v>15238</v>
      </c>
      <c r="C5075" s="8" t="s">
        <v>10633</v>
      </c>
      <c r="D5075" s="8" t="s">
        <v>15238</v>
      </c>
      <c r="E5075" s="105">
        <v>0.4</v>
      </c>
      <c r="F5075" s="106" t="s">
        <v>2018</v>
      </c>
      <c r="G5075" s="8" t="s">
        <v>1541</v>
      </c>
      <c r="H5075" s="8"/>
      <c r="I5075" s="107">
        <v>0</v>
      </c>
      <c r="J5075" s="8" t="s">
        <v>5929</v>
      </c>
    </row>
    <row r="5076" spans="1:10" ht="16.5" customHeight="1" x14ac:dyDescent="0.25">
      <c r="A5076" s="8" t="s">
        <v>1545</v>
      </c>
      <c r="B5076" s="8" t="s">
        <v>1547</v>
      </c>
      <c r="C5076" s="8" t="s">
        <v>1546</v>
      </c>
      <c r="D5076" s="8" t="s">
        <v>1547</v>
      </c>
      <c r="E5076" s="105">
        <v>13.096</v>
      </c>
      <c r="F5076" s="106" t="s">
        <v>2018</v>
      </c>
      <c r="G5076" s="8" t="s">
        <v>1541</v>
      </c>
      <c r="H5076" s="8" t="s">
        <v>15239</v>
      </c>
      <c r="I5076" s="107">
        <v>24</v>
      </c>
      <c r="J5076" s="8" t="s">
        <v>5929</v>
      </c>
    </row>
    <row r="5077" spans="1:10" ht="16.5" customHeight="1" x14ac:dyDescent="0.25">
      <c r="A5077" s="8" t="s">
        <v>15239</v>
      </c>
      <c r="B5077" s="8" t="s">
        <v>15240</v>
      </c>
      <c r="C5077" s="8" t="s">
        <v>11079</v>
      </c>
      <c r="D5077" s="8" t="s">
        <v>15240</v>
      </c>
      <c r="E5077" s="105">
        <v>0.54600000000000004</v>
      </c>
      <c r="F5077" s="106" t="s">
        <v>2018</v>
      </c>
      <c r="G5077" s="8" t="s">
        <v>1541</v>
      </c>
      <c r="H5077" s="8"/>
      <c r="I5077" s="107">
        <v>0</v>
      </c>
      <c r="J5077" s="8" t="s">
        <v>5929</v>
      </c>
    </row>
    <row r="5078" spans="1:10" ht="16.5" customHeight="1" x14ac:dyDescent="0.25">
      <c r="A5078" s="8" t="s">
        <v>15241</v>
      </c>
      <c r="B5078" s="8" t="s">
        <v>15242</v>
      </c>
      <c r="C5078" s="8" t="s">
        <v>11167</v>
      </c>
      <c r="D5078" s="8" t="s">
        <v>15242</v>
      </c>
      <c r="E5078" s="105">
        <v>0.255</v>
      </c>
      <c r="F5078" s="106" t="s">
        <v>2018</v>
      </c>
      <c r="G5078" s="8" t="s">
        <v>1541</v>
      </c>
      <c r="H5078" s="8"/>
      <c r="I5078" s="107">
        <v>0</v>
      </c>
      <c r="J5078" s="8" t="s">
        <v>5929</v>
      </c>
    </row>
    <row r="5079" spans="1:10" ht="16.5" customHeight="1" x14ac:dyDescent="0.25">
      <c r="A5079" s="8" t="s">
        <v>1629</v>
      </c>
      <c r="B5079" s="8" t="s">
        <v>1631</v>
      </c>
      <c r="C5079" s="8" t="s">
        <v>1630</v>
      </c>
      <c r="D5079" s="8" t="s">
        <v>1631</v>
      </c>
      <c r="E5079" s="105">
        <v>6.12</v>
      </c>
      <c r="F5079" s="106" t="s">
        <v>2018</v>
      </c>
      <c r="G5079" s="8" t="s">
        <v>1541</v>
      </c>
      <c r="H5079" s="8" t="s">
        <v>15241</v>
      </c>
      <c r="I5079" s="107">
        <v>24</v>
      </c>
      <c r="J5079" s="8" t="s">
        <v>5929</v>
      </c>
    </row>
    <row r="5080" spans="1:10" ht="16.5" customHeight="1" x14ac:dyDescent="0.25">
      <c r="A5080" s="8" t="s">
        <v>1694</v>
      </c>
      <c r="B5080" s="8" t="s">
        <v>1696</v>
      </c>
      <c r="C5080" s="8" t="s">
        <v>1695</v>
      </c>
      <c r="D5080" s="8" t="s">
        <v>1696</v>
      </c>
      <c r="E5080" s="105">
        <v>8</v>
      </c>
      <c r="F5080" s="106" t="s">
        <v>2018</v>
      </c>
      <c r="G5080" s="8" t="s">
        <v>1541</v>
      </c>
      <c r="H5080" s="8" t="s">
        <v>15243</v>
      </c>
      <c r="I5080" s="107">
        <v>800</v>
      </c>
      <c r="J5080" s="8" t="s">
        <v>5929</v>
      </c>
    </row>
    <row r="5081" spans="1:10" ht="16.5" customHeight="1" x14ac:dyDescent="0.25">
      <c r="A5081" s="8" t="s">
        <v>15243</v>
      </c>
      <c r="B5081" s="8" t="s">
        <v>15244</v>
      </c>
      <c r="C5081" s="8" t="s">
        <v>11174</v>
      </c>
      <c r="D5081" s="8" t="s">
        <v>15244</v>
      </c>
      <c r="E5081" s="105">
        <v>0.01</v>
      </c>
      <c r="F5081" s="106" t="s">
        <v>2018</v>
      </c>
      <c r="G5081" s="8" t="s">
        <v>1541</v>
      </c>
      <c r="H5081" s="8"/>
      <c r="I5081" s="107">
        <v>0</v>
      </c>
      <c r="J5081" s="8" t="s">
        <v>5929</v>
      </c>
    </row>
    <row r="5082" spans="1:10" ht="16.5" customHeight="1" x14ac:dyDescent="0.25">
      <c r="A5082" s="8" t="s">
        <v>1551</v>
      </c>
      <c r="B5082" s="8" t="s">
        <v>1553</v>
      </c>
      <c r="C5082" s="8" t="s">
        <v>1552</v>
      </c>
      <c r="D5082" s="8" t="s">
        <v>1553</v>
      </c>
      <c r="E5082" s="105">
        <v>10.8</v>
      </c>
      <c r="F5082" s="106" t="s">
        <v>2018</v>
      </c>
      <c r="G5082" s="8" t="s">
        <v>1541</v>
      </c>
      <c r="H5082" s="8" t="s">
        <v>15245</v>
      </c>
      <c r="I5082" s="107">
        <v>6</v>
      </c>
      <c r="J5082" s="8" t="s">
        <v>5929</v>
      </c>
    </row>
    <row r="5083" spans="1:10" ht="16.5" customHeight="1" x14ac:dyDescent="0.25">
      <c r="A5083" s="8" t="s">
        <v>15245</v>
      </c>
      <c r="B5083" s="8" t="s">
        <v>15246</v>
      </c>
      <c r="C5083" s="8" t="s">
        <v>11327</v>
      </c>
      <c r="D5083" s="8" t="s">
        <v>15246</v>
      </c>
      <c r="E5083" s="105">
        <v>1.8</v>
      </c>
      <c r="F5083" s="106" t="s">
        <v>2018</v>
      </c>
      <c r="G5083" s="8" t="s">
        <v>1541</v>
      </c>
      <c r="H5083" s="8"/>
      <c r="I5083" s="107">
        <v>0</v>
      </c>
      <c r="J5083" s="8" t="s">
        <v>5929</v>
      </c>
    </row>
    <row r="5084" spans="1:10" ht="16.5" customHeight="1" x14ac:dyDescent="0.25">
      <c r="A5084" s="8" t="s">
        <v>1691</v>
      </c>
      <c r="B5084" s="8" t="s">
        <v>1693</v>
      </c>
      <c r="C5084" s="8" t="s">
        <v>1692</v>
      </c>
      <c r="D5084" s="8" t="s">
        <v>1693</v>
      </c>
      <c r="E5084" s="105">
        <v>12.6</v>
      </c>
      <c r="F5084" s="106" t="s">
        <v>2018</v>
      </c>
      <c r="G5084" s="8" t="s">
        <v>1541</v>
      </c>
      <c r="H5084" s="8" t="s">
        <v>15247</v>
      </c>
      <c r="I5084" s="107">
        <v>6</v>
      </c>
      <c r="J5084" s="8" t="s">
        <v>5929</v>
      </c>
    </row>
    <row r="5085" spans="1:10" ht="16.5" customHeight="1" x14ac:dyDescent="0.25">
      <c r="A5085" s="8" t="s">
        <v>1593</v>
      </c>
      <c r="B5085" s="8" t="s">
        <v>1595</v>
      </c>
      <c r="C5085" s="8" t="s">
        <v>1594</v>
      </c>
      <c r="D5085" s="8" t="s">
        <v>1595</v>
      </c>
      <c r="E5085" s="105">
        <v>16.8</v>
      </c>
      <c r="F5085" s="106" t="s">
        <v>2018</v>
      </c>
      <c r="G5085" s="8" t="s">
        <v>1541</v>
      </c>
      <c r="H5085" s="8" t="s">
        <v>15248</v>
      </c>
      <c r="I5085" s="107">
        <v>4</v>
      </c>
      <c r="J5085" s="8" t="s">
        <v>5929</v>
      </c>
    </row>
    <row r="5086" spans="1:10" ht="16.5" customHeight="1" x14ac:dyDescent="0.25">
      <c r="A5086" s="8" t="s">
        <v>15247</v>
      </c>
      <c r="B5086" s="8" t="s">
        <v>15249</v>
      </c>
      <c r="C5086" s="8" t="s">
        <v>11381</v>
      </c>
      <c r="D5086" s="8" t="s">
        <v>15249</v>
      </c>
      <c r="E5086" s="105">
        <v>2.1</v>
      </c>
      <c r="F5086" s="106" t="s">
        <v>2018</v>
      </c>
      <c r="G5086" s="8" t="s">
        <v>1541</v>
      </c>
      <c r="H5086" s="8"/>
      <c r="I5086" s="107">
        <v>0</v>
      </c>
      <c r="J5086" s="8" t="s">
        <v>5929</v>
      </c>
    </row>
    <row r="5087" spans="1:10" ht="16.5" customHeight="1" x14ac:dyDescent="0.25">
      <c r="A5087" s="8" t="s">
        <v>15248</v>
      </c>
      <c r="B5087" s="8" t="s">
        <v>15250</v>
      </c>
      <c r="C5087" s="8" t="s">
        <v>11383</v>
      </c>
      <c r="D5087" s="8" t="s">
        <v>15250</v>
      </c>
      <c r="E5087" s="105">
        <v>4.2</v>
      </c>
      <c r="F5087" s="106" t="s">
        <v>2018</v>
      </c>
      <c r="G5087" s="8" t="s">
        <v>1541</v>
      </c>
      <c r="H5087" s="8"/>
      <c r="I5087" s="107">
        <v>0</v>
      </c>
      <c r="J5087" s="8" t="s">
        <v>5929</v>
      </c>
    </row>
    <row r="5088" spans="1:10" ht="16.5" customHeight="1" x14ac:dyDescent="0.25">
      <c r="A5088" s="8" t="s">
        <v>1671</v>
      </c>
      <c r="B5088" s="8" t="s">
        <v>1673</v>
      </c>
      <c r="C5088" s="8" t="s">
        <v>1672</v>
      </c>
      <c r="D5088" s="8" t="s">
        <v>1673</v>
      </c>
      <c r="E5088" s="105">
        <v>12.6</v>
      </c>
      <c r="F5088" s="106" t="s">
        <v>2018</v>
      </c>
      <c r="G5088" s="8" t="s">
        <v>1541</v>
      </c>
      <c r="H5088" s="8" t="s">
        <v>15251</v>
      </c>
      <c r="I5088" s="107">
        <v>6</v>
      </c>
      <c r="J5088" s="8" t="s">
        <v>5929</v>
      </c>
    </row>
    <row r="5089" spans="1:10" ht="16.5" customHeight="1" x14ac:dyDescent="0.25">
      <c r="A5089" s="8" t="s">
        <v>15251</v>
      </c>
      <c r="B5089" s="8" t="s">
        <v>15252</v>
      </c>
      <c r="C5089" s="8" t="s">
        <v>11443</v>
      </c>
      <c r="D5089" s="8" t="s">
        <v>15252</v>
      </c>
      <c r="E5089" s="105">
        <v>2.1</v>
      </c>
      <c r="F5089" s="106" t="s">
        <v>2018</v>
      </c>
      <c r="G5089" s="8" t="s">
        <v>1541</v>
      </c>
      <c r="H5089" s="8"/>
      <c r="I5089" s="107">
        <v>0</v>
      </c>
      <c r="J5089" s="8" t="s">
        <v>5929</v>
      </c>
    </row>
    <row r="5090" spans="1:10" ht="16.5" customHeight="1" x14ac:dyDescent="0.25">
      <c r="A5090" s="8" t="s">
        <v>15253</v>
      </c>
      <c r="B5090" s="8" t="s">
        <v>15254</v>
      </c>
      <c r="C5090" s="8" t="s">
        <v>11487</v>
      </c>
      <c r="D5090" s="8" t="s">
        <v>15254</v>
      </c>
      <c r="E5090" s="105">
        <v>0.255</v>
      </c>
      <c r="F5090" s="106" t="s">
        <v>2018</v>
      </c>
      <c r="G5090" s="8" t="s">
        <v>1541</v>
      </c>
      <c r="H5090" s="8"/>
      <c r="I5090" s="107">
        <v>0</v>
      </c>
      <c r="J5090" s="8" t="s">
        <v>5929</v>
      </c>
    </row>
    <row r="5091" spans="1:10" ht="16.5" customHeight="1" x14ac:dyDescent="0.25">
      <c r="A5091" s="8" t="s">
        <v>1635</v>
      </c>
      <c r="B5091" s="8" t="s">
        <v>1637</v>
      </c>
      <c r="C5091" s="8" t="s">
        <v>1636</v>
      </c>
      <c r="D5091" s="8" t="s">
        <v>1637</v>
      </c>
      <c r="E5091" s="105">
        <v>6.12</v>
      </c>
      <c r="F5091" s="106" t="s">
        <v>2018</v>
      </c>
      <c r="G5091" s="8" t="s">
        <v>1541</v>
      </c>
      <c r="H5091" s="8" t="s">
        <v>15253</v>
      </c>
      <c r="I5091" s="107">
        <v>24</v>
      </c>
      <c r="J5091" s="8" t="s">
        <v>5929</v>
      </c>
    </row>
    <row r="5092" spans="1:10" ht="16.5" customHeight="1" x14ac:dyDescent="0.25">
      <c r="A5092" s="8" t="s">
        <v>1638</v>
      </c>
      <c r="B5092" s="8" t="s">
        <v>1640</v>
      </c>
      <c r="C5092" s="8" t="s">
        <v>1639</v>
      </c>
      <c r="D5092" s="8" t="s">
        <v>1640</v>
      </c>
      <c r="E5092" s="105">
        <v>13.2</v>
      </c>
      <c r="F5092" s="106" t="s">
        <v>2018</v>
      </c>
      <c r="G5092" s="8" t="s">
        <v>1541</v>
      </c>
      <c r="H5092" s="8" t="s">
        <v>15255</v>
      </c>
      <c r="I5092" s="107">
        <v>6</v>
      </c>
      <c r="J5092" s="8" t="s">
        <v>5929</v>
      </c>
    </row>
    <row r="5093" spans="1:10" ht="16.5" customHeight="1" x14ac:dyDescent="0.25">
      <c r="A5093" s="8" t="s">
        <v>15255</v>
      </c>
      <c r="B5093" s="8" t="s">
        <v>15256</v>
      </c>
      <c r="C5093" s="8" t="s">
        <v>11579</v>
      </c>
      <c r="D5093" s="8" t="s">
        <v>15256</v>
      </c>
      <c r="E5093" s="105">
        <v>2.2000000000000002</v>
      </c>
      <c r="F5093" s="106" t="s">
        <v>2018</v>
      </c>
      <c r="G5093" s="8" t="s">
        <v>1541</v>
      </c>
      <c r="H5093" s="8"/>
      <c r="I5093" s="107">
        <v>0</v>
      </c>
      <c r="J5093" s="8" t="s">
        <v>5929</v>
      </c>
    </row>
    <row r="5094" spans="1:10" ht="16.5" customHeight="1" x14ac:dyDescent="0.25">
      <c r="A5094" s="8" t="s">
        <v>1575</v>
      </c>
      <c r="B5094" s="8" t="s">
        <v>1577</v>
      </c>
      <c r="C5094" s="8" t="s">
        <v>1576</v>
      </c>
      <c r="D5094" s="8" t="s">
        <v>1577</v>
      </c>
      <c r="E5094" s="105">
        <v>13.385999999999999</v>
      </c>
      <c r="F5094" s="106" t="s">
        <v>2018</v>
      </c>
      <c r="G5094" s="8" t="s">
        <v>1541</v>
      </c>
      <c r="H5094" s="8" t="s">
        <v>15257</v>
      </c>
      <c r="I5094" s="107">
        <v>24</v>
      </c>
      <c r="J5094" s="8" t="s">
        <v>5929</v>
      </c>
    </row>
    <row r="5095" spans="1:10" ht="16.5" customHeight="1" x14ac:dyDescent="0.25">
      <c r="A5095" s="8" t="s">
        <v>15257</v>
      </c>
      <c r="B5095" s="8" t="s">
        <v>15258</v>
      </c>
      <c r="C5095" s="8" t="s">
        <v>12175</v>
      </c>
      <c r="D5095" s="8" t="s">
        <v>15258</v>
      </c>
      <c r="E5095" s="105">
        <v>0.55800000000000005</v>
      </c>
      <c r="F5095" s="106" t="s">
        <v>2018</v>
      </c>
      <c r="G5095" s="8" t="s">
        <v>1541</v>
      </c>
      <c r="H5095" s="8"/>
      <c r="I5095" s="107">
        <v>0</v>
      </c>
      <c r="J5095" s="8" t="s">
        <v>5929</v>
      </c>
    </row>
    <row r="5096" spans="1:10" ht="16.5" customHeight="1" x14ac:dyDescent="0.25">
      <c r="A5096" s="8" t="s">
        <v>1560</v>
      </c>
      <c r="B5096" s="8" t="s">
        <v>1562</v>
      </c>
      <c r="C5096" s="8" t="s">
        <v>1561</v>
      </c>
      <c r="D5096" s="8" t="s">
        <v>1562</v>
      </c>
      <c r="E5096" s="105">
        <v>6.12</v>
      </c>
      <c r="F5096" s="106" t="s">
        <v>2018</v>
      </c>
      <c r="G5096" s="8" t="s">
        <v>1541</v>
      </c>
      <c r="H5096" s="8" t="s">
        <v>15259</v>
      </c>
      <c r="I5096" s="107">
        <v>24</v>
      </c>
      <c r="J5096" s="8" t="s">
        <v>5929</v>
      </c>
    </row>
    <row r="5097" spans="1:10" ht="16.5" customHeight="1" x14ac:dyDescent="0.25">
      <c r="A5097" s="8" t="s">
        <v>15259</v>
      </c>
      <c r="B5097" s="8" t="s">
        <v>15260</v>
      </c>
      <c r="C5097" s="8" t="s">
        <v>12249</v>
      </c>
      <c r="D5097" s="8" t="s">
        <v>15260</v>
      </c>
      <c r="E5097" s="105">
        <v>0.255</v>
      </c>
      <c r="F5097" s="106" t="s">
        <v>2018</v>
      </c>
      <c r="G5097" s="8" t="s">
        <v>1541</v>
      </c>
      <c r="H5097" s="8"/>
      <c r="I5097" s="107">
        <v>0</v>
      </c>
      <c r="J5097" s="8" t="s">
        <v>5929</v>
      </c>
    </row>
    <row r="5098" spans="1:10" ht="16.5" customHeight="1" x14ac:dyDescent="0.25">
      <c r="A5098" s="8" t="s">
        <v>1563</v>
      </c>
      <c r="B5098" s="8" t="s">
        <v>1565</v>
      </c>
      <c r="C5098" s="8" t="s">
        <v>1564</v>
      </c>
      <c r="D5098" s="8" t="s">
        <v>1565</v>
      </c>
      <c r="E5098" s="105">
        <v>6.12</v>
      </c>
      <c r="F5098" s="106" t="s">
        <v>2018</v>
      </c>
      <c r="G5098" s="8" t="s">
        <v>1541</v>
      </c>
      <c r="H5098" s="8" t="s">
        <v>15261</v>
      </c>
      <c r="I5098" s="107">
        <v>24</v>
      </c>
      <c r="J5098" s="8" t="s">
        <v>5929</v>
      </c>
    </row>
    <row r="5099" spans="1:10" ht="16.5" customHeight="1" x14ac:dyDescent="0.25">
      <c r="A5099" s="8" t="s">
        <v>15261</v>
      </c>
      <c r="B5099" s="8" t="s">
        <v>15262</v>
      </c>
      <c r="C5099" s="8" t="s">
        <v>12257</v>
      </c>
      <c r="D5099" s="8" t="s">
        <v>15262</v>
      </c>
      <c r="E5099" s="105">
        <v>0.255</v>
      </c>
      <c r="F5099" s="106" t="s">
        <v>2018</v>
      </c>
      <c r="G5099" s="8" t="s">
        <v>1541</v>
      </c>
      <c r="H5099" s="8"/>
      <c r="I5099" s="107">
        <v>0</v>
      </c>
      <c r="J5099" s="8" t="s">
        <v>5929</v>
      </c>
    </row>
    <row r="5100" spans="1:10" ht="16.5" customHeight="1" x14ac:dyDescent="0.25">
      <c r="A5100" s="8" t="s">
        <v>1548</v>
      </c>
      <c r="B5100" s="8" t="s">
        <v>1550</v>
      </c>
      <c r="C5100" s="8" t="s">
        <v>1549</v>
      </c>
      <c r="D5100" s="8" t="s">
        <v>1550</v>
      </c>
      <c r="E5100" s="105">
        <v>17.088000000000001</v>
      </c>
      <c r="F5100" s="106" t="s">
        <v>2018</v>
      </c>
      <c r="G5100" s="8" t="s">
        <v>1541</v>
      </c>
      <c r="H5100" s="8" t="s">
        <v>15263</v>
      </c>
      <c r="I5100" s="107">
        <v>4</v>
      </c>
      <c r="J5100" s="8" t="s">
        <v>5929</v>
      </c>
    </row>
    <row r="5101" spans="1:10" ht="16.5" customHeight="1" x14ac:dyDescent="0.25">
      <c r="A5101" s="8" t="s">
        <v>15263</v>
      </c>
      <c r="B5101" s="8" t="s">
        <v>15264</v>
      </c>
      <c r="C5101" s="8" t="s">
        <v>12262</v>
      </c>
      <c r="D5101" s="8" t="s">
        <v>15264</v>
      </c>
      <c r="E5101" s="105">
        <v>4.2720000000000002</v>
      </c>
      <c r="F5101" s="106" t="s">
        <v>2018</v>
      </c>
      <c r="G5101" s="8" t="s">
        <v>1541</v>
      </c>
      <c r="H5101" s="8"/>
      <c r="I5101" s="107">
        <v>0</v>
      </c>
      <c r="J5101" s="8" t="s">
        <v>5929</v>
      </c>
    </row>
    <row r="5102" spans="1:10" ht="16.5" customHeight="1" x14ac:dyDescent="0.25">
      <c r="A5102" s="8" t="s">
        <v>15265</v>
      </c>
      <c r="B5102" s="8" t="s">
        <v>15266</v>
      </c>
      <c r="C5102" s="8" t="s">
        <v>12339</v>
      </c>
      <c r="D5102" s="8" t="s">
        <v>15266</v>
      </c>
      <c r="E5102" s="105">
        <v>10</v>
      </c>
      <c r="F5102" s="106" t="s">
        <v>2018</v>
      </c>
      <c r="G5102" s="8" t="s">
        <v>1541</v>
      </c>
      <c r="H5102" s="8" t="s">
        <v>15267</v>
      </c>
      <c r="I5102" s="107">
        <v>10</v>
      </c>
      <c r="J5102" s="8" t="s">
        <v>5929</v>
      </c>
    </row>
    <row r="5103" spans="1:10" ht="16.5" customHeight="1" x14ac:dyDescent="0.25">
      <c r="A5103" s="8" t="s">
        <v>15267</v>
      </c>
      <c r="B5103" s="8" t="s">
        <v>15268</v>
      </c>
      <c r="C5103" s="8" t="s">
        <v>12342</v>
      </c>
      <c r="D5103" s="8" t="s">
        <v>15268</v>
      </c>
      <c r="E5103" s="105">
        <v>1</v>
      </c>
      <c r="F5103" s="106" t="s">
        <v>2018</v>
      </c>
      <c r="G5103" s="8" t="s">
        <v>1541</v>
      </c>
      <c r="H5103" s="8"/>
      <c r="I5103" s="107">
        <v>0</v>
      </c>
      <c r="J5103" s="8" t="s">
        <v>5929</v>
      </c>
    </row>
    <row r="5104" spans="1:10" ht="16.5" customHeight="1" x14ac:dyDescent="0.25">
      <c r="A5104" s="8" t="s">
        <v>15269</v>
      </c>
      <c r="B5104" s="8" t="s">
        <v>15270</v>
      </c>
      <c r="C5104" s="8" t="s">
        <v>12345</v>
      </c>
      <c r="D5104" s="8" t="s">
        <v>15270</v>
      </c>
      <c r="E5104" s="105">
        <v>10</v>
      </c>
      <c r="F5104" s="106" t="s">
        <v>2018</v>
      </c>
      <c r="G5104" s="8" t="s">
        <v>1541</v>
      </c>
      <c r="H5104" s="8" t="s">
        <v>15271</v>
      </c>
      <c r="I5104" s="107">
        <v>10</v>
      </c>
      <c r="J5104" s="8" t="s">
        <v>5929</v>
      </c>
    </row>
    <row r="5105" spans="1:10" ht="16.5" customHeight="1" x14ac:dyDescent="0.25">
      <c r="A5105" s="8" t="s">
        <v>15271</v>
      </c>
      <c r="B5105" s="8" t="s">
        <v>15272</v>
      </c>
      <c r="C5105" s="8" t="s">
        <v>12348</v>
      </c>
      <c r="D5105" s="8" t="s">
        <v>15272</v>
      </c>
      <c r="E5105" s="105">
        <v>1</v>
      </c>
      <c r="F5105" s="106" t="s">
        <v>2018</v>
      </c>
      <c r="G5105" s="8" t="s">
        <v>1541</v>
      </c>
      <c r="H5105" s="8"/>
      <c r="I5105" s="107">
        <v>0</v>
      </c>
      <c r="J5105" s="8" t="s">
        <v>5929</v>
      </c>
    </row>
    <row r="5106" spans="1:10" ht="16.5" customHeight="1" x14ac:dyDescent="0.25">
      <c r="A5106" s="8" t="s">
        <v>15273</v>
      </c>
      <c r="B5106" s="8" t="s">
        <v>15274</v>
      </c>
      <c r="C5106" s="8" t="s">
        <v>12351</v>
      </c>
      <c r="D5106" s="8" t="s">
        <v>15274</v>
      </c>
      <c r="E5106" s="105">
        <v>8.5</v>
      </c>
      <c r="F5106" s="106" t="s">
        <v>2018</v>
      </c>
      <c r="G5106" s="8" t="s">
        <v>1541</v>
      </c>
      <c r="H5106" s="8" t="s">
        <v>15275</v>
      </c>
      <c r="I5106" s="107">
        <v>10</v>
      </c>
      <c r="J5106" s="8" t="s">
        <v>5929</v>
      </c>
    </row>
    <row r="5107" spans="1:10" ht="16.5" customHeight="1" x14ac:dyDescent="0.25">
      <c r="A5107" s="8" t="s">
        <v>15275</v>
      </c>
      <c r="B5107" s="8" t="s">
        <v>15276</v>
      </c>
      <c r="C5107" s="8" t="s">
        <v>12354</v>
      </c>
      <c r="D5107" s="8" t="s">
        <v>15276</v>
      </c>
      <c r="E5107" s="105">
        <v>0.85</v>
      </c>
      <c r="F5107" s="106" t="s">
        <v>2018</v>
      </c>
      <c r="G5107" s="8" t="s">
        <v>1541</v>
      </c>
      <c r="H5107" s="8"/>
      <c r="I5107" s="107">
        <v>0</v>
      </c>
      <c r="J5107" s="8" t="s">
        <v>5929</v>
      </c>
    </row>
    <row r="5108" spans="1:10" ht="16.5" customHeight="1" x14ac:dyDescent="0.25">
      <c r="A5108" s="8" t="s">
        <v>15277</v>
      </c>
      <c r="B5108" s="8" t="s">
        <v>15278</v>
      </c>
      <c r="C5108" s="8" t="s">
        <v>12357</v>
      </c>
      <c r="D5108" s="8" t="s">
        <v>15278</v>
      </c>
      <c r="E5108" s="105">
        <v>8.5</v>
      </c>
      <c r="F5108" s="106" t="s">
        <v>2018</v>
      </c>
      <c r="G5108" s="8" t="s">
        <v>1541</v>
      </c>
      <c r="H5108" s="8" t="s">
        <v>15279</v>
      </c>
      <c r="I5108" s="107">
        <v>10</v>
      </c>
      <c r="J5108" s="8" t="s">
        <v>5929</v>
      </c>
    </row>
    <row r="5109" spans="1:10" ht="16.5" customHeight="1" x14ac:dyDescent="0.25">
      <c r="A5109" s="8" t="s">
        <v>15279</v>
      </c>
      <c r="B5109" s="8" t="s">
        <v>15280</v>
      </c>
      <c r="C5109" s="8" t="s">
        <v>12360</v>
      </c>
      <c r="D5109" s="8" t="s">
        <v>15280</v>
      </c>
      <c r="E5109" s="105">
        <v>0.85</v>
      </c>
      <c r="F5109" s="106" t="s">
        <v>2018</v>
      </c>
      <c r="G5109" s="8" t="s">
        <v>1541</v>
      </c>
      <c r="H5109" s="8"/>
      <c r="I5109" s="107">
        <v>0</v>
      </c>
      <c r="J5109" s="8" t="s">
        <v>5929</v>
      </c>
    </row>
    <row r="5110" spans="1:10" ht="16.5" customHeight="1" x14ac:dyDescent="0.25">
      <c r="A5110" s="8" t="s">
        <v>15281</v>
      </c>
      <c r="B5110" s="8" t="s">
        <v>15282</v>
      </c>
      <c r="C5110" s="8" t="s">
        <v>12379</v>
      </c>
      <c r="D5110" s="8" t="s">
        <v>15282</v>
      </c>
      <c r="E5110" s="105">
        <v>13.385999999999999</v>
      </c>
      <c r="F5110" s="106" t="s">
        <v>2018</v>
      </c>
      <c r="G5110" s="8" t="s">
        <v>1541</v>
      </c>
      <c r="H5110" s="8" t="s">
        <v>15283</v>
      </c>
      <c r="I5110" s="107">
        <v>24</v>
      </c>
      <c r="J5110" s="8" t="s">
        <v>5929</v>
      </c>
    </row>
    <row r="5111" spans="1:10" ht="16.5" customHeight="1" x14ac:dyDescent="0.25">
      <c r="A5111" s="8" t="s">
        <v>15283</v>
      </c>
      <c r="B5111" s="8" t="s">
        <v>15284</v>
      </c>
      <c r="C5111" s="8" t="s">
        <v>12382</v>
      </c>
      <c r="D5111" s="8" t="s">
        <v>15284</v>
      </c>
      <c r="E5111" s="105">
        <v>0.55800000000000005</v>
      </c>
      <c r="F5111" s="106" t="s">
        <v>2018</v>
      </c>
      <c r="G5111" s="8" t="s">
        <v>1541</v>
      </c>
      <c r="H5111" s="8"/>
      <c r="I5111" s="107">
        <v>0</v>
      </c>
      <c r="J5111" s="8" t="s">
        <v>5929</v>
      </c>
    </row>
    <row r="5112" spans="1:10" ht="16.5" customHeight="1" x14ac:dyDescent="0.25">
      <c r="A5112" s="8" t="s">
        <v>1587</v>
      </c>
      <c r="B5112" s="8" t="s">
        <v>1589</v>
      </c>
      <c r="C5112" s="8" t="s">
        <v>1588</v>
      </c>
      <c r="D5112" s="8" t="s">
        <v>1589</v>
      </c>
      <c r="E5112" s="105">
        <v>5.6219999999999999</v>
      </c>
      <c r="F5112" s="106" t="s">
        <v>2018</v>
      </c>
      <c r="G5112" s="8" t="s">
        <v>1541</v>
      </c>
      <c r="H5112" s="8" t="s">
        <v>15175</v>
      </c>
      <c r="I5112" s="107">
        <v>24</v>
      </c>
      <c r="J5112" s="8" t="s">
        <v>5929</v>
      </c>
    </row>
    <row r="5113" spans="1:10" ht="16.5" customHeight="1" x14ac:dyDescent="0.25">
      <c r="A5113" s="8" t="s">
        <v>1644</v>
      </c>
      <c r="B5113" s="8" t="s">
        <v>1646</v>
      </c>
      <c r="C5113" s="8" t="s">
        <v>1645</v>
      </c>
      <c r="D5113" s="8" t="s">
        <v>1646</v>
      </c>
      <c r="E5113" s="105">
        <v>9.6</v>
      </c>
      <c r="F5113" s="106" t="s">
        <v>2018</v>
      </c>
      <c r="G5113" s="8" t="s">
        <v>1541</v>
      </c>
      <c r="H5113" s="8" t="s">
        <v>15285</v>
      </c>
      <c r="I5113" s="107">
        <v>12</v>
      </c>
      <c r="J5113" s="8" t="s">
        <v>5929</v>
      </c>
    </row>
    <row r="5114" spans="1:10" ht="16.5" customHeight="1" x14ac:dyDescent="0.25">
      <c r="A5114" s="8" t="s">
        <v>15285</v>
      </c>
      <c r="B5114" s="8" t="s">
        <v>15286</v>
      </c>
      <c r="C5114" s="8" t="s">
        <v>12580</v>
      </c>
      <c r="D5114" s="8" t="s">
        <v>15286</v>
      </c>
      <c r="E5114" s="105">
        <v>0.8</v>
      </c>
      <c r="F5114" s="106" t="s">
        <v>2018</v>
      </c>
      <c r="G5114" s="8" t="s">
        <v>1541</v>
      </c>
      <c r="H5114" s="8"/>
      <c r="I5114" s="107">
        <v>0</v>
      </c>
      <c r="J5114" s="8" t="s">
        <v>5929</v>
      </c>
    </row>
    <row r="5115" spans="1:10" ht="16.5" customHeight="1" x14ac:dyDescent="0.25">
      <c r="A5115" s="8" t="s">
        <v>1602</v>
      </c>
      <c r="B5115" s="8" t="s">
        <v>1604</v>
      </c>
      <c r="C5115" s="8" t="s">
        <v>1603</v>
      </c>
      <c r="D5115" s="8" t="s">
        <v>1604</v>
      </c>
      <c r="E5115" s="105">
        <v>12</v>
      </c>
      <c r="F5115" s="106" t="s">
        <v>2018</v>
      </c>
      <c r="G5115" s="8" t="s">
        <v>1541</v>
      </c>
      <c r="H5115" s="8" t="s">
        <v>15287</v>
      </c>
      <c r="I5115" s="107">
        <v>4</v>
      </c>
      <c r="J5115" s="8" t="s">
        <v>5929</v>
      </c>
    </row>
    <row r="5116" spans="1:10" ht="16.5" customHeight="1" x14ac:dyDescent="0.25">
      <c r="A5116" s="8" t="s">
        <v>15287</v>
      </c>
      <c r="B5116" s="8" t="s">
        <v>15288</v>
      </c>
      <c r="C5116" s="8" t="s">
        <v>13692</v>
      </c>
      <c r="D5116" s="8" t="s">
        <v>15288</v>
      </c>
      <c r="E5116" s="105">
        <v>3</v>
      </c>
      <c r="F5116" s="106" t="s">
        <v>2018</v>
      </c>
      <c r="G5116" s="8" t="s">
        <v>1541</v>
      </c>
      <c r="H5116" s="8"/>
      <c r="I5116" s="107">
        <v>0</v>
      </c>
      <c r="J5116" s="8" t="s">
        <v>5929</v>
      </c>
    </row>
    <row r="5117" spans="1:10" ht="16.5" customHeight="1" x14ac:dyDescent="0.25">
      <c r="A5117" s="8" t="s">
        <v>1605</v>
      </c>
      <c r="B5117" s="8" t="s">
        <v>1607</v>
      </c>
      <c r="C5117" s="8" t="s">
        <v>1606</v>
      </c>
      <c r="D5117" s="8" t="s">
        <v>1607</v>
      </c>
      <c r="E5117" s="105">
        <v>12</v>
      </c>
      <c r="F5117" s="106" t="s">
        <v>2018</v>
      </c>
      <c r="G5117" s="8" t="s">
        <v>1541</v>
      </c>
      <c r="H5117" s="8" t="s">
        <v>15289</v>
      </c>
      <c r="I5117" s="107">
        <v>4</v>
      </c>
      <c r="J5117" s="8" t="s">
        <v>5929</v>
      </c>
    </row>
    <row r="5118" spans="1:10" ht="16.5" customHeight="1" x14ac:dyDescent="0.25">
      <c r="A5118" s="8" t="s">
        <v>15289</v>
      </c>
      <c r="B5118" s="8" t="s">
        <v>15290</v>
      </c>
      <c r="C5118" s="8" t="s">
        <v>13698</v>
      </c>
      <c r="D5118" s="8" t="s">
        <v>15290</v>
      </c>
      <c r="E5118" s="105">
        <v>3</v>
      </c>
      <c r="F5118" s="106" t="s">
        <v>2018</v>
      </c>
      <c r="G5118" s="8" t="s">
        <v>1541</v>
      </c>
      <c r="H5118" s="8"/>
      <c r="I5118" s="107">
        <v>0</v>
      </c>
      <c r="J5118" s="8" t="s">
        <v>5929</v>
      </c>
    </row>
    <row r="5119" spans="1:10" ht="16.5" customHeight="1" x14ac:dyDescent="0.25">
      <c r="A5119" s="8" t="s">
        <v>1688</v>
      </c>
      <c r="B5119" s="8" t="s">
        <v>1690</v>
      </c>
      <c r="C5119" s="8" t="s">
        <v>1689</v>
      </c>
      <c r="D5119" s="8" t="s">
        <v>1690</v>
      </c>
      <c r="E5119" s="105">
        <v>6</v>
      </c>
      <c r="F5119" s="106" t="s">
        <v>2018</v>
      </c>
      <c r="G5119" s="8" t="s">
        <v>1541</v>
      </c>
      <c r="H5119" s="8"/>
      <c r="I5119" s="107">
        <v>0</v>
      </c>
      <c r="J5119" s="8" t="s">
        <v>5929</v>
      </c>
    </row>
    <row r="5120" spans="1:10" ht="16.5" customHeight="1" x14ac:dyDescent="0.25">
      <c r="A5120" s="8" t="s">
        <v>1682</v>
      </c>
      <c r="B5120" s="8" t="s">
        <v>1684</v>
      </c>
      <c r="C5120" s="8" t="s">
        <v>1683</v>
      </c>
      <c r="D5120" s="8" t="s">
        <v>1684</v>
      </c>
      <c r="E5120" s="105">
        <v>6.12</v>
      </c>
      <c r="F5120" s="106" t="s">
        <v>2018</v>
      </c>
      <c r="G5120" s="8" t="s">
        <v>1541</v>
      </c>
      <c r="H5120" s="8"/>
      <c r="I5120" s="107">
        <v>0</v>
      </c>
      <c r="J5120" s="8" t="s">
        <v>5929</v>
      </c>
    </row>
    <row r="5121" spans="1:10" ht="16.5" customHeight="1" x14ac:dyDescent="0.25">
      <c r="A5121" s="8" t="s">
        <v>1608</v>
      </c>
      <c r="B5121" s="8" t="s">
        <v>1610</v>
      </c>
      <c r="C5121" s="8" t="s">
        <v>1609</v>
      </c>
      <c r="D5121" s="8" t="s">
        <v>1610</v>
      </c>
      <c r="E5121" s="105">
        <v>12</v>
      </c>
      <c r="F5121" s="106" t="s">
        <v>2018</v>
      </c>
      <c r="G5121" s="8" t="s">
        <v>1541</v>
      </c>
      <c r="H5121" s="8" t="s">
        <v>15291</v>
      </c>
      <c r="I5121" s="107">
        <v>12</v>
      </c>
      <c r="J5121" s="8" t="s">
        <v>5929</v>
      </c>
    </row>
    <row r="5122" spans="1:10" ht="16.5" customHeight="1" x14ac:dyDescent="0.25">
      <c r="A5122" s="8" t="s">
        <v>15291</v>
      </c>
      <c r="B5122" s="8" t="s">
        <v>15292</v>
      </c>
      <c r="C5122" s="8" t="s">
        <v>13957</v>
      </c>
      <c r="D5122" s="8" t="s">
        <v>15292</v>
      </c>
      <c r="E5122" s="105">
        <v>1</v>
      </c>
      <c r="F5122" s="106" t="s">
        <v>2018</v>
      </c>
      <c r="G5122" s="8" t="s">
        <v>1541</v>
      </c>
      <c r="H5122" s="8"/>
      <c r="I5122" s="107">
        <v>0</v>
      </c>
      <c r="J5122" s="8" t="s">
        <v>5929</v>
      </c>
    </row>
    <row r="5123" spans="1:10" ht="16.5" customHeight="1" x14ac:dyDescent="0.25">
      <c r="A5123" s="8" t="s">
        <v>1590</v>
      </c>
      <c r="B5123" s="8" t="s">
        <v>1592</v>
      </c>
      <c r="C5123" s="8" t="s">
        <v>1591</v>
      </c>
      <c r="D5123" s="8" t="s">
        <v>1592</v>
      </c>
      <c r="E5123" s="105">
        <v>7.5359999999999996</v>
      </c>
      <c r="F5123" s="106" t="s">
        <v>2018</v>
      </c>
      <c r="G5123" s="8" t="s">
        <v>1541</v>
      </c>
      <c r="H5123" s="8" t="s">
        <v>15293</v>
      </c>
      <c r="I5123" s="107">
        <v>24</v>
      </c>
      <c r="J5123" s="8" t="s">
        <v>5929</v>
      </c>
    </row>
    <row r="5124" spans="1:10" ht="16.5" customHeight="1" x14ac:dyDescent="0.25">
      <c r="A5124" s="8" t="s">
        <v>15293</v>
      </c>
      <c r="B5124" s="8" t="s">
        <v>15294</v>
      </c>
      <c r="C5124" s="8" t="s">
        <v>14004</v>
      </c>
      <c r="D5124" s="8" t="s">
        <v>15294</v>
      </c>
      <c r="E5124" s="105">
        <v>0.314</v>
      </c>
      <c r="F5124" s="106" t="s">
        <v>2018</v>
      </c>
      <c r="G5124" s="8" t="s">
        <v>1541</v>
      </c>
      <c r="H5124" s="8"/>
      <c r="I5124" s="107">
        <v>0</v>
      </c>
      <c r="J5124" s="8" t="s">
        <v>5929</v>
      </c>
    </row>
    <row r="5125" spans="1:10" ht="16.5" customHeight="1" x14ac:dyDescent="0.25">
      <c r="A5125" s="8" t="s">
        <v>1653</v>
      </c>
      <c r="B5125" s="8" t="s">
        <v>1655</v>
      </c>
      <c r="C5125" s="8" t="s">
        <v>1654</v>
      </c>
      <c r="D5125" s="8" t="s">
        <v>1655</v>
      </c>
      <c r="E5125" s="105">
        <v>13.458</v>
      </c>
      <c r="F5125" s="106" t="s">
        <v>2018</v>
      </c>
      <c r="G5125" s="8" t="s">
        <v>1541</v>
      </c>
      <c r="H5125" s="8" t="s">
        <v>15295</v>
      </c>
      <c r="I5125" s="107">
        <v>24</v>
      </c>
      <c r="J5125" s="8" t="s">
        <v>5929</v>
      </c>
    </row>
    <row r="5126" spans="1:10" ht="16.5" customHeight="1" x14ac:dyDescent="0.25">
      <c r="A5126" s="8" t="s">
        <v>15295</v>
      </c>
      <c r="B5126" s="8" t="s">
        <v>15296</v>
      </c>
      <c r="C5126" s="8" t="s">
        <v>14009</v>
      </c>
      <c r="D5126" s="8" t="s">
        <v>15296</v>
      </c>
      <c r="E5126" s="105">
        <v>0.56100000000000005</v>
      </c>
      <c r="F5126" s="106" t="s">
        <v>2018</v>
      </c>
      <c r="G5126" s="8" t="s">
        <v>1541</v>
      </c>
      <c r="H5126" s="8"/>
      <c r="I5126" s="107">
        <v>0</v>
      </c>
      <c r="J5126" s="8" t="s">
        <v>5929</v>
      </c>
    </row>
    <row r="5127" spans="1:10" ht="16.5" customHeight="1" x14ac:dyDescent="0.25">
      <c r="A5127" s="8" t="s">
        <v>1626</v>
      </c>
      <c r="B5127" s="8" t="s">
        <v>1628</v>
      </c>
      <c r="C5127" s="8" t="s">
        <v>1627</v>
      </c>
      <c r="D5127" s="8" t="s">
        <v>1628</v>
      </c>
      <c r="E5127" s="105">
        <v>12</v>
      </c>
      <c r="F5127" s="106" t="s">
        <v>2018</v>
      </c>
      <c r="G5127" s="8" t="s">
        <v>1541</v>
      </c>
      <c r="H5127" s="8" t="s">
        <v>15297</v>
      </c>
      <c r="I5127" s="107">
        <v>30</v>
      </c>
      <c r="J5127" s="8" t="s">
        <v>5929</v>
      </c>
    </row>
    <row r="5128" spans="1:10" ht="16.5" customHeight="1" x14ac:dyDescent="0.25">
      <c r="A5128" s="8" t="s">
        <v>15297</v>
      </c>
      <c r="B5128" s="8" t="s">
        <v>15298</v>
      </c>
      <c r="C5128" s="8" t="s">
        <v>14059</v>
      </c>
      <c r="D5128" s="8" t="s">
        <v>15298</v>
      </c>
      <c r="E5128" s="105">
        <v>0.4</v>
      </c>
      <c r="F5128" s="106" t="s">
        <v>2018</v>
      </c>
      <c r="G5128" s="8" t="s">
        <v>1541</v>
      </c>
      <c r="H5128" s="8"/>
      <c r="I5128" s="107">
        <v>0</v>
      </c>
      <c r="J5128" s="8" t="s">
        <v>5929</v>
      </c>
    </row>
    <row r="5129" spans="1:10" ht="16.5" customHeight="1" x14ac:dyDescent="0.25">
      <c r="A5129" s="8" t="s">
        <v>15299</v>
      </c>
      <c r="B5129" s="8" t="s">
        <v>15300</v>
      </c>
      <c r="C5129" s="8" t="s">
        <v>14564</v>
      </c>
      <c r="D5129" s="8" t="s">
        <v>15300</v>
      </c>
      <c r="E5129" s="105">
        <v>12</v>
      </c>
      <c r="F5129" s="106" t="s">
        <v>2018</v>
      </c>
      <c r="G5129" s="8" t="s">
        <v>1541</v>
      </c>
      <c r="H5129" s="8"/>
      <c r="I5129" s="107">
        <v>0</v>
      </c>
      <c r="J5129" s="8" t="s">
        <v>5929</v>
      </c>
    </row>
    <row r="5130" spans="1:10" ht="16.5" customHeight="1" x14ac:dyDescent="0.25">
      <c r="A5130" s="8" t="s">
        <v>1677</v>
      </c>
      <c r="B5130" s="8" t="s">
        <v>1679</v>
      </c>
      <c r="C5130" s="8" t="s">
        <v>1678</v>
      </c>
      <c r="D5130" s="8" t="s">
        <v>1679</v>
      </c>
      <c r="E5130" s="105">
        <v>12</v>
      </c>
      <c r="F5130" s="106" t="s">
        <v>2018</v>
      </c>
      <c r="G5130" s="8" t="s">
        <v>1541</v>
      </c>
      <c r="H5130" s="8" t="s">
        <v>15301</v>
      </c>
      <c r="I5130" s="107">
        <v>6</v>
      </c>
      <c r="J5130" s="8" t="s">
        <v>5929</v>
      </c>
    </row>
    <row r="5131" spans="1:10" ht="16.5" customHeight="1" x14ac:dyDescent="0.25">
      <c r="A5131" s="8" t="s">
        <v>15301</v>
      </c>
      <c r="B5131" s="8" t="s">
        <v>15302</v>
      </c>
      <c r="C5131" s="8" t="s">
        <v>14812</v>
      </c>
      <c r="D5131" s="8" t="s">
        <v>15302</v>
      </c>
      <c r="E5131" s="105">
        <v>2</v>
      </c>
      <c r="F5131" s="106" t="s">
        <v>2018</v>
      </c>
      <c r="G5131" s="8" t="s">
        <v>1541</v>
      </c>
      <c r="H5131" s="8"/>
      <c r="I5131" s="107">
        <v>0</v>
      </c>
      <c r="J5131" s="8" t="s">
        <v>5929</v>
      </c>
    </row>
    <row r="5132" spans="1:10" ht="16.5" customHeight="1" x14ac:dyDescent="0.25">
      <c r="A5132" s="8" t="s">
        <v>1665</v>
      </c>
      <c r="B5132" s="8" t="s">
        <v>1667</v>
      </c>
      <c r="C5132" s="8" t="s">
        <v>1666</v>
      </c>
      <c r="D5132" s="8" t="s">
        <v>1667</v>
      </c>
      <c r="E5132" s="105">
        <v>15</v>
      </c>
      <c r="F5132" s="106" t="s">
        <v>2018</v>
      </c>
      <c r="G5132" s="8" t="s">
        <v>1541</v>
      </c>
      <c r="H5132" s="8" t="s">
        <v>15303</v>
      </c>
      <c r="I5132" s="107">
        <v>3</v>
      </c>
      <c r="J5132" s="8" t="s">
        <v>5929</v>
      </c>
    </row>
    <row r="5133" spans="1:10" ht="16.5" customHeight="1" x14ac:dyDescent="0.25">
      <c r="A5133" s="8" t="s">
        <v>15303</v>
      </c>
      <c r="B5133" s="8" t="s">
        <v>15304</v>
      </c>
      <c r="C5133" s="8" t="s">
        <v>14817</v>
      </c>
      <c r="D5133" s="8" t="s">
        <v>15304</v>
      </c>
      <c r="E5133" s="105">
        <v>5</v>
      </c>
      <c r="F5133" s="106" t="s">
        <v>2018</v>
      </c>
      <c r="G5133" s="8" t="s">
        <v>1541</v>
      </c>
      <c r="H5133" s="8"/>
      <c r="I5133" s="107">
        <v>0</v>
      </c>
      <c r="J5133" s="8" t="s">
        <v>5929</v>
      </c>
    </row>
    <row r="5134" spans="1:10" ht="16.5" customHeight="1" x14ac:dyDescent="0.25">
      <c r="A5134" s="8" t="s">
        <v>1674</v>
      </c>
      <c r="B5134" s="8" t="s">
        <v>1676</v>
      </c>
      <c r="C5134" s="8" t="s">
        <v>1675</v>
      </c>
      <c r="D5134" s="8" t="s">
        <v>1676</v>
      </c>
      <c r="E5134" s="105">
        <v>12</v>
      </c>
      <c r="F5134" s="106" t="s">
        <v>2018</v>
      </c>
      <c r="G5134" s="8" t="s">
        <v>1541</v>
      </c>
      <c r="H5134" s="8" t="s">
        <v>15305</v>
      </c>
      <c r="I5134" s="107">
        <v>12</v>
      </c>
      <c r="J5134" s="8" t="s">
        <v>5929</v>
      </c>
    </row>
    <row r="5135" spans="1:10" ht="16.5" customHeight="1" x14ac:dyDescent="0.25">
      <c r="A5135" s="8" t="s">
        <v>15305</v>
      </c>
      <c r="B5135" s="8" t="s">
        <v>15306</v>
      </c>
      <c r="C5135" s="8" t="s">
        <v>14839</v>
      </c>
      <c r="D5135" s="8" t="s">
        <v>15306</v>
      </c>
      <c r="E5135" s="105">
        <v>1</v>
      </c>
      <c r="F5135" s="106" t="s">
        <v>2018</v>
      </c>
      <c r="G5135" s="8" t="s">
        <v>1541</v>
      </c>
      <c r="H5135" s="8"/>
      <c r="I5135" s="107">
        <v>0</v>
      </c>
      <c r="J5135" s="8" t="s">
        <v>5929</v>
      </c>
    </row>
    <row r="5136" spans="1:10" ht="16.5" customHeight="1" x14ac:dyDescent="0.25">
      <c r="A5136" s="8" t="s">
        <v>1662</v>
      </c>
      <c r="B5136" s="8" t="s">
        <v>1664</v>
      </c>
      <c r="C5136" s="8" t="s">
        <v>1663</v>
      </c>
      <c r="D5136" s="8" t="s">
        <v>1664</v>
      </c>
      <c r="E5136" s="105">
        <v>12</v>
      </c>
      <c r="F5136" s="106" t="s">
        <v>2018</v>
      </c>
      <c r="G5136" s="8" t="s">
        <v>1541</v>
      </c>
      <c r="H5136" s="8" t="s">
        <v>15307</v>
      </c>
      <c r="I5136" s="107">
        <v>30</v>
      </c>
      <c r="J5136" s="8" t="s">
        <v>5929</v>
      </c>
    </row>
    <row r="5137" spans="1:10" ht="16.5" customHeight="1" x14ac:dyDescent="0.25">
      <c r="A5137" s="8" t="s">
        <v>15307</v>
      </c>
      <c r="B5137" s="8" t="s">
        <v>15308</v>
      </c>
      <c r="C5137" s="8" t="s">
        <v>14844</v>
      </c>
      <c r="D5137" s="8" t="s">
        <v>15308</v>
      </c>
      <c r="E5137" s="105">
        <v>0.4</v>
      </c>
      <c r="F5137" s="106" t="s">
        <v>2018</v>
      </c>
      <c r="G5137" s="8" t="s">
        <v>1541</v>
      </c>
      <c r="H5137" s="8"/>
      <c r="I5137" s="107">
        <v>0</v>
      </c>
      <c r="J5137" s="8" t="s">
        <v>5929</v>
      </c>
    </row>
    <row r="5138" spans="1:10" ht="16.5" customHeight="1" x14ac:dyDescent="0.25">
      <c r="A5138" s="8" t="s">
        <v>15309</v>
      </c>
      <c r="B5138" s="8" t="s">
        <v>15310</v>
      </c>
      <c r="C5138" s="8" t="s">
        <v>15311</v>
      </c>
      <c r="D5138" s="8" t="s">
        <v>15310</v>
      </c>
      <c r="E5138" s="105">
        <v>1</v>
      </c>
      <c r="F5138" s="106" t="s">
        <v>2018</v>
      </c>
      <c r="G5138" s="8"/>
      <c r="H5138" s="8"/>
      <c r="I5138" s="107">
        <v>0</v>
      </c>
      <c r="J5138" s="8" t="s">
        <v>3580</v>
      </c>
    </row>
    <row r="5139" spans="1:10" ht="16.5" customHeight="1" x14ac:dyDescent="0.25">
      <c r="A5139" s="8" t="s">
        <v>15312</v>
      </c>
      <c r="B5139" s="8" t="s">
        <v>15313</v>
      </c>
      <c r="C5139" s="8" t="s">
        <v>15314</v>
      </c>
      <c r="D5139" s="8" t="s">
        <v>15313</v>
      </c>
      <c r="E5139" s="105">
        <v>10</v>
      </c>
      <c r="F5139" s="106" t="s">
        <v>2018</v>
      </c>
      <c r="G5139" s="8"/>
      <c r="H5139" s="8" t="s">
        <v>15309</v>
      </c>
      <c r="I5139" s="107">
        <v>10</v>
      </c>
      <c r="J5139" s="8" t="s">
        <v>3580</v>
      </c>
    </row>
    <row r="5140" spans="1:10" ht="16.5" customHeight="1" x14ac:dyDescent="0.25">
      <c r="A5140" s="8" t="s">
        <v>15315</v>
      </c>
      <c r="B5140" s="8" t="s">
        <v>15316</v>
      </c>
      <c r="C5140" s="8" t="s">
        <v>6576</v>
      </c>
      <c r="D5140" s="8" t="s">
        <v>15317</v>
      </c>
      <c r="E5140" s="105">
        <v>0</v>
      </c>
      <c r="F5140" s="106" t="s">
        <v>2018</v>
      </c>
      <c r="G5140" s="8"/>
      <c r="H5140" s="8"/>
      <c r="I5140" s="107">
        <v>0</v>
      </c>
      <c r="J5140" s="8" t="s">
        <v>4789</v>
      </c>
    </row>
    <row r="5141" spans="1:10" ht="16.5" customHeight="1" x14ac:dyDescent="0.25">
      <c r="A5141" s="8" t="s">
        <v>15318</v>
      </c>
      <c r="B5141" s="8" t="s">
        <v>15319</v>
      </c>
      <c r="C5141" s="8" t="s">
        <v>8331</v>
      </c>
      <c r="D5141" s="8" t="s">
        <v>15320</v>
      </c>
      <c r="E5141" s="105">
        <v>0</v>
      </c>
      <c r="F5141" s="106" t="s">
        <v>2018</v>
      </c>
      <c r="G5141" s="8"/>
      <c r="H5141" s="8"/>
      <c r="I5141" s="107">
        <v>0</v>
      </c>
      <c r="J5141" s="8" t="s">
        <v>4789</v>
      </c>
    </row>
    <row r="5142" spans="1:10" ht="16.5" customHeight="1" x14ac:dyDescent="0.25">
      <c r="A5142" s="8" t="s">
        <v>15321</v>
      </c>
      <c r="B5142" s="8" t="s">
        <v>15322</v>
      </c>
      <c r="C5142" s="8" t="s">
        <v>10090</v>
      </c>
      <c r="D5142" s="8" t="s">
        <v>15323</v>
      </c>
      <c r="E5142" s="105">
        <v>0</v>
      </c>
      <c r="F5142" s="106" t="s">
        <v>2018</v>
      </c>
      <c r="G5142" s="8"/>
      <c r="H5142" s="8"/>
      <c r="I5142" s="107">
        <v>0</v>
      </c>
      <c r="J5142" s="8" t="s">
        <v>4789</v>
      </c>
    </row>
    <row r="5143" spans="1:10" ht="16.5" customHeight="1" x14ac:dyDescent="0.25">
      <c r="A5143" s="8" t="s">
        <v>15324</v>
      </c>
      <c r="B5143" s="8" t="s">
        <v>15325</v>
      </c>
      <c r="C5143" s="8" t="s">
        <v>11546</v>
      </c>
      <c r="D5143" s="8" t="s">
        <v>15326</v>
      </c>
      <c r="E5143" s="105">
        <v>0</v>
      </c>
      <c r="F5143" s="106" t="s">
        <v>2018</v>
      </c>
      <c r="G5143" s="8"/>
      <c r="H5143" s="8"/>
      <c r="I5143" s="107">
        <v>0</v>
      </c>
      <c r="J5143" s="8" t="s">
        <v>4789</v>
      </c>
    </row>
    <row r="5144" spans="1:10" ht="16.5" customHeight="1" x14ac:dyDescent="0.25">
      <c r="A5144" s="8" t="s">
        <v>15327</v>
      </c>
      <c r="B5144" s="8" t="s">
        <v>15328</v>
      </c>
      <c r="C5144" s="8" t="s">
        <v>11722</v>
      </c>
      <c r="D5144" s="8" t="s">
        <v>15329</v>
      </c>
      <c r="E5144" s="105">
        <v>0</v>
      </c>
      <c r="F5144" s="106" t="s">
        <v>2018</v>
      </c>
      <c r="G5144" s="8"/>
      <c r="H5144" s="8"/>
      <c r="I5144" s="107">
        <v>0</v>
      </c>
      <c r="J5144" s="8" t="s">
        <v>4789</v>
      </c>
    </row>
    <row r="5145" spans="1:10" ht="16.5" customHeight="1" x14ac:dyDescent="0.25">
      <c r="A5145" s="8" t="s">
        <v>15330</v>
      </c>
      <c r="B5145" s="8" t="s">
        <v>15331</v>
      </c>
      <c r="C5145" s="8" t="s">
        <v>14039</v>
      </c>
      <c r="D5145" s="8" t="s">
        <v>15332</v>
      </c>
      <c r="E5145" s="105">
        <v>0</v>
      </c>
      <c r="F5145" s="106" t="s">
        <v>2024</v>
      </c>
      <c r="G5145" s="8"/>
      <c r="H5145" s="8"/>
      <c r="I5145" s="107">
        <v>0</v>
      </c>
      <c r="J5145" s="8" t="s">
        <v>4789</v>
      </c>
    </row>
    <row r="5146" spans="1:10" ht="16.5" customHeight="1" x14ac:dyDescent="0.25">
      <c r="A5146" s="8" t="s">
        <v>15333</v>
      </c>
      <c r="B5146" s="8" t="s">
        <v>15334</v>
      </c>
      <c r="C5146" s="8" t="s">
        <v>14157</v>
      </c>
      <c r="D5146" s="8" t="s">
        <v>15335</v>
      </c>
      <c r="E5146" s="105">
        <v>1.0200000000000001E-2</v>
      </c>
      <c r="F5146" s="106" t="s">
        <v>2018</v>
      </c>
      <c r="G5146" s="8"/>
      <c r="H5146" s="8"/>
      <c r="I5146" s="107">
        <v>0</v>
      </c>
      <c r="J5146" s="8" t="s">
        <v>4789</v>
      </c>
    </row>
    <row r="5147" spans="1:10" ht="16.5" customHeight="1" x14ac:dyDescent="0.25">
      <c r="A5147" s="8" t="s">
        <v>15336</v>
      </c>
      <c r="B5147" s="8" t="s">
        <v>15337</v>
      </c>
      <c r="C5147" s="8" t="s">
        <v>14189</v>
      </c>
      <c r="D5147" s="8" t="s">
        <v>15323</v>
      </c>
      <c r="E5147" s="105">
        <v>0.35</v>
      </c>
      <c r="F5147" s="106" t="s">
        <v>2018</v>
      </c>
      <c r="G5147" s="8"/>
      <c r="H5147" s="8"/>
      <c r="I5147" s="107">
        <v>0</v>
      </c>
      <c r="J5147" s="8" t="s">
        <v>4789</v>
      </c>
    </row>
    <row r="5148" spans="1:10" ht="16.5" customHeight="1" x14ac:dyDescent="0.25">
      <c r="A5148" s="8" t="s">
        <v>15338</v>
      </c>
      <c r="B5148" s="8" t="s">
        <v>15339</v>
      </c>
      <c r="C5148" s="8" t="s">
        <v>15085</v>
      </c>
      <c r="D5148" s="8" t="s">
        <v>15340</v>
      </c>
      <c r="E5148" s="105">
        <v>6.5000000000000002E-2</v>
      </c>
      <c r="F5148" s="106" t="s">
        <v>2018</v>
      </c>
      <c r="G5148" s="8"/>
      <c r="H5148" s="8"/>
      <c r="I5148" s="107">
        <v>0</v>
      </c>
      <c r="J5148" s="8" t="s">
        <v>4789</v>
      </c>
    </row>
    <row r="5149" spans="1:10" ht="16.5" customHeight="1" x14ac:dyDescent="0.25">
      <c r="A5149" s="8" t="s">
        <v>15341</v>
      </c>
      <c r="B5149" s="8" t="s">
        <v>15342</v>
      </c>
      <c r="C5149" s="8" t="s">
        <v>15088</v>
      </c>
      <c r="D5149" s="8" t="s">
        <v>15343</v>
      </c>
      <c r="E5149" s="105">
        <v>6.5000000000000002E-2</v>
      </c>
      <c r="F5149" s="106" t="s">
        <v>2018</v>
      </c>
      <c r="G5149" s="8"/>
      <c r="H5149" s="8"/>
      <c r="I5149" s="107">
        <v>0</v>
      </c>
      <c r="J5149" s="8" t="s">
        <v>4789</v>
      </c>
    </row>
    <row r="5150" spans="1:10" ht="16.5" customHeight="1" x14ac:dyDescent="0.25">
      <c r="A5150" s="8" t="s">
        <v>15344</v>
      </c>
      <c r="B5150" s="8" t="s">
        <v>15345</v>
      </c>
      <c r="C5150" s="8" t="s">
        <v>15346</v>
      </c>
      <c r="D5150" s="8" t="s">
        <v>15347</v>
      </c>
      <c r="E5150" s="105">
        <v>9.6000000000000002E-2</v>
      </c>
      <c r="F5150" s="106" t="s">
        <v>2018</v>
      </c>
      <c r="G5150" s="8"/>
      <c r="H5150" s="8"/>
      <c r="I5150" s="107">
        <v>0</v>
      </c>
      <c r="J5150" s="8" t="s">
        <v>4789</v>
      </c>
    </row>
    <row r="5151" spans="1:10" ht="16.5" customHeight="1" x14ac:dyDescent="0.25">
      <c r="A5151" s="8" t="s">
        <v>15348</v>
      </c>
      <c r="B5151" s="8" t="s">
        <v>15349</v>
      </c>
      <c r="C5151" s="8" t="s">
        <v>15350</v>
      </c>
      <c r="D5151" s="8" t="s">
        <v>15347</v>
      </c>
      <c r="E5151" s="105">
        <v>9.7000000000000003E-2</v>
      </c>
      <c r="F5151" s="106" t="s">
        <v>2018</v>
      </c>
      <c r="G5151" s="8"/>
      <c r="H5151" s="8"/>
      <c r="I5151" s="107">
        <v>0</v>
      </c>
      <c r="J5151" s="8" t="s">
        <v>4789</v>
      </c>
    </row>
    <row r="5152" spans="1:10" ht="16.5" customHeight="1" x14ac:dyDescent="0.25">
      <c r="A5152" s="8" t="s">
        <v>15351</v>
      </c>
      <c r="B5152" s="8" t="s">
        <v>15352</v>
      </c>
      <c r="C5152" s="8" t="s">
        <v>15353</v>
      </c>
      <c r="D5152" s="8" t="s">
        <v>15354</v>
      </c>
      <c r="E5152" s="105">
        <v>0.10299999999999999</v>
      </c>
      <c r="F5152" s="106" t="s">
        <v>2018</v>
      </c>
      <c r="G5152" s="8"/>
      <c r="H5152" s="8"/>
      <c r="I5152" s="107">
        <v>0</v>
      </c>
      <c r="J5152" s="8" t="s">
        <v>4789</v>
      </c>
    </row>
    <row r="5153" spans="1:10" ht="16.5" customHeight="1" x14ac:dyDescent="0.25">
      <c r="A5153" s="8" t="s">
        <v>15355</v>
      </c>
      <c r="B5153" s="8" t="s">
        <v>15356</v>
      </c>
      <c r="C5153" s="8" t="s">
        <v>15100</v>
      </c>
      <c r="D5153" s="8" t="s">
        <v>15357</v>
      </c>
      <c r="E5153" s="105">
        <v>2.1000000000000001E-2</v>
      </c>
      <c r="F5153" s="106" t="s">
        <v>2018</v>
      </c>
      <c r="G5153" s="8"/>
      <c r="H5153" s="8"/>
      <c r="I5153" s="107">
        <v>0</v>
      </c>
      <c r="J5153" s="8" t="s">
        <v>4789</v>
      </c>
    </row>
    <row r="5154" spans="1:10" ht="16.5" customHeight="1" x14ac:dyDescent="0.25">
      <c r="A5154" s="8" t="s">
        <v>15358</v>
      </c>
      <c r="B5154" s="8" t="s">
        <v>15359</v>
      </c>
      <c r="C5154" s="8" t="s">
        <v>15103</v>
      </c>
      <c r="D5154" s="8" t="s">
        <v>15357</v>
      </c>
      <c r="E5154" s="105">
        <v>2.1999999999999999E-2</v>
      </c>
      <c r="F5154" s="106" t="s">
        <v>2018</v>
      </c>
      <c r="G5154" s="8"/>
      <c r="H5154" s="8"/>
      <c r="I5154" s="107">
        <v>0</v>
      </c>
      <c r="J5154" s="8" t="s">
        <v>4789</v>
      </c>
    </row>
    <row r="5155" spans="1:10" ht="16.5" customHeight="1" x14ac:dyDescent="0.25">
      <c r="A5155" s="8" t="s">
        <v>15360</v>
      </c>
      <c r="B5155" s="8" t="s">
        <v>15361</v>
      </c>
      <c r="C5155" s="8" t="s">
        <v>15106</v>
      </c>
      <c r="D5155" s="8" t="s">
        <v>15362</v>
      </c>
      <c r="E5155" s="105">
        <v>4.5999999999999999E-2</v>
      </c>
      <c r="F5155" s="106" t="s">
        <v>2018</v>
      </c>
      <c r="G5155" s="8"/>
      <c r="H5155" s="8"/>
      <c r="I5155" s="107">
        <v>0</v>
      </c>
      <c r="J5155" s="8" t="s">
        <v>4789</v>
      </c>
    </row>
    <row r="5156" spans="1:10" ht="16.5" customHeight="1" x14ac:dyDescent="0.25">
      <c r="A5156" s="8" t="s">
        <v>15363</v>
      </c>
      <c r="B5156" s="8" t="s">
        <v>15364</v>
      </c>
      <c r="C5156" s="8" t="s">
        <v>15109</v>
      </c>
      <c r="D5156" s="8" t="s">
        <v>15365</v>
      </c>
      <c r="E5156" s="105">
        <v>0.02</v>
      </c>
      <c r="F5156" s="106" t="s">
        <v>2018</v>
      </c>
      <c r="G5156" s="8"/>
      <c r="H5156" s="8"/>
      <c r="I5156" s="107">
        <v>0</v>
      </c>
      <c r="J5156" s="8" t="s">
        <v>4789</v>
      </c>
    </row>
    <row r="5157" spans="1:10" ht="16.5" customHeight="1" x14ac:dyDescent="0.25">
      <c r="A5157" s="8" t="s">
        <v>15366</v>
      </c>
      <c r="B5157" s="8" t="s">
        <v>15367</v>
      </c>
      <c r="C5157" s="8" t="s">
        <v>1089</v>
      </c>
      <c r="D5157" s="8" t="s">
        <v>15368</v>
      </c>
      <c r="E5157" s="105">
        <v>0</v>
      </c>
      <c r="F5157" s="106" t="s">
        <v>2018</v>
      </c>
      <c r="G5157" s="8"/>
      <c r="H5157" s="8"/>
      <c r="I5157" s="107">
        <v>0</v>
      </c>
      <c r="J5157" s="8" t="s">
        <v>4789</v>
      </c>
    </row>
    <row r="5158" spans="1:10" ht="16.5" customHeight="1" x14ac:dyDescent="0.25">
      <c r="A5158" s="8" t="s">
        <v>15369</v>
      </c>
      <c r="B5158" s="8" t="s">
        <v>15370</v>
      </c>
      <c r="C5158" s="8" t="s">
        <v>1089</v>
      </c>
      <c r="D5158" s="8" t="s">
        <v>15368</v>
      </c>
      <c r="E5158" s="105">
        <v>0</v>
      </c>
      <c r="F5158" s="106" t="s">
        <v>2018</v>
      </c>
      <c r="G5158" s="8"/>
      <c r="H5158" s="8"/>
      <c r="I5158" s="107">
        <v>0</v>
      </c>
      <c r="J5158" s="8" t="s">
        <v>4789</v>
      </c>
    </row>
    <row r="5159" spans="1:10" ht="16.5" customHeight="1" x14ac:dyDescent="0.25">
      <c r="A5159" s="8" t="s">
        <v>15371</v>
      </c>
      <c r="B5159" s="8" t="s">
        <v>15372</v>
      </c>
      <c r="C5159" s="8" t="s">
        <v>13515</v>
      </c>
      <c r="D5159" s="8" t="s">
        <v>15372</v>
      </c>
      <c r="E5159" s="105">
        <v>8</v>
      </c>
      <c r="F5159" s="106" t="s">
        <v>2018</v>
      </c>
      <c r="G5159" s="8" t="s">
        <v>1541</v>
      </c>
      <c r="H5159" s="8" t="s">
        <v>15373</v>
      </c>
      <c r="I5159" s="107">
        <v>40</v>
      </c>
      <c r="J5159" s="8" t="s">
        <v>5929</v>
      </c>
    </row>
    <row r="5160" spans="1:10" ht="16.5" customHeight="1" x14ac:dyDescent="0.25">
      <c r="A5160" s="8" t="s">
        <v>15373</v>
      </c>
      <c r="B5160" s="8" t="s">
        <v>15374</v>
      </c>
      <c r="C5160" s="8" t="s">
        <v>9243</v>
      </c>
      <c r="D5160" s="8" t="s">
        <v>15374</v>
      </c>
      <c r="E5160" s="105">
        <v>0.2</v>
      </c>
      <c r="F5160" s="106" t="s">
        <v>2018</v>
      </c>
      <c r="G5160" s="8" t="s">
        <v>1541</v>
      </c>
      <c r="H5160" s="8"/>
      <c r="I5160" s="107">
        <v>0</v>
      </c>
      <c r="J5160" s="8" t="s">
        <v>5929</v>
      </c>
    </row>
    <row r="5161" spans="1:10" ht="16.5" customHeight="1" x14ac:dyDescent="0.25">
      <c r="A5161" s="8" t="s">
        <v>15375</v>
      </c>
      <c r="B5161" s="8" t="s">
        <v>15376</v>
      </c>
      <c r="C5161" s="8" t="s">
        <v>12373</v>
      </c>
      <c r="D5161" s="8" t="s">
        <v>15376</v>
      </c>
      <c r="E5161" s="105">
        <v>9.7569999999999997</v>
      </c>
      <c r="F5161" s="106" t="s">
        <v>2018</v>
      </c>
      <c r="G5161" s="8" t="s">
        <v>1541</v>
      </c>
      <c r="H5161" s="8"/>
      <c r="I5161" s="107">
        <v>0</v>
      </c>
      <c r="J5161" s="8" t="s">
        <v>5929</v>
      </c>
    </row>
    <row r="5162" spans="1:10" ht="16.5" customHeight="1" x14ac:dyDescent="0.25">
      <c r="A5162" s="8" t="s">
        <v>15377</v>
      </c>
      <c r="B5162" s="8" t="s">
        <v>15378</v>
      </c>
      <c r="C5162" s="8" t="s">
        <v>7803</v>
      </c>
      <c r="D5162" s="8" t="s">
        <v>15378</v>
      </c>
      <c r="E5162" s="105">
        <v>6.3583999999999996</v>
      </c>
      <c r="F5162" s="106" t="s">
        <v>2018</v>
      </c>
      <c r="G5162" s="8" t="s">
        <v>1541</v>
      </c>
      <c r="H5162" s="8" t="s">
        <v>15379</v>
      </c>
      <c r="I5162" s="107">
        <v>60</v>
      </c>
      <c r="J5162" s="8" t="s">
        <v>5929</v>
      </c>
    </row>
    <row r="5163" spans="1:10" ht="16.5" customHeight="1" x14ac:dyDescent="0.25">
      <c r="A5163" s="8" t="s">
        <v>15379</v>
      </c>
      <c r="B5163" s="8" t="s">
        <v>15380</v>
      </c>
      <c r="C5163" s="8" t="s">
        <v>7809</v>
      </c>
      <c r="D5163" s="8" t="s">
        <v>15380</v>
      </c>
      <c r="E5163" s="105">
        <v>0.12509999999999999</v>
      </c>
      <c r="F5163" s="106" t="s">
        <v>2018</v>
      </c>
      <c r="G5163" s="8" t="s">
        <v>1541</v>
      </c>
      <c r="H5163" s="8"/>
      <c r="I5163" s="107">
        <v>0</v>
      </c>
      <c r="J5163" s="8" t="s">
        <v>5929</v>
      </c>
    </row>
    <row r="5164" spans="1:10" ht="16.5" customHeight="1" x14ac:dyDescent="0.25">
      <c r="A5164" s="8" t="s">
        <v>15381</v>
      </c>
      <c r="B5164" s="8" t="s">
        <v>15382</v>
      </c>
      <c r="C5164" s="8" t="s">
        <v>12435</v>
      </c>
      <c r="D5164" s="8" t="s">
        <v>15382</v>
      </c>
      <c r="E5164" s="105">
        <v>17.773</v>
      </c>
      <c r="F5164" s="106" t="s">
        <v>2018</v>
      </c>
      <c r="G5164" s="8" t="s">
        <v>1541</v>
      </c>
      <c r="H5164" s="8"/>
      <c r="I5164" s="107">
        <v>0</v>
      </c>
      <c r="J5164" s="8" t="s">
        <v>5929</v>
      </c>
    </row>
    <row r="5165" spans="1:10" ht="16.5" customHeight="1" x14ac:dyDescent="0.25">
      <c r="A5165" s="8" t="s">
        <v>15383</v>
      </c>
      <c r="B5165" s="8" t="s">
        <v>15384</v>
      </c>
      <c r="C5165" s="8" t="s">
        <v>12438</v>
      </c>
      <c r="D5165" s="8" t="s">
        <v>15384</v>
      </c>
      <c r="E5165" s="105">
        <v>4.4432</v>
      </c>
      <c r="F5165" s="106" t="s">
        <v>2018</v>
      </c>
      <c r="G5165" s="8" t="s">
        <v>1541</v>
      </c>
      <c r="H5165" s="8"/>
      <c r="I5165" s="107">
        <v>0</v>
      </c>
      <c r="J5165" s="8" t="s">
        <v>5929</v>
      </c>
    </row>
    <row r="5166" spans="1:10" ht="16.5" customHeight="1" x14ac:dyDescent="0.25">
      <c r="A5166" s="8" t="s">
        <v>15385</v>
      </c>
      <c r="B5166" s="8" t="s">
        <v>15386</v>
      </c>
      <c r="C5166" s="8" t="s">
        <v>12442</v>
      </c>
      <c r="D5166" s="8" t="s">
        <v>15386</v>
      </c>
      <c r="E5166" s="105">
        <v>34.6</v>
      </c>
      <c r="F5166" s="106" t="s">
        <v>2018</v>
      </c>
      <c r="G5166" s="8" t="s">
        <v>1541</v>
      </c>
      <c r="H5166" s="8"/>
      <c r="I5166" s="107">
        <v>0</v>
      </c>
      <c r="J5166" s="8" t="s">
        <v>5929</v>
      </c>
    </row>
    <row r="5167" spans="1:10" ht="16.5" customHeight="1" x14ac:dyDescent="0.25">
      <c r="A5167" s="8" t="s">
        <v>1632</v>
      </c>
      <c r="B5167" s="8" t="s">
        <v>1634</v>
      </c>
      <c r="C5167" s="8" t="s">
        <v>1633</v>
      </c>
      <c r="D5167" s="8" t="s">
        <v>1634</v>
      </c>
      <c r="E5167" s="105">
        <v>10</v>
      </c>
      <c r="F5167" s="106" t="s">
        <v>2018</v>
      </c>
      <c r="G5167" s="8" t="s">
        <v>1541</v>
      </c>
      <c r="H5167" s="8"/>
      <c r="I5167" s="107">
        <v>0</v>
      </c>
      <c r="J5167" s="8" t="s">
        <v>5929</v>
      </c>
    </row>
    <row r="5168" spans="1:10" ht="16.5" customHeight="1" x14ac:dyDescent="0.25">
      <c r="A5168" s="8" t="s">
        <v>15387</v>
      </c>
      <c r="B5168" s="8" t="s">
        <v>15388</v>
      </c>
      <c r="C5168" s="8" t="s">
        <v>9656</v>
      </c>
      <c r="D5168" s="8" t="s">
        <v>15388</v>
      </c>
      <c r="E5168" s="105">
        <v>12</v>
      </c>
      <c r="F5168" s="106" t="s">
        <v>2018</v>
      </c>
      <c r="G5168" s="8" t="s">
        <v>1541</v>
      </c>
      <c r="H5168" s="8" t="s">
        <v>15389</v>
      </c>
      <c r="I5168" s="107">
        <v>1200</v>
      </c>
      <c r="J5168" s="8" t="s">
        <v>5929</v>
      </c>
    </row>
    <row r="5169" spans="1:10" ht="16.5" customHeight="1" x14ac:dyDescent="0.25">
      <c r="A5169" s="8" t="s">
        <v>15389</v>
      </c>
      <c r="B5169" s="8" t="s">
        <v>15390</v>
      </c>
      <c r="C5169" s="8" t="s">
        <v>9659</v>
      </c>
      <c r="D5169" s="8" t="s">
        <v>15390</v>
      </c>
      <c r="E5169" s="105">
        <v>0.01</v>
      </c>
      <c r="F5169" s="106" t="s">
        <v>2018</v>
      </c>
      <c r="G5169" s="8" t="s">
        <v>1541</v>
      </c>
      <c r="H5169" s="8"/>
      <c r="I5169" s="107">
        <v>0</v>
      </c>
      <c r="J5169" s="8" t="s">
        <v>5929</v>
      </c>
    </row>
    <row r="5170" spans="1:10" ht="16.5" customHeight="1" x14ac:dyDescent="0.25">
      <c r="A5170" s="8" t="s">
        <v>15391</v>
      </c>
      <c r="B5170" s="8" t="s">
        <v>15392</v>
      </c>
      <c r="C5170" s="8" t="s">
        <v>12624</v>
      </c>
      <c r="D5170" s="8" t="s">
        <v>15392</v>
      </c>
      <c r="E5170" s="105">
        <v>6.12</v>
      </c>
      <c r="F5170" s="106" t="s">
        <v>2018</v>
      </c>
      <c r="G5170" s="8" t="s">
        <v>1541</v>
      </c>
      <c r="H5170" s="8" t="s">
        <v>15393</v>
      </c>
      <c r="I5170" s="107">
        <v>24</v>
      </c>
      <c r="J5170" s="8" t="s">
        <v>5929</v>
      </c>
    </row>
    <row r="5171" spans="1:10" ht="16.5" customHeight="1" x14ac:dyDescent="0.25">
      <c r="A5171" s="8" t="s">
        <v>15393</v>
      </c>
      <c r="B5171" s="8" t="s">
        <v>15394</v>
      </c>
      <c r="C5171" s="8" t="s">
        <v>12627</v>
      </c>
      <c r="D5171" s="8" t="s">
        <v>15394</v>
      </c>
      <c r="E5171" s="105">
        <v>0.255</v>
      </c>
      <c r="F5171" s="106" t="s">
        <v>2018</v>
      </c>
      <c r="G5171" s="8" t="s">
        <v>1541</v>
      </c>
      <c r="H5171" s="8"/>
      <c r="I5171" s="107">
        <v>0</v>
      </c>
      <c r="J5171" s="8" t="s">
        <v>5929</v>
      </c>
    </row>
    <row r="5172" spans="1:10" ht="16.5" customHeight="1" x14ac:dyDescent="0.25">
      <c r="A5172" s="8" t="s">
        <v>15395</v>
      </c>
      <c r="B5172" s="8" t="s">
        <v>15396</v>
      </c>
      <c r="C5172" s="8" t="s">
        <v>10940</v>
      </c>
      <c r="D5172" s="8" t="s">
        <v>15396</v>
      </c>
      <c r="E5172" s="105">
        <v>10</v>
      </c>
      <c r="F5172" s="106" t="s">
        <v>2018</v>
      </c>
      <c r="G5172" s="8" t="s">
        <v>1541</v>
      </c>
      <c r="H5172" s="8" t="s">
        <v>15397</v>
      </c>
      <c r="I5172" s="107">
        <v>10</v>
      </c>
      <c r="J5172" s="8" t="s">
        <v>5929</v>
      </c>
    </row>
    <row r="5173" spans="1:10" ht="16.5" customHeight="1" x14ac:dyDescent="0.25">
      <c r="A5173" s="8" t="s">
        <v>15397</v>
      </c>
      <c r="B5173" s="8" t="s">
        <v>15398</v>
      </c>
      <c r="C5173" s="8" t="s">
        <v>10943</v>
      </c>
      <c r="D5173" s="8" t="s">
        <v>15398</v>
      </c>
      <c r="E5173" s="105">
        <v>1</v>
      </c>
      <c r="F5173" s="106" t="s">
        <v>2018</v>
      </c>
      <c r="G5173" s="8" t="s">
        <v>1541</v>
      </c>
      <c r="H5173" s="8"/>
      <c r="I5173" s="107">
        <v>0</v>
      </c>
      <c r="J5173" s="8" t="s">
        <v>5929</v>
      </c>
    </row>
    <row r="5174" spans="1:10" ht="16.5" customHeight="1" x14ac:dyDescent="0.25">
      <c r="A5174" s="8" t="s">
        <v>1697</v>
      </c>
      <c r="B5174" s="8" t="s">
        <v>1699</v>
      </c>
      <c r="C5174" s="8" t="s">
        <v>1698</v>
      </c>
      <c r="D5174" s="8" t="s">
        <v>1699</v>
      </c>
      <c r="E5174" s="105">
        <v>8</v>
      </c>
      <c r="F5174" s="106" t="s">
        <v>2018</v>
      </c>
      <c r="G5174" s="8" t="s">
        <v>1541</v>
      </c>
      <c r="H5174" s="8" t="s">
        <v>15399</v>
      </c>
      <c r="I5174" s="107">
        <v>800</v>
      </c>
      <c r="J5174" s="8" t="s">
        <v>5929</v>
      </c>
    </row>
    <row r="5175" spans="1:10" ht="16.5" customHeight="1" x14ac:dyDescent="0.25">
      <c r="A5175" s="8" t="s">
        <v>15399</v>
      </c>
      <c r="B5175" s="8" t="s">
        <v>15400</v>
      </c>
      <c r="C5175" s="8" t="s">
        <v>11183</v>
      </c>
      <c r="D5175" s="8" t="s">
        <v>15400</v>
      </c>
      <c r="E5175" s="105">
        <v>0.01</v>
      </c>
      <c r="F5175" s="106" t="s">
        <v>2018</v>
      </c>
      <c r="G5175" s="8" t="s">
        <v>1541</v>
      </c>
      <c r="H5175" s="8"/>
      <c r="I5175" s="107">
        <v>0</v>
      </c>
      <c r="J5175" s="8" t="s">
        <v>5929</v>
      </c>
    </row>
    <row r="5176" spans="1:10" ht="16.5" customHeight="1" x14ac:dyDescent="0.25">
      <c r="A5176" s="8" t="s">
        <v>1713</v>
      </c>
      <c r="B5176" s="8" t="s">
        <v>15401</v>
      </c>
      <c r="C5176" s="8" t="s">
        <v>12618</v>
      </c>
      <c r="D5176" s="8" t="s">
        <v>15401</v>
      </c>
      <c r="E5176" s="105">
        <v>6.12</v>
      </c>
      <c r="F5176" s="106" t="s">
        <v>2018</v>
      </c>
      <c r="G5176" s="8" t="s">
        <v>1541</v>
      </c>
      <c r="H5176" s="8" t="s">
        <v>15402</v>
      </c>
      <c r="I5176" s="107">
        <v>24</v>
      </c>
      <c r="J5176" s="8" t="s">
        <v>5929</v>
      </c>
    </row>
    <row r="5177" spans="1:10" ht="16.5" customHeight="1" x14ac:dyDescent="0.25">
      <c r="A5177" s="8" t="s">
        <v>15402</v>
      </c>
      <c r="B5177" s="8" t="s">
        <v>15403</v>
      </c>
      <c r="C5177" s="8" t="s">
        <v>12621</v>
      </c>
      <c r="D5177" s="8" t="s">
        <v>15403</v>
      </c>
      <c r="E5177" s="105">
        <v>0.255</v>
      </c>
      <c r="F5177" s="106" t="s">
        <v>2018</v>
      </c>
      <c r="G5177" s="8" t="s">
        <v>1541</v>
      </c>
      <c r="H5177" s="8"/>
      <c r="I5177" s="107">
        <v>0</v>
      </c>
      <c r="J5177" s="8" t="s">
        <v>5929</v>
      </c>
    </row>
    <row r="5178" spans="1:10" ht="16.5" customHeight="1" x14ac:dyDescent="0.25">
      <c r="A5178" s="8" t="s">
        <v>15404</v>
      </c>
      <c r="B5178" s="8" t="s">
        <v>15405</v>
      </c>
      <c r="C5178" s="8" t="s">
        <v>9596</v>
      </c>
      <c r="D5178" s="8" t="s">
        <v>15405</v>
      </c>
      <c r="E5178" s="105">
        <v>20</v>
      </c>
      <c r="F5178" s="106" t="s">
        <v>2018</v>
      </c>
      <c r="G5178" s="8" t="s">
        <v>1541</v>
      </c>
      <c r="H5178" s="8" t="s">
        <v>15406</v>
      </c>
      <c r="I5178" s="107">
        <v>2</v>
      </c>
      <c r="J5178" s="8" t="s">
        <v>5929</v>
      </c>
    </row>
    <row r="5179" spans="1:10" ht="16.5" customHeight="1" x14ac:dyDescent="0.25">
      <c r="A5179" s="8" t="s">
        <v>15406</v>
      </c>
      <c r="B5179" s="8" t="s">
        <v>15407</v>
      </c>
      <c r="C5179" s="8" t="s">
        <v>9599</v>
      </c>
      <c r="D5179" s="8" t="s">
        <v>15407</v>
      </c>
      <c r="E5179" s="105">
        <v>10</v>
      </c>
      <c r="F5179" s="106" t="s">
        <v>2018</v>
      </c>
      <c r="G5179" s="8" t="s">
        <v>1541</v>
      </c>
      <c r="H5179" s="8"/>
      <c r="I5179" s="107">
        <v>0</v>
      </c>
      <c r="J5179" s="8" t="s">
        <v>5929</v>
      </c>
    </row>
    <row r="5180" spans="1:10" ht="16.5" customHeight="1" x14ac:dyDescent="0.25">
      <c r="A5180" s="8" t="s">
        <v>15408</v>
      </c>
      <c r="B5180" s="8" t="s">
        <v>15409</v>
      </c>
      <c r="C5180" s="8" t="s">
        <v>7309</v>
      </c>
      <c r="D5180" s="8" t="s">
        <v>15409</v>
      </c>
      <c r="E5180" s="105">
        <v>15</v>
      </c>
      <c r="F5180" s="106" t="s">
        <v>2018</v>
      </c>
      <c r="G5180" s="8" t="s">
        <v>1541</v>
      </c>
      <c r="H5180" s="8" t="s">
        <v>15410</v>
      </c>
      <c r="I5180" s="107">
        <v>3</v>
      </c>
      <c r="J5180" s="8" t="s">
        <v>5929</v>
      </c>
    </row>
    <row r="5181" spans="1:10" ht="16.5" customHeight="1" x14ac:dyDescent="0.25">
      <c r="A5181" s="8" t="s">
        <v>15410</v>
      </c>
      <c r="B5181" s="8" t="s">
        <v>15411</v>
      </c>
      <c r="C5181" s="8" t="s">
        <v>7312</v>
      </c>
      <c r="D5181" s="8" t="s">
        <v>15411</v>
      </c>
      <c r="E5181" s="105">
        <v>5.0659999999999998</v>
      </c>
      <c r="F5181" s="106" t="s">
        <v>2018</v>
      </c>
      <c r="G5181" s="8" t="s">
        <v>1541</v>
      </c>
      <c r="H5181" s="8"/>
      <c r="I5181" s="107">
        <v>0</v>
      </c>
      <c r="J5181" s="8" t="s">
        <v>5929</v>
      </c>
    </row>
    <row r="5182" spans="1:10" ht="16.5" customHeight="1" x14ac:dyDescent="0.25">
      <c r="A5182" s="8" t="s">
        <v>15412</v>
      </c>
      <c r="B5182" s="8" t="s">
        <v>15413</v>
      </c>
      <c r="C5182" s="8" t="s">
        <v>14068</v>
      </c>
      <c r="D5182" s="8" t="s">
        <v>15413</v>
      </c>
      <c r="E5182" s="105">
        <v>16.63</v>
      </c>
      <c r="F5182" s="106" t="s">
        <v>2018</v>
      </c>
      <c r="G5182" s="8" t="s">
        <v>1541</v>
      </c>
      <c r="H5182" s="8" t="s">
        <v>15414</v>
      </c>
      <c r="I5182" s="107">
        <v>10</v>
      </c>
      <c r="J5182" s="8" t="s">
        <v>5929</v>
      </c>
    </row>
    <row r="5183" spans="1:10" ht="16.5" customHeight="1" x14ac:dyDescent="0.25">
      <c r="A5183" s="8" t="s">
        <v>15414</v>
      </c>
      <c r="B5183" s="8" t="s">
        <v>15415</v>
      </c>
      <c r="C5183" s="8" t="s">
        <v>14071</v>
      </c>
      <c r="D5183" s="8" t="s">
        <v>15415</v>
      </c>
      <c r="E5183" s="105">
        <v>1.663</v>
      </c>
      <c r="F5183" s="106" t="s">
        <v>2018</v>
      </c>
      <c r="G5183" s="8" t="s">
        <v>1541</v>
      </c>
      <c r="H5183" s="8"/>
      <c r="I5183" s="107">
        <v>0</v>
      </c>
      <c r="J5183" s="8" t="s">
        <v>5929</v>
      </c>
    </row>
    <row r="5184" spans="1:10" ht="16.5" customHeight="1" x14ac:dyDescent="0.25">
      <c r="A5184" s="8" t="s">
        <v>15416</v>
      </c>
      <c r="B5184" s="8" t="s">
        <v>15417</v>
      </c>
      <c r="C5184" s="8" t="s">
        <v>10565</v>
      </c>
      <c r="D5184" s="8" t="s">
        <v>15417</v>
      </c>
      <c r="E5184" s="105">
        <v>8.5</v>
      </c>
      <c r="F5184" s="106" t="s">
        <v>2018</v>
      </c>
      <c r="G5184" s="8" t="s">
        <v>1541</v>
      </c>
      <c r="H5184" s="8" t="s">
        <v>15418</v>
      </c>
      <c r="I5184" s="107">
        <v>10</v>
      </c>
      <c r="J5184" s="8" t="s">
        <v>5929</v>
      </c>
    </row>
    <row r="5185" spans="1:10" ht="16.5" customHeight="1" x14ac:dyDescent="0.25">
      <c r="A5185" s="8" t="s">
        <v>15418</v>
      </c>
      <c r="B5185" s="8" t="s">
        <v>15419</v>
      </c>
      <c r="C5185" s="8" t="s">
        <v>10568</v>
      </c>
      <c r="D5185" s="8" t="s">
        <v>15419</v>
      </c>
      <c r="E5185" s="105">
        <v>0.85</v>
      </c>
      <c r="F5185" s="106" t="s">
        <v>2018</v>
      </c>
      <c r="G5185" s="8" t="s">
        <v>1541</v>
      </c>
      <c r="H5185" s="8"/>
      <c r="I5185" s="107">
        <v>0</v>
      </c>
      <c r="J5185" s="8" t="s">
        <v>5929</v>
      </c>
    </row>
    <row r="5186" spans="1:10" ht="16.5" customHeight="1" x14ac:dyDescent="0.25">
      <c r="A5186" s="8" t="s">
        <v>15420</v>
      </c>
      <c r="B5186" s="8" t="s">
        <v>15421</v>
      </c>
      <c r="C5186" s="8" t="s">
        <v>13403</v>
      </c>
      <c r="D5186" s="8" t="s">
        <v>15421</v>
      </c>
      <c r="E5186" s="105">
        <v>0.85</v>
      </c>
      <c r="F5186" s="106" t="s">
        <v>2018</v>
      </c>
      <c r="G5186" s="8" t="s">
        <v>1541</v>
      </c>
      <c r="H5186" s="8"/>
      <c r="I5186" s="107">
        <v>0</v>
      </c>
      <c r="J5186" s="8" t="s">
        <v>5929</v>
      </c>
    </row>
    <row r="5187" spans="1:10" ht="16.5" customHeight="1" x14ac:dyDescent="0.25">
      <c r="A5187" s="8" t="s">
        <v>1647</v>
      </c>
      <c r="B5187" s="8" t="s">
        <v>1649</v>
      </c>
      <c r="C5187" s="8" t="s">
        <v>1648</v>
      </c>
      <c r="D5187" s="8" t="s">
        <v>1649</v>
      </c>
      <c r="E5187" s="105">
        <v>15</v>
      </c>
      <c r="F5187" s="106" t="s">
        <v>2018</v>
      </c>
      <c r="G5187" s="8" t="s">
        <v>1541</v>
      </c>
      <c r="H5187" s="8" t="s">
        <v>15422</v>
      </c>
      <c r="I5187" s="107">
        <v>3</v>
      </c>
      <c r="J5187" s="8" t="s">
        <v>5929</v>
      </c>
    </row>
    <row r="5188" spans="1:10" ht="16.5" customHeight="1" x14ac:dyDescent="0.25">
      <c r="A5188" s="8" t="s">
        <v>15422</v>
      </c>
      <c r="B5188" s="8" t="s">
        <v>15423</v>
      </c>
      <c r="C5188" s="8" t="s">
        <v>12312</v>
      </c>
      <c r="D5188" s="8" t="s">
        <v>15423</v>
      </c>
      <c r="E5188" s="105">
        <v>5</v>
      </c>
      <c r="F5188" s="106" t="s">
        <v>2018</v>
      </c>
      <c r="G5188" s="8" t="s">
        <v>1541</v>
      </c>
      <c r="H5188" s="8"/>
      <c r="I5188" s="107">
        <v>0</v>
      </c>
      <c r="J5188" s="8" t="s">
        <v>5929</v>
      </c>
    </row>
    <row r="5189" spans="1:10" ht="16.5" customHeight="1" x14ac:dyDescent="0.25">
      <c r="A5189" s="8" t="s">
        <v>1584</v>
      </c>
      <c r="B5189" s="8" t="s">
        <v>1586</v>
      </c>
      <c r="C5189" s="8" t="s">
        <v>1585</v>
      </c>
      <c r="D5189" s="8" t="s">
        <v>1586</v>
      </c>
      <c r="E5189" s="105">
        <v>20</v>
      </c>
      <c r="F5189" s="106" t="s">
        <v>2018</v>
      </c>
      <c r="G5189" s="8" t="s">
        <v>1541</v>
      </c>
      <c r="H5189" s="8" t="s">
        <v>15424</v>
      </c>
      <c r="I5189" s="107">
        <v>2</v>
      </c>
      <c r="J5189" s="8" t="s">
        <v>5929</v>
      </c>
    </row>
    <row r="5190" spans="1:10" ht="16.5" customHeight="1" x14ac:dyDescent="0.25">
      <c r="A5190" s="8" t="s">
        <v>15425</v>
      </c>
      <c r="B5190" s="8" t="s">
        <v>15426</v>
      </c>
      <c r="C5190" s="8" t="s">
        <v>12310</v>
      </c>
      <c r="D5190" s="8" t="s">
        <v>15426</v>
      </c>
      <c r="E5190" s="105">
        <v>10</v>
      </c>
      <c r="F5190" s="106" t="s">
        <v>2024</v>
      </c>
      <c r="G5190" s="8" t="s">
        <v>1541</v>
      </c>
      <c r="H5190" s="8"/>
      <c r="I5190" s="107">
        <v>0</v>
      </c>
      <c r="J5190" s="8" t="s">
        <v>5929</v>
      </c>
    </row>
    <row r="5191" spans="1:10" ht="16.5" customHeight="1" x14ac:dyDescent="0.25">
      <c r="A5191" s="8" t="s">
        <v>1650</v>
      </c>
      <c r="B5191" s="8" t="s">
        <v>1652</v>
      </c>
      <c r="C5191" s="8" t="s">
        <v>1651</v>
      </c>
      <c r="D5191" s="8" t="s">
        <v>1652</v>
      </c>
      <c r="E5191" s="105">
        <v>25</v>
      </c>
      <c r="F5191" s="106" t="s">
        <v>2018</v>
      </c>
      <c r="G5191" s="8" t="s">
        <v>1541</v>
      </c>
      <c r="H5191" s="8"/>
      <c r="I5191" s="107">
        <v>0</v>
      </c>
      <c r="J5191" s="8" t="s">
        <v>5929</v>
      </c>
    </row>
    <row r="5192" spans="1:10" ht="16.5" customHeight="1" x14ac:dyDescent="0.25">
      <c r="A5192" s="8" t="s">
        <v>15427</v>
      </c>
      <c r="B5192" s="8" t="s">
        <v>15428</v>
      </c>
      <c r="C5192" s="8" t="s">
        <v>13400</v>
      </c>
      <c r="D5192" s="8" t="s">
        <v>15428</v>
      </c>
      <c r="E5192" s="105">
        <v>8.5</v>
      </c>
      <c r="F5192" s="106" t="s">
        <v>2018</v>
      </c>
      <c r="G5192" s="8" t="s">
        <v>1541</v>
      </c>
      <c r="H5192" s="8" t="s">
        <v>15420</v>
      </c>
      <c r="I5192" s="107">
        <v>10</v>
      </c>
      <c r="J5192" s="8" t="s">
        <v>5929</v>
      </c>
    </row>
    <row r="5193" spans="1:10" ht="16.5" customHeight="1" x14ac:dyDescent="0.25">
      <c r="A5193" s="8" t="s">
        <v>15429</v>
      </c>
      <c r="B5193" s="8" t="s">
        <v>15430</v>
      </c>
      <c r="C5193" s="8" t="s">
        <v>14783</v>
      </c>
      <c r="D5193" s="8" t="s">
        <v>15430</v>
      </c>
      <c r="E5193" s="105">
        <v>1</v>
      </c>
      <c r="F5193" s="106" t="s">
        <v>2018</v>
      </c>
      <c r="G5193" s="8"/>
      <c r="H5193" s="8"/>
      <c r="I5193" s="107">
        <v>0</v>
      </c>
      <c r="J5193" s="8" t="s">
        <v>2019</v>
      </c>
    </row>
    <row r="5194" spans="1:10" ht="16.5" customHeight="1" x14ac:dyDescent="0.25">
      <c r="A5194" s="8" t="s">
        <v>15431</v>
      </c>
      <c r="B5194" s="8" t="s">
        <v>15432</v>
      </c>
      <c r="C5194" s="8" t="s">
        <v>15433</v>
      </c>
      <c r="D5194" s="8" t="s">
        <v>15432</v>
      </c>
      <c r="E5194" s="105">
        <v>1</v>
      </c>
      <c r="F5194" s="106" t="s">
        <v>2018</v>
      </c>
      <c r="G5194" s="8"/>
      <c r="H5194" s="8"/>
      <c r="I5194" s="107">
        <v>0</v>
      </c>
      <c r="J5194" s="8" t="s">
        <v>6357</v>
      </c>
    </row>
    <row r="5195" spans="1:10" ht="16.5" customHeight="1" x14ac:dyDescent="0.25">
      <c r="A5195" s="8" t="s">
        <v>15434</v>
      </c>
      <c r="B5195" s="8" t="s">
        <v>15435</v>
      </c>
      <c r="C5195" s="8" t="s">
        <v>15436</v>
      </c>
      <c r="D5195" s="8" t="s">
        <v>15435</v>
      </c>
      <c r="E5195" s="105">
        <v>20</v>
      </c>
      <c r="F5195" s="106" t="s">
        <v>2018</v>
      </c>
      <c r="G5195" s="8"/>
      <c r="H5195" s="8"/>
      <c r="I5195" s="107">
        <v>0</v>
      </c>
      <c r="J5195" s="8" t="s">
        <v>2019</v>
      </c>
    </row>
    <row r="5196" spans="1:10" ht="16.5" customHeight="1" x14ac:dyDescent="0.25">
      <c r="A5196" s="8" t="s">
        <v>15437</v>
      </c>
      <c r="B5196" s="8" t="s">
        <v>15438</v>
      </c>
      <c r="C5196" s="8" t="s">
        <v>15439</v>
      </c>
      <c r="D5196" s="8" t="s">
        <v>15438</v>
      </c>
      <c r="E5196" s="105">
        <v>20</v>
      </c>
      <c r="F5196" s="106" t="s">
        <v>2018</v>
      </c>
      <c r="G5196" s="8"/>
      <c r="H5196" s="8"/>
      <c r="I5196" s="107">
        <v>0</v>
      </c>
      <c r="J5196" s="8" t="s">
        <v>2019</v>
      </c>
    </row>
    <row r="5197" spans="1:10" ht="16.5" customHeight="1" x14ac:dyDescent="0.25">
      <c r="A5197" s="8" t="s">
        <v>15440</v>
      </c>
      <c r="B5197" s="8" t="s">
        <v>15441</v>
      </c>
      <c r="C5197" s="8" t="s">
        <v>15442</v>
      </c>
      <c r="D5197" s="8" t="s">
        <v>15441</v>
      </c>
      <c r="E5197" s="105">
        <v>20</v>
      </c>
      <c r="F5197" s="106" t="s">
        <v>2018</v>
      </c>
      <c r="G5197" s="8"/>
      <c r="H5197" s="8"/>
      <c r="I5197" s="107">
        <v>0</v>
      </c>
      <c r="J5197" s="8" t="s">
        <v>2019</v>
      </c>
    </row>
    <row r="5198" spans="1:10" ht="16.5" customHeight="1" x14ac:dyDescent="0.25">
      <c r="A5198" s="8" t="s">
        <v>15443</v>
      </c>
      <c r="B5198" s="8" t="s">
        <v>15444</v>
      </c>
      <c r="C5198" s="8" t="s">
        <v>15445</v>
      </c>
      <c r="D5198" s="8" t="s">
        <v>15444</v>
      </c>
      <c r="E5198" s="105">
        <v>0</v>
      </c>
      <c r="F5198" s="106" t="s">
        <v>2018</v>
      </c>
      <c r="G5198" s="8"/>
      <c r="H5198" s="8"/>
      <c r="I5198" s="107">
        <v>0</v>
      </c>
      <c r="J5198" s="8" t="s">
        <v>6357</v>
      </c>
    </row>
    <row r="5199" spans="1:10" ht="16.5" customHeight="1" x14ac:dyDescent="0.25">
      <c r="A5199" s="8" t="s">
        <v>15446</v>
      </c>
      <c r="B5199" s="8" t="s">
        <v>15447</v>
      </c>
      <c r="C5199" s="8" t="s">
        <v>15448</v>
      </c>
      <c r="D5199" s="8" t="s">
        <v>15447</v>
      </c>
      <c r="E5199" s="105">
        <v>25</v>
      </c>
      <c r="F5199" s="106" t="s">
        <v>2018</v>
      </c>
      <c r="G5199" s="8"/>
      <c r="H5199" s="8"/>
      <c r="I5199" s="107">
        <v>0</v>
      </c>
      <c r="J5199" s="8" t="s">
        <v>3580</v>
      </c>
    </row>
    <row r="5200" spans="1:10" ht="16.5" customHeight="1" x14ac:dyDescent="0.25">
      <c r="A5200" s="8" t="s">
        <v>15449</v>
      </c>
      <c r="B5200" s="8" t="s">
        <v>15450</v>
      </c>
      <c r="C5200" s="8" t="s">
        <v>15451</v>
      </c>
      <c r="D5200" s="8" t="s">
        <v>15450</v>
      </c>
      <c r="E5200" s="105">
        <v>20</v>
      </c>
      <c r="F5200" s="106" t="s">
        <v>2018</v>
      </c>
      <c r="G5200" s="8"/>
      <c r="H5200" s="8"/>
      <c r="I5200" s="107">
        <v>0</v>
      </c>
      <c r="J5200" s="8" t="s">
        <v>2019</v>
      </c>
    </row>
    <row r="5201" spans="1:10" ht="16.5" customHeight="1" x14ac:dyDescent="0.25">
      <c r="A5201" s="8" t="s">
        <v>1518</v>
      </c>
      <c r="B5201" s="8" t="s">
        <v>1520</v>
      </c>
      <c r="C5201" s="8" t="s">
        <v>1519</v>
      </c>
      <c r="D5201" s="8" t="s">
        <v>1520</v>
      </c>
      <c r="E5201" s="105">
        <v>5</v>
      </c>
      <c r="F5201" s="106" t="s">
        <v>2018</v>
      </c>
      <c r="G5201" s="8" t="s">
        <v>1417</v>
      </c>
      <c r="H5201" s="8" t="s">
        <v>15452</v>
      </c>
      <c r="I5201" s="107">
        <v>50</v>
      </c>
      <c r="J5201" s="8" t="s">
        <v>5671</v>
      </c>
    </row>
    <row r="5202" spans="1:10" ht="16.5" customHeight="1" x14ac:dyDescent="0.25">
      <c r="A5202" s="8" t="s">
        <v>1515</v>
      </c>
      <c r="B5202" s="8" t="s">
        <v>1517</v>
      </c>
      <c r="C5202" s="8" t="s">
        <v>1516</v>
      </c>
      <c r="D5202" s="8" t="s">
        <v>1517</v>
      </c>
      <c r="E5202" s="105">
        <v>9</v>
      </c>
      <c r="F5202" s="106" t="s">
        <v>2018</v>
      </c>
      <c r="G5202" s="8" t="s">
        <v>1417</v>
      </c>
      <c r="H5202" s="8" t="s">
        <v>15453</v>
      </c>
      <c r="I5202" s="107">
        <v>20</v>
      </c>
      <c r="J5202" s="8" t="s">
        <v>5671</v>
      </c>
    </row>
    <row r="5203" spans="1:10" ht="16.5" customHeight="1" x14ac:dyDescent="0.25">
      <c r="A5203" s="8" t="s">
        <v>15454</v>
      </c>
      <c r="B5203" s="8" t="s">
        <v>15455</v>
      </c>
      <c r="C5203" s="8" t="s">
        <v>15456</v>
      </c>
      <c r="D5203" s="8" t="s">
        <v>15455</v>
      </c>
      <c r="E5203" s="105">
        <v>10</v>
      </c>
      <c r="F5203" s="106" t="s">
        <v>2024</v>
      </c>
      <c r="G5203" s="8" t="s">
        <v>1417</v>
      </c>
      <c r="H5203" s="8"/>
      <c r="I5203" s="107">
        <v>0</v>
      </c>
      <c r="J5203" s="8" t="s">
        <v>5671</v>
      </c>
    </row>
    <row r="5204" spans="1:10" ht="16.5" customHeight="1" x14ac:dyDescent="0.25">
      <c r="A5204" s="8" t="s">
        <v>15457</v>
      </c>
      <c r="B5204" s="8" t="s">
        <v>15458</v>
      </c>
      <c r="C5204" s="8" t="s">
        <v>15459</v>
      </c>
      <c r="D5204" s="8" t="s">
        <v>15460</v>
      </c>
      <c r="E5204" s="105">
        <v>25</v>
      </c>
      <c r="F5204" s="106" t="s">
        <v>2018</v>
      </c>
      <c r="G5204" s="8"/>
      <c r="H5204" s="8"/>
      <c r="I5204" s="107">
        <v>0</v>
      </c>
      <c r="J5204" s="8" t="s">
        <v>7329</v>
      </c>
    </row>
    <row r="5205" spans="1:10" ht="16.5" customHeight="1" x14ac:dyDescent="0.25">
      <c r="A5205" s="8" t="s">
        <v>1877</v>
      </c>
      <c r="B5205" s="8" t="s">
        <v>1879</v>
      </c>
      <c r="C5205" s="8" t="s">
        <v>1878</v>
      </c>
      <c r="D5205" s="8" t="s">
        <v>15461</v>
      </c>
      <c r="E5205" s="105">
        <v>10</v>
      </c>
      <c r="F5205" s="106" t="s">
        <v>2018</v>
      </c>
      <c r="G5205" s="8"/>
      <c r="H5205" s="8" t="s">
        <v>15462</v>
      </c>
      <c r="I5205" s="107">
        <v>2</v>
      </c>
      <c r="J5205" s="8" t="s">
        <v>7329</v>
      </c>
    </row>
    <row r="5206" spans="1:10" ht="16.5" customHeight="1" x14ac:dyDescent="0.25">
      <c r="A5206" s="8" t="s">
        <v>15462</v>
      </c>
      <c r="B5206" s="8" t="s">
        <v>15463</v>
      </c>
      <c r="C5206" s="8" t="s">
        <v>15464</v>
      </c>
      <c r="D5206" s="8" t="s">
        <v>15463</v>
      </c>
      <c r="E5206" s="105">
        <v>5</v>
      </c>
      <c r="F5206" s="106" t="s">
        <v>2018</v>
      </c>
      <c r="G5206" s="8"/>
      <c r="H5206" s="8"/>
      <c r="I5206" s="107">
        <v>0</v>
      </c>
      <c r="J5206" s="8" t="s">
        <v>7329</v>
      </c>
    </row>
    <row r="5207" spans="1:10" ht="16.5" customHeight="1" x14ac:dyDescent="0.25">
      <c r="A5207" s="8" t="s">
        <v>15465</v>
      </c>
      <c r="B5207" s="8" t="s">
        <v>15466</v>
      </c>
      <c r="C5207" s="8" t="s">
        <v>12003</v>
      </c>
      <c r="D5207" s="8" t="s">
        <v>15466</v>
      </c>
      <c r="E5207" s="105">
        <v>2.2999999999999998</v>
      </c>
      <c r="F5207" s="106" t="s">
        <v>2018</v>
      </c>
      <c r="G5207" s="8" t="s">
        <v>1541</v>
      </c>
      <c r="H5207" s="8"/>
      <c r="I5207" s="107">
        <v>0</v>
      </c>
      <c r="J5207" s="8" t="s">
        <v>5929</v>
      </c>
    </row>
    <row r="5208" spans="1:10" ht="16.5" customHeight="1" x14ac:dyDescent="0.25">
      <c r="A5208" s="8" t="s">
        <v>15467</v>
      </c>
      <c r="B5208" s="8" t="s">
        <v>15468</v>
      </c>
      <c r="C5208" s="8" t="s">
        <v>12000</v>
      </c>
      <c r="D5208" s="8" t="s">
        <v>15468</v>
      </c>
      <c r="E5208" s="105">
        <v>13.8</v>
      </c>
      <c r="F5208" s="106" t="s">
        <v>2018</v>
      </c>
      <c r="G5208" s="8" t="s">
        <v>1541</v>
      </c>
      <c r="H5208" s="8" t="s">
        <v>15465</v>
      </c>
      <c r="I5208" s="107">
        <v>6</v>
      </c>
      <c r="J5208" s="8" t="s">
        <v>5929</v>
      </c>
    </row>
    <row r="5209" spans="1:10" ht="16.5" customHeight="1" x14ac:dyDescent="0.25">
      <c r="A5209" s="8" t="s">
        <v>15469</v>
      </c>
      <c r="B5209" s="8" t="s">
        <v>15470</v>
      </c>
      <c r="C5209" s="8" t="s">
        <v>15471</v>
      </c>
      <c r="D5209" s="8" t="s">
        <v>15472</v>
      </c>
      <c r="E5209" s="105">
        <v>0</v>
      </c>
      <c r="F5209" s="106" t="s">
        <v>2018</v>
      </c>
      <c r="G5209" s="8"/>
      <c r="H5209" s="8"/>
      <c r="I5209" s="107">
        <v>0</v>
      </c>
      <c r="J5209" s="8" t="s">
        <v>3580</v>
      </c>
    </row>
    <row r="5210" spans="1:10" ht="16.5" customHeight="1" x14ac:dyDescent="0.25">
      <c r="A5210" s="8" t="s">
        <v>15473</v>
      </c>
      <c r="B5210" s="8" t="s">
        <v>15474</v>
      </c>
      <c r="C5210" s="8" t="s">
        <v>15475</v>
      </c>
      <c r="D5210" s="8" t="s">
        <v>15476</v>
      </c>
      <c r="E5210" s="105">
        <v>0</v>
      </c>
      <c r="F5210" s="106" t="s">
        <v>2018</v>
      </c>
      <c r="G5210" s="8"/>
      <c r="H5210" s="8"/>
      <c r="I5210" s="107">
        <v>0</v>
      </c>
      <c r="J5210" s="8" t="s">
        <v>3580</v>
      </c>
    </row>
    <row r="5211" spans="1:10" ht="16.5" customHeight="1" x14ac:dyDescent="0.25">
      <c r="A5211" s="8" t="s">
        <v>15477</v>
      </c>
      <c r="B5211" s="8" t="s">
        <v>15478</v>
      </c>
      <c r="C5211" s="8" t="s">
        <v>15479</v>
      </c>
      <c r="D5211" s="8" t="s">
        <v>15480</v>
      </c>
      <c r="E5211" s="105">
        <v>0</v>
      </c>
      <c r="F5211" s="106" t="s">
        <v>2018</v>
      </c>
      <c r="G5211" s="8"/>
      <c r="H5211" s="8"/>
      <c r="I5211" s="107">
        <v>0</v>
      </c>
      <c r="J5211" s="8" t="s">
        <v>4823</v>
      </c>
    </row>
    <row r="5212" spans="1:10" ht="16.5" customHeight="1" x14ac:dyDescent="0.25">
      <c r="A5212" s="8" t="s">
        <v>15481</v>
      </c>
      <c r="B5212" s="8" t="s">
        <v>15482</v>
      </c>
      <c r="C5212" s="8" t="s">
        <v>15483</v>
      </c>
      <c r="D5212" s="8" t="s">
        <v>15484</v>
      </c>
      <c r="E5212" s="105">
        <v>0</v>
      </c>
      <c r="F5212" s="106" t="s">
        <v>2018</v>
      </c>
      <c r="G5212" s="8"/>
      <c r="H5212" s="8"/>
      <c r="I5212" s="107">
        <v>0</v>
      </c>
      <c r="J5212" s="8" t="s">
        <v>4823</v>
      </c>
    </row>
    <row r="5213" spans="1:10" ht="16.5" customHeight="1" x14ac:dyDescent="0.25">
      <c r="A5213" s="8" t="s">
        <v>15485</v>
      </c>
      <c r="B5213" s="8" t="s">
        <v>15486</v>
      </c>
      <c r="C5213" s="8" t="s">
        <v>15487</v>
      </c>
      <c r="D5213" s="8" t="s">
        <v>15488</v>
      </c>
      <c r="E5213" s="105">
        <v>0</v>
      </c>
      <c r="F5213" s="106" t="s">
        <v>2018</v>
      </c>
      <c r="G5213" s="8"/>
      <c r="H5213" s="8"/>
      <c r="I5213" s="107">
        <v>0</v>
      </c>
      <c r="J5213" s="8" t="s">
        <v>4823</v>
      </c>
    </row>
    <row r="5214" spans="1:10" ht="16.5" customHeight="1" x14ac:dyDescent="0.25">
      <c r="A5214" s="8" t="s">
        <v>15489</v>
      </c>
      <c r="B5214" s="8" t="s">
        <v>15490</v>
      </c>
      <c r="C5214" s="8" t="s">
        <v>15491</v>
      </c>
      <c r="D5214" s="8" t="s">
        <v>15492</v>
      </c>
      <c r="E5214" s="105">
        <v>0</v>
      </c>
      <c r="F5214" s="106" t="s">
        <v>2018</v>
      </c>
      <c r="G5214" s="8"/>
      <c r="H5214" s="8"/>
      <c r="I5214" s="107">
        <v>0</v>
      </c>
      <c r="J5214" s="8" t="s">
        <v>4823</v>
      </c>
    </row>
    <row r="5215" spans="1:10" ht="16.5" customHeight="1" x14ac:dyDescent="0.25">
      <c r="A5215" s="8" t="s">
        <v>15493</v>
      </c>
      <c r="B5215" s="8" t="s">
        <v>15494</v>
      </c>
      <c r="C5215" s="8" t="s">
        <v>15495</v>
      </c>
      <c r="D5215" s="8" t="s">
        <v>15496</v>
      </c>
      <c r="E5215" s="105">
        <v>0</v>
      </c>
      <c r="F5215" s="106" t="s">
        <v>2018</v>
      </c>
      <c r="G5215" s="8"/>
      <c r="H5215" s="8"/>
      <c r="I5215" s="107">
        <v>0</v>
      </c>
      <c r="J5215" s="8" t="s">
        <v>4823</v>
      </c>
    </row>
    <row r="5216" spans="1:10" ht="16.5" customHeight="1" x14ac:dyDescent="0.25">
      <c r="A5216" s="8" t="s">
        <v>15497</v>
      </c>
      <c r="B5216" s="8" t="s">
        <v>15498</v>
      </c>
      <c r="C5216" s="8" t="s">
        <v>15499</v>
      </c>
      <c r="D5216" s="8" t="s">
        <v>15500</v>
      </c>
      <c r="E5216" s="105">
        <v>0</v>
      </c>
      <c r="F5216" s="106" t="s">
        <v>2018</v>
      </c>
      <c r="G5216" s="8"/>
      <c r="H5216" s="8"/>
      <c r="I5216" s="107">
        <v>0</v>
      </c>
      <c r="J5216" s="8" t="s">
        <v>4823</v>
      </c>
    </row>
    <row r="5217" spans="1:10" ht="16.5" customHeight="1" x14ac:dyDescent="0.25">
      <c r="A5217" s="8" t="s">
        <v>15501</v>
      </c>
      <c r="B5217" s="8" t="s">
        <v>15502</v>
      </c>
      <c r="C5217" s="8" t="s">
        <v>15503</v>
      </c>
      <c r="D5217" s="8" t="s">
        <v>15502</v>
      </c>
      <c r="E5217" s="105">
        <v>0.15</v>
      </c>
      <c r="F5217" s="106" t="s">
        <v>2018</v>
      </c>
      <c r="G5217" s="8"/>
      <c r="H5217" s="8"/>
      <c r="I5217" s="107">
        <v>0</v>
      </c>
      <c r="J5217" s="8" t="s">
        <v>10697</v>
      </c>
    </row>
    <row r="5218" spans="1:10" ht="16.5" customHeight="1" x14ac:dyDescent="0.25">
      <c r="A5218" s="8" t="s">
        <v>15504</v>
      </c>
      <c r="B5218" s="8" t="s">
        <v>15505</v>
      </c>
      <c r="C5218" s="8" t="s">
        <v>15506</v>
      </c>
      <c r="D5218" s="8" t="s">
        <v>15505</v>
      </c>
      <c r="E5218" s="105">
        <v>7.5</v>
      </c>
      <c r="F5218" s="106" t="s">
        <v>2018</v>
      </c>
      <c r="G5218" s="8"/>
      <c r="H5218" s="8" t="s">
        <v>15501</v>
      </c>
      <c r="I5218" s="107">
        <v>50</v>
      </c>
      <c r="J5218" s="8" t="s">
        <v>10697</v>
      </c>
    </row>
    <row r="5219" spans="1:10" ht="16.5" customHeight="1" x14ac:dyDescent="0.25">
      <c r="A5219" s="8" t="s">
        <v>15507</v>
      </c>
      <c r="B5219" s="8" t="s">
        <v>15508</v>
      </c>
      <c r="C5219" s="8" t="s">
        <v>15509</v>
      </c>
      <c r="D5219" s="8" t="s">
        <v>15510</v>
      </c>
      <c r="E5219" s="105">
        <v>0</v>
      </c>
      <c r="F5219" s="106" t="s">
        <v>2018</v>
      </c>
      <c r="G5219" s="8"/>
      <c r="H5219" s="8"/>
      <c r="I5219" s="107">
        <v>0</v>
      </c>
      <c r="J5219" s="8" t="s">
        <v>3580</v>
      </c>
    </row>
    <row r="5220" spans="1:10" ht="16.5" customHeight="1" x14ac:dyDescent="0.25">
      <c r="A5220" s="8" t="s">
        <v>15511</v>
      </c>
      <c r="B5220" s="8" t="s">
        <v>15512</v>
      </c>
      <c r="C5220" s="8" t="s">
        <v>15513</v>
      </c>
      <c r="D5220" s="8" t="s">
        <v>15512</v>
      </c>
      <c r="E5220" s="105">
        <v>2.5</v>
      </c>
      <c r="F5220" s="106" t="s">
        <v>2018</v>
      </c>
      <c r="G5220" s="8"/>
      <c r="H5220" s="8"/>
      <c r="I5220" s="107">
        <v>0</v>
      </c>
      <c r="J5220" s="8" t="s">
        <v>10697</v>
      </c>
    </row>
    <row r="5221" spans="1:10" ht="16.5" customHeight="1" x14ac:dyDescent="0.25">
      <c r="A5221" s="8" t="s">
        <v>1227</v>
      </c>
      <c r="B5221" s="8" t="s">
        <v>1229</v>
      </c>
      <c r="C5221" s="8" t="s">
        <v>1228</v>
      </c>
      <c r="D5221" s="8" t="s">
        <v>1229</v>
      </c>
      <c r="E5221" s="105">
        <v>10</v>
      </c>
      <c r="F5221" s="106" t="s">
        <v>2018</v>
      </c>
      <c r="G5221" s="8"/>
      <c r="H5221" s="8" t="s">
        <v>15511</v>
      </c>
      <c r="I5221" s="107">
        <v>4</v>
      </c>
      <c r="J5221" s="8" t="s">
        <v>10697</v>
      </c>
    </row>
    <row r="5222" spans="1:10" ht="16.5" customHeight="1" x14ac:dyDescent="0.25">
      <c r="A5222" s="8" t="s">
        <v>15514</v>
      </c>
      <c r="B5222" s="8" t="s">
        <v>15515</v>
      </c>
      <c r="C5222" s="8" t="s">
        <v>15516</v>
      </c>
      <c r="D5222" s="8" t="s">
        <v>15515</v>
      </c>
      <c r="E5222" s="105">
        <v>2.5</v>
      </c>
      <c r="F5222" s="106" t="s">
        <v>2018</v>
      </c>
      <c r="G5222" s="8"/>
      <c r="H5222" s="8"/>
      <c r="I5222" s="107">
        <v>0</v>
      </c>
      <c r="J5222" s="8" t="s">
        <v>10697</v>
      </c>
    </row>
    <row r="5223" spans="1:10" ht="16.5" customHeight="1" x14ac:dyDescent="0.25">
      <c r="A5223" s="8" t="s">
        <v>1230</v>
      </c>
      <c r="B5223" s="8" t="s">
        <v>1232</v>
      </c>
      <c r="C5223" s="8" t="s">
        <v>1231</v>
      </c>
      <c r="D5223" s="8" t="s">
        <v>1232</v>
      </c>
      <c r="E5223" s="105">
        <v>10</v>
      </c>
      <c r="F5223" s="106" t="s">
        <v>2018</v>
      </c>
      <c r="G5223" s="8"/>
      <c r="H5223" s="8" t="s">
        <v>15514</v>
      </c>
      <c r="I5223" s="107">
        <v>4</v>
      </c>
      <c r="J5223" s="8" t="s">
        <v>10697</v>
      </c>
    </row>
    <row r="5224" spans="1:10" ht="16.5" customHeight="1" x14ac:dyDescent="0.25">
      <c r="A5224" s="8" t="s">
        <v>15517</v>
      </c>
      <c r="B5224" s="8" t="s">
        <v>15518</v>
      </c>
      <c r="C5224" s="8" t="s">
        <v>15519</v>
      </c>
      <c r="D5224" s="8" t="s">
        <v>15518</v>
      </c>
      <c r="E5224" s="105">
        <v>0.51</v>
      </c>
      <c r="F5224" s="106" t="s">
        <v>2018</v>
      </c>
      <c r="G5224" s="8"/>
      <c r="H5224" s="8"/>
      <c r="I5224" s="107">
        <v>0</v>
      </c>
      <c r="J5224" s="8" t="s">
        <v>10697</v>
      </c>
    </row>
    <row r="5225" spans="1:10" ht="16.5" customHeight="1" x14ac:dyDescent="0.25">
      <c r="A5225" s="8" t="s">
        <v>1362</v>
      </c>
      <c r="B5225" s="8" t="s">
        <v>1364</v>
      </c>
      <c r="C5225" s="8" t="s">
        <v>1363</v>
      </c>
      <c r="D5225" s="8" t="s">
        <v>1364</v>
      </c>
      <c r="E5225" s="105">
        <v>5.0999999999999996</v>
      </c>
      <c r="F5225" s="106" t="s">
        <v>2018</v>
      </c>
      <c r="G5225" s="8"/>
      <c r="H5225" s="8" t="s">
        <v>15517</v>
      </c>
      <c r="I5225" s="107">
        <v>10</v>
      </c>
      <c r="J5225" s="8" t="s">
        <v>10697</v>
      </c>
    </row>
    <row r="5226" spans="1:10" ht="16.5" customHeight="1" x14ac:dyDescent="0.25">
      <c r="A5226" s="8" t="s">
        <v>15520</v>
      </c>
      <c r="B5226" s="8" t="s">
        <v>15521</v>
      </c>
      <c r="C5226" s="8" t="s">
        <v>15522</v>
      </c>
      <c r="D5226" s="8" t="s">
        <v>15521</v>
      </c>
      <c r="E5226" s="105">
        <v>0.06</v>
      </c>
      <c r="F5226" s="106" t="s">
        <v>2018</v>
      </c>
      <c r="G5226" s="8"/>
      <c r="H5226" s="8"/>
      <c r="I5226" s="107">
        <v>0</v>
      </c>
      <c r="J5226" s="8" t="s">
        <v>10697</v>
      </c>
    </row>
    <row r="5227" spans="1:10" ht="16.5" customHeight="1" x14ac:dyDescent="0.25">
      <c r="A5227" s="8" t="s">
        <v>1150</v>
      </c>
      <c r="B5227" s="8" t="s">
        <v>1152</v>
      </c>
      <c r="C5227" s="8" t="s">
        <v>1151</v>
      </c>
      <c r="D5227" s="8" t="s">
        <v>1152</v>
      </c>
      <c r="E5227" s="105">
        <v>10.199999999999999</v>
      </c>
      <c r="F5227" s="106" t="s">
        <v>2018</v>
      </c>
      <c r="G5227" s="8"/>
      <c r="H5227" s="8" t="s">
        <v>15520</v>
      </c>
      <c r="I5227" s="107">
        <v>170</v>
      </c>
      <c r="J5227" s="8" t="s">
        <v>10697</v>
      </c>
    </row>
    <row r="5228" spans="1:10" ht="16.5" customHeight="1" x14ac:dyDescent="0.25">
      <c r="A5228" s="8" t="s">
        <v>15523</v>
      </c>
      <c r="B5228" s="8" t="s">
        <v>15524</v>
      </c>
      <c r="C5228" s="8" t="s">
        <v>15525</v>
      </c>
      <c r="D5228" s="8" t="s">
        <v>15524</v>
      </c>
      <c r="E5228" s="105">
        <v>0.51</v>
      </c>
      <c r="F5228" s="106" t="s">
        <v>2018</v>
      </c>
      <c r="G5228" s="8"/>
      <c r="H5228" s="8"/>
      <c r="I5228" s="107">
        <v>0</v>
      </c>
      <c r="J5228" s="8" t="s">
        <v>10697</v>
      </c>
    </row>
    <row r="5229" spans="1:10" ht="16.5" customHeight="1" x14ac:dyDescent="0.25">
      <c r="A5229" s="8" t="s">
        <v>1359</v>
      </c>
      <c r="B5229" s="8" t="s">
        <v>1361</v>
      </c>
      <c r="C5229" s="8" t="s">
        <v>1360</v>
      </c>
      <c r="D5229" s="8" t="s">
        <v>1361</v>
      </c>
      <c r="E5229" s="105">
        <v>5.0999999999999996</v>
      </c>
      <c r="F5229" s="106" t="s">
        <v>2018</v>
      </c>
      <c r="G5229" s="8"/>
      <c r="H5229" s="8" t="s">
        <v>15523</v>
      </c>
      <c r="I5229" s="107">
        <v>10</v>
      </c>
      <c r="J5229" s="8" t="s">
        <v>10697</v>
      </c>
    </row>
    <row r="5230" spans="1:10" ht="16.5" customHeight="1" x14ac:dyDescent="0.25">
      <c r="A5230" s="8" t="s">
        <v>15526</v>
      </c>
      <c r="B5230" s="8" t="s">
        <v>15527</v>
      </c>
      <c r="C5230" s="8" t="s">
        <v>15528</v>
      </c>
      <c r="D5230" s="8" t="s">
        <v>15527</v>
      </c>
      <c r="E5230" s="105">
        <v>0.06</v>
      </c>
      <c r="F5230" s="106" t="s">
        <v>2018</v>
      </c>
      <c r="G5230" s="8"/>
      <c r="H5230" s="8"/>
      <c r="I5230" s="107">
        <v>0</v>
      </c>
      <c r="J5230" s="8" t="s">
        <v>10697</v>
      </c>
    </row>
    <row r="5231" spans="1:10" ht="16.5" customHeight="1" x14ac:dyDescent="0.25">
      <c r="A5231" s="8" t="s">
        <v>1948</v>
      </c>
      <c r="B5231" s="8" t="s">
        <v>1949</v>
      </c>
      <c r="C5231" s="8" t="s">
        <v>1950</v>
      </c>
      <c r="D5231" s="8" t="s">
        <v>1949</v>
      </c>
      <c r="E5231" s="105">
        <v>10.199999999999999</v>
      </c>
      <c r="F5231" s="106" t="s">
        <v>2018</v>
      </c>
      <c r="G5231" s="8"/>
      <c r="H5231" s="8" t="s">
        <v>15526</v>
      </c>
      <c r="I5231" s="107">
        <v>170</v>
      </c>
      <c r="J5231" s="8" t="s">
        <v>10697</v>
      </c>
    </row>
    <row r="5232" spans="1:10" ht="16.5" customHeight="1" x14ac:dyDescent="0.25">
      <c r="A5232" s="8" t="s">
        <v>15529</v>
      </c>
      <c r="B5232" s="8" t="s">
        <v>15242</v>
      </c>
      <c r="C5232" s="8" t="s">
        <v>11167</v>
      </c>
      <c r="D5232" s="8" t="s">
        <v>15242</v>
      </c>
      <c r="E5232" s="105">
        <v>0.255</v>
      </c>
      <c r="F5232" s="106" t="s">
        <v>2018</v>
      </c>
      <c r="G5232" s="8"/>
      <c r="H5232" s="8"/>
      <c r="I5232" s="107">
        <v>0</v>
      </c>
      <c r="J5232" s="8" t="s">
        <v>5929</v>
      </c>
    </row>
    <row r="5233" spans="1:10" ht="16.5" customHeight="1" x14ac:dyDescent="0.25">
      <c r="A5233" s="8" t="s">
        <v>15530</v>
      </c>
      <c r="B5233" s="8" t="s">
        <v>15191</v>
      </c>
      <c r="C5233" s="8" t="s">
        <v>8146</v>
      </c>
      <c r="D5233" s="8" t="s">
        <v>15191</v>
      </c>
      <c r="E5233" s="105">
        <v>0.27</v>
      </c>
      <c r="F5233" s="106" t="s">
        <v>2018</v>
      </c>
      <c r="G5233" s="8"/>
      <c r="H5233" s="8"/>
      <c r="I5233" s="107">
        <v>0</v>
      </c>
      <c r="J5233" s="8" t="s">
        <v>5929</v>
      </c>
    </row>
    <row r="5234" spans="1:10" ht="16.5" customHeight="1" x14ac:dyDescent="0.25">
      <c r="A5234" s="8" t="s">
        <v>15531</v>
      </c>
      <c r="B5234" s="8" t="s">
        <v>15532</v>
      </c>
      <c r="C5234" s="8" t="s">
        <v>15533</v>
      </c>
      <c r="D5234" s="8" t="s">
        <v>15534</v>
      </c>
      <c r="E5234" s="105">
        <v>0</v>
      </c>
      <c r="F5234" s="106" t="s">
        <v>2018</v>
      </c>
      <c r="G5234" s="8"/>
      <c r="H5234" s="8"/>
      <c r="I5234" s="107">
        <v>0</v>
      </c>
      <c r="J5234" s="8" t="s">
        <v>3580</v>
      </c>
    </row>
    <row r="5235" spans="1:10" ht="16.5" customHeight="1" x14ac:dyDescent="0.25">
      <c r="A5235" s="8" t="s">
        <v>14853</v>
      </c>
      <c r="B5235" s="8" t="s">
        <v>15535</v>
      </c>
      <c r="C5235" s="8" t="s">
        <v>15536</v>
      </c>
      <c r="D5235" s="8" t="s">
        <v>15535</v>
      </c>
      <c r="E5235" s="105">
        <v>1</v>
      </c>
      <c r="F5235" s="106" t="s">
        <v>2018</v>
      </c>
      <c r="G5235" s="8"/>
      <c r="H5235" s="8"/>
      <c r="I5235" s="107">
        <v>0</v>
      </c>
      <c r="J5235" s="8" t="s">
        <v>7329</v>
      </c>
    </row>
    <row r="5236" spans="1:10" ht="16.5" customHeight="1" x14ac:dyDescent="0.25">
      <c r="A5236" s="8" t="s">
        <v>14860</v>
      </c>
      <c r="B5236" s="8" t="s">
        <v>15537</v>
      </c>
      <c r="C5236" s="8" t="s">
        <v>15538</v>
      </c>
      <c r="D5236" s="8" t="s">
        <v>15537</v>
      </c>
      <c r="E5236" s="105">
        <v>1</v>
      </c>
      <c r="F5236" s="106" t="s">
        <v>2018</v>
      </c>
      <c r="G5236" s="8"/>
      <c r="H5236" s="8"/>
      <c r="I5236" s="107">
        <v>0</v>
      </c>
      <c r="J5236" s="8" t="s">
        <v>7329</v>
      </c>
    </row>
    <row r="5237" spans="1:10" ht="16.5" customHeight="1" x14ac:dyDescent="0.25">
      <c r="A5237" s="8" t="s">
        <v>15539</v>
      </c>
      <c r="B5237" s="8" t="s">
        <v>15540</v>
      </c>
      <c r="C5237" s="8" t="s">
        <v>15541</v>
      </c>
      <c r="D5237" s="8" t="s">
        <v>14792</v>
      </c>
      <c r="E5237" s="105">
        <v>0</v>
      </c>
      <c r="F5237" s="106" t="s">
        <v>2018</v>
      </c>
      <c r="G5237" s="8"/>
      <c r="H5237" s="8"/>
      <c r="I5237" s="107">
        <v>0</v>
      </c>
      <c r="J5237" s="8" t="s">
        <v>3580</v>
      </c>
    </row>
    <row r="5238" spans="1:10" ht="16.5" customHeight="1" x14ac:dyDescent="0.25">
      <c r="A5238" s="8" t="s">
        <v>15542</v>
      </c>
      <c r="B5238" s="8" t="s">
        <v>15543</v>
      </c>
      <c r="C5238" s="8" t="s">
        <v>15544</v>
      </c>
      <c r="D5238" s="8" t="s">
        <v>15545</v>
      </c>
      <c r="E5238" s="105">
        <v>0</v>
      </c>
      <c r="F5238" s="106" t="s">
        <v>2018</v>
      </c>
      <c r="G5238" s="8"/>
      <c r="H5238" s="8"/>
      <c r="I5238" s="107">
        <v>0</v>
      </c>
      <c r="J5238" s="8" t="s">
        <v>3580</v>
      </c>
    </row>
    <row r="5239" spans="1:10" ht="16.5" customHeight="1" x14ac:dyDescent="0.25">
      <c r="A5239" s="8" t="s">
        <v>15546</v>
      </c>
      <c r="B5239" s="8" t="s">
        <v>15547</v>
      </c>
      <c r="C5239" s="8" t="s">
        <v>15548</v>
      </c>
      <c r="D5239" s="8" t="s">
        <v>15547</v>
      </c>
      <c r="E5239" s="105">
        <v>920</v>
      </c>
      <c r="F5239" s="106" t="s">
        <v>2018</v>
      </c>
      <c r="G5239" s="8"/>
      <c r="H5239" s="8"/>
      <c r="I5239" s="107">
        <v>0</v>
      </c>
      <c r="J5239" s="8" t="s">
        <v>2019</v>
      </c>
    </row>
    <row r="5240" spans="1:10" ht="16.5" customHeight="1" x14ac:dyDescent="0.25">
      <c r="A5240" s="8" t="s">
        <v>15424</v>
      </c>
      <c r="B5240" s="8" t="s">
        <v>15549</v>
      </c>
      <c r="C5240" s="8" t="s">
        <v>12310</v>
      </c>
      <c r="D5240" s="8" t="s">
        <v>15549</v>
      </c>
      <c r="E5240" s="105">
        <v>10</v>
      </c>
      <c r="F5240" s="106" t="s">
        <v>2018</v>
      </c>
      <c r="G5240" s="8" t="s">
        <v>1541</v>
      </c>
      <c r="H5240" s="8"/>
      <c r="I5240" s="107">
        <v>0</v>
      </c>
      <c r="J5240" s="8" t="s">
        <v>5929</v>
      </c>
    </row>
    <row r="5241" spans="1:10" ht="16.5" customHeight="1" x14ac:dyDescent="0.25">
      <c r="A5241" s="8" t="s">
        <v>15550</v>
      </c>
      <c r="B5241" s="8" t="s">
        <v>15551</v>
      </c>
      <c r="C5241" s="8" t="s">
        <v>15552</v>
      </c>
      <c r="D5241" s="8" t="s">
        <v>15551</v>
      </c>
      <c r="E5241" s="105">
        <v>1</v>
      </c>
      <c r="F5241" s="106" t="s">
        <v>2018</v>
      </c>
      <c r="G5241" s="8"/>
      <c r="H5241" s="8"/>
      <c r="I5241" s="107">
        <v>0</v>
      </c>
      <c r="J5241" s="8" t="s">
        <v>10979</v>
      </c>
    </row>
    <row r="5242" spans="1:10" ht="16.5" customHeight="1" x14ac:dyDescent="0.25">
      <c r="A5242" s="8" t="s">
        <v>15553</v>
      </c>
      <c r="B5242" s="8" t="s">
        <v>15554</v>
      </c>
      <c r="C5242" s="8" t="s">
        <v>15555</v>
      </c>
      <c r="D5242" s="8" t="s">
        <v>15554</v>
      </c>
      <c r="E5242" s="105">
        <v>1</v>
      </c>
      <c r="F5242" s="106" t="s">
        <v>2018</v>
      </c>
      <c r="G5242" s="8"/>
      <c r="H5242" s="8"/>
      <c r="I5242" s="107">
        <v>0</v>
      </c>
      <c r="J5242" s="8" t="s">
        <v>10979</v>
      </c>
    </row>
    <row r="5243" spans="1:10" ht="16.5" customHeight="1" x14ac:dyDescent="0.25">
      <c r="A5243" s="8" t="s">
        <v>15556</v>
      </c>
      <c r="B5243" s="8" t="s">
        <v>15557</v>
      </c>
      <c r="C5243" s="8" t="s">
        <v>15558</v>
      </c>
      <c r="D5243" s="8" t="s">
        <v>15557</v>
      </c>
      <c r="E5243" s="105">
        <v>1</v>
      </c>
      <c r="F5243" s="106" t="s">
        <v>2018</v>
      </c>
      <c r="G5243" s="8"/>
      <c r="H5243" s="8"/>
      <c r="I5243" s="107">
        <v>0</v>
      </c>
      <c r="J5243" s="8" t="s">
        <v>10979</v>
      </c>
    </row>
    <row r="5244" spans="1:10" ht="16.5" customHeight="1" x14ac:dyDescent="0.25">
      <c r="A5244" s="8" t="s">
        <v>15559</v>
      </c>
      <c r="B5244" s="8" t="s">
        <v>15560</v>
      </c>
      <c r="C5244" s="8" t="s">
        <v>15561</v>
      </c>
      <c r="D5244" s="8" t="s">
        <v>15560</v>
      </c>
      <c r="E5244" s="105">
        <v>1</v>
      </c>
      <c r="F5244" s="106" t="s">
        <v>2018</v>
      </c>
      <c r="G5244" s="8"/>
      <c r="H5244" s="8"/>
      <c r="I5244" s="107">
        <v>0</v>
      </c>
      <c r="J5244" s="8" t="s">
        <v>10979</v>
      </c>
    </row>
    <row r="5245" spans="1:10" ht="16.5" customHeight="1" x14ac:dyDescent="0.25">
      <c r="A5245" s="8" t="s">
        <v>15562</v>
      </c>
      <c r="B5245" s="8" t="s">
        <v>15563</v>
      </c>
      <c r="C5245" s="8" t="s">
        <v>15564</v>
      </c>
      <c r="D5245" s="8" t="s">
        <v>15563</v>
      </c>
      <c r="E5245" s="105">
        <v>1</v>
      </c>
      <c r="F5245" s="106" t="s">
        <v>2018</v>
      </c>
      <c r="G5245" s="8"/>
      <c r="H5245" s="8"/>
      <c r="I5245" s="107">
        <v>0</v>
      </c>
      <c r="J5245" s="8" t="s">
        <v>10979</v>
      </c>
    </row>
    <row r="5246" spans="1:10" ht="16.5" customHeight="1" x14ac:dyDescent="0.25">
      <c r="A5246" s="8" t="s">
        <v>15565</v>
      </c>
      <c r="B5246" s="8" t="s">
        <v>15566</v>
      </c>
      <c r="C5246" s="8" t="s">
        <v>15567</v>
      </c>
      <c r="D5246" s="8" t="s">
        <v>15566</v>
      </c>
      <c r="E5246" s="105">
        <v>1</v>
      </c>
      <c r="F5246" s="106" t="s">
        <v>2018</v>
      </c>
      <c r="G5246" s="8"/>
      <c r="H5246" s="8"/>
      <c r="I5246" s="107">
        <v>0</v>
      </c>
      <c r="J5246" s="8" t="s">
        <v>10979</v>
      </c>
    </row>
    <row r="5247" spans="1:10" ht="16.5" customHeight="1" x14ac:dyDescent="0.25">
      <c r="A5247" s="8" t="s">
        <v>15568</v>
      </c>
      <c r="B5247" s="8" t="s">
        <v>15569</v>
      </c>
      <c r="C5247" s="8" t="s">
        <v>15570</v>
      </c>
      <c r="D5247" s="8" t="s">
        <v>15569</v>
      </c>
      <c r="E5247" s="105">
        <v>1</v>
      </c>
      <c r="F5247" s="106" t="s">
        <v>2018</v>
      </c>
      <c r="G5247" s="8"/>
      <c r="H5247" s="8"/>
      <c r="I5247" s="107">
        <v>0</v>
      </c>
      <c r="J5247" s="8" t="s">
        <v>10979</v>
      </c>
    </row>
    <row r="5248" spans="1:10" ht="16.5" customHeight="1" x14ac:dyDescent="0.25">
      <c r="A5248" s="8" t="s">
        <v>15571</v>
      </c>
      <c r="B5248" s="8" t="s">
        <v>15572</v>
      </c>
      <c r="C5248" s="8" t="s">
        <v>15573</v>
      </c>
      <c r="D5248" s="8" t="s">
        <v>15572</v>
      </c>
      <c r="E5248" s="105">
        <v>1</v>
      </c>
      <c r="F5248" s="106" t="s">
        <v>2018</v>
      </c>
      <c r="G5248" s="8"/>
      <c r="H5248" s="8"/>
      <c r="I5248" s="107">
        <v>0</v>
      </c>
      <c r="J5248" s="8" t="s">
        <v>10979</v>
      </c>
    </row>
    <row r="5249" spans="1:10" ht="16.5" customHeight="1" x14ac:dyDescent="0.25">
      <c r="A5249" s="8" t="s">
        <v>15574</v>
      </c>
      <c r="B5249" s="8" t="s">
        <v>15575</v>
      </c>
      <c r="C5249" s="8" t="s">
        <v>15576</v>
      </c>
      <c r="D5249" s="8" t="s">
        <v>15575</v>
      </c>
      <c r="E5249" s="105">
        <v>1</v>
      </c>
      <c r="F5249" s="106" t="s">
        <v>2018</v>
      </c>
      <c r="G5249" s="8"/>
      <c r="H5249" s="8"/>
      <c r="I5249" s="107">
        <v>0</v>
      </c>
      <c r="J5249" s="8" t="s">
        <v>10979</v>
      </c>
    </row>
    <row r="5250" spans="1:10" ht="16.5" customHeight="1" x14ac:dyDescent="0.25">
      <c r="A5250" s="8" t="s">
        <v>15577</v>
      </c>
      <c r="B5250" s="8" t="s">
        <v>15578</v>
      </c>
      <c r="C5250" s="8" t="s">
        <v>15579</v>
      </c>
      <c r="D5250" s="8" t="s">
        <v>15580</v>
      </c>
      <c r="E5250" s="105">
        <v>0</v>
      </c>
      <c r="F5250" s="106" t="s">
        <v>2018</v>
      </c>
      <c r="G5250" s="8"/>
      <c r="H5250" s="8"/>
      <c r="I5250" s="107">
        <v>0</v>
      </c>
      <c r="J5250" s="8" t="s">
        <v>3580</v>
      </c>
    </row>
    <row r="5251" spans="1:10" ht="16.5" customHeight="1" x14ac:dyDescent="0.25">
      <c r="A5251" s="8" t="s">
        <v>15581</v>
      </c>
      <c r="B5251" s="8" t="s">
        <v>15582</v>
      </c>
      <c r="C5251" s="8" t="s">
        <v>15583</v>
      </c>
      <c r="D5251" s="8" t="s">
        <v>15582</v>
      </c>
      <c r="E5251" s="105">
        <v>0.08</v>
      </c>
      <c r="F5251" s="106" t="s">
        <v>2018</v>
      </c>
      <c r="G5251" s="8"/>
      <c r="H5251" s="8"/>
      <c r="I5251" s="107">
        <v>0</v>
      </c>
      <c r="J5251" s="8" t="s">
        <v>4789</v>
      </c>
    </row>
    <row r="5252" spans="1:10" ht="16.5" customHeight="1" x14ac:dyDescent="0.25">
      <c r="A5252" s="8" t="s">
        <v>1897</v>
      </c>
      <c r="B5252" s="8" t="s">
        <v>1899</v>
      </c>
      <c r="C5252" s="8" t="s">
        <v>1898</v>
      </c>
      <c r="D5252" s="8" t="s">
        <v>1899</v>
      </c>
      <c r="E5252" s="105">
        <v>9.6</v>
      </c>
      <c r="F5252" s="106" t="s">
        <v>2018</v>
      </c>
      <c r="G5252" s="8"/>
      <c r="H5252" s="8" t="s">
        <v>15581</v>
      </c>
      <c r="I5252" s="107">
        <v>120</v>
      </c>
      <c r="J5252" s="8" t="s">
        <v>4789</v>
      </c>
    </row>
    <row r="5253" spans="1:10" ht="16.5" customHeight="1" x14ac:dyDescent="0.25">
      <c r="A5253" s="8" t="s">
        <v>15584</v>
      </c>
      <c r="B5253" s="8" t="s">
        <v>15585</v>
      </c>
      <c r="C5253" s="8" t="s">
        <v>15586</v>
      </c>
      <c r="D5253" s="8" t="s">
        <v>15585</v>
      </c>
      <c r="E5253" s="105">
        <v>0.08</v>
      </c>
      <c r="F5253" s="106" t="s">
        <v>2018</v>
      </c>
      <c r="G5253" s="8"/>
      <c r="H5253" s="8"/>
      <c r="I5253" s="107">
        <v>0</v>
      </c>
      <c r="J5253" s="8" t="s">
        <v>4789</v>
      </c>
    </row>
    <row r="5254" spans="1:10" ht="16.5" customHeight="1" x14ac:dyDescent="0.25">
      <c r="A5254" s="8" t="s">
        <v>1821</v>
      </c>
      <c r="B5254" s="8" t="s">
        <v>1823</v>
      </c>
      <c r="C5254" s="8" t="s">
        <v>1822</v>
      </c>
      <c r="D5254" s="8" t="s">
        <v>1823</v>
      </c>
      <c r="E5254" s="105">
        <v>9.6</v>
      </c>
      <c r="F5254" s="106" t="s">
        <v>2018</v>
      </c>
      <c r="G5254" s="8"/>
      <c r="H5254" s="8" t="s">
        <v>15584</v>
      </c>
      <c r="I5254" s="107">
        <v>120</v>
      </c>
      <c r="J5254" s="8" t="s">
        <v>4789</v>
      </c>
    </row>
    <row r="5255" spans="1:10" ht="16.5" customHeight="1" x14ac:dyDescent="0.25">
      <c r="A5255" s="8" t="s">
        <v>15587</v>
      </c>
      <c r="B5255" s="8" t="s">
        <v>15588</v>
      </c>
      <c r="C5255" s="8" t="s">
        <v>14625</v>
      </c>
      <c r="D5255" s="8" t="s">
        <v>15588</v>
      </c>
      <c r="E5255" s="105">
        <v>25</v>
      </c>
      <c r="F5255" s="106" t="s">
        <v>2018</v>
      </c>
      <c r="G5255" s="8"/>
      <c r="H5255" s="8"/>
      <c r="I5255" s="107">
        <v>0</v>
      </c>
      <c r="J5255" s="8" t="s">
        <v>3695</v>
      </c>
    </row>
    <row r="5256" spans="1:10" ht="16.5" customHeight="1" x14ac:dyDescent="0.25">
      <c r="A5256" s="8" t="s">
        <v>15589</v>
      </c>
      <c r="B5256" s="8" t="s">
        <v>15590</v>
      </c>
      <c r="C5256" s="8" t="s">
        <v>14900</v>
      </c>
      <c r="D5256" s="8" t="s">
        <v>15590</v>
      </c>
      <c r="E5256" s="105">
        <v>500</v>
      </c>
      <c r="F5256" s="106" t="s">
        <v>2018</v>
      </c>
      <c r="G5256" s="8"/>
      <c r="H5256" s="8"/>
      <c r="I5256" s="107">
        <v>0</v>
      </c>
      <c r="J5256" s="8" t="s">
        <v>3695</v>
      </c>
    </row>
    <row r="5257" spans="1:10" ht="16.5" customHeight="1" x14ac:dyDescent="0.25">
      <c r="A5257" s="8" t="s">
        <v>15591</v>
      </c>
      <c r="B5257" s="8" t="s">
        <v>15592</v>
      </c>
      <c r="C5257" s="8" t="s">
        <v>15593</v>
      </c>
      <c r="D5257" s="8" t="s">
        <v>15594</v>
      </c>
      <c r="E5257" s="105">
        <v>0</v>
      </c>
      <c r="F5257" s="106" t="s">
        <v>2018</v>
      </c>
      <c r="G5257" s="8"/>
      <c r="H5257" s="8"/>
      <c r="I5257" s="107">
        <v>0</v>
      </c>
      <c r="J5257" s="8" t="s">
        <v>4789</v>
      </c>
    </row>
    <row r="5258" spans="1:10" ht="16.5" customHeight="1" x14ac:dyDescent="0.25">
      <c r="A5258" s="8" t="s">
        <v>15595</v>
      </c>
      <c r="B5258" s="8" t="s">
        <v>15596</v>
      </c>
      <c r="C5258" s="8" t="s">
        <v>15597</v>
      </c>
      <c r="D5258" s="8" t="s">
        <v>15596</v>
      </c>
      <c r="E5258" s="105">
        <v>0.02</v>
      </c>
      <c r="F5258" s="106" t="s">
        <v>2018</v>
      </c>
      <c r="G5258" s="8"/>
      <c r="H5258" s="8"/>
      <c r="I5258" s="107">
        <v>0</v>
      </c>
      <c r="J5258" s="8" t="s">
        <v>10697</v>
      </c>
    </row>
    <row r="5259" spans="1:10" ht="16.5" customHeight="1" x14ac:dyDescent="0.25">
      <c r="A5259" s="8" t="s">
        <v>1147</v>
      </c>
      <c r="B5259" s="8" t="s">
        <v>1149</v>
      </c>
      <c r="C5259" s="8" t="s">
        <v>1148</v>
      </c>
      <c r="D5259" s="8" t="s">
        <v>1149</v>
      </c>
      <c r="E5259" s="105">
        <v>7.3440000000000003</v>
      </c>
      <c r="F5259" s="106" t="s">
        <v>2018</v>
      </c>
      <c r="G5259" s="8"/>
      <c r="H5259" s="8" t="s">
        <v>15595</v>
      </c>
      <c r="I5259" s="107">
        <v>360</v>
      </c>
      <c r="J5259" s="8" t="s">
        <v>10697</v>
      </c>
    </row>
    <row r="5260" spans="1:10" ht="16.5" customHeight="1" x14ac:dyDescent="0.25">
      <c r="A5260" s="8" t="s">
        <v>15598</v>
      </c>
      <c r="B5260" s="8" t="s">
        <v>15599</v>
      </c>
      <c r="C5260" s="8" t="s">
        <v>15600</v>
      </c>
      <c r="D5260" s="8" t="s">
        <v>15599</v>
      </c>
      <c r="E5260" s="105">
        <v>2.04</v>
      </c>
      <c r="F5260" s="106" t="s">
        <v>2018</v>
      </c>
      <c r="G5260" s="8"/>
      <c r="H5260" s="8"/>
      <c r="I5260" s="107">
        <v>0</v>
      </c>
      <c r="J5260" s="8" t="s">
        <v>10697</v>
      </c>
    </row>
    <row r="5261" spans="1:10" ht="16.5" customHeight="1" x14ac:dyDescent="0.25">
      <c r="A5261" s="8" t="s">
        <v>1141</v>
      </c>
      <c r="B5261" s="8" t="s">
        <v>1143</v>
      </c>
      <c r="C5261" s="8" t="s">
        <v>1142</v>
      </c>
      <c r="D5261" s="8" t="s">
        <v>1143</v>
      </c>
      <c r="E5261" s="105">
        <v>12.24</v>
      </c>
      <c r="F5261" s="106" t="s">
        <v>2018</v>
      </c>
      <c r="G5261" s="8"/>
      <c r="H5261" s="8" t="s">
        <v>15598</v>
      </c>
      <c r="I5261" s="107">
        <v>6</v>
      </c>
      <c r="J5261" s="8" t="s">
        <v>10697</v>
      </c>
    </row>
    <row r="5262" spans="1:10" ht="16.5" customHeight="1" x14ac:dyDescent="0.25">
      <c r="A5262" s="8" t="s">
        <v>15601</v>
      </c>
      <c r="B5262" s="8" t="s">
        <v>15602</v>
      </c>
      <c r="C5262" s="8" t="s">
        <v>15603</v>
      </c>
      <c r="D5262" s="8" t="s">
        <v>15602</v>
      </c>
      <c r="E5262" s="105">
        <v>2.04</v>
      </c>
      <c r="F5262" s="106" t="s">
        <v>2018</v>
      </c>
      <c r="G5262" s="8"/>
      <c r="H5262" s="8"/>
      <c r="I5262" s="107">
        <v>0</v>
      </c>
      <c r="J5262" s="8" t="s">
        <v>10697</v>
      </c>
    </row>
    <row r="5263" spans="1:10" ht="16.5" customHeight="1" x14ac:dyDescent="0.25">
      <c r="A5263" s="8" t="s">
        <v>1167</v>
      </c>
      <c r="B5263" s="8" t="s">
        <v>1169</v>
      </c>
      <c r="C5263" s="8" t="s">
        <v>1168</v>
      </c>
      <c r="D5263" s="8" t="s">
        <v>1169</v>
      </c>
      <c r="E5263" s="105">
        <v>12.24</v>
      </c>
      <c r="F5263" s="106" t="s">
        <v>2018</v>
      </c>
      <c r="G5263" s="8"/>
      <c r="H5263" s="8" t="s">
        <v>15601</v>
      </c>
      <c r="I5263" s="107">
        <v>6</v>
      </c>
      <c r="J5263" s="8" t="s">
        <v>10697</v>
      </c>
    </row>
    <row r="5264" spans="1:10" ht="16.5" customHeight="1" x14ac:dyDescent="0.25">
      <c r="A5264" s="8" t="s">
        <v>15604</v>
      </c>
      <c r="B5264" s="8" t="s">
        <v>15605</v>
      </c>
      <c r="C5264" s="8" t="s">
        <v>15606</v>
      </c>
      <c r="D5264" s="8" t="s">
        <v>15605</v>
      </c>
      <c r="E5264" s="105">
        <v>0.02</v>
      </c>
      <c r="F5264" s="106" t="s">
        <v>2018</v>
      </c>
      <c r="G5264" s="8"/>
      <c r="H5264" s="8"/>
      <c r="I5264" s="107">
        <v>0</v>
      </c>
      <c r="J5264" s="8" t="s">
        <v>10697</v>
      </c>
    </row>
    <row r="5265" spans="1:10" ht="16.5" customHeight="1" x14ac:dyDescent="0.25">
      <c r="A5265" s="8" t="s">
        <v>1144</v>
      </c>
      <c r="B5265" s="8" t="s">
        <v>1146</v>
      </c>
      <c r="C5265" s="8" t="s">
        <v>1145</v>
      </c>
      <c r="D5265" s="8" t="s">
        <v>1146</v>
      </c>
      <c r="E5265" s="105">
        <v>7.3440000000000003</v>
      </c>
      <c r="F5265" s="106" t="s">
        <v>2018</v>
      </c>
      <c r="G5265" s="8"/>
      <c r="H5265" s="8" t="s">
        <v>15604</v>
      </c>
      <c r="I5265" s="107">
        <v>360</v>
      </c>
      <c r="J5265" s="8" t="s">
        <v>10697</v>
      </c>
    </row>
    <row r="5266" spans="1:10" ht="16.5" customHeight="1" x14ac:dyDescent="0.25">
      <c r="A5266" s="8" t="s">
        <v>15607</v>
      </c>
      <c r="B5266" s="8" t="s">
        <v>15608</v>
      </c>
      <c r="C5266" s="8" t="s">
        <v>15609</v>
      </c>
      <c r="D5266" s="8" t="s">
        <v>15610</v>
      </c>
      <c r="E5266" s="105">
        <v>0</v>
      </c>
      <c r="F5266" s="106" t="s">
        <v>2018</v>
      </c>
      <c r="G5266" s="8"/>
      <c r="H5266" s="8"/>
      <c r="I5266" s="107">
        <v>0</v>
      </c>
      <c r="J5266" s="8" t="s">
        <v>3580</v>
      </c>
    </row>
    <row r="5267" spans="1:10" ht="16.5" customHeight="1" x14ac:dyDescent="0.25">
      <c r="A5267" s="8" t="s">
        <v>15611</v>
      </c>
      <c r="B5267" s="8" t="s">
        <v>15612</v>
      </c>
      <c r="C5267" s="8" t="s">
        <v>1196</v>
      </c>
      <c r="D5267" s="8" t="s">
        <v>15612</v>
      </c>
      <c r="E5267" s="105">
        <v>0.91</v>
      </c>
      <c r="F5267" s="106" t="s">
        <v>2018</v>
      </c>
      <c r="G5267" s="8"/>
      <c r="H5267" s="8"/>
      <c r="I5267" s="107">
        <v>0</v>
      </c>
      <c r="J5267" s="8" t="s">
        <v>2019</v>
      </c>
    </row>
    <row r="5268" spans="1:10" ht="16.5" customHeight="1" x14ac:dyDescent="0.25">
      <c r="A5268" s="8" t="s">
        <v>1195</v>
      </c>
      <c r="B5268" s="8" t="s">
        <v>1197</v>
      </c>
      <c r="C5268" s="8" t="s">
        <v>1196</v>
      </c>
      <c r="D5268" s="8" t="s">
        <v>1197</v>
      </c>
      <c r="E5268" s="105">
        <v>10.92</v>
      </c>
      <c r="F5268" s="106" t="s">
        <v>2018</v>
      </c>
      <c r="G5268" s="8"/>
      <c r="H5268" s="8" t="s">
        <v>15611</v>
      </c>
      <c r="I5268" s="107">
        <v>12</v>
      </c>
      <c r="J5268" s="8" t="s">
        <v>2019</v>
      </c>
    </row>
    <row r="5269" spans="1:10" ht="16.5" customHeight="1" x14ac:dyDescent="0.25">
      <c r="A5269" s="8" t="s">
        <v>15613</v>
      </c>
      <c r="B5269" s="8" t="s">
        <v>15614</v>
      </c>
      <c r="C5269" s="8" t="s">
        <v>1199</v>
      </c>
      <c r="D5269" s="8" t="s">
        <v>15614</v>
      </c>
      <c r="E5269" s="105">
        <v>1.82</v>
      </c>
      <c r="F5269" s="106" t="s">
        <v>2018</v>
      </c>
      <c r="G5269" s="8"/>
      <c r="H5269" s="8"/>
      <c r="I5269" s="107">
        <v>0</v>
      </c>
      <c r="J5269" s="8" t="s">
        <v>2019</v>
      </c>
    </row>
    <row r="5270" spans="1:10" ht="16.5" customHeight="1" x14ac:dyDescent="0.25">
      <c r="A5270" s="8" t="s">
        <v>1198</v>
      </c>
      <c r="B5270" s="8" t="s">
        <v>1200</v>
      </c>
      <c r="C5270" s="8" t="s">
        <v>1199</v>
      </c>
      <c r="D5270" s="8" t="s">
        <v>1200</v>
      </c>
      <c r="E5270" s="105">
        <v>10.92</v>
      </c>
      <c r="F5270" s="106" t="s">
        <v>2018</v>
      </c>
      <c r="G5270" s="8"/>
      <c r="H5270" s="8" t="s">
        <v>15613</v>
      </c>
      <c r="I5270" s="107">
        <v>6</v>
      </c>
      <c r="J5270" s="8" t="s">
        <v>2019</v>
      </c>
    </row>
    <row r="5271" spans="1:10" ht="16.5" customHeight="1" x14ac:dyDescent="0.25">
      <c r="A5271" s="8" t="s">
        <v>15615</v>
      </c>
      <c r="B5271" s="8" t="s">
        <v>15616</v>
      </c>
      <c r="C5271" s="8" t="s">
        <v>15617</v>
      </c>
      <c r="D5271" s="8" t="s">
        <v>15616</v>
      </c>
      <c r="E5271" s="105">
        <v>0</v>
      </c>
      <c r="F5271" s="106" t="s">
        <v>2018</v>
      </c>
      <c r="G5271" s="8"/>
      <c r="H5271" s="8"/>
      <c r="I5271" s="107">
        <v>0</v>
      </c>
      <c r="J5271" s="8" t="s">
        <v>6357</v>
      </c>
    </row>
    <row r="5272" spans="1:10" ht="16.5" customHeight="1" x14ac:dyDescent="0.25">
      <c r="A5272" s="8" t="s">
        <v>15618</v>
      </c>
      <c r="B5272" s="8" t="s">
        <v>15619</v>
      </c>
      <c r="C5272" s="8" t="s">
        <v>15620</v>
      </c>
      <c r="D5272" s="8" t="s">
        <v>15619</v>
      </c>
      <c r="E5272" s="105">
        <v>0</v>
      </c>
      <c r="F5272" s="106" t="s">
        <v>2018</v>
      </c>
      <c r="G5272" s="8"/>
      <c r="H5272" s="8"/>
      <c r="I5272" s="107">
        <v>0</v>
      </c>
      <c r="J5272" s="8" t="s">
        <v>6357</v>
      </c>
    </row>
    <row r="5273" spans="1:10" ht="16.5" customHeight="1" x14ac:dyDescent="0.25">
      <c r="A5273" s="8" t="s">
        <v>15621</v>
      </c>
      <c r="B5273" s="8" t="s">
        <v>15622</v>
      </c>
      <c r="C5273" s="8" t="s">
        <v>15623</v>
      </c>
      <c r="D5273" s="8" t="s">
        <v>15622</v>
      </c>
      <c r="E5273" s="105">
        <v>0</v>
      </c>
      <c r="F5273" s="106" t="s">
        <v>2018</v>
      </c>
      <c r="G5273" s="8"/>
      <c r="H5273" s="8"/>
      <c r="I5273" s="107">
        <v>0</v>
      </c>
      <c r="J5273" s="8" t="s">
        <v>6357</v>
      </c>
    </row>
    <row r="5274" spans="1:10" ht="16.5" customHeight="1" x14ac:dyDescent="0.25">
      <c r="A5274" s="8" t="s">
        <v>15624</v>
      </c>
      <c r="B5274" s="8" t="s">
        <v>12585</v>
      </c>
      <c r="C5274" s="8" t="s">
        <v>15625</v>
      </c>
      <c r="D5274" s="8" t="s">
        <v>12585</v>
      </c>
      <c r="E5274" s="105">
        <v>0</v>
      </c>
      <c r="F5274" s="106" t="s">
        <v>2018</v>
      </c>
      <c r="G5274" s="8"/>
      <c r="H5274" s="8"/>
      <c r="I5274" s="107">
        <v>0</v>
      </c>
      <c r="J5274" s="8" t="s">
        <v>6357</v>
      </c>
    </row>
    <row r="5275" spans="1:10" ht="16.5" customHeight="1" x14ac:dyDescent="0.25">
      <c r="A5275" s="8" t="s">
        <v>15626</v>
      </c>
      <c r="B5275" s="8" t="s">
        <v>15627</v>
      </c>
      <c r="C5275" s="8" t="s">
        <v>15628</v>
      </c>
      <c r="D5275" s="8" t="s">
        <v>15627</v>
      </c>
      <c r="E5275" s="105">
        <v>0</v>
      </c>
      <c r="F5275" s="106" t="s">
        <v>2018</v>
      </c>
      <c r="G5275" s="8"/>
      <c r="H5275" s="8"/>
      <c r="I5275" s="107">
        <v>0</v>
      </c>
      <c r="J5275" s="8" t="s">
        <v>6357</v>
      </c>
    </row>
    <row r="5276" spans="1:10" ht="16.5" customHeight="1" x14ac:dyDescent="0.25">
      <c r="A5276" s="8" t="s">
        <v>15629</v>
      </c>
      <c r="B5276" s="8" t="s">
        <v>15630</v>
      </c>
      <c r="C5276" s="8" t="s">
        <v>15631</v>
      </c>
      <c r="D5276" s="8" t="s">
        <v>15632</v>
      </c>
      <c r="E5276" s="105">
        <v>1</v>
      </c>
      <c r="F5276" s="106" t="s">
        <v>2018</v>
      </c>
      <c r="G5276" s="8"/>
      <c r="H5276" s="8"/>
      <c r="I5276" s="107">
        <v>0</v>
      </c>
      <c r="J5276" s="8" t="s">
        <v>10979</v>
      </c>
    </row>
    <row r="5277" spans="1:10" ht="16.5" customHeight="1" x14ac:dyDescent="0.25">
      <c r="A5277" s="8" t="s">
        <v>15633</v>
      </c>
      <c r="B5277" s="8" t="s">
        <v>15634</v>
      </c>
      <c r="C5277" s="8" t="s">
        <v>15635</v>
      </c>
      <c r="D5277" s="8" t="s">
        <v>15634</v>
      </c>
      <c r="E5277" s="105">
        <v>10</v>
      </c>
      <c r="F5277" s="106" t="s">
        <v>2018</v>
      </c>
      <c r="G5277" s="8"/>
      <c r="H5277" s="8"/>
      <c r="I5277" s="107">
        <v>0</v>
      </c>
      <c r="J5277" s="8" t="s">
        <v>4823</v>
      </c>
    </row>
    <row r="5278" spans="1:10" ht="16.5" customHeight="1" x14ac:dyDescent="0.25">
      <c r="A5278" s="8" t="s">
        <v>15636</v>
      </c>
      <c r="B5278" s="8" t="s">
        <v>14967</v>
      </c>
      <c r="C5278" s="8" t="s">
        <v>14968</v>
      </c>
      <c r="D5278" s="8" t="s">
        <v>14967</v>
      </c>
      <c r="E5278" s="105">
        <v>0.75</v>
      </c>
      <c r="F5278" s="106" t="s">
        <v>2018</v>
      </c>
      <c r="G5278" s="8"/>
      <c r="H5278" s="8"/>
      <c r="I5278" s="107">
        <v>0</v>
      </c>
      <c r="J5278" s="8" t="s">
        <v>4722</v>
      </c>
    </row>
    <row r="5279" spans="1:10" ht="16.5" customHeight="1" x14ac:dyDescent="0.25">
      <c r="A5279" s="8" t="s">
        <v>15637</v>
      </c>
      <c r="B5279" s="8" t="s">
        <v>15638</v>
      </c>
      <c r="C5279" s="8" t="s">
        <v>5950</v>
      </c>
      <c r="D5279" s="8" t="s">
        <v>15638</v>
      </c>
      <c r="E5279" s="105">
        <v>0.23400000000000001</v>
      </c>
      <c r="F5279" s="106" t="s">
        <v>2018</v>
      </c>
      <c r="G5279" s="8" t="s">
        <v>1541</v>
      </c>
      <c r="H5279" s="8"/>
      <c r="I5279" s="107">
        <v>0</v>
      </c>
      <c r="J5279" s="8" t="s">
        <v>5929</v>
      </c>
    </row>
    <row r="5280" spans="1:10" ht="16.5" customHeight="1" x14ac:dyDescent="0.25">
      <c r="A5280" s="8" t="s">
        <v>1680</v>
      </c>
      <c r="B5280" s="8" t="s">
        <v>1681</v>
      </c>
      <c r="C5280" s="8" t="s">
        <v>1588</v>
      </c>
      <c r="D5280" s="8" t="s">
        <v>1681</v>
      </c>
      <c r="E5280" s="105">
        <v>5.6219999999999999</v>
      </c>
      <c r="F5280" s="106" t="s">
        <v>2018</v>
      </c>
      <c r="G5280" s="8" t="s">
        <v>1541</v>
      </c>
      <c r="H5280" s="8"/>
      <c r="I5280" s="107">
        <v>24</v>
      </c>
      <c r="J5280" s="8" t="s">
        <v>5929</v>
      </c>
    </row>
    <row r="5281" spans="1:10" ht="16.5" customHeight="1" x14ac:dyDescent="0.25">
      <c r="A5281" s="8" t="s">
        <v>15639</v>
      </c>
      <c r="B5281" s="8" t="s">
        <v>15640</v>
      </c>
      <c r="C5281" s="8" t="s">
        <v>15641</v>
      </c>
      <c r="D5281" s="8" t="s">
        <v>15640</v>
      </c>
      <c r="E5281" s="105">
        <v>0</v>
      </c>
      <c r="F5281" s="106" t="s">
        <v>2018</v>
      </c>
      <c r="G5281" s="8"/>
      <c r="H5281" s="8"/>
      <c r="I5281" s="107">
        <v>0</v>
      </c>
      <c r="J5281" s="8" t="s">
        <v>4789</v>
      </c>
    </row>
    <row r="5282" spans="1:10" ht="16.5" customHeight="1" x14ac:dyDescent="0.25">
      <c r="A5282" s="8" t="s">
        <v>15642</v>
      </c>
      <c r="B5282" s="8" t="s">
        <v>15643</v>
      </c>
      <c r="C5282" s="8" t="s">
        <v>15644</v>
      </c>
      <c r="D5282" s="8" t="s">
        <v>15645</v>
      </c>
      <c r="E5282" s="105">
        <v>0</v>
      </c>
      <c r="F5282" s="106" t="s">
        <v>2018</v>
      </c>
      <c r="G5282" s="8"/>
      <c r="H5282" s="8"/>
      <c r="I5282" s="107">
        <v>0</v>
      </c>
      <c r="J5282" s="8" t="s">
        <v>3580</v>
      </c>
    </row>
    <row r="5283" spans="1:10" ht="16.5" customHeight="1" x14ac:dyDescent="0.25">
      <c r="A5283" s="8" t="s">
        <v>15646</v>
      </c>
      <c r="B5283" s="8" t="s">
        <v>15647</v>
      </c>
      <c r="C5283" s="8" t="s">
        <v>15648</v>
      </c>
      <c r="D5283" s="8" t="s">
        <v>15649</v>
      </c>
      <c r="E5283" s="105">
        <v>0</v>
      </c>
      <c r="F5283" s="106" t="s">
        <v>2018</v>
      </c>
      <c r="G5283" s="8"/>
      <c r="H5283" s="8"/>
      <c r="I5283" s="107">
        <v>0</v>
      </c>
      <c r="J5283" s="8" t="s">
        <v>4789</v>
      </c>
    </row>
    <row r="5284" spans="1:10" ht="16.5" customHeight="1" x14ac:dyDescent="0.25">
      <c r="A5284" s="8" t="s">
        <v>15650</v>
      </c>
      <c r="B5284" s="8" t="s">
        <v>15651</v>
      </c>
      <c r="C5284" s="8" t="s">
        <v>15652</v>
      </c>
      <c r="D5284" s="8" t="s">
        <v>15651</v>
      </c>
      <c r="E5284" s="105">
        <v>25</v>
      </c>
      <c r="F5284" s="106" t="s">
        <v>2018</v>
      </c>
      <c r="G5284" s="8"/>
      <c r="H5284" s="8"/>
      <c r="I5284" s="107">
        <v>0</v>
      </c>
      <c r="J5284" s="8" t="s">
        <v>3580</v>
      </c>
    </row>
    <row r="5285" spans="1:10" ht="16.5" customHeight="1" x14ac:dyDescent="0.25">
      <c r="A5285" s="8" t="s">
        <v>15653</v>
      </c>
      <c r="B5285" s="8" t="s">
        <v>15654</v>
      </c>
      <c r="C5285" s="8" t="s">
        <v>15655</v>
      </c>
      <c r="D5285" s="8" t="s">
        <v>15654</v>
      </c>
      <c r="E5285" s="105">
        <v>2.25</v>
      </c>
      <c r="F5285" s="106" t="s">
        <v>2018</v>
      </c>
      <c r="G5285" s="8" t="s">
        <v>1541</v>
      </c>
      <c r="H5285" s="8"/>
      <c r="I5285" s="107">
        <v>0</v>
      </c>
      <c r="J5285" s="8" t="s">
        <v>5929</v>
      </c>
    </row>
    <row r="5286" spans="1:10" ht="16.5" customHeight="1" x14ac:dyDescent="0.25">
      <c r="A5286" s="8" t="s">
        <v>1706</v>
      </c>
      <c r="B5286" s="8" t="s">
        <v>1708</v>
      </c>
      <c r="C5286" s="8" t="s">
        <v>1707</v>
      </c>
      <c r="D5286" s="8" t="s">
        <v>1708</v>
      </c>
      <c r="E5286" s="105">
        <v>13.5</v>
      </c>
      <c r="F5286" s="106" t="s">
        <v>2018</v>
      </c>
      <c r="G5286" s="8" t="s">
        <v>1541</v>
      </c>
      <c r="H5286" s="8" t="s">
        <v>15653</v>
      </c>
      <c r="I5286" s="107">
        <v>6</v>
      </c>
      <c r="J5286" s="8" t="s">
        <v>5929</v>
      </c>
    </row>
    <row r="5287" spans="1:10" ht="16.5" customHeight="1" x14ac:dyDescent="0.25">
      <c r="A5287" s="8" t="s">
        <v>15656</v>
      </c>
      <c r="B5287" s="8" t="s">
        <v>15657</v>
      </c>
      <c r="C5287" s="8" t="s">
        <v>15658</v>
      </c>
      <c r="D5287" s="8" t="s">
        <v>15657</v>
      </c>
      <c r="E5287" s="105">
        <v>0.32</v>
      </c>
      <c r="F5287" s="106" t="s">
        <v>2018</v>
      </c>
      <c r="G5287" s="8" t="s">
        <v>1541</v>
      </c>
      <c r="H5287" s="8"/>
      <c r="I5287" s="107">
        <v>0</v>
      </c>
      <c r="J5287" s="8" t="s">
        <v>5929</v>
      </c>
    </row>
    <row r="5288" spans="1:10" ht="16.5" customHeight="1" x14ac:dyDescent="0.25">
      <c r="A5288" s="8" t="s">
        <v>1578</v>
      </c>
      <c r="B5288" s="8" t="s">
        <v>1580</v>
      </c>
      <c r="C5288" s="8" t="s">
        <v>1579</v>
      </c>
      <c r="D5288" s="8" t="s">
        <v>1580</v>
      </c>
      <c r="E5288" s="105">
        <v>7.68</v>
      </c>
      <c r="F5288" s="106" t="s">
        <v>2018</v>
      </c>
      <c r="G5288" s="8" t="s">
        <v>1541</v>
      </c>
      <c r="H5288" s="8" t="s">
        <v>15656</v>
      </c>
      <c r="I5288" s="107">
        <v>24</v>
      </c>
      <c r="J5288" s="8" t="s">
        <v>5929</v>
      </c>
    </row>
    <row r="5289" spans="1:10" ht="16.5" customHeight="1" x14ac:dyDescent="0.25">
      <c r="A5289" s="8" t="s">
        <v>15659</v>
      </c>
      <c r="B5289" s="8" t="s">
        <v>15660</v>
      </c>
      <c r="C5289" s="8" t="s">
        <v>15661</v>
      </c>
      <c r="D5289" s="8" t="s">
        <v>15660</v>
      </c>
      <c r="E5289" s="105">
        <v>0.81</v>
      </c>
      <c r="F5289" s="106" t="s">
        <v>2018</v>
      </c>
      <c r="G5289" s="8" t="s">
        <v>1541</v>
      </c>
      <c r="H5289" s="8"/>
      <c r="I5289" s="107">
        <v>0</v>
      </c>
      <c r="J5289" s="8" t="s">
        <v>5929</v>
      </c>
    </row>
    <row r="5290" spans="1:10" ht="16.5" customHeight="1" x14ac:dyDescent="0.25">
      <c r="A5290" s="8" t="s">
        <v>1581</v>
      </c>
      <c r="B5290" s="8" t="s">
        <v>1583</v>
      </c>
      <c r="C5290" s="8" t="s">
        <v>1582</v>
      </c>
      <c r="D5290" s="8" t="s">
        <v>1583</v>
      </c>
      <c r="E5290" s="105">
        <v>9.7200000000000006</v>
      </c>
      <c r="F5290" s="106" t="s">
        <v>2018</v>
      </c>
      <c r="G5290" s="8" t="s">
        <v>1541</v>
      </c>
      <c r="H5290" s="8" t="s">
        <v>15659</v>
      </c>
      <c r="I5290" s="107">
        <v>12</v>
      </c>
      <c r="J5290" s="8" t="s">
        <v>5929</v>
      </c>
    </row>
    <row r="5291" spans="1:10" ht="16.5" customHeight="1" x14ac:dyDescent="0.25">
      <c r="A5291" s="8" t="s">
        <v>15662</v>
      </c>
      <c r="B5291" s="8" t="s">
        <v>15663</v>
      </c>
      <c r="C5291" s="8" t="s">
        <v>15664</v>
      </c>
      <c r="D5291" s="8" t="s">
        <v>15665</v>
      </c>
      <c r="E5291" s="105">
        <v>0</v>
      </c>
      <c r="F5291" s="106" t="s">
        <v>2018</v>
      </c>
      <c r="G5291" s="8"/>
      <c r="H5291" s="8"/>
      <c r="I5291" s="107">
        <v>0</v>
      </c>
      <c r="J5291" s="8" t="s">
        <v>2019</v>
      </c>
    </row>
    <row r="5292" spans="1:10" ht="16.5" customHeight="1" x14ac:dyDescent="0.25">
      <c r="A5292" s="8" t="s">
        <v>15666</v>
      </c>
      <c r="B5292" s="8" t="s">
        <v>15667</v>
      </c>
      <c r="C5292" s="8" t="s">
        <v>15668</v>
      </c>
      <c r="D5292" s="8" t="s">
        <v>15667</v>
      </c>
      <c r="E5292" s="105">
        <v>190</v>
      </c>
      <c r="F5292" s="106" t="s">
        <v>2018</v>
      </c>
      <c r="G5292" s="8"/>
      <c r="H5292" s="8"/>
      <c r="I5292" s="107">
        <v>0</v>
      </c>
      <c r="J5292" s="8" t="s">
        <v>3695</v>
      </c>
    </row>
    <row r="5293" spans="1:10" ht="16.5" customHeight="1" x14ac:dyDescent="0.25">
      <c r="A5293" s="8" t="s">
        <v>15669</v>
      </c>
      <c r="B5293" s="8" t="s">
        <v>15670</v>
      </c>
      <c r="C5293" s="8" t="s">
        <v>15671</v>
      </c>
      <c r="D5293" s="8" t="s">
        <v>15670</v>
      </c>
      <c r="E5293" s="105">
        <v>0.2</v>
      </c>
      <c r="F5293" s="106" t="s">
        <v>2018</v>
      </c>
      <c r="G5293" s="8"/>
      <c r="H5293" s="8"/>
      <c r="I5293" s="107">
        <v>0</v>
      </c>
      <c r="J5293" s="8" t="s">
        <v>4789</v>
      </c>
    </row>
    <row r="5294" spans="1:10" ht="16.5" customHeight="1" x14ac:dyDescent="0.25">
      <c r="A5294" s="8" t="s">
        <v>1889</v>
      </c>
      <c r="B5294" s="8" t="s">
        <v>1891</v>
      </c>
      <c r="C5294" s="8" t="s">
        <v>1890</v>
      </c>
      <c r="D5294" s="8" t="s">
        <v>1891</v>
      </c>
      <c r="E5294" s="105">
        <v>4.8</v>
      </c>
      <c r="F5294" s="106" t="s">
        <v>2018</v>
      </c>
      <c r="G5294" s="8"/>
      <c r="H5294" s="8" t="s">
        <v>15669</v>
      </c>
      <c r="I5294" s="107">
        <v>24</v>
      </c>
      <c r="J5294" s="8" t="s">
        <v>4789</v>
      </c>
    </row>
    <row r="5295" spans="1:10" ht="16.5" customHeight="1" x14ac:dyDescent="0.25">
      <c r="A5295" s="8" t="s">
        <v>15672</v>
      </c>
      <c r="B5295" s="8" t="s">
        <v>15673</v>
      </c>
      <c r="C5295" s="8" t="s">
        <v>15674</v>
      </c>
      <c r="D5295" s="8" t="s">
        <v>15673</v>
      </c>
      <c r="E5295" s="105">
        <v>0.2</v>
      </c>
      <c r="F5295" s="106" t="s">
        <v>2018</v>
      </c>
      <c r="G5295" s="8"/>
      <c r="H5295" s="8"/>
      <c r="I5295" s="107">
        <v>0</v>
      </c>
      <c r="J5295" s="8" t="s">
        <v>4789</v>
      </c>
    </row>
    <row r="5296" spans="1:10" ht="16.5" customHeight="1" x14ac:dyDescent="0.25">
      <c r="A5296" s="8" t="s">
        <v>1903</v>
      </c>
      <c r="B5296" s="8" t="s">
        <v>1905</v>
      </c>
      <c r="C5296" s="8" t="s">
        <v>1904</v>
      </c>
      <c r="D5296" s="8" t="s">
        <v>1905</v>
      </c>
      <c r="E5296" s="105">
        <v>4.8</v>
      </c>
      <c r="F5296" s="106" t="s">
        <v>2018</v>
      </c>
      <c r="G5296" s="8"/>
      <c r="H5296" s="8" t="s">
        <v>15672</v>
      </c>
      <c r="I5296" s="107">
        <v>24</v>
      </c>
      <c r="J5296" s="8" t="s">
        <v>4789</v>
      </c>
    </row>
    <row r="5297" spans="1:10" ht="16.5" customHeight="1" x14ac:dyDescent="0.25">
      <c r="A5297" s="8" t="s">
        <v>15675</v>
      </c>
      <c r="B5297" s="8" t="s">
        <v>15676</v>
      </c>
      <c r="C5297" s="8" t="s">
        <v>15677</v>
      </c>
      <c r="D5297" s="8" t="s">
        <v>15678</v>
      </c>
      <c r="E5297" s="105">
        <v>0</v>
      </c>
      <c r="F5297" s="106" t="s">
        <v>2024</v>
      </c>
      <c r="G5297" s="8"/>
      <c r="H5297" s="8"/>
      <c r="I5297" s="107">
        <v>0</v>
      </c>
      <c r="J5297" s="8" t="s">
        <v>3580</v>
      </c>
    </row>
    <row r="5298" spans="1:10" ht="16.5" customHeight="1" x14ac:dyDescent="0.25">
      <c r="A5298" s="8" t="s">
        <v>15679</v>
      </c>
      <c r="B5298" s="8" t="s">
        <v>15680</v>
      </c>
      <c r="C5298" s="8" t="s">
        <v>15681</v>
      </c>
      <c r="D5298" s="8" t="s">
        <v>15680</v>
      </c>
      <c r="E5298" s="105">
        <v>0</v>
      </c>
      <c r="F5298" s="106" t="s">
        <v>2018</v>
      </c>
      <c r="G5298" s="8"/>
      <c r="H5298" s="8"/>
      <c r="I5298" s="107">
        <v>0</v>
      </c>
      <c r="J5298" s="8" t="s">
        <v>4789</v>
      </c>
    </row>
    <row r="5299" spans="1:10" ht="16.5" customHeight="1" x14ac:dyDescent="0.25">
      <c r="A5299" s="8" t="s">
        <v>15682</v>
      </c>
      <c r="B5299" s="8" t="s">
        <v>15683</v>
      </c>
      <c r="C5299" s="8" t="s">
        <v>15684</v>
      </c>
      <c r="D5299" s="8" t="s">
        <v>15683</v>
      </c>
      <c r="E5299" s="105">
        <v>0</v>
      </c>
      <c r="F5299" s="106" t="s">
        <v>2018</v>
      </c>
      <c r="G5299" s="8"/>
      <c r="H5299" s="8"/>
      <c r="I5299" s="107">
        <v>0</v>
      </c>
      <c r="J5299" s="8" t="s">
        <v>4789</v>
      </c>
    </row>
    <row r="5300" spans="1:10" ht="16.5" customHeight="1" x14ac:dyDescent="0.25">
      <c r="A5300" s="8" t="s">
        <v>15685</v>
      </c>
      <c r="B5300" s="8" t="s">
        <v>15686</v>
      </c>
      <c r="C5300" s="8" t="s">
        <v>15687</v>
      </c>
      <c r="D5300" s="8" t="s">
        <v>15686</v>
      </c>
      <c r="E5300" s="105">
        <v>0</v>
      </c>
      <c r="F5300" s="106" t="s">
        <v>2018</v>
      </c>
      <c r="G5300" s="8"/>
      <c r="H5300" s="8"/>
      <c r="I5300" s="107">
        <v>0</v>
      </c>
      <c r="J5300" s="8" t="s">
        <v>4789</v>
      </c>
    </row>
    <row r="5301" spans="1:10" ht="16.5" customHeight="1" x14ac:dyDescent="0.25">
      <c r="A5301" s="8" t="s">
        <v>15688</v>
      </c>
      <c r="B5301" s="8" t="s">
        <v>15689</v>
      </c>
      <c r="C5301" s="8" t="s">
        <v>15690</v>
      </c>
      <c r="D5301" s="8" t="s">
        <v>15691</v>
      </c>
      <c r="E5301" s="105">
        <v>0</v>
      </c>
      <c r="F5301" s="106" t="s">
        <v>2018</v>
      </c>
      <c r="G5301" s="8"/>
      <c r="H5301" s="8"/>
      <c r="I5301" s="107">
        <v>0</v>
      </c>
      <c r="J5301" s="8" t="s">
        <v>4823</v>
      </c>
    </row>
    <row r="5302" spans="1:10" ht="16.5" customHeight="1" x14ac:dyDescent="0.25">
      <c r="A5302" s="8" t="s">
        <v>15692</v>
      </c>
      <c r="B5302" s="8" t="s">
        <v>15693</v>
      </c>
      <c r="C5302" s="8" t="s">
        <v>15694</v>
      </c>
      <c r="D5302" s="8" t="s">
        <v>15695</v>
      </c>
      <c r="E5302" s="105">
        <v>0</v>
      </c>
      <c r="F5302" s="106" t="s">
        <v>2018</v>
      </c>
      <c r="G5302" s="8"/>
      <c r="H5302" s="8"/>
      <c r="I5302" s="107">
        <v>0</v>
      </c>
      <c r="J5302" s="8" t="s">
        <v>3580</v>
      </c>
    </row>
    <row r="5303" spans="1:10" ht="16.5" customHeight="1" x14ac:dyDescent="0.25">
      <c r="A5303" s="8" t="s">
        <v>15696</v>
      </c>
      <c r="B5303" s="8" t="s">
        <v>15697</v>
      </c>
      <c r="C5303" s="8" t="s">
        <v>15698</v>
      </c>
      <c r="D5303" s="8" t="s">
        <v>15699</v>
      </c>
      <c r="E5303" s="105">
        <v>0</v>
      </c>
      <c r="F5303" s="106" t="s">
        <v>2018</v>
      </c>
      <c r="G5303" s="8"/>
      <c r="H5303" s="8"/>
      <c r="I5303" s="107">
        <v>0</v>
      </c>
      <c r="J5303" s="8" t="s">
        <v>3580</v>
      </c>
    </row>
    <row r="5304" spans="1:10" ht="16.5" customHeight="1" x14ac:dyDescent="0.25">
      <c r="A5304" s="8" t="s">
        <v>15700</v>
      </c>
      <c r="B5304" s="8" t="s">
        <v>15701</v>
      </c>
      <c r="C5304" s="8" t="s">
        <v>15702</v>
      </c>
      <c r="D5304" s="8" t="s">
        <v>15701</v>
      </c>
      <c r="E5304" s="105">
        <v>2.5</v>
      </c>
      <c r="F5304" s="106" t="s">
        <v>2018</v>
      </c>
      <c r="G5304" s="8"/>
      <c r="H5304" s="8"/>
      <c r="I5304" s="107">
        <v>0</v>
      </c>
      <c r="J5304" s="8" t="s">
        <v>4722</v>
      </c>
    </row>
    <row r="5305" spans="1:10" ht="16.5" customHeight="1" x14ac:dyDescent="0.25">
      <c r="A5305" s="8" t="s">
        <v>15703</v>
      </c>
      <c r="B5305" s="8" t="s">
        <v>15704</v>
      </c>
      <c r="C5305" s="8" t="s">
        <v>15705</v>
      </c>
      <c r="D5305" s="8" t="s">
        <v>15704</v>
      </c>
      <c r="E5305" s="105">
        <v>0.48</v>
      </c>
      <c r="F5305" s="106" t="s">
        <v>2018</v>
      </c>
      <c r="G5305" s="8"/>
      <c r="H5305" s="8"/>
      <c r="I5305" s="107">
        <v>0</v>
      </c>
      <c r="J5305" s="8" t="s">
        <v>4722</v>
      </c>
    </row>
    <row r="5306" spans="1:10" ht="16.5" customHeight="1" x14ac:dyDescent="0.25">
      <c r="A5306" s="8" t="s">
        <v>15706</v>
      </c>
      <c r="B5306" s="8" t="s">
        <v>15707</v>
      </c>
      <c r="C5306" s="8" t="s">
        <v>15708</v>
      </c>
      <c r="D5306" s="8" t="s">
        <v>15707</v>
      </c>
      <c r="E5306" s="105">
        <v>25</v>
      </c>
      <c r="F5306" s="106" t="s">
        <v>2018</v>
      </c>
      <c r="G5306" s="8"/>
      <c r="H5306" s="8"/>
      <c r="I5306" s="107">
        <v>0</v>
      </c>
      <c r="J5306" s="8" t="s">
        <v>3695</v>
      </c>
    </row>
    <row r="5307" spans="1:10" ht="16.5" customHeight="1" x14ac:dyDescent="0.25">
      <c r="A5307" s="8" t="s">
        <v>15709</v>
      </c>
      <c r="B5307" s="8" t="s">
        <v>12234</v>
      </c>
      <c r="C5307" s="8" t="s">
        <v>12235</v>
      </c>
      <c r="D5307" s="8" t="s">
        <v>12234</v>
      </c>
      <c r="E5307" s="105">
        <v>3.5</v>
      </c>
      <c r="F5307" s="106" t="s">
        <v>2018</v>
      </c>
      <c r="G5307" s="8"/>
      <c r="H5307" s="8"/>
      <c r="I5307" s="107">
        <v>0</v>
      </c>
      <c r="J5307" s="8" t="s">
        <v>10697</v>
      </c>
    </row>
    <row r="5308" spans="1:10" ht="16.5" customHeight="1" x14ac:dyDescent="0.25">
      <c r="A5308" s="8" t="s">
        <v>15710</v>
      </c>
      <c r="B5308" s="8" t="s">
        <v>14484</v>
      </c>
      <c r="C5308" s="8" t="s">
        <v>14485</v>
      </c>
      <c r="D5308" s="8" t="s">
        <v>14484</v>
      </c>
      <c r="E5308" s="105">
        <v>2.6</v>
      </c>
      <c r="F5308" s="106" t="s">
        <v>2018</v>
      </c>
      <c r="G5308" s="8"/>
      <c r="H5308" s="8"/>
      <c r="I5308" s="107">
        <v>0</v>
      </c>
      <c r="J5308" s="8" t="s">
        <v>10697</v>
      </c>
    </row>
    <row r="5309" spans="1:10" ht="16.5" customHeight="1" x14ac:dyDescent="0.25">
      <c r="A5309" s="8" t="s">
        <v>15711</v>
      </c>
      <c r="B5309" s="8" t="s">
        <v>12209</v>
      </c>
      <c r="C5309" s="8" t="s">
        <v>12210</v>
      </c>
      <c r="D5309" s="8" t="s">
        <v>12209</v>
      </c>
      <c r="E5309" s="105">
        <v>0.75</v>
      </c>
      <c r="F5309" s="106" t="s">
        <v>2018</v>
      </c>
      <c r="G5309" s="8"/>
      <c r="H5309" s="8"/>
      <c r="I5309" s="107">
        <v>0</v>
      </c>
      <c r="J5309" s="8" t="s">
        <v>10697</v>
      </c>
    </row>
    <row r="5310" spans="1:10" ht="16.5" customHeight="1" x14ac:dyDescent="0.25">
      <c r="A5310" s="8" t="s">
        <v>15712</v>
      </c>
      <c r="B5310" s="8" t="s">
        <v>14123</v>
      </c>
      <c r="C5310" s="8" t="s">
        <v>14124</v>
      </c>
      <c r="D5310" s="8" t="s">
        <v>14123</v>
      </c>
      <c r="E5310" s="105">
        <v>3.4</v>
      </c>
      <c r="F5310" s="106" t="s">
        <v>2018</v>
      </c>
      <c r="G5310" s="8"/>
      <c r="H5310" s="8"/>
      <c r="I5310" s="107">
        <v>0</v>
      </c>
      <c r="J5310" s="8" t="s">
        <v>10697</v>
      </c>
    </row>
    <row r="5311" spans="1:10" ht="16.5" customHeight="1" x14ac:dyDescent="0.25">
      <c r="A5311" s="8" t="s">
        <v>15713</v>
      </c>
      <c r="B5311" s="8" t="s">
        <v>15714</v>
      </c>
      <c r="C5311" s="8" t="s">
        <v>15715</v>
      </c>
      <c r="D5311" s="8" t="s">
        <v>15716</v>
      </c>
      <c r="E5311" s="105">
        <v>0</v>
      </c>
      <c r="F5311" s="106" t="s">
        <v>2018</v>
      </c>
      <c r="G5311" s="8"/>
      <c r="H5311" s="8"/>
      <c r="I5311" s="107">
        <v>0</v>
      </c>
      <c r="J5311" s="8" t="s">
        <v>3580</v>
      </c>
    </row>
    <row r="5312" spans="1:10" ht="16.5" customHeight="1" x14ac:dyDescent="0.25">
      <c r="A5312" s="8" t="s">
        <v>15717</v>
      </c>
      <c r="B5312" s="8" t="s">
        <v>15199</v>
      </c>
      <c r="C5312" s="8" t="s">
        <v>8571</v>
      </c>
      <c r="D5312" s="8" t="s">
        <v>15199</v>
      </c>
      <c r="E5312" s="105">
        <v>0.57389999999999997</v>
      </c>
      <c r="F5312" s="106" t="s">
        <v>2018</v>
      </c>
      <c r="G5312" s="8"/>
      <c r="H5312" s="8"/>
      <c r="I5312" s="107">
        <v>0</v>
      </c>
      <c r="J5312" s="8" t="s">
        <v>4789</v>
      </c>
    </row>
    <row r="5313" spans="1:10" ht="16.5" customHeight="1" x14ac:dyDescent="0.25">
      <c r="A5313" s="8" t="s">
        <v>15718</v>
      </c>
      <c r="B5313" s="8" t="s">
        <v>15205</v>
      </c>
      <c r="C5313" s="8" t="s">
        <v>8792</v>
      </c>
      <c r="D5313" s="8" t="s">
        <v>15205</v>
      </c>
      <c r="E5313" s="105">
        <v>1</v>
      </c>
      <c r="F5313" s="106" t="s">
        <v>2018</v>
      </c>
      <c r="G5313" s="8"/>
      <c r="H5313" s="8"/>
      <c r="I5313" s="107">
        <v>0</v>
      </c>
      <c r="J5313" s="8" t="s">
        <v>4789</v>
      </c>
    </row>
    <row r="5314" spans="1:10" ht="16.5" customHeight="1" x14ac:dyDescent="0.25">
      <c r="A5314" s="8" t="s">
        <v>15719</v>
      </c>
      <c r="B5314" s="8" t="s">
        <v>13869</v>
      </c>
      <c r="C5314" s="8" t="s">
        <v>5677</v>
      </c>
      <c r="D5314" s="8" t="s">
        <v>13869</v>
      </c>
      <c r="E5314" s="105">
        <v>0.5</v>
      </c>
      <c r="F5314" s="106" t="s">
        <v>2018</v>
      </c>
      <c r="G5314" s="8"/>
      <c r="H5314" s="8"/>
      <c r="I5314" s="107">
        <v>0</v>
      </c>
      <c r="J5314" s="8" t="s">
        <v>5779</v>
      </c>
    </row>
    <row r="5315" spans="1:10" ht="16.5" customHeight="1" x14ac:dyDescent="0.25">
      <c r="A5315" s="8" t="s">
        <v>15452</v>
      </c>
      <c r="B5315" s="8" t="s">
        <v>15720</v>
      </c>
      <c r="C5315" s="8" t="s">
        <v>15721</v>
      </c>
      <c r="D5315" s="8" t="s">
        <v>15720</v>
      </c>
      <c r="E5315" s="105">
        <v>0.1</v>
      </c>
      <c r="F5315" s="106" t="s">
        <v>2018</v>
      </c>
      <c r="G5315" s="8" t="s">
        <v>1417</v>
      </c>
      <c r="H5315" s="8"/>
      <c r="I5315" s="107">
        <v>0</v>
      </c>
      <c r="J5315" s="8" t="s">
        <v>5671</v>
      </c>
    </row>
    <row r="5316" spans="1:10" ht="16.5" customHeight="1" x14ac:dyDescent="0.25">
      <c r="A5316" s="8" t="s">
        <v>15453</v>
      </c>
      <c r="B5316" s="8" t="s">
        <v>15722</v>
      </c>
      <c r="C5316" s="8" t="s">
        <v>15723</v>
      </c>
      <c r="D5316" s="8" t="s">
        <v>15722</v>
      </c>
      <c r="E5316" s="105">
        <v>0.45</v>
      </c>
      <c r="F5316" s="106" t="s">
        <v>2018</v>
      </c>
      <c r="G5316" s="8" t="s">
        <v>1417</v>
      </c>
      <c r="H5316" s="8"/>
      <c r="I5316" s="107">
        <v>0</v>
      </c>
      <c r="J5316" s="8" t="s">
        <v>5671</v>
      </c>
    </row>
    <row r="5317" spans="1:10" ht="16.5" customHeight="1" x14ac:dyDescent="0.25">
      <c r="A5317" s="8" t="s">
        <v>15724</v>
      </c>
      <c r="B5317" s="8" t="s">
        <v>15725</v>
      </c>
      <c r="C5317" s="8" t="s">
        <v>15726</v>
      </c>
      <c r="D5317" s="8" t="s">
        <v>15725</v>
      </c>
      <c r="E5317" s="105">
        <v>0</v>
      </c>
      <c r="F5317" s="106" t="s">
        <v>2018</v>
      </c>
      <c r="G5317" s="8"/>
      <c r="H5317" s="8"/>
      <c r="I5317" s="107">
        <v>0</v>
      </c>
      <c r="J5317" s="8" t="s">
        <v>3695</v>
      </c>
    </row>
    <row r="5318" spans="1:10" ht="16.5" customHeight="1" x14ac:dyDescent="0.25">
      <c r="A5318" s="8" t="s">
        <v>15727</v>
      </c>
      <c r="B5318" s="8" t="s">
        <v>15728</v>
      </c>
      <c r="C5318" s="8" t="s">
        <v>15729</v>
      </c>
      <c r="D5318" s="8" t="s">
        <v>15728</v>
      </c>
      <c r="E5318" s="105">
        <v>1</v>
      </c>
      <c r="F5318" s="106" t="s">
        <v>2018</v>
      </c>
      <c r="G5318" s="8"/>
      <c r="H5318" s="8"/>
      <c r="I5318" s="107">
        <v>0</v>
      </c>
      <c r="J5318" s="8" t="s">
        <v>3695</v>
      </c>
    </row>
    <row r="5319" spans="1:10" ht="16.5" customHeight="1" x14ac:dyDescent="0.25">
      <c r="A5319" s="8" t="s">
        <v>15730</v>
      </c>
      <c r="B5319" s="8" t="s">
        <v>15731</v>
      </c>
      <c r="C5319" s="8" t="s">
        <v>15732</v>
      </c>
      <c r="D5319" s="8" t="s">
        <v>15731</v>
      </c>
      <c r="E5319" s="105">
        <v>1</v>
      </c>
      <c r="F5319" s="106" t="s">
        <v>2018</v>
      </c>
      <c r="G5319" s="8"/>
      <c r="H5319" s="8"/>
      <c r="I5319" s="107">
        <v>0</v>
      </c>
      <c r="J5319" s="8" t="s">
        <v>3695</v>
      </c>
    </row>
    <row r="5320" spans="1:10" ht="16.5" customHeight="1" x14ac:dyDescent="0.25">
      <c r="A5320" s="8" t="s">
        <v>15733</v>
      </c>
      <c r="B5320" s="8" t="s">
        <v>15734</v>
      </c>
      <c r="C5320" s="8" t="s">
        <v>15735</v>
      </c>
      <c r="D5320" s="8" t="s">
        <v>15734</v>
      </c>
      <c r="E5320" s="105">
        <v>1</v>
      </c>
      <c r="F5320" s="106" t="s">
        <v>2018</v>
      </c>
      <c r="G5320" s="8"/>
      <c r="H5320" s="8"/>
      <c r="I5320" s="107">
        <v>0</v>
      </c>
      <c r="J5320" s="8" t="s">
        <v>3695</v>
      </c>
    </row>
    <row r="5321" spans="1:10" ht="16.5" customHeight="1" x14ac:dyDescent="0.25">
      <c r="A5321" s="8" t="s">
        <v>15736</v>
      </c>
      <c r="B5321" s="8" t="s">
        <v>15737</v>
      </c>
      <c r="C5321" s="8" t="s">
        <v>15738</v>
      </c>
      <c r="D5321" s="8" t="s">
        <v>15737</v>
      </c>
      <c r="E5321" s="105">
        <v>1</v>
      </c>
      <c r="F5321" s="106" t="s">
        <v>2018</v>
      </c>
      <c r="G5321" s="8"/>
      <c r="H5321" s="8"/>
      <c r="I5321" s="107">
        <v>0</v>
      </c>
      <c r="J5321" s="8" t="s">
        <v>3695</v>
      </c>
    </row>
    <row r="5322" spans="1:10" ht="16.5" customHeight="1" x14ac:dyDescent="0.25">
      <c r="A5322" s="8" t="s">
        <v>15739</v>
      </c>
      <c r="B5322" s="8" t="s">
        <v>15740</v>
      </c>
      <c r="C5322" s="8" t="s">
        <v>15741</v>
      </c>
      <c r="D5322" s="8" t="s">
        <v>15740</v>
      </c>
      <c r="E5322" s="105">
        <v>1</v>
      </c>
      <c r="F5322" s="106" t="s">
        <v>2018</v>
      </c>
      <c r="G5322" s="8"/>
      <c r="H5322" s="8"/>
      <c r="I5322" s="107">
        <v>0</v>
      </c>
      <c r="J5322" s="8" t="s">
        <v>3695</v>
      </c>
    </row>
    <row r="5323" spans="1:10" ht="16.5" customHeight="1" x14ac:dyDescent="0.25">
      <c r="A5323" s="8" t="s">
        <v>15742</v>
      </c>
      <c r="B5323" s="8" t="s">
        <v>15743</v>
      </c>
      <c r="C5323" s="8" t="s">
        <v>15744</v>
      </c>
      <c r="D5323" s="8" t="s">
        <v>15743</v>
      </c>
      <c r="E5323" s="105">
        <v>1</v>
      </c>
      <c r="F5323" s="106" t="s">
        <v>2018</v>
      </c>
      <c r="G5323" s="8"/>
      <c r="H5323" s="8"/>
      <c r="I5323" s="107">
        <v>0</v>
      </c>
      <c r="J5323" s="8" t="s">
        <v>3695</v>
      </c>
    </row>
    <row r="5324" spans="1:10" ht="16.5" customHeight="1" x14ac:dyDescent="0.25">
      <c r="A5324" s="8" t="s">
        <v>15745</v>
      </c>
      <c r="B5324" s="8" t="s">
        <v>15746</v>
      </c>
      <c r="C5324" s="8" t="s">
        <v>15747</v>
      </c>
      <c r="D5324" s="8" t="s">
        <v>15746</v>
      </c>
      <c r="E5324" s="105">
        <v>1</v>
      </c>
      <c r="F5324" s="106" t="s">
        <v>2018</v>
      </c>
      <c r="G5324" s="8"/>
      <c r="H5324" s="8"/>
      <c r="I5324" s="107">
        <v>0</v>
      </c>
      <c r="J5324" s="8" t="s">
        <v>3695</v>
      </c>
    </row>
    <row r="5325" spans="1:10" ht="16.5" customHeight="1" x14ac:dyDescent="0.25">
      <c r="A5325" s="8" t="s">
        <v>15748</v>
      </c>
      <c r="B5325" s="8" t="s">
        <v>15749</v>
      </c>
      <c r="C5325" s="8" t="s">
        <v>15750</v>
      </c>
      <c r="D5325" s="8" t="s">
        <v>15749</v>
      </c>
      <c r="E5325" s="105">
        <v>1</v>
      </c>
      <c r="F5325" s="106" t="s">
        <v>2018</v>
      </c>
      <c r="G5325" s="8"/>
      <c r="H5325" s="8"/>
      <c r="I5325" s="107">
        <v>0</v>
      </c>
      <c r="J5325" s="8" t="s">
        <v>3695</v>
      </c>
    </row>
    <row r="5326" spans="1:10" ht="16.5" customHeight="1" x14ac:dyDescent="0.25">
      <c r="A5326" s="8" t="s">
        <v>15751</v>
      </c>
      <c r="B5326" s="8" t="s">
        <v>15752</v>
      </c>
      <c r="C5326" s="8" t="s">
        <v>15753</v>
      </c>
      <c r="D5326" s="8" t="s">
        <v>15752</v>
      </c>
      <c r="E5326" s="105">
        <v>1</v>
      </c>
      <c r="F5326" s="106" t="s">
        <v>2018</v>
      </c>
      <c r="G5326" s="8"/>
      <c r="H5326" s="8"/>
      <c r="I5326" s="107">
        <v>0</v>
      </c>
      <c r="J5326" s="8" t="s">
        <v>3695</v>
      </c>
    </row>
    <row r="5327" spans="1:10" ht="16.5" customHeight="1" x14ac:dyDescent="0.25">
      <c r="A5327" s="8" t="s">
        <v>15754</v>
      </c>
      <c r="B5327" s="8" t="s">
        <v>15755</v>
      </c>
      <c r="C5327" s="8" t="s">
        <v>15756</v>
      </c>
      <c r="D5327" s="8" t="s">
        <v>15755</v>
      </c>
      <c r="E5327" s="105">
        <v>1</v>
      </c>
      <c r="F5327" s="106" t="s">
        <v>2018</v>
      </c>
      <c r="G5327" s="8"/>
      <c r="H5327" s="8"/>
      <c r="I5327" s="107">
        <v>0</v>
      </c>
      <c r="J5327" s="8" t="s">
        <v>3695</v>
      </c>
    </row>
    <row r="5328" spans="1:10" ht="16.5" customHeight="1" x14ac:dyDescent="0.25">
      <c r="A5328" s="8" t="s">
        <v>15757</v>
      </c>
      <c r="B5328" s="8" t="s">
        <v>15758</v>
      </c>
      <c r="C5328" s="8" t="s">
        <v>15759</v>
      </c>
      <c r="D5328" s="8" t="s">
        <v>15758</v>
      </c>
      <c r="E5328" s="105">
        <v>1</v>
      </c>
      <c r="F5328" s="106" t="s">
        <v>2018</v>
      </c>
      <c r="G5328" s="8"/>
      <c r="H5328" s="8"/>
      <c r="I5328" s="107">
        <v>0</v>
      </c>
      <c r="J5328" s="8" t="s">
        <v>3695</v>
      </c>
    </row>
    <row r="5329" spans="1:10" ht="16.5" customHeight="1" x14ac:dyDescent="0.25">
      <c r="A5329" s="8" t="s">
        <v>15760</v>
      </c>
      <c r="B5329" s="8" t="s">
        <v>15761</v>
      </c>
      <c r="C5329" s="8" t="s">
        <v>15762</v>
      </c>
      <c r="D5329" s="8" t="s">
        <v>15761</v>
      </c>
      <c r="E5329" s="105">
        <v>1</v>
      </c>
      <c r="F5329" s="106" t="s">
        <v>2018</v>
      </c>
      <c r="G5329" s="8"/>
      <c r="H5329" s="8"/>
      <c r="I5329" s="107">
        <v>0</v>
      </c>
      <c r="J5329" s="8" t="s">
        <v>3695</v>
      </c>
    </row>
    <row r="5330" spans="1:10" ht="16.5" customHeight="1" x14ac:dyDescent="0.25">
      <c r="A5330" s="8" t="s">
        <v>15763</v>
      </c>
      <c r="B5330" s="8" t="s">
        <v>15764</v>
      </c>
      <c r="C5330" s="8" t="s">
        <v>15765</v>
      </c>
      <c r="D5330" s="8" t="s">
        <v>15764</v>
      </c>
      <c r="E5330" s="105">
        <v>7.0000000000000007E-2</v>
      </c>
      <c r="F5330" s="106" t="s">
        <v>2018</v>
      </c>
      <c r="G5330" s="8"/>
      <c r="H5330" s="8"/>
      <c r="I5330" s="107">
        <v>0</v>
      </c>
      <c r="J5330" s="8" t="s">
        <v>8088</v>
      </c>
    </row>
    <row r="5331" spans="1:10" ht="16.5" customHeight="1" x14ac:dyDescent="0.25">
      <c r="A5331" s="8" t="s">
        <v>15766</v>
      </c>
      <c r="B5331" s="8" t="s">
        <v>15767</v>
      </c>
      <c r="C5331" s="8" t="s">
        <v>15768</v>
      </c>
      <c r="D5331" s="8" t="s">
        <v>15767</v>
      </c>
      <c r="E5331" s="105">
        <v>1.63</v>
      </c>
      <c r="F5331" s="106" t="s">
        <v>2018</v>
      </c>
      <c r="G5331" s="8"/>
      <c r="H5331" s="8" t="s">
        <v>15763</v>
      </c>
      <c r="I5331" s="107">
        <v>24</v>
      </c>
      <c r="J5331" s="8" t="s">
        <v>8088</v>
      </c>
    </row>
    <row r="5332" spans="1:10" ht="16.5" customHeight="1" x14ac:dyDescent="0.25">
      <c r="A5332" s="8" t="s">
        <v>15769</v>
      </c>
      <c r="B5332" s="8" t="s">
        <v>15770</v>
      </c>
      <c r="C5332" s="8" t="s">
        <v>15771</v>
      </c>
      <c r="D5332" s="8" t="s">
        <v>15770</v>
      </c>
      <c r="E5332" s="105">
        <v>8.19</v>
      </c>
      <c r="F5332" s="106" t="s">
        <v>2018</v>
      </c>
      <c r="G5332" s="8"/>
      <c r="H5332" s="8"/>
      <c r="I5332" s="107">
        <v>0</v>
      </c>
      <c r="J5332" s="8" t="s">
        <v>2019</v>
      </c>
    </row>
    <row r="5333" spans="1:10" ht="16.5" customHeight="1" x14ac:dyDescent="0.25">
      <c r="A5333" s="8" t="s">
        <v>15772</v>
      </c>
      <c r="B5333" s="8" t="s">
        <v>15773</v>
      </c>
      <c r="C5333" s="8" t="s">
        <v>4971</v>
      </c>
      <c r="D5333" s="8" t="s">
        <v>15773</v>
      </c>
      <c r="E5333" s="105">
        <v>25</v>
      </c>
      <c r="F5333" s="106" t="s">
        <v>2018</v>
      </c>
      <c r="G5333" s="8"/>
      <c r="H5333" s="8"/>
      <c r="I5333" s="107">
        <v>0</v>
      </c>
      <c r="J5333" s="8" t="s">
        <v>3695</v>
      </c>
    </row>
    <row r="5334" spans="1:10" ht="16.5" customHeight="1" x14ac:dyDescent="0.25">
      <c r="A5334" s="8" t="s">
        <v>15774</v>
      </c>
      <c r="B5334" s="8" t="s">
        <v>15775</v>
      </c>
      <c r="C5334" s="8" t="s">
        <v>15776</v>
      </c>
      <c r="D5334" s="8" t="s">
        <v>15775</v>
      </c>
      <c r="E5334" s="105">
        <v>17</v>
      </c>
      <c r="F5334" s="106" t="s">
        <v>2018</v>
      </c>
      <c r="G5334" s="8"/>
      <c r="H5334" s="8"/>
      <c r="I5334" s="107">
        <v>0</v>
      </c>
      <c r="J5334" s="8" t="s">
        <v>4722</v>
      </c>
    </row>
    <row r="5335" spans="1:10" ht="16.5" customHeight="1" x14ac:dyDescent="0.25">
      <c r="A5335" s="8" t="s">
        <v>15777</v>
      </c>
      <c r="B5335" s="8" t="s">
        <v>15778</v>
      </c>
      <c r="C5335" s="8" t="s">
        <v>15779</v>
      </c>
      <c r="D5335" s="8" t="s">
        <v>15778</v>
      </c>
      <c r="E5335" s="105">
        <v>0</v>
      </c>
      <c r="F5335" s="106" t="s">
        <v>2018</v>
      </c>
      <c r="G5335" s="8"/>
      <c r="H5335" s="8"/>
      <c r="I5335" s="107">
        <v>0</v>
      </c>
      <c r="J5335" s="8" t="s">
        <v>4823</v>
      </c>
    </row>
    <row r="5336" spans="1:10" ht="16.5" customHeight="1" x14ac:dyDescent="0.25">
      <c r="A5336" s="8" t="s">
        <v>15780</v>
      </c>
      <c r="B5336" s="8" t="s">
        <v>15781</v>
      </c>
      <c r="C5336" s="8" t="s">
        <v>15782</v>
      </c>
      <c r="D5336" s="8" t="s">
        <v>15781</v>
      </c>
      <c r="E5336" s="105">
        <v>0</v>
      </c>
      <c r="F5336" s="106" t="s">
        <v>2018</v>
      </c>
      <c r="G5336" s="8"/>
      <c r="H5336" s="8"/>
      <c r="I5336" s="107">
        <v>0</v>
      </c>
      <c r="J5336" s="8" t="s">
        <v>4823</v>
      </c>
    </row>
    <row r="5337" spans="1:10" ht="16.5" customHeight="1" x14ac:dyDescent="0.25">
      <c r="A5337" s="8" t="s">
        <v>15783</v>
      </c>
      <c r="B5337" s="8" t="s">
        <v>15784</v>
      </c>
      <c r="C5337" s="8" t="s">
        <v>15785</v>
      </c>
      <c r="D5337" s="8" t="s">
        <v>15784</v>
      </c>
      <c r="E5337" s="105">
        <v>0</v>
      </c>
      <c r="F5337" s="106" t="s">
        <v>2018</v>
      </c>
      <c r="G5337" s="8"/>
      <c r="H5337" s="8"/>
      <c r="I5337" s="107">
        <v>0</v>
      </c>
      <c r="J5337" s="8" t="s">
        <v>4823</v>
      </c>
    </row>
    <row r="5338" spans="1:10" ht="16.5" customHeight="1" x14ac:dyDescent="0.25">
      <c r="A5338" s="8" t="s">
        <v>15786</v>
      </c>
      <c r="B5338" s="8" t="s">
        <v>15787</v>
      </c>
      <c r="C5338" s="8" t="s">
        <v>15788</v>
      </c>
      <c r="D5338" s="8" t="s">
        <v>15787</v>
      </c>
      <c r="E5338" s="105">
        <v>0</v>
      </c>
      <c r="F5338" s="106" t="s">
        <v>2018</v>
      </c>
      <c r="G5338" s="8"/>
      <c r="H5338" s="8"/>
      <c r="I5338" s="107">
        <v>0</v>
      </c>
      <c r="J5338" s="8" t="s">
        <v>4823</v>
      </c>
    </row>
    <row r="5339" spans="1:10" ht="16.5" customHeight="1" x14ac:dyDescent="0.25">
      <c r="A5339" s="8" t="s">
        <v>15789</v>
      </c>
      <c r="B5339" s="8" t="s">
        <v>15790</v>
      </c>
      <c r="C5339" s="8" t="s">
        <v>15791</v>
      </c>
      <c r="D5339" s="8" t="s">
        <v>15790</v>
      </c>
      <c r="E5339" s="105">
        <v>0</v>
      </c>
      <c r="F5339" s="106" t="s">
        <v>2018</v>
      </c>
      <c r="G5339" s="8"/>
      <c r="H5339" s="8"/>
      <c r="I5339" s="107">
        <v>0</v>
      </c>
      <c r="J5339" s="8" t="s">
        <v>4823</v>
      </c>
    </row>
    <row r="5340" spans="1:10" ht="16.5" customHeight="1" x14ac:dyDescent="0.25">
      <c r="A5340" s="8" t="s">
        <v>15792</v>
      </c>
      <c r="B5340" s="8" t="s">
        <v>15793</v>
      </c>
      <c r="C5340" s="8" t="s">
        <v>15794</v>
      </c>
      <c r="D5340" s="8" t="s">
        <v>15793</v>
      </c>
      <c r="E5340" s="105">
        <v>0</v>
      </c>
      <c r="F5340" s="106" t="s">
        <v>2018</v>
      </c>
      <c r="G5340" s="8"/>
      <c r="H5340" s="8"/>
      <c r="I5340" s="107">
        <v>0</v>
      </c>
      <c r="J5340" s="8" t="s">
        <v>4823</v>
      </c>
    </row>
    <row r="5341" spans="1:10" ht="16.5" customHeight="1" x14ac:dyDescent="0.25">
      <c r="A5341" s="8" t="s">
        <v>15795</v>
      </c>
      <c r="B5341" s="8" t="s">
        <v>15796</v>
      </c>
      <c r="C5341" s="8" t="s">
        <v>15797</v>
      </c>
      <c r="D5341" s="8" t="s">
        <v>15796</v>
      </c>
      <c r="E5341" s="105">
        <v>0</v>
      </c>
      <c r="F5341" s="106" t="s">
        <v>2018</v>
      </c>
      <c r="G5341" s="8"/>
      <c r="H5341" s="8"/>
      <c r="I5341" s="107">
        <v>0</v>
      </c>
      <c r="J5341" s="8" t="s">
        <v>4823</v>
      </c>
    </row>
    <row r="5342" spans="1:10" ht="16.5" customHeight="1" x14ac:dyDescent="0.25">
      <c r="A5342" s="8" t="s">
        <v>15798</v>
      </c>
      <c r="B5342" s="8" t="s">
        <v>15799</v>
      </c>
      <c r="C5342" s="8" t="s">
        <v>15800</v>
      </c>
      <c r="D5342" s="8" t="s">
        <v>15799</v>
      </c>
      <c r="E5342" s="105">
        <v>0</v>
      </c>
      <c r="F5342" s="106" t="s">
        <v>2018</v>
      </c>
      <c r="G5342" s="8"/>
      <c r="H5342" s="8"/>
      <c r="I5342" s="107">
        <v>0</v>
      </c>
      <c r="J5342" s="8" t="s">
        <v>4823</v>
      </c>
    </row>
    <row r="5343" spans="1:10" ht="16.5" customHeight="1" x14ac:dyDescent="0.25">
      <c r="A5343" s="8" t="s">
        <v>15801</v>
      </c>
      <c r="B5343" s="8" t="s">
        <v>15802</v>
      </c>
      <c r="C5343" s="8" t="s">
        <v>15803</v>
      </c>
      <c r="D5343" s="8" t="s">
        <v>15802</v>
      </c>
      <c r="E5343" s="105">
        <v>3.2</v>
      </c>
      <c r="F5343" s="106" t="s">
        <v>2018</v>
      </c>
      <c r="G5343" s="8"/>
      <c r="H5343" s="8"/>
      <c r="I5343" s="107">
        <v>0</v>
      </c>
      <c r="J5343" s="8" t="s">
        <v>10697</v>
      </c>
    </row>
    <row r="5344" spans="1:10" ht="16.5" customHeight="1" x14ac:dyDescent="0.25">
      <c r="A5344" s="8" t="s">
        <v>1008</v>
      </c>
      <c r="B5344" s="8" t="s">
        <v>1010</v>
      </c>
      <c r="C5344" s="8" t="s">
        <v>1009</v>
      </c>
      <c r="D5344" s="8" t="s">
        <v>1010</v>
      </c>
      <c r="E5344" s="105">
        <v>12.8</v>
      </c>
      <c r="F5344" s="106" t="s">
        <v>2018</v>
      </c>
      <c r="G5344" s="8"/>
      <c r="H5344" s="8" t="s">
        <v>15801</v>
      </c>
      <c r="I5344" s="107">
        <v>4</v>
      </c>
      <c r="J5344" s="8" t="s">
        <v>10697</v>
      </c>
    </row>
    <row r="5345" spans="1:10" ht="16.5" customHeight="1" x14ac:dyDescent="0.25">
      <c r="A5345" s="8" t="s">
        <v>1014</v>
      </c>
      <c r="B5345" s="8" t="s">
        <v>1016</v>
      </c>
      <c r="C5345" s="8" t="s">
        <v>1015</v>
      </c>
      <c r="D5345" s="8" t="s">
        <v>1016</v>
      </c>
      <c r="E5345" s="105">
        <v>14</v>
      </c>
      <c r="F5345" s="106" t="s">
        <v>2018</v>
      </c>
      <c r="G5345" s="8"/>
      <c r="H5345" s="8" t="s">
        <v>12211</v>
      </c>
      <c r="I5345" s="107">
        <v>10</v>
      </c>
      <c r="J5345" s="8" t="s">
        <v>10697</v>
      </c>
    </row>
    <row r="5346" spans="1:10" ht="16.5" customHeight="1" x14ac:dyDescent="0.25">
      <c r="A5346" s="8" t="s">
        <v>15804</v>
      </c>
      <c r="B5346" s="8" t="s">
        <v>15805</v>
      </c>
      <c r="C5346" s="8" t="s">
        <v>15806</v>
      </c>
      <c r="D5346" s="8" t="s">
        <v>15805</v>
      </c>
      <c r="E5346" s="105">
        <v>3.2</v>
      </c>
      <c r="F5346" s="106" t="s">
        <v>2018</v>
      </c>
      <c r="G5346" s="8"/>
      <c r="H5346" s="8"/>
      <c r="I5346" s="107">
        <v>0</v>
      </c>
      <c r="J5346" s="8" t="s">
        <v>10697</v>
      </c>
    </row>
    <row r="5347" spans="1:10" ht="16.5" customHeight="1" x14ac:dyDescent="0.25">
      <c r="A5347" s="8" t="s">
        <v>1272</v>
      </c>
      <c r="B5347" s="8" t="s">
        <v>1274</v>
      </c>
      <c r="C5347" s="8" t="s">
        <v>1273</v>
      </c>
      <c r="D5347" s="8" t="s">
        <v>1274</v>
      </c>
      <c r="E5347" s="105">
        <v>12.8</v>
      </c>
      <c r="F5347" s="106" t="s">
        <v>2018</v>
      </c>
      <c r="G5347" s="8"/>
      <c r="H5347" s="8" t="s">
        <v>15804</v>
      </c>
      <c r="I5347" s="107">
        <v>4</v>
      </c>
      <c r="J5347" s="8" t="s">
        <v>10697</v>
      </c>
    </row>
    <row r="5348" spans="1:10" ht="16.5" customHeight="1" x14ac:dyDescent="0.25">
      <c r="A5348" s="8" t="s">
        <v>15807</v>
      </c>
      <c r="B5348" s="8" t="s">
        <v>1655</v>
      </c>
      <c r="C5348" s="8" t="s">
        <v>1654</v>
      </c>
      <c r="D5348" s="8" t="s">
        <v>1655</v>
      </c>
      <c r="E5348" s="105">
        <v>13.458</v>
      </c>
      <c r="F5348" s="106" t="s">
        <v>2018</v>
      </c>
      <c r="G5348" s="8"/>
      <c r="H5348" s="8"/>
      <c r="I5348" s="107">
        <v>0</v>
      </c>
      <c r="J5348" s="8" t="s">
        <v>5929</v>
      </c>
    </row>
    <row r="5349" spans="1:10" ht="16.5" customHeight="1" x14ac:dyDescent="0.25">
      <c r="A5349" s="8" t="s">
        <v>15808</v>
      </c>
      <c r="B5349" s="8" t="s">
        <v>15296</v>
      </c>
      <c r="C5349" s="8" t="s">
        <v>14009</v>
      </c>
      <c r="D5349" s="8" t="s">
        <v>15296</v>
      </c>
      <c r="E5349" s="105">
        <v>0.56100000000000005</v>
      </c>
      <c r="F5349" s="106" t="s">
        <v>2018</v>
      </c>
      <c r="G5349" s="8"/>
      <c r="H5349" s="8"/>
      <c r="I5349" s="107">
        <v>0</v>
      </c>
      <c r="J5349" s="8" t="s">
        <v>5929</v>
      </c>
    </row>
    <row r="5350" spans="1:10" ht="16.5" customHeight="1" x14ac:dyDescent="0.25">
      <c r="A5350" s="8" t="s">
        <v>15809</v>
      </c>
      <c r="B5350" s="8" t="s">
        <v>1628</v>
      </c>
      <c r="C5350" s="8" t="s">
        <v>1627</v>
      </c>
      <c r="D5350" s="8" t="s">
        <v>1628</v>
      </c>
      <c r="E5350" s="105">
        <v>12</v>
      </c>
      <c r="F5350" s="106" t="s">
        <v>2018</v>
      </c>
      <c r="G5350" s="8"/>
      <c r="H5350" s="8"/>
      <c r="I5350" s="107">
        <v>0</v>
      </c>
      <c r="J5350" s="8" t="s">
        <v>4789</v>
      </c>
    </row>
    <row r="5351" spans="1:10" ht="16.5" customHeight="1" x14ac:dyDescent="0.25">
      <c r="A5351" s="8" t="s">
        <v>15810</v>
      </c>
      <c r="B5351" s="8" t="s">
        <v>15298</v>
      </c>
      <c r="C5351" s="8" t="s">
        <v>14059</v>
      </c>
      <c r="D5351" s="8" t="s">
        <v>15298</v>
      </c>
      <c r="E5351" s="105">
        <v>0.4</v>
      </c>
      <c r="F5351" s="106" t="s">
        <v>2018</v>
      </c>
      <c r="G5351" s="8"/>
      <c r="H5351" s="8"/>
      <c r="I5351" s="107">
        <v>0</v>
      </c>
      <c r="J5351" s="8" t="s">
        <v>4789</v>
      </c>
    </row>
    <row r="5352" spans="1:10" ht="16.5" customHeight="1" x14ac:dyDescent="0.25">
      <c r="A5352" s="8" t="s">
        <v>15811</v>
      </c>
      <c r="B5352" s="8" t="s">
        <v>13861</v>
      </c>
      <c r="C5352" s="8" t="s">
        <v>13620</v>
      </c>
      <c r="D5352" s="8" t="s">
        <v>13861</v>
      </c>
      <c r="E5352" s="105">
        <v>0.5</v>
      </c>
      <c r="F5352" s="106" t="s">
        <v>2018</v>
      </c>
      <c r="G5352" s="8"/>
      <c r="H5352" s="8"/>
      <c r="I5352" s="107">
        <v>0</v>
      </c>
      <c r="J5352" s="8" t="s">
        <v>5779</v>
      </c>
    </row>
    <row r="5353" spans="1:10" ht="16.5" customHeight="1" x14ac:dyDescent="0.25">
      <c r="A5353" s="8" t="s">
        <v>15812</v>
      </c>
      <c r="B5353" s="8" t="s">
        <v>1423</v>
      </c>
      <c r="C5353" s="8" t="s">
        <v>1422</v>
      </c>
      <c r="D5353" s="8" t="s">
        <v>1423</v>
      </c>
      <c r="E5353" s="105">
        <v>4.8</v>
      </c>
      <c r="F5353" s="106" t="s">
        <v>2018</v>
      </c>
      <c r="G5353" s="8"/>
      <c r="H5353" s="8"/>
      <c r="I5353" s="107">
        <v>0</v>
      </c>
      <c r="J5353" s="8" t="s">
        <v>5779</v>
      </c>
    </row>
    <row r="5354" spans="1:10" ht="16.5" customHeight="1" x14ac:dyDescent="0.25">
      <c r="A5354" s="8" t="s">
        <v>15813</v>
      </c>
      <c r="B5354" s="8" t="s">
        <v>13951</v>
      </c>
      <c r="C5354" s="8" t="s">
        <v>5817</v>
      </c>
      <c r="D5354" s="8" t="s">
        <v>13951</v>
      </c>
      <c r="E5354" s="105">
        <v>0.2</v>
      </c>
      <c r="F5354" s="106" t="s">
        <v>2018</v>
      </c>
      <c r="G5354" s="8"/>
      <c r="H5354" s="8"/>
      <c r="I5354" s="107">
        <v>0</v>
      </c>
      <c r="J5354" s="8" t="s">
        <v>5779</v>
      </c>
    </row>
    <row r="5355" spans="1:10" ht="16.5" customHeight="1" x14ac:dyDescent="0.25">
      <c r="A5355" s="8" t="s">
        <v>15814</v>
      </c>
      <c r="B5355" s="8" t="s">
        <v>10737</v>
      </c>
      <c r="C5355" s="8" t="s">
        <v>10738</v>
      </c>
      <c r="D5355" s="8" t="s">
        <v>10737</v>
      </c>
      <c r="E5355" s="105">
        <v>12</v>
      </c>
      <c r="F5355" s="106" t="s">
        <v>2018</v>
      </c>
      <c r="G5355" s="8"/>
      <c r="H5355" s="8"/>
      <c r="I5355" s="107">
        <v>0</v>
      </c>
      <c r="J5355" s="8" t="s">
        <v>6357</v>
      </c>
    </row>
    <row r="5356" spans="1:10" ht="16.5" customHeight="1" x14ac:dyDescent="0.25">
      <c r="A5356" s="8" t="s">
        <v>15815</v>
      </c>
      <c r="B5356" s="8" t="s">
        <v>10735</v>
      </c>
      <c r="C5356" s="8" t="s">
        <v>10736</v>
      </c>
      <c r="D5356" s="8" t="s">
        <v>10735</v>
      </c>
      <c r="E5356" s="105">
        <v>0.75</v>
      </c>
      <c r="F5356" s="106" t="s">
        <v>2018</v>
      </c>
      <c r="G5356" s="8"/>
      <c r="H5356" s="8"/>
      <c r="I5356" s="107">
        <v>0</v>
      </c>
      <c r="J5356" s="8" t="s">
        <v>6357</v>
      </c>
    </row>
    <row r="5357" spans="1:10" ht="16.5" customHeight="1" x14ac:dyDescent="0.25">
      <c r="A5357" s="8" t="s">
        <v>15816</v>
      </c>
      <c r="B5357" s="8" t="s">
        <v>1057</v>
      </c>
      <c r="C5357" s="8" t="s">
        <v>1056</v>
      </c>
      <c r="D5357" s="8" t="s">
        <v>1057</v>
      </c>
      <c r="E5357" s="105">
        <v>11.2</v>
      </c>
      <c r="F5357" s="106" t="s">
        <v>2018</v>
      </c>
      <c r="G5357" s="8"/>
      <c r="H5357" s="8"/>
      <c r="I5357" s="107">
        <v>0</v>
      </c>
      <c r="J5357" s="8" t="s">
        <v>6357</v>
      </c>
    </row>
    <row r="5358" spans="1:10" ht="16.5" customHeight="1" x14ac:dyDescent="0.25">
      <c r="A5358" s="8" t="s">
        <v>12964</v>
      </c>
      <c r="B5358" s="8" t="s">
        <v>15817</v>
      </c>
      <c r="C5358" s="8" t="s">
        <v>10956</v>
      </c>
      <c r="D5358" s="8" t="s">
        <v>15817</v>
      </c>
      <c r="E5358" s="105">
        <v>5</v>
      </c>
      <c r="F5358" s="106" t="s">
        <v>2018</v>
      </c>
      <c r="G5358" s="8"/>
      <c r="H5358" s="8"/>
      <c r="I5358" s="107">
        <v>0</v>
      </c>
      <c r="J5358" s="8" t="s">
        <v>3580</v>
      </c>
    </row>
    <row r="5359" spans="1:10" ht="16.5" customHeight="1" x14ac:dyDescent="0.25">
      <c r="A5359" s="8" t="s">
        <v>1403</v>
      </c>
      <c r="B5359" s="8" t="s">
        <v>1405</v>
      </c>
      <c r="C5359" s="8" t="s">
        <v>1404</v>
      </c>
      <c r="D5359" s="8" t="s">
        <v>1405</v>
      </c>
      <c r="E5359" s="105">
        <v>200</v>
      </c>
      <c r="F5359" s="106" t="s">
        <v>2018</v>
      </c>
      <c r="G5359" s="8"/>
      <c r="H5359" s="8"/>
      <c r="I5359" s="107">
        <v>0</v>
      </c>
      <c r="J5359" s="8" t="s">
        <v>12551</v>
      </c>
    </row>
    <row r="5360" spans="1:10" ht="16.5" customHeight="1" x14ac:dyDescent="0.25">
      <c r="A5360" s="8" t="s">
        <v>15818</v>
      </c>
      <c r="B5360" s="8" t="s">
        <v>15819</v>
      </c>
      <c r="C5360" s="8" t="s">
        <v>15820</v>
      </c>
      <c r="D5360" s="8" t="s">
        <v>15819</v>
      </c>
      <c r="E5360" s="105">
        <v>1</v>
      </c>
      <c r="F5360" s="106" t="s">
        <v>2018</v>
      </c>
      <c r="G5360" s="8" t="s">
        <v>1417</v>
      </c>
      <c r="H5360" s="8"/>
      <c r="I5360" s="107">
        <v>0</v>
      </c>
      <c r="J5360" s="8" t="s">
        <v>5671</v>
      </c>
    </row>
    <row r="5361" spans="1:10" ht="16.5" customHeight="1" x14ac:dyDescent="0.25">
      <c r="A5361" s="8" t="s">
        <v>15821</v>
      </c>
      <c r="B5361" s="8" t="s">
        <v>15822</v>
      </c>
      <c r="C5361" s="8" t="s">
        <v>15823</v>
      </c>
      <c r="D5361" s="8" t="s">
        <v>15822</v>
      </c>
      <c r="E5361" s="105">
        <v>10</v>
      </c>
      <c r="F5361" s="106" t="s">
        <v>2018</v>
      </c>
      <c r="G5361" s="8" t="s">
        <v>1417</v>
      </c>
      <c r="H5361" s="8" t="s">
        <v>15818</v>
      </c>
      <c r="I5361" s="107">
        <v>10</v>
      </c>
      <c r="J5361" s="8" t="s">
        <v>5671</v>
      </c>
    </row>
    <row r="5362" spans="1:10" ht="16.5" customHeight="1" x14ac:dyDescent="0.25">
      <c r="A5362" s="8" t="s">
        <v>15824</v>
      </c>
      <c r="B5362" s="8" t="s">
        <v>15825</v>
      </c>
      <c r="C5362" s="8" t="s">
        <v>15826</v>
      </c>
      <c r="D5362" s="8" t="s">
        <v>15825</v>
      </c>
      <c r="E5362" s="105">
        <v>6.5000000000000002E-2</v>
      </c>
      <c r="F5362" s="106" t="s">
        <v>2018</v>
      </c>
      <c r="G5362" s="8" t="s">
        <v>1417</v>
      </c>
      <c r="H5362" s="8"/>
      <c r="I5362" s="107">
        <v>0</v>
      </c>
      <c r="J5362" s="8" t="s">
        <v>5671</v>
      </c>
    </row>
    <row r="5363" spans="1:10" ht="16.5" customHeight="1" x14ac:dyDescent="0.25">
      <c r="A5363" s="8" t="s">
        <v>15827</v>
      </c>
      <c r="B5363" s="8" t="s">
        <v>15828</v>
      </c>
      <c r="C5363" s="8" t="s">
        <v>15829</v>
      </c>
      <c r="D5363" s="8" t="s">
        <v>15828</v>
      </c>
      <c r="E5363" s="105">
        <v>1.95</v>
      </c>
      <c r="F5363" s="106" t="s">
        <v>2018</v>
      </c>
      <c r="G5363" s="8" t="s">
        <v>1417</v>
      </c>
      <c r="H5363" s="8" t="s">
        <v>15824</v>
      </c>
      <c r="I5363" s="107">
        <v>30</v>
      </c>
      <c r="J5363" s="8" t="s">
        <v>5671</v>
      </c>
    </row>
    <row r="5364" spans="1:10" ht="16.5" customHeight="1" x14ac:dyDescent="0.25">
      <c r="A5364" s="8" t="s">
        <v>15830</v>
      </c>
      <c r="B5364" s="8" t="s">
        <v>15831</v>
      </c>
      <c r="C5364" s="8" t="s">
        <v>15609</v>
      </c>
      <c r="D5364" s="8" t="s">
        <v>15831</v>
      </c>
      <c r="E5364" s="105">
        <v>0</v>
      </c>
      <c r="F5364" s="106" t="s">
        <v>2018</v>
      </c>
      <c r="G5364" s="8"/>
      <c r="H5364" s="8"/>
      <c r="I5364" s="107">
        <v>0</v>
      </c>
      <c r="J5364" s="8" t="s">
        <v>4789</v>
      </c>
    </row>
    <row r="5365" spans="1:10" ht="16.5" customHeight="1" x14ac:dyDescent="0.25">
      <c r="A5365" s="8" t="s">
        <v>15832</v>
      </c>
      <c r="B5365" s="8" t="s">
        <v>15833</v>
      </c>
      <c r="C5365" s="8" t="s">
        <v>15694</v>
      </c>
      <c r="D5365" s="8" t="s">
        <v>15833</v>
      </c>
      <c r="E5365" s="105">
        <v>0</v>
      </c>
      <c r="F5365" s="106" t="s">
        <v>2018</v>
      </c>
      <c r="G5365" s="8"/>
      <c r="H5365" s="8"/>
      <c r="I5365" s="107">
        <v>0</v>
      </c>
      <c r="J5365" s="8" t="s">
        <v>4789</v>
      </c>
    </row>
    <row r="5366" spans="1:10" ht="16.5" customHeight="1" x14ac:dyDescent="0.25">
      <c r="A5366" s="8" t="s">
        <v>15834</v>
      </c>
      <c r="B5366" s="8" t="s">
        <v>15835</v>
      </c>
      <c r="C5366" s="8" t="s">
        <v>984</v>
      </c>
      <c r="D5366" s="8" t="s">
        <v>15835</v>
      </c>
      <c r="E5366" s="105">
        <v>0.08</v>
      </c>
      <c r="F5366" s="106" t="s">
        <v>2018</v>
      </c>
      <c r="G5366" s="8"/>
      <c r="H5366" s="8"/>
      <c r="I5366" s="107">
        <v>0</v>
      </c>
      <c r="J5366" s="8" t="s">
        <v>2019</v>
      </c>
    </row>
    <row r="5367" spans="1:10" ht="16.5" customHeight="1" x14ac:dyDescent="0.25">
      <c r="A5367" s="8" t="s">
        <v>983</v>
      </c>
      <c r="B5367" s="8" t="s">
        <v>985</v>
      </c>
      <c r="C5367" s="8" t="s">
        <v>984</v>
      </c>
      <c r="D5367" s="8" t="s">
        <v>985</v>
      </c>
      <c r="E5367" s="105">
        <v>4.8</v>
      </c>
      <c r="F5367" s="106" t="s">
        <v>2018</v>
      </c>
      <c r="G5367" s="8"/>
      <c r="H5367" s="8" t="s">
        <v>15834</v>
      </c>
      <c r="I5367" s="107">
        <v>60</v>
      </c>
      <c r="J5367" s="8" t="s">
        <v>2019</v>
      </c>
    </row>
    <row r="5368" spans="1:10" ht="16.5" customHeight="1" x14ac:dyDescent="0.25">
      <c r="A5368" s="8" t="s">
        <v>15836</v>
      </c>
      <c r="B5368" s="8" t="s">
        <v>15837</v>
      </c>
      <c r="C5368" s="8" t="s">
        <v>981</v>
      </c>
      <c r="D5368" s="8" t="s">
        <v>15837</v>
      </c>
      <c r="E5368" s="105">
        <v>0.2</v>
      </c>
      <c r="F5368" s="106" t="s">
        <v>2018</v>
      </c>
      <c r="G5368" s="8"/>
      <c r="H5368" s="8"/>
      <c r="I5368" s="107">
        <v>0</v>
      </c>
      <c r="J5368" s="8" t="s">
        <v>2019</v>
      </c>
    </row>
    <row r="5369" spans="1:10" ht="16.5" customHeight="1" x14ac:dyDescent="0.25">
      <c r="A5369" s="8" t="s">
        <v>980</v>
      </c>
      <c r="B5369" s="8" t="s">
        <v>982</v>
      </c>
      <c r="C5369" s="8" t="s">
        <v>981</v>
      </c>
      <c r="D5369" s="8" t="s">
        <v>982</v>
      </c>
      <c r="E5369" s="105">
        <v>7.2</v>
      </c>
      <c r="F5369" s="106" t="s">
        <v>2018</v>
      </c>
      <c r="G5369" s="8"/>
      <c r="H5369" s="8" t="s">
        <v>15836</v>
      </c>
      <c r="I5369" s="107">
        <v>36</v>
      </c>
      <c r="J5369" s="8" t="s">
        <v>2019</v>
      </c>
    </row>
    <row r="5370" spans="1:10" ht="16.5" customHeight="1" x14ac:dyDescent="0.25">
      <c r="A5370" s="8" t="s">
        <v>15838</v>
      </c>
      <c r="B5370" s="8" t="s">
        <v>15839</v>
      </c>
      <c r="C5370" s="8" t="s">
        <v>944</v>
      </c>
      <c r="D5370" s="8" t="s">
        <v>15839</v>
      </c>
      <c r="E5370" s="105">
        <v>0.8</v>
      </c>
      <c r="F5370" s="106" t="s">
        <v>2018</v>
      </c>
      <c r="G5370" s="8"/>
      <c r="H5370" s="8"/>
      <c r="I5370" s="107">
        <v>0</v>
      </c>
      <c r="J5370" s="8" t="s">
        <v>2019</v>
      </c>
    </row>
    <row r="5371" spans="1:10" ht="16.5" customHeight="1" x14ac:dyDescent="0.25">
      <c r="A5371" s="8" t="s">
        <v>943</v>
      </c>
      <c r="B5371" s="8" t="s">
        <v>945</v>
      </c>
      <c r="C5371" s="8" t="s">
        <v>944</v>
      </c>
      <c r="D5371" s="8" t="s">
        <v>945</v>
      </c>
      <c r="E5371" s="105">
        <v>9.6</v>
      </c>
      <c r="F5371" s="106" t="s">
        <v>2018</v>
      </c>
      <c r="G5371" s="8"/>
      <c r="H5371" s="8" t="s">
        <v>15838</v>
      </c>
      <c r="I5371" s="107">
        <v>12</v>
      </c>
      <c r="J5371" s="8" t="s">
        <v>2019</v>
      </c>
    </row>
    <row r="5372" spans="1:10" ht="16.5" customHeight="1" x14ac:dyDescent="0.25">
      <c r="A5372" s="8" t="s">
        <v>15840</v>
      </c>
      <c r="B5372" s="8" t="s">
        <v>15841</v>
      </c>
      <c r="C5372" s="8" t="s">
        <v>15842</v>
      </c>
      <c r="D5372" s="8" t="s">
        <v>15843</v>
      </c>
      <c r="E5372" s="105">
        <v>0</v>
      </c>
      <c r="F5372" s="106" t="s">
        <v>2018</v>
      </c>
      <c r="G5372" s="8"/>
      <c r="H5372" s="8"/>
      <c r="I5372" s="107">
        <v>0</v>
      </c>
      <c r="J5372" s="8" t="s">
        <v>4823</v>
      </c>
    </row>
    <row r="5373" spans="1:10" ht="16.5" customHeight="1" x14ac:dyDescent="0.25">
      <c r="A5373" s="8" t="s">
        <v>15844</v>
      </c>
      <c r="B5373" s="8" t="s">
        <v>15845</v>
      </c>
      <c r="C5373" s="8" t="s">
        <v>15846</v>
      </c>
      <c r="D5373" s="8" t="s">
        <v>15847</v>
      </c>
      <c r="E5373" s="105">
        <v>0</v>
      </c>
      <c r="F5373" s="106" t="s">
        <v>2018</v>
      </c>
      <c r="G5373" s="8"/>
      <c r="H5373" s="8"/>
      <c r="I5373" s="107">
        <v>0</v>
      </c>
      <c r="J5373" s="8" t="s">
        <v>4823</v>
      </c>
    </row>
    <row r="5374" spans="1:10" ht="16.5" customHeight="1" x14ac:dyDescent="0.25">
      <c r="A5374" s="8" t="s">
        <v>15848</v>
      </c>
      <c r="B5374" s="8" t="s">
        <v>15849</v>
      </c>
      <c r="C5374" s="8" t="s">
        <v>15850</v>
      </c>
      <c r="D5374" s="8" t="s">
        <v>15847</v>
      </c>
      <c r="E5374" s="105">
        <v>0</v>
      </c>
      <c r="F5374" s="106" t="s">
        <v>2018</v>
      </c>
      <c r="G5374" s="8"/>
      <c r="H5374" s="8"/>
      <c r="I5374" s="107">
        <v>0</v>
      </c>
      <c r="J5374" s="8" t="s">
        <v>4823</v>
      </c>
    </row>
    <row r="5375" spans="1:10" ht="16.5" customHeight="1" x14ac:dyDescent="0.25">
      <c r="A5375" s="8" t="s">
        <v>15851</v>
      </c>
      <c r="B5375" s="8" t="s">
        <v>15852</v>
      </c>
      <c r="C5375" s="8" t="s">
        <v>15853</v>
      </c>
      <c r="D5375" s="8" t="s">
        <v>15843</v>
      </c>
      <c r="E5375" s="105">
        <v>0</v>
      </c>
      <c r="F5375" s="106" t="s">
        <v>2018</v>
      </c>
      <c r="G5375" s="8"/>
      <c r="H5375" s="8"/>
      <c r="I5375" s="107">
        <v>0</v>
      </c>
      <c r="J5375" s="8" t="s">
        <v>4823</v>
      </c>
    </row>
    <row r="5376" spans="1:10" ht="16.5" customHeight="1" x14ac:dyDescent="0.25">
      <c r="A5376" s="8" t="s">
        <v>15854</v>
      </c>
      <c r="B5376" s="8" t="s">
        <v>15855</v>
      </c>
      <c r="C5376" s="8" t="s">
        <v>15856</v>
      </c>
      <c r="D5376" s="8" t="s">
        <v>15857</v>
      </c>
      <c r="E5376" s="105">
        <v>0</v>
      </c>
      <c r="F5376" s="106" t="s">
        <v>2018</v>
      </c>
      <c r="G5376" s="8"/>
      <c r="H5376" s="8"/>
      <c r="I5376" s="107">
        <v>0</v>
      </c>
      <c r="J5376" s="8" t="s">
        <v>4823</v>
      </c>
    </row>
    <row r="5377" spans="1:10" ht="16.5" customHeight="1" x14ac:dyDescent="0.25">
      <c r="A5377" s="8" t="s">
        <v>15858</v>
      </c>
      <c r="B5377" s="8" t="s">
        <v>15859</v>
      </c>
      <c r="C5377" s="8" t="s">
        <v>15860</v>
      </c>
      <c r="D5377" s="8" t="s">
        <v>15861</v>
      </c>
      <c r="E5377" s="105">
        <v>0</v>
      </c>
      <c r="F5377" s="106" t="s">
        <v>2018</v>
      </c>
      <c r="G5377" s="8"/>
      <c r="H5377" s="8"/>
      <c r="I5377" s="107">
        <v>0</v>
      </c>
      <c r="J5377" s="8" t="s">
        <v>4823</v>
      </c>
    </row>
    <row r="5378" spans="1:10" ht="16.5" customHeight="1" x14ac:dyDescent="0.25">
      <c r="A5378" s="8" t="s">
        <v>15862</v>
      </c>
      <c r="B5378" s="8" t="s">
        <v>15863</v>
      </c>
      <c r="C5378" s="8" t="s">
        <v>15864</v>
      </c>
      <c r="D5378" s="8" t="s">
        <v>15863</v>
      </c>
      <c r="E5378" s="105">
        <v>1</v>
      </c>
      <c r="F5378" s="106" t="s">
        <v>2018</v>
      </c>
      <c r="G5378" s="8"/>
      <c r="H5378" s="8"/>
      <c r="I5378" s="107">
        <v>0</v>
      </c>
      <c r="J5378" s="8" t="s">
        <v>7329</v>
      </c>
    </row>
    <row r="5379" spans="1:10" ht="16.5" customHeight="1" x14ac:dyDescent="0.25">
      <c r="A5379" s="8" t="s">
        <v>1789</v>
      </c>
      <c r="B5379" s="8" t="s">
        <v>1791</v>
      </c>
      <c r="C5379" s="8" t="s">
        <v>1790</v>
      </c>
      <c r="D5379" s="8" t="s">
        <v>1791</v>
      </c>
      <c r="E5379" s="105">
        <v>10</v>
      </c>
      <c r="F5379" s="106" t="s">
        <v>2018</v>
      </c>
      <c r="G5379" s="8"/>
      <c r="H5379" s="8" t="s">
        <v>15862</v>
      </c>
      <c r="I5379" s="107">
        <v>10</v>
      </c>
      <c r="J5379" s="8" t="s">
        <v>7329</v>
      </c>
    </row>
    <row r="5380" spans="1:10" ht="16.5" customHeight="1" x14ac:dyDescent="0.25">
      <c r="A5380" s="8" t="s">
        <v>15865</v>
      </c>
      <c r="B5380" s="8" t="s">
        <v>15866</v>
      </c>
      <c r="C5380" s="8" t="s">
        <v>15867</v>
      </c>
      <c r="D5380" s="8" t="s">
        <v>15866</v>
      </c>
      <c r="E5380" s="105">
        <v>1</v>
      </c>
      <c r="F5380" s="106" t="s">
        <v>2018</v>
      </c>
      <c r="G5380" s="8"/>
      <c r="H5380" s="8"/>
      <c r="I5380" s="107">
        <v>0</v>
      </c>
      <c r="J5380" s="8" t="s">
        <v>7329</v>
      </c>
    </row>
    <row r="5381" spans="1:10" ht="16.5" customHeight="1" x14ac:dyDescent="0.25">
      <c r="A5381" s="8" t="s">
        <v>15868</v>
      </c>
      <c r="B5381" s="8" t="s">
        <v>15869</v>
      </c>
      <c r="C5381" s="8" t="s">
        <v>15870</v>
      </c>
      <c r="D5381" s="8" t="s">
        <v>15869</v>
      </c>
      <c r="E5381" s="105">
        <v>10</v>
      </c>
      <c r="F5381" s="106" t="s">
        <v>2018</v>
      </c>
      <c r="G5381" s="8"/>
      <c r="H5381" s="8" t="s">
        <v>15865</v>
      </c>
      <c r="I5381" s="107">
        <v>10</v>
      </c>
      <c r="J5381" s="8" t="s">
        <v>7329</v>
      </c>
    </row>
    <row r="5382" spans="1:10" ht="16.5" customHeight="1" x14ac:dyDescent="0.25">
      <c r="A5382" s="8" t="s">
        <v>15871</v>
      </c>
      <c r="B5382" s="8" t="s">
        <v>15872</v>
      </c>
      <c r="C5382" s="8" t="s">
        <v>15873</v>
      </c>
      <c r="D5382" s="8" t="s">
        <v>15872</v>
      </c>
      <c r="E5382" s="105">
        <v>1</v>
      </c>
      <c r="F5382" s="106" t="s">
        <v>2018</v>
      </c>
      <c r="G5382" s="8"/>
      <c r="H5382" s="8"/>
      <c r="I5382" s="107">
        <v>0</v>
      </c>
      <c r="J5382" s="8" t="s">
        <v>7329</v>
      </c>
    </row>
    <row r="5383" spans="1:10" ht="16.5" customHeight="1" x14ac:dyDescent="0.25">
      <c r="A5383" s="8" t="s">
        <v>1786</v>
      </c>
      <c r="B5383" s="8" t="s">
        <v>1788</v>
      </c>
      <c r="C5383" s="8" t="s">
        <v>1787</v>
      </c>
      <c r="D5383" s="8" t="s">
        <v>1788</v>
      </c>
      <c r="E5383" s="105">
        <v>10</v>
      </c>
      <c r="F5383" s="106" t="s">
        <v>2018</v>
      </c>
      <c r="G5383" s="8"/>
      <c r="H5383" s="8" t="s">
        <v>15871</v>
      </c>
      <c r="I5383" s="107">
        <v>10</v>
      </c>
      <c r="J5383" s="8" t="s">
        <v>7329</v>
      </c>
    </row>
    <row r="5384" spans="1:10" ht="16.5" customHeight="1" x14ac:dyDescent="0.25">
      <c r="A5384" s="8" t="s">
        <v>15874</v>
      </c>
      <c r="B5384" s="8" t="s">
        <v>15875</v>
      </c>
      <c r="C5384" s="8" t="s">
        <v>15876</v>
      </c>
      <c r="D5384" s="8" t="s">
        <v>15875</v>
      </c>
      <c r="E5384" s="105">
        <v>0</v>
      </c>
      <c r="F5384" s="106" t="s">
        <v>2018</v>
      </c>
      <c r="G5384" s="8"/>
      <c r="H5384" s="8"/>
      <c r="I5384" s="107">
        <v>0</v>
      </c>
      <c r="J5384" s="8" t="s">
        <v>4789</v>
      </c>
    </row>
    <row r="5385" spans="1:10" ht="16.5" customHeight="1" x14ac:dyDescent="0.25">
      <c r="A5385" s="8" t="s">
        <v>15877</v>
      </c>
      <c r="B5385" s="8" t="s">
        <v>15878</v>
      </c>
      <c r="C5385" s="8" t="s">
        <v>15879</v>
      </c>
      <c r="D5385" s="8" t="s">
        <v>15878</v>
      </c>
      <c r="E5385" s="105">
        <v>1</v>
      </c>
      <c r="F5385" s="106" t="s">
        <v>2018</v>
      </c>
      <c r="G5385" s="8"/>
      <c r="H5385" s="8"/>
      <c r="I5385" s="107">
        <v>0</v>
      </c>
      <c r="J5385" s="8" t="s">
        <v>2019</v>
      </c>
    </row>
    <row r="5386" spans="1:10" ht="16.5" customHeight="1" x14ac:dyDescent="0.25">
      <c r="A5386" s="8" t="s">
        <v>15880</v>
      </c>
      <c r="B5386" s="8" t="s">
        <v>15881</v>
      </c>
      <c r="C5386" s="8" t="s">
        <v>15882</v>
      </c>
      <c r="D5386" s="8" t="s">
        <v>15881</v>
      </c>
      <c r="E5386" s="105">
        <v>1</v>
      </c>
      <c r="F5386" s="106" t="s">
        <v>2018</v>
      </c>
      <c r="G5386" s="8" t="s">
        <v>1723</v>
      </c>
      <c r="H5386" s="8"/>
      <c r="I5386" s="107">
        <v>0</v>
      </c>
      <c r="J5386" s="8" t="s">
        <v>3580</v>
      </c>
    </row>
    <row r="5387" spans="1:10" ht="16.5" customHeight="1" x14ac:dyDescent="0.25">
      <c r="A5387" s="8" t="s">
        <v>15883</v>
      </c>
      <c r="B5387" s="8" t="s">
        <v>15884</v>
      </c>
      <c r="C5387" s="8" t="s">
        <v>15885</v>
      </c>
      <c r="D5387" s="8" t="s">
        <v>15884</v>
      </c>
      <c r="E5387" s="105">
        <v>10</v>
      </c>
      <c r="F5387" s="106" t="s">
        <v>2018</v>
      </c>
      <c r="G5387" s="8" t="s">
        <v>1723</v>
      </c>
      <c r="H5387" s="8" t="s">
        <v>15880</v>
      </c>
      <c r="I5387" s="107">
        <v>10</v>
      </c>
      <c r="J5387" s="8" t="s">
        <v>3580</v>
      </c>
    </row>
    <row r="5388" spans="1:10" ht="16.5" customHeight="1" x14ac:dyDescent="0.25">
      <c r="A5388" s="8" t="s">
        <v>15886</v>
      </c>
      <c r="B5388" s="8" t="s">
        <v>15887</v>
      </c>
      <c r="C5388" s="8" t="s">
        <v>15888</v>
      </c>
      <c r="D5388" s="8" t="s">
        <v>15887</v>
      </c>
      <c r="E5388" s="105">
        <v>0.5</v>
      </c>
      <c r="F5388" s="106" t="s">
        <v>2018</v>
      </c>
      <c r="G5388" s="8" t="s">
        <v>1723</v>
      </c>
      <c r="H5388" s="8"/>
      <c r="I5388" s="107">
        <v>0</v>
      </c>
      <c r="J5388" s="8" t="s">
        <v>3580</v>
      </c>
    </row>
    <row r="5389" spans="1:10" ht="16.5" customHeight="1" x14ac:dyDescent="0.25">
      <c r="A5389" s="8" t="s">
        <v>1745</v>
      </c>
      <c r="B5389" s="8" t="s">
        <v>1747</v>
      </c>
      <c r="C5389" s="8" t="s">
        <v>1746</v>
      </c>
      <c r="D5389" s="8" t="s">
        <v>1747</v>
      </c>
      <c r="E5389" s="105">
        <v>10</v>
      </c>
      <c r="F5389" s="106" t="s">
        <v>2018</v>
      </c>
      <c r="G5389" s="8" t="s">
        <v>1723</v>
      </c>
      <c r="H5389" s="8" t="s">
        <v>15886</v>
      </c>
      <c r="I5389" s="107">
        <v>20</v>
      </c>
      <c r="J5389" s="8" t="s">
        <v>3580</v>
      </c>
    </row>
    <row r="5390" spans="1:10" ht="16.5" customHeight="1" x14ac:dyDescent="0.25">
      <c r="A5390" s="8" t="s">
        <v>15889</v>
      </c>
      <c r="B5390" s="8" t="s">
        <v>15890</v>
      </c>
      <c r="C5390" s="8" t="s">
        <v>15891</v>
      </c>
      <c r="D5390" s="8" t="s">
        <v>15892</v>
      </c>
      <c r="E5390" s="105">
        <v>0</v>
      </c>
      <c r="F5390" s="106" t="s">
        <v>2018</v>
      </c>
      <c r="G5390" s="8"/>
      <c r="H5390" s="8"/>
      <c r="I5390" s="107">
        <v>0</v>
      </c>
      <c r="J5390" s="8" t="s">
        <v>4823</v>
      </c>
    </row>
    <row r="5391" spans="1:10" ht="16.5" customHeight="1" x14ac:dyDescent="0.25">
      <c r="A5391" s="8" t="s">
        <v>15893</v>
      </c>
      <c r="B5391" s="8" t="s">
        <v>15894</v>
      </c>
      <c r="C5391" s="8" t="s">
        <v>15895</v>
      </c>
      <c r="D5391" s="8" t="s">
        <v>15896</v>
      </c>
      <c r="E5391" s="105">
        <v>0</v>
      </c>
      <c r="F5391" s="106" t="s">
        <v>2018</v>
      </c>
      <c r="G5391" s="8"/>
      <c r="H5391" s="8"/>
      <c r="I5391" s="107">
        <v>0</v>
      </c>
      <c r="J5391" s="8" t="s">
        <v>4823</v>
      </c>
    </row>
    <row r="5392" spans="1:10" ht="16.5" customHeight="1" x14ac:dyDescent="0.25">
      <c r="A5392" s="8" t="s">
        <v>15897</v>
      </c>
      <c r="B5392" s="8" t="s">
        <v>13890</v>
      </c>
      <c r="C5392" s="8" t="s">
        <v>6805</v>
      </c>
      <c r="D5392" s="8" t="s">
        <v>13890</v>
      </c>
      <c r="E5392" s="105">
        <v>0.4</v>
      </c>
      <c r="F5392" s="106" t="s">
        <v>2018</v>
      </c>
      <c r="G5392" s="8"/>
      <c r="H5392" s="8"/>
      <c r="I5392" s="107">
        <v>0</v>
      </c>
      <c r="J5392" s="8" t="s">
        <v>5779</v>
      </c>
    </row>
    <row r="5393" spans="1:10" ht="16.5" customHeight="1" x14ac:dyDescent="0.25">
      <c r="A5393" s="8" t="s">
        <v>15898</v>
      </c>
      <c r="B5393" s="8" t="s">
        <v>10872</v>
      </c>
      <c r="C5393" s="8" t="s">
        <v>10873</v>
      </c>
      <c r="D5393" s="8" t="s">
        <v>10872</v>
      </c>
      <c r="E5393" s="105">
        <v>0.96299999999999997</v>
      </c>
      <c r="F5393" s="106" t="s">
        <v>2018</v>
      </c>
      <c r="G5393" s="8"/>
      <c r="H5393" s="8"/>
      <c r="I5393" s="107">
        <v>0</v>
      </c>
      <c r="J5393" s="8" t="s">
        <v>6357</v>
      </c>
    </row>
    <row r="5394" spans="1:10" ht="16.5" customHeight="1" x14ac:dyDescent="0.25">
      <c r="A5394" s="8" t="s">
        <v>15899</v>
      </c>
      <c r="B5394" s="8" t="s">
        <v>11734</v>
      </c>
      <c r="C5394" s="8" t="s">
        <v>11735</v>
      </c>
      <c r="D5394" s="8" t="s">
        <v>11734</v>
      </c>
      <c r="E5394" s="105">
        <v>3.5</v>
      </c>
      <c r="F5394" s="106" t="s">
        <v>2018</v>
      </c>
      <c r="G5394" s="8"/>
      <c r="H5394" s="8"/>
      <c r="I5394" s="107">
        <v>0</v>
      </c>
      <c r="J5394" s="8" t="s">
        <v>6357</v>
      </c>
    </row>
    <row r="5395" spans="1:10" ht="16.5" customHeight="1" x14ac:dyDescent="0.25">
      <c r="A5395" s="8" t="s">
        <v>15900</v>
      </c>
      <c r="B5395" s="8" t="s">
        <v>15901</v>
      </c>
      <c r="C5395" s="8" t="s">
        <v>15902</v>
      </c>
      <c r="D5395" s="8" t="s">
        <v>15903</v>
      </c>
      <c r="E5395" s="105">
        <v>0</v>
      </c>
      <c r="F5395" s="106" t="s">
        <v>2018</v>
      </c>
      <c r="G5395" s="8"/>
      <c r="H5395" s="8"/>
      <c r="I5395" s="107">
        <v>0</v>
      </c>
      <c r="J5395" s="8" t="s">
        <v>3580</v>
      </c>
    </row>
    <row r="5396" spans="1:10" ht="16.5" customHeight="1" x14ac:dyDescent="0.25">
      <c r="A5396" s="8" t="s">
        <v>15904</v>
      </c>
      <c r="B5396" s="8" t="s">
        <v>15905</v>
      </c>
      <c r="C5396" s="8" t="s">
        <v>15906</v>
      </c>
      <c r="D5396" s="8" t="s">
        <v>15905</v>
      </c>
      <c r="E5396" s="105">
        <v>5</v>
      </c>
      <c r="F5396" s="106" t="s">
        <v>2018</v>
      </c>
      <c r="G5396" s="8"/>
      <c r="H5396" s="8"/>
      <c r="I5396" s="107">
        <v>0</v>
      </c>
      <c r="J5396" s="8" t="s">
        <v>3580</v>
      </c>
    </row>
    <row r="5397" spans="1:10" ht="16.5" customHeight="1" x14ac:dyDescent="0.25">
      <c r="A5397" s="8" t="s">
        <v>15907</v>
      </c>
      <c r="B5397" s="8" t="s">
        <v>15908</v>
      </c>
      <c r="C5397" s="8" t="s">
        <v>15909</v>
      </c>
      <c r="D5397" s="8" t="s">
        <v>15910</v>
      </c>
      <c r="E5397" s="105">
        <v>0</v>
      </c>
      <c r="F5397" s="106" t="s">
        <v>2018</v>
      </c>
      <c r="G5397" s="8"/>
      <c r="H5397" s="8"/>
      <c r="I5397" s="107">
        <v>0</v>
      </c>
      <c r="J5397" s="8" t="s">
        <v>3580</v>
      </c>
    </row>
    <row r="5398" spans="1:10" ht="16.5" customHeight="1" x14ac:dyDescent="0.25">
      <c r="A5398" s="8" t="s">
        <v>15911</v>
      </c>
      <c r="B5398" s="8" t="s">
        <v>15912</v>
      </c>
      <c r="C5398" s="8" t="s">
        <v>15913</v>
      </c>
      <c r="D5398" s="8" t="s">
        <v>15912</v>
      </c>
      <c r="E5398" s="105">
        <v>25</v>
      </c>
      <c r="F5398" s="106" t="s">
        <v>2018</v>
      </c>
      <c r="G5398" s="8"/>
      <c r="H5398" s="8"/>
      <c r="I5398" s="107">
        <v>0</v>
      </c>
      <c r="J5398" s="8" t="s">
        <v>3580</v>
      </c>
    </row>
    <row r="5399" spans="1:10" ht="16.5" customHeight="1" x14ac:dyDescent="0.25">
      <c r="A5399" s="8" t="s">
        <v>15914</v>
      </c>
      <c r="B5399" s="8" t="s">
        <v>15915</v>
      </c>
      <c r="C5399" s="8" t="s">
        <v>15916</v>
      </c>
      <c r="D5399" s="8" t="s">
        <v>15915</v>
      </c>
      <c r="E5399" s="105">
        <v>25</v>
      </c>
      <c r="F5399" s="106" t="s">
        <v>2018</v>
      </c>
      <c r="G5399" s="8"/>
      <c r="H5399" s="8"/>
      <c r="I5399" s="107">
        <v>0</v>
      </c>
      <c r="J5399" s="8" t="s">
        <v>3580</v>
      </c>
    </row>
    <row r="5400" spans="1:10" ht="16.5" customHeight="1" x14ac:dyDescent="0.25">
      <c r="A5400" s="8" t="s">
        <v>15917</v>
      </c>
      <c r="B5400" s="8" t="s">
        <v>15918</v>
      </c>
      <c r="C5400" s="8" t="s">
        <v>15919</v>
      </c>
      <c r="D5400" s="8" t="s">
        <v>15918</v>
      </c>
      <c r="E5400" s="105">
        <v>40</v>
      </c>
      <c r="F5400" s="106" t="s">
        <v>2018</v>
      </c>
      <c r="G5400" s="8"/>
      <c r="H5400" s="8"/>
      <c r="I5400" s="107">
        <v>0</v>
      </c>
      <c r="J5400" s="8" t="s">
        <v>3580</v>
      </c>
    </row>
    <row r="5401" spans="1:10" ht="16.5" customHeight="1" x14ac:dyDescent="0.25">
      <c r="A5401" s="8" t="s">
        <v>15920</v>
      </c>
      <c r="B5401" s="8" t="s">
        <v>15921</v>
      </c>
      <c r="C5401" s="8" t="s">
        <v>15922</v>
      </c>
      <c r="D5401" s="8" t="s">
        <v>15921</v>
      </c>
      <c r="E5401" s="105">
        <v>0</v>
      </c>
      <c r="F5401" s="106" t="s">
        <v>2018</v>
      </c>
      <c r="G5401" s="8"/>
      <c r="H5401" s="8"/>
      <c r="I5401" s="107">
        <v>0</v>
      </c>
      <c r="J5401" s="8" t="s">
        <v>4789</v>
      </c>
    </row>
    <row r="5402" spans="1:10" ht="16.5" customHeight="1" x14ac:dyDescent="0.25">
      <c r="A5402" s="8" t="s">
        <v>15923</v>
      </c>
      <c r="B5402" s="8" t="s">
        <v>15657</v>
      </c>
      <c r="C5402" s="8" t="s">
        <v>15658</v>
      </c>
      <c r="D5402" s="8" t="s">
        <v>15657</v>
      </c>
      <c r="E5402" s="105">
        <v>0.32</v>
      </c>
      <c r="F5402" s="106" t="s">
        <v>2018</v>
      </c>
      <c r="G5402" s="8"/>
      <c r="H5402" s="8"/>
      <c r="I5402" s="107">
        <v>0</v>
      </c>
      <c r="J5402" s="8" t="s">
        <v>4789</v>
      </c>
    </row>
    <row r="5403" spans="1:10" ht="16.5" customHeight="1" x14ac:dyDescent="0.25">
      <c r="A5403" s="8" t="s">
        <v>15924</v>
      </c>
      <c r="B5403" s="8" t="s">
        <v>13499</v>
      </c>
      <c r="C5403" s="8" t="s">
        <v>13500</v>
      </c>
      <c r="D5403" s="8" t="s">
        <v>13499</v>
      </c>
      <c r="E5403" s="105">
        <v>3.2</v>
      </c>
      <c r="F5403" s="106" t="s">
        <v>2018</v>
      </c>
      <c r="G5403" s="8"/>
      <c r="H5403" s="8"/>
      <c r="I5403" s="107">
        <v>0</v>
      </c>
      <c r="J5403" s="8" t="s">
        <v>5779</v>
      </c>
    </row>
    <row r="5404" spans="1:10" ht="16.5" customHeight="1" x14ac:dyDescent="0.25">
      <c r="A5404" s="8" t="s">
        <v>15925</v>
      </c>
      <c r="B5404" s="8" t="s">
        <v>15926</v>
      </c>
      <c r="C5404" s="8" t="s">
        <v>15927</v>
      </c>
      <c r="D5404" s="8" t="s">
        <v>15926</v>
      </c>
      <c r="E5404" s="105">
        <v>0</v>
      </c>
      <c r="F5404" s="106" t="s">
        <v>2018</v>
      </c>
      <c r="G5404" s="8"/>
      <c r="H5404" s="8"/>
      <c r="I5404" s="107">
        <v>0</v>
      </c>
      <c r="J5404" s="8" t="s">
        <v>6357</v>
      </c>
    </row>
    <row r="5405" spans="1:10" ht="16.5" customHeight="1" x14ac:dyDescent="0.25">
      <c r="A5405" s="8" t="s">
        <v>15928</v>
      </c>
      <c r="B5405" s="8" t="s">
        <v>15929</v>
      </c>
      <c r="C5405" s="8" t="s">
        <v>15930</v>
      </c>
      <c r="D5405" s="8" t="s">
        <v>15931</v>
      </c>
      <c r="E5405" s="105">
        <v>0</v>
      </c>
      <c r="F5405" s="106" t="s">
        <v>2018</v>
      </c>
      <c r="G5405" s="8"/>
      <c r="H5405" s="8"/>
      <c r="I5405" s="107">
        <v>0</v>
      </c>
      <c r="J5405" s="8" t="s">
        <v>4823</v>
      </c>
    </row>
    <row r="5406" spans="1:10" ht="16.5" customHeight="1" x14ac:dyDescent="0.25">
      <c r="A5406" s="8" t="s">
        <v>15932</v>
      </c>
      <c r="B5406" s="8" t="s">
        <v>15933</v>
      </c>
      <c r="C5406" s="8" t="s">
        <v>15934</v>
      </c>
      <c r="D5406" s="8" t="s">
        <v>15935</v>
      </c>
      <c r="E5406" s="105">
        <v>0</v>
      </c>
      <c r="F5406" s="106" t="s">
        <v>2018</v>
      </c>
      <c r="G5406" s="8"/>
      <c r="H5406" s="8"/>
      <c r="I5406" s="107">
        <v>0</v>
      </c>
      <c r="J5406" s="8" t="s">
        <v>4823</v>
      </c>
    </row>
    <row r="5407" spans="1:10" ht="16.5" customHeight="1" x14ac:dyDescent="0.25">
      <c r="A5407" s="8" t="s">
        <v>15936</v>
      </c>
      <c r="B5407" s="8" t="s">
        <v>15937</v>
      </c>
      <c r="C5407" s="8" t="s">
        <v>15938</v>
      </c>
      <c r="D5407" s="8" t="s">
        <v>15939</v>
      </c>
      <c r="E5407" s="105">
        <v>0</v>
      </c>
      <c r="F5407" s="106" t="s">
        <v>2018</v>
      </c>
      <c r="G5407" s="8"/>
      <c r="H5407" s="8"/>
      <c r="I5407" s="107">
        <v>0</v>
      </c>
      <c r="J5407" s="8" t="s">
        <v>4823</v>
      </c>
    </row>
    <row r="5408" spans="1:10" ht="16.5" customHeight="1" x14ac:dyDescent="0.25">
      <c r="A5408" s="8" t="s">
        <v>15940</v>
      </c>
      <c r="B5408" s="8" t="s">
        <v>15941</v>
      </c>
      <c r="C5408" s="8" t="s">
        <v>15942</v>
      </c>
      <c r="D5408" s="8" t="s">
        <v>15943</v>
      </c>
      <c r="E5408" s="105">
        <v>0</v>
      </c>
      <c r="F5408" s="106" t="s">
        <v>2018</v>
      </c>
      <c r="G5408" s="8"/>
      <c r="H5408" s="8"/>
      <c r="I5408" s="107">
        <v>0</v>
      </c>
      <c r="J5408" s="8" t="s">
        <v>4823</v>
      </c>
    </row>
    <row r="5409" spans="1:10" ht="16.5" customHeight="1" x14ac:dyDescent="0.25">
      <c r="A5409" s="8" t="s">
        <v>15944</v>
      </c>
      <c r="B5409" s="8" t="s">
        <v>15945</v>
      </c>
      <c r="C5409" s="8" t="s">
        <v>15946</v>
      </c>
      <c r="D5409" s="8" t="s">
        <v>15947</v>
      </c>
      <c r="E5409" s="105">
        <v>0</v>
      </c>
      <c r="F5409" s="106" t="s">
        <v>2018</v>
      </c>
      <c r="G5409" s="8"/>
      <c r="H5409" s="8"/>
      <c r="I5409" s="107">
        <v>0</v>
      </c>
      <c r="J5409" s="8" t="s">
        <v>4823</v>
      </c>
    </row>
    <row r="5410" spans="1:10" ht="16.5" customHeight="1" x14ac:dyDescent="0.25">
      <c r="A5410" s="8" t="s">
        <v>15948</v>
      </c>
      <c r="B5410" s="8" t="s">
        <v>15949</v>
      </c>
      <c r="C5410" s="8" t="s">
        <v>15950</v>
      </c>
      <c r="D5410" s="8" t="s">
        <v>15951</v>
      </c>
      <c r="E5410" s="105">
        <v>0</v>
      </c>
      <c r="F5410" s="106" t="s">
        <v>2018</v>
      </c>
      <c r="G5410" s="8"/>
      <c r="H5410" s="8"/>
      <c r="I5410" s="107">
        <v>0</v>
      </c>
      <c r="J5410" s="8" t="s">
        <v>4823</v>
      </c>
    </row>
    <row r="5411" spans="1:10" ht="16.5" customHeight="1" x14ac:dyDescent="0.25">
      <c r="A5411" s="8" t="s">
        <v>15952</v>
      </c>
      <c r="B5411" s="8" t="s">
        <v>15953</v>
      </c>
      <c r="C5411" s="8" t="s">
        <v>15954</v>
      </c>
      <c r="D5411" s="8" t="s">
        <v>15955</v>
      </c>
      <c r="E5411" s="105">
        <v>0</v>
      </c>
      <c r="F5411" s="106" t="s">
        <v>2018</v>
      </c>
      <c r="G5411" s="8"/>
      <c r="H5411" s="8"/>
      <c r="I5411" s="107">
        <v>0</v>
      </c>
      <c r="J5411" s="8" t="s">
        <v>4823</v>
      </c>
    </row>
    <row r="5412" spans="1:10" ht="16.5" customHeight="1" x14ac:dyDescent="0.25">
      <c r="A5412" s="8" t="s">
        <v>15956</v>
      </c>
      <c r="B5412" s="8" t="s">
        <v>1565</v>
      </c>
      <c r="C5412" s="8" t="s">
        <v>1564</v>
      </c>
      <c r="D5412" s="8" t="s">
        <v>1565</v>
      </c>
      <c r="E5412" s="105">
        <v>6.12</v>
      </c>
      <c r="F5412" s="106" t="s">
        <v>2018</v>
      </c>
      <c r="G5412" s="8"/>
      <c r="H5412" s="8"/>
      <c r="I5412" s="107">
        <v>0</v>
      </c>
      <c r="J5412" s="8" t="s">
        <v>4789</v>
      </c>
    </row>
    <row r="5413" spans="1:10" ht="16.5" customHeight="1" x14ac:dyDescent="0.25">
      <c r="A5413" s="8" t="s">
        <v>2003</v>
      </c>
      <c r="B5413" s="8" t="s">
        <v>1702</v>
      </c>
      <c r="C5413" s="8" t="s">
        <v>1701</v>
      </c>
      <c r="D5413" s="8" t="s">
        <v>1702</v>
      </c>
      <c r="E5413" s="105">
        <v>10</v>
      </c>
      <c r="F5413" s="106" t="s">
        <v>2018</v>
      </c>
      <c r="G5413" s="8"/>
      <c r="H5413" s="8"/>
      <c r="I5413" s="107">
        <v>0</v>
      </c>
      <c r="J5413" s="8" t="s">
        <v>4789</v>
      </c>
    </row>
    <row r="5414" spans="1:10" ht="16.5" customHeight="1" x14ac:dyDescent="0.25">
      <c r="A5414" s="8" t="s">
        <v>1201</v>
      </c>
      <c r="B5414" s="8" t="s">
        <v>1203</v>
      </c>
      <c r="C5414" s="8" t="s">
        <v>1202</v>
      </c>
      <c r="D5414" s="8" t="s">
        <v>15957</v>
      </c>
      <c r="E5414" s="105">
        <v>0</v>
      </c>
      <c r="F5414" s="106" t="s">
        <v>2018</v>
      </c>
      <c r="G5414" s="8"/>
      <c r="H5414" s="8"/>
      <c r="I5414" s="107">
        <v>0</v>
      </c>
      <c r="J5414" s="8" t="s">
        <v>3580</v>
      </c>
    </row>
    <row r="5415" spans="1:10" ht="16.5" customHeight="1" x14ac:dyDescent="0.25">
      <c r="A5415" s="8" t="s">
        <v>15958</v>
      </c>
      <c r="B5415" s="8" t="s">
        <v>1149</v>
      </c>
      <c r="C5415" s="8" t="s">
        <v>1148</v>
      </c>
      <c r="D5415" s="8" t="s">
        <v>1149</v>
      </c>
      <c r="E5415" s="105">
        <v>7.3440000000000003</v>
      </c>
      <c r="F5415" s="106" t="s">
        <v>2018</v>
      </c>
      <c r="G5415" s="8"/>
      <c r="H5415" s="8"/>
      <c r="I5415" s="107">
        <v>0</v>
      </c>
      <c r="J5415" s="8" t="s">
        <v>6357</v>
      </c>
    </row>
    <row r="5416" spans="1:10" ht="16.5" customHeight="1" x14ac:dyDescent="0.25">
      <c r="A5416" s="8" t="s">
        <v>15959</v>
      </c>
      <c r="B5416" s="8" t="s">
        <v>1146</v>
      </c>
      <c r="C5416" s="8" t="s">
        <v>1145</v>
      </c>
      <c r="D5416" s="8" t="s">
        <v>1146</v>
      </c>
      <c r="E5416" s="105">
        <v>7.3440000000000003</v>
      </c>
      <c r="F5416" s="106" t="s">
        <v>2018</v>
      </c>
      <c r="G5416" s="8"/>
      <c r="H5416" s="8"/>
      <c r="I5416" s="107">
        <v>0</v>
      </c>
      <c r="J5416" s="8" t="s">
        <v>6357</v>
      </c>
    </row>
    <row r="5417" spans="1:10" ht="16.5" customHeight="1" x14ac:dyDescent="0.25">
      <c r="A5417" s="8" t="s">
        <v>15960</v>
      </c>
      <c r="B5417" s="8" t="s">
        <v>15961</v>
      </c>
      <c r="C5417" s="8" t="s">
        <v>15962</v>
      </c>
      <c r="D5417" s="8" t="s">
        <v>15961</v>
      </c>
      <c r="E5417" s="105">
        <v>1</v>
      </c>
      <c r="F5417" s="106" t="s">
        <v>2018</v>
      </c>
      <c r="G5417" s="8"/>
      <c r="H5417" s="8"/>
      <c r="I5417" s="107">
        <v>0</v>
      </c>
      <c r="J5417" s="8" t="s">
        <v>10979</v>
      </c>
    </row>
    <row r="5418" spans="1:10" ht="16.5" customHeight="1" x14ac:dyDescent="0.25">
      <c r="A5418" s="8" t="s">
        <v>15963</v>
      </c>
      <c r="B5418" s="8" t="s">
        <v>15964</v>
      </c>
      <c r="C5418" s="8" t="s">
        <v>15965</v>
      </c>
      <c r="D5418" s="8" t="s">
        <v>15964</v>
      </c>
      <c r="E5418" s="105">
        <v>1</v>
      </c>
      <c r="F5418" s="106" t="s">
        <v>2018</v>
      </c>
      <c r="G5418" s="8"/>
      <c r="H5418" s="8"/>
      <c r="I5418" s="107">
        <v>0</v>
      </c>
      <c r="J5418" s="8" t="s">
        <v>10979</v>
      </c>
    </row>
    <row r="5419" spans="1:10" ht="16.5" customHeight="1" x14ac:dyDescent="0.25">
      <c r="A5419" s="8" t="s">
        <v>15966</v>
      </c>
      <c r="B5419" s="8" t="s">
        <v>15967</v>
      </c>
      <c r="C5419" s="8" t="s">
        <v>15968</v>
      </c>
      <c r="D5419" s="8" t="s">
        <v>15969</v>
      </c>
      <c r="E5419" s="105">
        <v>0</v>
      </c>
      <c r="F5419" s="106" t="s">
        <v>2018</v>
      </c>
      <c r="G5419" s="8"/>
      <c r="H5419" s="8"/>
      <c r="I5419" s="107">
        <v>0</v>
      </c>
      <c r="J5419" s="8" t="s">
        <v>3580</v>
      </c>
    </row>
    <row r="5420" spans="1:10" ht="16.5" customHeight="1" x14ac:dyDescent="0.25">
      <c r="A5420" s="8" t="s">
        <v>15970</v>
      </c>
      <c r="B5420" s="8" t="s">
        <v>15971</v>
      </c>
      <c r="C5420" s="8" t="s">
        <v>15972</v>
      </c>
      <c r="D5420" s="8" t="s">
        <v>15969</v>
      </c>
      <c r="E5420" s="105">
        <v>0</v>
      </c>
      <c r="F5420" s="106" t="s">
        <v>2018</v>
      </c>
      <c r="G5420" s="8"/>
      <c r="H5420" s="8"/>
      <c r="I5420" s="107">
        <v>0</v>
      </c>
      <c r="J5420" s="8" t="s">
        <v>3580</v>
      </c>
    </row>
    <row r="5421" spans="1:10" ht="16.5" customHeight="1" x14ac:dyDescent="0.25">
      <c r="A5421" s="8" t="s">
        <v>15973</v>
      </c>
      <c r="B5421" s="8" t="s">
        <v>11513</v>
      </c>
      <c r="C5421" s="8" t="s">
        <v>15974</v>
      </c>
      <c r="D5421" s="8" t="s">
        <v>11513</v>
      </c>
      <c r="E5421" s="105">
        <v>1.03</v>
      </c>
      <c r="F5421" s="106" t="s">
        <v>2018</v>
      </c>
      <c r="G5421" s="8"/>
      <c r="H5421" s="8"/>
      <c r="I5421" s="107">
        <v>0</v>
      </c>
      <c r="J5421" s="8" t="s">
        <v>8088</v>
      </c>
    </row>
    <row r="5422" spans="1:10" ht="16.5" customHeight="1" x14ac:dyDescent="0.25">
      <c r="A5422" s="8" t="s">
        <v>1892</v>
      </c>
      <c r="B5422" s="8" t="s">
        <v>44</v>
      </c>
      <c r="C5422" s="8" t="s">
        <v>1893</v>
      </c>
      <c r="D5422" s="8" t="s">
        <v>44</v>
      </c>
      <c r="E5422" s="105">
        <v>12.34</v>
      </c>
      <c r="F5422" s="106" t="s">
        <v>2018</v>
      </c>
      <c r="G5422" s="8"/>
      <c r="H5422" s="8" t="s">
        <v>15973</v>
      </c>
      <c r="I5422" s="107">
        <v>12</v>
      </c>
      <c r="J5422" s="8" t="s">
        <v>8088</v>
      </c>
    </row>
    <row r="5423" spans="1:10" ht="16.5" customHeight="1" x14ac:dyDescent="0.25">
      <c r="A5423" s="8" t="s">
        <v>15975</v>
      </c>
      <c r="B5423" s="8" t="s">
        <v>15976</v>
      </c>
      <c r="C5423" s="8" t="s">
        <v>15977</v>
      </c>
      <c r="D5423" s="8" t="s">
        <v>15976</v>
      </c>
      <c r="E5423" s="105">
        <v>0.21</v>
      </c>
      <c r="F5423" s="106" t="s">
        <v>2018</v>
      </c>
      <c r="G5423" s="8"/>
      <c r="H5423" s="8"/>
      <c r="I5423" s="107">
        <v>0</v>
      </c>
      <c r="J5423" s="8" t="s">
        <v>8088</v>
      </c>
    </row>
    <row r="5424" spans="1:10" ht="16.5" customHeight="1" x14ac:dyDescent="0.25">
      <c r="A5424" s="8" t="s">
        <v>15978</v>
      </c>
      <c r="B5424" s="8" t="s">
        <v>15979</v>
      </c>
      <c r="C5424" s="8" t="s">
        <v>15980</v>
      </c>
      <c r="D5424" s="8" t="s">
        <v>15979</v>
      </c>
      <c r="E5424" s="105">
        <v>4.93</v>
      </c>
      <c r="F5424" s="106" t="s">
        <v>2018</v>
      </c>
      <c r="G5424" s="8"/>
      <c r="H5424" s="8" t="s">
        <v>15975</v>
      </c>
      <c r="I5424" s="107">
        <v>24</v>
      </c>
      <c r="J5424" s="8" t="s">
        <v>8088</v>
      </c>
    </row>
    <row r="5425" spans="1:10" ht="16.5" customHeight="1" x14ac:dyDescent="0.25">
      <c r="A5425" s="8" t="s">
        <v>15981</v>
      </c>
      <c r="B5425" s="8" t="s">
        <v>15982</v>
      </c>
      <c r="C5425" s="8" t="s">
        <v>15983</v>
      </c>
      <c r="D5425" s="8" t="s">
        <v>15982</v>
      </c>
      <c r="E5425" s="105">
        <v>1.03</v>
      </c>
      <c r="F5425" s="106" t="s">
        <v>2018</v>
      </c>
      <c r="G5425" s="8"/>
      <c r="H5425" s="8"/>
      <c r="I5425" s="107">
        <v>0</v>
      </c>
      <c r="J5425" s="8" t="s">
        <v>8088</v>
      </c>
    </row>
    <row r="5426" spans="1:10" ht="16.5" customHeight="1" x14ac:dyDescent="0.25">
      <c r="A5426" s="8" t="s">
        <v>15984</v>
      </c>
      <c r="B5426" s="8" t="s">
        <v>15985</v>
      </c>
      <c r="C5426" s="8" t="s">
        <v>15986</v>
      </c>
      <c r="D5426" s="8" t="s">
        <v>15985</v>
      </c>
      <c r="E5426" s="105">
        <v>12.34</v>
      </c>
      <c r="F5426" s="106" t="s">
        <v>2018</v>
      </c>
      <c r="G5426" s="8"/>
      <c r="H5426" s="8" t="s">
        <v>15981</v>
      </c>
      <c r="I5426" s="107">
        <v>12</v>
      </c>
      <c r="J5426" s="8" t="s">
        <v>8088</v>
      </c>
    </row>
    <row r="5427" spans="1:10" ht="16.5" customHeight="1" x14ac:dyDescent="0.25">
      <c r="A5427" s="8" t="s">
        <v>15987</v>
      </c>
      <c r="B5427" s="8" t="s">
        <v>11618</v>
      </c>
      <c r="C5427" s="8" t="s">
        <v>15988</v>
      </c>
      <c r="D5427" s="8" t="s">
        <v>11618</v>
      </c>
      <c r="E5427" s="105">
        <v>1.03</v>
      </c>
      <c r="F5427" s="106" t="s">
        <v>2018</v>
      </c>
      <c r="G5427" s="8"/>
      <c r="H5427" s="8"/>
      <c r="I5427" s="107">
        <v>0</v>
      </c>
      <c r="J5427" s="8" t="s">
        <v>8088</v>
      </c>
    </row>
    <row r="5428" spans="1:10" ht="16.5" customHeight="1" x14ac:dyDescent="0.25">
      <c r="A5428" s="8" t="s">
        <v>15989</v>
      </c>
      <c r="B5428" s="8" t="s">
        <v>43</v>
      </c>
      <c r="C5428" s="8" t="s">
        <v>15990</v>
      </c>
      <c r="D5428" s="8" t="s">
        <v>43</v>
      </c>
      <c r="E5428" s="105">
        <v>12.41</v>
      </c>
      <c r="F5428" s="106" t="s">
        <v>2018</v>
      </c>
      <c r="G5428" s="8"/>
      <c r="H5428" s="8" t="s">
        <v>15987</v>
      </c>
      <c r="I5428" s="107">
        <v>12</v>
      </c>
      <c r="J5428" s="8" t="s">
        <v>8088</v>
      </c>
    </row>
    <row r="5429" spans="1:10" ht="16.5" customHeight="1" x14ac:dyDescent="0.25">
      <c r="A5429" s="8" t="s">
        <v>15991</v>
      </c>
      <c r="B5429" s="8" t="s">
        <v>11516</v>
      </c>
      <c r="C5429" s="8" t="s">
        <v>15992</v>
      </c>
      <c r="D5429" s="8" t="s">
        <v>11516</v>
      </c>
      <c r="E5429" s="105">
        <v>1.03</v>
      </c>
      <c r="F5429" s="106" t="s">
        <v>2018</v>
      </c>
      <c r="G5429" s="8"/>
      <c r="H5429" s="8"/>
      <c r="I5429" s="107">
        <v>0</v>
      </c>
      <c r="J5429" s="8" t="s">
        <v>8088</v>
      </c>
    </row>
    <row r="5430" spans="1:10" ht="16.5" customHeight="1" x14ac:dyDescent="0.25">
      <c r="A5430" s="8" t="s">
        <v>15993</v>
      </c>
      <c r="B5430" s="8" t="s">
        <v>1768</v>
      </c>
      <c r="C5430" s="8" t="s">
        <v>15994</v>
      </c>
      <c r="D5430" s="8" t="s">
        <v>1768</v>
      </c>
      <c r="E5430" s="105">
        <v>12.37</v>
      </c>
      <c r="F5430" s="106" t="s">
        <v>2018</v>
      </c>
      <c r="G5430" s="8"/>
      <c r="H5430" s="8" t="s">
        <v>15991</v>
      </c>
      <c r="I5430" s="107">
        <v>12</v>
      </c>
      <c r="J5430" s="8" t="s">
        <v>8088</v>
      </c>
    </row>
    <row r="5431" spans="1:10" ht="16.5" customHeight="1" x14ac:dyDescent="0.25">
      <c r="A5431" s="8" t="s">
        <v>15995</v>
      </c>
      <c r="B5431" s="8" t="s">
        <v>15996</v>
      </c>
      <c r="C5431" s="8" t="s">
        <v>15997</v>
      </c>
      <c r="D5431" s="8" t="s">
        <v>15996</v>
      </c>
      <c r="E5431" s="105">
        <v>0.21</v>
      </c>
      <c r="F5431" s="106" t="s">
        <v>2018</v>
      </c>
      <c r="G5431" s="8"/>
      <c r="H5431" s="8"/>
      <c r="I5431" s="107">
        <v>0</v>
      </c>
      <c r="J5431" s="8" t="s">
        <v>8088</v>
      </c>
    </row>
    <row r="5432" spans="1:10" ht="16.5" customHeight="1" x14ac:dyDescent="0.25">
      <c r="A5432" s="8" t="s">
        <v>15998</v>
      </c>
      <c r="B5432" s="8" t="s">
        <v>15999</v>
      </c>
      <c r="C5432" s="8" t="s">
        <v>16000</v>
      </c>
      <c r="D5432" s="8" t="s">
        <v>15999</v>
      </c>
      <c r="E5432" s="105">
        <v>4.95</v>
      </c>
      <c r="F5432" s="106" t="s">
        <v>2018</v>
      </c>
      <c r="G5432" s="8"/>
      <c r="H5432" s="8" t="s">
        <v>15995</v>
      </c>
      <c r="I5432" s="107">
        <v>24</v>
      </c>
      <c r="J5432" s="8" t="s">
        <v>8088</v>
      </c>
    </row>
    <row r="5433" spans="1:10" ht="16.5" customHeight="1" x14ac:dyDescent="0.25">
      <c r="A5433" s="8" t="s">
        <v>1529</v>
      </c>
      <c r="B5433" s="8" t="s">
        <v>1531</v>
      </c>
      <c r="C5433" s="8" t="s">
        <v>1530</v>
      </c>
      <c r="D5433" s="8" t="s">
        <v>1531</v>
      </c>
      <c r="E5433" s="105">
        <v>10</v>
      </c>
      <c r="F5433" s="106" t="s">
        <v>2018</v>
      </c>
      <c r="G5433" s="8" t="s">
        <v>1417</v>
      </c>
      <c r="H5433" s="8"/>
      <c r="I5433" s="107">
        <v>0</v>
      </c>
      <c r="J5433" s="8" t="s">
        <v>5671</v>
      </c>
    </row>
    <row r="5434" spans="1:10" ht="16.5" customHeight="1" x14ac:dyDescent="0.25">
      <c r="A5434" s="8" t="s">
        <v>1532</v>
      </c>
      <c r="B5434" s="8" t="s">
        <v>1534</v>
      </c>
      <c r="C5434" s="8" t="s">
        <v>1533</v>
      </c>
      <c r="D5434" s="8" t="s">
        <v>1534</v>
      </c>
      <c r="E5434" s="105">
        <v>10</v>
      </c>
      <c r="F5434" s="106" t="s">
        <v>2018</v>
      </c>
      <c r="G5434" s="8" t="s">
        <v>1417</v>
      </c>
      <c r="H5434" s="8"/>
      <c r="I5434" s="107">
        <v>0</v>
      </c>
      <c r="J5434" s="8" t="s">
        <v>5671</v>
      </c>
    </row>
    <row r="5435" spans="1:10" ht="16.5" customHeight="1" x14ac:dyDescent="0.25">
      <c r="A5435" s="8" t="s">
        <v>16001</v>
      </c>
      <c r="B5435" s="8" t="s">
        <v>16002</v>
      </c>
      <c r="C5435" s="8" t="s">
        <v>16003</v>
      </c>
      <c r="D5435" s="8" t="s">
        <v>16004</v>
      </c>
      <c r="E5435" s="105">
        <v>0</v>
      </c>
      <c r="F5435" s="106" t="s">
        <v>2018</v>
      </c>
      <c r="G5435" s="8"/>
      <c r="H5435" s="8"/>
      <c r="I5435" s="107">
        <v>0</v>
      </c>
      <c r="J5435" s="8" t="s">
        <v>3580</v>
      </c>
    </row>
    <row r="5436" spans="1:10" ht="16.5" customHeight="1" x14ac:dyDescent="0.25">
      <c r="A5436" s="8" t="s">
        <v>16005</v>
      </c>
      <c r="B5436" s="8" t="s">
        <v>16006</v>
      </c>
      <c r="C5436" s="8" t="s">
        <v>16007</v>
      </c>
      <c r="D5436" s="8" t="s">
        <v>16006</v>
      </c>
      <c r="E5436" s="105">
        <v>0</v>
      </c>
      <c r="F5436" s="106" t="s">
        <v>2018</v>
      </c>
      <c r="G5436" s="8"/>
      <c r="H5436" s="8"/>
      <c r="I5436" s="107">
        <v>0</v>
      </c>
      <c r="J5436" s="8" t="s">
        <v>4789</v>
      </c>
    </row>
    <row r="5437" spans="1:10" ht="16.5" customHeight="1" x14ac:dyDescent="0.25">
      <c r="A5437" s="8" t="s">
        <v>16008</v>
      </c>
      <c r="B5437" s="8" t="s">
        <v>16009</v>
      </c>
      <c r="C5437" s="8" t="s">
        <v>16010</v>
      </c>
      <c r="D5437" s="8" t="s">
        <v>16009</v>
      </c>
      <c r="E5437" s="105">
        <v>0</v>
      </c>
      <c r="F5437" s="106" t="s">
        <v>2018</v>
      </c>
      <c r="G5437" s="8"/>
      <c r="H5437" s="8"/>
      <c r="I5437" s="107">
        <v>0</v>
      </c>
      <c r="J5437" s="8" t="s">
        <v>6357</v>
      </c>
    </row>
    <row r="5438" spans="1:10" ht="16.5" customHeight="1" x14ac:dyDescent="0.25">
      <c r="A5438" s="8" t="s">
        <v>16011</v>
      </c>
      <c r="B5438" s="8" t="s">
        <v>16012</v>
      </c>
      <c r="C5438" s="8" t="s">
        <v>16013</v>
      </c>
      <c r="D5438" s="8" t="s">
        <v>16012</v>
      </c>
      <c r="E5438" s="105">
        <v>0.62</v>
      </c>
      <c r="F5438" s="106" t="s">
        <v>2018</v>
      </c>
      <c r="G5438" s="8"/>
      <c r="H5438" s="8"/>
      <c r="I5438" s="107">
        <v>0</v>
      </c>
      <c r="J5438" s="8" t="s">
        <v>4789</v>
      </c>
    </row>
    <row r="5439" spans="1:10" ht="16.5" customHeight="1" x14ac:dyDescent="0.25">
      <c r="A5439" s="8" t="s">
        <v>1851</v>
      </c>
      <c r="B5439" s="8" t="s">
        <v>1853</v>
      </c>
      <c r="C5439" s="8" t="s">
        <v>1852</v>
      </c>
      <c r="D5439" s="8" t="s">
        <v>1853</v>
      </c>
      <c r="E5439" s="105">
        <v>7.39</v>
      </c>
      <c r="F5439" s="106" t="s">
        <v>2018</v>
      </c>
      <c r="G5439" s="8"/>
      <c r="H5439" s="8" t="s">
        <v>16011</v>
      </c>
      <c r="I5439" s="107">
        <v>12</v>
      </c>
      <c r="J5439" s="8" t="s">
        <v>4789</v>
      </c>
    </row>
    <row r="5440" spans="1:10" ht="16.5" customHeight="1" x14ac:dyDescent="0.25">
      <c r="A5440" s="8" t="s">
        <v>16014</v>
      </c>
      <c r="B5440" s="8" t="s">
        <v>16015</v>
      </c>
      <c r="C5440" s="8" t="s">
        <v>16016</v>
      </c>
      <c r="D5440" s="8" t="s">
        <v>16015</v>
      </c>
      <c r="E5440" s="105">
        <v>0.61</v>
      </c>
      <c r="F5440" s="106" t="s">
        <v>2018</v>
      </c>
      <c r="G5440" s="8"/>
      <c r="H5440" s="8"/>
      <c r="I5440" s="107">
        <v>0</v>
      </c>
      <c r="J5440" s="8" t="s">
        <v>4789</v>
      </c>
    </row>
    <row r="5441" spans="1:10" ht="16.5" customHeight="1" x14ac:dyDescent="0.25">
      <c r="A5441" s="8" t="s">
        <v>1848</v>
      </c>
      <c r="B5441" s="8" t="s">
        <v>1850</v>
      </c>
      <c r="C5441" s="8" t="s">
        <v>1849</v>
      </c>
      <c r="D5441" s="8" t="s">
        <v>1850</v>
      </c>
      <c r="E5441" s="105">
        <v>7.36</v>
      </c>
      <c r="F5441" s="106" t="s">
        <v>2018</v>
      </c>
      <c r="G5441" s="8"/>
      <c r="H5441" s="8" t="s">
        <v>16014</v>
      </c>
      <c r="I5441" s="107">
        <v>12</v>
      </c>
      <c r="J5441" s="8" t="s">
        <v>4789</v>
      </c>
    </row>
    <row r="5442" spans="1:10" ht="16.5" customHeight="1" x14ac:dyDescent="0.25">
      <c r="A5442" s="8" t="s">
        <v>16017</v>
      </c>
      <c r="B5442" s="8" t="s">
        <v>16018</v>
      </c>
      <c r="C5442" s="8" t="s">
        <v>16019</v>
      </c>
      <c r="D5442" s="8" t="s">
        <v>16018</v>
      </c>
      <c r="E5442" s="105">
        <v>0.6</v>
      </c>
      <c r="F5442" s="106" t="s">
        <v>2018</v>
      </c>
      <c r="G5442" s="8"/>
      <c r="H5442" s="8"/>
      <c r="I5442" s="107">
        <v>0</v>
      </c>
      <c r="J5442" s="8" t="s">
        <v>4789</v>
      </c>
    </row>
    <row r="5443" spans="1:10" ht="16.5" customHeight="1" x14ac:dyDescent="0.25">
      <c r="A5443" s="8" t="s">
        <v>1900</v>
      </c>
      <c r="B5443" s="8" t="s">
        <v>1902</v>
      </c>
      <c r="C5443" s="8" t="s">
        <v>1901</v>
      </c>
      <c r="D5443" s="8" t="s">
        <v>1902</v>
      </c>
      <c r="E5443" s="105">
        <v>9.0299999999999994</v>
      </c>
      <c r="F5443" s="106" t="s">
        <v>2018</v>
      </c>
      <c r="G5443" s="8"/>
      <c r="H5443" s="8" t="s">
        <v>16017</v>
      </c>
      <c r="I5443" s="107">
        <v>15</v>
      </c>
      <c r="J5443" s="8" t="s">
        <v>4789</v>
      </c>
    </row>
    <row r="5444" spans="1:10" ht="16.5" customHeight="1" x14ac:dyDescent="0.25">
      <c r="A5444" s="8" t="s">
        <v>16020</v>
      </c>
      <c r="B5444" s="8" t="s">
        <v>16021</v>
      </c>
      <c r="C5444" s="8" t="s">
        <v>16022</v>
      </c>
      <c r="D5444" s="8" t="s">
        <v>16021</v>
      </c>
      <c r="E5444" s="105">
        <v>1.23</v>
      </c>
      <c r="F5444" s="106" t="s">
        <v>2018</v>
      </c>
      <c r="G5444" s="8"/>
      <c r="H5444" s="8"/>
      <c r="I5444" s="107">
        <v>0</v>
      </c>
      <c r="J5444" s="8" t="s">
        <v>4789</v>
      </c>
    </row>
    <row r="5445" spans="1:10" ht="16.5" customHeight="1" x14ac:dyDescent="0.25">
      <c r="A5445" s="8" t="s">
        <v>16023</v>
      </c>
      <c r="B5445" s="8" t="s">
        <v>16024</v>
      </c>
      <c r="C5445" s="8" t="s">
        <v>16025</v>
      </c>
      <c r="D5445" s="8" t="s">
        <v>16024</v>
      </c>
      <c r="E5445" s="105">
        <v>3.7</v>
      </c>
      <c r="F5445" s="106" t="s">
        <v>2018</v>
      </c>
      <c r="G5445" s="8"/>
      <c r="H5445" s="8" t="s">
        <v>16020</v>
      </c>
      <c r="I5445" s="107">
        <v>3</v>
      </c>
      <c r="J5445" s="8" t="s">
        <v>4789</v>
      </c>
    </row>
    <row r="5446" spans="1:10" ht="16.5" customHeight="1" x14ac:dyDescent="0.25">
      <c r="A5446" s="8" t="s">
        <v>16026</v>
      </c>
      <c r="B5446" s="8" t="s">
        <v>16027</v>
      </c>
      <c r="C5446" s="8" t="s">
        <v>16028</v>
      </c>
      <c r="D5446" s="8" t="s">
        <v>16027</v>
      </c>
      <c r="E5446" s="105">
        <v>1.23</v>
      </c>
      <c r="F5446" s="106" t="s">
        <v>2018</v>
      </c>
      <c r="G5446" s="8"/>
      <c r="H5446" s="8"/>
      <c r="I5446" s="107">
        <v>0</v>
      </c>
      <c r="J5446" s="8" t="s">
        <v>4789</v>
      </c>
    </row>
    <row r="5447" spans="1:10" ht="16.5" customHeight="1" x14ac:dyDescent="0.25">
      <c r="A5447" s="8" t="s">
        <v>16029</v>
      </c>
      <c r="B5447" s="8" t="s">
        <v>16030</v>
      </c>
      <c r="C5447" s="8" t="s">
        <v>16031</v>
      </c>
      <c r="D5447" s="8" t="s">
        <v>16030</v>
      </c>
      <c r="E5447" s="105">
        <v>3.68</v>
      </c>
      <c r="F5447" s="106" t="s">
        <v>2018</v>
      </c>
      <c r="G5447" s="8"/>
      <c r="H5447" s="8" t="s">
        <v>16026</v>
      </c>
      <c r="I5447" s="107">
        <v>3</v>
      </c>
      <c r="J5447" s="8" t="s">
        <v>4789</v>
      </c>
    </row>
    <row r="5448" spans="1:10" ht="16.5" customHeight="1" x14ac:dyDescent="0.25">
      <c r="A5448" s="8" t="s">
        <v>16032</v>
      </c>
      <c r="B5448" s="8" t="s">
        <v>16033</v>
      </c>
      <c r="C5448" s="8" t="s">
        <v>16034</v>
      </c>
      <c r="D5448" s="8" t="s">
        <v>16033</v>
      </c>
      <c r="E5448" s="105">
        <v>40</v>
      </c>
      <c r="F5448" s="106" t="s">
        <v>2018</v>
      </c>
      <c r="G5448" s="8"/>
      <c r="H5448" s="8"/>
      <c r="I5448" s="107">
        <v>0</v>
      </c>
      <c r="J5448" s="8" t="s">
        <v>3580</v>
      </c>
    </row>
    <row r="5449" spans="1:10" ht="16.5" customHeight="1" x14ac:dyDescent="0.25">
      <c r="A5449" s="8" t="s">
        <v>16035</v>
      </c>
      <c r="B5449" s="8" t="s">
        <v>16036</v>
      </c>
      <c r="C5449" s="8" t="s">
        <v>16037</v>
      </c>
      <c r="D5449" s="8" t="s">
        <v>15332</v>
      </c>
      <c r="E5449" s="105">
        <v>0</v>
      </c>
      <c r="F5449" s="106" t="s">
        <v>2018</v>
      </c>
      <c r="G5449" s="8"/>
      <c r="H5449" s="8"/>
      <c r="I5449" s="107">
        <v>0</v>
      </c>
      <c r="J5449" s="8" t="s">
        <v>3580</v>
      </c>
    </row>
    <row r="5450" spans="1:10" ht="16.5" customHeight="1" x14ac:dyDescent="0.25">
      <c r="A5450" s="8" t="s">
        <v>16038</v>
      </c>
      <c r="B5450" s="8" t="s">
        <v>16039</v>
      </c>
      <c r="C5450" s="8" t="s">
        <v>16040</v>
      </c>
      <c r="D5450" s="8" t="s">
        <v>16041</v>
      </c>
      <c r="E5450" s="105">
        <v>0</v>
      </c>
      <c r="F5450" s="106" t="s">
        <v>2018</v>
      </c>
      <c r="G5450" s="8"/>
      <c r="H5450" s="8"/>
      <c r="I5450" s="107">
        <v>0</v>
      </c>
      <c r="J5450" s="8" t="s">
        <v>3580</v>
      </c>
    </row>
    <row r="5451" spans="1:10" ht="16.5" customHeight="1" x14ac:dyDescent="0.25">
      <c r="A5451" s="8" t="s">
        <v>16042</v>
      </c>
      <c r="B5451" s="8" t="s">
        <v>16043</v>
      </c>
      <c r="C5451" s="8" t="s">
        <v>16044</v>
      </c>
      <c r="D5451" s="8" t="s">
        <v>16043</v>
      </c>
      <c r="E5451" s="105">
        <v>25</v>
      </c>
      <c r="F5451" s="106" t="s">
        <v>2018</v>
      </c>
      <c r="G5451" s="8"/>
      <c r="H5451" s="8"/>
      <c r="I5451" s="107">
        <v>0</v>
      </c>
      <c r="J5451" s="8" t="s">
        <v>12551</v>
      </c>
    </row>
    <row r="5452" spans="1:10" ht="16.5" customHeight="1" x14ac:dyDescent="0.25">
      <c r="A5452" s="8" t="s">
        <v>16045</v>
      </c>
      <c r="B5452" s="8" t="s">
        <v>16046</v>
      </c>
      <c r="C5452" s="8" t="s">
        <v>16047</v>
      </c>
      <c r="D5452" s="8" t="s">
        <v>16046</v>
      </c>
      <c r="E5452" s="105">
        <v>25</v>
      </c>
      <c r="F5452" s="106" t="s">
        <v>2018</v>
      </c>
      <c r="G5452" s="8"/>
      <c r="H5452" s="8"/>
      <c r="I5452" s="107">
        <v>0</v>
      </c>
      <c r="J5452" s="8" t="s">
        <v>12551</v>
      </c>
    </row>
    <row r="5453" spans="1:10" ht="16.5" customHeight="1" x14ac:dyDescent="0.25">
      <c r="A5453" s="8" t="s">
        <v>16048</v>
      </c>
      <c r="B5453" s="8" t="s">
        <v>16049</v>
      </c>
      <c r="C5453" s="8" t="s">
        <v>16050</v>
      </c>
      <c r="D5453" s="8" t="s">
        <v>16049</v>
      </c>
      <c r="E5453" s="105">
        <v>25</v>
      </c>
      <c r="F5453" s="106" t="s">
        <v>2018</v>
      </c>
      <c r="G5453" s="8"/>
      <c r="H5453" s="8"/>
      <c r="I5453" s="107">
        <v>0</v>
      </c>
      <c r="J5453" s="8" t="s">
        <v>12551</v>
      </c>
    </row>
    <row r="5454" spans="1:10" ht="16.5" customHeight="1" x14ac:dyDescent="0.25">
      <c r="A5454" s="8" t="s">
        <v>16051</v>
      </c>
      <c r="B5454" s="8" t="s">
        <v>15215</v>
      </c>
      <c r="C5454" s="8" t="s">
        <v>9402</v>
      </c>
      <c r="D5454" s="8" t="s">
        <v>15215</v>
      </c>
      <c r="E5454" s="105">
        <v>0.23</v>
      </c>
      <c r="F5454" s="106" t="s">
        <v>2018</v>
      </c>
      <c r="G5454" s="8"/>
      <c r="H5454" s="8"/>
      <c r="I5454" s="107">
        <v>0</v>
      </c>
      <c r="J5454" s="8" t="s">
        <v>4789</v>
      </c>
    </row>
    <row r="5455" spans="1:10" ht="16.5" customHeight="1" x14ac:dyDescent="0.25">
      <c r="A5455" s="8" t="s">
        <v>16052</v>
      </c>
      <c r="B5455" s="8" t="s">
        <v>15208</v>
      </c>
      <c r="C5455" s="8" t="s">
        <v>8926</v>
      </c>
      <c r="D5455" s="8" t="s">
        <v>15208</v>
      </c>
      <c r="E5455" s="105">
        <v>0.38</v>
      </c>
      <c r="F5455" s="106" t="s">
        <v>2018</v>
      </c>
      <c r="G5455" s="8"/>
      <c r="H5455" s="8"/>
      <c r="I5455" s="107">
        <v>0</v>
      </c>
      <c r="J5455" s="8" t="s">
        <v>4789</v>
      </c>
    </row>
    <row r="5456" spans="1:10" ht="16.5" customHeight="1" x14ac:dyDescent="0.25">
      <c r="A5456" s="8" t="s">
        <v>16053</v>
      </c>
      <c r="B5456" s="8" t="s">
        <v>16054</v>
      </c>
      <c r="C5456" s="8" t="s">
        <v>16055</v>
      </c>
      <c r="D5456" s="8" t="s">
        <v>16054</v>
      </c>
      <c r="E5456" s="105">
        <v>0</v>
      </c>
      <c r="F5456" s="106" t="s">
        <v>2018</v>
      </c>
      <c r="G5456" s="8"/>
      <c r="H5456" s="8"/>
      <c r="I5456" s="107">
        <v>0</v>
      </c>
      <c r="J5456" s="8" t="s">
        <v>3695</v>
      </c>
    </row>
    <row r="5457" spans="1:10" ht="16.5" customHeight="1" x14ac:dyDescent="0.25">
      <c r="A5457" s="8" t="s">
        <v>16056</v>
      </c>
      <c r="B5457" s="8" t="s">
        <v>16057</v>
      </c>
      <c r="C5457" s="8" t="s">
        <v>16058</v>
      </c>
      <c r="D5457" s="8" t="s">
        <v>16057</v>
      </c>
      <c r="E5457" s="105">
        <v>0</v>
      </c>
      <c r="F5457" s="106" t="s">
        <v>2018</v>
      </c>
      <c r="G5457" s="8"/>
      <c r="H5457" s="8"/>
      <c r="I5457" s="107">
        <v>0</v>
      </c>
      <c r="J5457" s="8" t="s">
        <v>3695</v>
      </c>
    </row>
    <row r="5458" spans="1:10" ht="16.5" customHeight="1" x14ac:dyDescent="0.25">
      <c r="A5458" s="8" t="s">
        <v>2004</v>
      </c>
      <c r="B5458" s="8" t="s">
        <v>15254</v>
      </c>
      <c r="C5458" s="8" t="s">
        <v>11487</v>
      </c>
      <c r="D5458" s="8" t="s">
        <v>15254</v>
      </c>
      <c r="E5458" s="105">
        <v>0.255</v>
      </c>
      <c r="F5458" s="106" t="s">
        <v>2018</v>
      </c>
      <c r="G5458" s="8"/>
      <c r="H5458" s="8"/>
      <c r="I5458" s="107">
        <v>0</v>
      </c>
      <c r="J5458" s="8" t="s">
        <v>4789</v>
      </c>
    </row>
    <row r="5459" spans="1:10" ht="16.5" customHeight="1" x14ac:dyDescent="0.25">
      <c r="A5459" s="8" t="s">
        <v>16059</v>
      </c>
      <c r="B5459" s="8" t="s">
        <v>16060</v>
      </c>
      <c r="C5459" s="8" t="s">
        <v>16061</v>
      </c>
      <c r="D5459" s="8" t="s">
        <v>16062</v>
      </c>
      <c r="E5459" s="105">
        <v>0</v>
      </c>
      <c r="F5459" s="106" t="s">
        <v>2018</v>
      </c>
      <c r="G5459" s="8"/>
      <c r="H5459" s="8"/>
      <c r="I5459" s="107">
        <v>0</v>
      </c>
      <c r="J5459" s="8" t="s">
        <v>3580</v>
      </c>
    </row>
    <row r="5460" spans="1:10" ht="16.5" customHeight="1" x14ac:dyDescent="0.25">
      <c r="A5460" s="8" t="s">
        <v>16063</v>
      </c>
      <c r="B5460" s="8" t="s">
        <v>16064</v>
      </c>
      <c r="C5460" s="8" t="s">
        <v>12315</v>
      </c>
      <c r="D5460" s="8" t="s">
        <v>14792</v>
      </c>
      <c r="E5460" s="105">
        <v>0</v>
      </c>
      <c r="F5460" s="106" t="s">
        <v>2018</v>
      </c>
      <c r="G5460" s="8"/>
      <c r="H5460" s="8"/>
      <c r="I5460" s="107">
        <v>0</v>
      </c>
      <c r="J5460" s="8" t="s">
        <v>3580</v>
      </c>
    </row>
    <row r="5461" spans="1:10" ht="16.5" customHeight="1" x14ac:dyDescent="0.25">
      <c r="A5461" s="8" t="s">
        <v>16065</v>
      </c>
      <c r="B5461" s="8" t="s">
        <v>16066</v>
      </c>
      <c r="C5461" s="8" t="s">
        <v>16067</v>
      </c>
      <c r="D5461" s="8" t="s">
        <v>16066</v>
      </c>
      <c r="E5461" s="105">
        <v>5</v>
      </c>
      <c r="F5461" s="106" t="s">
        <v>2018</v>
      </c>
      <c r="G5461" s="8"/>
      <c r="H5461" s="8"/>
      <c r="I5461" s="107">
        <v>0</v>
      </c>
      <c r="J5461" s="8" t="s">
        <v>3580</v>
      </c>
    </row>
    <row r="5462" spans="1:10" ht="16.5" customHeight="1" x14ac:dyDescent="0.25">
      <c r="A5462" s="8" t="s">
        <v>16068</v>
      </c>
      <c r="B5462" s="8" t="s">
        <v>16069</v>
      </c>
      <c r="C5462" s="8" t="s">
        <v>16070</v>
      </c>
      <c r="D5462" s="8" t="s">
        <v>16071</v>
      </c>
      <c r="E5462" s="105">
        <v>1</v>
      </c>
      <c r="F5462" s="106" t="s">
        <v>2018</v>
      </c>
      <c r="G5462" s="8"/>
      <c r="H5462" s="8"/>
      <c r="I5462" s="107">
        <v>0</v>
      </c>
      <c r="J5462" s="8" t="s">
        <v>5779</v>
      </c>
    </row>
    <row r="5463" spans="1:10" ht="16.5" customHeight="1" x14ac:dyDescent="0.25">
      <c r="A5463" s="8" t="s">
        <v>16072</v>
      </c>
      <c r="B5463" s="8" t="s">
        <v>16073</v>
      </c>
      <c r="C5463" s="8" t="s">
        <v>16074</v>
      </c>
      <c r="D5463" s="8" t="s">
        <v>16071</v>
      </c>
      <c r="E5463" s="105">
        <v>25</v>
      </c>
      <c r="F5463" s="106" t="s">
        <v>2018</v>
      </c>
      <c r="G5463" s="8"/>
      <c r="H5463" s="8" t="s">
        <v>16068</v>
      </c>
      <c r="I5463" s="107">
        <v>25</v>
      </c>
      <c r="J5463" s="8" t="s">
        <v>5779</v>
      </c>
    </row>
    <row r="5464" spans="1:10" ht="16.5" customHeight="1" x14ac:dyDescent="0.25">
      <c r="A5464" s="8" t="s">
        <v>16075</v>
      </c>
      <c r="B5464" s="8" t="s">
        <v>16076</v>
      </c>
      <c r="C5464" s="8" t="s">
        <v>16077</v>
      </c>
      <c r="D5464" s="8" t="s">
        <v>16076</v>
      </c>
      <c r="E5464" s="105">
        <v>1</v>
      </c>
      <c r="F5464" s="106" t="s">
        <v>2018</v>
      </c>
      <c r="G5464" s="8"/>
      <c r="H5464" s="8"/>
      <c r="I5464" s="107">
        <v>0</v>
      </c>
      <c r="J5464" s="8" t="s">
        <v>8088</v>
      </c>
    </row>
    <row r="5465" spans="1:10" ht="16.5" customHeight="1" x14ac:dyDescent="0.25">
      <c r="A5465" s="8" t="s">
        <v>16078</v>
      </c>
      <c r="B5465" s="8" t="s">
        <v>16079</v>
      </c>
      <c r="C5465" s="8" t="s">
        <v>16080</v>
      </c>
      <c r="D5465" s="8" t="s">
        <v>16079</v>
      </c>
      <c r="E5465" s="105">
        <v>12</v>
      </c>
      <c r="F5465" s="106" t="s">
        <v>2018</v>
      </c>
      <c r="G5465" s="8"/>
      <c r="H5465" s="8" t="s">
        <v>16075</v>
      </c>
      <c r="I5465" s="107">
        <v>12</v>
      </c>
      <c r="J5465" s="8" t="s">
        <v>8088</v>
      </c>
    </row>
    <row r="5466" spans="1:10" ht="16.5" customHeight="1" x14ac:dyDescent="0.25">
      <c r="A5466" s="8" t="s">
        <v>16081</v>
      </c>
      <c r="B5466" s="8" t="s">
        <v>16082</v>
      </c>
      <c r="C5466" s="8" t="s">
        <v>16083</v>
      </c>
      <c r="D5466" s="8" t="s">
        <v>16082</v>
      </c>
      <c r="E5466" s="105">
        <v>0.37</v>
      </c>
      <c r="F5466" s="106" t="s">
        <v>2018</v>
      </c>
      <c r="G5466" s="8"/>
      <c r="H5466" s="8"/>
      <c r="I5466" s="107">
        <v>0</v>
      </c>
      <c r="J5466" s="8" t="s">
        <v>4789</v>
      </c>
    </row>
    <row r="5467" spans="1:10" ht="16.5" customHeight="1" x14ac:dyDescent="0.25">
      <c r="A5467" s="8" t="s">
        <v>16084</v>
      </c>
      <c r="B5467" s="8" t="s">
        <v>16085</v>
      </c>
      <c r="C5467" s="8" t="s">
        <v>16086</v>
      </c>
      <c r="D5467" s="8" t="s">
        <v>16085</v>
      </c>
      <c r="E5467" s="105">
        <v>0.37</v>
      </c>
      <c r="F5467" s="106" t="s">
        <v>2018</v>
      </c>
      <c r="G5467" s="8"/>
      <c r="H5467" s="8"/>
      <c r="I5467" s="107">
        <v>0</v>
      </c>
      <c r="J5467" s="8" t="s">
        <v>4789</v>
      </c>
    </row>
    <row r="5468" spans="1:10" ht="16.5" customHeight="1" x14ac:dyDescent="0.25">
      <c r="A5468" s="8" t="s">
        <v>16087</v>
      </c>
      <c r="B5468" s="8" t="s">
        <v>16088</v>
      </c>
      <c r="C5468" s="8" t="s">
        <v>16089</v>
      </c>
      <c r="D5468" s="8" t="s">
        <v>16088</v>
      </c>
      <c r="E5468" s="105">
        <v>0</v>
      </c>
      <c r="F5468" s="106" t="s">
        <v>2018</v>
      </c>
      <c r="G5468" s="8"/>
      <c r="H5468" s="8"/>
      <c r="I5468" s="107">
        <v>0</v>
      </c>
      <c r="J5468" s="8" t="s">
        <v>4722</v>
      </c>
    </row>
    <row r="5469" spans="1:10" ht="16.5" customHeight="1" x14ac:dyDescent="0.25">
      <c r="A5469" s="8" t="s">
        <v>16090</v>
      </c>
      <c r="B5469" s="8" t="s">
        <v>16091</v>
      </c>
      <c r="C5469" s="8" t="s">
        <v>16092</v>
      </c>
      <c r="D5469" s="8" t="s">
        <v>16091</v>
      </c>
      <c r="E5469" s="105">
        <v>0</v>
      </c>
      <c r="F5469" s="106" t="s">
        <v>2018</v>
      </c>
      <c r="G5469" s="8"/>
      <c r="H5469" s="8"/>
      <c r="I5469" s="107">
        <v>0</v>
      </c>
      <c r="J5469" s="8" t="s">
        <v>4722</v>
      </c>
    </row>
    <row r="5470" spans="1:10" ht="16.5" customHeight="1" x14ac:dyDescent="0.25">
      <c r="A5470" s="8" t="s">
        <v>16093</v>
      </c>
      <c r="B5470" s="8" t="s">
        <v>16094</v>
      </c>
      <c r="C5470" s="8" t="s">
        <v>16095</v>
      </c>
      <c r="D5470" s="8" t="s">
        <v>16094</v>
      </c>
      <c r="E5470" s="105">
        <v>0</v>
      </c>
      <c r="F5470" s="106" t="s">
        <v>2018</v>
      </c>
      <c r="G5470" s="8"/>
      <c r="H5470" s="8"/>
      <c r="I5470" s="107">
        <v>0</v>
      </c>
      <c r="J5470" s="8" t="s">
        <v>6357</v>
      </c>
    </row>
    <row r="5471" spans="1:10" ht="16.5" customHeight="1" x14ac:dyDescent="0.25">
      <c r="A5471" s="8" t="s">
        <v>16096</v>
      </c>
      <c r="B5471" s="8" t="s">
        <v>16097</v>
      </c>
      <c r="C5471" s="8" t="s">
        <v>16098</v>
      </c>
      <c r="D5471" s="8" t="s">
        <v>16097</v>
      </c>
      <c r="E5471" s="105">
        <v>25</v>
      </c>
      <c r="F5471" s="106" t="s">
        <v>2018</v>
      </c>
      <c r="G5471" s="8"/>
      <c r="H5471" s="8"/>
      <c r="I5471" s="107">
        <v>0</v>
      </c>
      <c r="J5471" s="8" t="s">
        <v>8088</v>
      </c>
    </row>
    <row r="5472" spans="1:10" ht="16.5" customHeight="1" x14ac:dyDescent="0.25">
      <c r="A5472" s="8" t="s">
        <v>16099</v>
      </c>
      <c r="B5472" s="8" t="s">
        <v>16100</v>
      </c>
      <c r="C5472" s="8" t="s">
        <v>16101</v>
      </c>
      <c r="D5472" s="8" t="s">
        <v>16100</v>
      </c>
      <c r="E5472" s="105">
        <v>1.17</v>
      </c>
      <c r="F5472" s="106" t="s">
        <v>2018</v>
      </c>
      <c r="G5472" s="8" t="s">
        <v>1541</v>
      </c>
      <c r="H5472" s="8"/>
      <c r="I5472" s="107">
        <v>0</v>
      </c>
      <c r="J5472" s="8" t="s">
        <v>5929</v>
      </c>
    </row>
    <row r="5473" spans="1:10" ht="16.5" customHeight="1" x14ac:dyDescent="0.25">
      <c r="A5473" s="8" t="s">
        <v>16102</v>
      </c>
      <c r="B5473" s="8" t="s">
        <v>16103</v>
      </c>
      <c r="C5473" s="8" t="s">
        <v>16104</v>
      </c>
      <c r="D5473" s="8" t="s">
        <v>16103</v>
      </c>
      <c r="E5473" s="105">
        <v>11.7</v>
      </c>
      <c r="F5473" s="106" t="s">
        <v>2018</v>
      </c>
      <c r="G5473" s="8" t="s">
        <v>1541</v>
      </c>
      <c r="H5473" s="8" t="s">
        <v>16099</v>
      </c>
      <c r="I5473" s="107">
        <v>10</v>
      </c>
      <c r="J5473" s="8" t="s">
        <v>5929</v>
      </c>
    </row>
    <row r="5474" spans="1:10" ht="16.5" customHeight="1" x14ac:dyDescent="0.25">
      <c r="A5474" s="8" t="s">
        <v>16105</v>
      </c>
      <c r="B5474" s="8" t="s">
        <v>16106</v>
      </c>
      <c r="C5474" s="8" t="s">
        <v>16107</v>
      </c>
      <c r="D5474" s="8" t="s">
        <v>16106</v>
      </c>
      <c r="E5474" s="105">
        <v>1</v>
      </c>
      <c r="F5474" s="106" t="s">
        <v>2018</v>
      </c>
      <c r="G5474" s="8"/>
      <c r="H5474" s="8"/>
      <c r="I5474" s="107">
        <v>0</v>
      </c>
      <c r="J5474" s="8" t="s">
        <v>14616</v>
      </c>
    </row>
    <row r="5475" spans="1:10" ht="16.5" customHeight="1" x14ac:dyDescent="0.25">
      <c r="A5475" s="8" t="s">
        <v>1777</v>
      </c>
      <c r="B5475" s="8" t="s">
        <v>1779</v>
      </c>
      <c r="C5475" s="8" t="s">
        <v>1778</v>
      </c>
      <c r="D5475" s="8" t="s">
        <v>1779</v>
      </c>
      <c r="E5475" s="105">
        <v>25</v>
      </c>
      <c r="F5475" s="106" t="s">
        <v>2018</v>
      </c>
      <c r="G5475" s="8"/>
      <c r="H5475" s="8" t="s">
        <v>16105</v>
      </c>
      <c r="I5475" s="107">
        <v>25</v>
      </c>
      <c r="J5475" s="8" t="s">
        <v>14616</v>
      </c>
    </row>
    <row r="5476" spans="1:10" ht="16.5" customHeight="1" x14ac:dyDescent="0.25">
      <c r="A5476" s="8" t="s">
        <v>1800</v>
      </c>
      <c r="B5476" s="8" t="s">
        <v>1802</v>
      </c>
      <c r="C5476" s="8" t="s">
        <v>1801</v>
      </c>
      <c r="D5476" s="8" t="s">
        <v>1802</v>
      </c>
      <c r="E5476" s="105">
        <v>25</v>
      </c>
      <c r="F5476" s="106" t="s">
        <v>2018</v>
      </c>
      <c r="G5476" s="8"/>
      <c r="H5476" s="8"/>
      <c r="I5476" s="107">
        <v>0</v>
      </c>
      <c r="J5476" s="8" t="s">
        <v>14616</v>
      </c>
    </row>
    <row r="5477" spans="1:10" ht="16.5" customHeight="1" x14ac:dyDescent="0.25">
      <c r="A5477" s="8" t="s">
        <v>16108</v>
      </c>
      <c r="B5477" s="8" t="s">
        <v>16109</v>
      </c>
      <c r="C5477" s="8" t="s">
        <v>16110</v>
      </c>
      <c r="D5477" s="8" t="s">
        <v>16111</v>
      </c>
      <c r="E5477" s="105">
        <v>0</v>
      </c>
      <c r="F5477" s="106" t="s">
        <v>2018</v>
      </c>
      <c r="G5477" s="8"/>
      <c r="H5477" s="8"/>
      <c r="I5477" s="107">
        <v>0</v>
      </c>
      <c r="J5477" s="8" t="s">
        <v>3580</v>
      </c>
    </row>
    <row r="5478" spans="1:10" ht="16.5" customHeight="1" x14ac:dyDescent="0.25">
      <c r="A5478" s="8" t="s">
        <v>16112</v>
      </c>
      <c r="B5478" s="8" t="s">
        <v>16113</v>
      </c>
      <c r="C5478" s="8" t="s">
        <v>16114</v>
      </c>
      <c r="D5478" s="8" t="s">
        <v>16113</v>
      </c>
      <c r="E5478" s="105">
        <v>20</v>
      </c>
      <c r="F5478" s="106" t="s">
        <v>2018</v>
      </c>
      <c r="G5478" s="8"/>
      <c r="H5478" s="8"/>
      <c r="I5478" s="107">
        <v>0</v>
      </c>
      <c r="J5478" s="8" t="s">
        <v>2019</v>
      </c>
    </row>
    <row r="5479" spans="1:10" ht="16.5" customHeight="1" x14ac:dyDescent="0.25">
      <c r="A5479" s="8" t="s">
        <v>16115</v>
      </c>
      <c r="B5479" s="8" t="s">
        <v>16116</v>
      </c>
      <c r="C5479" s="8" t="s">
        <v>16117</v>
      </c>
      <c r="D5479" s="8" t="s">
        <v>16116</v>
      </c>
      <c r="E5479" s="105">
        <v>20</v>
      </c>
      <c r="F5479" s="106" t="s">
        <v>2018</v>
      </c>
      <c r="G5479" s="8"/>
      <c r="H5479" s="8"/>
      <c r="I5479" s="107">
        <v>0</v>
      </c>
      <c r="J5479" s="8" t="s">
        <v>2019</v>
      </c>
    </row>
    <row r="5480" spans="1:10" ht="16.5" customHeight="1" x14ac:dyDescent="0.25">
      <c r="A5480" s="8" t="s">
        <v>16118</v>
      </c>
      <c r="B5480" s="8" t="s">
        <v>16119</v>
      </c>
      <c r="C5480" s="8" t="s">
        <v>14636</v>
      </c>
      <c r="D5480" s="8" t="s">
        <v>16119</v>
      </c>
      <c r="E5480" s="105">
        <v>1</v>
      </c>
      <c r="F5480" s="106" t="s">
        <v>2018</v>
      </c>
      <c r="G5480" s="8"/>
      <c r="H5480" s="8"/>
      <c r="I5480" s="107">
        <v>0</v>
      </c>
      <c r="J5480" s="8" t="s">
        <v>12551</v>
      </c>
    </row>
    <row r="5481" spans="1:10" ht="16.5" customHeight="1" x14ac:dyDescent="0.25">
      <c r="A5481" s="8" t="s">
        <v>16120</v>
      </c>
      <c r="B5481" s="8" t="s">
        <v>16121</v>
      </c>
      <c r="C5481" s="8" t="s">
        <v>14039</v>
      </c>
      <c r="D5481" s="8" t="s">
        <v>15332</v>
      </c>
      <c r="E5481" s="105">
        <v>0</v>
      </c>
      <c r="F5481" s="106" t="s">
        <v>2018</v>
      </c>
      <c r="G5481" s="8"/>
      <c r="H5481" s="8"/>
      <c r="I5481" s="107">
        <v>0</v>
      </c>
      <c r="J5481" s="8" t="s">
        <v>3580</v>
      </c>
    </row>
    <row r="5482" spans="1:10" ht="16.5" customHeight="1" x14ac:dyDescent="0.25">
      <c r="A5482" s="8" t="s">
        <v>16122</v>
      </c>
      <c r="B5482" s="8" t="s">
        <v>16123</v>
      </c>
      <c r="C5482" s="8" t="s">
        <v>16124</v>
      </c>
      <c r="D5482" s="8" t="s">
        <v>16123</v>
      </c>
      <c r="E5482" s="105">
        <v>0.08</v>
      </c>
      <c r="F5482" s="106" t="s">
        <v>2018</v>
      </c>
      <c r="G5482" s="8"/>
      <c r="H5482" s="8"/>
      <c r="I5482" s="107">
        <v>0</v>
      </c>
      <c r="J5482" s="8" t="s">
        <v>4789</v>
      </c>
    </row>
    <row r="5483" spans="1:10" ht="16.5" customHeight="1" x14ac:dyDescent="0.25">
      <c r="A5483" s="8" t="s">
        <v>1875</v>
      </c>
      <c r="B5483" s="8" t="s">
        <v>1936</v>
      </c>
      <c r="C5483" s="8" t="s">
        <v>16125</v>
      </c>
      <c r="D5483" s="8" t="s">
        <v>1936</v>
      </c>
      <c r="E5483" s="105">
        <v>9.6</v>
      </c>
      <c r="F5483" s="106" t="s">
        <v>2018</v>
      </c>
      <c r="G5483" s="8"/>
      <c r="H5483" s="8" t="s">
        <v>16122</v>
      </c>
      <c r="I5483" s="107">
        <v>120</v>
      </c>
      <c r="J5483" s="8" t="s">
        <v>4789</v>
      </c>
    </row>
    <row r="5484" spans="1:10" ht="16.5" customHeight="1" x14ac:dyDescent="0.25">
      <c r="A5484" s="8" t="s">
        <v>16126</v>
      </c>
      <c r="B5484" s="8" t="s">
        <v>16127</v>
      </c>
      <c r="C5484" s="8" t="s">
        <v>16128</v>
      </c>
      <c r="D5484" s="8" t="s">
        <v>16127</v>
      </c>
      <c r="E5484" s="105">
        <v>0.08</v>
      </c>
      <c r="F5484" s="106" t="s">
        <v>2018</v>
      </c>
      <c r="G5484" s="8"/>
      <c r="H5484" s="8"/>
      <c r="I5484" s="107">
        <v>0</v>
      </c>
      <c r="J5484" s="8" t="s">
        <v>4789</v>
      </c>
    </row>
    <row r="5485" spans="1:10" ht="16.5" customHeight="1" x14ac:dyDescent="0.25">
      <c r="A5485" s="8" t="s">
        <v>1806</v>
      </c>
      <c r="B5485" s="8" t="s">
        <v>1808</v>
      </c>
      <c r="C5485" s="8" t="s">
        <v>1807</v>
      </c>
      <c r="D5485" s="8" t="s">
        <v>1808</v>
      </c>
      <c r="E5485" s="105">
        <v>9.6</v>
      </c>
      <c r="F5485" s="106" t="s">
        <v>2018</v>
      </c>
      <c r="G5485" s="8"/>
      <c r="H5485" s="8" t="s">
        <v>16126</v>
      </c>
      <c r="I5485" s="107">
        <v>120</v>
      </c>
      <c r="J5485" s="8" t="s">
        <v>4789</v>
      </c>
    </row>
    <row r="5486" spans="1:10" ht="16.5" customHeight="1" x14ac:dyDescent="0.25">
      <c r="A5486" s="8" t="s">
        <v>16129</v>
      </c>
      <c r="B5486" s="8" t="s">
        <v>16130</v>
      </c>
      <c r="C5486" s="8" t="s">
        <v>16131</v>
      </c>
      <c r="D5486" s="8" t="s">
        <v>16130</v>
      </c>
      <c r="E5486" s="105">
        <v>0.08</v>
      </c>
      <c r="F5486" s="106" t="s">
        <v>2018</v>
      </c>
      <c r="G5486" s="8"/>
      <c r="H5486" s="8"/>
      <c r="I5486" s="107">
        <v>0</v>
      </c>
      <c r="J5486" s="8" t="s">
        <v>4789</v>
      </c>
    </row>
    <row r="5487" spans="1:10" ht="16.5" customHeight="1" x14ac:dyDescent="0.25">
      <c r="A5487" s="8" t="s">
        <v>1809</v>
      </c>
      <c r="B5487" s="8" t="s">
        <v>1811</v>
      </c>
      <c r="C5487" s="8" t="s">
        <v>1810</v>
      </c>
      <c r="D5487" s="8" t="s">
        <v>1811</v>
      </c>
      <c r="E5487" s="105">
        <v>9.6</v>
      </c>
      <c r="F5487" s="106" t="s">
        <v>2018</v>
      </c>
      <c r="G5487" s="8"/>
      <c r="H5487" s="8" t="s">
        <v>16129</v>
      </c>
      <c r="I5487" s="107">
        <v>120</v>
      </c>
      <c r="J5487" s="8" t="s">
        <v>4789</v>
      </c>
    </row>
    <row r="5488" spans="1:10" ht="16.5" customHeight="1" x14ac:dyDescent="0.25">
      <c r="A5488" s="8" t="s">
        <v>16132</v>
      </c>
      <c r="B5488" s="8" t="s">
        <v>16133</v>
      </c>
      <c r="C5488" s="8" t="s">
        <v>16134</v>
      </c>
      <c r="D5488" s="8" t="s">
        <v>16133</v>
      </c>
      <c r="E5488" s="105">
        <v>0.08</v>
      </c>
      <c r="F5488" s="106" t="s">
        <v>2018</v>
      </c>
      <c r="G5488" s="8"/>
      <c r="H5488" s="8"/>
      <c r="I5488" s="107">
        <v>0</v>
      </c>
      <c r="J5488" s="8" t="s">
        <v>4789</v>
      </c>
    </row>
    <row r="5489" spans="1:10" ht="16.5" customHeight="1" x14ac:dyDescent="0.25">
      <c r="A5489" s="8" t="s">
        <v>1921</v>
      </c>
      <c r="B5489" s="8" t="s">
        <v>1934</v>
      </c>
      <c r="C5489" s="8" t="s">
        <v>1922</v>
      </c>
      <c r="D5489" s="8" t="s">
        <v>1934</v>
      </c>
      <c r="E5489" s="105">
        <v>9.6</v>
      </c>
      <c r="F5489" s="106" t="s">
        <v>2018</v>
      </c>
      <c r="G5489" s="8"/>
      <c r="H5489" s="8" t="s">
        <v>16132</v>
      </c>
      <c r="I5489" s="107">
        <v>120</v>
      </c>
      <c r="J5489" s="8" t="s">
        <v>4789</v>
      </c>
    </row>
    <row r="5490" spans="1:10" ht="16.5" customHeight="1" x14ac:dyDescent="0.25">
      <c r="A5490" s="8" t="s">
        <v>16135</v>
      </c>
      <c r="B5490" s="8" t="s">
        <v>16136</v>
      </c>
      <c r="C5490" s="8" t="s">
        <v>16137</v>
      </c>
      <c r="D5490" s="8" t="s">
        <v>16136</v>
      </c>
      <c r="E5490" s="105">
        <v>0.08</v>
      </c>
      <c r="F5490" s="106" t="s">
        <v>2018</v>
      </c>
      <c r="G5490" s="8"/>
      <c r="H5490" s="8"/>
      <c r="I5490" s="107">
        <v>0</v>
      </c>
      <c r="J5490" s="8" t="s">
        <v>4789</v>
      </c>
    </row>
    <row r="5491" spans="1:10" ht="16.5" customHeight="1" x14ac:dyDescent="0.25">
      <c r="A5491" s="8" t="s">
        <v>1812</v>
      </c>
      <c r="B5491" s="8" t="s">
        <v>1814</v>
      </c>
      <c r="C5491" s="8" t="s">
        <v>1813</v>
      </c>
      <c r="D5491" s="8" t="s">
        <v>1814</v>
      </c>
      <c r="E5491" s="105">
        <v>9.6</v>
      </c>
      <c r="F5491" s="106" t="s">
        <v>2018</v>
      </c>
      <c r="G5491" s="8"/>
      <c r="H5491" s="8" t="s">
        <v>16135</v>
      </c>
      <c r="I5491" s="107">
        <v>120</v>
      </c>
      <c r="J5491" s="8" t="s">
        <v>4789</v>
      </c>
    </row>
    <row r="5492" spans="1:10" ht="16.5" customHeight="1" x14ac:dyDescent="0.25">
      <c r="A5492" s="8" t="s">
        <v>16138</v>
      </c>
      <c r="B5492" s="8" t="s">
        <v>16139</v>
      </c>
      <c r="C5492" s="8" t="s">
        <v>16140</v>
      </c>
      <c r="D5492" s="8" t="s">
        <v>16139</v>
      </c>
      <c r="E5492" s="105">
        <v>0.1</v>
      </c>
      <c r="F5492" s="106" t="s">
        <v>2018</v>
      </c>
      <c r="G5492" s="8"/>
      <c r="H5492" s="8"/>
      <c r="I5492" s="107">
        <v>0</v>
      </c>
      <c r="J5492" s="8" t="s">
        <v>4789</v>
      </c>
    </row>
    <row r="5493" spans="1:10" ht="16.5" customHeight="1" x14ac:dyDescent="0.25">
      <c r="A5493" s="8" t="s">
        <v>1815</v>
      </c>
      <c r="B5493" s="8" t="s">
        <v>1817</v>
      </c>
      <c r="C5493" s="8" t="s">
        <v>1816</v>
      </c>
      <c r="D5493" s="8" t="s">
        <v>1817</v>
      </c>
      <c r="E5493" s="105">
        <v>2.4</v>
      </c>
      <c r="F5493" s="106" t="s">
        <v>2018</v>
      </c>
      <c r="G5493" s="8"/>
      <c r="H5493" s="8" t="s">
        <v>16138</v>
      </c>
      <c r="I5493" s="107">
        <v>24</v>
      </c>
      <c r="J5493" s="8" t="s">
        <v>4789</v>
      </c>
    </row>
    <row r="5494" spans="1:10" ht="16.5" customHeight="1" x14ac:dyDescent="0.25">
      <c r="A5494" s="8" t="s">
        <v>16141</v>
      </c>
      <c r="B5494" s="8" t="s">
        <v>16142</v>
      </c>
      <c r="C5494" s="8" t="s">
        <v>16143</v>
      </c>
      <c r="D5494" s="8" t="s">
        <v>16142</v>
      </c>
      <c r="E5494" s="105">
        <v>0.2</v>
      </c>
      <c r="F5494" s="106" t="s">
        <v>2018</v>
      </c>
      <c r="G5494" s="8"/>
      <c r="H5494" s="8"/>
      <c r="I5494" s="107">
        <v>0</v>
      </c>
      <c r="J5494" s="8" t="s">
        <v>4789</v>
      </c>
    </row>
    <row r="5495" spans="1:10" ht="16.5" customHeight="1" x14ac:dyDescent="0.25">
      <c r="A5495" s="8" t="s">
        <v>1818</v>
      </c>
      <c r="B5495" s="8" t="s">
        <v>1820</v>
      </c>
      <c r="C5495" s="8" t="s">
        <v>1819</v>
      </c>
      <c r="D5495" s="8" t="s">
        <v>1820</v>
      </c>
      <c r="E5495" s="105">
        <v>4.8</v>
      </c>
      <c r="F5495" s="106" t="s">
        <v>2018</v>
      </c>
      <c r="G5495" s="8"/>
      <c r="H5495" s="8" t="s">
        <v>16141</v>
      </c>
      <c r="I5495" s="107">
        <v>24</v>
      </c>
      <c r="J5495" s="8" t="s">
        <v>4789</v>
      </c>
    </row>
    <row r="5496" spans="1:10" ht="16.5" customHeight="1" x14ac:dyDescent="0.25">
      <c r="A5496" s="8" t="s">
        <v>16144</v>
      </c>
      <c r="B5496" s="8" t="s">
        <v>16145</v>
      </c>
      <c r="C5496" s="8" t="s">
        <v>16146</v>
      </c>
      <c r="D5496" s="8" t="s">
        <v>16145</v>
      </c>
      <c r="E5496" s="105">
        <v>0</v>
      </c>
      <c r="F5496" s="106" t="s">
        <v>2018</v>
      </c>
      <c r="G5496" s="8"/>
      <c r="H5496" s="8"/>
      <c r="I5496" s="107">
        <v>0</v>
      </c>
      <c r="J5496" s="8" t="s">
        <v>6357</v>
      </c>
    </row>
    <row r="5497" spans="1:10" ht="16.5" customHeight="1" x14ac:dyDescent="0.25">
      <c r="A5497" s="8" t="s">
        <v>16147</v>
      </c>
      <c r="B5497" s="8" t="s">
        <v>16148</v>
      </c>
      <c r="C5497" s="8" t="s">
        <v>16149</v>
      </c>
      <c r="D5497" s="8" t="s">
        <v>16148</v>
      </c>
      <c r="E5497" s="105">
        <v>0</v>
      </c>
      <c r="F5497" s="106" t="s">
        <v>2018</v>
      </c>
      <c r="G5497" s="8"/>
      <c r="H5497" s="8"/>
      <c r="I5497" s="107">
        <v>0</v>
      </c>
      <c r="J5497" s="8" t="s">
        <v>6357</v>
      </c>
    </row>
    <row r="5498" spans="1:10" ht="16.5" customHeight="1" x14ac:dyDescent="0.25">
      <c r="A5498" s="8" t="s">
        <v>16150</v>
      </c>
      <c r="B5498" s="8" t="s">
        <v>16151</v>
      </c>
      <c r="C5498" s="8" t="s">
        <v>16152</v>
      </c>
      <c r="D5498" s="8" t="s">
        <v>16151</v>
      </c>
      <c r="E5498" s="105">
        <v>0</v>
      </c>
      <c r="F5498" s="106" t="s">
        <v>2018</v>
      </c>
      <c r="G5498" s="8"/>
      <c r="H5498" s="8"/>
      <c r="I5498" s="107">
        <v>0</v>
      </c>
      <c r="J5498" s="8" t="s">
        <v>6357</v>
      </c>
    </row>
    <row r="5499" spans="1:10" ht="16.5" customHeight="1" x14ac:dyDescent="0.25">
      <c r="A5499" s="8" t="s">
        <v>16153</v>
      </c>
      <c r="B5499" s="8" t="s">
        <v>16154</v>
      </c>
      <c r="C5499" s="8" t="s">
        <v>16155</v>
      </c>
      <c r="D5499" s="8" t="s">
        <v>16154</v>
      </c>
      <c r="E5499" s="105">
        <v>0</v>
      </c>
      <c r="F5499" s="106" t="s">
        <v>2018</v>
      </c>
      <c r="G5499" s="8"/>
      <c r="H5499" s="8"/>
      <c r="I5499" s="107">
        <v>0</v>
      </c>
      <c r="J5499" s="8" t="s">
        <v>6357</v>
      </c>
    </row>
    <row r="5500" spans="1:10" ht="16.5" customHeight="1" x14ac:dyDescent="0.25">
      <c r="A5500" s="8" t="s">
        <v>16156</v>
      </c>
      <c r="B5500" s="8" t="s">
        <v>16157</v>
      </c>
      <c r="C5500" s="8" t="s">
        <v>16158</v>
      </c>
      <c r="D5500" s="8" t="s">
        <v>16157</v>
      </c>
      <c r="E5500" s="105">
        <v>0</v>
      </c>
      <c r="F5500" s="106" t="s">
        <v>2018</v>
      </c>
      <c r="G5500" s="8"/>
      <c r="H5500" s="8"/>
      <c r="I5500" s="107">
        <v>0</v>
      </c>
      <c r="J5500" s="8" t="s">
        <v>6357</v>
      </c>
    </row>
    <row r="5501" spans="1:10" ht="16.5" customHeight="1" x14ac:dyDescent="0.25">
      <c r="A5501" s="8" t="s">
        <v>16159</v>
      </c>
      <c r="B5501" s="8" t="s">
        <v>16160</v>
      </c>
      <c r="C5501" s="8" t="s">
        <v>2183</v>
      </c>
      <c r="D5501" s="8" t="s">
        <v>16160</v>
      </c>
      <c r="E5501" s="105">
        <v>1</v>
      </c>
      <c r="F5501" s="106" t="s">
        <v>2018</v>
      </c>
      <c r="G5501" s="8"/>
      <c r="H5501" s="8"/>
      <c r="I5501" s="107">
        <v>0</v>
      </c>
      <c r="J5501" s="8" t="s">
        <v>2019</v>
      </c>
    </row>
    <row r="5502" spans="1:10" ht="16.5" customHeight="1" x14ac:dyDescent="0.25">
      <c r="A5502" s="8" t="s">
        <v>16161</v>
      </c>
      <c r="B5502" s="8" t="s">
        <v>16162</v>
      </c>
      <c r="C5502" s="8" t="s">
        <v>16163</v>
      </c>
      <c r="D5502" s="8" t="s">
        <v>16162</v>
      </c>
      <c r="E5502" s="105">
        <v>2.1</v>
      </c>
      <c r="F5502" s="106" t="s">
        <v>2018</v>
      </c>
      <c r="G5502" s="8" t="s">
        <v>1541</v>
      </c>
      <c r="H5502" s="8"/>
      <c r="I5502" s="107">
        <v>0</v>
      </c>
      <c r="J5502" s="8" t="s">
        <v>5929</v>
      </c>
    </row>
    <row r="5503" spans="1:10" ht="16.5" customHeight="1" x14ac:dyDescent="0.25">
      <c r="A5503" s="8" t="s">
        <v>1703</v>
      </c>
      <c r="B5503" s="8" t="s">
        <v>1705</v>
      </c>
      <c r="C5503" s="8" t="s">
        <v>1704</v>
      </c>
      <c r="D5503" s="8" t="s">
        <v>1705</v>
      </c>
      <c r="E5503" s="105">
        <v>21.05</v>
      </c>
      <c r="F5503" s="106" t="s">
        <v>2018</v>
      </c>
      <c r="G5503" s="8" t="s">
        <v>1541</v>
      </c>
      <c r="H5503" s="8" t="s">
        <v>16161</v>
      </c>
      <c r="I5503" s="107">
        <v>10</v>
      </c>
      <c r="J5503" s="8" t="s">
        <v>5929</v>
      </c>
    </row>
  </sheetData>
  <autoFilter ref="A2:J5503" xr:uid="{E712B8A5-FB31-4171-94AF-7F85C15C258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siêu thị</vt:lpstr>
      <vt:lpstr>npp</vt:lpstr>
      <vt:lpstr>tỉnh</vt:lpstr>
      <vt:lpstr>npp (clv)</vt:lpstr>
      <vt:lpstr>siêu thị (clv)</vt:lpstr>
      <vt:lpstr>MÃ HÀNG OK</vt:lpstr>
      <vt:lpstr>TONG HOP cap nhat T5-26</vt:lpstr>
      <vt:lpstr>mã hàng cập nhật 16-6-26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THIÊN ÂN</cp:lastModifiedBy>
  <cp:lastPrinted>2026-01-31T12:16:20Z</cp:lastPrinted>
  <dcterms:created xsi:type="dcterms:W3CDTF">2024-06-04T00:45:50Z</dcterms:created>
  <dcterms:modified xsi:type="dcterms:W3CDTF">2026-09-12T05:28:08Z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15.2.7.0</vt:lpwstr>
  </property>
</Properties>
</file>